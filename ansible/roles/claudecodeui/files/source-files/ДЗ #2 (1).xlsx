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lasov\Desktop\HR\Тренинг Финансы\Эксель\"/>
    </mc:Choice>
  </mc:AlternateContent>
  <bookViews>
    <workbookView xWindow="0" yWindow="0" windowWidth="28800" windowHeight="10785" tabRatio="987"/>
  </bookViews>
  <sheets>
    <sheet name="Задание" sheetId="71" r:id="rId1"/>
    <sheet name="Исходные данные→" sheetId="70" r:id="rId2"/>
    <sheet name="Продажи Компании" sheetId="78" r:id="rId3"/>
    <sheet name="Декларации" sheetId="74" r:id="rId4"/>
    <sheet name="Росстат_Цены" sheetId="77" r:id="rId5"/>
    <sheet name="Росстат_Пр-во ЦФО" sheetId="75" r:id="rId6"/>
    <sheet name="Росстат_Пр-во СЗФО" sheetId="80" r:id="rId7"/>
    <sheet name="Росстат_Пр-во ЮФО" sheetId="81" r:id="rId8"/>
    <sheet name="Росстат_Пр-во ПФО" sheetId="79" r:id="rId9"/>
    <sheet name="Росстат_Пр-во УФО" sheetId="82" r:id="rId10"/>
    <sheet name="Росстат_Пр-во СФО" sheetId="83" r:id="rId11"/>
    <sheet name="Росстат_Пр-во ДФО" sheetId="84" r:id="rId12"/>
  </sheets>
  <externalReferences>
    <externalReference r:id="rId13"/>
  </externalReferences>
  <definedNames>
    <definedName name="_xlnm._FilterDatabase" localSheetId="0" hidden="1">Задание!$G$13:$H$13</definedName>
    <definedName name="Myqty" hidden="1">[1]Chartsv!$HD$2:$HD$24</definedName>
    <definedName name="Myup" hidden="1">[1]Chartsv!$HC$2:$HC$24</definedName>
    <definedName name="Myvalue" hidden="1">[1]Chartsv!$HF$2:$HF$24</definedName>
    <definedName name="Myweeks" hidden="1">[1]Chartsv!$HB$2:$HB$24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0" i="78" l="1"/>
  <c r="X19" i="78"/>
  <c r="X16" i="78"/>
  <c r="X15" i="78"/>
  <c r="X11" i="78"/>
  <c r="X10" i="78"/>
  <c r="X7" i="78"/>
  <c r="M1" i="78" l="1"/>
  <c r="N1" i="78"/>
  <c r="O1" i="78" s="1"/>
  <c r="P1" i="78" s="1"/>
  <c r="Q1" i="78" s="1"/>
  <c r="R1" i="78" s="1"/>
  <c r="S1" i="78" s="1"/>
  <c r="T1" i="78" s="1"/>
  <c r="U1" i="78" s="1"/>
  <c r="V1" i="78" s="1"/>
  <c r="L1" i="78"/>
  <c r="R62" i="78" l="1"/>
  <c r="R60" i="78" s="1"/>
  <c r="V62" i="78"/>
  <c r="U62" i="78"/>
  <c r="T62" i="78"/>
  <c r="T60" i="78" s="1"/>
  <c r="S62" i="78"/>
  <c r="S60" i="78" s="1"/>
  <c r="Q62" i="78"/>
  <c r="P62" i="78"/>
  <c r="O62" i="78"/>
  <c r="N62" i="78"/>
  <c r="M62" i="78"/>
  <c r="L62" i="78"/>
  <c r="K62" i="78"/>
  <c r="X62" i="78" s="1"/>
  <c r="V61" i="78"/>
  <c r="U61" i="78"/>
  <c r="U60" i="78" s="1"/>
  <c r="T61" i="78"/>
  <c r="S61" i="78"/>
  <c r="R61" i="78"/>
  <c r="Q61" i="78"/>
  <c r="P61" i="78"/>
  <c r="O61" i="78"/>
  <c r="N61" i="78"/>
  <c r="M61" i="78"/>
  <c r="M60" i="78" s="1"/>
  <c r="L61" i="78"/>
  <c r="L60" i="78" s="1"/>
  <c r="K61" i="78"/>
  <c r="X61" i="78" s="1"/>
  <c r="V58" i="78"/>
  <c r="U58" i="78"/>
  <c r="T58" i="78"/>
  <c r="S58" i="78"/>
  <c r="R58" i="78"/>
  <c r="Q58" i="78"/>
  <c r="P58" i="78"/>
  <c r="O58" i="78"/>
  <c r="N58" i="78"/>
  <c r="M58" i="78"/>
  <c r="L58" i="78"/>
  <c r="K58" i="78"/>
  <c r="X58" i="78" s="1"/>
  <c r="V57" i="78"/>
  <c r="V56" i="78" s="1"/>
  <c r="U57" i="78"/>
  <c r="U56" i="78" s="1"/>
  <c r="T57" i="78"/>
  <c r="S57" i="78"/>
  <c r="R57" i="78"/>
  <c r="Q57" i="78"/>
  <c r="P57" i="78"/>
  <c r="P56" i="78" s="1"/>
  <c r="O57" i="78"/>
  <c r="N57" i="78"/>
  <c r="N56" i="78" s="1"/>
  <c r="M57" i="78"/>
  <c r="M56" i="78" s="1"/>
  <c r="L57" i="78"/>
  <c r="L56" i="78" s="1"/>
  <c r="K57" i="78"/>
  <c r="X57" i="78" s="1"/>
  <c r="V53" i="78"/>
  <c r="U53" i="78"/>
  <c r="T53" i="78"/>
  <c r="S53" i="78"/>
  <c r="R53" i="78"/>
  <c r="Q53" i="78"/>
  <c r="P53" i="78"/>
  <c r="O53" i="78"/>
  <c r="N53" i="78"/>
  <c r="M53" i="78"/>
  <c r="L53" i="78"/>
  <c r="K53" i="78"/>
  <c r="X53" i="78" s="1"/>
  <c r="V52" i="78"/>
  <c r="V51" i="78" s="1"/>
  <c r="U52" i="78"/>
  <c r="U51" i="78" s="1"/>
  <c r="T52" i="78"/>
  <c r="S52" i="78"/>
  <c r="R52" i="78"/>
  <c r="Q52" i="78"/>
  <c r="P52" i="78"/>
  <c r="P51" i="78" s="1"/>
  <c r="O52" i="78"/>
  <c r="O51" i="78" s="1"/>
  <c r="N52" i="78"/>
  <c r="N51" i="78" s="1"/>
  <c r="M52" i="78"/>
  <c r="M51" i="78" s="1"/>
  <c r="L52" i="78"/>
  <c r="K52" i="78"/>
  <c r="X52" i="78" s="1"/>
  <c r="V49" i="78"/>
  <c r="U49" i="78"/>
  <c r="T49" i="78"/>
  <c r="S49" i="78"/>
  <c r="R49" i="78"/>
  <c r="Q49" i="78"/>
  <c r="P49" i="78"/>
  <c r="O49" i="78"/>
  <c r="N49" i="78"/>
  <c r="M49" i="78"/>
  <c r="L49" i="78"/>
  <c r="K49" i="78"/>
  <c r="V48" i="78"/>
  <c r="V47" i="78" s="1"/>
  <c r="U48" i="78"/>
  <c r="U47" i="78" s="1"/>
  <c r="T48" i="78"/>
  <c r="S48" i="78"/>
  <c r="S47" i="78" s="1"/>
  <c r="R48" i="78"/>
  <c r="R47" i="78" s="1"/>
  <c r="Q48" i="78"/>
  <c r="Q47" i="78" s="1"/>
  <c r="P48" i="78"/>
  <c r="P47" i="78" s="1"/>
  <c r="O48" i="78"/>
  <c r="O47" i="78" s="1"/>
  <c r="N48" i="78"/>
  <c r="N47" i="78" s="1"/>
  <c r="M48" i="78"/>
  <c r="M47" i="78" s="1"/>
  <c r="L48" i="78"/>
  <c r="L47" i="78" s="1"/>
  <c r="K48" i="78"/>
  <c r="V60" i="78"/>
  <c r="Q60" i="78"/>
  <c r="P60" i="78"/>
  <c r="O60" i="78"/>
  <c r="N60" i="78"/>
  <c r="T56" i="78"/>
  <c r="S56" i="78"/>
  <c r="R56" i="78"/>
  <c r="Q56" i="78"/>
  <c r="O56" i="78"/>
  <c r="T51" i="78"/>
  <c r="S51" i="78"/>
  <c r="R51" i="78"/>
  <c r="Q51" i="78"/>
  <c r="T47" i="78"/>
  <c r="T46" i="78" s="1"/>
  <c r="V18" i="78"/>
  <c r="U18" i="78"/>
  <c r="T18" i="78"/>
  <c r="S18" i="78"/>
  <c r="R18" i="78"/>
  <c r="Q18" i="78"/>
  <c r="P18" i="78"/>
  <c r="O18" i="78"/>
  <c r="N18" i="78"/>
  <c r="M18" i="78"/>
  <c r="L18" i="78"/>
  <c r="K18" i="78"/>
  <c r="V14" i="78"/>
  <c r="U14" i="78"/>
  <c r="T14" i="78"/>
  <c r="S14" i="78"/>
  <c r="S13" i="78" s="1"/>
  <c r="R14" i="78"/>
  <c r="R13" i="78" s="1"/>
  <c r="Q14" i="78"/>
  <c r="P14" i="78"/>
  <c r="P13" i="78" s="1"/>
  <c r="O14" i="78"/>
  <c r="O13" i="78" s="1"/>
  <c r="N14" i="78"/>
  <c r="M14" i="78"/>
  <c r="L14" i="78"/>
  <c r="K14" i="78"/>
  <c r="K13" i="78" s="1"/>
  <c r="V13" i="78"/>
  <c r="U13" i="78"/>
  <c r="T13" i="78"/>
  <c r="Q13" i="78"/>
  <c r="N4" i="78"/>
  <c r="O4" i="78"/>
  <c r="O22" i="78" s="1"/>
  <c r="P4" i="78"/>
  <c r="P22" i="78" s="1"/>
  <c r="Q4" i="78"/>
  <c r="Q22" i="78" s="1"/>
  <c r="R4" i="78"/>
  <c r="R22" i="78" s="1"/>
  <c r="S4" i="78"/>
  <c r="S22" i="78" s="1"/>
  <c r="L5" i="78"/>
  <c r="L4" i="78" s="1"/>
  <c r="M5" i="78"/>
  <c r="N5" i="78"/>
  <c r="O5" i="78"/>
  <c r="P5" i="78"/>
  <c r="Q5" i="78"/>
  <c r="R5" i="78"/>
  <c r="S5" i="78"/>
  <c r="T5" i="78"/>
  <c r="T4" i="78" s="1"/>
  <c r="T22" i="78" s="1"/>
  <c r="U5" i="78"/>
  <c r="U4" i="78" s="1"/>
  <c r="U22" i="78" s="1"/>
  <c r="V5" i="78"/>
  <c r="L9" i="78"/>
  <c r="M9" i="78"/>
  <c r="M4" i="78" s="1"/>
  <c r="N9" i="78"/>
  <c r="O9" i="78"/>
  <c r="P9" i="78"/>
  <c r="Q9" i="78"/>
  <c r="R9" i="78"/>
  <c r="S9" i="78"/>
  <c r="T9" i="78"/>
  <c r="U9" i="78"/>
  <c r="V9" i="78"/>
  <c r="V4" i="78" s="1"/>
  <c r="V22" i="78" s="1"/>
  <c r="K9" i="78"/>
  <c r="K5" i="78"/>
  <c r="K47" i="78" l="1"/>
  <c r="X47" i="78" s="1"/>
  <c r="X14" i="78"/>
  <c r="X18" i="78"/>
  <c r="L13" i="78"/>
  <c r="L22" i="78" s="1"/>
  <c r="L51" i="78"/>
  <c r="L46" i="78" s="1"/>
  <c r="X5" i="78"/>
  <c r="X9" i="78"/>
  <c r="M55" i="78"/>
  <c r="Q55" i="78"/>
  <c r="T55" i="78"/>
  <c r="U55" i="78"/>
  <c r="K60" i="78"/>
  <c r="V55" i="78"/>
  <c r="O55" i="78"/>
  <c r="K56" i="78"/>
  <c r="K51" i="78"/>
  <c r="K46" i="78" s="1"/>
  <c r="P46" i="78"/>
  <c r="Q46" i="78"/>
  <c r="R46" i="78"/>
  <c r="S46" i="78"/>
  <c r="X48" i="78"/>
  <c r="X49" i="78"/>
  <c r="L55" i="78"/>
  <c r="X60" i="78"/>
  <c r="R55" i="78"/>
  <c r="R64" i="78" s="1"/>
  <c r="S55" i="78"/>
  <c r="S64" i="78" s="1"/>
  <c r="T64" i="78"/>
  <c r="X56" i="78"/>
  <c r="N55" i="78"/>
  <c r="P55" i="78"/>
  <c r="P64" i="78" s="1"/>
  <c r="M46" i="78"/>
  <c r="M64" i="78" s="1"/>
  <c r="N46" i="78"/>
  <c r="O46" i="78"/>
  <c r="U46" i="78"/>
  <c r="U64" i="78" s="1"/>
  <c r="V46" i="78"/>
  <c r="V64" i="78" s="1"/>
  <c r="M13" i="78"/>
  <c r="M22" i="78" s="1"/>
  <c r="N13" i="78"/>
  <c r="N22" i="78" s="1"/>
  <c r="K4" i="78"/>
  <c r="X6" i="78"/>
  <c r="X51" i="78" l="1"/>
  <c r="K55" i="78"/>
  <c r="X13" i="78"/>
  <c r="Q64" i="78"/>
  <c r="X4" i="78"/>
  <c r="X22" i="78" s="1"/>
  <c r="K22" i="78"/>
  <c r="O64" i="78"/>
  <c r="L64" i="78"/>
  <c r="N64" i="78"/>
  <c r="X55" i="78"/>
  <c r="K64" i="78"/>
  <c r="X64" i="78" s="1"/>
  <c r="X46" i="78"/>
</calcChain>
</file>

<file path=xl/sharedStrings.xml><?xml version="1.0" encoding="utf-8"?>
<sst xmlns="http://schemas.openxmlformats.org/spreadsheetml/2006/main" count="69258" uniqueCount="3331">
  <si>
    <t>Описание</t>
  </si>
  <si>
    <t>Задание</t>
  </si>
  <si>
    <t>Hints</t>
  </si>
  <si>
    <t>Домашнее задание №2</t>
  </si>
  <si>
    <t>STAT Учет в статистике 0/1</t>
  </si>
  <si>
    <t>D1 Дата выпуска груза</t>
  </si>
  <si>
    <t>ND  Номер  декларации на товары</t>
  </si>
  <si>
    <t>071 Таможня оформления ДТ</t>
  </si>
  <si>
    <t>073 Порядковый № ДТ</t>
  </si>
  <si>
    <t>011 ИМ.ЭК - направление перемещения</t>
  </si>
  <si>
    <t>012 Основной таможенный режим</t>
  </si>
  <si>
    <t>013 Дополнительный признак</t>
  </si>
  <si>
    <t>020 ОГРН.ОГРНИП отправителя</t>
  </si>
  <si>
    <t>021 ИНН отправителя</t>
  </si>
  <si>
    <t>022 Наименование.ФИО отправителя</t>
  </si>
  <si>
    <t>023 Адрес отправителя</t>
  </si>
  <si>
    <t>024 ОКАТО отправителя</t>
  </si>
  <si>
    <t>027 КПП отправителя</t>
  </si>
  <si>
    <t>03 Листов ДТ</t>
  </si>
  <si>
    <t>04 Спецификаций ДТ</t>
  </si>
  <si>
    <t>05 Товаров всего</t>
  </si>
  <si>
    <t>06 Мест товара всего</t>
  </si>
  <si>
    <t>080 ОГРН.ОГРНИП получателя</t>
  </si>
  <si>
    <t>081 ИНН получателя</t>
  </si>
  <si>
    <t>082 Наименование.ФИО получателя</t>
  </si>
  <si>
    <t>083 Адрес получателя</t>
  </si>
  <si>
    <t>084 ОКАТО получателя</t>
  </si>
  <si>
    <t>087 КПП получателя</t>
  </si>
  <si>
    <t>090 ОГРН.ОГРНИП контрактодержателя</t>
  </si>
  <si>
    <t>091 ИНН контрактодержателя</t>
  </si>
  <si>
    <t>092 Наименование.ФИО контрактодержателя</t>
  </si>
  <si>
    <t>093 Адрес контрактодержателя</t>
  </si>
  <si>
    <t>094 ОКАТО контрактодержателя</t>
  </si>
  <si>
    <t>097 КПП контрактодержателя</t>
  </si>
  <si>
    <t>11 Код торгующей страны</t>
  </si>
  <si>
    <t>11 Торгующая страна</t>
  </si>
  <si>
    <t>12 Общая таможенная стоимость</t>
  </si>
  <si>
    <t>140 ОГРН.ОГРНИП декларанта</t>
  </si>
  <si>
    <t>141 ИНН контрактодержателя</t>
  </si>
  <si>
    <t>142 Наименование.ФИО декларанта</t>
  </si>
  <si>
    <t>143 Адрес контрактодержателя</t>
  </si>
  <si>
    <t>144 ОКАТО контрактодержателя</t>
  </si>
  <si>
    <t>147 КПП контрактодержателя</t>
  </si>
  <si>
    <t>15А Код страны отправления</t>
  </si>
  <si>
    <t>15 Страна отправления</t>
  </si>
  <si>
    <t>16 Страна происхождения</t>
  </si>
  <si>
    <t>17А Код страны назначения</t>
  </si>
  <si>
    <t>17 Страна назначения</t>
  </si>
  <si>
    <t>18 Кол-во транспорта при отправлении</t>
  </si>
  <si>
    <t>19 Признак контейнерных перевозок 0ю1</t>
  </si>
  <si>
    <t>202 Условие поставки</t>
  </si>
  <si>
    <t>2021 Пункт поставки товара</t>
  </si>
  <si>
    <t>21 Кол-во трансп на границе</t>
  </si>
  <si>
    <t>221 Валюта контракта</t>
  </si>
  <si>
    <t>222 Общая фактурная стоимость</t>
  </si>
  <si>
    <t>2220 Общая фактурная стоимость, руб</t>
  </si>
  <si>
    <t>226 Статистическая стоимость суммарная</t>
  </si>
  <si>
    <t>23 Курс валюты</t>
  </si>
  <si>
    <t>24 Характер сделки</t>
  </si>
  <si>
    <t>25 Вид транспортного средства</t>
  </si>
  <si>
    <t>28 ОКПО банка.паспорт сделки</t>
  </si>
  <si>
    <t>29 Таможня на границе</t>
  </si>
  <si>
    <t>300 Тип информации</t>
  </si>
  <si>
    <t>301 № свидетельства СВХ.ТС</t>
  </si>
  <si>
    <t>302 Вид документа.Вид ТС</t>
  </si>
  <si>
    <t>30POST Индекс места нахождения товара</t>
  </si>
  <si>
    <t>30SUBD Регион</t>
  </si>
  <si>
    <t>30CITY Населенный пункт</t>
  </si>
  <si>
    <t>30STREET Адрес местонахождения товара</t>
  </si>
  <si>
    <t>3012 Таможня в зоне которой склад</t>
  </si>
  <si>
    <t>3 Порядковый № листа ДТ</t>
  </si>
  <si>
    <t>31_1 Описание и характеристика товара</t>
  </si>
  <si>
    <t>31_11 Товарный знак</t>
  </si>
  <si>
    <t>31_12 Наименование фирмы изготовителя</t>
  </si>
  <si>
    <t>31_2 Кол-во мест товара</t>
  </si>
  <si>
    <t>31_3 Кол-во контейнеров</t>
  </si>
  <si>
    <t>31_7 Кол-во товара в доп ед. измерения</t>
  </si>
  <si>
    <t>31_71 Дополнительная единица</t>
  </si>
  <si>
    <t>31_8 Кол-во товара в доп единице</t>
  </si>
  <si>
    <t>31_81 Дополнительная единица</t>
  </si>
  <si>
    <t>32 Номер товара по ДТ</t>
  </si>
  <si>
    <t>33 Код товара по ТН ВЭД РФ</t>
  </si>
  <si>
    <t>331 Признак нетарифного регулирования</t>
  </si>
  <si>
    <t>332 Признак объекта интеллект собственности</t>
  </si>
  <si>
    <t>34 Код страны происхождения</t>
  </si>
  <si>
    <t>35 Вес брутто, кг</t>
  </si>
  <si>
    <t>36 Преференции</t>
  </si>
  <si>
    <t>37 Процедура</t>
  </si>
  <si>
    <t>38 Вес нетто, кг</t>
  </si>
  <si>
    <t>39 Квота</t>
  </si>
  <si>
    <t>391 Код валюты квоты</t>
  </si>
  <si>
    <t>392 Единица измерения квоты</t>
  </si>
  <si>
    <t>42 Фактурная стоимость</t>
  </si>
  <si>
    <t>420 Фактурная стоимость, руб</t>
  </si>
  <si>
    <t>43 Признак корректировки таможенной стоимости (КТС)</t>
  </si>
  <si>
    <t>431 Метод определения таможенной стоимости</t>
  </si>
  <si>
    <t>45 Таможенная стоимость</t>
  </si>
  <si>
    <t>46 Статистическая стоимость</t>
  </si>
  <si>
    <t>D0 Код завршения таможенного оформления</t>
  </si>
  <si>
    <t>Стат сумма, долл</t>
  </si>
  <si>
    <t>USD/KG Статистическая стоимость, USD/Dtc НЕТТО, кг</t>
  </si>
  <si>
    <t>541 Свидетельство таможенного брокера</t>
  </si>
  <si>
    <t>5411 Договор брокера с декларантом</t>
  </si>
  <si>
    <t>5441 ФИО заполнившего ДТ</t>
  </si>
  <si>
    <t>ЛНП выпускающего инспектора</t>
  </si>
  <si>
    <t>ND_DEL Признак удаления декларации</t>
  </si>
  <si>
    <t>1</t>
  </si>
  <si>
    <t>10131010/300123/3032780</t>
  </si>
  <si>
    <t>10131010</t>
  </si>
  <si>
    <t>3032780</t>
  </si>
  <si>
    <t>ИМ</t>
  </si>
  <si>
    <t>40</t>
  </si>
  <si>
    <t/>
  </si>
  <si>
    <t>WELLPET BELGIUM BVBA</t>
  </si>
  <si>
    <t>1831, ., DIEGEM, LEONARDO DA VINCILAAN, 19</t>
  </si>
  <si>
    <t>1027700221438</t>
  </si>
  <si>
    <t>7718118019</t>
  </si>
  <si>
    <t>АО "ВАЛТА ПЕТ ПРОДАКТС"</t>
  </si>
  <si>
    <t>115230, РОССИЯ, МОСКВА, ВАРШАВСКОЕ ШОССЕ, Д.42, КОМНАТА 3134,</t>
  </si>
  <si>
    <t>45000</t>
  </si>
  <si>
    <t>772601001</t>
  </si>
  <si>
    <t>BE</t>
  </si>
  <si>
    <t>БЕЛЬГИЯ</t>
  </si>
  <si>
    <t>ФРАНЦИЯ</t>
  </si>
  <si>
    <t>RU</t>
  </si>
  <si>
    <t>РОССИЯ</t>
  </si>
  <si>
    <t>0</t>
  </si>
  <si>
    <t>EXW</t>
  </si>
  <si>
    <t>GHENT</t>
  </si>
  <si>
    <t>EUR</t>
  </si>
  <si>
    <t>010</t>
  </si>
  <si>
    <t>31</t>
  </si>
  <si>
    <t>18090220/1481/1948/2/1</t>
  </si>
  <si>
    <t>-</t>
  </si>
  <si>
    <t>99</t>
  </si>
  <si>
    <t>.</t>
  </si>
  <si>
    <t>СМОЛЕНСКАЯ ОБЛАСТЬ,СМОЛЕНСКИЙ Р-Н</t>
  </si>
  <si>
    <t>СЕЛЬСКОЕ ПОСЕЛЕНИЕ СТАБНИНСКОЕ</t>
  </si>
  <si>
    <t>СЕВЕРО-ВОСТОЧНЕЕ Д. СТАБНА,НА РАССТОЯНИИ 700 МЕТРО</t>
  </si>
  <si>
    <t>10113100 т/п Стабнинский</t>
  </si>
  <si>
    <t>СУХОЙ КОРМ ДЛЯ КОШЕК И СОБАК Т.М;"WELLNESS CORE", РАСФАСОВАННЫЙ ДЛЯ РОЗНИЧНОЙ ПРОДАЖИ В ИНДИВИДУАЛЬНУЮ УПАКОВКУ, СОДЕРЖИТ 10 МАС.% ИЛИ МЕНЕЕ КРАХМАЛА, НЕ СОДЕРЖИТ ГЛЮКОЗУ, МОЛОЧНЫЕ ПРОДУКТЫ И МАЛЬТОДЕКСТРИН</t>
  </si>
  <si>
    <t>UNITED PETFOOD FRANCE-UPF</t>
  </si>
  <si>
    <t>2309101100</t>
  </si>
  <si>
    <t>FR</t>
  </si>
  <si>
    <t>ОООО-ОО</t>
  </si>
  <si>
    <t>10</t>
  </si>
  <si>
    <t>0770/СПБ/161</t>
  </si>
  <si>
    <t>ДАШКИН АЛЕКСЕЙ ХАЛИМОВИЧ</t>
  </si>
  <si>
    <t>10131010/271223/3425397</t>
  </si>
  <si>
    <t>3425397</t>
  </si>
  <si>
    <t>UNITED PETFOOD PRODUCERS NV</t>
  </si>
  <si>
    <t>9400, , ERPE-MERE, EVENBROEKVELD 1,</t>
  </si>
  <si>
    <t>770100448470</t>
  </si>
  <si>
    <t>ИП ЭСТРИН КИРИЛЛ ВАДИМОВИЧ</t>
  </si>
  <si>
    <t>129085, РОССИЯ, МОСКВА, ПРОСПЕКТ МИРА, Д.81, КВ.101</t>
  </si>
  <si>
    <t>FCA</t>
  </si>
  <si>
    <t>ERPE-MERE</t>
  </si>
  <si>
    <t>22040387/3292/0000/2/2</t>
  </si>
  <si>
    <t>"КАЛУЖСКАЯ ОБЛ., БОРОВСКИЙ Р-Н"</t>
  </si>
  <si>
    <t>С. ВОРСИНО</t>
  </si>
  <si>
    <t>СЕВЕРНАЯ ПРОМЗОНА, ВЛД. 6</t>
  </si>
  <si>
    <t>10106050 т/п Обнинский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</si>
  <si>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АССОРТИМЕНТЕ:</t>
  </si>
  <si>
    <t>ДРУЗЯГИНА</t>
  </si>
  <si>
    <t>10131010/300123/3031346</t>
  </si>
  <si>
    <t>3031346</t>
  </si>
  <si>
    <t>316774600208441</t>
  </si>
  <si>
    <t>11</t>
  </si>
  <si>
    <t>10106/100913/10053/9</t>
  </si>
  <si>
    <t>КАЛУЖСКАЯ ОБЛ., БОРОВСКИЙ Р-Н</t>
  </si>
  <si>
    <t>КОРМ ДЛЯ СОБАК И КОШЕК, РАСФАСОВАННЫЙ ДЛЯ РОЗНИЧНОЙ ПРОДАЖИ; БЕЗ СОДЕРЖАНИЯ КРАХМАЛА, БЕЗ СОДЕРЖАНИЯ МОЛОЧНЫХ ПРОДУКТОВ, В АССОРТИМЕНТЕ:</t>
  </si>
  <si>
    <t>2022/09 БР</t>
  </si>
  <si>
    <t>ОСИПОВА ТАТЬЯНА ВЛАДИМИРОВНА</t>
  </si>
  <si>
    <t>10131010/030123/3000794</t>
  </si>
  <si>
    <t>3000794</t>
  </si>
  <si>
    <t>UNITED PETFOOD PRODUCERS</t>
  </si>
  <si>
    <t>9042, TERDONKKAAI, 16, GENT, BE</t>
  </si>
  <si>
    <t>129085, РОССИЯ, Г. МОСКВА, ПР-КТ МИРА, Д.81, КВ. 101</t>
  </si>
  <si>
    <t>1237</t>
  </si>
  <si>
    <t>Г. КРОНШТАДТ</t>
  </si>
  <si>
    <t>КРОНШТАДТСКОЕ ШОССЕ, Д.33, ЛИТ. А</t>
  </si>
  <si>
    <t>10210040 т/п Котлинский</t>
  </si>
  <si>
    <t>СУХОЙ КОРМ ДЛЯ СОБАК И КОШЕК Т.М. "GRANDORF", РАСФАСОВАННЫЙ В ИНДИВИДУАЛЬНУЮ УПАKОВКУ ДЛЯ РОЗНИЧНОЙ ПРОДАЖИ, СОДЕРЖИТ КРАХМАЛ МЕНЕЕ 10%, НЕ СОДЕРЖИТ МОЛОЧНЫЕ ПРОДУКТЫ, ГЛЮКОЗУ И МАЛЬТОДЕКСТРИН.</t>
  </si>
  <si>
    <t>0770/СПБ/329</t>
  </si>
  <si>
    <t>10131010/030123/3000782</t>
  </si>
  <si>
    <t>3000782</t>
  </si>
  <si>
    <t>СУХОЙ КОРМ ДЛЯ СОБАК И КОШЕК Т.М. "GRANDORF", РАСФАСОВАННЫЙ В ИНДИВИДУАЛЬНУЮ УПАКОBКУ ДЛЯ РОЗНИЧНОЙ ПРОДАЖИ, СОДЕРЖИТ КРАХМАЛ МЕНЕЕ 10%, НЕ СОДЕРЖИТ МОЛОЧНЫЕ ПРОДУКТЫ, ГЛЮКОЗУ И МАЛЬТОДЕКСТРИН.</t>
  </si>
  <si>
    <t>10131010/030123/3000876</t>
  </si>
  <si>
    <t>3000876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</si>
  <si>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МОЛОЧНЫЕ ПРОДУКТЫ, ГЛЮKОЗУ И МАЛЬТОДЕКСТРИН.</t>
  </si>
  <si>
    <t>СУШКОВА ОЛЬГА АЛЕКСАНДРОВНА</t>
  </si>
  <si>
    <t>10131010/030123/3000788</t>
  </si>
  <si>
    <t>3000788</t>
  </si>
  <si>
    <t>СУХОЙ КОРМ ДЛЯ СОБАК И КОШЕК Т.М. "GRANDORF", РАСФАСОBАННЫЙ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</si>
  <si>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10131010/310123/3035307</t>
  </si>
  <si>
    <t>3035307</t>
  </si>
  <si>
    <t>СУХОЙ КОРМ ДЛЯ КОШЕК И СОБАК Т.М. "WELLNESS CORE", РАСФАСОВАННЫЙ ДЛЯ РОЗНИЧНОЙ ПРОДАЖИ В ИНДИВИДУАЛЬНУЮ УПАКОВКУ; СОДЕРЖИТ 10 МАС.% ИЛИ МЕНЕЕ КРАХМАЛА, НЕ СОДЕРЖИТ ГЛЮКОЗУ, МОЛОЧНЫЕ ПРОДУКТЫ И МАЛЬТОДЕКСТРИН</t>
  </si>
  <si>
    <t>10131010/100123/3005664</t>
  </si>
  <si>
    <t>3005664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</si>
  <si>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</si>
  <si>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10131010/100123/3006562</t>
  </si>
  <si>
    <t>3006562</t>
  </si>
  <si>
    <t>СУХОЙ КОРМ ДЛЯ СОБАК Т.М.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</si>
  <si>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10131010/211223/3417902</t>
  </si>
  <si>
    <t>3417902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</si>
  <si>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</t>
  </si>
  <si>
    <t>ОСИПОВА</t>
  </si>
  <si>
    <t>10131010/120123/3009172</t>
  </si>
  <si>
    <t>3009172</t>
  </si>
  <si>
    <t>СУХОЙ КОРМ ДЛЯ СОБАК Т.М. "PREMIER",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</si>
  <si>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10131010/281223/3426838</t>
  </si>
  <si>
    <t>3426838</t>
  </si>
  <si>
    <t>СЕВЕРНАЯ ПРОМЗОНА, ВЛАД. 6</t>
  </si>
  <si>
    <t>КОРМ ДЛЯ СОБАК, РАСФАСОВАННЫЙ ДЛЯ РОЗНИЧНОЙ ПРОДАЖИ, БЕЗ СОДЕРЖАНИЯ КРАХМАЛА, БЕЗ СОДЕРЖАНИЯ МОЛОЧНЫХ ПРОДУКТОВ, В АССОРТИМЕНТЕ:</t>
  </si>
  <si>
    <t>10131010/130123/3010787</t>
  </si>
  <si>
    <t>3010787</t>
  </si>
  <si>
    <t>10131010/130123/3010647</t>
  </si>
  <si>
    <t>3010647</t>
  </si>
  <si>
    <t>10131010/130123/3010752</t>
  </si>
  <si>
    <t>3010752</t>
  </si>
  <si>
    <t>10131010/130123/3010721</t>
  </si>
  <si>
    <t>3010721</t>
  </si>
  <si>
    <t>10131010/130123/3010913</t>
  </si>
  <si>
    <t>3010913</t>
  </si>
  <si>
    <t>10131010/130123/3010745</t>
  </si>
  <si>
    <t>3010745</t>
  </si>
  <si>
    <t>10131010/130123/3010741</t>
  </si>
  <si>
    <t>3010741</t>
  </si>
  <si>
    <t>10131010/130123/3010672</t>
  </si>
  <si>
    <t>3010672</t>
  </si>
  <si>
    <t>10131010/261223/3423394</t>
  </si>
  <si>
    <t>3423394</t>
  </si>
  <si>
    <t>КОРМ ДЛЯ СОБАК И КОШЕК, РАСФАСОВАННЫЙ ДЛЯ РОЗНИЧНОЙ ПРОДАЖИ, БЕЗ СОДЕРЖАНИЯ КРАХМАЛА, БЕЗ СОДЕРЖАНИЯ МОЛОЧНЫХ ПРОДУКТОВ, В АССОРТИМЕНТЕ:</t>
  </si>
  <si>
    <t>ЧУДИНА</t>
  </si>
  <si>
    <t>10131010/130123/3011121</t>
  </si>
  <si>
    <t>3011121</t>
  </si>
  <si>
    <t>10131010/130123/3010661</t>
  </si>
  <si>
    <t>3010661</t>
  </si>
  <si>
    <t>10131010/140123/3011420</t>
  </si>
  <si>
    <t>3011420</t>
  </si>
  <si>
    <t>10131010/140123/5000187</t>
  </si>
  <si>
    <t>5000187</t>
  </si>
  <si>
    <t>10131010/211223/3417874</t>
  </si>
  <si>
    <t>3417874</t>
  </si>
  <si>
    <t>10131010/140123/5000189</t>
  </si>
  <si>
    <t>5000189</t>
  </si>
  <si>
    <t>10131010/140123/3011540</t>
  </si>
  <si>
    <t>3011540</t>
  </si>
  <si>
    <t>10131010/130123/3011166</t>
  </si>
  <si>
    <t>3011166</t>
  </si>
  <si>
    <t>10131010/271223/3425071</t>
  </si>
  <si>
    <t>3425071</t>
  </si>
  <si>
    <t>10131010/140123/3011417</t>
  </si>
  <si>
    <t>3011417</t>
  </si>
  <si>
    <t>10131010/251223/3422354</t>
  </si>
  <si>
    <t>3422354</t>
  </si>
  <si>
    <t>10131010/140123/3011515</t>
  </si>
  <si>
    <t>3011515</t>
  </si>
  <si>
    <t>СУХОЙ КОРМ ДЛЯ КОШЕК И СОБАК Т.М. "PREMIER",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</si>
  <si>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10131010/170123/3014827</t>
  </si>
  <si>
    <t>3014827</t>
  </si>
  <si>
    <t>10131010/281223/3426842</t>
  </si>
  <si>
    <t>3426842</t>
  </si>
  <si>
    <t>10131010/261223/3424034</t>
  </si>
  <si>
    <t>3424034</t>
  </si>
  <si>
    <t>10131010/170123/3015160</t>
  </si>
  <si>
    <t>3015160</t>
  </si>
  <si>
    <t>СУХОЙ КОРМ ДЛЯ КОШЕК И СОБАК Т.М. "WELLNESS CORE", РАСФАСОВАННЫЙ ДЛЯ РОЗНИЧНОЙ ПРОДАЖИ В ИНДИВИДУАЛЬНУЮ УПАКОВКУ, СОДЕРЖИТ 10 МАС.% ИЛИ МЕНЕЕ КРАХМАЛА, НЕ СОДЕРЖИТ ГЛЮКОЗУ, МОЛОЧНЫЕ ПРОДУКТЫ И МАЛЬТОДЕКСТРИН</t>
  </si>
  <si>
    <t>10131010/180123/3017012</t>
  </si>
  <si>
    <t>3017012</t>
  </si>
  <si>
    <t>10131010/190123/3017686</t>
  </si>
  <si>
    <t>3017686</t>
  </si>
  <si>
    <t>10131010/200123/3020197</t>
  </si>
  <si>
    <t>3020197</t>
  </si>
  <si>
    <t>СУХОЙ КОРМ ДЛЯ СОБАК Т.М. "PREMIER",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</si>
  <si>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10131010/221223/3419349</t>
  </si>
  <si>
    <t>3419349</t>
  </si>
  <si>
    <t>10131010/271223/3425393</t>
  </si>
  <si>
    <t>3425393</t>
  </si>
  <si>
    <t>10131010/281223/3426841</t>
  </si>
  <si>
    <t>3426841</t>
  </si>
  <si>
    <t>КОРМ ДЛЯ СОБАК, РАСФАСОВАННЫЙ ДЛЯ РОЗНИЧНОЙ ПРОДАЖИ, БЕЗ СОДЕРЖАНИЯ КРАХМАЛА, БЕЗ СОДЕРЖАНИЯ МОЛОЧНЫХ ПРОДУКТОВ,БЕЗ СОДЕРЖАНИЯ ГМО, В АССОРТИМЕНТЕ</t>
  </si>
  <si>
    <t>10131010/200123/3019542</t>
  </si>
  <si>
    <t>3019542</t>
  </si>
  <si>
    <t>10131010/281223/3426846</t>
  </si>
  <si>
    <t>3426846</t>
  </si>
  <si>
    <t>10131010/200123/3019718</t>
  </si>
  <si>
    <t>3019718</t>
  </si>
  <si>
    <t>10131010/210123/3020521</t>
  </si>
  <si>
    <t>3020521</t>
  </si>
  <si>
    <t>10131010/210123/3020756</t>
  </si>
  <si>
    <t>3020756</t>
  </si>
  <si>
    <t>10131010/050123/3002040</t>
  </si>
  <si>
    <t>3002040</t>
  </si>
  <si>
    <t>СУХОЙ КОРМ ДЛЯ СОБАК И КОШЕК Т.М."GRANDORF",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</si>
  <si>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10131010/050123/3002124</t>
  </si>
  <si>
    <t>3002124</t>
  </si>
  <si>
    <t>СУХОЙ КОРМ ДЛЯ СOБАК Т.М.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</si>
  <si>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10131010/050123/3002101</t>
  </si>
  <si>
    <t>3002101</t>
  </si>
  <si>
    <t>СУХОЙ КОРМ ДЛЯ КОШЕК Т.М. "PREMIER",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</si>
  <si>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10131010/050123/3002183</t>
  </si>
  <si>
    <t>3002183</t>
  </si>
  <si>
    <t>СУХОЙ КОРМ ДЛЯ СОБАК И КОШЕК Т.М. "GRANDORF", РАСФАСОВAННЫЙ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</si>
  <si>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10131010/050123/3001818</t>
  </si>
  <si>
    <t>3001818</t>
  </si>
  <si>
    <t>СУХОЙ КОРМ ДЛЯ СОБАК И КОШЕК Т.M.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</si>
  <si>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10131010/050123/3002246</t>
  </si>
  <si>
    <t>3002246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</si>
  <si>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МОЛОЧНЫЕ ПPОДУКТЫ, ГЛЮКОЗУ И МАЛЬТОДЕКСТРИН.</t>
  </si>
  <si>
    <t>10131010/060123/3002876</t>
  </si>
  <si>
    <t>3002876</t>
  </si>
  <si>
    <t>СУХОЙ КОРМ ДЛЯ КОШЕК Т.М."PREMIER",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</si>
  <si>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10131010/080123/3003613</t>
  </si>
  <si>
    <t>3003613</t>
  </si>
  <si>
    <t>СУХОЙ КОРМ ДЛЯ СОБАК И КОШЕК Т.М. "GRANDORF", РАСФАСОВАННЫЙ В ИНДИВИДУАЛЬНУЮ УПАКОВКУ ДЛЯ РОЗНИЧНОЙ ПРОДАЖИ, СОДЕРЖИТ КРАХМАЛ МEНЕЕ 10%, НЕ СОДЕРЖИТ МОЛОЧНЫЕ ПРОДУКТЫ, ГЛЮКОЗУ И МАЛЬТОДЕКСТРИН.</t>
  </si>
  <si>
    <t>10131010/080123/3003600</t>
  </si>
  <si>
    <t>3003600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</si>
  <si>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МОЛОЧНЫЕ ПРОДУКТЫ, ГЛЮКОЗУ И МАЛЬTОДЕКСТРИН.</t>
  </si>
  <si>
    <t>10131010/261223/3424032</t>
  </si>
  <si>
    <t>3424032</t>
  </si>
  <si>
    <t>10131010/251223/3422320</t>
  </si>
  <si>
    <t>3422320</t>
  </si>
  <si>
    <t>10131010/251223/3422313</t>
  </si>
  <si>
    <t>3422313</t>
  </si>
  <si>
    <t>10131010/080123/3003591</t>
  </si>
  <si>
    <t>3003591</t>
  </si>
  <si>
    <t>СУХОЙ КОРМ ДЛЯ СОБАК И КОШЕК Т.М;"GRANDORF",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</si>
  <si>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10131010/080123/3003482</t>
  </si>
  <si>
    <t>3003482</t>
  </si>
  <si>
    <t>10210/101120/10128/2</t>
  </si>
  <si>
    <t>СПБ, Г.КРОНДШТАДТ</t>
  </si>
  <si>
    <t>КРОНШТАДСКОЕ ШОССЕ,Д.33,ЛИТ.А</t>
  </si>
  <si>
    <t>СУХОЙ КОРМ ДЛЯ СОБАК И КОШЕК Т.М:"GRANDORF",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</si>
  <si>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10131010/080123/3003601</t>
  </si>
  <si>
    <t>3003601</t>
  </si>
  <si>
    <t>СУХОЙ КОРМ ДЛЯ СОБАК И КОШЕК Т.М. "GRANDORF", РАСФАСОВАННЫЙ В ИНДИВИДУАЛЬНУЮ УПAКОВКУ ДЛЯ РОЗНИЧНОЙ ПРОДАЖИ, СОДЕРЖИТ КРАХМАЛ МЕНЕЕ 10%, НЕ СОДЕРЖИТ МОЛОЧНЫЕ ПРОДУКТЫ, ГЛЮКОЗУ И МАЛЬТОДЕКСТРИН.</t>
  </si>
  <si>
    <t>10131010/080123/3003417</t>
  </si>
  <si>
    <t>3003417</t>
  </si>
  <si>
    <t>СУХОЙ КОРМ ДЛЯ СОБАК И КОШЕК Т.М. "GRANDORF", РАСФАСОВАННЫЙ В ИНДИВИДУАЛЬНУЮ УПАКОВКУ ДЛЯ РОЗНИЧНОЙ ПРОДАЖИ, СОДЕРЖИТ КРАXМАЛ МЕНЕЕ 10%, НЕ СОДЕРЖИТ МОЛОЧНЫЕ ПРОДУКТЫ, ГЛЮКОЗУ И МАЛЬТОДЕКСТРИН.</t>
  </si>
  <si>
    <t>10131010/080123/3003620</t>
  </si>
  <si>
    <t>3003620</t>
  </si>
  <si>
    <t>10131010/261223/3424031</t>
  </si>
  <si>
    <t>3424031</t>
  </si>
  <si>
    <t>10131010/090123/3005004</t>
  </si>
  <si>
    <t>3005004</t>
  </si>
  <si>
    <t>10131010/221223/3418479</t>
  </si>
  <si>
    <t>3418479</t>
  </si>
  <si>
    <t>10131010/090123/3005289</t>
  </si>
  <si>
    <t>3005289</t>
  </si>
  <si>
    <t>ДРУЗЯГИНА ИРИНА НИКОЛАЕВНА</t>
  </si>
  <si>
    <t>10131010/210123/3020540</t>
  </si>
  <si>
    <t>3020540</t>
  </si>
  <si>
    <t>10131010/210123/3020614</t>
  </si>
  <si>
    <t>3020614</t>
  </si>
  <si>
    <t>10131010/220123/3021014</t>
  </si>
  <si>
    <t>3021014</t>
  </si>
  <si>
    <t>10131010/220123/3021244</t>
  </si>
  <si>
    <t>3021244</t>
  </si>
  <si>
    <t>10131010/210123/3020766</t>
  </si>
  <si>
    <t>3020766</t>
  </si>
  <si>
    <t>10131010/220123/3021032</t>
  </si>
  <si>
    <t>3021032</t>
  </si>
  <si>
    <t>10131010/230123/3022489</t>
  </si>
  <si>
    <t>3022489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</si>
  <si>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МОЛОЧНЫЕ ПРОДУКТЫ, ГЛЮКОЗУ И МАЛЬТОДЕКCТРИН.</t>
  </si>
  <si>
    <t>10131010/240123/3023851</t>
  </si>
  <si>
    <t>3023851</t>
  </si>
  <si>
    <t>КОРМ ДЛЯ СОБАК, РАСФАСОВАННЫЙ ДЛЯ РОЗНИЧНОЙ ПРОДАЖИ, БЕЗ СОДЕРЖАНИЯ КРАXМАЛА, БЕЗ СОДЕРЖАНИЯ МОЛОЧНЫХ ПРОДУКТОВ,БЕЗ СОДЕРЖАНИЯ ГМО, В АССОРТИМЕНТЕ</t>
  </si>
  <si>
    <t>БЛАГОНРАВОВА ДАРЬЯ ДМИТРИЕВНА</t>
  </si>
  <si>
    <t>10131010/240123/3023832</t>
  </si>
  <si>
    <t>3023832</t>
  </si>
  <si>
    <t>ЯШИНА АННА СЕРГЕЕВНА</t>
  </si>
  <si>
    <t>10131010/250123/3025986</t>
  </si>
  <si>
    <t>3025986</t>
  </si>
  <si>
    <t>КОРМ ДЛЯ СОБАК, РАСФАСОВАННЫЙ ДЛЯ РОЗНИЧНОЙ ПРОДАЖИ, БЕЗ СОДЕРЖАНИЯ КРАХМАЛА, БЕЗ СОДЕРЖАНИЯ МОЛОЧНЫХ ПРОДУКТОВ,БЕЗ СОДЕРЖАНИЯ ГМО, B АССОРТИМЕНТЕ</t>
  </si>
  <si>
    <t>10131010/260123/3027497</t>
  </si>
  <si>
    <t>3027497</t>
  </si>
  <si>
    <t>10131010/260123/3028508</t>
  </si>
  <si>
    <t>3028508</t>
  </si>
  <si>
    <t>10131010/260123/3028024</t>
  </si>
  <si>
    <t>3028024</t>
  </si>
  <si>
    <t>КОРМ ДЛЯ СОБАК,РАСФАСОВАННЫЙ ДЛЯ РОЗНИЧНОЙ ПРОДАЖИ,БЕЗ СОДЕРЖАНИЯ КРАХМАЛА,БЕЗ СОДЕРЖАНИЯ МОЛОЧНЫХ ПРОДУКТОВ,В АССОРТИМЕНТЕ</t>
  </si>
  <si>
    <t>10131010/261223/3424041</t>
  </si>
  <si>
    <t>3424041</t>
  </si>
  <si>
    <t>10131010/251223/3422332</t>
  </si>
  <si>
    <t>3422332</t>
  </si>
  <si>
    <t>10131010/260123/3028499</t>
  </si>
  <si>
    <t>3028499</t>
  </si>
  <si>
    <t>10131010/270123/3029476</t>
  </si>
  <si>
    <t>3029476</t>
  </si>
  <si>
    <t>СУХОЙ КОРМ ДЛЯ СОБАК И КОШЕК Т.М. "GRANDORF", "PREMIER", РАСФАСОВАННЫЙ В ИНДИВИДУАЛЬНУЮ УПАКОВКУ ДЛЯ РОЗНИЧНOЙ ПРОДАЖИ, СОДЕРЖИТ КРАХМАЛ МЕНЕЕ 10%, НЕ СОДЕРЖИТ МОЛОЧНЫЕ ПРОДУКТЫ, ГЛЮКОЗУ И МАЛЬТОДЕКСТРИН.</t>
  </si>
  <si>
    <t>10131010/270123/3029358</t>
  </si>
  <si>
    <t>3029358</t>
  </si>
  <si>
    <t>СУХОЙ КОРМ ДЛЯ СОБАК Т.М;"PREMIER", "GRANDORF", РАСФАСОВАННЫЙ В ИНДИВИДУАЛЬНУЮ УПАКОВКУ ДЛЯ РОЗНИЧНОЙ ПРОДАЖИ, СОДЕРЖИТ КРАХМАЛ МЕНЕЕ 10%, НЕ СОДЕРЖИТ МОЛОЧНЫЕ ПРОДУКТЫ, ГЛЮКОЗУ И МАЛЬТОДЕКСТРИН.</t>
  </si>
  <si>
    <t>10131010/270123/3029354</t>
  </si>
  <si>
    <t>3029354</t>
  </si>
  <si>
    <t>СУХОЙ КОРМ ДЛЯ СОБАК И КОШЕК Т.М. "GRANDORF",РАСФАСОВАННЫЙ В ИНДИВИДУАЛЬНУЮ УПАКОВКУ ДЛЯ РОЗНИЧНОЙ ПРОДАЖИ,СОДЕРЖИТ КРАХМАЛ МЕНЕЕ 10%,НЕ СОДЕРЖИТ МОЛОЧНЫЕ ПРОДУКТЫ,ГЛЮКОЗУ И МАЛЬТОДЕКСТРИН.</t>
  </si>
  <si>
    <t>10131010/280123/3030383</t>
  </si>
  <si>
    <t>3030383</t>
  </si>
  <si>
    <t>10131010/280123/3030561</t>
  </si>
  <si>
    <t>3030561</t>
  </si>
  <si>
    <t>СУХОЙ КОРМ ДЛЯ КОШЕК И СОБАК Т.М. "PREMIER", "GRANDORF", РАСФАСОВАННЫЙ В ИНДИВИДУАЛЬНУЮ УПАКОВКУ ДЛЯ РОЗНИЧНОЙ ПРОДАЖИ, СОДЕРЖИТ КРАХMАЛ МЕНЕЕ 10%, НЕ СОДЕРЖИТ МОЛОЧНЫЕ ПРОДУКТЫ, ГЛЮКОЗУ И МАЛЬТОДЕКСТРИН.</t>
  </si>
  <si>
    <t>10131010/280123/3030670</t>
  </si>
  <si>
    <t>3030670</t>
  </si>
  <si>
    <t>СУХОЙ КОРМ ДЛЯ СОБАК И КОШЕК Т.М. "PREMIER", "GRANDORF", РАСФАСОВАННЫЙ В ИНДИВИДУАЛЬНУЮ УПАКОВКУ ДЛЯ РОЗНИЧНОЙ ПРОДАЖИ, СОДЕРЖИТ КРАХМАЛ МЕНЕЕ 10%, НЕ СОДЕРЖИТ МОЛОЧНЫЕ ПРОДУКТЫ, ГЛЮКOЗУ И МАЛЬТОДЕКСТРИН.</t>
  </si>
  <si>
    <t>10131010/280123/3030443</t>
  </si>
  <si>
    <t>3030443</t>
  </si>
  <si>
    <t>СУХОЙ КОРМ ДЛЯ СОБАК И КОШЕК Т.М. "GRANDORF", РАСФАСОВАННЫЙ В ИНДИВИДУАЛЬНУЮ УПАКОВКУ ДЛЯ РОЗНИЧНОЙ ПРОДАЖИ, СОДЕРЖИТ КРАХМАЛ МЕНЕЕ 10%, НЕ CОДЕРЖИТ МОЛОЧНЫЕ ПРОДУКТЫ, ГЛЮКОЗУ И МАЛЬТОДЕКСТРИН.</t>
  </si>
  <si>
    <t>10131010/251223/3422331</t>
  </si>
  <si>
    <t>3422331</t>
  </si>
  <si>
    <t>10131010/290123/3030993</t>
  </si>
  <si>
    <t>3030993</t>
  </si>
  <si>
    <t>СУХОЙ КОРМ ДЛЯ СОБАК И КОШЕК Т.М. "GRANDORF", РАСФАСОВАННЫЙ В ИНДИВИДУАЛЬНУЮ УПАКОВКУ ДЛЯ РОЗНИЧНОЙ ПРОДАЖИ, СОДЕРЖИТ КРАХМАЛ МЕНЕЕ 10%, НЕ СОДЕРЖИТ МОЛОЧНЫE ПРОДУКТЫ, ГЛЮКОЗУ И МАЛЬТОДЕКСТРИН.</t>
  </si>
  <si>
    <t>10131010/290123/3031069</t>
  </si>
  <si>
    <t>3031069</t>
  </si>
  <si>
    <t>СУХОЙ КОРМ ДЛЯ СОБАК Т.М. "PREMIER", "GRANDORF", РАСФАСОВАННЫЙ В ИНДИВИДУАЛЬНУЮ УПАКОВКУ ДЛЯ РОЗНИЧНОЙ ПРОДАЖИ, СОДЕРЖИТ КРАXМАЛ МЕНЕЕ 10%, НЕ СОДЕРЖИТ МОЛОЧНЫЕ ПРОДУКТЫ, ГЛЮКОЗУ И МАЛЬТОДЕКСТРИН.</t>
  </si>
  <si>
    <t>10131010/300123/3033218</t>
  </si>
  <si>
    <t>3033218</t>
  </si>
  <si>
    <t>КОРМ ДЛЯ СОБАК И КОШЕК, РАСФАСОВАННЫЙ ДЛЯ РОЗНИЧНОЙ ПРОДАЖИ, БЕЗ СОДЕРЖАНИЯ КРАХМАЛА, БЕЗ СОДЕРЖАНИЯ MОЛОЧНЫХ ПРОДУКТОВ, В АССОРТИМЕНТЕ</t>
  </si>
  <si>
    <t>10131010/300123/3031750</t>
  </si>
  <si>
    <t>3031750</t>
  </si>
  <si>
    <t>КОРМ ДЛЯ СОБАК И КОШЕК, РАСФАСОВАННЫЙ ДЛЯ РОЗНИЧНОЙ ПРОДАЖИ, БЕЗ СОДЕРЖАНИЯ КРАХМАЛА, БЕЗ СОДЕРЖАНИЯ МОЛОЧНЫХ ПРOДУКТОВ,БЕЗ СОДЕРЖАНИЯ ГМО, В АССОРТИМЕНТЕ:</t>
  </si>
  <si>
    <t>10131010/030223/3039504</t>
  </si>
  <si>
    <t>3039504</t>
  </si>
  <si>
    <t>СУХОЙ КОРМ ДЛЯ КОШЕК И СОБАК Т.М, "WELLNESS CORE", РАСФАСОВАННЫЙ ДЛЯ РОЗНИЧНОЙ ПРОДАЖИ В ИНДИВИДУАЛЬНУЮ УПАКОВКУ, СОДЕРЖИТ 10 МАС.% ИЛИ МЕНЕЕ КРАХМАЛА, НЕ СОДЕРЖИТ ГЛЮКОЗУ, МОЛОЧНЫЕ ПРОДУКТЫ И МАЛЬТОДЕКСТРИН</t>
  </si>
  <si>
    <t>10228010/040223/3028159</t>
  </si>
  <si>
    <t>10228010</t>
  </si>
  <si>
    <t>3028159</t>
  </si>
  <si>
    <t>KATOEN NATIE CUSTOMS SERVICES</t>
  </si>
  <si>
    <t>2060, , ANTWERPEN, VAN AERDTSTRAAT, 33</t>
  </si>
  <si>
    <t>1137847143664</t>
  </si>
  <si>
    <t>7805619300</t>
  </si>
  <si>
    <t>ООО "РАДИУС"</t>
  </si>
  <si>
    <t>198095, РОССИЯ, САНКТ-ПЕТЕРБУРГ, МАРШАЛА ГОВОРОВА, Д.35, КОРП.4,ЛИТ.И, ОФ.607,</t>
  </si>
  <si>
    <t>40000</t>
  </si>
  <si>
    <t>780501001</t>
  </si>
  <si>
    <t>GB</t>
  </si>
  <si>
    <t>СОЕДИНЕННОЕ КОРОЛЕВСТВО</t>
  </si>
  <si>
    <t>GENT</t>
  </si>
  <si>
    <t>15120013/0052/0000/2/1</t>
  </si>
  <si>
    <t>СУХОЙ КОРМ ДЛЯ КОШЕК Т.М:"APPLAWS", РАСФАСОВАНЫЙ ДЛЯ РОЗНИЧНОЙ ПРОДАЖИ В ИНДИВИДУАЛЬНУЮ УПАКОВКУ, СОДЕРЖИТ 10 МАС.% ИЛИ МЕНЕЕ КРАХМАЛА, НЕ СОДЕРЖИТ МОЛОЧНЫЕ ПРОДУКТЫ</t>
  </si>
  <si>
    <t>НИКИФОРОВА ТАТЬЯНА ВАЛЕРЬЕВНА</t>
  </si>
  <si>
    <t>10228010/040223/3028125</t>
  </si>
  <si>
    <t>3028125</t>
  </si>
  <si>
    <t>СУХОЙ КОРМ ДЛЯ КОШЕК Т.М. "APPLAWS", РАСФАСОВАНЫЙ ДЛЯ РОЗНИЧНОЙ ПРОДАЖИ В ИНДИВИДУАЛЬНУЮ УПАКОВКУ, СОДЕРЖИT 10 МАС.% ИЛИ МЕНЕЕ КРАХМАЛА, НЕ СОДЕРЖИТ МОЛОЧНЫЕ ПРОДУКТЫ</t>
  </si>
  <si>
    <t>10131010/281223/3426840</t>
  </si>
  <si>
    <t>3426840</t>
  </si>
  <si>
    <t>9042, , GHENT, TERDONKKAAI 16,</t>
  </si>
  <si>
    <t>10131010/211223/3417869</t>
  </si>
  <si>
    <t>3417869</t>
  </si>
  <si>
    <t>10228010/050223/3028595</t>
  </si>
  <si>
    <t>3028595</t>
  </si>
  <si>
    <t>СУХОЙ КОРМ ДЛЯ КОШЕК Т.М. "APPLAWS", РAСФАСОВАННЫЙ ДЛЯ РОЗНИЧНОЙ ПРОДАЖИ В ИНДИВИДУАЛЬНУЮ УПАКОВКУ, СОДЕРЖИТ МЕНЕЕ 10% КРАХМАЛА, НЕ СОДЕРЖИТ МОЛОЧНЫЕ ПРОДУКТЫ</t>
  </si>
  <si>
    <t>10228010/050223/3028355</t>
  </si>
  <si>
    <t>3028355</t>
  </si>
  <si>
    <t>СУХОЙ КОРМ ДЛЯ КОШЕК T.М. "APPLAWS", РАСФАСОВАНЫЙ ДЛЯ РОЗНИЧНОЙ ПРОДАЖИ В ИНДИВИДУАЛЬНУЮ УПАКОВКУ, СОДЕРЖИТ 10 МАС.% ИЛИ МЕНЕЕ КРАХМАЛА, НЕ СОДЕРЖИТ МОЛОЧНЫЕ ПРОДУКТЫ</t>
  </si>
  <si>
    <t>10228010/050223/3028527</t>
  </si>
  <si>
    <t>3028527</t>
  </si>
  <si>
    <t>СУХОЙ КОРМ ДЛЯ КОШЕК И СОБАК Т.М. "APPLAWS", РАСФАСОВАННЫЙ ДЛЯ РОЗНИЧНОЙ ПРОДАЖИ В ИНДИВИДУАЛЬНУЮ УПАКОВКУ,СОДЕРЖИТ МЕНЕЕ 10% КРАХМАЛА, НЕ СОДЕРЖИТ MОЛОЧНЫЕ ПРОДУКТЫ</t>
  </si>
  <si>
    <t>10131010/060223/3042376</t>
  </si>
  <si>
    <t>3042376</t>
  </si>
  <si>
    <t>КОРМ ДЛЯ СОБАК И КОШЕК, РАСФАСОВАННЫЙ ДЛЯ РОЗНИЧНОЙ ПРОДАЖИ, БЕЗ СОДЕРЖАНИЯ КРАХMАЛА, БЕЗ СОДЕРЖАНИЯ МОЛОЧНЫХ ПРОДУКТОВ,БЕЗ СОДЕРЖАНИЯ ГМО, В АССОРТИМЕНТЕ</t>
  </si>
  <si>
    <t>ЧУДИНА ЭЛЬВИРА РАИСОВНА</t>
  </si>
  <si>
    <t>10131010/060223/3041071</t>
  </si>
  <si>
    <t>3041071</t>
  </si>
  <si>
    <t>КОРМ ДЛЯ СОБАК И КОШЕК, РАСФАСОВАННЫЙ ДЛЯ РОЗНИЧНОЙ ПРОДАЖИ, БЕЗ СОДЕРЖАНИЯ КРАХМАЛА, БЕЗ СОДЕРЖАНИЯ МОЛОЧНЫХ ПРОДУКТОВ, В АССОРТИМЕНТЕ</t>
  </si>
  <si>
    <t>10131010/060223/3041507</t>
  </si>
  <si>
    <t>3041507</t>
  </si>
  <si>
    <t>UNITED PETFOOD PRODUCERS BY ORDER LUXEMBURG</t>
  </si>
  <si>
    <t>КОРМ ДЛЯ СОБАК И КОШЕК, РАСФАСОВАННЫЙ ДЛЯ РОЗНИЧНОЙ ПРОДАЖИ, БЕЗ СОДЕРЖАНИЯ КРАХМАЛА, БЕЗ СОДЕРЖАНИЯ МОЛОЧНЫХ ПРОДУКТОВ, B АССОРТИМЕНТЕ:</t>
  </si>
  <si>
    <t>10131010/221223/3419545</t>
  </si>
  <si>
    <t>3419545</t>
  </si>
  <si>
    <t>10131010/070223/3043893</t>
  </si>
  <si>
    <t>3043893</t>
  </si>
  <si>
    <t>КОРМ ДЛЯ СОБАК И КОШЕК, РАСФАСОВАННЫЙ ДЛЯ PОЗНИЧНОЙ ПРОДАЖИ, БЕЗ СОДЕРЖАНИЯ КРАХМАЛА, БЕЗ СОДЕРЖАНИЯ МОЛОЧНЫХ ПРОДУКТОВ, В АССОРТИМЕНТЕ:</t>
  </si>
  <si>
    <t>10131010/070223/3043224</t>
  </si>
  <si>
    <t>3043224</t>
  </si>
  <si>
    <t>КОРМ ДЛЯ СОБАК И КОШЕК, РАСФАСОВАННЫЙ ДЛЯ РОЗНИЧНОЙ ПРОДАЖИ; БЕЗ СОДЕРЖАНИЯ КРАХМАЛА, БЕЗ СОДЕРЖАНИЯ МОЛОЧНЫХ ПРОДУКТОВ,БЕЗ СОДЕРЖАНИЯ ГМО, В АССОРТИМЕНТЕ</t>
  </si>
  <si>
    <t>10131010/070223/3044340</t>
  </si>
  <si>
    <t>3044340</t>
  </si>
  <si>
    <t>10131010/080223/3044915</t>
  </si>
  <si>
    <t>3044915</t>
  </si>
  <si>
    <t>10131010/010223/3036072</t>
  </si>
  <si>
    <t>3036072</t>
  </si>
  <si>
    <t>10131010/010223/3036543</t>
  </si>
  <si>
    <t>3036543</t>
  </si>
  <si>
    <t>КОРМ ДЛЯ СОБАК И КОШЕК, РАСФАСОВАННЫЙ ДЛЯ РОЗНИЧНОЙ ПРОДАЖИ, БЕЗ СОДЕРЖАНИЯ КРАХМАЛА, БЕЗ СОДЕРЖАНИЯ МОЛОЧНЫХ ПРОДУКТОВ, В АСCОРТИМЕНТЕ</t>
  </si>
  <si>
    <t>10131010/010223/3036551</t>
  </si>
  <si>
    <t>3036551</t>
  </si>
  <si>
    <t>КОРМ ДЛЯ СОБАК И КОШЕК, РАСФАСОВАННЫЙ ДЛЯ РОЗНИЧНОЙ ПРОДАЖИ, БЕЗ СОДЕРЖАНИЯ КРАХМАЛА, БЕЗ СОДЕРЖАНИЯ МОЛОЧНЫХ ПРОДУКТОВ, В АССОPТИМЕНТЕ,В АССОРТИМЕНТЕ:</t>
  </si>
  <si>
    <t>10131010/010223/3036531</t>
  </si>
  <si>
    <t>3036531</t>
  </si>
  <si>
    <t>КОРМ ДЛЯ СОБАК И КОШЕК, РАСФАСОВАННЫЙ ДЛЯ РОЗНИЧНОЙ ПРОДАЖИ, БЕЗ СОДЕРЖАНИЯ КРАXМАЛА, БЕЗ СОДЕРЖАНИЯ МОЛОЧНЫХ ПРОДУКТОВ,БЕЗ СОДЕРЖАНИЯ ГМО, В АССОРТИМЕНТЕ</t>
  </si>
  <si>
    <t>10131010/251223/3422346</t>
  </si>
  <si>
    <t>3422346</t>
  </si>
  <si>
    <t>10131010/221223/3419372</t>
  </si>
  <si>
    <t>3419372</t>
  </si>
  <si>
    <t>10131010/010223/3036524</t>
  </si>
  <si>
    <t>3036524</t>
  </si>
  <si>
    <t>10131010/251223/3422314</t>
  </si>
  <si>
    <t>3422314</t>
  </si>
  <si>
    <t>10131010/010223/3035828</t>
  </si>
  <si>
    <t>3035828</t>
  </si>
  <si>
    <t>КОРМ ДЛЯ СОБАК И КОШЕК, РАСФАСОВАННЫЙ ДЛЯ РОЗНИЧНОЙ ПРОДАЖИ, БЕЗ СОДЕРЖАНИЯ КРАХМАЛА, БЕЗ СОДЕРЖАНИЯ МОЛОЧHЫХ ПРОДУКТОВ, В АССОРТИМЕНТЕ:</t>
  </si>
  <si>
    <t>10131010/010223/3036882</t>
  </si>
  <si>
    <t>3036882</t>
  </si>
  <si>
    <t>B-1831, LEONARDO DA VINCILAAN, 19, DIEGEM, .</t>
  </si>
  <si>
    <t>СУХОЙ КОРМ ДЛЯ КОШЕК И СОБАК Т.М. "WELLNESS CORE", РАСФАСОВАННЫЙ ДЛЯ РОЗНИЧНОЙ ПРОДАЖИ В ИНДИВИДУАЛЬНУЮ УПАКОВКУ, СОДЕРЖИТ 10 МАС.% ИЛИ МЕНЕE КРАХМАЛА, НЕ СОДЕРЖИТ ГЛЮКОЗУ, МОЛОЧНЫЕ ПРОДУКТЫ И МАЛЬТОДЕКСТРИН</t>
  </si>
  <si>
    <t>10131010/020223/3037780</t>
  </si>
  <si>
    <t>3037780</t>
  </si>
  <si>
    <t>КОРМ ДЛЯ СОБАК И КОШЕК, РАСФАСОВАННЫЙ ДЛЯ РОЗНИЧНОЙ ПРОДАЖИ, БЕЗ СОДEРЖАНИЯ КРАХМАЛА, БЕЗ СОДЕРЖАНИЯ МОЛОЧНЫХ ПРОДУКТОВ,БЕЗ СОДЕРЖАНИЯ ГМО, В АССОРТИМЕНТЕ</t>
  </si>
  <si>
    <t>10131010/020223/3037348</t>
  </si>
  <si>
    <t>3037348</t>
  </si>
  <si>
    <t>10131010/020223/3037349</t>
  </si>
  <si>
    <t>3037349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</si>
  <si>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АССОРTИМЕНТЕ</t>
  </si>
  <si>
    <t>10131010/020223/3037518</t>
  </si>
  <si>
    <t>3037518</t>
  </si>
  <si>
    <t>10131010/020223/3037633</t>
  </si>
  <si>
    <t>3037633</t>
  </si>
  <si>
    <t>10131010/080223/3045333</t>
  </si>
  <si>
    <t>3045333</t>
  </si>
  <si>
    <t>КОРМ ДЛЯ СОБАК И КОШЕК, РАСФАСОВАННЫЙ ДЛЯ РОЗНИЧНОЙ ПРОДАЖИ, БЕЗ СОДЕРЖАHИЯ КРАХМАЛА, БЕЗ СОДЕРЖАНИЯ МОЛОЧНЫХ ПРОДУКТОВ,БЕЗ СОДЕРЖАНИЯ ГМО, В АССОРТИМЕНТЕ</t>
  </si>
  <si>
    <t>10131010/080223/3044884</t>
  </si>
  <si>
    <t>3044884</t>
  </si>
  <si>
    <t>10131010/090223/3046024</t>
  </si>
  <si>
    <t>3046024</t>
  </si>
  <si>
    <t>КОРМ ДЛЯ СОБАК И КОШЕК, РАСФАСОВАННЫЙ ДЛЯ РОЗНИЧНОЙ ПРОДАЖИ, БЕЗ СОДЕРЖАНИЯ КРАХМАЛА, БЕЗ СОДЕРЖАНИЯ МОЛОЧНЫХ ПРОДУКТОB, В АССОРТИМЕНТЕ:</t>
  </si>
  <si>
    <t>10131010/181223/3412883</t>
  </si>
  <si>
    <t>3412883</t>
  </si>
  <si>
    <t>10131010/090223/3046168</t>
  </si>
  <si>
    <t>3046168</t>
  </si>
  <si>
    <t>КОРМ ДЛЯ СОБАК И КОШЕК, РАСФАСОВАННЫЙ ДЛЯ РОЗНИЧНОЙ ПРОДАЖИ, БЕЗ СОДЕРЖАНИЯ КРАХМАЛА, БЕЗ СОДЕРЖАНИЯ МОЛОЧНЫХ ПРОДУКТОB,БЕЗ СОДЕРЖАНИЯ ГМО, В АССОРТИМЕНТЕ</t>
  </si>
  <si>
    <t>10131010/090223/3046160</t>
  </si>
  <si>
    <t>3046160</t>
  </si>
  <si>
    <t>КОРМ ДЛЯ СОБАК И КОШЕК; РАСФАСОВАННЫЙ ДЛЯ РОЗНИЧНОЙ ПРОДАЖИ, БЕЗ СОДЕРЖАНИЯ КРАХМАЛА, БЕЗ СОДЕРЖАНИЯ МОЛОЧНЫХ ПРОДУКТОВ, В АССОРТИМЕНТЕ:</t>
  </si>
  <si>
    <t>10131010/090223/3046209</t>
  </si>
  <si>
    <t>3046209</t>
  </si>
  <si>
    <t>КОРМ ДЛЯ СОБАК И КОШЕК,РАСФАСОВАННЫЙ ДЛЯ РОЗНИЧНОЙ ПРОДАЖИ,БЕЗ СОДЕРЖАНИЯ КРАХМАЛА,БЕЗ СОДЕРЖАНИЯ МОЛОЧНЫХ ПРОДУКТОВ,В АССОРТИМЕНТЕ</t>
  </si>
  <si>
    <t>10131010/100223/3048214</t>
  </si>
  <si>
    <t>3048214</t>
  </si>
  <si>
    <t>10131010/100223/3048061</t>
  </si>
  <si>
    <t>3048061</t>
  </si>
  <si>
    <t>10131010/130223/3051593</t>
  </si>
  <si>
    <t>3051593</t>
  </si>
  <si>
    <t>10131010/181223/3412887</t>
  </si>
  <si>
    <t>3412887</t>
  </si>
  <si>
    <t>10131010/130223/3051571</t>
  </si>
  <si>
    <t>3051571</t>
  </si>
  <si>
    <t>10131010/130223/3051614</t>
  </si>
  <si>
    <t>3051614</t>
  </si>
  <si>
    <t>9042, ., GENT, TERDONKKAAI 16,</t>
  </si>
  <si>
    <t>10131010/130223/3051367</t>
  </si>
  <si>
    <t>3051367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</si>
  <si>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АССОРTИМЕНТЕ:</t>
  </si>
  <si>
    <t>10131010/130223/3050230</t>
  </si>
  <si>
    <t>3050230</t>
  </si>
  <si>
    <t>КОРМ ДЛЯ СОБАК И КОШЕК, РАСФАСОВАННЫЙ ДЛЯ РОЗНИЧНОЙ ПРОДАЖИ, БЕЗ СОДЕРЖАНИЯ КРАХМАЛА; БЕЗ СОДЕРЖАНИЯ МОЛОЧНЫХ ПРОДУКТОВ, В АССОРТИМЕНТЕ:</t>
  </si>
  <si>
    <t>10131010/140223/3052310</t>
  </si>
  <si>
    <t>3052310</t>
  </si>
  <si>
    <t>КОРМ ДЛЯ СОБАК И КОШЕК, РАСФАСОВАННЫЙ ДЛЯ РОЗНИЧНОЙ ПРОДАЖИ, БЕЗ СОДЕРЖАНИЯ КРАХМАЛА, БЕЗ СОДЕРЖАНИЯ МОЛОЧНЫХ ПРОДУКТОВ, В АССОРТИМЕНТЕ,В АССОРТИМЕНТЕ</t>
  </si>
  <si>
    <t>10131010/151223/3410757</t>
  </si>
  <si>
    <t>3410757</t>
  </si>
  <si>
    <t>10131010/201223/3416453</t>
  </si>
  <si>
    <t>3416453</t>
  </si>
  <si>
    <t>10131010/140223/3052398</t>
  </si>
  <si>
    <t>3052398</t>
  </si>
  <si>
    <t>КОРМ ДЛЯ СОБАК И КОШЕК, РАСФАСОВАННЫЙ ДЛЯ РОЗНИЧНОЙ ПРОДАЖИ, БЕЗ СОДЕРЖАНИЯ КРАХМАЛА, БЕЗ СОДEРЖАНИЯ МОЛОЧНЫХ ПРОДУКТОВ,БЕЗ СОДЕРЖАНИЯ ГМО, В АССОРТИМЕНТЕ:</t>
  </si>
  <si>
    <t>10131010/140223/3053017</t>
  </si>
  <si>
    <t>3053017</t>
  </si>
  <si>
    <t>КОРМ ДЛЯ СОБАК И КОШЕК, РАСФАСОВАННЫЙ ДЛЯ РОЗНИЧНОЙ ПРОДАЖИ, БЕЗ СОДЕРЖАНИЯ КРАХМАЛА, БЕЗ СОДЕPЖАНИЯ МОЛОЧНЫХ ПРОДУКТОВ,БЕЗ СОДЕРЖАНИЯ ГМО, В АССОРТИМЕНТЕ:</t>
  </si>
  <si>
    <t>10131010/181223/3413517</t>
  </si>
  <si>
    <t>3413517</t>
  </si>
  <si>
    <t>10131010/150223/3054524</t>
  </si>
  <si>
    <t>3054524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</si>
  <si>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АССОPТИМЕНТЕ</t>
  </si>
  <si>
    <t>10131010/150223/3054529</t>
  </si>
  <si>
    <t>3054529</t>
  </si>
  <si>
    <t>КОРМ ДЛЯ СОБАК И КОШЕК, РАСФАСОВАННЫЙ ДЛЯ РОЗНИЧНОЙ ПРОДАЖИ, БЕЗ СОДЕРЖАНИЯ КРАХМАЛА, БЕЗ СОДЕРЖАНИЯ МОЛОЧНЫХ ПРОДУКТОВ, В АССОРTИМЕНТЕ:</t>
  </si>
  <si>
    <t>10131010/151223/3410761</t>
  </si>
  <si>
    <t>3410761</t>
  </si>
  <si>
    <t>10013160/150223/3071305</t>
  </si>
  <si>
    <t>10013160</t>
  </si>
  <si>
    <t>3071305</t>
  </si>
  <si>
    <t>1831, , DIEGEM, LEONARDO DA VINCILAAN 19,</t>
  </si>
  <si>
    <t>115230, , Г. МОСКВА, ВАРШАВСКОЕ ШОССЕ Д.42, КОМНАТА 3134,</t>
  </si>
  <si>
    <t>10013/200111/10118/8</t>
  </si>
  <si>
    <t>МОСКОВСКАЯ ОБЛ., ОДИНЦОВСКИЙ Р-Н</t>
  </si>
  <si>
    <t>С. АКУЛОВО (Г.П. ОДИНЦОВО)</t>
  </si>
  <si>
    <t>УЛ. НОВАЯ, Д. 137</t>
  </si>
  <si>
    <t>10013010 т/п Акуловский</t>
  </si>
  <si>
    <t>КОРМ СУХОЙ ПОЛНОРАЦИОННЫЙ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</t>
  </si>
  <si>
    <t>0952-22-875</t>
  </si>
  <si>
    <t>СНОПКОВ ДМИТРИЙ СЕРГЕЕВИЧ</t>
  </si>
  <si>
    <t>КОРМ СУХОЙ ПОЛНОРАЦИОННЫЙ ДЛЯ СОБАК ИЛИ КОШЕК, РАСФАСОВАННЫЙ, СОДЕРЖАЩИЙ БОЛЕЕ 10 МАС.%,НО НЕ БОЛЕЕ 30 МАС.% КРАХМАЛА, НЕ СОДЕРЖАЩИЙ МОЛОЧНЫХ ПРОДУКТОВ ИЛИ СОДЕРЖАЩИЙ МЕНЕЕ 10 МАС.% ТАКИХ ПРОДУКТОВ:</t>
  </si>
  <si>
    <t>2</t>
  </si>
  <si>
    <t>2309103100</t>
  </si>
  <si>
    <t>10131010/160223/3055831</t>
  </si>
  <si>
    <t>3055831</t>
  </si>
  <si>
    <t>10131010/191223/3415086</t>
  </si>
  <si>
    <t>3415086</t>
  </si>
  <si>
    <t>10131010/151223/3411227</t>
  </si>
  <si>
    <t>3411227</t>
  </si>
  <si>
    <t>10131010/160223/3056614</t>
  </si>
  <si>
    <t>3056614</t>
  </si>
  <si>
    <t>10131010/160223/3055811</t>
  </si>
  <si>
    <t>3055811</t>
  </si>
  <si>
    <t>10131010/160223/3055806</t>
  </si>
  <si>
    <t>3055806</t>
  </si>
  <si>
    <t>10013160/170223/3074924</t>
  </si>
  <si>
    <t>3074924</t>
  </si>
  <si>
    <t>КОРМ СУХОЙ ДЛЯ КОШЕК, РАСФАСОВАННЫЙ, СОДЕРЖАЩИЙ БОЛЕЕ 10 МАС.%,НО НЕ БОЛЕЕ 30 МАС.% КРАХМАЛА, НЕ СОДЕРЖАЩИЙ МОЛОЧНЫХ ПРОДУКТОВ ИЛИ СОДЕРЖАЩИЙ МЕНЕЕ 10 МАС.% ТАКИХ ПРОДУКTОВ</t>
  </si>
  <si>
    <t>СКУДАРЕВ АЛЕКСАНДР ВЛАДИМИРОВИЧ</t>
  </si>
  <si>
    <t>10131010/181223/3412864</t>
  </si>
  <si>
    <t>3412864</t>
  </si>
  <si>
    <t>КОРМ ДЛЯ СОБАК, РАСФАСОВАННЫЙ ДЛЯ РОЗНИЧНОЙ ПРОДАЖИ, БЕЗ СОДЕРЖАНИЯ КРАХМАЛА, БЕЗ СОДЕРЖАНИЯ МОЛОЧНЫХ ПРОДУКТОВ,БЕЗ СОДЕРЖАНИЯ ГМО, В АССОРТИМЕНТЕ:</t>
  </si>
  <si>
    <t>10131010/151223/3411324</t>
  </si>
  <si>
    <t>3411324</t>
  </si>
  <si>
    <t>10131010/151223/3411231</t>
  </si>
  <si>
    <t>3411231</t>
  </si>
  <si>
    <t>КОРМ СУХОЙ ДЛЯ СОБАК ИЛИ КОШЕК, РАСФАСОВАННЫЙ, НЕ СОДЕРЖАЩИЙ КРАХМАЛ, ИЛИ СОДEРЖАЩИЙ 10 МАС.% ИЛИ МЕНЕЕ КРАХМАЛА, НЕ СОДЕРЖАЩИЙ МОЛОЧНЫХ ПРОДУКТОВ ИЛИ СОДЕРЖАЩИЙ МЕНЕЕ 10 МАС.% МОЛОЧНЫХ ПРОДУКТОВ</t>
  </si>
  <si>
    <t>10131010/170223/3057234</t>
  </si>
  <si>
    <t>3057234</t>
  </si>
  <si>
    <t>10131010/170223/3057721</t>
  </si>
  <si>
    <t>3057721</t>
  </si>
  <si>
    <t>10131010/181223/3413636</t>
  </si>
  <si>
    <t>3413636</t>
  </si>
  <si>
    <t>10131010/200223/3059675</t>
  </si>
  <si>
    <t>3059675</t>
  </si>
  <si>
    <t>КОРМ ДЛЯ СОБАK И КОШЕК, РАСФАСОВАННЫЙ ДЛЯ РОЗНИЧНОЙ ПРОДАЖИ, БЕЗ СОДЕРЖАНИЯ КРАХМАЛА, БЕЗ СОДЕРЖАНИЯ МОЛОЧНЫХ ПРОДУКТОВ,БЕЗ СОДЕРЖАНИЯ ГМО, В АССОРТИМЕНТЕ:</t>
  </si>
  <si>
    <t>10013160/200223/3078871</t>
  </si>
  <si>
    <t>3078871</t>
  </si>
  <si>
    <t>1831, MACHELEN, DIEGEM, LEONARDO DA VINCILAAN 19- MC SQUARE,</t>
  </si>
  <si>
    <t>КОРМ ДЛЯ СОБАК ИЛИ КОШЕК, РАСФАСОВАННЫЙ, НЕ СОДЕРЖАЩИЙ КРАХМАЛ, ИЛИ СОДЕРЖАЩИЙ 10 МАС.% ИЛИ МЕНЕЕ КРАХМAЛА, НЕ СОДЕРЖАЩИЙ МОЛОЧНЫХ ПРОДУКТОВ ИЛИ СОДЕРЖАЩИЙ МЕНЕЕ 10 МАС.% МОЛОЧНЫХ ПРОДУКТОВ:</t>
  </si>
  <si>
    <t>СВЕТЧИКОВА АНАСТАСИЯ АНДРЕЕВНА</t>
  </si>
  <si>
    <t>КОРМ ДЛЯ СОБАК ИЛИ КОШЕК, РАСФАСОВАННЫЙ, СОДЕРЖАЩИЙ БОЛЕЕ 10 МАС.%,НО НЕ БОЛЕЕ 30 МАС,% КРАХМАЛА, НЕ СОДЕРЖАЩИЙ МОЛОЧНЫХ ПРОДУКТОВ ИЛИ СОДЕРЖАЩИЙ МЕНЕЕ 10 МАС.% ТАКИХ ПРОДУКТОВ:</t>
  </si>
  <si>
    <t>10131010/210223/3062783</t>
  </si>
  <si>
    <t>3062783</t>
  </si>
  <si>
    <t>10131010/210223/3062327</t>
  </si>
  <si>
    <t>3062327</t>
  </si>
  <si>
    <t>КОРМ ДЛЯ СОБАК И КОШЕК, РАСФАСОВАННЫЙ ДЛЯ РОЗНИЧНОЙ ПРОДАЖИ, БЕЗ СОДЕРЖАНИЯ КРАХМАЛА, БЕЗ СОДЕРЖАНИЯ МОЛОЧНЫХ ПРОДУКТOВ,БЕЗ СОДЕРЖАНИЯ ГМО, В АССОРТИМЕНТЕ:</t>
  </si>
  <si>
    <t>10131010/210223/3062758</t>
  </si>
  <si>
    <t>3062758</t>
  </si>
  <si>
    <t>10131010/220223/3064898</t>
  </si>
  <si>
    <t>3064898</t>
  </si>
  <si>
    <t>10131010/220223/3063374</t>
  </si>
  <si>
    <t>3063374</t>
  </si>
  <si>
    <t>10131010/220223/3063792</t>
  </si>
  <si>
    <t>3063792</t>
  </si>
  <si>
    <t>КОРМ ДЛЯ СОБАК И КОШЕК,РАСФАСОВАННЫЙ ДЛЯ РОЗНИЧНОЙ ПРОДАЖИ,БЕЗ СОДЕРЖАНИЯ КРАХМАЛА,БЕЗ СОДЕРЖАНИЯ МОЛОЧНЫХ ПРОДУКТОВ,БЕЗ СОДЕРЖАНИЯ ГМО,В АССОРТИМЕНТЕ</t>
  </si>
  <si>
    <t>10131010/220223/3064708</t>
  </si>
  <si>
    <t>3064708</t>
  </si>
  <si>
    <t>КОРМ ДЛЯ СОБАК И КОШЕК, РАСФАСОВАННЫЙ ДЛЯ РОЗНИЧНОЙ ПРОДАЖИ, БЕЗ СОДЕРЖАНИЯ КРАХMАЛА, БЕЗ СОДЕРЖАНИЯ МОЛОЧНЫХ ПРОДУКТОВ, В АССОРТИМЕНТЕ:</t>
  </si>
  <si>
    <t>10131010/181223/3413190</t>
  </si>
  <si>
    <t>3413190</t>
  </si>
  <si>
    <t>10131010/270223/3067013</t>
  </si>
  <si>
    <t>3067013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</si>
  <si>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АССОРТИМЕНTЕ</t>
  </si>
  <si>
    <t>10131010/270223/3067833</t>
  </si>
  <si>
    <t>3067833</t>
  </si>
  <si>
    <t>10131010/270223/3068244</t>
  </si>
  <si>
    <t>3068244</t>
  </si>
  <si>
    <t>КОРМ ДЛЯ СОБАК И КОШЕК, РАСФАСОВАННЫЙ ДЛЯ РОЗНИЧНОЙ ПРОДАЖИ, БЕЗ СОДЕРЖАНИЯ КРАХМАЛА, БЕЗ СОДЕРЖАНИЯ МОЛОЧНЫХ ПРОДУКТОВ;БЕЗ СОДЕРЖАНИЯ ГМО, В АССОРТИМЕНТЕ</t>
  </si>
  <si>
    <t>10131010/270223/3067550</t>
  </si>
  <si>
    <t>3067550</t>
  </si>
  <si>
    <t>КОРМ ДЛЯ СОБАК И КОШЕК, РАСФАСОВАННЫЙ ДЛЯ РОЗНИЧНОЙ ПPОДАЖИ, БЕЗ СОДЕРЖАНИЯ КРАХМАЛА, БЕЗ СОДЕРЖАНИЯ МОЛОЧНЫХ ПРОДУКТОВ, В АССОРТИМЕНТЕ:</t>
  </si>
  <si>
    <t>10131010/191223/3414767</t>
  </si>
  <si>
    <t>3414767</t>
  </si>
  <si>
    <t>10131010/270223/3068131</t>
  </si>
  <si>
    <t>3068131</t>
  </si>
  <si>
    <t>10131010/270223/3067029</t>
  </si>
  <si>
    <t>3067029</t>
  </si>
  <si>
    <t>10131010/270223/3067930</t>
  </si>
  <si>
    <t>3067930</t>
  </si>
  <si>
    <t>КОРМ ДЛЯ СОБАК И КОШЕК, РАСФАСОВАННЫЙ ДЛЯ РОЗНИЧНОЙ ПРОДАЖИ, БЕЗ СОДЕРЖАНИЯ КРАХМАЛА; БЕЗ СОДЕРЖАНИЯ МОЛОЧНЫХ ПРОДУКТОВ,БЕЗ СОДЕРЖАНИЯ ГМО, В АССОРТИМЕНТЕ</t>
  </si>
  <si>
    <t>10013160/270223/3089072</t>
  </si>
  <si>
    <t>3089072</t>
  </si>
  <si>
    <t>КОРМ СУХОЙ ПОЛНОРАЦИОННЫЙ ДЛЯ СОБАК ИЛИ КОШЕК, РАСФАСОВАННЫЙ, НЕ СОДЕРЖАЩИЙ КРАХМАЛ, ИЛИ СОДЕРЖАЩИЙ 10 МАС.% ИЛИ МЕНЕЕ КРАХМАЛА, НЕ СОДЕРЖАЩИЙ МОЛОЧНЫХ ПРОДУКTОВ ИЛИ СОДЕРЖАЩИЙ МЕНЕЕ 10 МАС.% МОЛОЧНЫХ ПРОДУКТОВ:</t>
  </si>
  <si>
    <t>10131010/181223/3413632</t>
  </si>
  <si>
    <t>3413632</t>
  </si>
  <si>
    <t>10131010/270223/3066945</t>
  </si>
  <si>
    <t>3066945</t>
  </si>
  <si>
    <t>10131010/270223/3068314</t>
  </si>
  <si>
    <t>3068314</t>
  </si>
  <si>
    <t>КОРМ ДЛЯ СOБАК И КОШЕК, РАСФАСОВАННЫЙ ДЛЯ РОЗНИЧНОЙ ПРОДАЖИ, БЕЗ СОДЕРЖАНИЯ КРАХМАЛА, БЕЗ СОДЕРЖАНИЯ МОЛОЧНЫХ ПРОДУКТОВ, В АССОРТИМЕНТЕ:</t>
  </si>
  <si>
    <t>10131010/181223/3413511</t>
  </si>
  <si>
    <t>3413511</t>
  </si>
  <si>
    <t>10131010/181223/3413509</t>
  </si>
  <si>
    <t>3413509</t>
  </si>
  <si>
    <t>10131010/270223/3067051</t>
  </si>
  <si>
    <t>3067051</t>
  </si>
  <si>
    <t>КОРМ ДЛЯ СОБАК,РАСФАСОВАННЫЙ ДЛЯ РОЗНИЧНОЙ ПРОДАЖИ,БЕЗ СОДЕРЖАНИЯ КРАХМАЛА,БЕЗ СОДЕРЖАНИЯ МОЛОЧНЫХ ПРОДУКТОВ,БЕЗ СОДЕРЖАНИЯ ГМО,В АССОРТИМЕНТЕ</t>
  </si>
  <si>
    <t>10131010/270223/3067658</t>
  </si>
  <si>
    <t>3067658</t>
  </si>
  <si>
    <t>КОРМ ДЛЯ СОБАК И КОШЕК, РАСФАСОВАННЫЙ ДЛЯ РОЗНИЧНОЙ ПРОДАЖИ, БЕЗ СОДЕРЖАНИЯ КРАХМАЛА, БЕЗ СОДЕРЖАНИЯ МОЛОЧНЫХ ПРОДУКТОВ, В АССОРТИMЕНТЕ</t>
  </si>
  <si>
    <t>10131010/270223/3067017</t>
  </si>
  <si>
    <t>3067017</t>
  </si>
  <si>
    <t>10131010/230323/5002151</t>
  </si>
  <si>
    <t>5002151</t>
  </si>
  <si>
    <t>КОРМ ДЛЯ СОБАК И КОШЕК, РАСФАСОВАННЫЙ ДЛЯ РОЗНИЧНОЙ ПРОДАЖИ, БЕЗ СОДЕРЖАНИЯ КРАXМАЛА, БЕЗ СОДЕРЖАНИЯ МОЛОЧНЫХ ПРОДУКТОВ, В АССОРТИМЕНТЕ:</t>
  </si>
  <si>
    <t>10131010/220323/3099965</t>
  </si>
  <si>
    <t>3099965</t>
  </si>
  <si>
    <t>10131010/181223/3412816</t>
  </si>
  <si>
    <t>3412816</t>
  </si>
  <si>
    <t>10131010/230323/3100642</t>
  </si>
  <si>
    <t>3100642</t>
  </si>
  <si>
    <t>КОРМ ДЛЯ СОБАК И КОШЕК, РАСФАСОВАННЫЙ ДЛЯ РОЗНИЧHОЙ ПРОДАЖИ, БЕЗ СОДЕРЖАНИЯ КРАХМАЛА, БЕЗ СОДЕРЖАНИЯ МОЛОЧНЫХ ПРОДУКТОВ, В АССОРТИМЕНТЕ</t>
  </si>
  <si>
    <t>10131010/230323/3100510</t>
  </si>
  <si>
    <t>3100510</t>
  </si>
  <si>
    <t>10131010/230323/3101680</t>
  </si>
  <si>
    <t>3101680</t>
  </si>
  <si>
    <t>10131010/181223/3412954</t>
  </si>
  <si>
    <t>3412954</t>
  </si>
  <si>
    <t>10131010/240323/3102394</t>
  </si>
  <si>
    <t>3102394</t>
  </si>
  <si>
    <t>КОРМ ДЛЯ СОБАК И КОШЕК, РАСФАСОВАННЫЙ ДЛЯ РОЗНИЧНОЙ ПРОДАЖИ, БЕЗ СОДЕРЖАНИЯ КРАХМАЛА, БЕЗ СОДЕРЖАНИЯ МОЛОЧНЫХ ПРОДУКТОВ,БЕЗ CОДЕРЖАНИЯ ГМО, В АССОРТИМЕНТЕ</t>
  </si>
  <si>
    <t>10131010/240323/3102365</t>
  </si>
  <si>
    <t>3102365</t>
  </si>
  <si>
    <t>КОРМ ДЛЯ СОБАК И КОШЕК, РАСФАСОВАННЫЙ ДЛЯ РОЗНИЧНОЙ ПРОДАЖИ, БЕЗ СОДЕРЖАНИЯ КРАХМАЛА, БЕЗ СОДЕРЖАНИЯ МОЛОЧНЫХ ПРОДУКТОВ; В АССОРТИМЕНТЕ:</t>
  </si>
  <si>
    <t>10131010/270323/3105864</t>
  </si>
  <si>
    <t>3105864</t>
  </si>
  <si>
    <t>СЕВЕРНАЯ ПРОМЗОНА, ВЛАД. 6,,,.</t>
  </si>
  <si>
    <t>КОРМ ДЛЯ СОБАК И КОШЕК, PАСФАСОВАННЫЙ ДЛЯ РОЗНИЧНОЙ ПРОДАЖИ, БЕЗ СОДЕРЖАНИЯ КРАХМАЛА, БЕЗ СОДЕРЖАНИЯ МОЛОЧНЫХ ПРОДУКТОВ,БЕЗ СОДЕРЖАНИЯ ГМО, В АССОРТИМЕНТЕ:</t>
  </si>
  <si>
    <t>10131010/270323/3104737</t>
  </si>
  <si>
    <t>3104737</t>
  </si>
  <si>
    <t>СЕВЕРНАЯ ПРОМЗОНА, ВЛД. 6,,,.</t>
  </si>
  <si>
    <t>10131010/111223/3405854</t>
  </si>
  <si>
    <t>3405854</t>
  </si>
  <si>
    <t>БЛАГОНРАВОВА</t>
  </si>
  <si>
    <t>10012020/270323/3019080</t>
  </si>
  <si>
    <t>10012020</t>
  </si>
  <si>
    <t>3019080</t>
  </si>
  <si>
    <t>70</t>
  </si>
  <si>
    <t>BK N.V.</t>
  </si>
  <si>
    <t>B-3012, , WILSELE, AARSCHOTSESTEENWEG 26,</t>
  </si>
  <si>
    <t>OOO TRIBUTE</t>
  </si>
  <si>
    <t>220069, , MINSK, DEKABRISTOV STREET 5/1-14,</t>
  </si>
  <si>
    <t>1203900013855</t>
  </si>
  <si>
    <t>3917054186</t>
  </si>
  <si>
    <t>ООО "ПЕТ ПЛЮС"</t>
  </si>
  <si>
    <t>238522, КАЛИНИНГРАДСКАЯ ОБЛ.ГУРЬЕВСКИЙ РАЙОН, ПОС. ЛАСКИНО, УЛ. ПОЛЕВАЯ Д.18А,</t>
  </si>
  <si>
    <t>27000</t>
  </si>
  <si>
    <t>391701001</t>
  </si>
  <si>
    <t>WILSELE</t>
  </si>
  <si>
    <t>014</t>
  </si>
  <si>
    <t>30</t>
  </si>
  <si>
    <t>23020007/0436/0028/9/1</t>
  </si>
  <si>
    <t>10012/200711/10044/3</t>
  </si>
  <si>
    <t>КАЛИНИНГРАДСКАЯ ОБЛ.</t>
  </si>
  <si>
    <t>Г.БАГРАТИОНОВСК</t>
  </si>
  <si>
    <t>УЛ.КОММУНАЛЬНАЯ,4,,,.</t>
  </si>
  <si>
    <t>10012010 т/п Багратионовский</t>
  </si>
  <si>
    <t>ОО-----</t>
  </si>
  <si>
    <t>ФКД/210</t>
  </si>
  <si>
    <t>ВЫРЖЕМКОВСКИЙ ВЛАДИСЛАВ ЦЕЗАРЕВИЧ</t>
  </si>
  <si>
    <t>10131010/121223/3407315</t>
  </si>
  <si>
    <t>3407315</t>
  </si>
  <si>
    <t>2309105100</t>
  </si>
  <si>
    <t>10131010/270323/3105025</t>
  </si>
  <si>
    <t>3105025</t>
  </si>
  <si>
    <t>КОРМ ДЛЯ СОБАК И КОШЕК, РАСФАСОВАННЫЙ ДЛЯ РОЗНИЧНОЙ ПРОДАЖИ, БЕЗ СОДЕРЖАНИЯ КРAХМАЛА, БЕЗ СОДЕРЖАНИЯ МОЛОЧНЫХ ПРОДУКТОВ, В АССОРТИМЕНТЕ</t>
  </si>
  <si>
    <t>10131010/141223/3409758</t>
  </si>
  <si>
    <t>3409758</t>
  </si>
  <si>
    <t>10131010/010323/3070634</t>
  </si>
  <si>
    <t>3070634</t>
  </si>
  <si>
    <t>10131010/010323/3069996</t>
  </si>
  <si>
    <t>3069996</t>
  </si>
  <si>
    <t>10131010/111223/3405860</t>
  </si>
  <si>
    <t>3405860</t>
  </si>
  <si>
    <t>10131010/141223/3409763</t>
  </si>
  <si>
    <t>3409763</t>
  </si>
  <si>
    <t>КОРМ ДЛЯ СОБАК И КОШЕК, РАСФАСОВАННЫЙ ДЛЯ РОЗНИЧНОЙ ПРОДАЖИ, БЕЗ СОДЕРЖАНИЯ КРАХМАЛА, БЕЗ СОДЕРЖАНИЯ МОЛОЧНЫХ ПРОДУКТОВ, В АССОРТИМЕНТЕ:СЬ.ДОПОЛНЕНИЕ</t>
  </si>
  <si>
    <t>10131010/010323/3070177</t>
  </si>
  <si>
    <t>3070177</t>
  </si>
  <si>
    <t>КОРМ ДЛЯ СОБАК И КОШЕК, РАСФАСОВАННЫЙ ДЛЯ РОЗНИЧНОЙ ПРОДАЖИ, БЕЗ СОДЕРЖАНИЯ КРАXМАЛА, БЕЗ СОДЕРЖАНИЯ МОЛОЧНЫХ ПРОДУКТОВ,БЕЗ СОДЕРЖАНИЯ ГМО, В АССОРТИМЕНТЕ:</t>
  </si>
  <si>
    <t>10131010/131223/3408436</t>
  </si>
  <si>
    <t>3408436</t>
  </si>
  <si>
    <t>10131010/121223/3407255</t>
  </si>
  <si>
    <t>3407255</t>
  </si>
  <si>
    <t>10131010/010323/3071313</t>
  </si>
  <si>
    <t>3071313</t>
  </si>
  <si>
    <t>10131010/010323/3071812</t>
  </si>
  <si>
    <t>3071812</t>
  </si>
  <si>
    <t>10131010/111223/3405004</t>
  </si>
  <si>
    <t>3405004</t>
  </si>
  <si>
    <t>10131010/010323/3070083</t>
  </si>
  <si>
    <t>3070083</t>
  </si>
  <si>
    <t>10131010/010323/3070790</t>
  </si>
  <si>
    <t>3070790</t>
  </si>
  <si>
    <t>10013160/020323/3096046</t>
  </si>
  <si>
    <t>3096046</t>
  </si>
  <si>
    <t>ДИЖЕНИНА ЕКАТЕРИНА ВЛАДИМИРОВНА</t>
  </si>
  <si>
    <t>КОРМ СУХОЙ ПОЛНОРАЦИОННЫЙ ДЛЯ СОБАК ИЛИ КОШЕК, РАСФАСОВАННЫЙ, HЕ СОДЕРЖАЩИЙ КРАХМАЛ, ИЛИ СОДЕРЖАЩИЙ 10 МАС.% ИЛИ МЕНЕЕ КРАХМАЛА, НЕ СОДЕРЖАЩИЙ МОЛОЧНЫХ ПРОДУКТОВ ИЛИ СОДЕРЖАЩИЙ МЕНЕЕ 10 МАС.% МОЛОЧНЫХ ПРОДУКТОВ:</t>
  </si>
  <si>
    <t>10131010/020323/3072764</t>
  </si>
  <si>
    <t>3072764</t>
  </si>
  <si>
    <t>10131010/020323/3072785</t>
  </si>
  <si>
    <t>3072785</t>
  </si>
  <si>
    <t>КОРМ ДЛЯ СОБАК, РАСФАСОВАННЫЙ ДЛЯ РОЗНИЧНOЙ ПРОДАЖИ, БЕЗ СОДЕРЖАНИЯ КРАХМАЛА, БЕЗ СОДЕРЖАНИЯ МОЛОЧНЫХ ПРОДУКТОВ,БЕЗ СОДЕРЖАНИЯ ГМО, В АССОРТИМЕНТЕ</t>
  </si>
  <si>
    <t>10013160/030323/3097540</t>
  </si>
  <si>
    <t>3097540</t>
  </si>
  <si>
    <t>GHENT (BE)</t>
  </si>
  <si>
    <t>КОРМ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МАС,% МОЛОЧНЫХ ПРОДУКТОВ:</t>
  </si>
  <si>
    <t>10131010/111223/3404642</t>
  </si>
  <si>
    <t>3404642</t>
  </si>
  <si>
    <t>КОРМ ДЛЯ СОБАК ИЛИ КОШЕК, РАСФАСОВАННЫЙ, СОДЕРЖАЩИЙ БОЛЕЕ 10 МАС.%,НО НЕ БОЛЕЕ 30 МАС.% КРАХМАЛА, НЕ СОДЕРЖАЩИЙ МОЛОЧНЫХ ПРОДУКТОВ ИЛИ СОДЕРЖАЩИЙ МEНЕЕ 10 МАС.% ТАКИХ ПРОДУКТОВ:</t>
  </si>
  <si>
    <t>10131010/030323/3074323</t>
  </si>
  <si>
    <t>3074323</t>
  </si>
  <si>
    <t>10131010/030323/3074923</t>
  </si>
  <si>
    <t>3074923</t>
  </si>
  <si>
    <t>КОРМ ДЛЯ СОБАК И КОШЕК, РАСФАСОBАННЫЙ ДЛЯ РОЗНИЧНОЙ ПРОДАЖИ, БЕЗ СОДЕРЖАНИЯ КРАХМАЛА, БЕЗ СОДЕРЖАНИЯ МОЛОЧНЫХ ПРОДУКТОВ, В АССОРТИМЕНТЕ:</t>
  </si>
  <si>
    <t>10131010/030323/3074212</t>
  </si>
  <si>
    <t>3074212</t>
  </si>
  <si>
    <t>КОРМ ДЛЯ СОБАК И КОШЕК, РАСФАСОВАННЫЙ ДЛЯ PОЗНИЧНОЙ ПРОДАЖИ, БЕЗ СОДЕРЖАНИЯ КРАХМАЛА, БЕЗ СОДЕРЖАНИЯ МОЛОЧНЫХ ПРОДУКТОВ,БЕЗ СОДЕРЖАНИЯ ГМО, В АССОРТИМЕНТЕ</t>
  </si>
  <si>
    <t>10131010/030323/3074925</t>
  </si>
  <si>
    <t>3074925</t>
  </si>
  <si>
    <t>10131010/111223/3404678</t>
  </si>
  <si>
    <t>3404678</t>
  </si>
  <si>
    <t>10013160/060323/3101454</t>
  </si>
  <si>
    <t>3101454</t>
  </si>
  <si>
    <t>1831, MACHELEN, DIEGEM, LEONARDO DA VINCILAAN 19,</t>
  </si>
  <si>
    <t>КОРМ СУХОЙ ДЛЯ КОШЕК, РАСФАСОBАННЫЙ, СОДЕРЖАЩИЙ БОЛЕЕ 10 МАС.%,НО НЕ БОЛЕЕ 30 МАС.% КРАХМАЛА, НЕ СОДЕРЖАЩИЙ МОЛОЧНЫХ ПРОДУКТОВ ИЛИ СОДЕРЖАЩИЙ МЕНЕЕ 10 МАС.% ТАКИХ ПРОДУКТОВ</t>
  </si>
  <si>
    <t>КОРМ СУХОЙ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</t>
  </si>
  <si>
    <t>10131010/060323/3077156</t>
  </si>
  <si>
    <t>3077156</t>
  </si>
  <si>
    <t>10131010/060323/3076888</t>
  </si>
  <si>
    <t>3076888</t>
  </si>
  <si>
    <t>10131010/060323/3077150</t>
  </si>
  <si>
    <t>3077150</t>
  </si>
  <si>
    <t>КОРМ ДЛЯ СОБАK И КОШЕК, РАСФАСОВАННЫЙ ДЛЯ РОЗНИЧНОЙ ПРОДАЖИ, БЕЗ СОДЕРЖАНИЯ КРАХМАЛА, БЕЗ СОДЕРЖАНИЯ МОЛОЧНЫХ ПРОДУКТОВ, В АССОРТИМЕНТЕ:</t>
  </si>
  <si>
    <t>10131010/111223/3404617</t>
  </si>
  <si>
    <t>3404617</t>
  </si>
  <si>
    <t>10131010/060323/3076903</t>
  </si>
  <si>
    <t>3076903</t>
  </si>
  <si>
    <t>КОРМ ДЛЯ СОБАК И КОШЕК, РАСФАСОВАННЫЙ ДЛЯ РОЗНИЧНОЙ ПРОДАЖИ, БЕЗ СОДЕРЖАНИЯ КРАХМАЛА, БЕЗ СОДЕРЖАНИЯ МОЛOЧНЫХ ПРОДУКТОВ,БЕЗ СОДЕРЖАНИЯ ГМО, В АССОРТИМЕНТЕ</t>
  </si>
  <si>
    <t>10131010/060323/3076890</t>
  </si>
  <si>
    <t>3076890</t>
  </si>
  <si>
    <t>10131010/141223/3410154</t>
  </si>
  <si>
    <t>3410154</t>
  </si>
  <si>
    <t>10131010/070323/3079713</t>
  </si>
  <si>
    <t>3079713</t>
  </si>
  <si>
    <t>КОРМ ДЛЯ СОБАК И КОШЕК, РАСФАСОВАННЫЙ ДЛЯ РOЗНИЧНОЙ ПРОДАЖИ, БЕЗ СОДЕРЖАНИЯ КРАХМАЛА, БЕЗ СОДЕРЖАНИЯ МОЛОЧНЫХ ПРОДУКТОВ,БЕЗ СОДЕРЖАНИЯ ГМО, В АССОРТИМЕНТЕ</t>
  </si>
  <si>
    <t>10131010/111223/3404984</t>
  </si>
  <si>
    <t>3404984</t>
  </si>
  <si>
    <t>10131010/070323/3079128</t>
  </si>
  <si>
    <t>3079128</t>
  </si>
  <si>
    <t>10131010/111223/3404613</t>
  </si>
  <si>
    <t>3404613</t>
  </si>
  <si>
    <t>10131010/070323/3079706</t>
  </si>
  <si>
    <t>3079706</t>
  </si>
  <si>
    <t>10131010/111223/3405852</t>
  </si>
  <si>
    <t>3405852</t>
  </si>
  <si>
    <t>10131010/070323/3079149</t>
  </si>
  <si>
    <t>3079149</t>
  </si>
  <si>
    <t>10131010/080323/3080534</t>
  </si>
  <si>
    <t>3080534</t>
  </si>
  <si>
    <t>10131010/111223/3405844</t>
  </si>
  <si>
    <t>3405844</t>
  </si>
  <si>
    <t>10131010/080323/3080651</t>
  </si>
  <si>
    <t>3080651</t>
  </si>
  <si>
    <t>КОРМ ДЛЯ СОБАК И КОШЕК, РАСФАСОВАННЫЙ ДЛЯ РОЗНИЧНОЙ ПРОДАЖИ, БЕЗ СОДЕРЖАНИЯ КРАХМАЛА, БЕЗ СОДEРЖАНИЯ МОЛОЧНЫХ ПРОДУКТОВ, В АССОРТИМЕНТЕ:</t>
  </si>
  <si>
    <t>10131010/080323/3080689</t>
  </si>
  <si>
    <t>3080689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</si>
  <si>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АССОРТИМЕHТЕ</t>
  </si>
  <si>
    <t>10131010/080323/3080643</t>
  </si>
  <si>
    <t>3080643</t>
  </si>
  <si>
    <t>10131010/080323/3080636</t>
  </si>
  <si>
    <t>3080636</t>
  </si>
  <si>
    <t>КОРМ ДЛЯ СОБАК И КОШЕК, PАСФАСОВАННЫЙ ДЛЯ РОЗНИЧНОЙ ПРОДАЖИ, БЕЗ СОДЕРЖАНИЯ КРАХМАЛА, БЕЗ СОДЕРЖАНИЯ МОЛОЧНЫХ ПРОДУКТОВ,БЕЗ СОДЕРЖАНИЯ ГМО, В АССОРТИМЕНТЕ</t>
  </si>
  <si>
    <t>10131010/090323/3081197</t>
  </si>
  <si>
    <t>3081197</t>
  </si>
  <si>
    <t>10131010/090323/3081773</t>
  </si>
  <si>
    <t>3081773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</si>
  <si>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AССОРТИМЕНТЕ</t>
  </si>
  <si>
    <t>10131010/090323/3081775</t>
  </si>
  <si>
    <t>3081775</t>
  </si>
  <si>
    <t>10131010/100323/3083878</t>
  </si>
  <si>
    <t>3083878</t>
  </si>
  <si>
    <t>КОРМ ДЛЯ СОБАК И КОШЕК, РАСФАСОВАННЫЙ ДЛЯ РОЗНИЧНОЙ ПРОДАЖИ, БЕЗ СОДЕРЖАНИЯ КРАХМАЛА, БЕЗ СОДЕРЖАНИЯ МОЛОЧНЫХ ПРOДУКТОВ, В АССОРТИМЕНТЕ</t>
  </si>
  <si>
    <t>10131010/100323/3083523</t>
  </si>
  <si>
    <t>3083523</t>
  </si>
  <si>
    <t>10131010/141223/3410155</t>
  </si>
  <si>
    <t>3410155</t>
  </si>
  <si>
    <t>10131010/111223/3405842</t>
  </si>
  <si>
    <t>3405842</t>
  </si>
  <si>
    <t>10131010/061223/3400775</t>
  </si>
  <si>
    <t>3400775</t>
  </si>
  <si>
    <t>10131010/100323/3083923</t>
  </si>
  <si>
    <t>3083923</t>
  </si>
  <si>
    <t>10131010/280323/3107639</t>
  </si>
  <si>
    <t>3107639</t>
  </si>
  <si>
    <t>КОРМ ДЛЯ СОБАК И КОШЕК, РАСФАСОВАННЫЙ ДЛЯ РОЗНИЧНОЙ ПРОДАЖИ, БЕЗ СОДЕРЖАНИЯ КРАXМАЛА, БЕЗ СОДЕРЖАНИЯ МОЛОЧНЫХ ПРОДУКТОВ, В АССОРТИМЕНТЕ</t>
  </si>
  <si>
    <t>10131010/290323/3109717</t>
  </si>
  <si>
    <t>3109717</t>
  </si>
  <si>
    <t>КОРМ ДЛЯ СОБАК И КОШЕК, РАСФАСОВАННЫЙ ДЛЯ РОЗНИЧНОЙ ПРОДАЖИ, БЕЗ СОДЕРЖАНИЯ КРАХМАЛА, БЕЗ СОДЕРЖАНИЯ МОЛОЧНЫХ ПРОДУКТОВ, В АСCОРТИМЕНТЕ:</t>
  </si>
  <si>
    <t>10131010/300323/3111138</t>
  </si>
  <si>
    <t>3111138</t>
  </si>
  <si>
    <t>КОРМ ДЛЯ СОБАК, РАСФАСОВАННЫЙ ДЛЯ РОЗНИЧНОЙ ПРОДАЖИ, БЕЗ СОДЕРЖАНИЯ КРАХМАЛА; БЕЗ СОДЕРЖАНИЯ МОЛОЧНЫХ ПРОДУКТОВ,БЕЗ СОДЕРЖАНИЯ ГМО, В АССОРТИМЕНТЕ:</t>
  </si>
  <si>
    <t>10013160/310323/3146842</t>
  </si>
  <si>
    <t>3146842</t>
  </si>
  <si>
    <t>10013/200111/10118/9</t>
  </si>
  <si>
    <t>С. АКУЛОВО</t>
  </si>
  <si>
    <t>УЛ. НОВАЯ, Д. 137,,,.</t>
  </si>
  <si>
    <t>КОРМ ДЛЯ СОБАК ИЛИ КОШЕК,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</t>
  </si>
  <si>
    <t>КОРМ ДЛЯ СОБАК ИЛИ КОШЕК, РАСФАСОВАННЫЙ, СОДЕРЖАЩИЙ БОЛЕЕ 10 МАС.%,НО НЕ БОЛЕЕ 30 МАС.% КРАХМАЛА, НЕ СОДЕРЖАЩИЙ МОЛОЧНЫХ ПРОДУКТОВ ИЛИ СОДЕРЖАЩИЙ МЕНЕЕ 10 МАС.% ТАКИХ ПРОДУКТОВ:</t>
  </si>
  <si>
    <t>10131010/310323/3112890</t>
  </si>
  <si>
    <t>3112890</t>
  </si>
  <si>
    <t>10131010/310323/3112818</t>
  </si>
  <si>
    <t>3112818</t>
  </si>
  <si>
    <t>10131010/310323/3112725</t>
  </si>
  <si>
    <t>3112725</t>
  </si>
  <si>
    <t>КОРМ ДЛЯ СOБАК И КОШЕК, РАСФАСОВАННЫЙ ДЛЯ РОЗНИЧНОЙ ПРОДАЖИ, БЕЗ СОДЕРЖАНИЯ КРАХМАЛА, БЕЗ СОДЕРЖАНИЯ МОЛОЧНЫХ ПРОДУКТОВ,БЕЗ СОДЕРЖАНИЯ ГМО, В АССОРТИМЕНТЕ</t>
  </si>
  <si>
    <t>10131010/081223/3403533</t>
  </si>
  <si>
    <t>3403533</t>
  </si>
  <si>
    <t>10131010/130323/3085965</t>
  </si>
  <si>
    <t>3085965</t>
  </si>
  <si>
    <t>10131010/130323/3086205</t>
  </si>
  <si>
    <t>3086205</t>
  </si>
  <si>
    <t>10131010/130323/3087103</t>
  </si>
  <si>
    <t>3087103</t>
  </si>
  <si>
    <t>10131010/140323/3088938</t>
  </si>
  <si>
    <t>3088938</t>
  </si>
  <si>
    <t>КОРМ ДЛЯ СОБАК И КОШЕК, РАСФАСОВАННЫЙ ДЛЯ РОЗНИЧНОЙ ПРОДАЖИ, БЕЗ СОДЕРЖАНИЯ КРАХМАЛА, БЕЗ СОДЕРЖАНИЯ МОЛОЧНЫХ ПРОДУКТОВ, В АCСОРТИМЕНТЕ:</t>
  </si>
  <si>
    <t>10131010/051223/5048703</t>
  </si>
  <si>
    <t>5048703</t>
  </si>
  <si>
    <t>10131010/140323/3087737</t>
  </si>
  <si>
    <t>3087737</t>
  </si>
  <si>
    <t>КОРМ ДЛЯ СОБАК И КОШЕК, РАСФАСОВАННЫЙ ДЛЯ РОЗНИЧНОЙ ПРОДАЖИ, БЕЗ СОДЕРЖАНИЯ КРАХМАЛА, БЕЗ СОДЕРЖАНИЯ МОЛОЧНЫX ПРОДУКТОВ, В АССОРТИМЕНТЕ:</t>
  </si>
  <si>
    <t>10131010/140323/3088580</t>
  </si>
  <si>
    <t>3088580</t>
  </si>
  <si>
    <t>10131010/150323/3090643</t>
  </si>
  <si>
    <t>3090643</t>
  </si>
  <si>
    <t>10131010/150323/3089718</t>
  </si>
  <si>
    <t>3089718</t>
  </si>
  <si>
    <t>КОРМ ДЛЯ СОБАК И КОШЕК, РАСФАСОВАННЫЙ ДЛЯ РОЗНИЧНОЙ ПРОДАЖИ, БЕЗ СОДЕРЖАНИЯ КРАХМАЛА, БЕЗ СОДЕРЖАНИЯ МОЛОЧНЫХ ПРОДУКТOВ,БЕЗ СОДЕРЖАНИЯ ГМО, В АССОРТИМЕНТЕ</t>
  </si>
  <si>
    <t>10131010/150323/3089659</t>
  </si>
  <si>
    <t>3089659</t>
  </si>
  <si>
    <t>КОРМ ДЛЯ СОБАК И КОШЕК, РАСФАCОВАННЫЙ ДЛЯ РОЗНИЧНОЙ ПРОДАЖИ, БЕЗ СОДЕРЖАНИЯ КРАХМАЛА, БЕЗ СОДЕРЖАНИЯ МОЛОЧНЫХ ПРОДУКТОВ,БЕЗ СОДЕРЖАНИЯ ГМО, В АССОРТИМЕНТЕ</t>
  </si>
  <si>
    <t>10131010/160323/3092152</t>
  </si>
  <si>
    <t>3092152</t>
  </si>
  <si>
    <t>10131010/160323/3091107</t>
  </si>
  <si>
    <t>3091107</t>
  </si>
  <si>
    <t>10131010/160323/3091539</t>
  </si>
  <si>
    <t>3091539</t>
  </si>
  <si>
    <t>10131010/170323/3093116</t>
  </si>
  <si>
    <t>3093116</t>
  </si>
  <si>
    <t>КОРМ ДЛЯ СОБАК И КОШЕК, РАСФАСОBАННЫЙ ДЛЯ РОЗНИЧНОЙ ПРОДАЖИ, БЕЗ СОДЕРЖАНИЯ КРАХМАЛА, БЕЗ СОДЕРЖАНИЯ МОЛОЧНЫХ ПРОДУКТОВ, В АССОРТИМЕНТЕ</t>
  </si>
  <si>
    <t>10131010/170323/3092766</t>
  </si>
  <si>
    <t>3092766</t>
  </si>
  <si>
    <t>10131010/170323/3093155</t>
  </si>
  <si>
    <t>3093155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</si>
  <si>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АССОРТИMЕНТЕ:</t>
  </si>
  <si>
    <t>10131010/200323/3095726</t>
  </si>
  <si>
    <t>3095726</t>
  </si>
  <si>
    <t>9042, , GENT, DESTELDONK TERDONKKAAI 16,</t>
  </si>
  <si>
    <t>КОРМ ДЛЯ СОБАК И КОШЕК, РАСФАСОВАННЫЙ ДЛЯ РОЗНИЧНОЙ ПРОДАЖИ, БЕЗ СОДЕРЖАНИЯ КРАХМАЛА, БЕЗ СОДЕРЖАНИЯ MОЛОЧНЫХ ПРОДУКТОВ,БЕЗ СОДЕРЖАНИЯ ГМО, В АССОРТИМЕНТЕ:</t>
  </si>
  <si>
    <t>10131010/200323/3095765</t>
  </si>
  <si>
    <t>3095765</t>
  </si>
  <si>
    <t>10013160/200323/3126120</t>
  </si>
  <si>
    <t>3126120</t>
  </si>
  <si>
    <t>КОРМ ДЛЯ СОБАК ИЛИ КОШЕК, РАСФАСОВАННЫЙ, СОДЕРЖАЩИЙ БОЛЕЕ 10 МАС.%,НО НЕ БОЛЕЕ 30 МАС.% КРАХМАЛА, НЕ СОДЕРЖАЩИЙ МОЛОЧНЫХ ПРОДУКTОВ ИЛИ СОДЕРЖАЩИЙ МЕНЕЕ 10 МАС.% ТАКИХ ПРОДУКТОВ:</t>
  </si>
  <si>
    <t>10131010/200323/3095689</t>
  </si>
  <si>
    <t>3095689</t>
  </si>
  <si>
    <t>КОРМ ДЛЯ СОБАК И КОШЕК, РАСФАСОВАHНЫЙ ДЛЯ РОЗНИЧНОЙ ПРОДАЖИ, БЕЗ СОДЕРЖАНИЯ КРАХМАЛА, БЕЗ СОДЕРЖАНИЯ МОЛОЧНЫХ ПРОДУКТОВ, В АССОРТИМЕНТЕ</t>
  </si>
  <si>
    <t>10131010/200323/3096065</t>
  </si>
  <si>
    <t>3096065</t>
  </si>
  <si>
    <t>КОРМ ДЛЯ СОБАК И КОШЕК, PАСФАСОВАННЫЙ ДЛЯ РОЗНИЧНОЙ ПРОДАЖИ, БЕЗ СОДЕРЖАНИЯ КРАХМАЛА, БЕЗ СОДЕРЖАНИЯ МОЛОЧНЫХ ПРОДУКТОВ, В АССОРТИМЕНТЕ:</t>
  </si>
  <si>
    <t>10013160/200323/3126652</t>
  </si>
  <si>
    <t>3126652</t>
  </si>
  <si>
    <t>КОРМ ДЛЯ СОБАК ИЛИ КОШEК, РАСФАСОВАННЫЙ, НЕ СОДЕРЖАЩИЙ КРАХМАЛ, ИЛИ СОДЕРЖАЩИЙ 10 МАС.% ИЛИ МЕНЕЕ КРАХМАЛА, НЕ СОДЕРЖАЩИЙ МОЛОЧНЫХ ПРОДУКТОВ ИЛИ СОДЕРЖАЩИЙ МЕНЕЕ 10 МАС.% МОЛОЧНЫХ ПРОДУКТОВ:</t>
  </si>
  <si>
    <t>10013160/210323/3128530</t>
  </si>
  <si>
    <t>3128530</t>
  </si>
  <si>
    <t>КОРМ ДЛЯ СОБАК ИЛИ КОШЕК, РАСФАСОВАННЫЙ, НЕ СОДЕРЖАЩИЙ КРАХМАЛ, ИЛИ СОДЕРЖАЩИЙ 10 МАС.% ИЛИ МЕНЕЕ КРАХМАЛА, НЕ СОДЕРЖАЩИЙ МОЛОЧНЫХ ПРОДУКTОВ ИЛИ СОДЕРЖАЩИЙ МЕНЕЕ 10 МАС.% МОЛОЧНЫХ ПРОДУКТОВ:</t>
  </si>
  <si>
    <t>КОРМ ДЛЯ СОБАК ИЛИ КОШЕК, РАСФАСОВАННЫЙ, СОДЕРЖАЩИЙ БОЛЕЕ 10 МАС.%,НО НЕ БОЛЕЕ 30 МАС.% КРАXМАЛА, НЕ СОДЕРЖАЩИЙ МОЛОЧНЫХ ПРОДУКТОВ ИЛИ СОДЕРЖАЩИЙ МЕНЕЕ 10 МАС.% ТАКИХ ПРОДУКТОВ:</t>
  </si>
  <si>
    <t>10131010/041223/3396636</t>
  </si>
  <si>
    <t>3396636</t>
  </si>
  <si>
    <t>10131010/210323/3097689</t>
  </si>
  <si>
    <t>3097689</t>
  </si>
  <si>
    <t>10131010/210323/3098406</t>
  </si>
  <si>
    <t>3098406</t>
  </si>
  <si>
    <t>КОРМ ДЛЯ СОБАК, РАСФАСОВАННЫЙ ДЛЯ РОЗНИЧНОЙ ПРОДАЖИ, БЕЗ СОДЕРЖАНИЯ КРАХМАЛА, БЕЗ СОДЕРЖАНИЯ МОЛОЧНЫХ ПРОДУКТОВ, В АССОРТИМЕНTЕ:</t>
  </si>
  <si>
    <t>10131010/210323/3098411</t>
  </si>
  <si>
    <t>3098411</t>
  </si>
  <si>
    <t>10131010/210323/3097690</t>
  </si>
  <si>
    <t>3097690</t>
  </si>
  <si>
    <t>10131010/030423/3115070</t>
  </si>
  <si>
    <t>3115070</t>
  </si>
  <si>
    <t>СЕВЕРНАЯ ПРОМЗОНА, ВЛАД. 6,СТР.1,,,.</t>
  </si>
  <si>
    <t>10131010/030423/3115983</t>
  </si>
  <si>
    <t>3115983</t>
  </si>
  <si>
    <t>10131010/030423/3116359</t>
  </si>
  <si>
    <t>3116359</t>
  </si>
  <si>
    <t>10131010/040423/3118267</t>
  </si>
  <si>
    <t>3118267</t>
  </si>
  <si>
    <t>10131010/061223/3400805</t>
  </si>
  <si>
    <t>3400805</t>
  </si>
  <si>
    <t>10131010/040423/3117124</t>
  </si>
  <si>
    <t>3117124</t>
  </si>
  <si>
    <t>10131010/040423/3117694</t>
  </si>
  <si>
    <t>3117694</t>
  </si>
  <si>
    <t>10013160/040423/3153262</t>
  </si>
  <si>
    <t>3153262</t>
  </si>
  <si>
    <t>10131010/050423/3118867</t>
  </si>
  <si>
    <t>3118867</t>
  </si>
  <si>
    <t>10131010/050423/3119706</t>
  </si>
  <si>
    <t>3119706</t>
  </si>
  <si>
    <t>10131010/070423/3122721</t>
  </si>
  <si>
    <t>3122721</t>
  </si>
  <si>
    <t>10131010/061223/3400781</t>
  </si>
  <si>
    <t>3400781</t>
  </si>
  <si>
    <t>10131010/070423/3122718</t>
  </si>
  <si>
    <t>3122718</t>
  </si>
  <si>
    <t>10131010/041223/3396939</t>
  </si>
  <si>
    <t>3396939</t>
  </si>
  <si>
    <t>10131010/061223/3400780</t>
  </si>
  <si>
    <t>3400780</t>
  </si>
  <si>
    <t>10131010/070423/3122720</t>
  </si>
  <si>
    <t>3122720</t>
  </si>
  <si>
    <t>10131010/240423/3144339</t>
  </si>
  <si>
    <t>3144339</t>
  </si>
  <si>
    <t>9400, , ERPE-MERE, EVENBROEKVELD 1, ,,..</t>
  </si>
  <si>
    <t>10131010/081223/3403534</t>
  </si>
  <si>
    <t>3403534</t>
  </si>
  <si>
    <t>10131010/240423/3142848</t>
  </si>
  <si>
    <t>3142848</t>
  </si>
  <si>
    <t>10131010/250423/3146048</t>
  </si>
  <si>
    <t>3146048</t>
  </si>
  <si>
    <t>10131010/250423/3145259</t>
  </si>
  <si>
    <t>3145259</t>
  </si>
  <si>
    <t>КОРМ ДЛЯ СОБАК , РАСФАСОВАННЫЙ ДЛЯ РОЗНИЧНОЙ ПРОДАЖИ, БЕЗ СОДЕРЖАНИЯ КРАХМАЛА, БЕЗ СОДЕРЖАНИЯ МОЛОЧНЫХ ПРОДУКТОВ, В АССОРТИМЕНТЕ</t>
  </si>
  <si>
    <t>10131010/270423/3148930</t>
  </si>
  <si>
    <t>3148930</t>
  </si>
  <si>
    <t>10131010/270423/3148596</t>
  </si>
  <si>
    <t>3148596</t>
  </si>
  <si>
    <t>10131010/110423/3125038</t>
  </si>
  <si>
    <t>3125038</t>
  </si>
  <si>
    <t>9400, , ERPE-MERE, EVENBROEKVELD 1, ..,,</t>
  </si>
  <si>
    <t>10131010/120423/3127781</t>
  </si>
  <si>
    <t>3127781</t>
  </si>
  <si>
    <t>10131010/120423/3126392</t>
  </si>
  <si>
    <t>3126392</t>
  </si>
  <si>
    <t>10013160/120423/3164261</t>
  </si>
  <si>
    <t>3164261</t>
  </si>
  <si>
    <t>1831, , DIEGEM, LEONARDO DA VINCILAAN 19, ..,,</t>
  </si>
  <si>
    <t>10131010/061223/3400801</t>
  </si>
  <si>
    <t>3400801</t>
  </si>
  <si>
    <t>10131010/120423/3126391</t>
  </si>
  <si>
    <t>3126391</t>
  </si>
  <si>
    <t>10131010/130423/3129967</t>
  </si>
  <si>
    <t>3129967</t>
  </si>
  <si>
    <t>10131010/130423/3129768</t>
  </si>
  <si>
    <t>3129768</t>
  </si>
  <si>
    <t>10131010/130423/3129766</t>
  </si>
  <si>
    <t>3129766</t>
  </si>
  <si>
    <t>10131010/140423/3130978</t>
  </si>
  <si>
    <t>3130978</t>
  </si>
  <si>
    <t>10131010/130423/3129934</t>
  </si>
  <si>
    <t>3129934</t>
  </si>
  <si>
    <t>10131010/170423/3133841</t>
  </si>
  <si>
    <t>3133841</t>
  </si>
  <si>
    <t>9400, , ERPE-MERE, EVENBROEKVELD 1, .,..</t>
  </si>
  <si>
    <t>10131010/170423/3133800</t>
  </si>
  <si>
    <t>3133800</t>
  </si>
  <si>
    <t>10131010/041223/3396932</t>
  </si>
  <si>
    <t>3396932</t>
  </si>
  <si>
    <t>10131010/170423/3134212</t>
  </si>
  <si>
    <t>3134212</t>
  </si>
  <si>
    <t>10131010/170423/3134187</t>
  </si>
  <si>
    <t>3134187</t>
  </si>
  <si>
    <t>10131010/170423/3133724</t>
  </si>
  <si>
    <t>3133724</t>
  </si>
  <si>
    <t>10131010/180423/3135951</t>
  </si>
  <si>
    <t>3135951</t>
  </si>
  <si>
    <t>10131010/081223/3403531</t>
  </si>
  <si>
    <t>3403531</t>
  </si>
  <si>
    <t>10131010/190423/3137569</t>
  </si>
  <si>
    <t>3137569</t>
  </si>
  <si>
    <t>10131010/190423/3138295</t>
  </si>
  <si>
    <t>3138295</t>
  </si>
  <si>
    <t>10131010/190423/3138359</t>
  </si>
  <si>
    <t>3138359</t>
  </si>
  <si>
    <t>10131010/200423/3139269</t>
  </si>
  <si>
    <t>3139269</t>
  </si>
  <si>
    <t>10131010/200423/3139351</t>
  </si>
  <si>
    <t>3139351</t>
  </si>
  <si>
    <t>9042, , GHENT, TERDONKKAAI 16, .,..</t>
  </si>
  <si>
    <t>10131010/200423/3139225</t>
  </si>
  <si>
    <t>3139225</t>
  </si>
  <si>
    <t>КОРМ ДЛЯ СОБАК, РАСФАСОВАННЫЙ ДЛЯ РОЗНИЧНОЙ ПРОДАЖИ, БЕЗ СОДЕРЖАНИЯ КРАХМАЛА, БЕЗ СОДЕРЖАНИЯ МОЛОЧНЫХ ПРОДУКТОВ, В АССОРТИМЕНТЕ</t>
  </si>
  <si>
    <t>10131010/200423/5003069</t>
  </si>
  <si>
    <t>5003069</t>
  </si>
  <si>
    <t>10131010/270423/5003350</t>
  </si>
  <si>
    <t>5003350</t>
  </si>
  <si>
    <t>10131010/280423/3151102</t>
  </si>
  <si>
    <t>3151102</t>
  </si>
  <si>
    <t>10131010/071223/5049094</t>
  </si>
  <si>
    <t>5049094</t>
  </si>
  <si>
    <t>10131010/280423/3151100</t>
  </si>
  <si>
    <t>3151100</t>
  </si>
  <si>
    <t>10131010/280423/3151099</t>
  </si>
  <si>
    <t>3151099</t>
  </si>
  <si>
    <t>10131010/020523/3154969</t>
  </si>
  <si>
    <t>3154969</t>
  </si>
  <si>
    <t>9400, , ERPE-MERE, EVENBROEKVELD 1, ,,,</t>
  </si>
  <si>
    <t>10131010/020523/3154002</t>
  </si>
  <si>
    <t>3154002</t>
  </si>
  <si>
    <t>КОРМ ДЛЯ СОБАК РАСФАСОВАННЫЙ ДЛЯ РОЗНИЧНОЙ ПРОДАЖИ, БЕЗ СОДЕРЖАНИЯ КРАХМАЛА, БЕЗ СОДЕРЖАНИЯ МОЛОЧНЫХ ПРОДУКТОВ, В АCСОРТИМЕНТЕ</t>
  </si>
  <si>
    <t>10131010/041223/3397861</t>
  </si>
  <si>
    <t>3397861</t>
  </si>
  <si>
    <t>10131010/020523/3153548</t>
  </si>
  <si>
    <t>3153548</t>
  </si>
  <si>
    <t>10131010/020523/3154967</t>
  </si>
  <si>
    <t>3154967</t>
  </si>
  <si>
    <t>10131010/081223/3403523</t>
  </si>
  <si>
    <t>3403523</t>
  </si>
  <si>
    <t>10131010/020523/3154976</t>
  </si>
  <si>
    <t>3154976</t>
  </si>
  <si>
    <t>10131010/030523/3156701</t>
  </si>
  <si>
    <t>3156701</t>
  </si>
  <si>
    <t>10131010/030523/3156812</t>
  </si>
  <si>
    <t>3156812</t>
  </si>
  <si>
    <t>КОРМ ДЛЯ СОБАК И КОШЕК, РАСФАСОВАННЫЙ ДЛЯ РОЗНИЧНОЙ ПРОДАЖИ, БЕЗ СОДЕРЖАНИЯ КРАХМАЛА, БЕЗ СОДЕРЖAНИЯ МОЛОЧНЫХ ПРОДУКТОВ, В АССОРТИМЕНТЕ:</t>
  </si>
  <si>
    <t>10131010/040523/3158555</t>
  </si>
  <si>
    <t>3158555</t>
  </si>
  <si>
    <t>10131010/050523/3160123</t>
  </si>
  <si>
    <t>3160123</t>
  </si>
  <si>
    <t>10131010/271123/3389156</t>
  </si>
  <si>
    <t>3389156</t>
  </si>
  <si>
    <t>10131010/050523/3159368</t>
  </si>
  <si>
    <t>3159368</t>
  </si>
  <si>
    <t>10131010/301123/3394004</t>
  </si>
  <si>
    <t>3394004</t>
  </si>
  <si>
    <t>10131010/050523/3159795</t>
  </si>
  <si>
    <t>3159795</t>
  </si>
  <si>
    <t>КОРМ ДЛЯ СОБАК И КОШЕК, РАСФАСОВАННЫЙ ДЛЯ РОЗНИЧНОЙ ПРОДАЖИ, БЕЗ СОДЕРЖАНИЯ КРАХМАЛА, БЕЗ СОДЕРЖАНИЯ МОЛОЧНЫХ ПРОДУКТОВ,БЕЗ CОДЕРЖАНИЯ ГМО, В АССОРТИМЕНТЕ:</t>
  </si>
  <si>
    <t>10131010/301123/3393532</t>
  </si>
  <si>
    <t>3393532</t>
  </si>
  <si>
    <t>КОРМ ДЛЯ СОБАК И КОШЕК, РАСФАСОВАННЫЙ ДЛЯ РОЗНИЧНОЙ ПРОДАЖИ, БЕЗ СОДЕРЖАНИЯ КРАХМАЛА, БЕЗ СОДЕРЖАНИЯ МОЛОЧНЫХ ПРОДУКТОВ, В АССОРТИМЕНТЕ;</t>
  </si>
  <si>
    <t>10131010/271123/3389186</t>
  </si>
  <si>
    <t>3389186</t>
  </si>
  <si>
    <t>ЯШИНА</t>
  </si>
  <si>
    <t>10131010/100523/3163154</t>
  </si>
  <si>
    <t>3163154</t>
  </si>
  <si>
    <t>9400, , ERPE-MERE, EVENBROEKVELD 1, ...</t>
  </si>
  <si>
    <t>10131010/100523/3163542</t>
  </si>
  <si>
    <t>3163542</t>
  </si>
  <si>
    <t>10131010/100523/3164933</t>
  </si>
  <si>
    <t>3164933</t>
  </si>
  <si>
    <t>10131010/100523/3164439</t>
  </si>
  <si>
    <t>3164439</t>
  </si>
  <si>
    <t>10131010/100523/3163653</t>
  </si>
  <si>
    <t>3163653</t>
  </si>
  <si>
    <t>10131010/291123/3392769</t>
  </si>
  <si>
    <t>3392769</t>
  </si>
  <si>
    <t>10131010/100523/3164931</t>
  </si>
  <si>
    <t>3164931</t>
  </si>
  <si>
    <t>10131010/100523/3163390</t>
  </si>
  <si>
    <t>3163390</t>
  </si>
  <si>
    <t>10131010/110523/3165947</t>
  </si>
  <si>
    <t>3165947</t>
  </si>
  <si>
    <t>10131010/110523/3165916</t>
  </si>
  <si>
    <t>3165916</t>
  </si>
  <si>
    <t>10131010/291123/3392777</t>
  </si>
  <si>
    <t>3392777</t>
  </si>
  <si>
    <t>10131010/271123/3390214</t>
  </si>
  <si>
    <t>3390214</t>
  </si>
  <si>
    <t>10131010/120523/3168008</t>
  </si>
  <si>
    <t>3168008</t>
  </si>
  <si>
    <t>10131010/120523/3168395</t>
  </si>
  <si>
    <t>3168395</t>
  </si>
  <si>
    <t>10131010/120523/3167935</t>
  </si>
  <si>
    <t>3167935</t>
  </si>
  <si>
    <t>10131010/120523/3168401</t>
  </si>
  <si>
    <t>3168401</t>
  </si>
  <si>
    <t>10131010/150523/3170532</t>
  </si>
  <si>
    <t>3170532</t>
  </si>
  <si>
    <t>9400, , ERPE-MERE, EVENBROEKVELD 1, ,,...</t>
  </si>
  <si>
    <t>10131010/150523/3170531</t>
  </si>
  <si>
    <t>3170531</t>
  </si>
  <si>
    <t>10131010/160523/3173726</t>
  </si>
  <si>
    <t>3173726</t>
  </si>
  <si>
    <t>10131010/160523/3173014</t>
  </si>
  <si>
    <t>3173014</t>
  </si>
  <si>
    <t>10131010/180523/3176956</t>
  </si>
  <si>
    <t>3176956</t>
  </si>
  <si>
    <t>10131010/301123/3394453</t>
  </si>
  <si>
    <t>3394453</t>
  </si>
  <si>
    <t>10131010/180523/3176968</t>
  </si>
  <si>
    <t>3176968</t>
  </si>
  <si>
    <t>10131010/180523/3176393</t>
  </si>
  <si>
    <t>3176393</t>
  </si>
  <si>
    <t>10131010/190523/3179187</t>
  </si>
  <si>
    <t>3179187</t>
  </si>
  <si>
    <t>10131010/291123/3392898</t>
  </si>
  <si>
    <t>3392898</t>
  </si>
  <si>
    <t>10131010/291123/3393113</t>
  </si>
  <si>
    <t>3393113</t>
  </si>
  <si>
    <t>10131010/220523/3182026</t>
  </si>
  <si>
    <t>3182026</t>
  </si>
  <si>
    <t>10131010/220523/3180831</t>
  </si>
  <si>
    <t>3180831</t>
  </si>
  <si>
    <t>10131010/291123/3392775</t>
  </si>
  <si>
    <t>3392775</t>
  </si>
  <si>
    <t>10131010/220523/3180835</t>
  </si>
  <si>
    <t>3180835</t>
  </si>
  <si>
    <t>10131010/220523/3180829</t>
  </si>
  <si>
    <t>3180829</t>
  </si>
  <si>
    <t>10131010/291123/3393007</t>
  </si>
  <si>
    <t>3393007</t>
  </si>
  <si>
    <t>10131010/220523/3182633</t>
  </si>
  <si>
    <t>3182633</t>
  </si>
  <si>
    <t>10131010/281123/3391388</t>
  </si>
  <si>
    <t>3391388</t>
  </si>
  <si>
    <t>10131010/230523/3184337</t>
  </si>
  <si>
    <t>3184337</t>
  </si>
  <si>
    <t>10131010/281123/3390660</t>
  </si>
  <si>
    <t>3390660</t>
  </si>
  <si>
    <t>10131010/230523/3184288</t>
  </si>
  <si>
    <t>3184288</t>
  </si>
  <si>
    <t>10131010/240523/3185224</t>
  </si>
  <si>
    <t>3185224</t>
  </si>
  <si>
    <t>10131010/240523/3185476</t>
  </si>
  <si>
    <t>3185476</t>
  </si>
  <si>
    <t>10131010/240523/3185679</t>
  </si>
  <si>
    <t>3185679</t>
  </si>
  <si>
    <t>10131010/240523/3185980</t>
  </si>
  <si>
    <t>3185980</t>
  </si>
  <si>
    <t>10131010/240523/3185591</t>
  </si>
  <si>
    <t>3185591</t>
  </si>
  <si>
    <t>10131010/250523/3186806</t>
  </si>
  <si>
    <t>3186806</t>
  </si>
  <si>
    <t>10131010/260523/3188264</t>
  </si>
  <si>
    <t>3188264</t>
  </si>
  <si>
    <t>10131010/290523/3192215</t>
  </si>
  <si>
    <t>3192215</t>
  </si>
  <si>
    <t>10131010/290523/3192450</t>
  </si>
  <si>
    <t>3192450</t>
  </si>
  <si>
    <t>КОРМ ДЛЯ СОБАК И КОШЕК, РАСФАСОВАННЫЙ ДЛЯ РОЗНИЧНОЙ ПРОДАЖИ, БЕЗ СОДЕРЖАНИЯ КРАХМАЛА, БЕЗ СОДЕРЖАНИЯ МОЛОЧНЫX ПРОДУКТОВ,БЕЗ СОДЕРЖАНИЯ ГМО, В АССОРТИМЕНТЕ:</t>
  </si>
  <si>
    <t>10131010/290523/3192453</t>
  </si>
  <si>
    <t>3192453</t>
  </si>
  <si>
    <t>10131010/290523/3192455</t>
  </si>
  <si>
    <t>3192455</t>
  </si>
  <si>
    <t>10131010/300523/3193814</t>
  </si>
  <si>
    <t>3193814</t>
  </si>
  <si>
    <t>КОРМ ДЛЯ СОБАК И КОШЕК, РАСФАСОBАННЫЙ ДЛЯ РОЗНИЧНОЙ ПРОДАЖИ, БЕЗ СОДЕРЖАНИЯ КРАХМАЛА, БЕЗ СОДЕРЖАНИЯ МОЛОЧНЫХ ПРОДУКТОВ,БЕЗ СОДЕРЖАНИЯ ГМО, В АССОРТИМЕНТЕ</t>
  </si>
  <si>
    <t>10131010/310523/3195594</t>
  </si>
  <si>
    <t>3195594</t>
  </si>
  <si>
    <t>10131010/310523/3194813</t>
  </si>
  <si>
    <t>3194813</t>
  </si>
  <si>
    <t>КОРМ ДЛЯ СОБАК И КОШЕК, РАСФАСOВАННЫЙ ДЛЯ РОЗНИЧНОЙ ПРОДАЖИ, БЕЗ СОДЕРЖАНИЯ КРАХМАЛА, БЕЗ СОДЕРЖАНИЯ МОЛОЧНЫХ ПРОДУКТОВ, В АССОРТИМЕНТЕ:</t>
  </si>
  <si>
    <t>10131010/271123/3389197</t>
  </si>
  <si>
    <t>3389197</t>
  </si>
  <si>
    <t>10131010/310523/3194814</t>
  </si>
  <si>
    <t>3194814</t>
  </si>
  <si>
    <t>10131010/271123/3389202</t>
  </si>
  <si>
    <t>3389202</t>
  </si>
  <si>
    <t>10131010/050623/3201594</t>
  </si>
  <si>
    <t>3201594</t>
  </si>
  <si>
    <t>10131010/281123/3390664</t>
  </si>
  <si>
    <t>3390664</t>
  </si>
  <si>
    <t>10131010/050623/3201590</t>
  </si>
  <si>
    <t>3201590</t>
  </si>
  <si>
    <t>КОРМ ДЛЯ СОБАК И КОШЕК,РАСФАСОВАННЫЙ ДЛЯ РОЗНИЧНОЙ ПРОДАЖИ,БЕЗ СОДЕРЖАНИЯ КРАХМАЛА,БЕЗ СОДЕРЖАНИЯ МОЛОЧНЫХ ПРОДУКТОВ,БЕЗ СОДЕРЖАНИЯ ГМО,В АССОРТИМЕНТЕ:</t>
  </si>
  <si>
    <t>10131010/060623/3203417</t>
  </si>
  <si>
    <t>3203417</t>
  </si>
  <si>
    <t>10131010/060623/3203225</t>
  </si>
  <si>
    <t>3203225</t>
  </si>
  <si>
    <t>10131010/060623/3203228</t>
  </si>
  <si>
    <t>3203228</t>
  </si>
  <si>
    <t>КОРМ ДЛЯ СОБАК И КОШЕК, РАСФАСОВАННЫЙ ДЛЯ РОЗНИЧНОЙ ПРОДАЖИ, БЕЗ СОДЕРЖАНИЯ КРАХМАЛА, БЕЗ СОДЕРЖАНИЯ МОЛОЧНЫХ ПРОДУКТОВ, БЕЗ СОДЕРЖАНИЯ ГМО, В АССОРТИМЕНТЕ:</t>
  </si>
  <si>
    <t>10131010/060623/3203402</t>
  </si>
  <si>
    <t>3203402</t>
  </si>
  <si>
    <t>10131010/060623/3202287</t>
  </si>
  <si>
    <t>3202287</t>
  </si>
  <si>
    <t>9042, , GHENT, TERDONKKAAI 16, ..,,</t>
  </si>
  <si>
    <t>10131010/060623/3202296</t>
  </si>
  <si>
    <t>3202296</t>
  </si>
  <si>
    <t>10131010/070623/3204201</t>
  </si>
  <si>
    <t>3204201</t>
  </si>
  <si>
    <t>10131010/070623/3204782</t>
  </si>
  <si>
    <t>3204782</t>
  </si>
  <si>
    <t>КОРМ ДЛЯ СОБАК И КОШЕК,РАСФАСОВАННЫЙ ДЛЯ РОЗНИЧНОЙ ПРОДАЖИ,БЕЗ СОДЕРЖАНИЯ КРАХМАЛА,БЕЗ СОДЕРЖАНИЯ МОЛОЧНЫХ ПРОДУКТОВ,В АССОРТИМЕНТЕ:</t>
  </si>
  <si>
    <t>10131010/010623/3196592</t>
  </si>
  <si>
    <t>3196592</t>
  </si>
  <si>
    <t>10131010/271123/3389161</t>
  </si>
  <si>
    <t>3389161</t>
  </si>
  <si>
    <t>10131010/020623/3197987</t>
  </si>
  <si>
    <t>3197987</t>
  </si>
  <si>
    <t>10131010/070623/3204786</t>
  </si>
  <si>
    <t>3204786</t>
  </si>
  <si>
    <t>10131010/080623/3205862</t>
  </si>
  <si>
    <t>3205862</t>
  </si>
  <si>
    <t>КОРМ ДЛЯ СОБАК И КОШЕК, РАСФАСОВАННЫЙ ДЛЯ РОЗНИЧHОЙ ПРОДАЖИ, БЕЗ СОДЕРЖАНИЯ КРАХМАЛА, БЕЗ СОДЕРЖАНИЯ МОЛОЧНЫХ ПРОДУКТОВ, БЕЗ СОДЕРЖАНИЯ ГМО, В АССОРТИМЕНТЕ:</t>
  </si>
  <si>
    <t>10131010/271123/3389182</t>
  </si>
  <si>
    <t>3389182</t>
  </si>
  <si>
    <t>10131010/130623/3211001</t>
  </si>
  <si>
    <t>3211001</t>
  </si>
  <si>
    <t>10131010/130623/3210748</t>
  </si>
  <si>
    <t>3210748</t>
  </si>
  <si>
    <t>10131010/130623/3210242</t>
  </si>
  <si>
    <t>3210242</t>
  </si>
  <si>
    <t>10131010/130623/3210274</t>
  </si>
  <si>
    <t>3210274</t>
  </si>
  <si>
    <t>10131010/301123/3394479</t>
  </si>
  <si>
    <t>3394479</t>
  </si>
  <si>
    <t>10131010/130623/3211158</t>
  </si>
  <si>
    <t>3211158</t>
  </si>
  <si>
    <t>10131010/130623/3210236</t>
  </si>
  <si>
    <t>3210236</t>
  </si>
  <si>
    <t>10131010/130623/3211532</t>
  </si>
  <si>
    <t>3211532</t>
  </si>
  <si>
    <t>10131010/130623/3210794</t>
  </si>
  <si>
    <t>3210794</t>
  </si>
  <si>
    <t>10131010/140623/3213549</t>
  </si>
  <si>
    <t>3213549</t>
  </si>
  <si>
    <t>10131010/221123/3385670</t>
  </si>
  <si>
    <t>3385670</t>
  </si>
  <si>
    <t>10131010/140623/3213310</t>
  </si>
  <si>
    <t>3213310</t>
  </si>
  <si>
    <t>10131010/140623/3213242</t>
  </si>
  <si>
    <t>3213242</t>
  </si>
  <si>
    <t>10131010/150623/3214215</t>
  </si>
  <si>
    <t>3214215</t>
  </si>
  <si>
    <t>10131010/150623/3214062</t>
  </si>
  <si>
    <t>3214062</t>
  </si>
  <si>
    <t>10131010/150623/3214240</t>
  </si>
  <si>
    <t>3214240</t>
  </si>
  <si>
    <t>10131010/190623/3219159</t>
  </si>
  <si>
    <t>3219159</t>
  </si>
  <si>
    <t>КОРМ ДЛЯ СОБАК,РАСФАСОВАННЫЙ ДЛЯ РОЗНИЧНОЙ ПРОДАЖИ,БЕЗ СОДЕРЖАНИЯ КРАХМАЛА,БЕЗ СОДЕРЖАНИЯ МОЛОЧНЫХ ПРОДУКТОВ,В АССОРТИМЕНТЕ:</t>
  </si>
  <si>
    <t>10131010/221123/3384843</t>
  </si>
  <si>
    <t>3384843</t>
  </si>
  <si>
    <t>10131010/231123/5045335</t>
  </si>
  <si>
    <t>5045335</t>
  </si>
  <si>
    <t>10131010/221123/5045064</t>
  </si>
  <si>
    <t>5045064</t>
  </si>
  <si>
    <t>10131010/190623/3219178</t>
  </si>
  <si>
    <t>3219178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</si>
  <si>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АСCОРТИМЕНТЕ</t>
  </si>
  <si>
    <t>10131010/221123/3385660</t>
  </si>
  <si>
    <t>3385660</t>
  </si>
  <si>
    <t>10131010/221123/3384889</t>
  </si>
  <si>
    <t>3384889</t>
  </si>
  <si>
    <t>10131010/221123/3385139</t>
  </si>
  <si>
    <t>3385139</t>
  </si>
  <si>
    <t>10131010/221123/3385665</t>
  </si>
  <si>
    <t>3385665</t>
  </si>
  <si>
    <t>10131010/200623/3221383</t>
  </si>
  <si>
    <t>3221383</t>
  </si>
  <si>
    <t>КОРМ ДЛЯ СОБАК И КОШЕК, РАСФАСОВАHНЫЙ ДЛЯ РОЗНИЧНОЙ ПРОДАЖИ, БЕЗ СОДЕРЖАНИЯ КРАХМАЛА, БЕЗ СОДЕРЖАНИЯ МОЛОЧНЫХ ПРОДУКТОВ, В АССОРТИМЕНТЕ:</t>
  </si>
  <si>
    <t>10131010/221123/3385745</t>
  </si>
  <si>
    <t>3385745</t>
  </si>
  <si>
    <t>10131010/200623/3221216</t>
  </si>
  <si>
    <t>3221216</t>
  </si>
  <si>
    <t>10131010/210623/3223899</t>
  </si>
  <si>
    <t>3223899</t>
  </si>
  <si>
    <t>КОРМ ДЛЯ СОБАК И КОШЕК, РАСФАСОВАННЫЙ ДЛЯ РОЗНИЧНОЙ ПРОДАЖИ, БЕЗ СОДЕРЖАНИЯ КРАХМАЛА, БЕЗ СОДЕРЖАНИЯ МОЛОЧHЫХ ПРОДУКТОВ,БЕЗ СОДЕРЖАНИЯ ГМО, В АССОРТИМЕНТЕ:</t>
  </si>
  <si>
    <t>10131010/210623/3222977</t>
  </si>
  <si>
    <t>3222977</t>
  </si>
  <si>
    <t>10131010/210623/3222986</t>
  </si>
  <si>
    <t>3222986</t>
  </si>
  <si>
    <t>КОРМ ДЛЯ СОБАК И КОШEК, РАСФАСОВАННЫЙ ДЛЯ РОЗНИЧНОЙ ПРОДАЖИ, БЕЗ СОДЕРЖАНИЯ КРАХМАЛА, БЕЗ СОДЕРЖАНИЯ МОЛОЧНЫХ ПРОДУКТОВ, В АССОРТИМЕНТЕ:</t>
  </si>
  <si>
    <t>10131010/210623/3223005</t>
  </si>
  <si>
    <t>3223005</t>
  </si>
  <si>
    <t>10131010/220623/3225377</t>
  </si>
  <si>
    <t>3225377</t>
  </si>
  <si>
    <t>КОРМ ДЛЯ СОБАК И КОШЕК, РAСФАСОВАННЫЙ ДЛЯ РОЗНИЧНОЙ ПРОДАЖИ, БЕЗ СОДЕРЖАНИЯ КРАХМАЛА, БЕЗ СОДЕРЖАНИЯ МОЛОЧНЫХ ПРОДУКТОВ, В АССОРТИМЕНТЕ</t>
  </si>
  <si>
    <t>10131010/220623/3224724</t>
  </si>
  <si>
    <t>3224724</t>
  </si>
  <si>
    <t>КОРМ ДЛЯ СОБАК И КОШЕК, РАСФАСОВАННЫЙ ДЛЯ РОЗНИЧНОЙ ПРОДАЖИ, БЕЗ СОДЕРЖАНИЯ КРАХМАЛА, БЕЗ СОДЕРЖАНИЯ МОЛОЧНЫХ ПРОДУКТОВ, В АССОРТИМЕНТЕ,В АССОРТИМЕНТЕ:</t>
  </si>
  <si>
    <t>10131010/220623/5005558</t>
  </si>
  <si>
    <t>5005558</t>
  </si>
  <si>
    <t>КОРМ ДЛЯ СОБАК И КОШЕК, РАСФАСОВАННЫЙ ДЛЯ РОЗНИЧHОЙ ПРОДАЖИ, БЕЗ СОДЕРЖАНИЯ КРАХМАЛА, БЕЗ СОДЕРЖАНИЯ МОЛОЧНЫХ ПРОДУКТОВ, В АССОРТИМЕНТЕ:</t>
  </si>
  <si>
    <t>10131010/201123/3382119</t>
  </si>
  <si>
    <t>3382119</t>
  </si>
  <si>
    <t>10131010/220623/3224901</t>
  </si>
  <si>
    <t>3224901</t>
  </si>
  <si>
    <t>10131010/220623/3225105</t>
  </si>
  <si>
    <t>3225105</t>
  </si>
  <si>
    <t>10131010/260623/3229462</t>
  </si>
  <si>
    <t>3229462</t>
  </si>
  <si>
    <t>10131010/270623/3232013</t>
  </si>
  <si>
    <t>3232013</t>
  </si>
  <si>
    <t>КОРМ ДЛЯ СОБАК И КОШЕК, РАСФАСОВАННЫЙ ДЛЯ РОЗНИЧНОЙ ПРОДАЖИ, БЕЗ СОДЕРЖАНИЯ КРАХМАЛА, БЕЗ СОДЕРЖАНИЯ МОЛОЧНЫХ ПPОДУКТОВ, В АССОРТИМЕНТЕ:</t>
  </si>
  <si>
    <t>10131010/270623/3232133</t>
  </si>
  <si>
    <t>3232133</t>
  </si>
  <si>
    <t>10131010/280623/3232806</t>
  </si>
  <si>
    <t>3232806</t>
  </si>
  <si>
    <t>КОРМ ДЛЯ СОБАК И КOШЕК, РАСФАСОВАННЫЙ ДЛЯ РОЗНИЧНОЙ ПРОДАЖИ, БЕЗ СОДЕРЖАНИЯ КРАХМАЛА, БЕЗ СОДЕРЖАНИЯ МОЛОЧНЫХ ПРОДУКТОВ, В АССОРТИМЕНТЕ:</t>
  </si>
  <si>
    <t>10131010/290623/3234199</t>
  </si>
  <si>
    <t>3234199</t>
  </si>
  <si>
    <t>10131010/290623/3234195</t>
  </si>
  <si>
    <t>3234195</t>
  </si>
  <si>
    <t>КОРМ ДЛЯ СОБАК И КОШЕК, РАСФАСОВАННЫЙ ДЛЯ РОЗНИЧНОЙ ПРОДАЖИ, БЕЗ СОДЕРЖАНИЯ КРАХМАЛА, БЕЗ СОДЕРЖАНИЯ MОЛОЧНЫХ ПРОДУКТОВ, В АССОРТИМЕНТЕ:</t>
  </si>
  <si>
    <t>10131010/300623/3236617</t>
  </si>
  <si>
    <t>3236617</t>
  </si>
  <si>
    <t>КОРМ ДЛЯ СОБАК И КОШЕК, РАСФАСОВАННЫЙ ДЛЯ РОЗНИЧНОЙ ПРОДАЖИ, БЕЗ СОДЕРЖАHИЯ КРАХМАЛА, БЕЗ СОДЕРЖАНИЯ МОЛОЧНЫХ ПРОДУКТОВ, В АССОРТИМЕНТЕ:</t>
  </si>
  <si>
    <t>10131010/151123/3377867</t>
  </si>
  <si>
    <t>3377867</t>
  </si>
  <si>
    <t>10131010/161123/3379384</t>
  </si>
  <si>
    <t>3379384</t>
  </si>
  <si>
    <t>10131010/300623/3236356</t>
  </si>
  <si>
    <t>3236356</t>
  </si>
  <si>
    <t>10131010/030723/3239102</t>
  </si>
  <si>
    <t>3239102</t>
  </si>
  <si>
    <t>9400, , ERPE-MERE, EVENBROEKVELD 1, ..</t>
  </si>
  <si>
    <t>10131010/171123/3380482</t>
  </si>
  <si>
    <t>3380482</t>
  </si>
  <si>
    <t>10131010/030723/3239121</t>
  </si>
  <si>
    <t>3239121</t>
  </si>
  <si>
    <t>10131010/030723/3238177</t>
  </si>
  <si>
    <t>3238177</t>
  </si>
  <si>
    <t>10131010/030723/3238165</t>
  </si>
  <si>
    <t>3238165</t>
  </si>
  <si>
    <t>10131010/030723/3238631</t>
  </si>
  <si>
    <t>3238631</t>
  </si>
  <si>
    <t>10131010/050723/3241282</t>
  </si>
  <si>
    <t>3241282</t>
  </si>
  <si>
    <t>КОРМ ДЛЯ СОБАК И КОШЕК, РАСФАСОВАННЫЙ ДЛЯ РОЗНИЧНОЙ ПРОДАЖИ, БЕЗ СОДЕРЖАНИЯ КРАХМАЛА, БЕЗ СОДЕРЖАНИЯ МОЛОЧНЫХ ПРОДУКТОВ, В АССОРТИМEНТЕ:</t>
  </si>
  <si>
    <t>10131010/050723/3241858</t>
  </si>
  <si>
    <t>3241858</t>
  </si>
  <si>
    <t>10131010/060723/5006247</t>
  </si>
  <si>
    <t>5006247</t>
  </si>
  <si>
    <t>КОРМ ДЛЯ СОБАК И КОШЕК, РАСФАСОВАННЫЙ ДЛЯ РОЗНИЧНОЙ ПРОДАЖИ, БЕЗ СОДЕРЖАНИЯ КРАХМАЛА, БЕЗ СОДЕРЖАНИЯ МОЛОЧНЫХ ПРОДУКТОВ, В АССОPТИМЕНТЕ,В АССОРТИМЕНТЕ</t>
  </si>
  <si>
    <t>10131010/151123/3377623</t>
  </si>
  <si>
    <t>3377623</t>
  </si>
  <si>
    <t>КОРМ ДЛЯ КОШЕК, РАСФАСОВАННЫЙ ДЛЯ РОЗНИЧНОЙ ПРОДАЖИ, БЕЗ СОДЕРЖАНИЯ КРАХМАЛА, БЕЗ СОДЕРЖАНИЯ МОЛОЧНЫХ ПРОДУКТОВ, В АССОРТИМЕНТЕ:</t>
  </si>
  <si>
    <t>10131010/060723/3242968</t>
  </si>
  <si>
    <t>3242968</t>
  </si>
  <si>
    <t>КОРМ ДЛЯ СОБАК И КОШЕК, РАСФАСОВАННЫЙ ДЛЯ РОЗНИЧНОЙ ПРОДАЖИ, БЕЗ СОДЕРЖАНИЯ КРАХМАЛА, БЕЗ СОДЕРЖАНИЯ МОЛОЧНЫХ ПРОДУКТОВ, В AССОРТИМЕНТЕ:</t>
  </si>
  <si>
    <t>10131010/060723/3242345</t>
  </si>
  <si>
    <t>3242345</t>
  </si>
  <si>
    <t>10131010/161123/3379371</t>
  </si>
  <si>
    <t>3379371</t>
  </si>
  <si>
    <t>10131010/070723/5006363</t>
  </si>
  <si>
    <t>5006363</t>
  </si>
  <si>
    <t>КОРМ ДЛЯ СОБАК И КОШЕК, РАСФАСОВАННЫЙ ДЛЯ РОЗНИЧНОЙ ПРОДАЖИ, БЕЗ СОДЕРЖАНИЯ КРАХМАЛА, БЕЗ СОДЕРЖАНИЯ МОЛОЧНЫХ ПРОДУКТОВ, В АССОРТИМЕHТЕ:</t>
  </si>
  <si>
    <t>10131010/100723/3246009</t>
  </si>
  <si>
    <t>3246009</t>
  </si>
  <si>
    <t>9400, , ERPE-MERE, EVENBROEKVELD 1, ,,</t>
  </si>
  <si>
    <t>10131010/100723/3244875</t>
  </si>
  <si>
    <t>3244875</t>
  </si>
  <si>
    <t>КОРМ ДЛЯ СОБАК И КОШЕК, РАСФАСОВАННЫЙ ДЛЯ РОЗНИЧНОЙ ПРОДАЖИ, БЕЗ СОДЕРЖAНИЯ КРАХМАЛА, БЕЗ СОДЕРЖАНИЯ МОЛОЧНЫХ ПРОДУКТОВ, В АССОРТИМЕНТЕ:</t>
  </si>
  <si>
    <t>10131010/100723/3244854</t>
  </si>
  <si>
    <t>3244854</t>
  </si>
  <si>
    <t>10131010/100723/3244858</t>
  </si>
  <si>
    <t>3244858</t>
  </si>
  <si>
    <t>10131010/110723/3246439</t>
  </si>
  <si>
    <t>3246439</t>
  </si>
  <si>
    <t>КОРМ ДЛЯ СОБАК И КОШЕК, РАСФАСОВАННЫЙ ДЛЯ РОЗНИЧНОЙ ПРОДАЖИ, БЕЗ СОДЕРЖАНИЯ КРАХМАЛА, БЕЗ СОДЕРЖАНИЯ МОЛОЧНЫХ ПРОДУКТОВ, В АССОРТИMЕНТЕ:</t>
  </si>
  <si>
    <t>10131010/161123/3379353</t>
  </si>
  <si>
    <t>3379353</t>
  </si>
  <si>
    <t>10131010/120723/3248588</t>
  </si>
  <si>
    <t>3248588</t>
  </si>
  <si>
    <t>10131010/120723/3247832</t>
  </si>
  <si>
    <t>3247832</t>
  </si>
  <si>
    <t>КОРМ ДЛЯ СОБАК И КОШЕК, РАСФАСОВАННЫЙ ДЛЯ РОЗНИЧНОЙ ПРОДАЖИ, БЕЗ СОДЕРЖАНИЯ КРАХМАЛА, БЕЗ СОДЕРЖАНИЯ МОЛОЧНЫХ ПРОДУКТОВ, В АССОРТИМЕНТE:</t>
  </si>
  <si>
    <t>10131010/120723/3247837</t>
  </si>
  <si>
    <t>3247837</t>
  </si>
  <si>
    <t>10131010/201123/3382073</t>
  </si>
  <si>
    <t>3382073</t>
  </si>
  <si>
    <t>10131010/171123/3380583</t>
  </si>
  <si>
    <t>3380583</t>
  </si>
  <si>
    <t>10131010/130723/3249921</t>
  </si>
  <si>
    <t>3249921</t>
  </si>
  <si>
    <t>10131010/161123/3379064</t>
  </si>
  <si>
    <t>3379064</t>
  </si>
  <si>
    <t>10131010/130723/3250132</t>
  </si>
  <si>
    <t>3250132</t>
  </si>
  <si>
    <t>10131010/151123/3377872</t>
  </si>
  <si>
    <t>3377872</t>
  </si>
  <si>
    <t>10131010/130723/3250136</t>
  </si>
  <si>
    <t>3250136</t>
  </si>
  <si>
    <t>10131010/130723/3249277</t>
  </si>
  <si>
    <t>3249277</t>
  </si>
  <si>
    <t>10131010/130723/5007641</t>
  </si>
  <si>
    <t>5007641</t>
  </si>
  <si>
    <t>10131010/151123/3377357</t>
  </si>
  <si>
    <t>3377357</t>
  </si>
  <si>
    <t>10131010/201123/3382412</t>
  </si>
  <si>
    <t>3382412</t>
  </si>
  <si>
    <t>10131010/161123/3379318</t>
  </si>
  <si>
    <t>3379318</t>
  </si>
  <si>
    <t>10131010/140723/3250535</t>
  </si>
  <si>
    <t>3250535</t>
  </si>
  <si>
    <t>КОРМ ДЛЯ СОБАК И КОШЕК, РАСФАСОВАННЫЙ ДЛЯ РОЗНИЧНОЙ ПРОДАЖИ, БЕЗ СОДЕРЖАНИЯ КРАХМАЛА, БЕЗ СОДЕРЖАНИЯ МОЛОЧНЫX ПРОДУКТОВ,БЕЗ СОДЕРЖАНИЯ ГМО, В АССОРТИМЕНТЕ</t>
  </si>
  <si>
    <t>10131010/140723/3250549</t>
  </si>
  <si>
    <t>3250549</t>
  </si>
  <si>
    <t>КОРМ ДЛЯ СОБАК И КОШЕК, РАСФАСОВАННЫЙ ДЛЯ РОЗНИЧНОЙ ПРОДАЖИ, БЕЗ СОДЕРЖАНИЯ КРАХМАЛА, БЕЗ СОДЕРЖАНИЯ МОЛОЧНЫХ ПРОДУKТОВ, В АССОРТИМЕНТЕ:</t>
  </si>
  <si>
    <t>10131010/140723/3250532</t>
  </si>
  <si>
    <t>3250532</t>
  </si>
  <si>
    <t>КОРМ ДЛЯ СОБАК И КОШЕК, РАСФАСОВАННЫЙ ДЛЯ РОЗНИЧНОЙ ПРОДАЖИ, БЕЗ СОДЕРЖАНИЯ КРАХМАЛА, БЕЗ СОДЕРЖАHИЯ МОЛОЧНЫХ ПРОДУКТОВ, В АССОРТИМЕНТЕ,В АССОРТИМЕНТЕ</t>
  </si>
  <si>
    <t>10131010/170723/3253273</t>
  </si>
  <si>
    <t>3253273</t>
  </si>
  <si>
    <t>10131010/141123/3376312</t>
  </si>
  <si>
    <t>3376312</t>
  </si>
  <si>
    <t>10131010/170723/3252221</t>
  </si>
  <si>
    <t>3252221</t>
  </si>
  <si>
    <t>КОРМ ДЛЯ СОБАК, РАСФАCОВАННЫЙ ДЛЯ РОЗНИЧНОЙ ПРОДАЖИ, БЕЗ СОДЕРЖАНИЯ КРАХМАЛА, БЕЗ СОДЕРЖАНИЯ МОЛОЧНЫХ ПРОДУКТОВ,БЕЗ СОДЕРЖАНИЯ ГМО, В АССОРТИМЕНТЕ</t>
  </si>
  <si>
    <t>10131010/170723/3252027</t>
  </si>
  <si>
    <t>3252027</t>
  </si>
  <si>
    <t>КОРМ ДЛЯ СОБАК И КОШEК, РАСФАСОВАННЫЙ ДЛЯ РОЗНИЧНОЙ ПРОДАЖИ, БЕЗ СОДЕРЖАНИЯ КРАХМАЛА, БЕЗ СОДЕРЖАНИЯ МОЛОЧНЫХ ПРОДУКТОВ, В АССОРТИМЕНТЕ</t>
  </si>
  <si>
    <t>10131010/170723/3252189</t>
  </si>
  <si>
    <t>3252189</t>
  </si>
  <si>
    <t>10131010/170723/3252194</t>
  </si>
  <si>
    <t>3252194</t>
  </si>
  <si>
    <t>10131010/141123/3375669</t>
  </si>
  <si>
    <t>3375669</t>
  </si>
  <si>
    <t>10131010/131123/3374669</t>
  </si>
  <si>
    <t>3374669</t>
  </si>
  <si>
    <t>10131010/180723/3253943</t>
  </si>
  <si>
    <t>3253943</t>
  </si>
  <si>
    <t>10131010/141123/3376317</t>
  </si>
  <si>
    <t>3376317</t>
  </si>
  <si>
    <t>10131010/190723/3255293</t>
  </si>
  <si>
    <t>3255293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</si>
  <si>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АССОРТИМЕНTЕ:</t>
  </si>
  <si>
    <t>10131010/190723/3255457</t>
  </si>
  <si>
    <t>3255457</t>
  </si>
  <si>
    <t>10131010/190723/3255537</t>
  </si>
  <si>
    <t>3255537</t>
  </si>
  <si>
    <t>КОРМ ДЛЯ СОБАК И КОШЕК, РАСФАСОВАННЫЙ ДЛЯ РОЗНИЧНОЙ ПРОДАЖИ, БЕЗ СОДЕРЖАНИЯ КРАХМАЛА, БЕЗ СОДЕРЖАНИЯ МОЛОЧНЫХ ПРОДУКТОВ,БЕЗ СОДЕPЖАНИЯ ГМО, В АССОРТИМЕНТЕ:</t>
  </si>
  <si>
    <t>10131010/190723/3255268</t>
  </si>
  <si>
    <t>3255268</t>
  </si>
  <si>
    <t>КОРМ ДЛЯ СОБАК И КОШЕК, РАСФАСОВАННЫЙ ДЛЯ РОЗНИЧНОЙ ПРОДАЖИ, БЕЗ CОДЕРЖАНИЯ КРАХМАЛА, БЕЗ СОДЕРЖАНИЯ МОЛОЧНЫХ ПРОДУКТОВ, В АССОРТИМЕНТЕ:</t>
  </si>
  <si>
    <t>10131010/200723/3256377</t>
  </si>
  <si>
    <t>3256377</t>
  </si>
  <si>
    <t>КОРМ ДЛЯ СОБАК И КОШЕК, РАСФАСОВАННЫЙ ДЛЯ РОЗНИЧНОЙ ПРОДАЖИ, БЕЗ СОДЕРЖАНИЯ КРАХМAЛА, БЕЗ СОДЕРЖАНИЯ МОЛОЧНЫХ ПРОДУКТОВ, В АССОРТИМЕНТЕ:</t>
  </si>
  <si>
    <t>10131010/200723/3256371</t>
  </si>
  <si>
    <t>3256371</t>
  </si>
  <si>
    <t>КОРМ ДЛЯ СОБАК И КОШЕК, РАСФАСОВАНHЫЙ ДЛЯ РОЗНИЧНОЙ ПРОДАЖИ, БЕЗ СОДЕРЖАНИЯ КРАХМАЛА, БЕЗ СОДЕРЖАНИЯ МОЛОЧНЫХ ПРОДУКТОВ,БЕЗ СОДЕРЖАНИЯ ГМО, В АССОРТИМЕНТЕ</t>
  </si>
  <si>
    <t>10131010/151123/3377359</t>
  </si>
  <si>
    <t>3377359</t>
  </si>
  <si>
    <t>10131010/200723/3256211</t>
  </si>
  <si>
    <t>3256211</t>
  </si>
  <si>
    <t>10131010/210723/3258101</t>
  </si>
  <si>
    <t>3258101</t>
  </si>
  <si>
    <t>10131010/141123/3375605</t>
  </si>
  <si>
    <t>3375605</t>
  </si>
  <si>
    <t>10131010/131123/3374215</t>
  </si>
  <si>
    <t>3374215</t>
  </si>
  <si>
    <t>10131010/210723/3258323</t>
  </si>
  <si>
    <t>3258323</t>
  </si>
  <si>
    <t>10131010/131123/3374529</t>
  </si>
  <si>
    <t>3374529</t>
  </si>
  <si>
    <t>10131010/101123/3372204</t>
  </si>
  <si>
    <t>3372204</t>
  </si>
  <si>
    <t>10131010/101123/3371959</t>
  </si>
  <si>
    <t>3371959</t>
  </si>
  <si>
    <t>10131010/210723/3257504</t>
  </si>
  <si>
    <t>3257504</t>
  </si>
  <si>
    <t>КОРМ ДЛЯ СОБАК И КОШЕК, РАСФАСОВАННЫЙ ДЛЯ РОЗНИЧНОЙ ПРОДАЖИ, БЕЗ СОДЕРЖАНИЯ КРАХМАЛА, БЕЗ CОДЕРЖАНИЯ МОЛОЧНЫХ ПРОДУКТОВ, В АССОРТИМЕНТЕ:</t>
  </si>
  <si>
    <t>10131010/240723/3259354</t>
  </si>
  <si>
    <t>3259354</t>
  </si>
  <si>
    <t>10131010/240723/3259004</t>
  </si>
  <si>
    <t>3259004</t>
  </si>
  <si>
    <t>10131010/101123/3371660</t>
  </si>
  <si>
    <t>3371660</t>
  </si>
  <si>
    <t>10131010/081123/3368953</t>
  </si>
  <si>
    <t>3368953</t>
  </si>
  <si>
    <t>10131010/071123/3367611</t>
  </si>
  <si>
    <t>3367611</t>
  </si>
  <si>
    <t>КОРМ ДЛЯ КОШЕК, РАСФАСОВАННЫЙ ДЛЯ РОЗНИЧНОЙ ПРОДАЖИ, БЕЗ СОДЕРЖАНИЯ КРАХМАЛА, БЕЗ СОДЕРЖАНИЯ МОЛОЧНЫХ ПРОДУКТОВ,БЕЗ СОДЕРЖАНИЯ ГМО, В АССОРТИМЕНТЕ</t>
  </si>
  <si>
    <t>10131010/071123/5040655</t>
  </si>
  <si>
    <t>5040655</t>
  </si>
  <si>
    <t>10131010/081123/3369377</t>
  </si>
  <si>
    <t>3369377</t>
  </si>
  <si>
    <t>10131010/240723/3259008</t>
  </si>
  <si>
    <t>3259008</t>
  </si>
  <si>
    <t>10131010/081123/3368913</t>
  </si>
  <si>
    <t>3368913</t>
  </si>
  <si>
    <t>10131010/240723/3259999</t>
  </si>
  <si>
    <t>3259999</t>
  </si>
  <si>
    <t>10131010/240723/3259349</t>
  </si>
  <si>
    <t>3259349</t>
  </si>
  <si>
    <t>10131010/071123/3368488</t>
  </si>
  <si>
    <t>3368488</t>
  </si>
  <si>
    <t>10131010/071123/3368492</t>
  </si>
  <si>
    <t>3368492</t>
  </si>
  <si>
    <t>10131010/240723/3258994</t>
  </si>
  <si>
    <t>3258994</t>
  </si>
  <si>
    <t>10131010/250723/3261508</t>
  </si>
  <si>
    <t>3261508</t>
  </si>
  <si>
    <t>10131010/260723/3262064</t>
  </si>
  <si>
    <t>3262064</t>
  </si>
  <si>
    <t>КОРМ ДЛЯ СОБАК И КОШЕК, РАСФАСОВАННЫЙ ДЛЯ РОЗНИЧНОЙ ПРОДАЖИ, БEЗ СОДЕРЖАНИЯ КРАХМАЛА, БЕЗ СОДЕРЖАНИЯ МОЛОЧНЫХ ПРОДУКТОВ, В АССОРТИМЕНТЕ</t>
  </si>
  <si>
    <t>10131010/260723/3262536</t>
  </si>
  <si>
    <t>3262536</t>
  </si>
  <si>
    <t>КОРМ ДЛЯ СОБАК И КОШЕК, РАСФАСОВАННЫЙ ДЛЯ РОЗНИЧНОЙ ПРОДАЖИ, БЕЗ СОДЕРЖАНИЯ КРАХМАЛА, БEЗ СОДЕРЖАНИЯ МОЛОЧНЫХ ПРОДУКТОВ, В АССОРТИМЕНТЕ:</t>
  </si>
  <si>
    <t>10131010/270723/3263534</t>
  </si>
  <si>
    <t>3263534</t>
  </si>
  <si>
    <t>10131010/270723/3263521</t>
  </si>
  <si>
    <t>3263521</t>
  </si>
  <si>
    <t>10131010/270723/3263546</t>
  </si>
  <si>
    <t>3263546</t>
  </si>
  <si>
    <t>10131010/270723/3263551</t>
  </si>
  <si>
    <t>3263551</t>
  </si>
  <si>
    <t>10131010/071123/5040648</t>
  </si>
  <si>
    <t>5040648</t>
  </si>
  <si>
    <t>10131010/310723/3267044</t>
  </si>
  <si>
    <t>3267044</t>
  </si>
  <si>
    <t>10106050-т/п Обнинский</t>
  </si>
  <si>
    <t>10131010/071123/3367015</t>
  </si>
  <si>
    <t>3367015</t>
  </si>
  <si>
    <t>10131010/071123/3366979</t>
  </si>
  <si>
    <t>3366979</t>
  </si>
  <si>
    <t>10131010/310723/3267047</t>
  </si>
  <si>
    <t>3267047</t>
  </si>
  <si>
    <t>10131010/310723/3267056</t>
  </si>
  <si>
    <t>3267056</t>
  </si>
  <si>
    <t>10131010/310723/3267093</t>
  </si>
  <si>
    <t>3267093</t>
  </si>
  <si>
    <t>10131010/310723/3267102</t>
  </si>
  <si>
    <t>3267102</t>
  </si>
  <si>
    <t>10131010/071123/3368101</t>
  </si>
  <si>
    <t>3368101</t>
  </si>
  <si>
    <t>10131010/310723/3267476</t>
  </si>
  <si>
    <t>3267476</t>
  </si>
  <si>
    <t>10131010/310723/3267477</t>
  </si>
  <si>
    <t>3267477</t>
  </si>
  <si>
    <t>10131010/310723/3267480</t>
  </si>
  <si>
    <t>3267480</t>
  </si>
  <si>
    <t>10131010/010823/3268134</t>
  </si>
  <si>
    <t>3268134</t>
  </si>
  <si>
    <t>Ин</t>
  </si>
  <si>
    <t>10131010/010823/3268150</t>
  </si>
  <si>
    <t>3268150</t>
  </si>
  <si>
    <t>СВ</t>
  </si>
  <si>
    <t>10131010/010823/3268171</t>
  </si>
  <si>
    <t>3268171</t>
  </si>
  <si>
    <t>10131010/010823/3268829</t>
  </si>
  <si>
    <t>3268829</t>
  </si>
  <si>
    <t>10131010/020823/3269227</t>
  </si>
  <si>
    <t>3269227</t>
  </si>
  <si>
    <t>10131010/020823/3269706</t>
  </si>
  <si>
    <t>3269706</t>
  </si>
  <si>
    <t>10131010/030823/3270629</t>
  </si>
  <si>
    <t>3270629</t>
  </si>
  <si>
    <t>10131010/011123/3363458</t>
  </si>
  <si>
    <t>3363458</t>
  </si>
  <si>
    <t>10131010/030823/3270635</t>
  </si>
  <si>
    <t>3270635</t>
  </si>
  <si>
    <t>10131010/030823/5013241</t>
  </si>
  <si>
    <t>5013241</t>
  </si>
  <si>
    <t>10131010/040823/3271892</t>
  </si>
  <si>
    <t>3271892</t>
  </si>
  <si>
    <t>10131010/011123/3362602</t>
  </si>
  <si>
    <t>3362602</t>
  </si>
  <si>
    <t>10131010/040823/3271894</t>
  </si>
  <si>
    <t>3271894</t>
  </si>
  <si>
    <t>10131010/040823/3272225</t>
  </si>
  <si>
    <t>3272225</t>
  </si>
  <si>
    <t>10131010/021123/3364099</t>
  </si>
  <si>
    <t>3364099</t>
  </si>
  <si>
    <t>10131010/040823/5013683</t>
  </si>
  <si>
    <t>5013683</t>
  </si>
  <si>
    <t>10131010/070823/3274296</t>
  </si>
  <si>
    <t>3274296</t>
  </si>
  <si>
    <t>10131010/070823/3274298</t>
  </si>
  <si>
    <t>3274298</t>
  </si>
  <si>
    <t>10131010/070823/3274301</t>
  </si>
  <si>
    <t>3274301</t>
  </si>
  <si>
    <t>10131010/070823/3274306</t>
  </si>
  <si>
    <t>3274306</t>
  </si>
  <si>
    <t>10131010/070823/3274309</t>
  </si>
  <si>
    <t>3274309</t>
  </si>
  <si>
    <t>10131010/070823/3274312</t>
  </si>
  <si>
    <t>3274312</t>
  </si>
  <si>
    <t>10131010/070823/3274317</t>
  </si>
  <si>
    <t>3274317</t>
  </si>
  <si>
    <t>10131010/070823/3274322</t>
  </si>
  <si>
    <t>3274322</t>
  </si>
  <si>
    <t>10131010/070823/3274328</t>
  </si>
  <si>
    <t>3274328</t>
  </si>
  <si>
    <t>10131010/070823/3274378</t>
  </si>
  <si>
    <t>3274378</t>
  </si>
  <si>
    <t>10131010/080823/3275097</t>
  </si>
  <si>
    <t>3275097</t>
  </si>
  <si>
    <t>10131010/080823/3275231</t>
  </si>
  <si>
    <t>3275231</t>
  </si>
  <si>
    <t>10131010/080823/3275592</t>
  </si>
  <si>
    <t>3275592</t>
  </si>
  <si>
    <t>10131010/090823/3276368</t>
  </si>
  <si>
    <t>3276368</t>
  </si>
  <si>
    <t>10131010/100823/3277251</t>
  </si>
  <si>
    <t>3277251</t>
  </si>
  <si>
    <t>10131010/100823/3278031</t>
  </si>
  <si>
    <t>3278031</t>
  </si>
  <si>
    <t>10131010/100823/3278049</t>
  </si>
  <si>
    <t>3278049</t>
  </si>
  <si>
    <t>10131010/100823/3278057</t>
  </si>
  <si>
    <t>3278057</t>
  </si>
  <si>
    <t>10131010/100823/3278304</t>
  </si>
  <si>
    <t>3278304</t>
  </si>
  <si>
    <t>10131010/100823/3278314</t>
  </si>
  <si>
    <t>3278314</t>
  </si>
  <si>
    <t>10131010/100823/3278322</t>
  </si>
  <si>
    <t>3278322</t>
  </si>
  <si>
    <t>10131010/021123/3364089</t>
  </si>
  <si>
    <t>3364089</t>
  </si>
  <si>
    <t>10131010/100823/3278345</t>
  </si>
  <si>
    <t>3278345</t>
  </si>
  <si>
    <t>10131010/140823/3280729</t>
  </si>
  <si>
    <t>3280729</t>
  </si>
  <si>
    <t>7,7010044847</t>
  </si>
  <si>
    <t>10131010/140823/3280750</t>
  </si>
  <si>
    <t>3280750</t>
  </si>
  <si>
    <t>10131010/140823/3280755</t>
  </si>
  <si>
    <t>3280755</t>
  </si>
  <si>
    <t>10131010/021123/3364790</t>
  </si>
  <si>
    <t>3364790</t>
  </si>
  <si>
    <t>10131010/140823/3280759</t>
  </si>
  <si>
    <t>3280759</t>
  </si>
  <si>
    <t>10131010/140823/3280767</t>
  </si>
  <si>
    <t>3280767</t>
  </si>
  <si>
    <t>10131010/140823/3280778</t>
  </si>
  <si>
    <t>3280778</t>
  </si>
  <si>
    <t>10131010/140823/3280785</t>
  </si>
  <si>
    <t>3280785</t>
  </si>
  <si>
    <t>10131010/140823/3281437</t>
  </si>
  <si>
    <t>3281437</t>
  </si>
  <si>
    <t>10131010/150823/3281876</t>
  </si>
  <si>
    <t>3281876</t>
  </si>
  <si>
    <t>10131010/150823/3282397</t>
  </si>
  <si>
    <t>3282397</t>
  </si>
  <si>
    <t>10131010/150823/3282817</t>
  </si>
  <si>
    <t>3282817</t>
  </si>
  <si>
    <t>10131010/150823/3282829</t>
  </si>
  <si>
    <t>3282829</t>
  </si>
  <si>
    <t>10131010/021123/3364794</t>
  </si>
  <si>
    <t>3364794</t>
  </si>
  <si>
    <t>10131010/160823/3283466</t>
  </si>
  <si>
    <t>3283466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</si>
  <si>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АССОРТИМЕНТЕ":</t>
  </si>
  <si>
    <t>10131010/091123/3371322</t>
  </si>
  <si>
    <t>3371322</t>
  </si>
  <si>
    <t>10131010/011123/3363459</t>
  </si>
  <si>
    <t>3363459</t>
  </si>
  <si>
    <t>10131010/160823/3283843</t>
  </si>
  <si>
    <t>3283843</t>
  </si>
  <si>
    <t>10131010/170823/3285181</t>
  </si>
  <si>
    <t>3285181</t>
  </si>
  <si>
    <t>10131010/170823/3285183</t>
  </si>
  <si>
    <t>3285183</t>
  </si>
  <si>
    <t>10131010/170823/3285184</t>
  </si>
  <si>
    <t>3285184</t>
  </si>
  <si>
    <t>10131010/170823/3285191</t>
  </si>
  <si>
    <t>3285191</t>
  </si>
  <si>
    <t>10131010/170823/3285290</t>
  </si>
  <si>
    <t>3285290</t>
  </si>
  <si>
    <t>10131010/170823/3285351</t>
  </si>
  <si>
    <t>3285351</t>
  </si>
  <si>
    <t>10131010/180823/3286606</t>
  </si>
  <si>
    <t>3286606</t>
  </si>
  <si>
    <t>10131010/180823/3286591</t>
  </si>
  <si>
    <t>3286591</t>
  </si>
  <si>
    <t>10131010/180823/3286592</t>
  </si>
  <si>
    <t>3286592</t>
  </si>
  <si>
    <t>10131010/180823/3286598</t>
  </si>
  <si>
    <t>3286598</t>
  </si>
  <si>
    <t>10131010/180823/3286654</t>
  </si>
  <si>
    <t>3286654</t>
  </si>
  <si>
    <t>10131010/180823/3286658</t>
  </si>
  <si>
    <t>3286658</t>
  </si>
  <si>
    <t>10131010/311023/3362213</t>
  </si>
  <si>
    <t>3362213</t>
  </si>
  <si>
    <t>10131010/180823/3286874</t>
  </si>
  <si>
    <t>3286874</t>
  </si>
  <si>
    <t>10131010/210823/3287300</t>
  </si>
  <si>
    <t>3287300</t>
  </si>
  <si>
    <t>10131010/220823/3289962</t>
  </si>
  <si>
    <t>3289962</t>
  </si>
  <si>
    <t>10131010/230823/3290202</t>
  </si>
  <si>
    <t>3290202</t>
  </si>
  <si>
    <t>10131010/230823/5018955</t>
  </si>
  <si>
    <t>5018955</t>
  </si>
  <si>
    <t>10131010/230823/5018985</t>
  </si>
  <si>
    <t>5018985</t>
  </si>
  <si>
    <t>10131010/240823/3291636</t>
  </si>
  <si>
    <t>3291636</t>
  </si>
  <si>
    <t>10131010/301023/3359705</t>
  </si>
  <si>
    <t>3359705</t>
  </si>
  <si>
    <t>10131010/240823/3292341</t>
  </si>
  <si>
    <t>3292341</t>
  </si>
  <si>
    <t>10131010/301023/3360061</t>
  </si>
  <si>
    <t>3360061</t>
  </si>
  <si>
    <t>10131010/240823/5019237</t>
  </si>
  <si>
    <t>5019237</t>
  </si>
  <si>
    <t>10131010/250823/3293015</t>
  </si>
  <si>
    <t>3293015</t>
  </si>
  <si>
    <t>10131010/301023/3360055</t>
  </si>
  <si>
    <t>3360055</t>
  </si>
  <si>
    <t>10131010/250823/3293667</t>
  </si>
  <si>
    <t>3293667</t>
  </si>
  <si>
    <t>10131010/280823/3294334</t>
  </si>
  <si>
    <t>3294334</t>
  </si>
  <si>
    <t>10131010/280823/3294899</t>
  </si>
  <si>
    <t>3294899</t>
  </si>
  <si>
    <t>10131010/280823/3295434</t>
  </si>
  <si>
    <t>3295434</t>
  </si>
  <si>
    <t>10131010/280823/5020439</t>
  </si>
  <si>
    <t>5020439</t>
  </si>
  <si>
    <t>10131010/280823/5020452</t>
  </si>
  <si>
    <t>5020452</t>
  </si>
  <si>
    <t>10131010/290823/3296794</t>
  </si>
  <si>
    <t>3296794</t>
  </si>
  <si>
    <t>10131010/301023/3359647</t>
  </si>
  <si>
    <t>3359647</t>
  </si>
  <si>
    <t>10131010/290823/3296980</t>
  </si>
  <si>
    <t>3296980</t>
  </si>
  <si>
    <t>10131010/290823/3296996</t>
  </si>
  <si>
    <t>3296996</t>
  </si>
  <si>
    <t>10131010/290823/5020743</t>
  </si>
  <si>
    <t>5020743</t>
  </si>
  <si>
    <t>10131010/290823/5020749</t>
  </si>
  <si>
    <t>5020749</t>
  </si>
  <si>
    <t>10131010/290823/5020771</t>
  </si>
  <si>
    <t>5020771</t>
  </si>
  <si>
    <t>10131010/300823/3298066</t>
  </si>
  <si>
    <t>3298066</t>
  </si>
  <si>
    <t>10131010/300823/3298467</t>
  </si>
  <si>
    <t>3298467</t>
  </si>
  <si>
    <t>10131010/300823/3298510</t>
  </si>
  <si>
    <t>3298510</t>
  </si>
  <si>
    <t>10131010/300823/3298530</t>
  </si>
  <si>
    <t>3298530</t>
  </si>
  <si>
    <t>10131010/311023/3362194</t>
  </si>
  <si>
    <t>3362194</t>
  </si>
  <si>
    <t>10131010/300823/5020960</t>
  </si>
  <si>
    <t>5020960</t>
  </si>
  <si>
    <t>10131010/300823/5020971</t>
  </si>
  <si>
    <t>5020971</t>
  </si>
  <si>
    <t>10131010/311023/3362192</t>
  </si>
  <si>
    <t>3362192</t>
  </si>
  <si>
    <t>10131010/310823/5021240</t>
  </si>
  <si>
    <t>5021240</t>
  </si>
  <si>
    <t>11209159-11209159</t>
  </si>
  <si>
    <t>10131010/311023/3362191</t>
  </si>
  <si>
    <t>3362191</t>
  </si>
  <si>
    <t>10131010/310823/3299344</t>
  </si>
  <si>
    <t>3299344</t>
  </si>
  <si>
    <t>11216463-11216463</t>
  </si>
  <si>
    <t>10131010/010923/5021604</t>
  </si>
  <si>
    <t>5021604</t>
  </si>
  <si>
    <t>10131010/040923/3301973</t>
  </si>
  <si>
    <t>3301973</t>
  </si>
  <si>
    <t>10131010/040923/3301972</t>
  </si>
  <si>
    <t>3301972</t>
  </si>
  <si>
    <t>10131010/301023/3359764</t>
  </si>
  <si>
    <t>3359764</t>
  </si>
  <si>
    <t>10131010/040923/3301930</t>
  </si>
  <si>
    <t>3301930</t>
  </si>
  <si>
    <t>10131010/040923/3301929</t>
  </si>
  <si>
    <t>3301929</t>
  </si>
  <si>
    <t>10131010/040923/3301944</t>
  </si>
  <si>
    <t>3301944</t>
  </si>
  <si>
    <t>10131010/040923/3301943</t>
  </si>
  <si>
    <t>3301943</t>
  </si>
  <si>
    <t>10131010/050923/3303192</t>
  </si>
  <si>
    <t>3303192</t>
  </si>
  <si>
    <t>10131010/050923/3303251</t>
  </si>
  <si>
    <t>3303251</t>
  </si>
  <si>
    <t>10131010/060923/3304655</t>
  </si>
  <si>
    <t>3304655</t>
  </si>
  <si>
    <t>10131010/271023/3357918</t>
  </si>
  <si>
    <t>3357918</t>
  </si>
  <si>
    <t>10131010/060923/3304631</t>
  </si>
  <si>
    <t>3304631</t>
  </si>
  <si>
    <t>10131010/060923/3304554</t>
  </si>
  <si>
    <t>3304554</t>
  </si>
  <si>
    <t>10131010/271023/3357933</t>
  </si>
  <si>
    <t>3357933</t>
  </si>
  <si>
    <t>10131010/301023/3359947</t>
  </si>
  <si>
    <t>3359947</t>
  </si>
  <si>
    <t>10131010/060923/3304555</t>
  </si>
  <si>
    <t>3304555</t>
  </si>
  <si>
    <t>10131010/271023/3357917</t>
  </si>
  <si>
    <t>3357917</t>
  </si>
  <si>
    <t>10131010/070923/3305507</t>
  </si>
  <si>
    <t>3305507</t>
  </si>
  <si>
    <t>10131010/271023/3358070</t>
  </si>
  <si>
    <t>3358070</t>
  </si>
  <si>
    <t>10131010/070923/3306004</t>
  </si>
  <si>
    <t>3306004</t>
  </si>
  <si>
    <t>10131010/231023/3353212</t>
  </si>
  <si>
    <t>3353212</t>
  </si>
  <si>
    <t>10131010/070923/3305647</t>
  </si>
  <si>
    <t>3305647</t>
  </si>
  <si>
    <t>10131010/070923/3305773</t>
  </si>
  <si>
    <t>3305773</t>
  </si>
  <si>
    <t>10131010/070923/3305705</t>
  </si>
  <si>
    <t>3305705</t>
  </si>
  <si>
    <t>10131010/070923/3305936</t>
  </si>
  <si>
    <t>3305936</t>
  </si>
  <si>
    <t>10131010/080923/3307207</t>
  </si>
  <si>
    <t>3307207</t>
  </si>
  <si>
    <t>10131010/080923/3306761</t>
  </si>
  <si>
    <t>3306761</t>
  </si>
  <si>
    <t>10131010/080923/3306523</t>
  </si>
  <si>
    <t>3306523</t>
  </si>
  <si>
    <t>10131010/241023/3354788</t>
  </si>
  <si>
    <t>3354788</t>
  </si>
  <si>
    <t>10131010/080923/3307206</t>
  </si>
  <si>
    <t>3307206</t>
  </si>
  <si>
    <t>10131010/080923/3306799</t>
  </si>
  <si>
    <t>3306799</t>
  </si>
  <si>
    <t>10131010/080923/3306497</t>
  </si>
  <si>
    <t>3306497</t>
  </si>
  <si>
    <t>10131010/080923/3306331</t>
  </si>
  <si>
    <t>3306331</t>
  </si>
  <si>
    <t>10131010/080923/3306939</t>
  </si>
  <si>
    <t>3306939</t>
  </si>
  <si>
    <t>10131010/080923/3307230</t>
  </si>
  <si>
    <t>3307230</t>
  </si>
  <si>
    <t>10131010/110923/3308469</t>
  </si>
  <si>
    <t>3308469</t>
  </si>
  <si>
    <t>10131010/120923/3309700</t>
  </si>
  <si>
    <t>3309700</t>
  </si>
  <si>
    <t>10131010/130923/5025050</t>
  </si>
  <si>
    <t>5025050</t>
  </si>
  <si>
    <t>10131010/130923/3311371</t>
  </si>
  <si>
    <t>3311371</t>
  </si>
  <si>
    <t>10131010/261023/3357287</t>
  </si>
  <si>
    <t>3357287</t>
  </si>
  <si>
    <t>10131010/140923/5025278</t>
  </si>
  <si>
    <t>5025278</t>
  </si>
  <si>
    <t>10131010/261023/3356519</t>
  </si>
  <si>
    <t>3356519</t>
  </si>
  <si>
    <t>10131010/241023/3354812</t>
  </si>
  <si>
    <t>3354812</t>
  </si>
  <si>
    <t>КОРМ ДЛЯ СОБАК И КОШЕК, РАСФАСОВАННЫЙ ДЛЯ РОЗНИЧНОЙ ПРОДАЖИ, БЕЗ СОДЕРЖАНИЯ КРАХМАЛА, БЕЗ СОДЕРЖАНИЯ МОЛОЧНЫХ ПРОДУКТОВ,БЕЗ СОДЕРЖАНИЯ ГМО, В АССОРТИМЕНТЕ (ПОСТАВЛЯЕТСЯ В КАЧЕСТВЕ ОБРАЗЦОВ ДЛЯ ПРОВЕДЕНИЯ РАБОТ ПО ОЦЕНКЕ СООТВЕТСТВИЯ (ИССЛЕДОВАНИЙ И</t>
  </si>
  <si>
    <t>10131010/261023/3356515</t>
  </si>
  <si>
    <t>3356515</t>
  </si>
  <si>
    <t>10131010/150923/3313857</t>
  </si>
  <si>
    <t>3313857</t>
  </si>
  <si>
    <t>10131010/231023/5036452</t>
  </si>
  <si>
    <t>5036452</t>
  </si>
  <si>
    <t>10131010/231023/5036333</t>
  </si>
  <si>
    <t>5036333</t>
  </si>
  <si>
    <t>10131010/150923/3313175</t>
  </si>
  <si>
    <t>3313175</t>
  </si>
  <si>
    <t>10131010/251023/3355966</t>
  </si>
  <si>
    <t>3355966</t>
  </si>
  <si>
    <t>10131010/150923/3313868</t>
  </si>
  <si>
    <t>3313868</t>
  </si>
  <si>
    <t>10131010/231023/3353589</t>
  </si>
  <si>
    <t>3353589</t>
  </si>
  <si>
    <t>10131010/241023/3354702</t>
  </si>
  <si>
    <t>3354702</t>
  </si>
  <si>
    <t>10131010/180923/3315875</t>
  </si>
  <si>
    <t>3315875</t>
  </si>
  <si>
    <t>10131010/110923/3308472</t>
  </si>
  <si>
    <t>3308472</t>
  </si>
  <si>
    <t>10131010/241023/3354563</t>
  </si>
  <si>
    <t>3354563</t>
  </si>
  <si>
    <t>10131010/120923/3310011</t>
  </si>
  <si>
    <t>3310011</t>
  </si>
  <si>
    <t>10131010/120923/3309657</t>
  </si>
  <si>
    <t>3309657</t>
  </si>
  <si>
    <t>10131010/130923/3311369</t>
  </si>
  <si>
    <t>3311369</t>
  </si>
  <si>
    <t>10131010/180923/3315814</t>
  </si>
  <si>
    <t>3315814</t>
  </si>
  <si>
    <t>10131010/180923/3314830</t>
  </si>
  <si>
    <t>3314830</t>
  </si>
  <si>
    <t>10131010/180923/3314853</t>
  </si>
  <si>
    <t>3314853</t>
  </si>
  <si>
    <t>КОРМ ДЛЯ КОШЕК, РАСФАСОВАННЫЙ ДЛЯ РОЗНИЧНОЙ ПРОДАЖИ, БЕЗ СОДЕРЖАНИЯ КРАХМАЛА, БЕЗ СОДЕРЖАНИЯ МОЛОЧНЫХ ПРОДУКТОВ, В АССОРТИМЕНТЕ</t>
  </si>
  <si>
    <t>10131010/180923/3315595</t>
  </si>
  <si>
    <t>3315595</t>
  </si>
  <si>
    <t>10131010/180923/3314774</t>
  </si>
  <si>
    <t>3314774</t>
  </si>
  <si>
    <t>10131010/110923/3308948</t>
  </si>
  <si>
    <t>3308948</t>
  </si>
  <si>
    <t>10131010/110923/3308492</t>
  </si>
  <si>
    <t>3308492</t>
  </si>
  <si>
    <t>10131010/110923/3308463</t>
  </si>
  <si>
    <t>3308463</t>
  </si>
  <si>
    <t>10131010/110923/3309079</t>
  </si>
  <si>
    <t>3309079</t>
  </si>
  <si>
    <t>10131010/110923/3308523</t>
  </si>
  <si>
    <t>3308523</t>
  </si>
  <si>
    <t>10131010/110923/3308487</t>
  </si>
  <si>
    <t>3308487</t>
  </si>
  <si>
    <t>10131010/110923/3308571</t>
  </si>
  <si>
    <t>3308571</t>
  </si>
  <si>
    <t>10131010/120923/3309477</t>
  </si>
  <si>
    <t>3309477</t>
  </si>
  <si>
    <t>10131010/130923/5024962</t>
  </si>
  <si>
    <t>5024962</t>
  </si>
  <si>
    <t>10131010/130923/5024964</t>
  </si>
  <si>
    <t>5024964</t>
  </si>
  <si>
    <t>10131010/140923/5025244</t>
  </si>
  <si>
    <t>5025244</t>
  </si>
  <si>
    <t>10131010/150923/3313866</t>
  </si>
  <si>
    <t>3313866</t>
  </si>
  <si>
    <t>10131010/180923/3314846</t>
  </si>
  <si>
    <t>3314846</t>
  </si>
  <si>
    <t>10131010/180923/3315321</t>
  </si>
  <si>
    <t>3315321</t>
  </si>
  <si>
    <t>10131010/200923/3317659</t>
  </si>
  <si>
    <t>3317659</t>
  </si>
  <si>
    <t>10131010/200923/3318829</t>
  </si>
  <si>
    <t>3318829</t>
  </si>
  <si>
    <t>10131010/200923/3318527</t>
  </si>
  <si>
    <t>3318527</t>
  </si>
  <si>
    <t>10131010/210923/3319080</t>
  </si>
  <si>
    <t>3319080</t>
  </si>
  <si>
    <t>10131010/250923/3323280</t>
  </si>
  <si>
    <t>3323280</t>
  </si>
  <si>
    <t>10131010/250923/3322322</t>
  </si>
  <si>
    <t>3322322</t>
  </si>
  <si>
    <t>10131010/280923/5029300</t>
  </si>
  <si>
    <t>5029300</t>
  </si>
  <si>
    <t>10131010/210923/3319096</t>
  </si>
  <si>
    <t>3319096</t>
  </si>
  <si>
    <t>10131010/210923/5027166</t>
  </si>
  <si>
    <t>5027166</t>
  </si>
  <si>
    <t>10131010/250923/3322311</t>
  </si>
  <si>
    <t>3322311</t>
  </si>
  <si>
    <t>10131010/250923/3322630</t>
  </si>
  <si>
    <t>3322630</t>
  </si>
  <si>
    <t>10131010/250923/3322541</t>
  </si>
  <si>
    <t>3322541</t>
  </si>
  <si>
    <t>10012020/251023/3064812</t>
  </si>
  <si>
    <t>3064812</t>
  </si>
  <si>
    <t>B-3012, , LEUVEN (WILSELE), AARSCHOTSESTEENWEG 26,</t>
  </si>
  <si>
    <t>УЛ.КОММУНАЛЬНАЯ,4</t>
  </si>
  <si>
    <t>ВЫРЖЕМКОВСКИЙ</t>
  </si>
  <si>
    <t>10131010/250923/3322312</t>
  </si>
  <si>
    <t>3322312</t>
  </si>
  <si>
    <t>10131010/260923/5028669</t>
  </si>
  <si>
    <t>5028669</t>
  </si>
  <si>
    <t>10131010/210923/3319076</t>
  </si>
  <si>
    <t>3319076</t>
  </si>
  <si>
    <t>10131010/210923/3319377</t>
  </si>
  <si>
    <t>3319377</t>
  </si>
  <si>
    <t>10131010/210923/3319826</t>
  </si>
  <si>
    <t>3319826</t>
  </si>
  <si>
    <t>10131010/210923/3319056</t>
  </si>
  <si>
    <t>3319056</t>
  </si>
  <si>
    <t>10131010/210923/3319039</t>
  </si>
  <si>
    <t>3319039</t>
  </si>
  <si>
    <t>10131010/220923/3320386</t>
  </si>
  <si>
    <t>3320386</t>
  </si>
  <si>
    <t>10131010/250923/3322626</t>
  </si>
  <si>
    <t>3322626</t>
  </si>
  <si>
    <t>10131010/250923/3322551</t>
  </si>
  <si>
    <t>3322551</t>
  </si>
  <si>
    <t>10131010/250923/3322321</t>
  </si>
  <si>
    <t>3322321</t>
  </si>
  <si>
    <t>10131010/250923/3322324</t>
  </si>
  <si>
    <t>3322324</t>
  </si>
  <si>
    <t>10131010/250923/3322589</t>
  </si>
  <si>
    <t>3322589</t>
  </si>
  <si>
    <t>10131010/260923/5028726</t>
  </si>
  <si>
    <t>5028726</t>
  </si>
  <si>
    <t>10131010/260923/3323987</t>
  </si>
  <si>
    <t>3323987</t>
  </si>
  <si>
    <t>10131010/280923/3327083</t>
  </si>
  <si>
    <t>3327083</t>
  </si>
  <si>
    <t>10131010/280923/5029291</t>
  </si>
  <si>
    <t>5029291</t>
  </si>
  <si>
    <t>10131010/280923/3328068</t>
  </si>
  <si>
    <t>3328068</t>
  </si>
  <si>
    <t>10131010/290923/5029444</t>
  </si>
  <si>
    <t>5029444</t>
  </si>
  <si>
    <t>10131010/051023/3335886</t>
  </si>
  <si>
    <t>3335886</t>
  </si>
  <si>
    <t>10131010/021023/3330352</t>
  </si>
  <si>
    <t>3330352</t>
  </si>
  <si>
    <t>10131010/041023/3334046</t>
  </si>
  <si>
    <t>3334046</t>
  </si>
  <si>
    <t>10131010/091023/3339203</t>
  </si>
  <si>
    <t>3339203</t>
  </si>
  <si>
    <t>10131010/101023/3340301</t>
  </si>
  <si>
    <t>3340301</t>
  </si>
  <si>
    <t>10131010/031023/3332208</t>
  </si>
  <si>
    <t>3332208</t>
  </si>
  <si>
    <t>10131010/091023/3337926</t>
  </si>
  <si>
    <t>3337926</t>
  </si>
  <si>
    <t>10131010/191023/3350100</t>
  </si>
  <si>
    <t>3350100</t>
  </si>
  <si>
    <t>10131010/091023/5032408</t>
  </si>
  <si>
    <t>5032408</t>
  </si>
  <si>
    <t>10131010/021023/5030315</t>
  </si>
  <si>
    <t>5030315</t>
  </si>
  <si>
    <t>10131010/051023/3335638</t>
  </si>
  <si>
    <t>3335638</t>
  </si>
  <si>
    <t>10131010/091023/5032411</t>
  </si>
  <si>
    <t>5032411</t>
  </si>
  <si>
    <t>10131010/191023/5035308</t>
  </si>
  <si>
    <t>5035308</t>
  </si>
  <si>
    <t>10131010/201023/3350650</t>
  </si>
  <si>
    <t>3350650</t>
  </si>
  <si>
    <t>10131010/191023/3349355</t>
  </si>
  <si>
    <t>3349355</t>
  </si>
  <si>
    <t>КОРМ ДЛЯ СОБАК И КОШЕК, РАСФАСОВАННЫЙ ДЛЯ РОЗНИЧНОЙ ПРОДАЖИ, БЕЗ СОДЕРЖАНИЯ КРАХМАЛА, БЕЗ СОДЕРЖАНИЯ МОЛОЧНЫХ ПРОДУКТОВ, БЕЗ СОДЕРЖАНИЯ ГМО, В АССОРТИМЕНТЕ</t>
  </si>
  <si>
    <t>10131010/051023/3334907</t>
  </si>
  <si>
    <t>3334907</t>
  </si>
  <si>
    <t>10131010/051023/3334892</t>
  </si>
  <si>
    <t>3334892</t>
  </si>
  <si>
    <t>10131010/041023/3333962</t>
  </si>
  <si>
    <t>3333962</t>
  </si>
  <si>
    <t>10131010/101023/3340509</t>
  </si>
  <si>
    <t>3340509</t>
  </si>
  <si>
    <t>10131010/121023/3342944</t>
  </si>
  <si>
    <t>3342944</t>
  </si>
  <si>
    <t>10131010/051023/3335376</t>
  </si>
  <si>
    <t>3335376</t>
  </si>
  <si>
    <t>10131010/111023/3341251</t>
  </si>
  <si>
    <t>3341251</t>
  </si>
  <si>
    <t>10131010/161023/3344985</t>
  </si>
  <si>
    <t>3344985</t>
  </si>
  <si>
    <t>10131010/161023/5034363</t>
  </si>
  <si>
    <t>5034363</t>
  </si>
  <si>
    <t>10131010/161023/3346336</t>
  </si>
  <si>
    <t>3346336</t>
  </si>
  <si>
    <t>10131010/181023/3348987</t>
  </si>
  <si>
    <t>3348987</t>
  </si>
  <si>
    <t>10131010/161023/3344976</t>
  </si>
  <si>
    <t>3344976</t>
  </si>
  <si>
    <t>10131010/121023/3342961</t>
  </si>
  <si>
    <t>3342961</t>
  </si>
  <si>
    <t>10131010/171023/3347528</t>
  </si>
  <si>
    <t>3347528</t>
  </si>
  <si>
    <t>10131010/171023/5034665</t>
  </si>
  <si>
    <t>5034665</t>
  </si>
  <si>
    <t>10131010/131023/3344230</t>
  </si>
  <si>
    <t>3344230</t>
  </si>
  <si>
    <t>10131010/161023/3346280</t>
  </si>
  <si>
    <t>3346280</t>
  </si>
  <si>
    <t>10131010/311222/3564316</t>
  </si>
  <si>
    <t>3564316</t>
  </si>
  <si>
    <t>BDR THERMEA HVAC CO., LTD</t>
  </si>
  <si>
    <t>314000, , JIAXING, NO. 2000 GUANGQIONG ROAD,</t>
  </si>
  <si>
    <t>1087746423005</t>
  </si>
  <si>
    <t>7717615508</t>
  </si>
  <si>
    <t>ООО БДР ТЕРМИЯ РУС ЧЕРЕЗ АО ТАСКОМ</t>
  </si>
  <si>
    <t>129164, , Г. МОСКВА, ПЕР. ЗУБАРЕВ, Д.15, КОРП.1, ЭТ. 3, ПОМ.1, КОМ. 67Г</t>
  </si>
  <si>
    <t>771701001</t>
  </si>
  <si>
    <t>ООО БДР ТЕРМИЯ РУС</t>
  </si>
  <si>
    <t>CN</t>
  </si>
  <si>
    <t>КИТАЙ</t>
  </si>
  <si>
    <t>JIAXING</t>
  </si>
  <si>
    <t>22060044/0001/0000/2/1</t>
  </si>
  <si>
    <t>КОТЛЫ ЦЕНТРАЛЬНОГО ОТОПЛЕНИЯ, СТАЛЬНЫЕ, АССОРТИМЕНТ</t>
  </si>
  <si>
    <t>ШТ</t>
  </si>
  <si>
    <t>8403109000</t>
  </si>
  <si>
    <t>0719/00-16-055</t>
  </si>
  <si>
    <t>БЫКОВА ЛЮБОВЬ АЛЕКСАНДРОВНА</t>
  </si>
  <si>
    <t>10131010/311222/3564309</t>
  </si>
  <si>
    <t>3564309</t>
  </si>
  <si>
    <t>10131010/311222/3564308</t>
  </si>
  <si>
    <t>3564308</t>
  </si>
  <si>
    <t>10131010/311222/3564303</t>
  </si>
  <si>
    <t>3564303</t>
  </si>
  <si>
    <t>10131010/311222/3564307</t>
  </si>
  <si>
    <t>3564307</t>
  </si>
  <si>
    <t>10131010/161222/3542403</t>
  </si>
  <si>
    <t>3542403</t>
  </si>
  <si>
    <t>BAXI S.P.A.</t>
  </si>
  <si>
    <t>36061, VICENZA, BASSANO DEL GRAPPA, VIA TROZZETTI 20,</t>
  </si>
  <si>
    <t>IT</t>
  </si>
  <si>
    <t>ИТАЛИЯ</t>
  </si>
  <si>
    <t>БАССАНО ДЕЛЬ ГРАППА</t>
  </si>
  <si>
    <t>14100003/0001/0000/2/1</t>
  </si>
  <si>
    <t>10113/301110/10022/4</t>
  </si>
  <si>
    <t>СМОЛЕНСКАЯ ОБЛ.</t>
  </si>
  <si>
    <t>Г. ЯРЦЕВО</t>
  </si>
  <si>
    <t>УЛ. 2-Я МАШИНОСТРОИТЕЛЬНАЯ, СТР. 5/3</t>
  </si>
  <si>
    <t>10113070 т/п Ярцевский</t>
  </si>
  <si>
    <t>КОТЛЫ ЦЕНТРАЛЬНОГО ОТОПЛЕНИЯ, СТАЛЬНЫЕ, ВЕС БРУТТО С ПОДДОНАМИ 17270.0 КГ., АССОРТИМЕНТ</t>
  </si>
  <si>
    <t>10013160/161222/5001883</t>
  </si>
  <si>
    <t>5001883</t>
  </si>
  <si>
    <t>КОТЛЫ ЦЕНТРАЛЬНОГО ОТОПЛЕНИЯ, СТАЛЬНЫЕ, ВЕС БРУТТО С ПОДДОНАМИ 13990.70 КГ., АССОРТИМЕНТ</t>
  </si>
  <si>
    <t>10228010/161222/3411226</t>
  </si>
  <si>
    <t>3411226</t>
  </si>
  <si>
    <t>RIMA ISI SISTEMLERI SAN. A.S.</t>
  </si>
  <si>
    <t>34806, ISTANBUL, BASAKSEHIR, IKITELLI OSB MAHALESI 25.CADDE NO:10/A,</t>
  </si>
  <si>
    <t>1107847406237</t>
  </si>
  <si>
    <t>7820323555</t>
  </si>
  <si>
    <t>ООО ТЕРМЕКС ГАЗПРО</t>
  </si>
  <si>
    <t>196105, Г., САНКТ-ПЕТЕРБУРГ, УЛ. КУЗНЕЦОВСКАЯ, Д.52, КОРПУС 22, ЛИТЕР Г,</t>
  </si>
  <si>
    <t>781001001</t>
  </si>
  <si>
    <t>TR</t>
  </si>
  <si>
    <t>ТУРЦИЯ</t>
  </si>
  <si>
    <t>ISTANBUL</t>
  </si>
  <si>
    <t>USD</t>
  </si>
  <si>
    <t>22040530/0436/0000/2/1</t>
  </si>
  <si>
    <t>10102/091210/10039/3</t>
  </si>
  <si>
    <t>БРЯНСКАЯ ОБЛАСТЬ, Р-Н БРЯНСКИЙ</t>
  </si>
  <si>
    <t>П. СВЕНЬ</t>
  </si>
  <si>
    <t>УЛ. СОБОРНАЯ</t>
  </si>
  <si>
    <t>10102032 ОТО и ТК №2 т/п Брянский</t>
  </si>
  <si>
    <t>КОТЛЫ ГАЗОВЫЕ ОТОПИТЕЛЬНЫЕ ВОДОГРЕЙНЫЕ, ДЛЯ СИСТЕМ ВОДЯНОГО ОТОПЛЕНИЯ И ГОРЯЧЕГО ВОДОСНАБЖЕНИЯ (НЕ ИЗ ЧУГУННОГО ЛИТЬЯ, НЕ ПРЕДНАЗНАЧЕНЫ ДЛЯ ПРОИЗВОДСТВА ПАРА, НЕ ВОЕННОГО НАЗНАЧЕНИЯ)</t>
  </si>
  <si>
    <t>RIMA ISI SISTEMLERI SAN.TIC.A.S.</t>
  </si>
  <si>
    <t>СПБ-А-015</t>
  </si>
  <si>
    <t>КОРНОУХОВА ТАТЬЯНА СЕРГЕЕВНА</t>
  </si>
  <si>
    <t>10131010/161222/3542462</t>
  </si>
  <si>
    <t>3542462</t>
  </si>
  <si>
    <t>BDR THERMEA FRANCE S.A.S.</t>
  </si>
  <si>
    <t>67580, MERTZWILLER, B.P.30, 57 RUE DE LA GARE,</t>
  </si>
  <si>
    <t>129164, ГОРОД, МОСКВА, ЗУБАРЕВ ПЕРЕУЛОК, ДОМ 15, КОРПУС 1, ЭТ.3, ПОМ.1, КОМ.67Г</t>
  </si>
  <si>
    <t>MERTZWILLER</t>
  </si>
  <si>
    <t>16120140/0001/0000/2/1</t>
  </si>
  <si>
    <t>Г. РОСЛАВЛЬ</t>
  </si>
  <si>
    <t>УЛ. КАРЛА МАРКСА, Д. 166</t>
  </si>
  <si>
    <t>10113050 т/п Рославльский</t>
  </si>
  <si>
    <t>КОТЛЫ ЦЕНТРАЛЬНОГО ОТОПЛЕНИЯ НЕ ИЗ ЧУГУННОГО ЛИТЬЯ, НЕВОЕННОГО НАЗНАЧЕНИЯ, АССОРТИМЕНТ</t>
  </si>
  <si>
    <t>BDR THERMEA FRANCE S.A.S</t>
  </si>
  <si>
    <t>10323010/161222/3178880</t>
  </si>
  <si>
    <t>10323010</t>
  </si>
  <si>
    <t>3178880</t>
  </si>
  <si>
    <t>S PLUSZ K TECHNIK KFT</t>
  </si>
  <si>
    <t>4400, HUNGARY, NYIREGYHAZA, VAY ADAM KRT.4-6. 2/208,</t>
  </si>
  <si>
    <t>1026102578017</t>
  </si>
  <si>
    <t>6154001478</t>
  </si>
  <si>
    <t>ООО ЛЕМАКС</t>
  </si>
  <si>
    <t>347913, ОБЛАСТЬ РОСТОВСКАЯ, ТАГАНРОГ, УЛИЦА НИКОЛАЕВСКОЕ ШОССЕ, Д0М.10, КОРПУС В</t>
  </si>
  <si>
    <t>60000</t>
  </si>
  <si>
    <t>615401001</t>
  </si>
  <si>
    <t>HU</t>
  </si>
  <si>
    <t>ВЕНГРИЯ</t>
  </si>
  <si>
    <t>ZSURK</t>
  </si>
  <si>
    <t>19060035/1481/1898/2/1</t>
  </si>
  <si>
    <t>197761</t>
  </si>
  <si>
    <t>САНКТ-ПЕТЕРБУРГ</t>
  </si>
  <si>
    <t>КРОНШТАДТ</t>
  </si>
  <si>
    <t>КРОНШТАДТСКОЕ Ш., Д.33, ЛИТЕР А</t>
  </si>
  <si>
    <t>КОТЛЫ ОТОПИТЕЛЬНЫЕ ЭЛЕКТРИЧЕСКИЕ , ПРЕДНАЗНАЧЕНЫ ДЛЯ ОТОПЛЕНИЯ ПОМЕЩЕНИЙ ТОРГОВОЙ МАРКИ LEMАХ</t>
  </si>
  <si>
    <t>S PLUSZ K TECHNIK KFT.</t>
  </si>
  <si>
    <t>С</t>
  </si>
  <si>
    <t>0149/01-173</t>
  </si>
  <si>
    <t>АНТРОПОВА ОЛЬГА ВЕНИАМИНОВНА</t>
  </si>
  <si>
    <t>10131010/301222/3563667</t>
  </si>
  <si>
    <t>3563667</t>
  </si>
  <si>
    <t>ZHONGSHAN POWTEK APPLIANCES MFG.,LTD</t>
  </si>
  <si>
    <t>, GUANGDONG, ZHONGSHAN, 23 HEALTH ROAD,</t>
  </si>
  <si>
    <t>1094025002246</t>
  </si>
  <si>
    <t>4025422770</t>
  </si>
  <si>
    <t>АО ТАСКОМ</t>
  </si>
  <si>
    <t>249020, КАЛУЖСКАЯ ОБЛАСТЬ, РАЙОН БОРОВСКИЙ, СЕЛО ВОРСИНО, СЕВЕРНАЯ ПРОМЫШЛЕННАЯ</t>
  </si>
  <si>
    <t>29000</t>
  </si>
  <si>
    <t>402501001</t>
  </si>
  <si>
    <t>1157154020979</t>
  </si>
  <si>
    <t>7104068905</t>
  </si>
  <si>
    <t>ООО ТУЛЬСКИЙ ЗАВОД ГАЗОВОГО ОБОРУДОВАНИЯ</t>
  </si>
  <si>
    <t>301212, ТУЛЬСКАЯ ОБЛАСТЬ, ЩЕКИНСКИЙ М.Р-Н, РАБОЧИЙ ПОСЕЛОК ПЕРВОМАЙСКИЙ Г.П., СИ</t>
  </si>
  <si>
    <t>70000</t>
  </si>
  <si>
    <t>710401001</t>
  </si>
  <si>
    <t>FOB</t>
  </si>
  <si>
    <t>ZHONGSHAN</t>
  </si>
  <si>
    <t>CNY</t>
  </si>
  <si>
    <t>22100053/3475/0000/2/1</t>
  </si>
  <si>
    <t>10106/100913/10053/8</t>
  </si>
  <si>
    <t>249020</t>
  </si>
  <si>
    <t>КОТЛЫ ЦЕНТРАЛЬНОГО ОТОПЛЕНИЯ, РАБОТАЮЩИЕ НА ПРИРОДНОМ ИЛИ СЖИЖЕННОМ ГАЗЕ. ПРЕДНАЗНАЧЕНЫ ДЛЯ ОТОПЛЕНИЯ И ГОРЯЧЕГО ВОДОСНАБЖЕНИЯ ЖИЛЫХ ПОМЕЩЕНИЙ.</t>
  </si>
  <si>
    <t>POWTEK INTERNATIONAL HOLDINGS LIMITED ZHONGSHAN POWTEK APPLIANCES MFG., LTD.</t>
  </si>
  <si>
    <t>БАТАЕВ ИЛЬЯ СЕРГЕЕВИЧ</t>
  </si>
  <si>
    <t>10317120/301222/3176625</t>
  </si>
  <si>
    <t>10317120</t>
  </si>
  <si>
    <t>3176625</t>
  </si>
  <si>
    <t>VARMECOM INDUSTRY(VARMECOM ENDUSTRIYEL SANAYI VE TICARET ANONIM SIRKETI)</t>
  </si>
  <si>
    <t>49308, ODUNPAZARI, ESKISEHIR, KOBI ORGANIZE SANAYI BOLGESI 75 YIL OSB MAH. 104 C</t>
  </si>
  <si>
    <t>1131650002494</t>
  </si>
  <si>
    <t>1650258175</t>
  </si>
  <si>
    <t>ООО ТД ГИГАЗ</t>
  </si>
  <si>
    <t>450000, РЕСПУБЛИКА БАШКОРТОСТАН, Г. УФА, УЛ. 50-ЛЕТИЯ ОКТЯБРЯ, 15</t>
  </si>
  <si>
    <t>80000</t>
  </si>
  <si>
    <t>027801001</t>
  </si>
  <si>
    <t>ESKISEHIR</t>
  </si>
  <si>
    <t>22080001/0067/0000/2/1</t>
  </si>
  <si>
    <t>10317000/031221/00006/2</t>
  </si>
  <si>
    <t>КРАСНОДАРСКИЙ КРАЙ</t>
  </si>
  <si>
    <t>НОВОРОССИЙСК</t>
  </si>
  <si>
    <t>УЛ. СУХУМСКОЕ ШОССЕ, ПЗТК ООО НУТЭП</t>
  </si>
  <si>
    <t>10317110 т/п Новороссийский юго-восточный</t>
  </si>
  <si>
    <t>КОТЕЛЬНАЯ АВТОМАТИЗИРОВАННАЯ ИЗ МЕТАЛЛА(НЕ ИЗ ЧУГУНА), НОМИНАЛЬНОЙ ТЕПЛОПРОИЗВОДИТЕЛЬНОСТЬЮ ДО 33 КВТ. ПРЕДНАЗНАЧЕНА ДЛЯ ИСПОЛЬЗОВАНИЯ В КАЧЕСТВЕ ИСТОЧНИКА ТЕПЛОНОСИТЕЛЯ И ГОРЯЧЕЙ ВОДЫ ДЛЯ ЗДАНИЙ И СООРУЖЕНИЙ РАЗЛИЧНОГО НАЗНАЧЕНИЯ. КОТЕЛЬНАЯ</t>
  </si>
  <si>
    <t>VARMECOM INDUSTRY</t>
  </si>
  <si>
    <t>0491/01-15/009</t>
  </si>
  <si>
    <t>ЗАРИПОВ ЭДУАРД КАМИЛЬЕВИЧ</t>
  </si>
  <si>
    <t>10012020/301222/3103030</t>
  </si>
  <si>
    <t>3103030</t>
  </si>
  <si>
    <t>78</t>
  </si>
  <si>
    <t>BEIJING KYUNGDONG NAVIEN HEAT ENERGY EQUIPMENT CO., LTD.</t>
  </si>
  <si>
    <t>, SHUNYI DISTRICT,BEIJING,P.R.CHINA, BEIJING, 27,JUYUAN EAST ROAD MAPO TOWN,</t>
  </si>
  <si>
    <t>1053900004971</t>
  </si>
  <si>
    <t>3908030301</t>
  </si>
  <si>
    <t>ООО ПАВИАН</t>
  </si>
  <si>
    <t>238324, КАЛИНИНГРАДСКАЯ ОБЛ.,ГУРЬЕВСКИЙ Р-Н, П.НЕВСКОЕ, УЛ.ГАГАРИНА, Д. 230А, ОФ</t>
  </si>
  <si>
    <t>CIF</t>
  </si>
  <si>
    <t>КАЛИНИНГРАД</t>
  </si>
  <si>
    <t>22060008/1307/0000/2/1</t>
  </si>
  <si>
    <t>97</t>
  </si>
  <si>
    <t>10012000/281221/00042/4</t>
  </si>
  <si>
    <t>КАЛИНИНГРАДСКАЯ</t>
  </si>
  <si>
    <t>Г.КАЛИНИНГРАД</t>
  </si>
  <si>
    <t>СТ.КАЛИНИНГРАД-СОРТИРОВОЧНЫЙ,УЛ. ПОРТОВАЯ, Д. 27А</t>
  </si>
  <si>
    <t>10012040 т/п Московский</t>
  </si>
  <si>
    <t>КОТЛЫ БЫТОВЫЕ ЦЕНТРАЛЬНОГО ОТОПЛЕНИЯ, ВОДОГРЕЙНЫЕ, ГАЗОВЫЕ В СТАЛЬНОМ КОРПУСЕ</t>
  </si>
  <si>
    <t>BEIJING KYUNGDONG NAVIEN HEAT ENERGY EQUIPMENT CO., LTD</t>
  </si>
  <si>
    <t>ООПП-ПП</t>
  </si>
  <si>
    <t>ГОЛУНЦОВ ЮРИЙ МИХАЙЛОВИЧ</t>
  </si>
  <si>
    <t>10131010/301222/3563723</t>
  </si>
  <si>
    <t>3563723</t>
  </si>
  <si>
    <t>10317120/301222/3176508</t>
  </si>
  <si>
    <t>3176508</t>
  </si>
  <si>
    <t>10228010/301222/3426412</t>
  </si>
  <si>
    <t>3426412</t>
  </si>
  <si>
    <t>ARISTON SPA</t>
  </si>
  <si>
    <t>60044, ., FABRIANO (AN), VIALE A. MERLONI, 45,</t>
  </si>
  <si>
    <t>1024700561742</t>
  </si>
  <si>
    <t>4703066115</t>
  </si>
  <si>
    <t>ООО АРИСТОН ТЕРМО РУСЬ</t>
  </si>
  <si>
    <t>188676, ЛЕНИНГРАДСКАЯ ОБЛ., ВСЕВОЛОЖСКИЙ Р-ОН,Г.ВСЕВОЛОЖСК, П.З.Г.ВСЕВОЛОЖСКА,УЛ</t>
  </si>
  <si>
    <t>41000</t>
  </si>
  <si>
    <t>470301001</t>
  </si>
  <si>
    <t>DAP</t>
  </si>
  <si>
    <t>16020015/3290/0001/2/1</t>
  </si>
  <si>
    <t>1174</t>
  </si>
  <si>
    <t>Г. САНКТ-ПЕТЕРБУРГ</t>
  </si>
  <si>
    <t>ПОС. ПАРГОЛОВО</t>
  </si>
  <si>
    <t>ГОРСКОЕ ШОССЕ, Д.4, ЛИТ.А</t>
  </si>
  <si>
    <t>10210350 т/п Парголовский</t>
  </si>
  <si>
    <t>КОТЛЫ ГАЗОВЫЕ ОТОПИТЕЛЬНЫЕ ВОДОГРЕЙНЫЕ СО ВСТРОЕННОЙ ГОРЕЛКОЙ, В КОРПУСЕ ИЗ СТАЛИ, НЕЛИТЫЕ, МОЩНОСТЬЮ МЕНЕЕ 100 КВТ, МАРКИ ARISTON (В ПЕРВИЧНОЙ УПАКОВКЕ)</t>
  </si>
  <si>
    <t>ARISTON S.P.A.</t>
  </si>
  <si>
    <t>0053/03-15-005</t>
  </si>
  <si>
    <t>ВЕРШКОВА МАРИНА ЕВГЕНЬЕВНА</t>
  </si>
  <si>
    <t>10012020/301222/3102934</t>
  </si>
  <si>
    <t>3102934</t>
  </si>
  <si>
    <t>ARISTON THERMO SPA FROM TERMINAL UAB GEVARA, VILNIUS, LITHUANIA</t>
  </si>
  <si>
    <t>IT-60044, , FABRIANO, VIALE ARISTIDE MERLONI 45.,</t>
  </si>
  <si>
    <t>1153926016518</t>
  </si>
  <si>
    <t>3906962475</t>
  </si>
  <si>
    <t>ООО ТЕРМО СИСТЕМА</t>
  </si>
  <si>
    <t>238310, КАЛИНИНГРАДСКАЯ ОБЛ., ГУРЬЕВСКИЙ РАЙОН, П. МАЛОЕ ИСАКОВО, УЛ. МЕЛИОРАТИВ</t>
  </si>
  <si>
    <t>PASSATEMPO DI OSIMO</t>
  </si>
  <si>
    <t>18100006/1000/0066/2/1</t>
  </si>
  <si>
    <t>10012/140111/10039/4</t>
  </si>
  <si>
    <t>П. ДРУЖНЫЙ</t>
  </si>
  <si>
    <t>УЛ.ДЗЕРЖИНСКОГО, 248</t>
  </si>
  <si>
    <t>КОТЛЫ ЦЕНТРАЛЬНОГО ОТОПЛЕНИЯ ВОДОГРЕЙНЫЕ, СТАЛЬНЫЕ,ГАЗОВЫЕ, ОДНО-ДВУХКОНТУРНЫЕ, МАРКИ ARISTON, НАСТЕННЫЕ, МОДЕЛЕЙ:</t>
  </si>
  <si>
    <t>ARISTON THERMO SPA</t>
  </si>
  <si>
    <t>МОРОХИН АЛЕКСАНДР СЕРГЕЕВИЧ</t>
  </si>
  <si>
    <t>10012020/301222/5000802</t>
  </si>
  <si>
    <t>5000802</t>
  </si>
  <si>
    <t>10013160/291222/3636722</t>
  </si>
  <si>
    <t>3636722</t>
  </si>
  <si>
    <t>IMMERGAS EUROPE S.R.O</t>
  </si>
  <si>
    <t>05951, , POPRAD, PRIEMYSLENA UL. 4789,</t>
  </si>
  <si>
    <t>1127746114759</t>
  </si>
  <si>
    <t>7709897295</t>
  </si>
  <si>
    <t>ООО ИММЕРГАЗ</t>
  </si>
  <si>
    <t>129626, , МОСКВА, УЛ. СТАРОАЛЕКСЕЕВСКАЯ, Д. 5, ПОМЕЩЕНИЕ 300,</t>
  </si>
  <si>
    <t>SK</t>
  </si>
  <si>
    <t>СЛОВАКИЯ</t>
  </si>
  <si>
    <t>ПОПРАД</t>
  </si>
  <si>
    <t>12040088/1623/0000/2/0</t>
  </si>
  <si>
    <t>10013/200111/10089/5</t>
  </si>
  <si>
    <t>119027</t>
  </si>
  <si>
    <t>МОСКОВСКАЯ ОБЛ., ИСТРИНСКИЙ Р-Н</t>
  </si>
  <si>
    <t>П. ПЕРВОМАЙСКИЙ</t>
  </si>
  <si>
    <t>СТР. 35/2 И СТР. 35/3</t>
  </si>
  <si>
    <t>10013050 т/п Истринский</t>
  </si>
  <si>
    <t>НАСТЕННЫЕ МЕТАЛЛИЧЕСКИЕ КОТЛЫ (БОЙЛЕРЫ) ГОРЯЧЕГО ВОДОСНАБЖЕНИЯ ИЗ УГЛЕРОДИСТОЙ СТАЛИ МАРКИ FE360 СО ВСТРОЕННЫМИ ГАЗОВОЙ ГОРЕЛКОЙ, КАМЕРОЙ СГОРАНИЯ, ТЕПЛООБМЕННИКОМ, ЦИРКУЛЯЦИОННЫМ НАСОСОМ, ДЫМОУДАЛИТЕЛЯМИ,ЭЛЕКТРОННОЙ МИКРОПРОЦЕССОРНОЙ СИСТЕМОЙ</t>
  </si>
  <si>
    <t>БЫСТРИЦКАЯ ЕКАТЕРИНА БОРИСОВНА</t>
  </si>
  <si>
    <t>10228010/291222/3425456</t>
  </si>
  <si>
    <t>3425456</t>
  </si>
  <si>
    <t>THERMEX HEATING TECHNOLOGY (JIANGMEN) CO.,LTD</t>
  </si>
  <si>
    <t>, GUANGDONG PROVINCE, HESHAN CITY, TAOYUAN TOWN, JIANSHEDONGLU, NO. 51,</t>
  </si>
  <si>
    <t>АО ТАСКОМ ПО ПОРУЧЕНИЮ ООО ТОРГОВЫЙ ДОМ ТЕРМЕКС</t>
  </si>
  <si>
    <t>249020, КАЛУЖСКАЯ ОБЛАСТЬ, БОРОВСКИЙ РАЙОН,, СЕЛО ВОРСИНО, СЕВЕРНАЯ ПРОМЫШЛЕННАЯ</t>
  </si>
  <si>
    <t>1094716001907</t>
  </si>
  <si>
    <t>4716033195</t>
  </si>
  <si>
    <t>ООО ТОРГОВЫЙ ДОМ ТЕРМЕКС</t>
  </si>
  <si>
    <t>187002, ЛЕНИНГРАДСКАЯ ОБЛ., М.Р-Н ТОСНЕНСКИЙ, Г.П. ТОСНЕНС, Г.ТОСНО, МОСКОВСКОЕ</t>
  </si>
  <si>
    <t>471601001</t>
  </si>
  <si>
    <t>HESHAN</t>
  </si>
  <si>
    <t>20060023/2557/0001/2/1</t>
  </si>
  <si>
    <t>КАЛУЖСКАЯ ОБЛАСТЬ</t>
  </si>
  <si>
    <t>БОРОВСКИЙ Р-Н, СЕЛО ВОРСИНО</t>
  </si>
  <si>
    <t>СЕВЕРНАЯ ПРОМЗОНА, ВЛАДЕНИЕ 6</t>
  </si>
  <si>
    <t>КОТЛЫ ЭЛЕКТРИЧЕСКИЕ ОТОПИТЕЛЬНЫЕ ВОДОГРЕЙНЫЕ, НАСТЕННЫЕ, ДЛЯ СИСТЕМ ВОДЯНОГО ОТОПЛЕНИЯ И ГОРЯЧЕГО ВОДОСНАБЖЕНИЯ, ДЛЯ ИСПОЛЬЗОВАНИЯ В БЫТУ (НЕ ИЗ ЧУГУННОГО ЛИТЬЯ, НЕ ПРЕДНАЗНАЧЕНЫ ДЛЯ ПРОИЗВОДСТВА ПАРА, НЕ ВОЕННОГО НАЗНАЧЕНИЯ)</t>
  </si>
  <si>
    <t>THERMEX HEATING TECHNOLOGY(JIANGMEN)CO.,LTD</t>
  </si>
  <si>
    <t>СПБ-А-072</t>
  </si>
  <si>
    <t>САВЧЕНКО ЮЛИЯ СТАНИСЛАВОВНА</t>
  </si>
  <si>
    <t>10131010/281222/3560559</t>
  </si>
  <si>
    <t>3560559</t>
  </si>
  <si>
    <t>DDC KLIMAT GMBH FROM SIA WELLMAN LOGISTICS, LATVIA</t>
  </si>
  <si>
    <t>21376, , SALZHAUSEN, KREUZWEG, 1B,</t>
  </si>
  <si>
    <t>5087746162983</t>
  </si>
  <si>
    <t>7703675923</t>
  </si>
  <si>
    <t>ООО ДАИЧИ</t>
  </si>
  <si>
    <t>125130, , Г.МОСКВА, СТАРОПЕТРОВСКИЙ ПРОЕЗД,, Д.11,КОРП.1,ЭТАЖ 3,ОФИС 20</t>
  </si>
  <si>
    <t>774301001</t>
  </si>
  <si>
    <t>DE</t>
  </si>
  <si>
    <t>ГЕРМАНИЯ</t>
  </si>
  <si>
    <t>LV</t>
  </si>
  <si>
    <t>ЛАТВИЯ</t>
  </si>
  <si>
    <t>CIР</t>
  </si>
  <si>
    <t>МОСКВА</t>
  </si>
  <si>
    <t>13010001/2156/0000/2/1</t>
  </si>
  <si>
    <t>512</t>
  </si>
  <si>
    <t>ТВЕРСКАЯ ОБЛ.</t>
  </si>
  <si>
    <t>Г. РЖЕВ</t>
  </si>
  <si>
    <t>УЛ. СОЛНЕЧНАЯ, Д. 22</t>
  </si>
  <si>
    <t>10113150 т/п Ржевский</t>
  </si>
  <si>
    <t>КОТЛЫ ЦЕНТРАЛЬНОГО ОТОПЛЕНИЯ, ГАЗОВЫЕ ВОДОГРЕЙНЫЕ:</t>
  </si>
  <si>
    <t>DAIKIN ISITMA VE SOGUTMA SISTEMLERI SAN.TIC. A.S.</t>
  </si>
  <si>
    <t>5</t>
  </si>
  <si>
    <t>ЛАПИНА АЛЛА АЛЕКСЕЕВНА</t>
  </si>
  <si>
    <t>CIP</t>
  </si>
  <si>
    <t>WUHU MIDEA KITCHEN &amp; BATH APPLIANCES MFG. CO., LTD</t>
  </si>
  <si>
    <t>4</t>
  </si>
  <si>
    <t>10228010/281222/3423741</t>
  </si>
  <si>
    <t>3423741</t>
  </si>
  <si>
    <t>RIMA ISI SISTEMLERI SAN.A.S. AS JUPITER PLUS CUSTOMS WAREHOUSE,LAO 13B,MAARDU 74114,ESTONIA</t>
  </si>
  <si>
    <t>ISTAMBUL, BASAKSEHIR,PK 34306, CADDE NO.10, IKITELLI OSB MAHALLESI, 25</t>
  </si>
  <si>
    <t>1227800055845</t>
  </si>
  <si>
    <t>7804692788</t>
  </si>
  <si>
    <t>ООО ЕТК</t>
  </si>
  <si>
    <t>195221, Г.САНКТ-ПЕТЕРБУРГ,, ВН.ТЕР.Г. МУНИЦИПАЛЬНЫЙ ОКРУГ, ФИНЛЯНДСКИЙ ОКРУГ УЛ</t>
  </si>
  <si>
    <t>780401001</t>
  </si>
  <si>
    <t>ISTAMBUL</t>
  </si>
  <si>
    <t>TRY</t>
  </si>
  <si>
    <t>10210/300413/10110/2</t>
  </si>
  <si>
    <t>ГОРОД САНКТ-ПЕТЕРБУРГ</t>
  </si>
  <si>
    <t>ПОСЕЛОК ШУШУРЫ</t>
  </si>
  <si>
    <t>УЛ.ПОСЕЛКОВАЯ,</t>
  </si>
  <si>
    <t>10210100 т/п Южный</t>
  </si>
  <si>
    <t>КОТЛЫ ГАЗОВЫЕ ОТОПИТЕЛЬНЫЕ, НЕ ВОЕННОГО НАЗНАЧЕНИЯ, ОБРАЗЦЫ ДЛЯ ЦЕЛЕЙ ПРОВЕДЕНИЯ ИСПЫТАНИЯ ПРОЦЕДУРЫ ДЕКЛАРИРОВАНИЯ СООТВЕТСТВИЯ,</t>
  </si>
  <si>
    <t>RIMA ISI SISTEMLERI SAN. A.S</t>
  </si>
  <si>
    <t>Б/Н</t>
  </si>
  <si>
    <t>КОЛПАКОВА АЛЕКСАНДРА СЕРГЕЕВНА</t>
  </si>
  <si>
    <t>10511010/281222/3174551</t>
  </si>
  <si>
    <t>10511010</t>
  </si>
  <si>
    <t>3174551</t>
  </si>
  <si>
    <t>UNICAL A.G. S.P.A.</t>
  </si>
  <si>
    <t>460033, , CASTEL D'ARIO (MN), VIA ROMA 123,</t>
  </si>
  <si>
    <t>1069674029050</t>
  </si>
  <si>
    <t>6674177799</t>
  </si>
  <si>
    <t>ООО КОТЕЛЬНЫЕ СИСТЕМЫ УРАЛА</t>
  </si>
  <si>
    <t>620076, СВЕРДЛОВСКАЯ ОБЛ, Г ЕКАТЕРИНБУРГ, ГОНЧАРНЫЙ ПЕР, ДОМ 4</t>
  </si>
  <si>
    <t>65000</t>
  </si>
  <si>
    <t>667901001</t>
  </si>
  <si>
    <t>BORGOCАRBONARA (MN)</t>
  </si>
  <si>
    <t>21110008/1481/0373/2/1</t>
  </si>
  <si>
    <t>10113/160611/10039/6</t>
  </si>
  <si>
    <t>СМОЛЕНСКАЯ ОБЛАСТЬ</t>
  </si>
  <si>
    <t>КРАСНИНСКИЙ РАЙОН</t>
  </si>
  <si>
    <t>В 250 М ЗАПАДНЕЕ Д.БУДА И СЕВЕРНЕЕ (В 650 М)  ЖЕЛЕ</t>
  </si>
  <si>
    <t>10113090 т/п Краснинский</t>
  </si>
  <si>
    <t>КОТЛЫ СТАЛЬНЫЕ,ВОДОГРЕЙНЫЕ,ДЫМОГАРНЫЕ,ДВУХХОДОВЫЕ ПРОМЫШЛЕННЫЕ:   АРТ.102258RU/UNICAL ELLPREX 970-7ШТ.  ПРЕДНАЗНАЧЕНЫ ДЛЯ РАБОТЫ НА ГАЗООБРАЗНОМ И ЖИДКОМ ТОПЛИВЕ И ПРИМЕНЕНИЯ В СИСТЕМАХ ЦЕНТРАЛЬНОГО ОТОПЛЕНИЯ С ТЕМПЕРАТУРОЙ ДО 100С</t>
  </si>
  <si>
    <t>UNICAL AG  S.P.A.</t>
  </si>
  <si>
    <t>ФАЙЗУЛИНА ДАРЬЯ ВИТАЛЬЕВНА</t>
  </si>
  <si>
    <t>10013160/271222/3631837</t>
  </si>
  <si>
    <t>3631837</t>
  </si>
  <si>
    <t>FONDERIE SIME S.P.A.</t>
  </si>
  <si>
    <t>37045, , LEGNAGO (VR), VIA GARBO, 27,</t>
  </si>
  <si>
    <t>315774600373581</t>
  </si>
  <si>
    <t>504601572998</t>
  </si>
  <si>
    <t>ИП СКОПНЕНКО АЛЕКСЕЙ АНДРЕЕВИЧ</t>
  </si>
  <si>
    <t>108811, Г. МОСКВА, ПОС. МОСКОВСКИЙ, 22Й КМ КИЕВСКОГО Ш., Д. 2, КОРП. В,</t>
  </si>
  <si>
    <t>LEGNAGO (VR)</t>
  </si>
  <si>
    <t>19110189/1000/0097/2/2</t>
  </si>
  <si>
    <t>КОТЛЫ ОТОПИТЕЛЬНЫЕ ВОДОГРЕЙНЫЕ ГАЗОВЫЕ, ИЗ ЧУГУННОГО ЛИТЬЯ, БЫТОВЫЕ, УНИВЕРСАЛЬНЫЕ, ДЛЯ ОБОГРЕВА ЛЮБЫХ ПОМЕЩЕНИЙ, ЧАСТИЧНО В РАЗОБРАННОМ ВИДЕ ДЛЯ УДОБСТВА ТРАНСПОРТИРОВКИ, НЕ ВОЕННОГО НАЗНАЧЕНИЯ:</t>
  </si>
  <si>
    <t>8403101000</t>
  </si>
  <si>
    <t>СКОПНЕНКО АЛЕКСЕЙ АНДРЕЕВИЧ</t>
  </si>
  <si>
    <t>10317120/261222/3173190</t>
  </si>
  <si>
    <t>3173190</t>
  </si>
  <si>
    <t>ELEKS DIS TICARET A.S.</t>
  </si>
  <si>
    <t>34394, SISLI, ISTANBUL, ESENTERE MAH.KASAR SK. ELGINKAN HOLDING BLOK NO:15,</t>
  </si>
  <si>
    <t>1197746381986</t>
  </si>
  <si>
    <t>7720470130</t>
  </si>
  <si>
    <t>ООО ВЕССЕН</t>
  </si>
  <si>
    <t>109518, ЮВАО РАЙОН ТЕКСТИЛЬЩИКИ, Г. МОСКВА, 1-Й ГРАЙВОРОНОВСКИЙ ПРОЕЗД, Д. 20, С</t>
  </si>
  <si>
    <t>772201001</t>
  </si>
  <si>
    <t>MANISA (ТУРЦИЯ)</t>
  </si>
  <si>
    <t>20050760/1326/0000/2/1</t>
  </si>
  <si>
    <t>95</t>
  </si>
  <si>
    <t>10317000/021222/00006/2</t>
  </si>
  <si>
    <t>Г. НОВОРОССИЙСК</t>
  </si>
  <si>
    <t>СУХУМСКОЕ ШОССЕ, Д.17А</t>
  </si>
  <si>
    <t>КОТЛЫ БЫТОВЫЕ, ЦЕНТРАЛЬНОГО ОТОПЛЕНИЯ, ГАЗОВЫЕ, ОДНОКОНТУРНЫЕ, НАСТЕННЫЕ. ТОРГОВАЯ МАРКА Е.С.А., ИЗГОТОВЛЕНЫ ИЗ КОМПОЗИТНЫХ МАТЕРИАЛОВ, ЛАТУННЫХ И МЕТАЛЛИЧЕСКИХ ЧАСТЕЙ, В КОМПЛЕКТЕ С ИНСТРУКЦИЕЙ ПО УСТАНОВКЕ И ЭКСПЛУАТАЦИИ И КРЕПЕЖНОЙ ФУРНИТУРОЙ.</t>
  </si>
  <si>
    <t>EMAS MAKINA SANAYI A.S.</t>
  </si>
  <si>
    <t>КОЛЕСНИКОВА ЕКАТЕРИНА ИВАНОВНА</t>
  </si>
  <si>
    <t>10013160/271222/3632006</t>
  </si>
  <si>
    <t>3632006</t>
  </si>
  <si>
    <t>10131010/271222/3559363</t>
  </si>
  <si>
    <t>3559363</t>
  </si>
  <si>
    <t>10131010/271222/3559258</t>
  </si>
  <si>
    <t>3559258</t>
  </si>
  <si>
    <t>BASSANO DEL GRAPPA</t>
  </si>
  <si>
    <t>БРЯНСКАЯ ОБЛ.</t>
  </si>
  <si>
    <t>Г.БРЯНСК,ФОКИНСКИЙ Р-Н</t>
  </si>
  <si>
    <t>ПГТ БЕЛЫЕ БЕРЕГА</t>
  </si>
  <si>
    <t>10102030 т/п Брянский</t>
  </si>
  <si>
    <t>10131010/221222/3552467</t>
  </si>
  <si>
    <t>3552467</t>
  </si>
  <si>
    <t>OU ELECTROAIR TRADE</t>
  </si>
  <si>
    <t>75322, RAE VALD, SOODEVAHE, KAPTENI TEE 1, 1</t>
  </si>
  <si>
    <t>1117746229281</t>
  </si>
  <si>
    <t>7743812781</t>
  </si>
  <si>
    <t>ООО СТРОЙПРОЕКТ</t>
  </si>
  <si>
    <t>117218, МОСКВА, МОСКВА, ПР.НАХИМОВСКИЙ, Д.32, ЭТАЖ 12, ПОМ.1, ОФИС 13 И 14,</t>
  </si>
  <si>
    <t>772701001</t>
  </si>
  <si>
    <t>EE</t>
  </si>
  <si>
    <t>ЭСТОНИЯ</t>
  </si>
  <si>
    <t>ТАЛЛИНН</t>
  </si>
  <si>
    <t>196626</t>
  </si>
  <si>
    <t>СПБ</t>
  </si>
  <si>
    <t>П.ШУШАРЫ, УЛ.ПОСЕЛКОВАЯ, Д.12, ЛИТ.В; ТЕР.ПРЕДП.Ш</t>
  </si>
  <si>
    <t>КОТЛЫ ЦЕНТРАЛЬНОГО ОТОПЛЕНИЯ, ВОДОГРЕЙНЫЕ, ГАЗОВЫЕ В СТАЛЬНОМ КОРПУСЕ, НАПОЛЬНЫЕ КОНДЕНСАЦИОННЫЕ, МОЩНОСТЬ 150КВТ, ТИП LOGANO PLUS KB372</t>
  </si>
  <si>
    <t>BOSCH THERMOTECHNIEK GMBH</t>
  </si>
  <si>
    <t>3</t>
  </si>
  <si>
    <t>ШАДРИН НИКОЛАЙ ОЛЕГОВИЧ</t>
  </si>
  <si>
    <t>10317120/261222/3173172</t>
  </si>
  <si>
    <t>3173172</t>
  </si>
  <si>
    <t>KATRE ISI SANAYI TICARET A. S.</t>
  </si>
  <si>
    <t>34394, ZEYTINBURNU/, ISTANBUL, SEYITNIZAM MAH. DEMIRCILER SITESI 1 YOL NO:73/75,</t>
  </si>
  <si>
    <t>109518, ВН.ТЕР.Г. МУНИЦИПАЛЬНЫЙ ОКРУГ ТЕКСТИЛЬЩИКИ, МОСКВА, 1-Й ГРАЙВОРОНОВСКИЙ</t>
  </si>
  <si>
    <t>20081050/1326/0000/2/1</t>
  </si>
  <si>
    <t>КОТЛЫ БЫТОВЫЕ, ЦЕНТРАЛЬНОГО ОТОПЛЕНИЯ, ГАЗОВЫЕ, ОДНОКОНТУРНЫЕ, НАСТЕННЫЕ. ТОРГОВАЯ МАРКА Е.С.А., ИЗГОТОВЛЕНЫ ИЗ КОМПОЗИТНЫХ МАТЕРИАЛОВ, ЛАТУННЫХ И МЕТАЛЛИЧЕСКИХ ЧАСТЕЙ, В КОМПЛЕКТЕ С ИНСТРУКЦИЕЙ ПО УСТАНОВКЕ И ЭКСПЛУАТАЦИИ И КРЕПЕЖНОЙ ФУРНИТУРОЙ. С</t>
  </si>
  <si>
    <t>ЕМАS MAKINA SANAYI A.S.</t>
  </si>
  <si>
    <t>10228010/261222/5001301</t>
  </si>
  <si>
    <t>5001301</t>
  </si>
  <si>
    <t>SUMEC MACHINERY AND ELECTRIC CO LTD</t>
  </si>
  <si>
    <t>, ., NANJING, CHANGJIANG ROAD 198,</t>
  </si>
  <si>
    <t>1027809170069</t>
  </si>
  <si>
    <t>7815012515</t>
  </si>
  <si>
    <t>ООО ВОСХОД ПО ПОРУЧЕНИЮ ИМПОРТЕРА ООО ТОРГОВЫЙ ДОМ ТЕРМЕКС</t>
  </si>
  <si>
    <t>191144, , Г. САНКТ-ПЕТЕРБУРГ, УЛ. НОВГОРОДСКАЯ, Д. 14, ЛИТЕР А,</t>
  </si>
  <si>
    <t>784201001</t>
  </si>
  <si>
    <t>NANJING</t>
  </si>
  <si>
    <t>18120007/0436/0000/2/1</t>
  </si>
  <si>
    <t>10210000/130422/00004/4</t>
  </si>
  <si>
    <t>С-ПБ</t>
  </si>
  <si>
    <t>ПОС.ШУШАРЫ</t>
  </si>
  <si>
    <t>УЧ.Ж.Д МОСКОВСКОЕ ШОССЕ-РЕКА КУЗЬМИНКА</t>
  </si>
  <si>
    <t>10210130 т/п Шушарский</t>
  </si>
  <si>
    <t>КОТЛЫ ЭЛЕКТРИЧЕСКИЕ ОТОПИТЕЛЬНЫЕ ВОДОГРЕЙНЫЕ, НАСТЕННЫЕ, С ТЭНАМИ ВМОНТИРОВАННЫМИ В ТЕПЛООБМЕННИК ИЗ АЛЮМИНИЙ-МАГНИЕВОГО СПЛАВА, ДЛЯ СИСТЕМ ВОДЯНОГО ОТОПЛЕНИЯ И ГОРЯЧЕГО ВОДОСНАБЖЕНИЯ, ДЛЯ ИСПОЛЬЗОВАНИЯ В БЫТУ (НЕ ПРЕДНАЗНАЧЕНЫ ДЛЯ ПРОИЗВОДСТВА ПАРА,</t>
  </si>
  <si>
    <t>THERMEX HEATING TECHNOLOGY (JIANGMEN) CO., LTD</t>
  </si>
  <si>
    <t>ТИХОНОВ АНДРЕЙ ВЛАДИМИРОВИЧ</t>
  </si>
  <si>
    <t>10013160/251222/3628138</t>
  </si>
  <si>
    <t>3628138</t>
  </si>
  <si>
    <t>ICI CALDAIE S.P.A.</t>
  </si>
  <si>
    <t>37059, CAMPAGNOLA DI ZEVIO (VR), VERONA, VIA G.PASCOLI, 38,</t>
  </si>
  <si>
    <t>1044003101658</t>
  </si>
  <si>
    <t>4004400328</t>
  </si>
  <si>
    <t>ООО АЛЬБА</t>
  </si>
  <si>
    <t>141401, МОСКОВСКАЯ ОБЛ., Г.ХИМКИ, УЛ.РАБОЧАЯ, Д.2А, СТРОЕНИЕ 1, ЭТАЖ/ПОМ 1/40,</t>
  </si>
  <si>
    <t>46000</t>
  </si>
  <si>
    <t>504701001</t>
  </si>
  <si>
    <t>ВЕРОНА</t>
  </si>
  <si>
    <t>09100006/2306/0000/2/0</t>
  </si>
  <si>
    <t>БРЯНСКАЯ ОБЛ., БРЯНСКИЙ Р-Н</t>
  </si>
  <si>
    <t>Г.БРЯНСК</t>
  </si>
  <si>
    <t>ПОС.БЕЛЫЕ БЕРЕГА</t>
  </si>
  <si>
    <t>КОТЛЫ ЦЕНТРАЛЬНОГО ОТОПЛЕНИЯ, В ЧАСТИЧНО РАЗОБРАННОМ ВИДЕ ДЛЯ УДОБСТВА ТРАНСПОРТИРОВКИ, :</t>
  </si>
  <si>
    <t>12</t>
  </si>
  <si>
    <t>МОТОРИНА ИРИНА АЛЕКСАНДРОВНА</t>
  </si>
  <si>
    <t>10012020/261222/3101664</t>
  </si>
  <si>
    <t>3101664</t>
  </si>
  <si>
    <t>KYUNG DONG NAVIEN CO., LTD.</t>
  </si>
  <si>
    <t>, YEONGDEUNGPO-GU, SEOUL, 22, GUKHOE-DAERO 76-GIL,</t>
  </si>
  <si>
    <t>1023900764238</t>
  </si>
  <si>
    <t>3905033079</t>
  </si>
  <si>
    <t>ООО МЕНАКОМ</t>
  </si>
  <si>
    <t>KR</t>
  </si>
  <si>
    <t>КОРЕЯ, РЕСПУБЛИКА</t>
  </si>
  <si>
    <t>20010084/1000/0074/2/1</t>
  </si>
  <si>
    <t>KYUNG DONG NAVIEN CO., LTD</t>
  </si>
  <si>
    <t>10131010/261222/3556239</t>
  </si>
  <si>
    <t>3556239</t>
  </si>
  <si>
    <t>УЛ. СОБОРНАЯ, Д. 21</t>
  </si>
  <si>
    <t>10013160/261222/3628607</t>
  </si>
  <si>
    <t>3628607</t>
  </si>
  <si>
    <t>UNICAL AG S.P.A.</t>
  </si>
  <si>
    <t>46020, , CARBONARA DI PO (MN), VIA RONCADA N. 81,</t>
  </si>
  <si>
    <t>1185027003226</t>
  </si>
  <si>
    <t>5003126900</t>
  </si>
  <si>
    <t>ООО ИТЕПЛО</t>
  </si>
  <si>
    <t>142717, МОСКОВСКАЯ ОБЛАСТЬ ЛЕНИНСКИЙ РАЙОН, С.П. РАЗВИЛКОВСКОЕ,, ПОС. РАЗВИЛКА,</t>
  </si>
  <si>
    <t>500301001</t>
  </si>
  <si>
    <t>РАЗНЫЕ</t>
  </si>
  <si>
    <t>18050061/1000/0081/2/1</t>
  </si>
  <si>
    <t>МОСКОВСКАЯ ОБЛ.</t>
  </si>
  <si>
    <t>Г. ХИМКИ</t>
  </si>
  <si>
    <t>ВАШУТИНСКОЕ Ш., Д. 20, К. 1</t>
  </si>
  <si>
    <t>10013020 т/п Вашутинский</t>
  </si>
  <si>
    <t>КОТЛЫ ОТОПИТЕЛЬНЫЕ, РАБОТАЮЩИЕ НА ГАЗОВОМ ТОПЛИВЕ, В ЧАСТИЧНО РАЗОБРАННОМ ВИДЕ:</t>
  </si>
  <si>
    <t>КЛ/19/21</t>
  </si>
  <si>
    <t>ДЕМЧУК ЕКАТЕРИНА СЕРГЕЕВНА</t>
  </si>
  <si>
    <t>10131010/261222/3556267</t>
  </si>
  <si>
    <t>3556267</t>
  </si>
  <si>
    <t>КОТЛЫ ЦЕНТРАЛЬНОГО ОТОПЛЕНИЯ, СТАЛЬНЫЕ, БРУТТО С ПОДДОНАМИ 15972.6 КГ., АССОРТИМЕНТ</t>
  </si>
  <si>
    <t>10013160/251222/3627558</t>
  </si>
  <si>
    <t>3627558</t>
  </si>
  <si>
    <t>КОТЛЫ ЦЕНТРАЛЬНОГО ОТОПЛЕНИЯ, СТАЛЬНЫЕ, БРУТТО С ПОДДОНАМИ 18383.9 КГ., АССОРТИМЕНТ</t>
  </si>
  <si>
    <t>10317120/261222/3173152</t>
  </si>
  <si>
    <t>3173152</t>
  </si>
  <si>
    <t>VESSEN DIS TICARET A. S.</t>
  </si>
  <si>
    <t>, ZEYTINBURNU, ISTANBUL, SEYITNIZAM MAH. DEMIRCILER SITESI 1 YOL NO:75,</t>
  </si>
  <si>
    <t>22110090/3311/0000/2/1</t>
  </si>
  <si>
    <t>КОТЛЫ БЫТОВЫЕ, ЦЕНТРАЛЬНОГО ОТОПЛЕНИЯ, ГАЗОВЫЕ, ИЗГОТОВЛЕНЫ ИЗ КОМПОЗИТНЫХ МАТЕРИАЛОВ, ЛАТУННЫХ И МЕТАЛЛИЧЕСКИХ ЧАСТЕЙ. ОДНОКОНТУРНЫЕ, НАСТЕННЫЕ КОНДЕНСАЦИОННЫЕ, НА НАПРЯЖЕНИЕ 220-240 В. В КОМПЛЕКТЕ С ДЫМОХОДОМ. ПРЕДНАЗНАЧЕНЫ ДЛЯ ОТОПЛЕНИЯ ЧАСТНЫХ</t>
  </si>
  <si>
    <t>TERMO ISI SISTEMLERI TIC. VE SAN. A.S.</t>
  </si>
  <si>
    <t>10013160/261222/3629152</t>
  </si>
  <si>
    <t>3629152</t>
  </si>
  <si>
    <t>CARBONARA</t>
  </si>
  <si>
    <t>10228010/261222/3421030</t>
  </si>
  <si>
    <t>3421030</t>
  </si>
  <si>
    <t>ARISTON SPA C/W LT LOGIC</t>
  </si>
  <si>
    <t>60044, ., FABRIANO (AN), VIALE ARISTIDE MERLONI, 45,</t>
  </si>
  <si>
    <t>10131010/261222/3556073</t>
  </si>
  <si>
    <t>3556073</t>
  </si>
  <si>
    <t>10012020/261222/5000738</t>
  </si>
  <si>
    <t>5000738</t>
  </si>
  <si>
    <t>20010073/1000/0074/2/1</t>
  </si>
  <si>
    <t>10805010/261222/3028298</t>
  </si>
  <si>
    <t>10805010</t>
  </si>
  <si>
    <t>3028298</t>
  </si>
  <si>
    <t>ITALTHERM S.P.A.</t>
  </si>
  <si>
    <t>29010, , PONTENURE (PC), VIA SALVO D'ACQUISTO SNC,</t>
  </si>
  <si>
    <t>1212600005826</t>
  </si>
  <si>
    <t>2632117991</t>
  </si>
  <si>
    <t>ООО ТЁПЛЫЙ РИМ</t>
  </si>
  <si>
    <t>357502, СТАВРОПОЛЬСКИЙ КРАЙ, Г. ПЯТИГОРСК, Ш. ЧЕРКЕССКОЕ, Д. 56,ПОМЕЩ. 8</t>
  </si>
  <si>
    <t>07000</t>
  </si>
  <si>
    <t>263201001</t>
  </si>
  <si>
    <t>PONTENURE (PIACENZA)</t>
  </si>
  <si>
    <t>21090222/1000/0081/2/1</t>
  </si>
  <si>
    <t>КОТЛЫ ОТОПИТЕЛЬНЫЕ ГАЗОВЫЕ (ВОДОГРЕЙНЫЕ) СТАЛЬНЫЕ. ПРЕДНАЗНАЧЕНЫ ДЛЯ ОТОПЛЕНИЯ ЖИЛЫХ ДОМОВ И ЗДАНИЙ КОММУНАЛЬНО-БЫТОВОГО НАЗНАЧЕНИЯ, ОБОРУДОВАННЫХ СИСТЕМАМИ ОТОПЛЕНИЯ НЕПРЕРЫВНОГО ДЕЙСТВИЯ С ЕСТЕСТВЕННОЙ ИЛИ ПРИНУДИТЕЛЬНОЙ ЦИРКУЛЯЦИЕЙ ТЕПЛОНОСИТЕЛЯ,</t>
  </si>
  <si>
    <t>1069-21-54-1264</t>
  </si>
  <si>
    <t>ЖУРАВКОВ СЕРГЕЙ ИВАНОВИЧ</t>
  </si>
  <si>
    <t>10013160/261222/3628678</t>
  </si>
  <si>
    <t>3628678</t>
  </si>
  <si>
    <t>WOLF GMBH</t>
  </si>
  <si>
    <t>84048, , MAINBURG, INDUSTRIESTRABE 1,</t>
  </si>
  <si>
    <t>1117746958152</t>
  </si>
  <si>
    <t>7705970152</t>
  </si>
  <si>
    <t>ООО ВОЛЬФ ЭНЕРГОСБЕРЕГАЮЩИЕ СИСТЕМЫ</t>
  </si>
  <si>
    <t>127238, , МОСКВА, ШОССЕ ДМИТРОВСКОЕ, ДОМ 71Б, ЭТ.5, КОМ.18,</t>
  </si>
  <si>
    <t>RUB</t>
  </si>
  <si>
    <t>13100004/3333/0000/2/1</t>
  </si>
  <si>
    <t>МОСКОВСКАЯ ОБЛ. ОДИНЦОВСКИЙ Г.О.</t>
  </si>
  <si>
    <t>ТЕРР. ЗВЕНИГОРОДСКОЕ</t>
  </si>
  <si>
    <t>Ш., 33-Й КМ., СТР. 6, 8, 9, 13, 19; ЗЕМ. УЧ. 1/1 И</t>
  </si>
  <si>
    <t>10013210 т/п Кубинка</t>
  </si>
  <si>
    <t>КОТЛЫ ЦЕНТРАЛЬНОГО ОТОПЛЕНИЯ: ИТОГО-221ШТ.</t>
  </si>
  <si>
    <t>6</t>
  </si>
  <si>
    <t>443/01/2022</t>
  </si>
  <si>
    <t>РАССОЛОВ АЛЕКСАНДР НИКОЛАЕВИЧ</t>
  </si>
  <si>
    <t>10131010/261222/3556242</t>
  </si>
  <si>
    <t>3556242</t>
  </si>
  <si>
    <t>БРЯНСКАЯ ОБЛ.,</t>
  </si>
  <si>
    <t>Г.БРЯНСК,ФОКИНСКИЙ Р-Н,</t>
  </si>
  <si>
    <t>КОТЛЫ ЦЕНТРАЛЬНОГО ОТОПЛЕНИЯ, СТАЛЬНЫЕ, БРУТТО С ПОДДОНАМИ 15807.40 КГ., АССОРТИМЕНТ</t>
  </si>
  <si>
    <t>10131010/261222/3557440</t>
  </si>
  <si>
    <t>3557440</t>
  </si>
  <si>
    <t>КОТЛЫ ЦЕНТРАЛЬНОГО ОТОПЛЕНИЯ, СТАЛЬНЫЕ, ВЕС БРУТТО С ПОДДОНАМИ 17892.0 КГ., АССОРТИМЕНТ</t>
  </si>
  <si>
    <t>10013160/261222/3630065</t>
  </si>
  <si>
    <t>3630065</t>
  </si>
  <si>
    <t>10013160/241222/3626725</t>
  </si>
  <si>
    <t>3626725</t>
  </si>
  <si>
    <t>ООО TECHNO EXPORT</t>
  </si>
  <si>
    <t>., РЕСПУБЛИКА УЗБЕКИСТАН, Г.ТАШКЕНТ, ШАЙХАНТАХУРСКИЙ Р-Н, УЛ. КИЧИК ХАЛКА ЙУЛИ,</t>
  </si>
  <si>
    <t>1037700024933</t>
  </si>
  <si>
    <t>7716168776</t>
  </si>
  <si>
    <t>ООО ВИССМАНН</t>
  </si>
  <si>
    <t>141014, , Г. МЫТИЩИ, УЛ.ЦЕНТРАЛЬНАЯ, СТРОЕНИЕ 20Б, ОФИС 815,</t>
  </si>
  <si>
    <t>502901001</t>
  </si>
  <si>
    <t>UZ</t>
  </si>
  <si>
    <t>УЗБЕКИСТАН</t>
  </si>
  <si>
    <t>CPT</t>
  </si>
  <si>
    <t>Г. ПОДОЛЬСК</t>
  </si>
  <si>
    <t>22070302/0001/0000/2/1</t>
  </si>
  <si>
    <t>Г. МОЖАЙСК</t>
  </si>
  <si>
    <t>Д. ОТЯКОВО</t>
  </si>
  <si>
    <t>10013150 т/п Можайский</t>
  </si>
  <si>
    <t>КОТЛЫ, МАТЕРИАЛ ИЗГ.-СТАЛЬ, ОБЛАСТЬ ПРИМЕНЕНИЯ-ДЛЯ СИСТЕМЫ ЦЕНТРАЛЬНОГО ОТОПЛЕНИЯ И ГОРЯЧЕГО ВОДОСНАБЖЕНИЯ, ПРИНЦИП РАБОТЫ-РАБОТАЮЩИЕ НА ГАЗООБРАЗНОМ ТОПЛИВЕ, ТЕХНИЧЕСКИЕ ХАРАКТЕРИСТИКИ-МОЩНОСТЬ 24/30/34 КВТ, (НЕВОЕННОГО НАЗНАЧЕНИЯ), :</t>
  </si>
  <si>
    <t>ООО NEXT GENERATION PRODUCT</t>
  </si>
  <si>
    <t>ООЭР-ОО</t>
  </si>
  <si>
    <t>1019/00-19-056</t>
  </si>
  <si>
    <t>СОЛОДАЙ ОЛЕСЯ ЮРЬЕВНА</t>
  </si>
  <si>
    <t>10720010/251222/3095701</t>
  </si>
  <si>
    <t>10720010</t>
  </si>
  <si>
    <t>3095701</t>
  </si>
  <si>
    <t>INNER MONGOLIA THE ERA OF BINHANG SUPPLY CHAIN MANAGEMENT CO, LTD</t>
  </si>
  <si>
    <t>, INNER MONGOLIA, MANZHOULI CITY, BICAO YUNTIAN 20,STREET, HUMAO DISTRICT, NO. 7</t>
  </si>
  <si>
    <t>1227500001860</t>
  </si>
  <si>
    <t>7500002418</t>
  </si>
  <si>
    <t>ООО ФРЕГАТ</t>
  </si>
  <si>
    <t>672000, ЗАБАЙКАЛЬСКИЙ КРАЙ, Г.ЧИТА, УЛ. БАБУШКИНА, Д.42, КОРП. А, ОФИС 209</t>
  </si>
  <si>
    <t>76000</t>
  </si>
  <si>
    <t>750001001</t>
  </si>
  <si>
    <t>ЗАБАЙКАЛЬСК</t>
  </si>
  <si>
    <t>22050009/1481/1727/2/1</t>
  </si>
  <si>
    <t>10719/291015/10027/8</t>
  </si>
  <si>
    <t>ЗАБАЙКАЛЬСКИЙ КРАЙ</t>
  </si>
  <si>
    <t>ПГТ. ЗАБАЙКАЛЬСК</t>
  </si>
  <si>
    <t>МКР.МАПП ЗАБАЙКАЛЬСК УЧАСТОК № 6</t>
  </si>
  <si>
    <t>10719030 т/п Забайкальский</t>
  </si>
  <si>
    <t>ТВЕРДОТОПЛИВНЫЙ ВОДОГРЕЙНЫЙ ОТОПИТЕЛЬНЫЙ КОТЕЛ ТОРГОВОЙ МАРКИ CHENG CHENG, МОДЕЛЬ СС-2000W-01, ИЗГОТОВИТЕЛЬ ANHUI CHENGCHENG MACHINERY CO., LTD.В ЧАСТИЧНО РАЗОБРАННОМ ВИДЕ ДЛЯ УДОБСТВА ТРАНСПОРТИРОВКИ СОГЛАСНО УПАКОВОЧНОГО ЛИСТА:КАБЕЛЬ ПИТАНИЯ1 ШТ 1</t>
  </si>
  <si>
    <t>ANHUI CHENGCHENG MACHINERY CO., LTD</t>
  </si>
  <si>
    <t>ЕКИМОВ ОЛЕГ ВАЛЕРЬЕВИЧ</t>
  </si>
  <si>
    <t>10228010/251222/3420314</t>
  </si>
  <si>
    <t>3420314</t>
  </si>
  <si>
    <t>90</t>
  </si>
  <si>
    <t>10013160/251222/3628186</t>
  </si>
  <si>
    <t>3628186</t>
  </si>
  <si>
    <t>10013/200111/10099/7</t>
  </si>
  <si>
    <t>Г. ДОМОДЕДОВО</t>
  </si>
  <si>
    <t>УЛ. ЛОГИСТИЧЕСКАЯ, Д. 1/6, К. 7Б</t>
  </si>
  <si>
    <t>10013060 т/п Каширский</t>
  </si>
  <si>
    <t>10013160/161222/3612657</t>
  </si>
  <si>
    <t>3612657</t>
  </si>
  <si>
    <t>ПТД</t>
  </si>
  <si>
    <t>ANATOLIA TRADING TEAM DIS TICARET LIMITED SIRKETI</t>
  </si>
  <si>
    <t>96061, MOLLA GURANI MAH. GENCTURK CAD., ISTANBUL, KARAGUL CENTER NO:84 INTERIOR</t>
  </si>
  <si>
    <t>1217700232640</t>
  </si>
  <si>
    <t>9723116395</t>
  </si>
  <si>
    <t>ООО ТРЕЙДИНГ ЛТД</t>
  </si>
  <si>
    <t>115054, ., Г.МОСКВА, ПЕР БОЛЬШОЙ СТРОЧЕНОВСКИЙ Д. 7, ПОМЕЩ. 39/3/1, ОФИ,</t>
  </si>
  <si>
    <t>770501001</t>
  </si>
  <si>
    <t>FI</t>
  </si>
  <si>
    <t>ФИНЛЯНДИЯ</t>
  </si>
  <si>
    <t>22080465/2275/0000/2/1</t>
  </si>
  <si>
    <t>МОСКОВСКАЯ ОБЛ., ОДИНЦОВСКИЙ Р-Н, С/О НИКОЛЬСКИЙ</t>
  </si>
  <si>
    <t>П. НОВЫЙ ГОРОДОК</t>
  </si>
  <si>
    <t>СТР. 1, ОФИС 3</t>
  </si>
  <si>
    <t>10013100 т/п Краснознаменский (центр эл.декл.)</t>
  </si>
  <si>
    <t>ВОДОГРЕЙНЫЕ ЭЛЕКТРИЧЕСКИЕ КОТЛЫ ЦЕНТРАЛЬНОГО ОТОПЛЕНИЯ :</t>
  </si>
  <si>
    <t>FOSHAN SHUNDE CAFOS ELECTRIC APPLIANCE CO., LTD.</t>
  </si>
  <si>
    <t>41</t>
  </si>
  <si>
    <t>ПУШКАРЕВ МАКСИМ АНДРЕЕВИЧ</t>
  </si>
  <si>
    <t>10013160/251222/3627809</t>
  </si>
  <si>
    <t>3627809</t>
  </si>
  <si>
    <t xml:space="preserve">SIA FRIGO TRANS </t>
  </si>
  <si>
    <t>LV-1005, LATVIJA, RIGA, DAMBJA IELA, 3A</t>
  </si>
  <si>
    <t>1195081081700</t>
  </si>
  <si>
    <t>5029251630</t>
  </si>
  <si>
    <t>ООО ЕВРОПРОМИМПОРТ</t>
  </si>
  <si>
    <t>141006, МО, Г. МЫТИЩИ, РУПАСОВСКИЙ 1-Й ПЕРЕУЛОК,ЛИТЕР 4В,ОФИС 24А, 19</t>
  </si>
  <si>
    <t>ЧЕХИЯ</t>
  </si>
  <si>
    <t>RIGA</t>
  </si>
  <si>
    <t>22112925/3292/0000/2/1</t>
  </si>
  <si>
    <t>Г. КРАСНОЗНАМЕНСК</t>
  </si>
  <si>
    <t>УЛ. БЕРЕЗОВАЯ АЛЛЕЯ</t>
  </si>
  <si>
    <t>10013070 т/п Красноармейский</t>
  </si>
  <si>
    <t>КОТЛЫ ЦЕНТРАЛЬНОГО ОТОПЛЕНИЯ:</t>
  </si>
  <si>
    <t>THERMONA SPOL. S.R.O.</t>
  </si>
  <si>
    <t>CZ</t>
  </si>
  <si>
    <t>ОСНОВИНА ОЛЬГА НИКОЛАЕВНА</t>
  </si>
  <si>
    <t>КОТЛЫ ЦЕНТРАЛЬНОГО ОТОПЛЕНИЯ, ИЗ ЧУГУННОГО ЛИТЬЯ: :</t>
  </si>
  <si>
    <t>10131010/241222/3554408</t>
  </si>
  <si>
    <t>3554408</t>
  </si>
  <si>
    <t>КОТЛЫ ЦЕНТРАЛЬНОГО ОТОПЛЕНИЯ, СТАЛЬНЫЕ, ВЕС БРУТТО С ПОДДОНАМИ 16870.25 КГ., АССОРТИМЕНТ</t>
  </si>
  <si>
    <t>10131010/241222/5001977</t>
  </si>
  <si>
    <t>5001977</t>
  </si>
  <si>
    <t>10131010/241222/3554640</t>
  </si>
  <si>
    <t>3554640</t>
  </si>
  <si>
    <t>КОТЛЫ ЦЕНТРАЛЬНОГО ОТОПЛЕНИЯ, СТАЛЬНЫЕ, ВЕС БРУТТО С ПОДДОНАМИ 17851.5 КГ., АССОРТИМЕНТ</t>
  </si>
  <si>
    <t>10131010/241222/3554601</t>
  </si>
  <si>
    <t>3554601</t>
  </si>
  <si>
    <t>КОТЛЫ ЦЕНТРАЛЬНОГО ОТОПЛЕНИЯ, СТАЛЬНЫЕ, ВЕС БРУТТО С ПОДДОНАМИ 15636.8 КГ., АССОРТИМЕНТ</t>
  </si>
  <si>
    <t>10012020/241222/5000713</t>
  </si>
  <si>
    <t>5000713</t>
  </si>
  <si>
    <t>RADIANT BRUCIATORI SPA ON BEHALF OF LLC EURONEKA KG TRANSSHIPMENT BY DM GROUP PLANET SP.ZO.O. SP.K.</t>
  </si>
  <si>
    <t>, , GDANSK, MIKOLAJA REJA 3,</t>
  </si>
  <si>
    <t>1023900984997</t>
  </si>
  <si>
    <t>3906086732</t>
  </si>
  <si>
    <t>ООО ЭКОТЕХНИКА</t>
  </si>
  <si>
    <t>236000, КАЛИНИНГРАДСКАЯ ОБЛ., Г.КАЛИНИНГРАД, ПР-КТ МИРА 142, ЛИТЕР М,</t>
  </si>
  <si>
    <t>390601001</t>
  </si>
  <si>
    <t>KG</t>
  </si>
  <si>
    <t>КЫРГЫЗСТАН</t>
  </si>
  <si>
    <t>PL</t>
  </si>
  <si>
    <t>ПОЛЬША</t>
  </si>
  <si>
    <t>22110015/0436/0028/9/1</t>
  </si>
  <si>
    <t>КАЛИНИНГРАДСКАЯ ОБЛ., ГУРЬЕВСКИЙ Р-Н</t>
  </si>
  <si>
    <t>ПОС. ДРУЖНЫЙ</t>
  </si>
  <si>
    <t>УЛ. ДЗЕРЖИНСКОГО,248.</t>
  </si>
  <si>
    <t>КОТЛЫ ОТОПИТЕЛЬНЫЕ ВОДОГРЕЙНЫЕ ГАЗОВЫЕ, ТЕПЛОВОЙ МОЩНОСТЬЮ ДО 100 КВТ, ДЛЯ ЦЕНТРАЛЬНОГО ОТОПЛЕНИЯ И ПРОИЗВОДСТВА ГОРЯЧЕЙ ВОДЫ, БЫТОВЫЕ, НАСТЕННЫЕ, В КОРПУСЕ ИЗ СТАЛИ, НЕ ВОЕННОГО НАЗНАЧЕНИЯ, ПРЕДНАЗНАЧЕНЫ ДЛЯ НЕБОЛЬШИХ СИСТЕМ ЦЕНТРАЛЬНОГО ОТОПЛЕНИЯ И</t>
  </si>
  <si>
    <t>RADIANT BRUCIATORI S.P.A.</t>
  </si>
  <si>
    <t>ХЛЕБОДАРОВ СЕРГЕЙ ВАЛЕНТИНОВИЧ</t>
  </si>
  <si>
    <t>КОТЛЫ ОТОПИТЕЛЬНЫЕ ВОДОГРЕЙНЫЕ ГАЗОВЫЕ, ТЕПЛОВОЙ МОЩНОСТЬЮ ДО 100 КВТ, КОНДЕНСАЦИОННЫЕ, ДЛЯ ЦЕНТРАЛЬНОГО ОТОПЛЕНИЯ И ПРОИЗВОДСТВА ГОРЯЧЕЙ ВОДЫ, БЫТОВЫЕ, НАСТЕННЫЕ, В КОРПУСЕ ИЗ СТАЛИ, НЕ ВОЕННОГО НАЗНАЧЕНИЯ, ПРЕДНАЗНАЧЕНЫ ДЛЯ НЕБОЛЬШИХ СИСТЕМЦЕНТРАЛЬ</t>
  </si>
  <si>
    <t>10012020/231222/3101323</t>
  </si>
  <si>
    <t>3101323</t>
  </si>
  <si>
    <t>80-404, , GDANSK, MIKOLAJA REJA 3,</t>
  </si>
  <si>
    <t>КОТЕЛ ОТОПИТЕЛЬНЫЙ ВОДОГРЕЙНЫЙ ГАЗОВЫЙ, ДЛЯ ЦЕНТРАЛЬНОГО ОТОПЛЕНИЯ, В КОРПУСЕ ИЗ СТАЛИ, НЕ ВОЕННОГО НАЗНАЧЕНИЯ, ДАННАЯ ПРОДУКЦИЯ ЗАВОЗИТСЯ В КАЧЕСТВЕ ПРОБ (ОБРАЗЦОВ) ДЛЯ ЦЕЛЕЙ ПРОВЕДЕНИЯ ОЦЕНКИ СООТВЕТСТВИЯ ОБЯЗАТЕЛЬНЫМ ТРЕБОВАНИЯМ ТЕХНИЧЕСКИХ</t>
  </si>
  <si>
    <t>10013160/231222/3624301</t>
  </si>
  <si>
    <t>3624301</t>
  </si>
  <si>
    <t>STEELSOFT DOO BEOGRAD</t>
  </si>
  <si>
    <t>11080, , ZEMUN, AUTOPUT ZA NOVI SAD 71,</t>
  </si>
  <si>
    <t>1027739216350</t>
  </si>
  <si>
    <t>7705238125</t>
  </si>
  <si>
    <t>ООО ФИРМА ВОДОКОМФОРТ</t>
  </si>
  <si>
    <t>115114, ГОРОД, МОСКВА, УЛ. КОЖЕВНИЧЕСКАЯ, 16</t>
  </si>
  <si>
    <t>772501001</t>
  </si>
  <si>
    <t>RS</t>
  </si>
  <si>
    <t>СЕРБИЯ</t>
  </si>
  <si>
    <t>BEOGRAD</t>
  </si>
  <si>
    <t>22090197/1927/0006/2/1</t>
  </si>
  <si>
    <t>10013/200111/10101/6</t>
  </si>
  <si>
    <t>ТЕР. ЗВЕНИГОРОДСКОЕ</t>
  </si>
  <si>
    <t>КОТЛЫ ЦЕНТРАЛЬНОГО ОТОПЛЕНИЯ</t>
  </si>
  <si>
    <t>VAILLANT GMBH</t>
  </si>
  <si>
    <t>15ТО-19082022-3</t>
  </si>
  <si>
    <t>СЕРГЕЕВА АНАСТАСИЯ НИКОЛАЕВНА</t>
  </si>
  <si>
    <t>10131010/231222/3552897</t>
  </si>
  <si>
    <t>3552897</t>
  </si>
  <si>
    <t>КОТЛЫ ЦЕНТРАЛЬНОГО ОТОПЛЕНИЯ, СТАЛЬНЫЕ, ВЕС БРУТТО С ПОДДОНАМИ 17557.80 КГ., АССОРТИМЕНТ</t>
  </si>
  <si>
    <t>10131010/221222/3552385</t>
  </si>
  <si>
    <t>3552385</t>
  </si>
  <si>
    <t>КОТЛЫ ЦЕНТРАЛЬНОГО ОТОПЛЕНИЯ, СТАЛЬНЫЕ, БРУТТО С ПОДДОНАМИ 11632.0 КГ., АССОРТИМЕНТ</t>
  </si>
  <si>
    <t>BDR THERMEA HVAC &amp; CO., LTD</t>
  </si>
  <si>
    <t>НОВИКОВА ЕЛЕНА ПЕТРОВНА</t>
  </si>
  <si>
    <t>10013160/231222/3625264</t>
  </si>
  <si>
    <t>3625264</t>
  </si>
  <si>
    <t>10228010/231222/3419018</t>
  </si>
  <si>
    <t>3419018</t>
  </si>
  <si>
    <t>10012020/231222/3101286</t>
  </si>
  <si>
    <t>3101286</t>
  </si>
  <si>
    <t>FERROLI S.P.A. ON BEHALF OF LLC EURONEKA KG TRANSSHIPMENT BY DM GROUP PLANET SP.ZO.O. SP.K.</t>
  </si>
  <si>
    <t>КОТЛЫ ЦЕНТРАЛЬНОГО ОТОПЛЕНИЯ ИЗ ЧУГУННОГО ЛИТЬЯ, ВОДОГРЕЙНЫЕ НАПОЛЬНЫЕ ЧУГУННЫЕ ОТОПИТЕЛЬНЫЕ КОТЛЫ ТЕПЛОВОЙ МОЩНОСТЬЮ 32 КВТ, С ОТКРЫТОЙ КАМЕРОЙ СГОРАНИЯ, ТОПЛИВО ГАЗ, С АТМОСФЕРНОЙ ГОРЕЛКОЙ, ДЛЯ ОТОПЛЕНИЯ ЖИЛЫХ ПОМЕЩЕНИЙ, НЕ ВОЕННОГО НАЗНАЧЕНИЯ,</t>
  </si>
  <si>
    <t>FERROLI S.P.A.</t>
  </si>
  <si>
    <t>10228010/221222/3417894</t>
  </si>
  <si>
    <t>3417894</t>
  </si>
  <si>
    <t>THERMEX IKLIMLENDIRME VE ISITMA SISTEMLERI SANAYI TIC  LTD. STI</t>
  </si>
  <si>
    <t>35865, TORBALI, IZMIR, ORGANIZE SANAYI BOLGESI MAH. 7.CAD. NO.17/2,</t>
  </si>
  <si>
    <t>IZMIR</t>
  </si>
  <si>
    <t>21070038/0436/0000/2/1</t>
  </si>
  <si>
    <t>КОТЛЫ ГАЗОВЫЕ ОТОПИТЕЛЬНЫЕ ВОДОГРЕЙНЫЕ, НАСТЕННЫЕ, СТАЛЬНЫЕ, ДЛЯ СИСТЕМ ВОДЯНОГО ОТОПЛЕНИЯ И ГОРЯЧЕГО ВОДОСНАБЖЕНИЯ, ДЛЯ ИСПОЛЬЗОВАНИЯ В БЫТУ, МАТЕРИАЛ ТЕПЛООБМЕННИКА СТАЛЬ И АЛЮМИНИЙ (НЕ ПРЕДНАЗНАЧЕНЫ ДЛЯ ПРОИЗВОДСТВА ПАРА, НЕ ВОЕННОГО НАЗНАЧЕНИЯ)</t>
  </si>
  <si>
    <t>THERMEX IKLIMLENDIRME VE ISITMA SISTEMLERI SAN. VE TIC. LTD.STI.</t>
  </si>
  <si>
    <t>10131010/221222/3552355</t>
  </si>
  <si>
    <t>3552355</t>
  </si>
  <si>
    <t>142455</t>
  </si>
  <si>
    <t>10005030/171222/3346812</t>
  </si>
  <si>
    <t>10005030</t>
  </si>
  <si>
    <t>3346812</t>
  </si>
  <si>
    <t>TRANS HOPE INTERNATIONAL CO.,LTD</t>
  </si>
  <si>
    <t>, NANSHAN DISTRICT, SHENZHEN CITY, EAST TOWER,COASTAL BUILDING,3RD HAIDE AVENUE,</t>
  </si>
  <si>
    <t>1046206007220</t>
  </si>
  <si>
    <t>6229047095</t>
  </si>
  <si>
    <t>ООО ТРАНСТЕХСЕРВИС</t>
  </si>
  <si>
    <t>391121, РЯЗАНСКАЯ ОБЛ., РЫБНОВСКИЙ Р-Н, Д.ЗЕЛЕНИНСКИЕ ДВОРИКИ, , ЗДАНИЕ 55М</t>
  </si>
  <si>
    <t>61000</t>
  </si>
  <si>
    <t>621301001</t>
  </si>
  <si>
    <t>1226200004359</t>
  </si>
  <si>
    <t>6234200006</t>
  </si>
  <si>
    <t>ООО МАРТЛАЙН</t>
  </si>
  <si>
    <t>390035, РЯЗАНСКАЯ ОБЛ., Г.РЯЗАНЬ, УЛ.ОСТРОВСКОГО, Д.23/2, КВ.96</t>
  </si>
  <si>
    <t>623401001</t>
  </si>
  <si>
    <t>SHENZHEN</t>
  </si>
  <si>
    <t>018</t>
  </si>
  <si>
    <t>10005/060917/10048/2</t>
  </si>
  <si>
    <t>Г.ХИМКИ</t>
  </si>
  <si>
    <t>ШЕРЕМЕТЬЕВСКОЕ ШОССЕ</t>
  </si>
  <si>
    <t>10005020 т/п Аэропорт Шереметьево (грузовой)</t>
  </si>
  <si>
    <t>КОТЛЫ ЭЛЕКТРИЧЕСКИЕ ЦЕНТРАЛЬНОГО ОТОПЛЕНИЯ МАРКИ OSMAX, БЫТОВЫЕ, СТАЛЬНЫЕ, НАПРЯЖЕНИЕ ПИТАНИЯ 220-380 В, МОЩНОСТЬЮ ОТ 10 ДО 16 КВАТТ, ТЕМПЕРАТУРА ВОДЫ 25-75 ГРАД.ЦЕЛЬСИЯ. ИСПОЛЬЗУЮТСЯ В БЫТУ ДЛЯ ПОДКЛЮЧЕНИЯ К СИСТЕМЕ ЦЕНТРАЛЬНОГО ОТОПЛЕНИЯ ДЛЯ ОБОГ</t>
  </si>
  <si>
    <t>ZHONGSHAN CHONGDE ELECTRIC CO., LTD</t>
  </si>
  <si>
    <t>МАРТЫНОВ АЛЕКСАНДР ЕВГЕНЬЕВИЧ</t>
  </si>
  <si>
    <t>10131010/221222/3551386</t>
  </si>
  <si>
    <t>3551386</t>
  </si>
  <si>
    <t>10131010/221222/3552377</t>
  </si>
  <si>
    <t>3552377</t>
  </si>
  <si>
    <t>10418010/221222/3235079</t>
  </si>
  <si>
    <t>10418010</t>
  </si>
  <si>
    <t>3235079</t>
  </si>
  <si>
    <t>VARMECOM INDUSTRY INC.</t>
  </si>
  <si>
    <t>, ESKISEHIR, ODUNPAZAR, 75TH YEAR OSB DISTRICT, STREET 104, 12</t>
  </si>
  <si>
    <t>1060278101982</t>
  </si>
  <si>
    <t>0278122273</t>
  </si>
  <si>
    <t>ООО ГАЗСТРОЙИНВЕСТ</t>
  </si>
  <si>
    <t>450006, РЕСПУБЛИКА БАШКОРТОСТАН, УФА, УЛ. 50-ЛЕТИЯ ОКТЯБРЯ, 15</t>
  </si>
  <si>
    <t>22110036/3292/0006/2/1</t>
  </si>
  <si>
    <t>10413/070318/10059/1</t>
  </si>
  <si>
    <t>САРАТОВСКАЯ ОБЛ.</t>
  </si>
  <si>
    <t>Г. САРАТОВ</t>
  </si>
  <si>
    <t>УЛ. ТАМОЖЕННЫЙ ПР-Д, Д. 6</t>
  </si>
  <si>
    <t>10413070 т/п Саратовский</t>
  </si>
  <si>
    <t>ГАЗОВЫЙ НАСТЕННЫЙ КОТЕЛ КОНВЕКЦИОННОГО ТИПА FEDERICA BUGATTI VARME ПРЕДНАЗНАЧЕН ДЛЯ ОТОПЛЕНИЯ И ПРИГОТОВЛЕНИЯ ГОРЯЧЕЙ ВОДЫ В КОТТЕДЖАХ, В КВАРТИРАХ МНОГОЭТАЖНЫХ ДОМОВ С КОЛЛЕКТИВНЫМИ ДЫМОХОДАМИ И ДРУГИХ ЗДАНИЯХ ПЛОЩАДЬЮ ДО 360 М2.</t>
  </si>
  <si>
    <t>ТБ696/18/06/15/3</t>
  </si>
  <si>
    <t>ДАВИТАШВИЛИ ДЖАМАЛ РОЛАНДОВИЧ</t>
  </si>
  <si>
    <t>10317120/221222/3169345</t>
  </si>
  <si>
    <t>3169345</t>
  </si>
  <si>
    <t>BAYMAK MAKINA SANAYI VE TICARET A.S.</t>
  </si>
  <si>
    <t>34959, ORHANLI/TUZLA, ISTANBUL, ORHANLI BELDESI, ORTA MAHALLE, AKDENIZ SOK.NO:8,</t>
  </si>
  <si>
    <t>129164, , Г.МОСКВА, ЗУБАРЕВ ПЕР., Д.15, К.1, ЭТ.3, ПОМ.1, КОМ.67Г,</t>
  </si>
  <si>
    <t>TUZLA</t>
  </si>
  <si>
    <t>16080084/0001/0000/2/1</t>
  </si>
  <si>
    <t>СУХУМСКОЕ ШОССЕ, Д. 17 А. ПЗТК ООО НУТЭП</t>
  </si>
  <si>
    <t>КОТЛЫ ЦЕНТРАЛЬНОГО ОТОПЛЕНИЯ ГАЗОВЫЕ СТАЛЬНЫЕ</t>
  </si>
  <si>
    <t>ЛС-БДРТР/220/07/2022</t>
  </si>
  <si>
    <t>СЛЮСАРЬ ЕГОР ВИТАЛЬЕВИЧ</t>
  </si>
  <si>
    <t>10013160/221222/3622350</t>
  </si>
  <si>
    <t>3622350</t>
  </si>
  <si>
    <t>КОТЛЫ ЦЕНТРАЛЬНОГО ОТОПЛЕНИЯ: ИТОГО-47ШТ.</t>
  </si>
  <si>
    <t>8</t>
  </si>
  <si>
    <t>10131010/221222/3552370</t>
  </si>
  <si>
    <t>3552370</t>
  </si>
  <si>
    <t>10013160/221222/3623828</t>
  </si>
  <si>
    <t>3623828</t>
  </si>
  <si>
    <t>CРТ</t>
  </si>
  <si>
    <t>10317120/221222/5000957</t>
  </si>
  <si>
    <t>5000957</t>
  </si>
  <si>
    <t>34959, , ORHANLI-TUZLA/ISTANBUL, ORHANLI BELDESI ORTA MAH. AKDENIZ SOK.NO:8,</t>
  </si>
  <si>
    <t>СУХУМСКОЕ ШОССЕ, Д. 17А ПЗТК ООО НУТЭП</t>
  </si>
  <si>
    <t>КОТЛЫ ГАЗОВЫЕ ЦЕНТРАЛЬНОГО ОТОПЛЕНИЯ, СТАЛЬНЫЕ:</t>
  </si>
  <si>
    <t>ДАВЫДОВА СВЕТЛАНА АЛЕКСАНДРОВНА</t>
  </si>
  <si>
    <t>10228010/221222/3417999</t>
  </si>
  <si>
    <t>3417999</t>
  </si>
  <si>
    <t>ООО ВОСХОД ПО ПОРУЧЕНИЮ ООО ТОРГОВЫЙ ДОМ ТЕРМЕКС</t>
  </si>
  <si>
    <t>10013160/221222/3623011</t>
  </si>
  <si>
    <t>3623011</t>
  </si>
  <si>
    <t>BRANO A.S.</t>
  </si>
  <si>
    <t>74741, , HRADEC NAD MORAVICI, OPAVSKA 1000,</t>
  </si>
  <si>
    <t>1137746059956</t>
  </si>
  <si>
    <t>7720772444</t>
  </si>
  <si>
    <t>ООО ТД МОРА-ТОП</t>
  </si>
  <si>
    <t>143430, МОСКОВСКАЯ ОБЛ., Г. КРАСНОГОРСК, РП НАХАБИНО, УЛ.СОВЕТСКАЯ,Д.86,</t>
  </si>
  <si>
    <t>502401001</t>
  </si>
  <si>
    <t>OLOMOUC (ЧЕХИЯ)</t>
  </si>
  <si>
    <t>143090</t>
  </si>
  <si>
    <t>УЛ. БЕРЕЗОВАЯ АЛЛЕЯ, Д. 5</t>
  </si>
  <si>
    <t>КОТЛЫ ЦЕНТРАЛЬНОГО ОТОПЛЕНИЯ ЧУГУННЫЕ, НАПОЛЬНЫЕ, ПРЕДНАЗНАЧЕНЫ ДЛЯ ОТОПЛЕНИЯ И НАГРЕВА ХОЗЯЙСТВЕННОЙ ВОДЫ В ДОМАШНИХ УСЛОВИЯХ И НА ПРЕДПРИЯТИЯХ</t>
  </si>
  <si>
    <t>МИТИНА СВЕТЛАНА ВИКТОРОВНА</t>
  </si>
  <si>
    <t>НАСТЕННЫЕ ЭЛЕКТРИЧЕСКИЕ КОТЛЫ ЦЕНТРАЛЬНОГО ОТОПЛЕНИЯ, ПРЕДНАЗНАЧЕНЫ ДЛЯ ОТОПЛЕНИЯ И НАГРЕВА ХОЗЯЙСТВЕННОЙ ВОДЫ В ДОМАШНИХ УСЛОВИЯХ И НА ПРЕДПРИЯТИЯХ</t>
  </si>
  <si>
    <t>10012020/221222/5000681</t>
  </si>
  <si>
    <t>5000681</t>
  </si>
  <si>
    <t>10228010/211222/3415856</t>
  </si>
  <si>
    <t>3415856</t>
  </si>
  <si>
    <t>ARISTON SPA C/W LT LOGIS VILNIUS,LITHUANIA, NEMEZIO SEN</t>
  </si>
  <si>
    <t>LT</t>
  </si>
  <si>
    <t>ЛИТВА</t>
  </si>
  <si>
    <t>10013160/211222/3620243</t>
  </si>
  <si>
    <t>3620243</t>
  </si>
  <si>
    <t>10317120/211222/3168635</t>
  </si>
  <si>
    <t>3168635</t>
  </si>
  <si>
    <t>BAYMAK MAK SAN VE TIC. AS.</t>
  </si>
  <si>
    <t>34959, ISTANBUL, ORHANLI-TUZLA, ORHANLI BELDESI ORTA MAH. AKDENIZ, SOK.NO:8</t>
  </si>
  <si>
    <t>129164, , Г. МОСКВА, ЗУБАРЕВ ПЕРЕУЛОК, Д. 15, КОРП.1, ЭТАЖ 3, ПОМ.1, КО,</t>
  </si>
  <si>
    <t>УЛ.СУХУМСКОЕ ШОССЕ</t>
  </si>
  <si>
    <t>0897/00-2022-078</t>
  </si>
  <si>
    <t>ПАСЛЕН АННА ПЕТРОВНА</t>
  </si>
  <si>
    <t>10702070/211222/3458521</t>
  </si>
  <si>
    <t>10702070</t>
  </si>
  <si>
    <t>3458521</t>
  </si>
  <si>
    <t>HYDROSTA CO.,LTD</t>
  </si>
  <si>
    <t>, BUSAN, HAEUNDAE-GU,U-DONG, ACE HIGHTECH 1470,21, NO.1813,</t>
  </si>
  <si>
    <t>1042502960500</t>
  </si>
  <si>
    <t>2536144625</t>
  </si>
  <si>
    <t>ООО  ИМПОРТ-СЕРВИС</t>
  </si>
  <si>
    <t>690001, ПРИМОРСКИЙ КРАЙ, ВЛАДИВОСТОК, УЛ.АБРЕКСКАЯ, ДОМ 8 В ОФ.6,</t>
  </si>
  <si>
    <t>05000</t>
  </si>
  <si>
    <t>253601001</t>
  </si>
  <si>
    <t>CFR</t>
  </si>
  <si>
    <t>ВЛАДИВОСТОК</t>
  </si>
  <si>
    <t>15120005/2733/0000/2/1</t>
  </si>
  <si>
    <t>10702000/180322/00045/2</t>
  </si>
  <si>
    <t>ПРИМОРСКИЙ КРАЙ</t>
  </si>
  <si>
    <t>Г. ВЛАДИВОСТОК</t>
  </si>
  <si>
    <t>УЛ.СТРЕЛЬНИКОВА,9 ВМТП</t>
  </si>
  <si>
    <t>10702030 т/п Морской порт Владивосток</t>
  </si>
  <si>
    <t>КОТЛЫ МАРКИ OLYMPIA ВОДОГРЕЙНЫЕ:ДИЗЕЛЬНЫЕ,ГАЗОВЫЕ ДЛЯ ЦЕНТРАЛЬНОГО ОТОПЛЕНИЯ, С ГОРЕЛКАМИ БЛОЧНЫМИ НА ЖИДКОМ ТОПЛИВЕ И ГАЗОВЫМИ ГОРЕЛКАМИ. КОД ОКП 493112 OLYMPIA OIL BOILER/ДИЗЕЛЬНЫЕ КОТЛЫ ВОДОГЕЙНЫЕ      OLB-250F-R(Q=25000KCAL/H)WITH OIL BURNER (T</t>
  </si>
  <si>
    <t>OLYMPIA INDUSTRIAL  CO.,LTD</t>
  </si>
  <si>
    <t>СУЩИНСКАЯ ТАТЬЯНА ЭДУАРДОВНА</t>
  </si>
  <si>
    <t>10228010/211222/3415975</t>
  </si>
  <si>
    <t>3415975</t>
  </si>
  <si>
    <t>ARISTON THERMO S.P.A.</t>
  </si>
  <si>
    <t>НИДЕРЛАНДЫ</t>
  </si>
  <si>
    <t>КОТЛЫ ГАЗОВЫЕ ОТОПИТЕЛЬНЫЕ ВОДОГРЕЙНЫЕ, В КОРПУСЕ ИЗ СТАЛИ, НЕЛИТЫЕ, МОЩНОСТЬЮ БОЛЕЕ 100 КВТ, МАРКИ ЕLСО (В ПЕРВИЧНОЙ УПАКОВКЕ)</t>
  </si>
  <si>
    <t>ATAG HEATING BV</t>
  </si>
  <si>
    <t>NL</t>
  </si>
  <si>
    <t>СИНИЦИНА ОЛЬГА ЮРЬЕВНА</t>
  </si>
  <si>
    <t>КОТЛЫ ОТОПИТЕЛЬНЫЕ ВОДОГРЕЙНЫЕ ГАЗОВЫЕ, В КОРПУСЕ ИЗ СТАЛИ, НЕЛИТОЙ, МОЩНОСТЬЮ МЕНЕЕ/БОЛЕЕ 100 КВТ, МАРКИ ARISTON (В ПЕРВИЧНОЙ УПАКОВКЕ)</t>
  </si>
  <si>
    <t>КОТЛЫ КОНДЕНСАЦИОННЫЕ ОТОПИТЕЛЬНЫЕ ВОДОГРЕЙНЫЕ ГАЗОВЫЕ СО ВСТРОЕННОЙ ГОРЕЛКОЙ, В КОРПУСЕ ИЗ СТАЛИ, НЕЛИТЫЕ, МОЩНОСТЬЮ СВЫШЕ 100 КВТ, МАРКИ ELCO</t>
  </si>
  <si>
    <t>10317120/201222/3167790</t>
  </si>
  <si>
    <t>3167790</t>
  </si>
  <si>
    <t>CAGDAS KARAGOL-CAGDAS NAKLIYAT</t>
  </si>
  <si>
    <t>, , ISTANBUL, INONU MH. ORKIDEM SK. NO:NO:4/4 ATASEHIR,</t>
  </si>
  <si>
    <t>1213000003908</t>
  </si>
  <si>
    <t>3019030445</t>
  </si>
  <si>
    <t>ООО САРМАТ +</t>
  </si>
  <si>
    <t>414041, АСТРАХАНСКАЯ ОБЛ.,Г.О. ГОРОД АСТРАХАНЬ, Г АСТРАХАНЬ, УЛ ЕРЕВАНСКАЯ,Д. 3,</t>
  </si>
  <si>
    <t>12000</t>
  </si>
  <si>
    <t>301901001</t>
  </si>
  <si>
    <t>22090030/2272/0026/2/1</t>
  </si>
  <si>
    <t>СУХУМСКОЕ ШОССЕ, 17А</t>
  </si>
  <si>
    <t>КОТЛЫ БЫТОВЫЕ ЦЕНТРАЛЬНОГО ОТОПЛЕНИЯ, ВОДОГРЕЙНЫЕ, ГАЗОВЫЕ В СТАЛЬНОМ КОРПУСЕ; ДВУХКОНТУРНЫЕ НАСТЕННЫЕ ГАЗОВЫЕ КОТЛЫ</t>
  </si>
  <si>
    <t>TURK DEMIR DOKUM FABRIKALARI A.S.</t>
  </si>
  <si>
    <t>1027/22/1002-01</t>
  </si>
  <si>
    <t>ДОРОФЕЕВА ЕЛЕНА АЛЕКСАНДРОВНА</t>
  </si>
  <si>
    <t>10013160/211222/3619966</t>
  </si>
  <si>
    <t>3619966</t>
  </si>
  <si>
    <t>10131010/211222/3550312</t>
  </si>
  <si>
    <t>3550312</t>
  </si>
  <si>
    <t>22040034/3475/0000/2/1</t>
  </si>
  <si>
    <t>10005030/201222/3351842</t>
  </si>
  <si>
    <t>3351842</t>
  </si>
  <si>
    <t>QIANTONG INTERNATIONAL FREIGHT AND FORWARDING(SHANGHAI)CO.,LTD ПО ПОРУЧ.HANGZHOU ELAND COMMUNICATION TECHNOLOGY CO., LTD</t>
  </si>
  <si>
    <t>200040, , SHANGHAI, OFFICE 438,EAST TOWER,CENTER1376,NANJING ROAD WEST,</t>
  </si>
  <si>
    <t>1155022000352</t>
  </si>
  <si>
    <t>5022047481</t>
  </si>
  <si>
    <t>ООО ТПК ЗОЛОТОЙ ТИГР</t>
  </si>
  <si>
    <t>121601, , МОСКВА, ФИЛЁВСКИЙ БУЛЬВАР, Д.10</t>
  </si>
  <si>
    <t>773001001</t>
  </si>
  <si>
    <t>HANGZHOU</t>
  </si>
  <si>
    <t>10005/230712/10031/5</t>
  </si>
  <si>
    <t>АЭРОПОРТ ШЕРЕМЕТЬЕВО, ШЕРЕМЕТЬЕВСКОЕ Ш., Д. 9</t>
  </si>
  <si>
    <t>КОТЕЛ НАСТЕННЫЙ ОТОПИТЕЛЬНЫЙ ГАЗОВЫЙ ПРЕДНАЗНАЧЕН ДЛЯ РАБОТЫ В КАЧЕСТВЕ ТЕПЛОГЕНЕРИРУЮЩЕГО АГРЕГАТА В СОСТАВЕ СИСТЕМЫ ОТОПЛЕНИЯ. БЫТОВОЙ.НЕ ВОЕННОГО НАЗНАЧЕНИЯ ,ЗАВОЗИТСЯ В КАЧЕСТВЕ ОБРАЗЦА ДЛЯ ТЕСТИРОВАНИЯ ДЛЯ УДОБСТВА ТРАНСПОРТИРОВКИ ПОСТАВЛЯЕТСЯ</t>
  </si>
  <si>
    <t>GUANGDONG HAOSENRE EQUIPMENT CO.,LTD.</t>
  </si>
  <si>
    <t>TATL/GOLDEN TIGER-2021/11-1-BR</t>
  </si>
  <si>
    <t>КОГАН ТАТЬЯНА ЛЕОНИДОВНА</t>
  </si>
  <si>
    <t>10131010/201222/3547976</t>
  </si>
  <si>
    <t>3547976</t>
  </si>
  <si>
    <t>КОТЛЫ ЦЕНТРАЛЬНОГО ОТОПЛЕНИЯ, СТАЛЬНЫЕ, ВЕС БРУТТО С ПОДДОНАМИ 14994.4 КГ., АССОРТИМЕНТ</t>
  </si>
  <si>
    <t>10131010/201222/3548892</t>
  </si>
  <si>
    <t>3548892</t>
  </si>
  <si>
    <t>КОТЛЫ ЦЕНТРАЛЬНОГО ОТОПЛЕНИЯ, ДВУХКОНТУРНЫЕ ДЛЯ РАБОТЫ В СИСТЕМАХ ОТОПЛЕНИЯ И ГОРЯЧЕГО ВОДОСНАБЖЕНИЯ:</t>
  </si>
  <si>
    <t>10131010/191222/3546920</t>
  </si>
  <si>
    <t>3546920</t>
  </si>
  <si>
    <t>37059, , CAMPAGNOLA DI ZEVIO(VR), VIA G.PASCOLI,38,</t>
  </si>
  <si>
    <t>1157746439080</t>
  </si>
  <si>
    <t>7718171799</t>
  </si>
  <si>
    <t>ОООРИЗКО ИЧИ</t>
  </si>
  <si>
    <t>107023, , Г.МОСКВА, УЛ.ЭЛЕКТРОЗАВОДСКАЯ,Д.52,СТР.16, ПОМЕЩ. 21А,</t>
  </si>
  <si>
    <t>771801001</t>
  </si>
  <si>
    <t>CAMPAGNOLA DI ZEVIO VERONA</t>
  </si>
  <si>
    <t>15110008/2216/0000/2/1</t>
  </si>
  <si>
    <t>215119</t>
  </si>
  <si>
    <t>Г. ВЯЗЬМА</t>
  </si>
  <si>
    <t>УЛ. ЭЛЕВАТОРНАЯ, Д. 12</t>
  </si>
  <si>
    <t>10113020 т/п Вяземский</t>
  </si>
  <si>
    <t>КОТЕЛ ОТОПИТЕЛЬНЫЙ ВОДОГРЕЙНЫЙ, РАБОТАЮЩИЙ НА ГАЗЕ(МЕТАН, СЖИЖЕННЫЙ ГАЗ), ИЗ СТАЛИ, ДВУХХОДОВОЙ, ДЛЯ СИСТЕМ ОТОПЛЕНИЯ: МОЩНОСТЬ 1400 КВТ, 2900Х1470Х1750Н ММ</t>
  </si>
  <si>
    <t>0526/01-15-032</t>
  </si>
  <si>
    <t>ПАНОВА ЖАННА АЛЕКСАНДРОВНА</t>
  </si>
  <si>
    <t>10702070/191222/3455568</t>
  </si>
  <si>
    <t>3455568</t>
  </si>
  <si>
    <t>NINGBO FOURTH PARTY LOGISTICS CO.,LTD</t>
  </si>
  <si>
    <t>315000, ., NINGBO, RM 1815 FIFTH AVENUE HUAHONG NO.719 ZHONGXING RD N,</t>
  </si>
  <si>
    <t>NINGBO</t>
  </si>
  <si>
    <t>22050007/2272/0026/2/1</t>
  </si>
  <si>
    <t>ВЛАДИВОСТОК Г</t>
  </si>
  <si>
    <t>СТРЕЛЬНИКОВА УЛ, ДОМ № 9</t>
  </si>
  <si>
    <t>КОТЛЫ БЫТОВЫЕ ЦЕНТРАЛЬНОГО ОТОПЛЕНИЯ, ВОДОГРЕЙНЫЕ, ГАЗОВЫЕ В СТАЛЬНОМ КОРПУСЕ; ДВУХКОНТУРНЫЕ НАСТЕННЫЕ ГАЗОВЫЕ КОТЛЫ.</t>
  </si>
  <si>
    <t>JIANGSU SPRING THERMAL TECHNOLOGY CO., LTD</t>
  </si>
  <si>
    <t>10131010/201222/3548012</t>
  </si>
  <si>
    <t>3548012</t>
  </si>
  <si>
    <t>КОТЛЫ ЦЕНТРАЛЬНОГО ОТОПЛЕНИЯ, СТАЛЬНЫЕ, ВЕС БРУТТО С ПОДДОНАМИ 15462.40 КГ., АССОРТИМЕНТ</t>
  </si>
  <si>
    <t>10131010/201222/3548232</t>
  </si>
  <si>
    <t>3548232</t>
  </si>
  <si>
    <t>, GUANGDONG, ZHONGSHAN, 23 HEALTH ROAD, NATIONAL HEALTH TECHNOLOGY PARK,</t>
  </si>
  <si>
    <t>10131010/191222/3546320</t>
  </si>
  <si>
    <t>3546320</t>
  </si>
  <si>
    <t>RADIJATOR INZENJERING D.O.O.</t>
  </si>
  <si>
    <t>36000, СЕРБИЯ, KRALJEVO, UL. ZIVOJINA LAZICA-SOLUNCA BR.6,</t>
  </si>
  <si>
    <t>5117746059460</t>
  </si>
  <si>
    <t>7701943983</t>
  </si>
  <si>
    <t>ООО АТЛАНТИК НЕМАН</t>
  </si>
  <si>
    <t>107023, , МОСКВА, СЕМЕНОВСКАЯ ПЛ.,1А, 24 ЭТАЖ ПОМ. XXXIII КОМ.9,</t>
  </si>
  <si>
    <t>771901001</t>
  </si>
  <si>
    <t>19100232/3292/0000/2/1</t>
  </si>
  <si>
    <t>КАЛУЖ.ОБЛ.,БОРОВСК.Р-Н,</t>
  </si>
  <si>
    <t>С.ВОРСИНО,</t>
  </si>
  <si>
    <t>СЕВЕРНАЯ ПРОМ.ЗОНА, ВЛД.6</t>
  </si>
  <si>
    <t>RADIJATOR INZENJERING</t>
  </si>
  <si>
    <t>ООСБ-ОО</t>
  </si>
  <si>
    <t>ИНК-06/05/2019/1</t>
  </si>
  <si>
    <t>ХЛАНЬ ЛИЛИЯ АНАТОЛЬЕВНА</t>
  </si>
  <si>
    <t>10317120/191222/3166454</t>
  </si>
  <si>
    <t>3166454</t>
  </si>
  <si>
    <t>VARMECOM ENDUSTRIYEL SANAYI VE TICARET ANONIM SIRKETI</t>
  </si>
  <si>
    <t>26250, ODUNPAZARI, ESKISEHIR, 75 YIL OSB MAH. 104 CD. ADAR APT. NO 6,</t>
  </si>
  <si>
    <t>1161690104234</t>
  </si>
  <si>
    <t>1650331192</t>
  </si>
  <si>
    <t>ООО ФЕДЕРИКА БУГАТТИ</t>
  </si>
  <si>
    <t>423800, ТАТАРСТАН, НАБЕРЕЖНЫЕ ЧЕЛНЫ, КАЗАНСКИЙ ПРОСПЕКТ, 226</t>
  </si>
  <si>
    <t>92000</t>
  </si>
  <si>
    <t>165001001</t>
  </si>
  <si>
    <t>21040004/0067/0000/2/1</t>
  </si>
  <si>
    <t>КОТЕЛЬНАЯ АВТОМАТИЗИРОВАННАЯ ИЗ МЕТАЛЛА(НЕ ИЗ ЧУГУНА), НОМИНАЛЬНОЙ ТЕПЛОПРОИЗВОДИТЕЛЬНОСТЬЮ ДО 32 КВТ. ПРЕДНАЗНАЧЕНА ДЛЯ ИСПОЛЬЗОВАНИЯ В КАЧЕСТВЕ ИСТОЧНИКА ТЕПЛОНОСИТЕЛЯ И ГОРЯЧЕЙ ВОДЫ ДЛЯ ЗДАНИЙ И СООРУЖЕНИЙ РАЗЛИЧНОГО НАЗНАЧЕНИЯ. КОТЕЛЬНАЯ</t>
  </si>
  <si>
    <t>0491/01-21/25</t>
  </si>
  <si>
    <t>10131010/191222/3545723</t>
  </si>
  <si>
    <t>3545723</t>
  </si>
  <si>
    <t>I.VAR. INDUSTRY S.R.L.</t>
  </si>
  <si>
    <t>37060, , TREVENZUOLO (VR), VIA S.PIERINO N.4,</t>
  </si>
  <si>
    <t>1037739409146</t>
  </si>
  <si>
    <t>7707236490</t>
  </si>
  <si>
    <t>ООО ТЕПЛОТРАНССЕРВИС</t>
  </si>
  <si>
    <t>119296, МОСКОВСКАЯ ОБЛАСТЬ, Г. МОСКВА, УЛ. МОЛОДЕЖНАЯ, Д.5, К.21,</t>
  </si>
  <si>
    <t>773601001</t>
  </si>
  <si>
    <t>ТУЛА</t>
  </si>
  <si>
    <t>20020005/2879/0000/9/1</t>
  </si>
  <si>
    <t>УЛ. СОБОРНАЯ, 21</t>
  </si>
  <si>
    <t>СТАЛЬНЫЕ КОТЛЫ ЯВЛЯЮТСЯ ВЫСОКОПРОИЗВОДИТЕЛЬНЫМИ ГЕНЕРАТОРАМИ ТЕПЛА ДЛЯ СИСТЕМ ОБОГРЕВА НА ГОРЯЧЕЙ ВОДЕ С ТЕМПЕРАТУРОЙ ДО 120°C</t>
  </si>
  <si>
    <t>I.VAR INDUSTRY S.R.L.</t>
  </si>
  <si>
    <t>ГОЛОЩАПОВА ИРИНА АЛЕКСАНДРОВНА</t>
  </si>
  <si>
    <t>10131010/181222/3544468</t>
  </si>
  <si>
    <t>3544468</t>
  </si>
  <si>
    <t>10131010/191222/3546106</t>
  </si>
  <si>
    <t>3546106</t>
  </si>
  <si>
    <t>FONDITAL S.P.A.</t>
  </si>
  <si>
    <t>25079, BS, VOBARNO, VIA CERRETO, 40</t>
  </si>
  <si>
    <t>1104802000753</t>
  </si>
  <si>
    <t>4802013114</t>
  </si>
  <si>
    <t>ООО ФОНДИТАЛЬ</t>
  </si>
  <si>
    <t>399071, ЛИПЕЦКАЯ ОБЛАСТЬ, ГРЯЗИНСКИЙ РАЙОН, Г.ГРЯЗИ, ТЕР.ОЭЗ ППТ ЛИПЕЦК, СТРОЕ</t>
  </si>
  <si>
    <t>42000</t>
  </si>
  <si>
    <t>480201001</t>
  </si>
  <si>
    <t>ВОБАРНО</t>
  </si>
  <si>
    <t>22080014/2216/0000/2/1</t>
  </si>
  <si>
    <t>80</t>
  </si>
  <si>
    <t>38</t>
  </si>
  <si>
    <t>ЛИПЕЦКАЯ ОБЛАСТЬ, ГРЯЗИНСКИЙ РАЙОН</t>
  </si>
  <si>
    <t>С. КАЗИНКА</t>
  </si>
  <si>
    <t>ОЭЗ ППТ ЛИПЕЦК</t>
  </si>
  <si>
    <t>10104120 т/п Липецкий</t>
  </si>
  <si>
    <t>КОТЛЫ ГАЗОВЫЕ ЦЕНТРАЛЬНОГО ОТОПЛЕНИЯ, ПРЕДНАЗНАЧЕНЫ ДЛЯ ОТОПЛЕНИЯ И ГОРЯЧЕГО ВОДОСНАБЖЕНИЯ ЖИЛЫХ ПОМЕЩЕНИЙ ОБЛАСТЬ ПРИМЕНЕНИЯ: ДЛЯ ПРИМЕНЕНИЯ В СИСТЕМАХ ОТОПЛЕНИЯ И НАГРЕВА ВОДЫ ЖИЛЫХ, ПРОМЫШЛЕННЫХ И ОБЩЕСТВЕННЫХ ЗДАНИЙ. ПРИНЦИП РАБОТЫ: РАБОТАЕТ</t>
  </si>
  <si>
    <t>ПРИХОДЬКО МАРИНА АЛЕКСАНДРОВНА</t>
  </si>
  <si>
    <t>КОТЛЫ ГАЗОВЫЕ ЦЕНТРАЛЬНОГО ОТОПЛЕНИЯ, ПРЕДНАЗНАЧЕНЫ ДЛЯ ОТОПЛЕНИЕ И ГОРЯЧЕГО ВОДОСНАБЖЕНИЯ ЖИЛЫХ ПОМЕЩЕНИЙ. ВЫПОЛНЕНЫ ИЗ СТАЛИ. ПРЕДСТАВЛЯЕТ СОБОЙ НАПОЛЬНЫЙ /НАСТЕННЫЙ ОДНОКОНТУРНЫЙ КОТЕЛ ТОЛЬКО ДЛЯ ОТОПЛЕНИЯ.С ЭЛЕКТРОННЫМ ПОДЖИГОМ И КОНТРОЛЕМ</t>
  </si>
  <si>
    <t>10131010/191222/3546277</t>
  </si>
  <si>
    <t>3546277</t>
  </si>
  <si>
    <t>КОТЛЫ ЦЕНТРАЛЬНОГО ОТОПЛЕНИЯ, СТАЛЬНЫЕ, ВЕС БРУТТО С ПОДДОНАМИ 16791.40 КГ., АССОРТИМЕНТ</t>
  </si>
  <si>
    <t>10317120/191222/3166354</t>
  </si>
  <si>
    <t>3166354</t>
  </si>
  <si>
    <t>262502, ODUNPAZARI, ESKISEHIR, 75 YIL OSB MAH. 104 CD. ADAR APT. NO 6,</t>
  </si>
  <si>
    <t>10013160/191222/3615529</t>
  </si>
  <si>
    <t>3615529</t>
  </si>
  <si>
    <t>BOSCH THERMOTECHNIEK B.V.</t>
  </si>
  <si>
    <t>7418, ., DEVENTER, ZWEEDSESTRAAT 1,</t>
  </si>
  <si>
    <t>1047796138862</t>
  </si>
  <si>
    <t>7724506852</t>
  </si>
  <si>
    <t>ООО БОШ ТЕРМОТЕХНИКА</t>
  </si>
  <si>
    <t>115201, РФ, Г. МОСКВА, УЛ. КОТЛЯКОВСКАЯ, Д. 3, СТР.1, ПОМ. XXVI, ЧЕРДАК, КАБ. 15</t>
  </si>
  <si>
    <t>772401001</t>
  </si>
  <si>
    <t>ХИМКИ</t>
  </si>
  <si>
    <t>16010011/3328/0000/2/1</t>
  </si>
  <si>
    <t>10013/200111/10107/9</t>
  </si>
  <si>
    <t>КОТЛЫ ЦЕНТРАЛЬНОГО ОТОПЛЕНИЯ, КРОМЕ КОТЛОВ ТОВАРНОЙ ПОЗИЦИИ 8402:</t>
  </si>
  <si>
    <t>0035/03-19-1943</t>
  </si>
  <si>
    <t>НИЧИПОРЕНКО СВЕТЛАНА ВАСИЛЬЕВНА</t>
  </si>
  <si>
    <t>10013160/191222/3616051</t>
  </si>
  <si>
    <t>3616051</t>
  </si>
  <si>
    <t>КОТЛЫ ЦЕНТРАЛЬНОГО ОТОПЛЕНИЯ: ИТОГО-101ШТ.</t>
  </si>
  <si>
    <t>10702070/191222/3454036</t>
  </si>
  <si>
    <t>3454036</t>
  </si>
  <si>
    <t>HAINAN LITA IMPORT &amp; EXPORT TRADE CO., LTD</t>
  </si>
  <si>
    <t>, , DISTRICT HAIKOU CITY, SAN XIAN HUI FU, NO.9 CHANG BIN 4TH ROAD, XIU YING,</t>
  </si>
  <si>
    <t>1024900953043</t>
  </si>
  <si>
    <t>4909021566</t>
  </si>
  <si>
    <t>СП ЗАО ОМСУКЧАНСКАЯ ГОРНО-ГЕОЛОГИЧЕСКАЯ КОМПАНИЯ</t>
  </si>
  <si>
    <t>685030```, `````МАГАДАНСКАЯ ОБЛАСТЬ, Г. МАГАДАН, УЛ. ПРОЛЕТАРСКАЯ, Д. 84, КОРП.</t>
  </si>
  <si>
    <t>44000</t>
  </si>
  <si>
    <t>490901001</t>
  </si>
  <si>
    <t>MAGADAN</t>
  </si>
  <si>
    <t>10707000/251122/00089/2</t>
  </si>
  <si>
    <t>МАГАДАНСКАЯ ОБЛ.</t>
  </si>
  <si>
    <t>Г. МАГАДАН</t>
  </si>
  <si>
    <t>ММТП</t>
  </si>
  <si>
    <t>10707160 т/п Морской порт Магадан</t>
  </si>
  <si>
    <t>БОЙЛЕР ЕМКОСТНОЙ НЕЭЛЕКТРИЧЕСКИЙ ВЕРТИКАЛЬНОГО ИСПОЛНЕНИЯ, ПРЕДНАЗНАЧЕН ДЛЯ ОТОПЛЕНИЯ КОМНАТ ФАБРИКИ, ОБЪЕМОМ 0.75 М3, РАСХОД ТОПЛИВА 10 КГ/Ч, ВЫХОДНАЯ МОЩНОСТЬ 120 КВТ, ПЛОЩАДЬ ОБОГРЕВА 1000 КВ.М., НАПРЯЖЕНИЕ 120 ВОЛЬТ, ОСНАЩЕН КОМПЛЕКТОМ</t>
  </si>
  <si>
    <t>DONGGUAN HENGSEN THERMAL ENERGY TECHNOLOGY CO.,LTD</t>
  </si>
  <si>
    <t>7</t>
  </si>
  <si>
    <t>0714/00-15-01</t>
  </si>
  <si>
    <t>БЕЛЬМАС ЭДУАРД ВЛАДИМИРОВИЧ</t>
  </si>
  <si>
    <t>10013160/191222/3616508</t>
  </si>
  <si>
    <t>3616508</t>
  </si>
  <si>
    <t>КОТЛЫ ЦЕНТРАЛЬНОГО ОТОПЛЕНИЯ :</t>
  </si>
  <si>
    <t>10317120/191222/3166230</t>
  </si>
  <si>
    <t>3166230</t>
  </si>
  <si>
    <t>, KARTAL, ISTANBUL, MONUMENTO PLAZA, ESENTEPE MAH. MILANGAZ, NO:75 KAT:3</t>
  </si>
  <si>
    <t>1147847439046</t>
  </si>
  <si>
    <t>7810372426</t>
  </si>
  <si>
    <t>ООО ХОРТЭК-ПРОЕКТ</t>
  </si>
  <si>
    <t>196191, , САНКТ-ПЕТЕРБУРГ, НОВОИЗМАЙЛОВСКИЙ ПР, Д.46, КОРП.2, ЛИТ. А, ПОМ. 10,</t>
  </si>
  <si>
    <t>CORLU</t>
  </si>
  <si>
    <t>22060031/2867/0000/2/1</t>
  </si>
  <si>
    <t>10317/080914/10025/4</t>
  </si>
  <si>
    <t>С. ЦЕМДОЛИНА</t>
  </si>
  <si>
    <t>10317080 т/п Приморский</t>
  </si>
  <si>
    <t>КОТЛЫ ОТОПИТЕЛЬНЫЕ ГАЗОВЫЕ КОНДЕНСАЦИОННЫЕ, ТОРГОВОЙ МАРКИ ECODENSE И HORTEK. МАТЕРИАЛ ИЗГОТОВЛЕНИЯ СТАЛЬ. В ЧАСТИЧНО РАЗОБРАННОМ ВИДЕ ДЛЯ УДОБСТВА ТРАНСПОРТИРОВКИ. ТОВАР РАСТАРЕН ИЗ КОНТЕЙНЕРА № TCKU3797157.</t>
  </si>
  <si>
    <t>TERMO ISI SISTEMLERI TIC. VE SAN.A.S</t>
  </si>
  <si>
    <t>0905/18/12-3002</t>
  </si>
  <si>
    <t>МИХАЙЛОВ АНДРЕЙ НИКОЛАЕВИЧ</t>
  </si>
  <si>
    <t>10131010/181222/3544440</t>
  </si>
  <si>
    <t>3544440</t>
  </si>
  <si>
    <t>КОТЛЫ ЦЕНТРАЛЬНОГО ОТОПЛЕНИЯ СТАЛЬНЫЕ, НЕВОЕННОГО НАЗНАЧЕНИЯ. ВЕС БРУТТО С ПОДДОНАМИ 5042.000 КГ. АССОРТИМЕНТ</t>
  </si>
  <si>
    <t>10228010/181222/3412529</t>
  </si>
  <si>
    <t>3412529</t>
  </si>
  <si>
    <t>10210/110312/10115/5</t>
  </si>
  <si>
    <t>194362</t>
  </si>
  <si>
    <t>10013160/171222/3613789</t>
  </si>
  <si>
    <t>3613789</t>
  </si>
  <si>
    <t>КОТЛЫ ЦЕНТРАЛЬНОГО ОТОПЛЕНИЯ, СТАЛЬНЫЕ, ВЕС БРУТТО С ПОДДОНАМИ 16836.0 КГ., АССОРТИМЕНТ</t>
  </si>
  <si>
    <t>10012020/171222/3099561</t>
  </si>
  <si>
    <t>3099561</t>
  </si>
  <si>
    <t>BAXI S.P.A TRANSSHIPMENT BY ENERGO KLIM ANDRZEI FIEREK</t>
  </si>
  <si>
    <t>36061, , BASSAN DEL GRAPPA(VI), VIA TROZZETTI 20,</t>
  </si>
  <si>
    <t>1033910504187</t>
  </si>
  <si>
    <t>3913008510</t>
  </si>
  <si>
    <t>ООО БАЛТТЕПЛОСЕРВИС</t>
  </si>
  <si>
    <t>236022, КАЛИНИНГРАДСКАЯ ОБЛАСТЬ, КАЛИНИНГРАД, РЕПИНА 46/50,</t>
  </si>
  <si>
    <t>BASSAN DEL GRAPPA</t>
  </si>
  <si>
    <t>14010055/1307/0000/2/1</t>
  </si>
  <si>
    <t>10012/080411/10043/3</t>
  </si>
  <si>
    <t>КАЛИНИНГРАДСКАЯ ОБЛАСТИ</t>
  </si>
  <si>
    <t>СВЕТЛЫЙ</t>
  </si>
  <si>
    <t>УЛ. СОВЕТСКАЯ, Д. 31</t>
  </si>
  <si>
    <t>10012180 т/п Светлый</t>
  </si>
  <si>
    <t>КОТЛЫ ОТОПИТЕЛЬНЫЕ, ВОДОГРЕЙНЫЕ, ГАЗОВЫЕ, СТАЛЬНЫЕ, АТМОСФЕРНЫЕ И КОНДЕНСАЦИОННЫЕ, С ЦИФРОВЫМ УПРАВЛЕНИЕМ, НАСТЕННОГО И НАПОЛЬНОГО ИСПОЛНЕНИЯ МОЩНОСТЬЮ ДО 100 КВТ, ПРЕДНАЗНАЧЕНЫ ДЛЯ ОТОПЛЕНИЯ И ГОРЯЧЕГО ВОДОСНАБЖЕНИЯ, КОД ОКП 493112</t>
  </si>
  <si>
    <t>ГОДУНОВА ТАТЬЯНА</t>
  </si>
  <si>
    <t>10317120/171222/3165437</t>
  </si>
  <si>
    <t>3165437</t>
  </si>
  <si>
    <t>, IKITELLI ORGANIZE SANAYI BOLGESI MAHALLESI, 25. CADDE, NO:10/A-BASAKSEHIR, IST</t>
  </si>
  <si>
    <t>125130, ГОРОД ФЕДЕРАЛЬНОГО ЗНАЧЕНИЯ, Г.МОСКВА, СТАРОПЕТРОВСКИЙ ПРОЕЗД Д.11,КОРП.</t>
  </si>
  <si>
    <t>16030057/1637/0000/2/1</t>
  </si>
  <si>
    <t>СУХУМСКОЕ Ш. 17А</t>
  </si>
  <si>
    <t>КОТЛЫ ЦЕНРАЛЬНОГО ОТОПЛЕНИЯ, НАПОЛЬНЫЙ, ВОДОГРЕЙНЫЕ, БЫТОВЫЕ, В КОМПЛЕКТЕ С КОМПЛЕКУЮЩИМЕ, КРЕПЕЖЕМ, ИНСТРУКЦИЕЙ.</t>
  </si>
  <si>
    <t>НР/07-07.17</t>
  </si>
  <si>
    <t>ЛЕБЕДЕВ НИКОЛАЙ НИКОЛАЕВИЧ</t>
  </si>
  <si>
    <t>10013160/171222/3613333</t>
  </si>
  <si>
    <t>3613333</t>
  </si>
  <si>
    <t>КОТЛЫ ЦЕНТРАЛЬНОГО ОТОПЛЕНИЯ, СТАЛЬНЫЕ, ВЕС БРУТТО С ПОДДОНАМИ 15540.0 КГ., АССОРТИМЕНТ</t>
  </si>
  <si>
    <t>10702070/151222/3450013</t>
  </si>
  <si>
    <t>3450013</t>
  </si>
  <si>
    <t>HEATMASTER (NANTONG) BOILER CO., LTD</t>
  </si>
  <si>
    <t>, JIANGSU PROVINCE, NANTONG CITY, XINGHE ROAD, GANGZHA ECONOMIC DEVELOPMENT ZONE</t>
  </si>
  <si>
    <t>1095190011333</t>
  </si>
  <si>
    <t>5190909506</t>
  </si>
  <si>
    <t>АО НОРД ВЕСТ ФЛОТ КОМПАНИ</t>
  </si>
  <si>
    <t>183039, МУРМАНСКАЯ ОБЛАСТЬ, МУРМАНСК, РОГОЗЕРСКАЯ, 15</t>
  </si>
  <si>
    <t>47000</t>
  </si>
  <si>
    <t>519001001</t>
  </si>
  <si>
    <t>NANTONG CITY</t>
  </si>
  <si>
    <t>21110073/1326/0002/2/1</t>
  </si>
  <si>
    <t>Г.ВЛАДИВОСТОК</t>
  </si>
  <si>
    <t>УЛ.СТРЕЛЬНИКОВА</t>
  </si>
  <si>
    <t>СИСТЕМА ПОДОГРЕВА ВОДЫ НА СУДНЕ, ПОСТАВЛЯЕТСЯ В РАЗОБРАННОМ ВИДЕ ДЛЯ УДОБСТВА ТРАНСПОРТИРОВКИ. ВВОЗИТСЯ ДЛЯ СОБСТВЕННОГО ИСПОЛЬЗОВАНИЯ; ПРОДАЖЕ НЕ ПОДЛЕЖИТ</t>
  </si>
  <si>
    <t>202012/32</t>
  </si>
  <si>
    <t>РОССОЛОВ АРТЕМ НИКОЛАЕВИЧ</t>
  </si>
  <si>
    <t>10013160/151222/3609949</t>
  </si>
  <si>
    <t>3609949</t>
  </si>
  <si>
    <t>ЭК</t>
  </si>
  <si>
    <t>ИСПАНИЯ</t>
  </si>
  <si>
    <t xml:space="preserve">    Сибирский федеральный округ</t>
  </si>
  <si>
    <t>Российская Федерация</t>
  </si>
  <si>
    <t>Тонна;^метрическая тонна (1000 кг)</t>
  </si>
  <si>
    <t xml:space="preserve">    Приволжский федеральный округ</t>
  </si>
  <si>
    <t xml:space="preserve">    Центральный федеральный округ</t>
  </si>
  <si>
    <t xml:space="preserve">    Дальневосточный федеральный округ</t>
  </si>
  <si>
    <t xml:space="preserve">    Уральский федеральный округ</t>
  </si>
  <si>
    <t xml:space="preserve">    Северо-Западный федеральный округ</t>
  </si>
  <si>
    <t>Корма для домашних животных</t>
  </si>
  <si>
    <t>январь-декабрь</t>
  </si>
  <si>
    <t>декабрь</t>
  </si>
  <si>
    <t>январь-ноябрь</t>
  </si>
  <si>
    <t>ноябрь</t>
  </si>
  <si>
    <t>январь-октябрь</t>
  </si>
  <si>
    <t>октябрь</t>
  </si>
  <si>
    <t>январь-сентябрь</t>
  </si>
  <si>
    <t>сентябрь</t>
  </si>
  <si>
    <t>январь-август</t>
  </si>
  <si>
    <t>август</t>
  </si>
  <si>
    <t>январь-июль</t>
  </si>
  <si>
    <t>июль</t>
  </si>
  <si>
    <t>январь-июнь</t>
  </si>
  <si>
    <t>июнь</t>
  </si>
  <si>
    <t>январь-май</t>
  </si>
  <si>
    <t>май</t>
  </si>
  <si>
    <t>январь-апрель</t>
  </si>
  <si>
    <t>апрель</t>
  </si>
  <si>
    <t>январь-март</t>
  </si>
  <si>
    <t>март</t>
  </si>
  <si>
    <t>январь-февраль</t>
  </si>
  <si>
    <t>февраль</t>
  </si>
  <si>
    <t>январь</t>
  </si>
  <si>
    <t>2023</t>
  </si>
  <si>
    <t>Производство основных видов продукции в натуральном выражении  с 2017 г. (оперативные данные в соответствии с ОКПД2) (-)</t>
  </si>
  <si>
    <t>Средние потребительские цены (тарифы) на товары и услуги (рубль)</t>
  </si>
  <si>
    <t>Маргарин, кг</t>
  </si>
  <si>
    <t>Соки фруктовые, л</t>
  </si>
  <si>
    <t>Мука пшеничная, кг</t>
  </si>
  <si>
    <t>Коньяк ординарный отечественный, л</t>
  </si>
  <si>
    <t>Платье (сарафан) летнее для девочек дошкольного возраста, шт.</t>
  </si>
  <si>
    <t>Сапоги женские осенние с верхом из натуральной кожи, пара</t>
  </si>
  <si>
    <t>Бритвенные станки одноразовые, шт.</t>
  </si>
  <si>
    <t>Учебник, учебное пособие, дидактический материал для общеобразовательной школы, шт.</t>
  </si>
  <si>
    <t>Исходные данные</t>
  </si>
  <si>
    <t>Таможенные декларации по импорту и экспорту кормов для домашних животных</t>
  </si>
  <si>
    <t xml:space="preserve">Цены на корма для домашних животных </t>
  </si>
  <si>
    <t>Провести анализ внешней торговли</t>
  </si>
  <si>
    <t>1.1</t>
  </si>
  <si>
    <t>Для расчета в рублях использовать столбец "46 Статистическая стоимость" с дальнейшим переводом в рубли по курсу доллара 90</t>
  </si>
  <si>
    <t>1.2</t>
  </si>
  <si>
    <t>* Объем рынка = производство + импорт - экспорт</t>
  </si>
  <si>
    <t>Аккуратно все структурировать и сгруппировать</t>
  </si>
  <si>
    <t>Использовать корректные форматы чисел</t>
  </si>
  <si>
    <t>Единообразный формат (ссылки, итоги и пр.)</t>
  </si>
  <si>
    <t>Обязательно:</t>
  </si>
  <si>
    <t>Не нужно искать/использовать дополнительные данные</t>
  </si>
  <si>
    <t>Корма для домашних животных, кг</t>
  </si>
  <si>
    <t>Нужные столбцы на листе Декларации:</t>
  </si>
  <si>
    <t>Можно что-то изменять на листах исходных данных (например, разъединять ячейки, добавлять столбцы, делать расчеты и тд)</t>
  </si>
  <si>
    <r>
      <t xml:space="preserve">Посчитать </t>
    </r>
    <r>
      <rPr>
        <sz val="9"/>
        <color theme="1"/>
        <rFont val="Verdana"/>
        <family val="2"/>
        <charset val="204"/>
      </rPr>
      <t xml:space="preserve">за 2023 г. </t>
    </r>
    <r>
      <rPr>
        <sz val="9"/>
        <color theme="1"/>
        <rFont val="Verdana"/>
        <family val="2"/>
        <charset val="204"/>
        <scheme val="minor"/>
      </rPr>
      <t>импорт и экспорт кормов для домашних животных в тоннах и в рублях - по месяцам и суммарно по году</t>
    </r>
  </si>
  <si>
    <t>Посчитать объем рынка* кормов за 2023 г. в стоимостном и натуральном выражении - по месяцам и суммарно по году</t>
  </si>
  <si>
    <t>Посчитать долю рынка Компании по месяцам и суммарно по году в стоимостном и натуральном выражении</t>
  </si>
  <si>
    <t>Показатель</t>
  </si>
  <si>
    <t>ед. изм.</t>
  </si>
  <si>
    <t>Предпосылка</t>
  </si>
  <si>
    <t>Продажи в натуральном выражении</t>
  </si>
  <si>
    <t>Продажи Компании</t>
  </si>
  <si>
    <t>Корма для собак</t>
  </si>
  <si>
    <t>т</t>
  </si>
  <si>
    <t>Онлайн продажи</t>
  </si>
  <si>
    <t>Эконом сегмент</t>
  </si>
  <si>
    <t>Премиум сегмент</t>
  </si>
  <si>
    <t>Офлайн продажи</t>
  </si>
  <si>
    <t>Корма для кошек</t>
  </si>
  <si>
    <t>Цены реализации</t>
  </si>
  <si>
    <t>Выручка</t>
  </si>
  <si>
    <t>Всего</t>
  </si>
  <si>
    <t>руб./кг</t>
  </si>
  <si>
    <t>млн руб.</t>
  </si>
  <si>
    <t>* Проиводство в стоим. выражении = Проиводство выражении в тоннах * цены</t>
  </si>
  <si>
    <t>В декларациях могут быть не только корма и не только 2023 г. Делайте поиск по слову "корм"</t>
  </si>
  <si>
    <t xml:space="preserve">    Южный федеральный округ</t>
  </si>
  <si>
    <t>Объемы производства кормов для домашних животных (7 листов)</t>
  </si>
  <si>
    <t>Дата</t>
  </si>
  <si>
    <t>Определить топ стран-поставщиков кормов в Россию по итогам годам 2023 г. (столбец - 16 Страна происхождения)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</si>
</sst>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#,##0;\(#,##0\);\-"/>
    <numFmt numFmtId="165" formatCode="#,##0.####"/>
    <numFmt numFmtId="166" formatCode="mmmm"/>
  </numFmts>
  <fonts count="21" x14ac:knownFonts="1">
    <font>
      <sz val="11"/>
      <color theme="1"/>
      <name val="Verdana"/>
      <family val="2"/>
      <charset val="204"/>
      <scheme val="minor"/>
    </font>
    <font>
      <sz val="9"/>
      <color theme="1"/>
      <name val="Verdana"/>
      <family val="2"/>
      <charset val="204"/>
      <scheme val="minor"/>
    </font>
    <font>
      <sz val="9"/>
      <color theme="1"/>
      <name val="Verdana"/>
      <family val="2"/>
      <charset val="204"/>
      <scheme val="minor"/>
    </font>
    <font>
      <sz val="9"/>
      <color theme="1"/>
      <name val="Verdana"/>
      <family val="2"/>
      <charset val="204"/>
      <scheme val="minor"/>
    </font>
    <font>
      <sz val="9"/>
      <color theme="1"/>
      <name val="Verdana"/>
      <family val="2"/>
      <charset val="204"/>
      <scheme val="minor"/>
    </font>
    <font>
      <sz val="11"/>
      <color theme="1"/>
      <name val="Verdana"/>
      <family val="2"/>
      <scheme val="minor"/>
    </font>
    <font>
      <sz val="12"/>
      <name val="Calibri"/>
      <family val="2"/>
      <charset val="1"/>
    </font>
    <font>
      <u/>
      <sz val="11"/>
      <color theme="10"/>
      <name val="Verdana"/>
      <family val="2"/>
      <charset val="204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name val="Verdana"/>
      <family val="2"/>
      <scheme val="minor"/>
    </font>
    <font>
      <u/>
      <sz val="11"/>
      <color theme="10"/>
      <name val="Verdana"/>
      <family val="2"/>
      <scheme val="minor"/>
    </font>
    <font>
      <sz val="11"/>
      <name val="Calibri"/>
      <family val="2"/>
      <charset val="204"/>
    </font>
    <font>
      <b/>
      <sz val="9"/>
      <color theme="0"/>
      <name val="Verdana"/>
      <family val="2"/>
      <charset val="204"/>
      <scheme val="minor"/>
    </font>
    <font>
      <b/>
      <sz val="9"/>
      <color theme="1"/>
      <name val="Verdana"/>
      <family val="2"/>
      <charset val="204"/>
      <scheme val="minor"/>
    </font>
    <font>
      <sz val="9"/>
      <color theme="0"/>
      <name val="Verdana"/>
      <family val="2"/>
      <charset val="204"/>
      <scheme val="minor"/>
    </font>
    <font>
      <sz val="10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name val="Arial"/>
      <family val="2"/>
      <charset val="204"/>
    </font>
    <font>
      <sz val="9"/>
      <color theme="1"/>
      <name val="Verdana"/>
      <family val="2"/>
      <charset val="204"/>
    </font>
    <font>
      <sz val="11"/>
      <color theme="1"/>
      <name val="Verdana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5">
    <xf numFmtId="0" fontId="0" fillId="0" borderId="0"/>
    <xf numFmtId="0" fontId="5" fillId="0" borderId="0"/>
    <xf numFmtId="0" fontId="6" fillId="0" borderId="0"/>
    <xf numFmtId="0" fontId="8" fillId="0" borderId="0"/>
    <xf numFmtId="0" fontId="9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10" fillId="0" borderId="0"/>
    <xf numFmtId="0" fontId="11" fillId="0" borderId="0" applyNumberFormat="0" applyFill="0" applyBorder="0" applyAlignment="0" applyProtection="0"/>
    <xf numFmtId="0" fontId="12" fillId="0" borderId="0"/>
    <xf numFmtId="0" fontId="5" fillId="0" borderId="0"/>
    <xf numFmtId="164" fontId="4" fillId="0" borderId="0"/>
    <xf numFmtId="0" fontId="16" fillId="0" borderId="0"/>
    <xf numFmtId="0" fontId="13" fillId="2" borderId="0"/>
    <xf numFmtId="43" fontId="20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indent="1"/>
    </xf>
    <xf numFmtId="0" fontId="13" fillId="2" borderId="0" xfId="0" applyFont="1" applyFill="1"/>
    <xf numFmtId="0" fontId="15" fillId="2" borderId="0" xfId="0" applyFont="1" applyFill="1"/>
    <xf numFmtId="0" fontId="14" fillId="3" borderId="0" xfId="0" applyFont="1" applyFill="1"/>
    <xf numFmtId="0" fontId="3" fillId="3" borderId="0" xfId="0" applyFont="1" applyFill="1"/>
    <xf numFmtId="0" fontId="3" fillId="0" borderId="0" xfId="0" applyFont="1" applyAlignment="1">
      <alignment vertical="center" wrapText="1"/>
    </xf>
    <xf numFmtId="49" fontId="0" fillId="0" borderId="0" xfId="0" applyNumberFormat="1"/>
    <xf numFmtId="0" fontId="16" fillId="0" borderId="0" xfId="12"/>
    <xf numFmtId="165" fontId="16" fillId="0" borderId="0" xfId="12" applyNumberFormat="1" applyAlignment="1">
      <alignment horizontal="right" vertical="top"/>
    </xf>
    <xf numFmtId="3" fontId="16" fillId="0" borderId="1" xfId="12" applyNumberFormat="1" applyBorder="1" applyAlignment="1">
      <alignment horizontal="right" vertical="top"/>
    </xf>
    <xf numFmtId="0" fontId="17" fillId="4" borderId="1" xfId="12" applyFont="1" applyFill="1" applyBorder="1" applyAlignment="1">
      <alignment horizontal="left" vertical="top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14" fillId="5" borderId="0" xfId="0" applyFont="1" applyFill="1" applyAlignment="1">
      <alignment vertical="center"/>
    </xf>
    <xf numFmtId="166" fontId="14" fillId="5" borderId="0" xfId="0" applyNumberFormat="1" applyFont="1" applyFill="1" applyAlignment="1">
      <alignment vertical="center"/>
    </xf>
    <xf numFmtId="0" fontId="14" fillId="5" borderId="0" xfId="0" applyNumberFormat="1" applyFont="1" applyFill="1" applyAlignment="1">
      <alignment vertical="center"/>
    </xf>
    <xf numFmtId="0" fontId="2" fillId="0" borderId="0" xfId="0" applyFont="1"/>
    <xf numFmtId="0" fontId="14" fillId="0" borderId="0" xfId="0" applyFont="1"/>
    <xf numFmtId="0" fontId="14" fillId="5" borderId="0" xfId="0" applyFont="1" applyFill="1"/>
    <xf numFmtId="0" fontId="2" fillId="5" borderId="0" xfId="0" applyFont="1" applyFill="1"/>
    <xf numFmtId="164" fontId="14" fillId="5" borderId="0" xfId="0" applyNumberFormat="1" applyFont="1" applyFill="1"/>
    <xf numFmtId="164" fontId="14" fillId="0" borderId="0" xfId="0" applyNumberFormat="1" applyFont="1"/>
    <xf numFmtId="0" fontId="2" fillId="0" borderId="0" xfId="0" applyFont="1" applyBorder="1"/>
    <xf numFmtId="164" fontId="2" fillId="0" borderId="0" xfId="0" applyNumberFormat="1" applyFont="1" applyBorder="1"/>
    <xf numFmtId="164" fontId="2" fillId="0" borderId="0" xfId="0" applyNumberFormat="1" applyFont="1"/>
    <xf numFmtId="164" fontId="2" fillId="6" borderId="0" xfId="0" applyNumberFormat="1" applyFont="1" applyFill="1" applyBorder="1"/>
    <xf numFmtId="0" fontId="14" fillId="0" borderId="0" xfId="0" applyFont="1" applyFill="1"/>
    <xf numFmtId="0" fontId="14" fillId="0" borderId="3" xfId="0" applyFont="1" applyFill="1" applyBorder="1"/>
    <xf numFmtId="164" fontId="14" fillId="0" borderId="3" xfId="0" applyNumberFormat="1" applyFont="1" applyFill="1" applyBorder="1"/>
    <xf numFmtId="164" fontId="14" fillId="0" borderId="0" xfId="0" applyNumberFormat="1" applyFont="1" applyFill="1"/>
    <xf numFmtId="164" fontId="14" fillId="0" borderId="2" xfId="0" applyNumberFormat="1" applyFont="1" applyFill="1" applyBorder="1"/>
    <xf numFmtId="0" fontId="13" fillId="2" borderId="0" xfId="13" applyFont="1"/>
    <xf numFmtId="164" fontId="2" fillId="0" borderId="3" xfId="0" applyNumberFormat="1" applyFont="1" applyBorder="1"/>
    <xf numFmtId="0" fontId="14" fillId="7" borderId="2" xfId="0" applyFont="1" applyFill="1" applyBorder="1"/>
    <xf numFmtId="164" fontId="14" fillId="7" borderId="2" xfId="0" applyNumberFormat="1" applyFont="1" applyFill="1" applyBorder="1"/>
    <xf numFmtId="164" fontId="2" fillId="0" borderId="0" xfId="0" applyNumberFormat="1" applyFont="1" applyFill="1" applyBorder="1"/>
    <xf numFmtId="0" fontId="17" fillId="4" borderId="1" xfId="12" applyFont="1" applyFill="1" applyBorder="1" applyAlignment="1">
      <alignment horizontal="left" vertical="top" wrapText="1"/>
    </xf>
    <xf numFmtId="0" fontId="16" fillId="0" borderId="0" xfId="12"/>
    <xf numFmtId="14" fontId="0" fillId="0" borderId="0" xfId="14" applyNumberFormat="1" applyFont="1"/>
    <xf numFmtId="0" fontId="18" fillId="0" borderId="0" xfId="12" applyFont="1"/>
    <xf numFmtId="0" fontId="16" fillId="0" borderId="0" xfId="12"/>
    <xf numFmtId="0" fontId="17" fillId="4" borderId="1" xfId="12" applyFont="1" applyFill="1" applyBorder="1" applyAlignment="1">
      <alignment horizontal="left" vertical="top" wrapText="1"/>
    </xf>
  </cellXfs>
  <cellStyles count="15">
    <cellStyle name="Normal 2" xfId="1"/>
    <cellStyle name="Normal 2 2" xfId="10"/>
    <cellStyle name="Normal 2 3" xfId="9"/>
    <cellStyle name="Гиперссылка 2" xfId="4"/>
    <cellStyle name="Гиперссылка 2 2" xfId="8"/>
    <cellStyle name="Гиперссылка 3" xfId="6"/>
    <cellStyle name="Заголовок_1" xfId="13"/>
    <cellStyle name="Обычный" xfId="0" builtinId="0"/>
    <cellStyle name="Обычный 2" xfId="2"/>
    <cellStyle name="Обычный 3" xfId="3"/>
    <cellStyle name="Обычный 3 2" xfId="5"/>
    <cellStyle name="Обычный 4" xfId="7"/>
    <cellStyle name="Обычный 5" xfId="12"/>
    <cellStyle name="Финансовый" xfId="14" builtinId="3"/>
    <cellStyle name="Число" xfId="11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minor"/>
      </font>
      <numFmt numFmtId="19" formatCode="dd/mm/yyyy"/>
    </dxf>
  </dxfs>
  <tableStyles count="0" defaultTableStyle="TableStyleMedium2" defaultPivotStyle="PivotStyleLight16"/>
  <colors>
    <mruColors>
      <color rgb="FFF9CE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saini/AppData/Local/Temp/Rar$DIa0.090/DUTY%20T2%20Import%20Melamine%2010th%20June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Chartsv"/>
      <sheetName val="Sheet2"/>
      <sheetName val="Sheet1"/>
      <sheetName val="Output"/>
      <sheetName val="excludesheet"/>
      <sheetName val="autovarouttest"/>
      <sheetName val="autovaroutput"/>
      <sheetName val="autovarinput"/>
      <sheetName val="ssss"/>
      <sheetName val="rawsheet"/>
      <sheetName val="Chartsq"/>
      <sheetName val="Chartsup"/>
      <sheetName val="Index"/>
      <sheetName val="Dashboard"/>
      <sheetName val="Dutydata top15"/>
      <sheetName val="Duty Distribution"/>
      <sheetName val="|Summary|"/>
      <sheetName val="|Comparison|"/>
      <sheetName val="|Price Analysis|"/>
      <sheetName val="|Importer Analysis|"/>
      <sheetName val="IMPORTER|EXPORTER|Relationship|"/>
      <sheetName val="MONTH|SUMMARY||"/>
      <sheetName val="EXPORTER|SUMMARY||"/>
      <sheetName val="EXPORTER|MONTH|AVG COST|"/>
      <sheetName val="EXPORTER|MONTH|VALUE|"/>
      <sheetName val="EXPORTER|QTR|VALUE|"/>
      <sheetName val="EXPORTER|MONTH|QTY|"/>
      <sheetName val="EXPORTER|QTR|QTY|"/>
      <sheetName val="IMPORTER|SUMMARY||"/>
      <sheetName val="IMPORTER|MONTH|AVG COST|"/>
      <sheetName val="IMPORTER|MONTH|VALUE|"/>
      <sheetName val="IMPORTER|QTR|VALUE|"/>
      <sheetName val="IMPORTER|MONTH|QTY|"/>
      <sheetName val="IMPORTER|QTR|QTY|"/>
      <sheetName val="HSCODE|SUMMARY||"/>
      <sheetName val="HSCODE|MONTH|AVG COST|"/>
      <sheetName val="HSCODE|MONTH|VALUE|"/>
      <sheetName val="HSCODE|QTR|VALUE|"/>
      <sheetName val="HSCODE|MONTH|QTY|"/>
      <sheetName val="HSCODE|QTR|QTY|"/>
      <sheetName val="DEST PORT|SUMMARY||"/>
      <sheetName val="DEST PORT|MONTH|AVG COST|"/>
      <sheetName val="DEST PORT|MONTH|VALUE|"/>
      <sheetName val="DEST PORT|QTR|VALUE|"/>
      <sheetName val="DEST PORT|MONTH|QTY|"/>
      <sheetName val="DEST PORT|QTR|QTY|"/>
      <sheetName val="ORIGIN PORT|SUMMARY||"/>
      <sheetName val="ORIGIN PORT|MONTH|AVG COST|"/>
      <sheetName val="ORIGIN PORT|MONTH|VALUE|"/>
      <sheetName val="ORIGIN PORT|QTR|VALUE|"/>
      <sheetName val="ORIGIN PORT|MONTH|QTY|"/>
      <sheetName val="ORIGIN PORT|QTR|QTY|"/>
      <sheetName val="DEST COUNTRY|SUMMARY||"/>
      <sheetName val="DEST COUNTRY|MONTH|AVG COST|"/>
      <sheetName val="DEST COUNTRY|MONTH|VALUE|"/>
      <sheetName val="DEST COUNTRY|QTR|VALUE|"/>
      <sheetName val="DEST COUNTRY|MONTH|QTY|"/>
      <sheetName val="DEST COUNTRY|QTR|QTY|"/>
      <sheetName val="ORIGIN COUNTRY|SUMMARY||"/>
      <sheetName val="ORIGIN COUNTRY|MONTH|AVG COST|"/>
      <sheetName val="ORIGIN COUNTRY|MONTH|VALUE|"/>
      <sheetName val="ORIGIN COUNTRY|QTR|VALUE|"/>
      <sheetName val="ORIGIN COUNTRY|MONTH|QTY|"/>
      <sheetName val="ORIGIN COUNTRY|QTR|QTY|"/>
    </sheetNames>
    <sheetDataSet>
      <sheetData sheetId="0"/>
      <sheetData sheetId="1" refreshError="1">
        <row r="2">
          <cell r="HB2" t="str">
            <v>1|Jan|16</v>
          </cell>
          <cell r="HC2">
            <v>1.34</v>
          </cell>
          <cell r="HD2">
            <v>140000</v>
          </cell>
          <cell r="HF2">
            <v>187449.92</v>
          </cell>
        </row>
        <row r="3">
          <cell r="HB3" t="str">
            <v>2|Jan|16</v>
          </cell>
          <cell r="HC3">
            <v>1.27</v>
          </cell>
          <cell r="HD3">
            <v>639000</v>
          </cell>
          <cell r="HF3">
            <v>809127.41</v>
          </cell>
        </row>
        <row r="4">
          <cell r="HB4" t="str">
            <v>9|Jan|16</v>
          </cell>
          <cell r="HC4">
            <v>1.38</v>
          </cell>
          <cell r="HD4">
            <v>421002</v>
          </cell>
          <cell r="HF4">
            <v>582411.34</v>
          </cell>
        </row>
        <row r="5">
          <cell r="HB5" t="str">
            <v>16|Jan|16</v>
          </cell>
          <cell r="HC5">
            <v>1.1200000000000001</v>
          </cell>
          <cell r="HD5">
            <v>682750</v>
          </cell>
          <cell r="HF5">
            <v>766266.92999999993</v>
          </cell>
        </row>
        <row r="6">
          <cell r="HB6" t="str">
            <v>23|Jan|16</v>
          </cell>
          <cell r="HC6">
            <v>1.31</v>
          </cell>
          <cell r="HD6">
            <v>733000</v>
          </cell>
          <cell r="HF6">
            <v>959538.14</v>
          </cell>
        </row>
        <row r="7">
          <cell r="HB7" t="str">
            <v>30|Jan|16</v>
          </cell>
          <cell r="HC7">
            <v>1.28</v>
          </cell>
          <cell r="HD7">
            <v>412000</v>
          </cell>
          <cell r="HF7">
            <v>527814.39999999991</v>
          </cell>
        </row>
        <row r="8">
          <cell r="HB8" t="str">
            <v>6|Feb|16</v>
          </cell>
          <cell r="HC8">
            <v>1.1100000000000001</v>
          </cell>
          <cell r="HD8">
            <v>492000</v>
          </cell>
          <cell r="HF8">
            <v>544873.47000000009</v>
          </cell>
        </row>
        <row r="9">
          <cell r="HB9" t="str">
            <v>13|Feb|16</v>
          </cell>
          <cell r="HC9">
            <v>1.18</v>
          </cell>
          <cell r="HD9">
            <v>1277282.2</v>
          </cell>
          <cell r="HF9">
            <v>1506300.78</v>
          </cell>
        </row>
        <row r="10">
          <cell r="HB10" t="str">
            <v>20|Feb|16</v>
          </cell>
          <cell r="HC10">
            <v>1.1599999999999999</v>
          </cell>
          <cell r="HD10">
            <v>845000</v>
          </cell>
          <cell r="HF10">
            <v>979451.26000000013</v>
          </cell>
        </row>
        <row r="11">
          <cell r="HB11" t="str">
            <v>27|Feb|16</v>
          </cell>
          <cell r="HC11">
            <v>1.1000000000000001</v>
          </cell>
          <cell r="HD11">
            <v>614625</v>
          </cell>
          <cell r="HF11">
            <v>678570.80999999994</v>
          </cell>
        </row>
        <row r="12">
          <cell r="HB12" t="str">
            <v>5|Mar|16</v>
          </cell>
          <cell r="HC12">
            <v>1.04</v>
          </cell>
          <cell r="HD12">
            <v>637025</v>
          </cell>
          <cell r="HF12">
            <v>664446.79</v>
          </cell>
        </row>
        <row r="13">
          <cell r="HB13" t="str">
            <v>12|Mar|16</v>
          </cell>
          <cell r="HC13">
            <v>1.1200000000000001</v>
          </cell>
          <cell r="HD13">
            <v>1193000</v>
          </cell>
          <cell r="HF13">
            <v>1334921.79</v>
          </cell>
        </row>
        <row r="14">
          <cell r="HB14" t="str">
            <v>19|Mar|16</v>
          </cell>
          <cell r="HC14">
            <v>0.97</v>
          </cell>
          <cell r="HD14">
            <v>615000</v>
          </cell>
          <cell r="HF14">
            <v>595602.57999999996</v>
          </cell>
        </row>
        <row r="15">
          <cell r="HB15" t="str">
            <v>26|Mar|16</v>
          </cell>
          <cell r="HC15">
            <v>1.03</v>
          </cell>
          <cell r="HD15">
            <v>738000</v>
          </cell>
          <cell r="HF15">
            <v>759143.80999999994</v>
          </cell>
        </row>
        <row r="16">
          <cell r="HB16" t="str">
            <v>2|Apr|16</v>
          </cell>
          <cell r="HC16">
            <v>0.99</v>
          </cell>
          <cell r="HD16">
            <v>905251</v>
          </cell>
          <cell r="HF16">
            <v>892975.70000000007</v>
          </cell>
        </row>
        <row r="17">
          <cell r="HB17" t="str">
            <v>9|Apr|16</v>
          </cell>
          <cell r="HC17">
            <v>1.05</v>
          </cell>
          <cell r="HD17">
            <v>882256</v>
          </cell>
          <cell r="HF17">
            <v>923757.29</v>
          </cell>
        </row>
        <row r="18">
          <cell r="HB18" t="str">
            <v>16|Apr|16</v>
          </cell>
          <cell r="HC18">
            <v>1.1399999999999999</v>
          </cell>
          <cell r="HD18">
            <v>527725</v>
          </cell>
          <cell r="HF18">
            <v>600134.37000000011</v>
          </cell>
        </row>
        <row r="19">
          <cell r="HB19" t="str">
            <v>23|Apr|16</v>
          </cell>
          <cell r="HC19">
            <v>1.1499999999999999</v>
          </cell>
          <cell r="HD19">
            <v>1099922.5999999999</v>
          </cell>
          <cell r="HF19">
            <v>1261942.5200000003</v>
          </cell>
        </row>
        <row r="20">
          <cell r="HB20" t="str">
            <v>30|Apr|16</v>
          </cell>
          <cell r="HC20">
            <v>1.07</v>
          </cell>
          <cell r="HD20">
            <v>612152.0005024001</v>
          </cell>
          <cell r="HF20">
            <v>655864.6399999999</v>
          </cell>
        </row>
        <row r="21">
          <cell r="HB21" t="str">
            <v>7|May|16</v>
          </cell>
          <cell r="HC21">
            <v>1.03</v>
          </cell>
          <cell r="HD21">
            <v>256000.00099999999</v>
          </cell>
          <cell r="HF21">
            <v>263843.15000000002</v>
          </cell>
        </row>
        <row r="22">
          <cell r="HB22" t="str">
            <v>14|May|16</v>
          </cell>
          <cell r="HC22">
            <v>1.17</v>
          </cell>
          <cell r="HD22">
            <v>929500.00075000001</v>
          </cell>
          <cell r="HF22">
            <v>1088763.4500000002</v>
          </cell>
        </row>
        <row r="23">
          <cell r="HB23" t="str">
            <v>21|May|16</v>
          </cell>
          <cell r="HC23">
            <v>0.98</v>
          </cell>
          <cell r="HD23">
            <v>987919.4</v>
          </cell>
          <cell r="HF23">
            <v>970205.03</v>
          </cell>
        </row>
        <row r="24">
          <cell r="HB24" t="str">
            <v>31|May|16</v>
          </cell>
          <cell r="HC24">
            <v>1.1299999999999999</v>
          </cell>
          <cell r="HD24">
            <v>268000</v>
          </cell>
          <cell r="HF24">
            <v>303935.42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tables/table1.xml><?xml version="1.0" encoding="utf-8"?>
<table xmlns="http://schemas.openxmlformats.org/spreadsheetml/2006/main" id="1" name="Таблица1" displayName="Таблица1" ref="A2:CX1033" totalsRowShown="0">
  <sortState ref="A3:CY1033">
    <sortCondition descending="1" ref="C2:C1033"/>
  </sortState>
  <tableColumns count="102">
    <tableColumn id="1" name="STAT Учет в статистике 0/1"/>
    <tableColumn id="105" name="Дата" dataDxfId="0" dataCellStyle="Финансовый"/>
    <tableColumn id="3" name="ND  Номер  декларации на товары"/>
    <tableColumn id="4" name="071 Таможня оформления ДТ"/>
    <tableColumn id="6" name="073 Порядковый № ДТ"/>
    <tableColumn id="7" name="011 ИМ.ЭК - направление перемещения"/>
    <tableColumn id="8" name="012 Основной таможенный режим"/>
    <tableColumn id="9" name="013 Дополнительный признак"/>
    <tableColumn id="10" name="020 ОГРН.ОГРНИП отправителя"/>
    <tableColumn id="11" name="021 ИНН отправителя"/>
    <tableColumn id="12" name="022 Наименование.ФИО отправителя"/>
    <tableColumn id="13" name="023 Адрес отправителя"/>
    <tableColumn id="14" name="024 ОКАТО отправителя"/>
    <tableColumn id="15" name="027 КПП отправителя"/>
    <tableColumn id="16" name="03 Листов ДТ"/>
    <tableColumn id="17" name="04 Спецификаций ДТ"/>
    <tableColumn id="18" name="05 Товаров всего"/>
    <tableColumn id="19" name="06 Мест товара всего"/>
    <tableColumn id="20" name="080 ОГРН.ОГРНИП получателя"/>
    <tableColumn id="21" name="081 ИНН получателя"/>
    <tableColumn id="22" name="082 Наименование.ФИО получателя"/>
    <tableColumn id="23" name="083 Адрес получателя"/>
    <tableColumn id="24" name="084 ОКАТО получателя"/>
    <tableColumn id="25" name="087 КПП получателя"/>
    <tableColumn id="26" name="090 ОГРН.ОГРНИП контрактодержателя"/>
    <tableColumn id="27" name="091 ИНН контрактодержателя"/>
    <tableColumn id="28" name="092 Наименование.ФИО контрактодержателя"/>
    <tableColumn id="29" name="093 Адрес контрактодержателя"/>
    <tableColumn id="30" name="094 ОКАТО контрактодержателя"/>
    <tableColumn id="31" name="097 КПП контрактодержателя"/>
    <tableColumn id="32" name="11 Код торгующей страны"/>
    <tableColumn id="33" name="11 Торгующая страна"/>
    <tableColumn id="34" name="12 Общая таможенная стоимость"/>
    <tableColumn id="35" name="140 ОГРН.ОГРНИП декларанта"/>
    <tableColumn id="36" name="141 ИНН контрактодержателя"/>
    <tableColumn id="37" name="142 Наименование.ФИО декларанта"/>
    <tableColumn id="38" name="143 Адрес контрактодержателя"/>
    <tableColumn id="39" name="144 ОКАТО контрактодержателя"/>
    <tableColumn id="40" name="147 КПП контрактодержателя"/>
    <tableColumn id="41" name="15А Код страны отправления"/>
    <tableColumn id="42" name="15 Страна отправления"/>
    <tableColumn id="43" name="16 Страна происхождения"/>
    <tableColumn id="44" name="17А Код страны назначения"/>
    <tableColumn id="45" name="17 Страна назначения"/>
    <tableColumn id="46" name="18 Кол-во транспорта при отправлении"/>
    <tableColumn id="47" name="19 Признак контейнерных перевозок 0ю1"/>
    <tableColumn id="48" name="202 Условие поставки"/>
    <tableColumn id="49" name="2021 Пункт поставки товара"/>
    <tableColumn id="50" name="21 Кол-во трансп на границе"/>
    <tableColumn id="51" name="221 Валюта контракта"/>
    <tableColumn id="52" name="222 Общая фактурная стоимость"/>
    <tableColumn id="53" name="2220 Общая фактурная стоимость, руб"/>
    <tableColumn id="54" name="226 Статистическая стоимость суммарная"/>
    <tableColumn id="55" name="23 Курс валюты"/>
    <tableColumn id="56" name="24 Характер сделки"/>
    <tableColumn id="57" name="25 Вид транспортного средства"/>
    <tableColumn id="58" name="28 ОКПО банка.паспорт сделки"/>
    <tableColumn id="59" name="29 Таможня на границе"/>
    <tableColumn id="60" name="300 Тип информации"/>
    <tableColumn id="61" name="301 № свидетельства СВХ.ТС"/>
    <tableColumn id="62" name="302 Вид документа.Вид ТС"/>
    <tableColumn id="63" name="30POST Индекс места нахождения товара"/>
    <tableColumn id="64" name="30SUBD Регион"/>
    <tableColumn id="65" name="30CITY Населенный пункт"/>
    <tableColumn id="66" name="30STREET Адрес местонахождения товара"/>
    <tableColumn id="67" name="3012 Таможня в зоне которой склад"/>
    <tableColumn id="68" name="3 Порядковый № листа ДТ"/>
    <tableColumn id="69" name="31_1 Описание и характеристика товара"/>
    <tableColumn id="70" name="31_11 Товарный знак"/>
    <tableColumn id="71" name="31_12 Наименование фирмы изготовителя"/>
    <tableColumn id="72" name="31_2 Кол-во мест товара"/>
    <tableColumn id="73" name="31_3 Кол-во контейнеров"/>
    <tableColumn id="74" name="31_7 Кол-во товара в доп ед. измерения"/>
    <tableColumn id="75" name="31_71 Дополнительная единица"/>
    <tableColumn id="76" name="31_8 Кол-во товара в доп единице"/>
    <tableColumn id="77" name="31_81 Дополнительная единица"/>
    <tableColumn id="78" name="32 Номер товара по ДТ"/>
    <tableColumn id="79" name="33 Код товара по ТН ВЭД РФ"/>
    <tableColumn id="80" name="331 Признак нетарифного регулирования"/>
    <tableColumn id="81" name="332 Признак объекта интеллект собственности"/>
    <tableColumn id="82" name="34 Код страны происхождения"/>
    <tableColumn id="83" name="35 Вес брутто, кг"/>
    <tableColumn id="84" name="36 Преференции"/>
    <tableColumn id="85" name="37 Процедура"/>
    <tableColumn id="86" name="38 Вес нетто, кг"/>
    <tableColumn id="87" name="39 Квота"/>
    <tableColumn id="88" name="391 Код валюты квоты"/>
    <tableColumn id="89" name="392 Единица измерения квоты"/>
    <tableColumn id="90" name="42 Фактурная стоимость"/>
    <tableColumn id="91" name="420 Фактурная стоимость, руб"/>
    <tableColumn id="92" name="43 Признак корректировки таможенной стоимости (КТС)"/>
    <tableColumn id="93" name="431 Метод определения таможенной стоимости"/>
    <tableColumn id="94" name="45 Таможенная стоимость"/>
    <tableColumn id="95" name="46 Статистическая стоимость"/>
    <tableColumn id="96" name="D0 Код завршения таможенного оформления"/>
    <tableColumn id="97" name="Стат сумма, долл"/>
    <tableColumn id="98" name="USD/KG Статистическая стоимость, USD/Dtc НЕТТО, кг"/>
    <tableColumn id="99" name="541 Свидетельство таможенного брокера"/>
    <tableColumn id="100" name="5411 Договор брокера с декларантом"/>
    <tableColumn id="101" name="5441 ФИО заполнившего ДТ"/>
    <tableColumn id="102" name="ЛНП выпускающего инспектора"/>
    <tableColumn id="103" name="ND_DEL Признак удаления деклараци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P_NEW_2022">
  <a:themeElements>
    <a:clrScheme name="SP_Color">
      <a:dk1>
        <a:srgbClr val="000000"/>
      </a:dk1>
      <a:lt1>
        <a:sysClr val="window" lastClr="FFFFFF"/>
      </a:lt1>
      <a:dk2>
        <a:srgbClr val="CED5E1"/>
      </a:dk2>
      <a:lt2>
        <a:srgbClr val="76378D"/>
      </a:lt2>
      <a:accent1>
        <a:srgbClr val="19A0FA"/>
      </a:accent1>
      <a:accent2>
        <a:srgbClr val="0EBEAD"/>
      </a:accent2>
      <a:accent3>
        <a:srgbClr val="15B0E2"/>
      </a:accent3>
      <a:accent4>
        <a:srgbClr val="59D4D5"/>
      </a:accent4>
      <a:accent5>
        <a:srgbClr val="85C1FC"/>
      </a:accent5>
      <a:accent6>
        <a:srgbClr val="5ED9A8"/>
      </a:accent6>
      <a:hlink>
        <a:srgbClr val="6ADBFA"/>
      </a:hlink>
      <a:folHlink>
        <a:srgbClr val="CDCDCD"/>
      </a:folHlink>
    </a:clrScheme>
    <a:fontScheme name="SPG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P_NEW_2022" id="{8C8C5FAD-9B1A-447C-9440-AEA693283D9F}" vid="{D6ADA74F-404A-4FF3-BF44-7D84F70A833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0.79998168889431442"/>
  </sheetPr>
  <dimension ref="A2:H40"/>
  <sheetViews>
    <sheetView tabSelected="1" zoomScale="115" zoomScaleNormal="115" workbookViewId="0">
      <selection activeCell="B5" sqref="B5"/>
    </sheetView>
  </sheetViews>
  <sheetFormatPr defaultColWidth="0" defaultRowHeight="11.25" x14ac:dyDescent="0.15"/>
  <cols>
    <col min="1" max="1" width="4.5" style="1" customWidth="1"/>
    <col min="2" max="2" width="8.5" style="1" customWidth="1"/>
    <col min="3" max="3" width="58" style="1" customWidth="1"/>
    <col min="4" max="4" width="4.5" style="1" customWidth="1"/>
    <col min="5" max="8" width="0" style="1" hidden="1" customWidth="1"/>
    <col min="9" max="16384" width="8.796875" style="1" hidden="1"/>
  </cols>
  <sheetData>
    <row r="2" spans="2:3" x14ac:dyDescent="0.15">
      <c r="B2" s="3" t="s">
        <v>3</v>
      </c>
      <c r="C2" s="4"/>
    </row>
    <row r="4" spans="2:3" x14ac:dyDescent="0.15">
      <c r="B4" s="5" t="s">
        <v>0</v>
      </c>
      <c r="C4" s="6"/>
    </row>
    <row r="5" spans="2:3" x14ac:dyDescent="0.15">
      <c r="C5" s="1" t="s">
        <v>3289</v>
      </c>
    </row>
    <row r="6" spans="2:3" x14ac:dyDescent="0.15">
      <c r="C6" s="2" t="s">
        <v>3290</v>
      </c>
    </row>
    <row r="7" spans="2:3" x14ac:dyDescent="0.15">
      <c r="C7" s="2" t="s">
        <v>3328</v>
      </c>
    </row>
    <row r="8" spans="2:3" x14ac:dyDescent="0.15">
      <c r="C8" s="2" t="s">
        <v>3291</v>
      </c>
    </row>
    <row r="9" spans="2:3" x14ac:dyDescent="0.15">
      <c r="C9" s="2" t="s">
        <v>3312</v>
      </c>
    </row>
    <row r="11" spans="2:3" x14ac:dyDescent="0.15">
      <c r="B11" s="5" t="s">
        <v>1</v>
      </c>
      <c r="C11" s="6"/>
    </row>
    <row r="12" spans="2:3" x14ac:dyDescent="0.15">
      <c r="B12" s="13">
        <v>1</v>
      </c>
      <c r="C12" s="14" t="s">
        <v>3292</v>
      </c>
    </row>
    <row r="13" spans="2:3" ht="22.5" x14ac:dyDescent="0.15">
      <c r="B13" s="15" t="s">
        <v>3293</v>
      </c>
      <c r="C13" s="18" t="s">
        <v>3305</v>
      </c>
    </row>
    <row r="14" spans="2:3" ht="22.5" x14ac:dyDescent="0.15">
      <c r="B14" s="13"/>
      <c r="C14" s="18" t="s">
        <v>3294</v>
      </c>
    </row>
    <row r="15" spans="2:3" ht="22.5" x14ac:dyDescent="0.15">
      <c r="B15" s="15" t="s">
        <v>3295</v>
      </c>
      <c r="C15" s="16" t="s">
        <v>3330</v>
      </c>
    </row>
    <row r="16" spans="2:3" x14ac:dyDescent="0.15">
      <c r="B16" s="13"/>
      <c r="C16" s="7"/>
    </row>
    <row r="17" spans="2:3" ht="22.5" x14ac:dyDescent="0.15">
      <c r="B17" s="13">
        <v>2</v>
      </c>
      <c r="C17" s="17" t="s">
        <v>3306</v>
      </c>
    </row>
    <row r="18" spans="2:3" x14ac:dyDescent="0.15">
      <c r="B18" s="13"/>
      <c r="C18" s="17" t="s">
        <v>3296</v>
      </c>
    </row>
    <row r="19" spans="2:3" x14ac:dyDescent="0.15">
      <c r="B19" s="13"/>
      <c r="C19" s="17" t="s">
        <v>3325</v>
      </c>
    </row>
    <row r="20" spans="2:3" x14ac:dyDescent="0.15">
      <c r="B20" s="13"/>
      <c r="C20" s="7"/>
    </row>
    <row r="21" spans="2:3" ht="22.5" x14ac:dyDescent="0.15">
      <c r="B21" s="13">
        <v>3</v>
      </c>
      <c r="C21" s="7" t="s">
        <v>3307</v>
      </c>
    </row>
    <row r="22" spans="2:3" x14ac:dyDescent="0.15">
      <c r="B22" s="13"/>
      <c r="C22" s="13"/>
    </row>
    <row r="23" spans="2:3" x14ac:dyDescent="0.15">
      <c r="B23" s="13"/>
      <c r="C23" s="19" t="s">
        <v>3300</v>
      </c>
    </row>
    <row r="24" spans="2:3" x14ac:dyDescent="0.15">
      <c r="B24" s="13"/>
      <c r="C24" s="13" t="s">
        <v>3297</v>
      </c>
    </row>
    <row r="25" spans="2:3" x14ac:dyDescent="0.15">
      <c r="B25" s="13"/>
      <c r="C25" s="13" t="s">
        <v>3298</v>
      </c>
    </row>
    <row r="26" spans="2:3" x14ac:dyDescent="0.15">
      <c r="B26" s="13"/>
      <c r="C26" s="13" t="s">
        <v>3299</v>
      </c>
    </row>
    <row r="28" spans="2:3" x14ac:dyDescent="0.15">
      <c r="B28" s="5" t="s">
        <v>2</v>
      </c>
      <c r="C28" s="6"/>
    </row>
    <row r="30" spans="2:3" x14ac:dyDescent="0.15">
      <c r="C30" s="1" t="s">
        <v>3301</v>
      </c>
    </row>
    <row r="31" spans="2:3" ht="22.5" x14ac:dyDescent="0.15">
      <c r="C31" s="20" t="s">
        <v>3326</v>
      </c>
    </row>
    <row r="32" spans="2:3" ht="22.5" x14ac:dyDescent="0.15">
      <c r="C32" s="20" t="s">
        <v>3304</v>
      </c>
    </row>
    <row r="34" spans="3:3" x14ac:dyDescent="0.15">
      <c r="C34" s="1" t="s">
        <v>3303</v>
      </c>
    </row>
    <row r="35" spans="3:3" x14ac:dyDescent="0.15">
      <c r="C35" s="2" t="s">
        <v>5</v>
      </c>
    </row>
    <row r="36" spans="3:3" x14ac:dyDescent="0.15">
      <c r="C36" s="2" t="s">
        <v>9</v>
      </c>
    </row>
    <row r="37" spans="3:3" x14ac:dyDescent="0.15">
      <c r="C37" s="2" t="s">
        <v>45</v>
      </c>
    </row>
    <row r="38" spans="3:3" x14ac:dyDescent="0.15">
      <c r="C38" s="2" t="s">
        <v>71</v>
      </c>
    </row>
    <row r="39" spans="3:3" x14ac:dyDescent="0.15">
      <c r="C39" s="2" t="s">
        <v>88</v>
      </c>
    </row>
    <row r="40" spans="3:3" x14ac:dyDescent="0.15">
      <c r="C40" s="2" t="s">
        <v>97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D17" sqref="D17"/>
    </sheetView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workbookViewId="0">
      <pane xSplit="7" ySplit="1" topLeftCell="H35" activePane="bottomRight" state="frozen"/>
      <selection pane="topRight" activeCell="H1" sqref="H1"/>
      <selection pane="bottomLeft" activeCell="A2" sqref="A2"/>
      <selection pane="bottomRight" activeCell="N19" sqref="N19"/>
    </sheetView>
  </sheetViews>
  <sheetFormatPr defaultColWidth="0" defaultRowHeight="11.25" outlineLevelRow="1" x14ac:dyDescent="0.15"/>
  <cols>
    <col min="1" max="1" width="2.3984375" style="24" customWidth="1"/>
    <col min="2" max="5" width="2.296875" style="24" customWidth="1"/>
    <col min="6" max="6" width="18.796875" style="24" customWidth="1"/>
    <col min="7" max="7" width="7.8984375" style="24" customWidth="1"/>
    <col min="8" max="8" width="10.3984375" style="24" bestFit="1" customWidth="1"/>
    <col min="9" max="10" width="3.8984375" style="24" customWidth="1"/>
    <col min="11" max="22" width="7.59765625" style="24" customWidth="1"/>
    <col min="23" max="24" width="7.19921875" style="24" customWidth="1"/>
    <col min="25" max="25" width="8.796875" style="24" customWidth="1"/>
    <col min="26" max="16384" width="8.796875" style="24" hidden="1"/>
  </cols>
  <sheetData>
    <row r="1" spans="1:24" x14ac:dyDescent="0.15">
      <c r="A1" s="14"/>
      <c r="B1" s="21" t="s">
        <v>3308</v>
      </c>
      <c r="C1" s="21"/>
      <c r="D1" s="21"/>
      <c r="E1" s="21"/>
      <c r="F1" s="21"/>
      <c r="G1" s="21" t="s">
        <v>3309</v>
      </c>
      <c r="H1" s="21" t="s">
        <v>3310</v>
      </c>
      <c r="I1" s="19"/>
      <c r="J1" s="19"/>
      <c r="K1" s="22">
        <v>44927</v>
      </c>
      <c r="L1" s="22">
        <f>EDATE(K1,1)</f>
        <v>44958</v>
      </c>
      <c r="M1" s="22">
        <f t="shared" ref="M1:V1" si="0">EDATE(L1,1)</f>
        <v>44986</v>
      </c>
      <c r="N1" s="22">
        <f t="shared" si="0"/>
        <v>45017</v>
      </c>
      <c r="O1" s="22">
        <f t="shared" si="0"/>
        <v>45047</v>
      </c>
      <c r="P1" s="22">
        <f t="shared" si="0"/>
        <v>45078</v>
      </c>
      <c r="Q1" s="22">
        <f t="shared" si="0"/>
        <v>45108</v>
      </c>
      <c r="R1" s="22">
        <f t="shared" si="0"/>
        <v>45139</v>
      </c>
      <c r="S1" s="22">
        <f t="shared" si="0"/>
        <v>45170</v>
      </c>
      <c r="T1" s="22">
        <f t="shared" si="0"/>
        <v>45200</v>
      </c>
      <c r="U1" s="22">
        <f t="shared" si="0"/>
        <v>45231</v>
      </c>
      <c r="V1" s="22">
        <f t="shared" si="0"/>
        <v>45261</v>
      </c>
      <c r="W1" s="19"/>
      <c r="X1" s="23">
        <v>2023</v>
      </c>
    </row>
    <row r="2" spans="1:24" x14ac:dyDescent="0.15">
      <c r="B2" s="39" t="s">
        <v>3311</v>
      </c>
      <c r="C2" s="39"/>
      <c r="D2" s="39"/>
      <c r="E2" s="39"/>
      <c r="F2" s="39"/>
      <c r="G2" s="39"/>
      <c r="H2" s="39"/>
      <c r="I2" s="25"/>
      <c r="J2" s="25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25"/>
      <c r="X2" s="39"/>
    </row>
    <row r="3" spans="1:24" outlineLevel="1" x14ac:dyDescent="0.15"/>
    <row r="4" spans="1:24" outlineLevel="1" x14ac:dyDescent="0.15">
      <c r="B4" s="26" t="s">
        <v>3313</v>
      </c>
      <c r="C4" s="27"/>
      <c r="D4" s="27"/>
      <c r="E4" s="27"/>
      <c r="F4" s="27"/>
      <c r="G4" s="26" t="s">
        <v>3314</v>
      </c>
      <c r="H4" s="27"/>
      <c r="I4" s="25"/>
      <c r="J4" s="25"/>
      <c r="K4" s="28">
        <f>K5+K9</f>
        <v>919.943812646899</v>
      </c>
      <c r="L4" s="28">
        <f t="shared" ref="L4:V4" si="1">L5+L9</f>
        <v>919.943812646899</v>
      </c>
      <c r="M4" s="28">
        <f t="shared" si="1"/>
        <v>919.943812646899</v>
      </c>
      <c r="N4" s="28">
        <f t="shared" si="1"/>
        <v>919.943812646899</v>
      </c>
      <c r="O4" s="28">
        <f t="shared" si="1"/>
        <v>919.943812646899</v>
      </c>
      <c r="P4" s="28">
        <f t="shared" si="1"/>
        <v>919.943812646899</v>
      </c>
      <c r="Q4" s="28">
        <f t="shared" si="1"/>
        <v>919.943812646899</v>
      </c>
      <c r="R4" s="28">
        <f t="shared" si="1"/>
        <v>919.943812646899</v>
      </c>
      <c r="S4" s="28">
        <f t="shared" si="1"/>
        <v>919.943812646899</v>
      </c>
      <c r="T4" s="28">
        <f t="shared" si="1"/>
        <v>919.943812646899</v>
      </c>
      <c r="U4" s="28">
        <f t="shared" si="1"/>
        <v>919.943812646899</v>
      </c>
      <c r="V4" s="28">
        <f t="shared" si="1"/>
        <v>919.943812646899</v>
      </c>
      <c r="W4" s="29"/>
      <c r="X4" s="28">
        <f t="shared" ref="X4:X5" si="2">SUM(K4:V4)</f>
        <v>11039.325751762792</v>
      </c>
    </row>
    <row r="5" spans="1:24" s="34" customFormat="1" outlineLevel="1" x14ac:dyDescent="0.15">
      <c r="C5" s="35" t="s">
        <v>3315</v>
      </c>
      <c r="D5" s="35"/>
      <c r="E5" s="35"/>
      <c r="F5" s="35"/>
      <c r="G5" s="35" t="s">
        <v>3314</v>
      </c>
      <c r="H5" s="35"/>
      <c r="K5" s="36">
        <f>K6+K7</f>
        <v>533.23055624831807</v>
      </c>
      <c r="L5" s="36">
        <f t="shared" ref="L5:V5" si="3">L6+L7</f>
        <v>533.23055624831807</v>
      </c>
      <c r="M5" s="36">
        <f t="shared" si="3"/>
        <v>533.23055624831807</v>
      </c>
      <c r="N5" s="36">
        <f t="shared" si="3"/>
        <v>533.23055624831807</v>
      </c>
      <c r="O5" s="36">
        <f t="shared" si="3"/>
        <v>533.23055624831807</v>
      </c>
      <c r="P5" s="36">
        <f t="shared" si="3"/>
        <v>533.23055624831807</v>
      </c>
      <c r="Q5" s="36">
        <f t="shared" si="3"/>
        <v>533.23055624831807</v>
      </c>
      <c r="R5" s="36">
        <f t="shared" si="3"/>
        <v>533.23055624831807</v>
      </c>
      <c r="S5" s="36">
        <f t="shared" si="3"/>
        <v>533.23055624831807</v>
      </c>
      <c r="T5" s="36">
        <f t="shared" si="3"/>
        <v>533.23055624831807</v>
      </c>
      <c r="U5" s="36">
        <f t="shared" si="3"/>
        <v>533.23055624831807</v>
      </c>
      <c r="V5" s="36">
        <f t="shared" si="3"/>
        <v>533.23055624831807</v>
      </c>
      <c r="W5" s="37"/>
      <c r="X5" s="38">
        <f t="shared" si="2"/>
        <v>6398.7666749798163</v>
      </c>
    </row>
    <row r="6" spans="1:24" outlineLevel="1" x14ac:dyDescent="0.15">
      <c r="C6" s="30"/>
      <c r="D6" s="30" t="s">
        <v>3316</v>
      </c>
      <c r="E6" s="30"/>
      <c r="F6" s="30"/>
      <c r="G6" s="30" t="s">
        <v>3314</v>
      </c>
      <c r="H6" s="30"/>
      <c r="I6" s="30"/>
      <c r="J6" s="30"/>
      <c r="K6" s="33">
        <v>221.90827419604418</v>
      </c>
      <c r="L6" s="33">
        <v>221.90827419604418</v>
      </c>
      <c r="M6" s="33">
        <v>221.90827419604418</v>
      </c>
      <c r="N6" s="33">
        <v>221.90827419604418</v>
      </c>
      <c r="O6" s="33">
        <v>221.90827419604418</v>
      </c>
      <c r="P6" s="33">
        <v>221.90827419604418</v>
      </c>
      <c r="Q6" s="33">
        <v>221.90827419604418</v>
      </c>
      <c r="R6" s="33">
        <v>221.90827419604418</v>
      </c>
      <c r="S6" s="33">
        <v>221.90827419604418</v>
      </c>
      <c r="T6" s="33">
        <v>221.90827419604418</v>
      </c>
      <c r="U6" s="33">
        <v>221.90827419604418</v>
      </c>
      <c r="V6" s="33">
        <v>221.90827419604418</v>
      </c>
      <c r="W6" s="32"/>
      <c r="X6" s="40">
        <f>SUM(K6:V6)</f>
        <v>2662.89929035253</v>
      </c>
    </row>
    <row r="7" spans="1:24" outlineLevel="1" x14ac:dyDescent="0.15">
      <c r="D7" s="30" t="s">
        <v>3317</v>
      </c>
      <c r="E7" s="30"/>
      <c r="F7" s="30"/>
      <c r="G7" s="30" t="s">
        <v>3314</v>
      </c>
      <c r="H7" s="30"/>
      <c r="I7" s="30"/>
      <c r="J7" s="30"/>
      <c r="K7" s="33">
        <v>311.32228205227386</v>
      </c>
      <c r="L7" s="33">
        <v>311.32228205227386</v>
      </c>
      <c r="M7" s="33">
        <v>311.32228205227386</v>
      </c>
      <c r="N7" s="33">
        <v>311.32228205227386</v>
      </c>
      <c r="O7" s="33">
        <v>311.32228205227386</v>
      </c>
      <c r="P7" s="33">
        <v>311.32228205227386</v>
      </c>
      <c r="Q7" s="33">
        <v>311.32228205227386</v>
      </c>
      <c r="R7" s="33">
        <v>311.32228205227386</v>
      </c>
      <c r="S7" s="33">
        <v>311.32228205227386</v>
      </c>
      <c r="T7" s="33">
        <v>311.32228205227386</v>
      </c>
      <c r="U7" s="33">
        <v>311.32228205227386</v>
      </c>
      <c r="V7" s="33">
        <v>311.32228205227386</v>
      </c>
      <c r="X7" s="31">
        <f t="shared" ref="X7" si="4">SUM(K7:V7)</f>
        <v>3735.8673846272854</v>
      </c>
    </row>
    <row r="8" spans="1:24" outlineLevel="1" x14ac:dyDescent="0.15"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</row>
    <row r="9" spans="1:24" s="34" customFormat="1" outlineLevel="1" x14ac:dyDescent="0.15">
      <c r="C9" s="35" t="s">
        <v>3318</v>
      </c>
      <c r="D9" s="35"/>
      <c r="E9" s="35"/>
      <c r="F9" s="35"/>
      <c r="G9" s="35" t="s">
        <v>3314</v>
      </c>
      <c r="H9" s="35"/>
      <c r="K9" s="36">
        <f>K10+K11</f>
        <v>386.71325639858088</v>
      </c>
      <c r="L9" s="36">
        <f t="shared" ref="L9:V9" si="5">L10+L11</f>
        <v>386.71325639858088</v>
      </c>
      <c r="M9" s="36">
        <f t="shared" si="5"/>
        <v>386.71325639858088</v>
      </c>
      <c r="N9" s="36">
        <f t="shared" si="5"/>
        <v>386.71325639858088</v>
      </c>
      <c r="O9" s="36">
        <f t="shared" si="5"/>
        <v>386.71325639858088</v>
      </c>
      <c r="P9" s="36">
        <f t="shared" si="5"/>
        <v>386.71325639858088</v>
      </c>
      <c r="Q9" s="36">
        <f t="shared" si="5"/>
        <v>386.71325639858088</v>
      </c>
      <c r="R9" s="36">
        <f t="shared" si="5"/>
        <v>386.71325639858088</v>
      </c>
      <c r="S9" s="36">
        <f t="shared" si="5"/>
        <v>386.71325639858088</v>
      </c>
      <c r="T9" s="36">
        <f t="shared" si="5"/>
        <v>386.71325639858088</v>
      </c>
      <c r="U9" s="36">
        <f t="shared" si="5"/>
        <v>386.71325639858088</v>
      </c>
      <c r="V9" s="36">
        <f t="shared" si="5"/>
        <v>386.71325639858088</v>
      </c>
      <c r="W9" s="37"/>
      <c r="X9" s="38">
        <f t="shared" ref="X9:X20" si="6">SUM(K9:V9)</f>
        <v>4640.5590767829708</v>
      </c>
    </row>
    <row r="10" spans="1:24" outlineLevel="1" x14ac:dyDescent="0.15">
      <c r="C10" s="30"/>
      <c r="D10" s="30" t="s">
        <v>3316</v>
      </c>
      <c r="E10" s="30"/>
      <c r="F10" s="30"/>
      <c r="G10" s="30" t="s">
        <v>3314</v>
      </c>
      <c r="H10" s="30"/>
      <c r="I10" s="30"/>
      <c r="J10" s="30"/>
      <c r="K10" s="33">
        <v>193.72660389281742</v>
      </c>
      <c r="L10" s="33">
        <v>193.72660389281742</v>
      </c>
      <c r="M10" s="33">
        <v>193.72660389281742</v>
      </c>
      <c r="N10" s="33">
        <v>193.72660389281742</v>
      </c>
      <c r="O10" s="33">
        <v>193.72660389281742</v>
      </c>
      <c r="P10" s="33">
        <v>193.72660389281742</v>
      </c>
      <c r="Q10" s="33">
        <v>193.72660389281742</v>
      </c>
      <c r="R10" s="33">
        <v>193.72660389281742</v>
      </c>
      <c r="S10" s="33">
        <v>193.72660389281742</v>
      </c>
      <c r="T10" s="33">
        <v>193.72660389281742</v>
      </c>
      <c r="U10" s="33">
        <v>193.72660389281742</v>
      </c>
      <c r="V10" s="33">
        <v>193.72660389281742</v>
      </c>
      <c r="W10" s="32"/>
      <c r="X10" s="40">
        <f t="shared" si="6"/>
        <v>2324.7192467138088</v>
      </c>
    </row>
    <row r="11" spans="1:24" outlineLevel="1" x14ac:dyDescent="0.15">
      <c r="D11" s="30" t="s">
        <v>3317</v>
      </c>
      <c r="E11" s="30"/>
      <c r="F11" s="30"/>
      <c r="G11" s="30" t="s">
        <v>3314</v>
      </c>
      <c r="H11" s="30"/>
      <c r="I11" s="30"/>
      <c r="J11" s="30"/>
      <c r="K11" s="33">
        <v>192.98665250576346</v>
      </c>
      <c r="L11" s="33">
        <v>192.98665250576346</v>
      </c>
      <c r="M11" s="33">
        <v>192.98665250576346</v>
      </c>
      <c r="N11" s="33">
        <v>192.98665250576346</v>
      </c>
      <c r="O11" s="33">
        <v>192.98665250576346</v>
      </c>
      <c r="P11" s="33">
        <v>192.98665250576346</v>
      </c>
      <c r="Q11" s="33">
        <v>192.98665250576346</v>
      </c>
      <c r="R11" s="33">
        <v>192.98665250576346</v>
      </c>
      <c r="S11" s="33">
        <v>192.98665250576346</v>
      </c>
      <c r="T11" s="33">
        <v>192.98665250576346</v>
      </c>
      <c r="U11" s="33">
        <v>192.98665250576346</v>
      </c>
      <c r="V11" s="33">
        <v>192.98665250576346</v>
      </c>
      <c r="X11" s="31">
        <f t="shared" si="6"/>
        <v>2315.8398300691615</v>
      </c>
    </row>
    <row r="12" spans="1:24" outlineLevel="1" x14ac:dyDescent="0.15"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</row>
    <row r="13" spans="1:24" outlineLevel="1" x14ac:dyDescent="0.15">
      <c r="B13" s="26" t="s">
        <v>3319</v>
      </c>
      <c r="C13" s="27"/>
      <c r="D13" s="27"/>
      <c r="E13" s="27"/>
      <c r="F13" s="27"/>
      <c r="G13" s="26" t="s">
        <v>3314</v>
      </c>
      <c r="H13" s="27"/>
      <c r="I13" s="25"/>
      <c r="J13" s="25"/>
      <c r="K13" s="28">
        <f>K14+K18</f>
        <v>1075.2852553507726</v>
      </c>
      <c r="L13" s="28">
        <f t="shared" ref="L13" si="7">L14+L18</f>
        <v>1153.5455270674852</v>
      </c>
      <c r="M13" s="28">
        <f t="shared" ref="M13" si="8">M14+M18</f>
        <v>1762.3739976239542</v>
      </c>
      <c r="N13" s="28">
        <f t="shared" ref="N13" si="9">N14+N18</f>
        <v>1521.6351329041458</v>
      </c>
      <c r="O13" s="28">
        <f t="shared" ref="O13" si="10">O14+O18</f>
        <v>1507.9409077197856</v>
      </c>
      <c r="P13" s="28">
        <f t="shared" ref="P13" si="11">P14+P18</f>
        <v>1142.0745121575264</v>
      </c>
      <c r="Q13" s="28">
        <f t="shared" ref="Q13" si="12">Q14+Q18</f>
        <v>1322.7094323309627</v>
      </c>
      <c r="R13" s="28">
        <f t="shared" ref="R13" si="13">R14+R18</f>
        <v>1604.1593701125644</v>
      </c>
      <c r="S13" s="28">
        <f t="shared" ref="S13" si="14">S14+S18</f>
        <v>1350.0129762583247</v>
      </c>
      <c r="T13" s="28">
        <f t="shared" ref="T13" si="15">T14+T18</f>
        <v>1813.5579392014256</v>
      </c>
      <c r="U13" s="28">
        <f t="shared" ref="U13" si="16">U14+U18</f>
        <v>1488.8937163151431</v>
      </c>
      <c r="V13" s="28">
        <f t="shared" ref="V13" si="17">V14+V18</f>
        <v>1108.7551695863881</v>
      </c>
      <c r="W13" s="29"/>
      <c r="X13" s="28">
        <f t="shared" si="6"/>
        <v>16850.943936628475</v>
      </c>
    </row>
    <row r="14" spans="1:24" s="34" customFormat="1" outlineLevel="1" x14ac:dyDescent="0.15">
      <c r="C14" s="35" t="s">
        <v>3315</v>
      </c>
      <c r="D14" s="35"/>
      <c r="E14" s="35"/>
      <c r="F14" s="35"/>
      <c r="G14" s="35" t="s">
        <v>3314</v>
      </c>
      <c r="H14" s="35"/>
      <c r="K14" s="36">
        <f>K15+K16</f>
        <v>429.01237080984606</v>
      </c>
      <c r="L14" s="36">
        <f t="shared" ref="L14" si="18">L15+L16</f>
        <v>521.78334398432787</v>
      </c>
      <c r="M14" s="36">
        <f t="shared" ref="M14" si="19">M15+M16</f>
        <v>641.30919456800916</v>
      </c>
      <c r="N14" s="36">
        <f t="shared" ref="N14" si="20">N15+N16</f>
        <v>531.86452715966993</v>
      </c>
      <c r="O14" s="36">
        <f t="shared" ref="O14" si="21">O15+O16</f>
        <v>603.55109904283995</v>
      </c>
      <c r="P14" s="36">
        <f t="shared" ref="P14" si="22">P15+P16</f>
        <v>441.3044611489147</v>
      </c>
      <c r="Q14" s="36">
        <f t="shared" ref="Q14" si="23">Q15+Q16</f>
        <v>535.61208270592363</v>
      </c>
      <c r="R14" s="36">
        <f t="shared" ref="R14" si="24">R15+R16</f>
        <v>595.24075922149939</v>
      </c>
      <c r="S14" s="36">
        <f t="shared" ref="S14" si="25">S15+S16</f>
        <v>541.50468929593706</v>
      </c>
      <c r="T14" s="36">
        <f t="shared" ref="T14" si="26">T15+T16</f>
        <v>708.60542700280325</v>
      </c>
      <c r="U14" s="36">
        <f t="shared" ref="U14" si="27">U15+U16</f>
        <v>586.8513362765093</v>
      </c>
      <c r="V14" s="36">
        <f t="shared" ref="V14" si="28">V15+V16</f>
        <v>452.46089455021411</v>
      </c>
      <c r="W14" s="37"/>
      <c r="X14" s="38">
        <f t="shared" si="6"/>
        <v>6589.1001857664951</v>
      </c>
    </row>
    <row r="15" spans="1:24" outlineLevel="1" x14ac:dyDescent="0.15">
      <c r="C15" s="30"/>
      <c r="D15" s="30" t="s">
        <v>3316</v>
      </c>
      <c r="E15" s="30"/>
      <c r="F15" s="30"/>
      <c r="G15" s="30" t="s">
        <v>3314</v>
      </c>
      <c r="H15" s="30"/>
      <c r="I15" s="30"/>
      <c r="J15" s="30"/>
      <c r="K15" s="33">
        <v>164.50864445747922</v>
      </c>
      <c r="L15" s="33">
        <v>238.58800939863869</v>
      </c>
      <c r="M15" s="33">
        <v>323.25906307616179</v>
      </c>
      <c r="N15" s="33">
        <v>196.03272046469408</v>
      </c>
      <c r="O15" s="33">
        <v>344.96263648897104</v>
      </c>
      <c r="P15" s="33">
        <v>204.67803145705764</v>
      </c>
      <c r="Q15" s="33">
        <v>272.7116829365869</v>
      </c>
      <c r="R15" s="33">
        <v>270.14438427069854</v>
      </c>
      <c r="S15" s="33">
        <v>258.44966913826897</v>
      </c>
      <c r="T15" s="33">
        <v>352.79026011252245</v>
      </c>
      <c r="U15" s="33">
        <v>282.88535424491766</v>
      </c>
      <c r="V15" s="33">
        <v>295.01212613102956</v>
      </c>
      <c r="W15" s="32"/>
      <c r="X15" s="40">
        <f t="shared" si="6"/>
        <v>3204.0225821770264</v>
      </c>
    </row>
    <row r="16" spans="1:24" outlineLevel="1" x14ac:dyDescent="0.15">
      <c r="D16" s="30" t="s">
        <v>3317</v>
      </c>
      <c r="E16" s="30"/>
      <c r="F16" s="30"/>
      <c r="G16" s="30" t="s">
        <v>3314</v>
      </c>
      <c r="H16" s="30"/>
      <c r="I16" s="30"/>
      <c r="J16" s="30"/>
      <c r="K16" s="33">
        <v>264.50372635236681</v>
      </c>
      <c r="L16" s="33">
        <v>283.19533458568918</v>
      </c>
      <c r="M16" s="33">
        <v>318.05013149184742</v>
      </c>
      <c r="N16" s="33">
        <v>335.83180669497591</v>
      </c>
      <c r="O16" s="33">
        <v>258.58846255386885</v>
      </c>
      <c r="P16" s="33">
        <v>236.62642969185708</v>
      </c>
      <c r="Q16" s="33">
        <v>262.90039976933673</v>
      </c>
      <c r="R16" s="33">
        <v>325.09637495080085</v>
      </c>
      <c r="S16" s="33">
        <v>283.05502015766808</v>
      </c>
      <c r="T16" s="33">
        <v>355.81516689028081</v>
      </c>
      <c r="U16" s="33">
        <v>303.96598203159169</v>
      </c>
      <c r="V16" s="33">
        <v>157.44876841918457</v>
      </c>
      <c r="X16" s="31">
        <f t="shared" si="6"/>
        <v>3385.0776035894678</v>
      </c>
    </row>
    <row r="17" spans="2:24" outlineLevel="1" x14ac:dyDescent="0.15"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</row>
    <row r="18" spans="2:24" s="34" customFormat="1" outlineLevel="1" x14ac:dyDescent="0.15">
      <c r="C18" s="35" t="s">
        <v>3318</v>
      </c>
      <c r="D18" s="35"/>
      <c r="E18" s="35"/>
      <c r="F18" s="35"/>
      <c r="G18" s="35" t="s">
        <v>3314</v>
      </c>
      <c r="H18" s="35"/>
      <c r="K18" s="36">
        <f>K19+K20</f>
        <v>646.2728845409265</v>
      </c>
      <c r="L18" s="36">
        <f t="shared" ref="L18" si="29">L19+L20</f>
        <v>631.76218308315742</v>
      </c>
      <c r="M18" s="36">
        <f t="shared" ref="M18" si="30">M19+M20</f>
        <v>1121.064803055945</v>
      </c>
      <c r="N18" s="36">
        <f t="shared" ref="N18" si="31">N19+N20</f>
        <v>989.77060574447603</v>
      </c>
      <c r="O18" s="36">
        <f t="shared" ref="O18" si="32">O19+O20</f>
        <v>904.38980867694568</v>
      </c>
      <c r="P18" s="36">
        <f t="shared" ref="P18" si="33">P19+P20</f>
        <v>700.77005100861174</v>
      </c>
      <c r="Q18" s="36">
        <f t="shared" ref="Q18" si="34">Q19+Q20</f>
        <v>787.0973496250391</v>
      </c>
      <c r="R18" s="36">
        <f t="shared" ref="R18" si="35">R19+R20</f>
        <v>1008.9186108910651</v>
      </c>
      <c r="S18" s="36">
        <f t="shared" ref="S18" si="36">S19+S20</f>
        <v>808.5082869623875</v>
      </c>
      <c r="T18" s="36">
        <f t="shared" ref="T18" si="37">T19+T20</f>
        <v>1104.9525121986223</v>
      </c>
      <c r="U18" s="36">
        <f t="shared" ref="U18" si="38">U19+U20</f>
        <v>902.04238003863384</v>
      </c>
      <c r="V18" s="36">
        <f t="shared" ref="V18" si="39">V19+V20</f>
        <v>656.29427503617399</v>
      </c>
      <c r="W18" s="37"/>
      <c r="X18" s="38">
        <f t="shared" si="6"/>
        <v>10261.843750861985</v>
      </c>
    </row>
    <row r="19" spans="2:24" outlineLevel="1" x14ac:dyDescent="0.15">
      <c r="C19" s="30"/>
      <c r="D19" s="30" t="s">
        <v>3316</v>
      </c>
      <c r="E19" s="30"/>
      <c r="F19" s="30"/>
      <c r="G19" s="30" t="s">
        <v>3314</v>
      </c>
      <c r="H19" s="30"/>
      <c r="I19" s="30"/>
      <c r="J19" s="30"/>
      <c r="K19" s="33">
        <v>281.84381471390407</v>
      </c>
      <c r="L19" s="33">
        <v>278.88770089738745</v>
      </c>
      <c r="M19" s="33">
        <v>527.4672947093843</v>
      </c>
      <c r="N19" s="33">
        <v>358.5781400015544</v>
      </c>
      <c r="O19" s="33">
        <v>485.32984906284929</v>
      </c>
      <c r="P19" s="33">
        <v>325.69236260835964</v>
      </c>
      <c r="Q19" s="33">
        <v>447.45604229358901</v>
      </c>
      <c r="R19" s="33">
        <v>496.91692993639833</v>
      </c>
      <c r="S19" s="33">
        <v>310.41882461597294</v>
      </c>
      <c r="T19" s="33">
        <v>621.47671028659749</v>
      </c>
      <c r="U19" s="33">
        <v>462.13505373188173</v>
      </c>
      <c r="V19" s="33">
        <v>418.87951578147869</v>
      </c>
      <c r="W19" s="32"/>
      <c r="X19" s="40">
        <f t="shared" si="6"/>
        <v>5015.0822386393575</v>
      </c>
    </row>
    <row r="20" spans="2:24" outlineLevel="1" x14ac:dyDescent="0.15">
      <c r="D20" s="30" t="s">
        <v>3317</v>
      </c>
      <c r="E20" s="30"/>
      <c r="F20" s="30"/>
      <c r="G20" s="30" t="s">
        <v>3314</v>
      </c>
      <c r="H20" s="30"/>
      <c r="I20" s="30"/>
      <c r="J20" s="30"/>
      <c r="K20" s="33">
        <v>364.42906982702243</v>
      </c>
      <c r="L20" s="33">
        <v>352.87448218577003</v>
      </c>
      <c r="M20" s="33">
        <v>593.59750834656063</v>
      </c>
      <c r="N20" s="33">
        <v>631.19246574292163</v>
      </c>
      <c r="O20" s="33">
        <v>419.05995961409633</v>
      </c>
      <c r="P20" s="33">
        <v>375.07768840025216</v>
      </c>
      <c r="Q20" s="33">
        <v>339.64130733145009</v>
      </c>
      <c r="R20" s="33">
        <v>512.00168095466677</v>
      </c>
      <c r="S20" s="33">
        <v>498.08946234641462</v>
      </c>
      <c r="T20" s="33">
        <v>483.47580191202485</v>
      </c>
      <c r="U20" s="33">
        <v>439.90732630675205</v>
      </c>
      <c r="V20" s="33">
        <v>237.41475925469524</v>
      </c>
      <c r="W20" s="32"/>
      <c r="X20" s="31">
        <f t="shared" si="6"/>
        <v>5246.7615122226271</v>
      </c>
    </row>
    <row r="21" spans="2:24" outlineLevel="1" x14ac:dyDescent="0.15"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</row>
    <row r="22" spans="2:24" s="25" customFormat="1" outlineLevel="1" x14ac:dyDescent="0.15">
      <c r="B22" s="41" t="s">
        <v>3322</v>
      </c>
      <c r="C22" s="41"/>
      <c r="D22" s="41"/>
      <c r="E22" s="41"/>
      <c r="F22" s="41"/>
      <c r="G22" s="41" t="s">
        <v>3314</v>
      </c>
      <c r="H22" s="41"/>
      <c r="K22" s="42">
        <f>K4+K13</f>
        <v>1995.2290679976716</v>
      </c>
      <c r="L22" s="42">
        <f t="shared" ref="L22:X22" si="40">L4+L13</f>
        <v>2073.4893397143842</v>
      </c>
      <c r="M22" s="42">
        <f t="shared" si="40"/>
        <v>2682.3178102708534</v>
      </c>
      <c r="N22" s="42">
        <f t="shared" si="40"/>
        <v>2441.5789455510449</v>
      </c>
      <c r="O22" s="42">
        <f t="shared" si="40"/>
        <v>2427.8847203666846</v>
      </c>
      <c r="P22" s="42">
        <f t="shared" si="40"/>
        <v>2062.0183248044254</v>
      </c>
      <c r="Q22" s="42">
        <f t="shared" si="40"/>
        <v>2242.6532449778615</v>
      </c>
      <c r="R22" s="42">
        <f t="shared" si="40"/>
        <v>2524.1031827594634</v>
      </c>
      <c r="S22" s="42">
        <f t="shared" si="40"/>
        <v>2269.9567889052237</v>
      </c>
      <c r="T22" s="42">
        <f t="shared" si="40"/>
        <v>2733.5017518483246</v>
      </c>
      <c r="U22" s="42">
        <f t="shared" si="40"/>
        <v>2408.8375289620421</v>
      </c>
      <c r="V22" s="42">
        <f t="shared" si="40"/>
        <v>2028.6989822332871</v>
      </c>
      <c r="W22" s="32"/>
      <c r="X22" s="42">
        <f t="shared" si="40"/>
        <v>27890.269688391265</v>
      </c>
    </row>
    <row r="23" spans="2:24" outlineLevel="1" x14ac:dyDescent="0.15"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</row>
    <row r="24" spans="2:24" x14ac:dyDescent="0.15">
      <c r="B24" s="39" t="s">
        <v>3320</v>
      </c>
      <c r="C24" s="39"/>
      <c r="D24" s="39"/>
      <c r="E24" s="39"/>
      <c r="F24" s="39"/>
      <c r="G24" s="39"/>
      <c r="H24" s="39"/>
      <c r="I24" s="25"/>
      <c r="J24" s="25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2"/>
      <c r="X24" s="39"/>
    </row>
    <row r="25" spans="2:24" outlineLevel="1" x14ac:dyDescent="0.15">
      <c r="W25" s="32"/>
    </row>
    <row r="26" spans="2:24" outlineLevel="1" x14ac:dyDescent="0.15">
      <c r="B26" s="26" t="s">
        <v>3313</v>
      </c>
      <c r="C26" s="27"/>
      <c r="D26" s="27"/>
      <c r="E26" s="27"/>
      <c r="F26" s="27"/>
      <c r="G26" s="26"/>
      <c r="H26" s="27"/>
      <c r="I26" s="25"/>
      <c r="J26" s="25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32"/>
      <c r="X26" s="28"/>
    </row>
    <row r="27" spans="2:24" s="34" customFormat="1" outlineLevel="1" x14ac:dyDescent="0.15">
      <c r="C27" s="35" t="s">
        <v>3315</v>
      </c>
      <c r="D27" s="35"/>
      <c r="E27" s="35"/>
      <c r="F27" s="35"/>
      <c r="G27" s="35"/>
      <c r="H27" s="35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2"/>
      <c r="X27" s="38"/>
    </row>
    <row r="28" spans="2:24" outlineLevel="1" x14ac:dyDescent="0.15">
      <c r="C28" s="30"/>
      <c r="D28" s="30" t="s">
        <v>3316</v>
      </c>
      <c r="E28" s="30"/>
      <c r="F28" s="30"/>
      <c r="G28" s="30" t="s">
        <v>3323</v>
      </c>
      <c r="H28" s="30"/>
      <c r="I28" s="30"/>
      <c r="J28" s="30"/>
      <c r="K28" s="33">
        <v>156.82141821555766</v>
      </c>
      <c r="L28" s="33">
        <v>151.98010114962193</v>
      </c>
      <c r="M28" s="33">
        <v>123.71240604202603</v>
      </c>
      <c r="N28" s="33">
        <v>214.142551226297</v>
      </c>
      <c r="O28" s="33">
        <v>143.92072704198074</v>
      </c>
      <c r="P28" s="33">
        <v>220.32397187768044</v>
      </c>
      <c r="Q28" s="33">
        <v>310.21997640052609</v>
      </c>
      <c r="R28" s="33">
        <v>184.65678971327742</v>
      </c>
      <c r="S28" s="33">
        <v>210.24478165140505</v>
      </c>
      <c r="T28" s="33">
        <v>256.07003816347793</v>
      </c>
      <c r="U28" s="33">
        <v>157.76811724546141</v>
      </c>
      <c r="V28" s="33">
        <v>203.15255430930733</v>
      </c>
      <c r="W28" s="32"/>
      <c r="X28" s="40"/>
    </row>
    <row r="29" spans="2:24" outlineLevel="1" x14ac:dyDescent="0.15">
      <c r="D29" s="30" t="s">
        <v>3317</v>
      </c>
      <c r="E29" s="30"/>
      <c r="F29" s="30"/>
      <c r="G29" s="30" t="s">
        <v>3323</v>
      </c>
      <c r="H29" s="30"/>
      <c r="I29" s="30"/>
      <c r="J29" s="30"/>
      <c r="K29" s="33">
        <v>357.15682876935597</v>
      </c>
      <c r="L29" s="33">
        <v>253.52638681182177</v>
      </c>
      <c r="M29" s="33">
        <v>275.29483346745008</v>
      </c>
      <c r="N29" s="33">
        <v>252.21148250058988</v>
      </c>
      <c r="O29" s="33">
        <v>353.69669659875007</v>
      </c>
      <c r="P29" s="33">
        <v>255.53610387726567</v>
      </c>
      <c r="Q29" s="33">
        <v>309.02673216035373</v>
      </c>
      <c r="R29" s="33">
        <v>279.87633953100482</v>
      </c>
      <c r="S29" s="33">
        <v>208.11919201697174</v>
      </c>
      <c r="T29" s="33">
        <v>326.25211542834359</v>
      </c>
      <c r="U29" s="33">
        <v>334.17688124870693</v>
      </c>
      <c r="V29" s="33">
        <v>318.56158776091252</v>
      </c>
      <c r="X29" s="31"/>
    </row>
    <row r="30" spans="2:24" outlineLevel="1" x14ac:dyDescent="0.15"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24" s="34" customFormat="1" outlineLevel="1" x14ac:dyDescent="0.15">
      <c r="C31" s="35" t="s">
        <v>3318</v>
      </c>
      <c r="D31" s="35"/>
      <c r="E31" s="35"/>
      <c r="F31" s="35"/>
      <c r="G31" s="35"/>
      <c r="H31" s="35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7"/>
      <c r="X31" s="38"/>
    </row>
    <row r="32" spans="2:24" outlineLevel="1" x14ac:dyDescent="0.15">
      <c r="C32" s="30"/>
      <c r="D32" s="30" t="s">
        <v>3316</v>
      </c>
      <c r="E32" s="30"/>
      <c r="F32" s="30"/>
      <c r="G32" s="30" t="s">
        <v>3323</v>
      </c>
      <c r="H32" s="30"/>
      <c r="I32" s="30"/>
      <c r="J32" s="30"/>
      <c r="K32" s="33">
        <v>152.22934457258873</v>
      </c>
      <c r="L32" s="33">
        <v>192.9547416928466</v>
      </c>
      <c r="M32" s="33">
        <v>153.77688180037848</v>
      </c>
      <c r="N32" s="33">
        <v>196.44313658153914</v>
      </c>
      <c r="O32" s="33">
        <v>296.33761533930527</v>
      </c>
      <c r="P32" s="33">
        <v>266.12094773829347</v>
      </c>
      <c r="Q32" s="33">
        <v>241.60356104838758</v>
      </c>
      <c r="R32" s="33">
        <v>187.19866840519626</v>
      </c>
      <c r="S32" s="33">
        <v>108.08959549344969</v>
      </c>
      <c r="T32" s="33">
        <v>149.23104455136064</v>
      </c>
      <c r="U32" s="33">
        <v>308.67102310679559</v>
      </c>
      <c r="V32" s="33">
        <v>217.70173131217888</v>
      </c>
      <c r="W32" s="32"/>
      <c r="X32" s="40"/>
    </row>
    <row r="33" spans="2:24" outlineLevel="1" x14ac:dyDescent="0.15">
      <c r="D33" s="30" t="s">
        <v>3317</v>
      </c>
      <c r="E33" s="30"/>
      <c r="F33" s="30"/>
      <c r="G33" s="30" t="s">
        <v>3323</v>
      </c>
      <c r="H33" s="30"/>
      <c r="I33" s="30"/>
      <c r="J33" s="30"/>
      <c r="K33" s="33">
        <v>334.64214899248213</v>
      </c>
      <c r="L33" s="33">
        <v>453.72331583726259</v>
      </c>
      <c r="M33" s="33">
        <v>276.72440230029383</v>
      </c>
      <c r="N33" s="33">
        <v>424.20756557189821</v>
      </c>
      <c r="O33" s="33">
        <v>678.93128400995215</v>
      </c>
      <c r="P33" s="33">
        <v>479.74477986002631</v>
      </c>
      <c r="Q33" s="33">
        <v>386.32653585250887</v>
      </c>
      <c r="R33" s="33">
        <v>493.24091430846028</v>
      </c>
      <c r="S33" s="33">
        <v>449.48909486047228</v>
      </c>
      <c r="T33" s="33">
        <v>422.02649199269092</v>
      </c>
      <c r="U33" s="33">
        <v>572.98115679320711</v>
      </c>
      <c r="V33" s="33">
        <v>563.24297168937176</v>
      </c>
      <c r="X33" s="31"/>
    </row>
    <row r="34" spans="2:24" outlineLevel="1" x14ac:dyDescent="0.15"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spans="2:24" outlineLevel="1" x14ac:dyDescent="0.15">
      <c r="B35" s="26" t="s">
        <v>3319</v>
      </c>
      <c r="C35" s="27"/>
      <c r="D35" s="27"/>
      <c r="E35" s="27"/>
      <c r="F35" s="27"/>
      <c r="G35" s="26"/>
      <c r="H35" s="27"/>
      <c r="I35" s="25"/>
      <c r="J35" s="25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9"/>
      <c r="X35" s="28"/>
    </row>
    <row r="36" spans="2:24" s="34" customFormat="1" outlineLevel="1" x14ac:dyDescent="0.15">
      <c r="C36" s="35" t="s">
        <v>3315</v>
      </c>
      <c r="D36" s="35"/>
      <c r="E36" s="35"/>
      <c r="F36" s="35"/>
      <c r="G36" s="35"/>
      <c r="H36" s="35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7"/>
      <c r="X36" s="38"/>
    </row>
    <row r="37" spans="2:24" outlineLevel="1" x14ac:dyDescent="0.15">
      <c r="C37" s="30"/>
      <c r="D37" s="30" t="s">
        <v>3316</v>
      </c>
      <c r="E37" s="30"/>
      <c r="F37" s="30"/>
      <c r="G37" s="30" t="s">
        <v>3323</v>
      </c>
      <c r="H37" s="30"/>
      <c r="I37" s="30"/>
      <c r="J37" s="30"/>
      <c r="K37" s="33">
        <v>167.11410392225312</v>
      </c>
      <c r="L37" s="33">
        <v>171.17396223697483</v>
      </c>
      <c r="M37" s="33">
        <v>174.57979071149765</v>
      </c>
      <c r="N37" s="33">
        <v>142.18712185204902</v>
      </c>
      <c r="O37" s="33">
        <v>137.7207925416736</v>
      </c>
      <c r="P37" s="33">
        <v>149.05060596777761</v>
      </c>
      <c r="Q37" s="33">
        <v>162.85980441782931</v>
      </c>
      <c r="R37" s="33">
        <v>173.86067581360948</v>
      </c>
      <c r="S37" s="33">
        <v>158.93070131972402</v>
      </c>
      <c r="T37" s="33">
        <v>149.54754105685194</v>
      </c>
      <c r="U37" s="33">
        <v>136.75410819076441</v>
      </c>
      <c r="V37" s="33">
        <v>166.76807236107663</v>
      </c>
      <c r="W37" s="32"/>
      <c r="X37" s="40"/>
    </row>
    <row r="38" spans="2:24" outlineLevel="1" x14ac:dyDescent="0.15">
      <c r="D38" s="30" t="s">
        <v>3317</v>
      </c>
      <c r="E38" s="30"/>
      <c r="F38" s="30"/>
      <c r="G38" s="30" t="s">
        <v>3323</v>
      </c>
      <c r="H38" s="30"/>
      <c r="I38" s="30"/>
      <c r="J38" s="30"/>
      <c r="K38" s="33">
        <v>353.00794281282367</v>
      </c>
      <c r="L38" s="33">
        <v>336.6840242809368</v>
      </c>
      <c r="M38" s="33">
        <v>346.33538136778259</v>
      </c>
      <c r="N38" s="33">
        <v>346.3845234772931</v>
      </c>
      <c r="O38" s="33">
        <v>340.7405171477115</v>
      </c>
      <c r="P38" s="33">
        <v>349.5097105453109</v>
      </c>
      <c r="Q38" s="33">
        <v>357.17669916198491</v>
      </c>
      <c r="R38" s="33">
        <v>329.41837633659429</v>
      </c>
      <c r="S38" s="33">
        <v>360.9930324197727</v>
      </c>
      <c r="T38" s="33">
        <v>336.02544986511714</v>
      </c>
      <c r="U38" s="33">
        <v>341.48219935281827</v>
      </c>
      <c r="V38" s="33">
        <v>356.45510856189452</v>
      </c>
      <c r="X38" s="31"/>
    </row>
    <row r="39" spans="2:24" outlineLevel="1" x14ac:dyDescent="0.15"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 spans="2:24" s="34" customFormat="1" outlineLevel="1" x14ac:dyDescent="0.15">
      <c r="C40" s="35" t="s">
        <v>3318</v>
      </c>
      <c r="D40" s="35"/>
      <c r="E40" s="35"/>
      <c r="F40" s="35"/>
      <c r="G40" s="35"/>
      <c r="H40" s="35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7"/>
      <c r="X40" s="38"/>
    </row>
    <row r="41" spans="2:24" outlineLevel="1" x14ac:dyDescent="0.15">
      <c r="C41" s="30"/>
      <c r="D41" s="30" t="s">
        <v>3316</v>
      </c>
      <c r="E41" s="30"/>
      <c r="F41" s="30"/>
      <c r="G41" s="30" t="s">
        <v>3323</v>
      </c>
      <c r="H41" s="30"/>
      <c r="I41" s="30"/>
      <c r="J41" s="30"/>
      <c r="K41" s="33">
        <v>135.27529852859669</v>
      </c>
      <c r="L41" s="33">
        <v>144.85024802786435</v>
      </c>
      <c r="M41" s="33">
        <v>161.85606523824802</v>
      </c>
      <c r="N41" s="33">
        <v>162.49086853438567</v>
      </c>
      <c r="O41" s="33">
        <v>150.18898340692382</v>
      </c>
      <c r="P41" s="33">
        <v>152.79492476745926</v>
      </c>
      <c r="Q41" s="33">
        <v>151.22623782160457</v>
      </c>
      <c r="R41" s="33">
        <v>143.67776709031099</v>
      </c>
      <c r="S41" s="33">
        <v>155.28266297479473</v>
      </c>
      <c r="T41" s="33">
        <v>142.32903455547441</v>
      </c>
      <c r="U41" s="33">
        <v>156.41470086442462</v>
      </c>
      <c r="V41" s="33">
        <v>152.53764348237948</v>
      </c>
      <c r="W41" s="32"/>
      <c r="X41" s="40"/>
    </row>
    <row r="42" spans="2:24" outlineLevel="1" x14ac:dyDescent="0.15">
      <c r="D42" s="30" t="s">
        <v>3317</v>
      </c>
      <c r="E42" s="30"/>
      <c r="F42" s="30"/>
      <c r="G42" s="30" t="s">
        <v>3323</v>
      </c>
      <c r="H42" s="30"/>
      <c r="I42" s="30"/>
      <c r="J42" s="30"/>
      <c r="K42" s="33">
        <v>346.9648831161677</v>
      </c>
      <c r="L42" s="33">
        <v>345.64590674333556</v>
      </c>
      <c r="M42" s="33">
        <v>355.93752039451823</v>
      </c>
      <c r="N42" s="33">
        <v>364.18564351158687</v>
      </c>
      <c r="O42" s="33">
        <v>370.95805069880419</v>
      </c>
      <c r="P42" s="33">
        <v>349.31821340293328</v>
      </c>
      <c r="Q42" s="33">
        <v>341.97747461004928</v>
      </c>
      <c r="R42" s="33">
        <v>344.45946310772291</v>
      </c>
      <c r="S42" s="33">
        <v>342.26039147442606</v>
      </c>
      <c r="T42" s="33">
        <v>351.71009060413991</v>
      </c>
      <c r="U42" s="33">
        <v>363.76929627767862</v>
      </c>
      <c r="V42" s="33">
        <v>371.77124085528271</v>
      </c>
      <c r="X42" s="31"/>
    </row>
    <row r="43" spans="2:24" outlineLevel="1" x14ac:dyDescent="0.15"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spans="2:24" x14ac:dyDescent="0.15">
      <c r="B44" s="39" t="s">
        <v>3321</v>
      </c>
      <c r="C44" s="39"/>
      <c r="D44" s="39"/>
      <c r="E44" s="39"/>
      <c r="F44" s="39"/>
      <c r="G44" s="39"/>
      <c r="H44" s="39"/>
      <c r="I44" s="25"/>
      <c r="J44" s="25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25"/>
      <c r="X44" s="39"/>
    </row>
    <row r="45" spans="2:24" outlineLevel="1" x14ac:dyDescent="0.15"/>
    <row r="46" spans="2:24" outlineLevel="1" x14ac:dyDescent="0.15">
      <c r="B46" s="26" t="s">
        <v>3313</v>
      </c>
      <c r="C46" s="27"/>
      <c r="D46" s="27"/>
      <c r="E46" s="27"/>
      <c r="F46" s="27"/>
      <c r="G46" s="26" t="s">
        <v>3324</v>
      </c>
      <c r="H46" s="27"/>
      <c r="I46" s="25"/>
      <c r="J46" s="25"/>
      <c r="K46" s="28">
        <f>K47+K51</f>
        <v>240.06319131449078</v>
      </c>
      <c r="L46" s="28">
        <f t="shared" ref="L46" si="41">L47+L51</f>
        <v>237.59706596139625</v>
      </c>
      <c r="M46" s="28">
        <f t="shared" ref="M46" si="42">M47+M51</f>
        <v>196.35301144871994</v>
      </c>
      <c r="N46" s="28">
        <f t="shared" ref="N46" si="43">N47+N51</f>
        <v>245.96171802177059</v>
      </c>
      <c r="O46" s="28">
        <f t="shared" ref="O46" si="44">O47+O51</f>
        <v>330.48401850629961</v>
      </c>
      <c r="P46" s="28">
        <f t="shared" ref="P46" si="45">P47+P51</f>
        <v>272.58484192158954</v>
      </c>
      <c r="Q46" s="28">
        <f t="shared" ref="Q46" si="46">Q47+Q51</f>
        <v>286.40818935413506</v>
      </c>
      <c r="R46" s="28">
        <f t="shared" ref="R46" si="47">R47+R51</f>
        <v>259.56288545375287</v>
      </c>
      <c r="S46" s="28">
        <f t="shared" ref="S46" si="48">S47+S51</f>
        <v>219.13242445864893</v>
      </c>
      <c r="T46" s="28">
        <f t="shared" ref="T46" si="49">T47+T51</f>
        <v>268.74911675643898</v>
      </c>
      <c r="U46" s="28">
        <f t="shared" ref="U46" si="50">U47+U51</f>
        <v>309.4222643255606</v>
      </c>
      <c r="V46" s="28">
        <f t="shared" ref="V46" si="51">V47+V51</f>
        <v>295.12954592364497</v>
      </c>
      <c r="W46" s="29"/>
      <c r="X46" s="28">
        <f>SUM(K46:V46)</f>
        <v>3161.4482734464477</v>
      </c>
    </row>
    <row r="47" spans="2:24" s="34" customFormat="1" outlineLevel="1" x14ac:dyDescent="0.15">
      <c r="C47" s="35" t="s">
        <v>3315</v>
      </c>
      <c r="D47" s="35"/>
      <c r="E47" s="35"/>
      <c r="F47" s="35"/>
      <c r="G47" s="35" t="s">
        <v>3324</v>
      </c>
      <c r="H47" s="35"/>
      <c r="K47" s="36">
        <f>K48+K49</f>
        <v>145.9908492562196</v>
      </c>
      <c r="L47" s="36">
        <f t="shared" ref="L47" si="52">L48+L49</f>
        <v>112.65405526097669</v>
      </c>
      <c r="M47" s="36">
        <f t="shared" ref="M47" si="53">M48+M49</f>
        <v>113.15822231371352</v>
      </c>
      <c r="N47" s="36">
        <f t="shared" ref="N47" si="54">N48+N49</f>
        <v>126.03905826643633</v>
      </c>
      <c r="O47" s="36">
        <f t="shared" ref="O47" si="55">O48+O49</f>
        <v>142.05086289839949</v>
      </c>
      <c r="P47" s="36">
        <f t="shared" ref="P47" si="56">P48+P49</f>
        <v>128.44579536921111</v>
      </c>
      <c r="Q47" s="36">
        <f t="shared" ref="Q47" si="57">Q48+Q49</f>
        <v>165.04728705549644</v>
      </c>
      <c r="R47" s="36">
        <f t="shared" ref="R47" si="58">R48+R49</f>
        <v>128.10861023908467</v>
      </c>
      <c r="S47" s="36">
        <f t="shared" ref="S47" si="59">S48+S49</f>
        <v>111.44719845258643</v>
      </c>
      <c r="T47" s="36">
        <f t="shared" ref="T47" si="60">T48+T49</f>
        <v>158.39361334170636</v>
      </c>
      <c r="U47" s="36">
        <f t="shared" ref="U47" si="61">U48+U49</f>
        <v>139.04675990055867</v>
      </c>
      <c r="V47" s="36">
        <f t="shared" ref="V47" si="62">V48+V49</f>
        <v>144.25655320121953</v>
      </c>
      <c r="W47" s="37"/>
      <c r="X47" s="38">
        <f>SUM(K47:V47)</f>
        <v>1614.6388655556091</v>
      </c>
    </row>
    <row r="48" spans="2:24" outlineLevel="1" x14ac:dyDescent="0.15">
      <c r="C48" s="30"/>
      <c r="D48" s="30" t="s">
        <v>3316</v>
      </c>
      <c r="E48" s="30"/>
      <c r="F48" s="30"/>
      <c r="G48" s="30" t="s">
        <v>3324</v>
      </c>
      <c r="H48" s="30"/>
      <c r="I48" s="30"/>
      <c r="J48" s="30"/>
      <c r="K48" s="43">
        <f>K6*K28/1000</f>
        <v>34.799970273190482</v>
      </c>
      <c r="L48" s="43">
        <f t="shared" ref="L48:V48" si="63">L6*L28/1000</f>
        <v>33.72564195825283</v>
      </c>
      <c r="M48" s="43">
        <f t="shared" si="63"/>
        <v>27.452806521426265</v>
      </c>
      <c r="N48" s="43">
        <f t="shared" si="63"/>
        <v>47.520003974565554</v>
      </c>
      <c r="O48" s="43">
        <f t="shared" si="63"/>
        <v>31.93720015892589</v>
      </c>
      <c r="P48" s="43">
        <f t="shared" si="63"/>
        <v>48.891712363393836</v>
      </c>
      <c r="Q48" s="43">
        <f t="shared" si="63"/>
        <v>68.840379584178294</v>
      </c>
      <c r="R48" s="43">
        <f t="shared" si="63"/>
        <v>40.976869523855228</v>
      </c>
      <c r="S48" s="43">
        <f t="shared" si="63"/>
        <v>46.655056654987426</v>
      </c>
      <c r="T48" s="43">
        <f t="shared" si="63"/>
        <v>56.824060242172557</v>
      </c>
      <c r="U48" s="43">
        <f t="shared" si="63"/>
        <v>35.010050621099495</v>
      </c>
      <c r="V48" s="43">
        <f t="shared" si="63"/>
        <v>45.081232725296523</v>
      </c>
      <c r="W48" s="32"/>
      <c r="X48" s="40">
        <f>SUM(K48:V48)</f>
        <v>517.71498460134433</v>
      </c>
    </row>
    <row r="49" spans="2:24" outlineLevel="1" x14ac:dyDescent="0.15">
      <c r="D49" s="30" t="s">
        <v>3317</v>
      </c>
      <c r="E49" s="30"/>
      <c r="F49" s="30"/>
      <c r="G49" s="30" t="s">
        <v>3324</v>
      </c>
      <c r="H49" s="30"/>
      <c r="I49" s="30"/>
      <c r="J49" s="30"/>
      <c r="K49" s="43">
        <f t="shared" ref="K49:V49" si="64">K7*K29/1000</f>
        <v>111.19087898302912</v>
      </c>
      <c r="L49" s="43">
        <f t="shared" si="64"/>
        <v>78.928413302723854</v>
      </c>
      <c r="M49" s="43">
        <f t="shared" si="64"/>
        <v>85.705415792287255</v>
      </c>
      <c r="N49" s="43">
        <f t="shared" si="64"/>
        <v>78.519054291870773</v>
      </c>
      <c r="O49" s="43">
        <f t="shared" si="64"/>
        <v>110.1136627394736</v>
      </c>
      <c r="P49" s="43">
        <f t="shared" si="64"/>
        <v>79.554083005817262</v>
      </c>
      <c r="Q49" s="43">
        <f t="shared" si="64"/>
        <v>96.206907471318132</v>
      </c>
      <c r="R49" s="43">
        <f t="shared" si="64"/>
        <v>87.131740715229441</v>
      </c>
      <c r="S49" s="43">
        <f t="shared" si="64"/>
        <v>64.792141797599015</v>
      </c>
      <c r="T49" s="43">
        <f t="shared" si="64"/>
        <v>101.56955309953379</v>
      </c>
      <c r="U49" s="43">
        <f t="shared" si="64"/>
        <v>104.03670927945917</v>
      </c>
      <c r="V49" s="43">
        <f t="shared" si="64"/>
        <v>99.175320475923002</v>
      </c>
      <c r="X49" s="31">
        <f t="shared" ref="X49" si="65">SUM(K49:V49)</f>
        <v>1096.9238809542642</v>
      </c>
    </row>
    <row r="50" spans="2:24" outlineLevel="1" x14ac:dyDescent="0.15"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spans="2:24" s="34" customFormat="1" outlineLevel="1" x14ac:dyDescent="0.15">
      <c r="C51" s="35" t="s">
        <v>3318</v>
      </c>
      <c r="D51" s="35"/>
      <c r="E51" s="35"/>
      <c r="F51" s="35"/>
      <c r="G51" s="35" t="s">
        <v>3324</v>
      </c>
      <c r="H51" s="35"/>
      <c r="K51" s="36">
        <f>K52+K53</f>
        <v>94.072342058271175</v>
      </c>
      <c r="L51" s="36">
        <f t="shared" ref="L51" si="66">L52+L53</f>
        <v>124.94301070041955</v>
      </c>
      <c r="M51" s="36">
        <f t="shared" ref="M51" si="67">M52+M53</f>
        <v>83.194789135006431</v>
      </c>
      <c r="N51" s="36">
        <f t="shared" ref="N51" si="68">N52+N53</f>
        <v>119.92265975533425</v>
      </c>
      <c r="O51" s="36">
        <f t="shared" ref="O51" si="69">O52+O53</f>
        <v>188.43315560790012</v>
      </c>
      <c r="P51" s="36">
        <f t="shared" ref="P51" si="70">P52+P53</f>
        <v>144.13904655237843</v>
      </c>
      <c r="Q51" s="36">
        <f t="shared" ref="Q51" si="71">Q52+Q53</f>
        <v>121.36090229863862</v>
      </c>
      <c r="R51" s="36">
        <f t="shared" ref="R51" si="72">R52+R53</f>
        <v>131.4542752146682</v>
      </c>
      <c r="S51" s="36">
        <f t="shared" ref="S51" si="73">S52+S53</f>
        <v>107.68522600606249</v>
      </c>
      <c r="T51" s="36">
        <f t="shared" ref="T51" si="74">T52+T53</f>
        <v>110.35550341473264</v>
      </c>
      <c r="U51" s="36">
        <f t="shared" ref="U51" si="75">U52+U53</f>
        <v>170.37550442500191</v>
      </c>
      <c r="V51" s="36">
        <f t="shared" ref="V51" si="76">V52+V53</f>
        <v>150.87299272242541</v>
      </c>
      <c r="W51" s="37"/>
      <c r="X51" s="38">
        <f>SUM(K51:V51)</f>
        <v>1546.8094078908391</v>
      </c>
    </row>
    <row r="52" spans="2:24" outlineLevel="1" x14ac:dyDescent="0.15">
      <c r="C52" s="30"/>
      <c r="D52" s="30" t="s">
        <v>3316</v>
      </c>
      <c r="E52" s="30"/>
      <c r="F52" s="30"/>
      <c r="G52" s="30" t="s">
        <v>3324</v>
      </c>
      <c r="H52" s="30"/>
      <c r="I52" s="30"/>
      <c r="J52" s="30"/>
      <c r="K52" s="43">
        <f>K10*K32/1000</f>
        <v>29.490873936877112</v>
      </c>
      <c r="L52" s="43">
        <f t="shared" ref="L52:V52" si="77">L10*L32/1000</f>
        <v>37.380466813170997</v>
      </c>
      <c r="M52" s="43">
        <f t="shared" si="77"/>
        <v>29.790673068414527</v>
      </c>
      <c r="N52" s="43">
        <f t="shared" si="77"/>
        <v>38.056261707994459</v>
      </c>
      <c r="O52" s="43">
        <f t="shared" si="77"/>
        <v>57.408479825379693</v>
      </c>
      <c r="P52" s="43">
        <f t="shared" si="77"/>
        <v>51.554707430077542</v>
      </c>
      <c r="Q52" s="43">
        <f t="shared" si="77"/>
        <v>46.805037370315112</v>
      </c>
      <c r="R52" s="43">
        <f t="shared" si="77"/>
        <v>36.265362283396328</v>
      </c>
      <c r="S52" s="43">
        <f t="shared" si="77"/>
        <v>20.939830251094392</v>
      </c>
      <c r="T52" s="43">
        <f t="shared" si="77"/>
        <v>28.910023456312832</v>
      </c>
      <c r="U52" s="43">
        <f t="shared" si="77"/>
        <v>59.797789026600881</v>
      </c>
      <c r="V52" s="43">
        <f t="shared" si="77"/>
        <v>42.174617068695042</v>
      </c>
      <c r="W52" s="32"/>
      <c r="X52" s="40">
        <f>SUM(K52:V52)</f>
        <v>478.57412223832893</v>
      </c>
    </row>
    <row r="53" spans="2:24" outlineLevel="1" x14ac:dyDescent="0.15">
      <c r="D53" s="30" t="s">
        <v>3317</v>
      </c>
      <c r="E53" s="30"/>
      <c r="F53" s="30"/>
      <c r="G53" s="30" t="s">
        <v>3324</v>
      </c>
      <c r="H53" s="30"/>
      <c r="I53" s="30"/>
      <c r="J53" s="30"/>
      <c r="K53" s="43">
        <f t="shared" ref="K53:V53" si="78">K11*K33/1000</f>
        <v>64.581468121394067</v>
      </c>
      <c r="L53" s="43">
        <f t="shared" si="78"/>
        <v>87.562543887248552</v>
      </c>
      <c r="M53" s="43">
        <f t="shared" si="78"/>
        <v>53.404116066591897</v>
      </c>
      <c r="N53" s="43">
        <f t="shared" si="78"/>
        <v>81.866398047339786</v>
      </c>
      <c r="O53" s="43">
        <f t="shared" si="78"/>
        <v>131.02467578252043</v>
      </c>
      <c r="P53" s="43">
        <f t="shared" si="78"/>
        <v>92.584339122300875</v>
      </c>
      <c r="Q53" s="43">
        <f t="shared" si="78"/>
        <v>74.555864928323501</v>
      </c>
      <c r="R53" s="43">
        <f t="shared" si="78"/>
        <v>95.188912931271872</v>
      </c>
      <c r="S53" s="43">
        <f t="shared" si="78"/>
        <v>86.745395754968101</v>
      </c>
      <c r="T53" s="43">
        <f t="shared" si="78"/>
        <v>81.44547995841981</v>
      </c>
      <c r="U53" s="43">
        <f t="shared" si="78"/>
        <v>110.57771539840103</v>
      </c>
      <c r="V53" s="43">
        <f t="shared" si="78"/>
        <v>108.69837565373035</v>
      </c>
      <c r="X53" s="31">
        <f t="shared" ref="X53" si="79">SUM(K53:V53)</f>
        <v>1068.2352856525101</v>
      </c>
    </row>
    <row r="54" spans="2:24" outlineLevel="1" x14ac:dyDescent="0.15"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spans="2:24" outlineLevel="1" x14ac:dyDescent="0.15">
      <c r="B55" s="26" t="s">
        <v>3319</v>
      </c>
      <c r="C55" s="27"/>
      <c r="D55" s="27"/>
      <c r="E55" s="27"/>
      <c r="F55" s="27"/>
      <c r="G55" s="26" t="s">
        <v>3324</v>
      </c>
      <c r="H55" s="27"/>
      <c r="I55" s="25"/>
      <c r="J55" s="25"/>
      <c r="K55" s="28">
        <f>K56+K60</f>
        <v>285.43422680247966</v>
      </c>
      <c r="L55" s="28">
        <f t="shared" ref="L55" si="80">L56+L60</f>
        <v>298.55397282548671</v>
      </c>
      <c r="M55" s="28">
        <f t="shared" ref="M55" si="81">M56+M60</f>
        <v>463.24391925849699</v>
      </c>
      <c r="N55" s="28">
        <f t="shared" ref="N55" si="82">N56+N60</f>
        <v>432.3371763648081</v>
      </c>
      <c r="O55" s="28">
        <f t="shared" ref="O55" si="83">O56+O60</f>
        <v>363.96495654571316</v>
      </c>
      <c r="P55" s="28">
        <f t="shared" ref="P55" si="84">P56+P60</f>
        <v>293.99622760729619</v>
      </c>
      <c r="Q55" s="28">
        <f t="shared" ref="Q55" si="85">Q56+Q60</f>
        <v>322.13243876455675</v>
      </c>
      <c r="R55" s="28">
        <f t="shared" ref="R55" si="86">R56+R60</f>
        <v>401.81994426029098</v>
      </c>
      <c r="S55" s="28">
        <f t="shared" ref="S55" si="87">S56+S60</f>
        <v>361.93543333619652</v>
      </c>
      <c r="T55" s="28">
        <f t="shared" ref="T55" si="88">T56+T60</f>
        <v>430.81936570096445</v>
      </c>
      <c r="U55" s="28">
        <f t="shared" ref="U55" si="89">U56+U60</f>
        <v>374.79420111901879</v>
      </c>
      <c r="V55" s="28">
        <f t="shared" ref="V55" si="90">V56+V60</f>
        <v>257.48089532363485</v>
      </c>
      <c r="W55" s="29"/>
      <c r="X55" s="28">
        <f>SUM(K55:V55)</f>
        <v>4286.512757908944</v>
      </c>
    </row>
    <row r="56" spans="2:24" s="34" customFormat="1" outlineLevel="1" x14ac:dyDescent="0.15">
      <c r="C56" s="35" t="s">
        <v>3315</v>
      </c>
      <c r="D56" s="35"/>
      <c r="E56" s="35"/>
      <c r="F56" s="35"/>
      <c r="G56" s="35" t="s">
        <v>3324</v>
      </c>
      <c r="H56" s="35"/>
      <c r="K56" s="36">
        <f>K57+K58</f>
        <v>120.86363101195126</v>
      </c>
      <c r="L56" s="36">
        <f t="shared" ref="L56" si="91">L57+L58</f>
        <v>136.18739981689379</v>
      </c>
      <c r="M56" s="36">
        <f t="shared" ref="M56" si="92">M57+M58</f>
        <v>166.58651316173354</v>
      </c>
      <c r="N56" s="36">
        <f t="shared" ref="N56" si="93">N57+N58</f>
        <v>144.20026864225977</v>
      </c>
      <c r="O56" s="36">
        <f t="shared" ref="O56" si="94">O57+O58</f>
        <v>135.62009415356323</v>
      </c>
      <c r="P56" s="36">
        <f t="shared" ref="P56" si="95">P57+P58</f>
        <v>113.21061956593762</v>
      </c>
      <c r="Q56" s="36">
        <f t="shared" ref="Q56" si="96">Q57+Q58</f>
        <v>138.31566834348757</v>
      </c>
      <c r="R56" s="36">
        <f t="shared" ref="R56" si="97">R57+R58</f>
        <v>154.06020520576055</v>
      </c>
      <c r="S56" s="36">
        <f t="shared" ref="S56" si="98">S57+S58</f>
        <v>143.25647724035221</v>
      </c>
      <c r="T56" s="36">
        <f t="shared" ref="T56" si="99">T57+T58</f>
        <v>172.32186743177326</v>
      </c>
      <c r="U56" s="36">
        <f t="shared" ref="U56" si="100">U57+U58</f>
        <v>142.48470641257936</v>
      </c>
      <c r="V56" s="36">
        <f t="shared" ref="V56" si="101">V57+V58</f>
        <v>105.32202143781163</v>
      </c>
      <c r="W56" s="37"/>
      <c r="X56" s="38">
        <f>SUM(K56:V56)</f>
        <v>1672.4294724241036</v>
      </c>
    </row>
    <row r="57" spans="2:24" outlineLevel="1" x14ac:dyDescent="0.15">
      <c r="C57" s="30"/>
      <c r="D57" s="30" t="s">
        <v>3316</v>
      </c>
      <c r="E57" s="30"/>
      <c r="F57" s="30"/>
      <c r="G57" s="30" t="s">
        <v>3324</v>
      </c>
      <c r="H57" s="30"/>
      <c r="I57" s="30"/>
      <c r="J57" s="30"/>
      <c r="K57" s="43">
        <f>K15*K37/1000</f>
        <v>27.491714705976175</v>
      </c>
      <c r="L57" s="43">
        <f t="shared" ref="L57:V57" si="102">L15*L37/1000</f>
        <v>40.84005491099758</v>
      </c>
      <c r="M57" s="43">
        <f t="shared" si="102"/>
        <v>56.434499577431147</v>
      </c>
      <c r="N57" s="43">
        <f t="shared" si="102"/>
        <v>27.873328311702121</v>
      </c>
      <c r="O57" s="43">
        <f t="shared" si="102"/>
        <v>47.50852769452635</v>
      </c>
      <c r="P57" s="43">
        <f t="shared" si="102"/>
        <v>30.507384616966291</v>
      </c>
      <c r="Q57" s="43">
        <f t="shared" si="102"/>
        <v>44.413771345509623</v>
      </c>
      <c r="R57" s="43">
        <f t="shared" si="102"/>
        <v>46.967485216555062</v>
      </c>
      <c r="S57" s="43">
        <f t="shared" si="102"/>
        <v>41.075587171995721</v>
      </c>
      <c r="T57" s="43">
        <f t="shared" si="102"/>
        <v>52.758915908634926</v>
      </c>
      <c r="U57" s="43">
        <f t="shared" si="102"/>
        <v>38.685734339992187</v>
      </c>
      <c r="V57" s="43">
        <f t="shared" si="102"/>
        <v>49.198603598014607</v>
      </c>
      <c r="W57" s="32"/>
      <c r="X57" s="40">
        <f>SUM(K57:V57)</f>
        <v>503.75560739830183</v>
      </c>
    </row>
    <row r="58" spans="2:24" outlineLevel="1" x14ac:dyDescent="0.15">
      <c r="D58" s="30" t="s">
        <v>3317</v>
      </c>
      <c r="E58" s="30"/>
      <c r="F58" s="30"/>
      <c r="G58" s="30" t="s">
        <v>3324</v>
      </c>
      <c r="H58" s="30"/>
      <c r="I58" s="30"/>
      <c r="J58" s="30"/>
      <c r="K58" s="43">
        <f t="shared" ref="K58:V58" si="103">K16*K38/1000</f>
        <v>93.371916305975077</v>
      </c>
      <c r="L58" s="43">
        <f t="shared" si="103"/>
        <v>95.347344905896193</v>
      </c>
      <c r="M58" s="43">
        <f t="shared" si="103"/>
        <v>110.15201358430238</v>
      </c>
      <c r="N58" s="43">
        <f t="shared" si="103"/>
        <v>116.32694033055765</v>
      </c>
      <c r="O58" s="43">
        <f t="shared" si="103"/>
        <v>88.111566459036894</v>
      </c>
      <c r="P58" s="43">
        <f t="shared" si="103"/>
        <v>82.703234948971328</v>
      </c>
      <c r="Q58" s="43">
        <f t="shared" si="103"/>
        <v>93.901896997977957</v>
      </c>
      <c r="R58" s="43">
        <f t="shared" si="103"/>
        <v>107.09271998920548</v>
      </c>
      <c r="S58" s="43">
        <f t="shared" si="103"/>
        <v>102.18089006835649</v>
      </c>
      <c r="T58" s="43">
        <f t="shared" si="103"/>
        <v>119.56295152313834</v>
      </c>
      <c r="U58" s="43">
        <f t="shared" si="103"/>
        <v>103.79897207258718</v>
      </c>
      <c r="V58" s="43">
        <f t="shared" si="103"/>
        <v>56.123417839797021</v>
      </c>
      <c r="X58" s="31">
        <f t="shared" ref="X58" si="104">SUM(K58:V58)</f>
        <v>1168.6738650258021</v>
      </c>
    </row>
    <row r="59" spans="2:24" outlineLevel="1" x14ac:dyDescent="0.15"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spans="2:24" s="34" customFormat="1" outlineLevel="1" x14ac:dyDescent="0.15">
      <c r="C60" s="35" t="s">
        <v>3318</v>
      </c>
      <c r="D60" s="35"/>
      <c r="E60" s="35"/>
      <c r="F60" s="35"/>
      <c r="G60" s="35" t="s">
        <v>3324</v>
      </c>
      <c r="H60" s="35"/>
      <c r="K60" s="36">
        <f>K61+K62</f>
        <v>164.57059579052842</v>
      </c>
      <c r="L60" s="36">
        <f t="shared" ref="L60" si="105">L61+L62</f>
        <v>162.36657300859292</v>
      </c>
      <c r="M60" s="36">
        <f t="shared" ref="M60" si="106">M61+M62</f>
        <v>296.65740609676345</v>
      </c>
      <c r="N60" s="36">
        <f t="shared" ref="N60" si="107">N61+N62</f>
        <v>288.1369077225483</v>
      </c>
      <c r="O60" s="36">
        <f t="shared" ref="O60" si="108">O61+O62</f>
        <v>228.34486239214993</v>
      </c>
      <c r="P60" s="36">
        <f t="shared" ref="P60" si="109">P61+P62</f>
        <v>180.78560804135859</v>
      </c>
      <c r="Q60" s="36">
        <f t="shared" ref="Q60" si="110">Q61+Q62</f>
        <v>183.81677042106918</v>
      </c>
      <c r="R60" s="36">
        <f t="shared" ref="R60" si="111">R61+R62</f>
        <v>247.7597390545304</v>
      </c>
      <c r="S60" s="36">
        <f t="shared" ref="S60" si="112">S61+S62</f>
        <v>218.67895609584428</v>
      </c>
      <c r="T60" s="36">
        <f t="shared" ref="T60" si="113">T61+T62</f>
        <v>258.49749826919117</v>
      </c>
      <c r="U60" s="36">
        <f t="shared" ref="U60" si="114">U61+U62</f>
        <v>232.30949470643941</v>
      </c>
      <c r="V60" s="36">
        <f t="shared" ref="V60" si="115">V61+V62</f>
        <v>152.15887388582323</v>
      </c>
      <c r="W60" s="37"/>
      <c r="X60" s="38">
        <f>SUM(K60:V60)</f>
        <v>2614.0832854848391</v>
      </c>
    </row>
    <row r="61" spans="2:24" outlineLevel="1" x14ac:dyDescent="0.15">
      <c r="C61" s="30"/>
      <c r="D61" s="30" t="s">
        <v>3316</v>
      </c>
      <c r="E61" s="30"/>
      <c r="F61" s="30"/>
      <c r="G61" s="30" t="s">
        <v>3324</v>
      </c>
      <c r="H61" s="30"/>
      <c r="I61" s="30"/>
      <c r="J61" s="30"/>
      <c r="K61" s="43">
        <f>K19*K41/1000</f>
        <v>38.12650617386187</v>
      </c>
      <c r="L61" s="43">
        <f t="shared" ref="L61:V61" si="116">L19*L41/1000</f>
        <v>40.396952646907422</v>
      </c>
      <c r="M61" s="43">
        <f t="shared" si="116"/>
        <v>85.373780863524303</v>
      </c>
      <c r="N61" s="43">
        <f t="shared" si="116"/>
        <v>58.265673406297118</v>
      </c>
      <c r="O61" s="43">
        <f t="shared" si="116"/>
        <v>72.891196647785122</v>
      </c>
      <c r="P61" s="43">
        <f t="shared" si="116"/>
        <v>49.764140042080378</v>
      </c>
      <c r="Q61" s="43">
        <f t="shared" si="116"/>
        <v>67.667093866604247</v>
      </c>
      <c r="R61" s="43">
        <f t="shared" si="116"/>
        <v>71.395914922634233</v>
      </c>
      <c r="S61" s="43">
        <f t="shared" si="116"/>
        <v>48.202661723874044</v>
      </c>
      <c r="T61" s="43">
        <f t="shared" si="116"/>
        <v>88.454180173803692</v>
      </c>
      <c r="U61" s="43">
        <f t="shared" si="116"/>
        <v>72.284716188437073</v>
      </c>
      <c r="V61" s="43">
        <f t="shared" si="116"/>
        <v>63.89489424034695</v>
      </c>
      <c r="W61" s="32"/>
      <c r="X61" s="40">
        <f>SUM(K61:V61)</f>
        <v>756.71771089615652</v>
      </c>
    </row>
    <row r="62" spans="2:24" outlineLevel="1" x14ac:dyDescent="0.15">
      <c r="D62" s="30" t="s">
        <v>3317</v>
      </c>
      <c r="E62" s="30"/>
      <c r="F62" s="30"/>
      <c r="G62" s="30" t="s">
        <v>3324</v>
      </c>
      <c r="H62" s="30"/>
      <c r="I62" s="30"/>
      <c r="J62" s="30"/>
      <c r="K62" s="43">
        <f t="shared" ref="K62:V62" si="117">K20*K42/1000</f>
        <v>126.44408961666655</v>
      </c>
      <c r="L62" s="43">
        <f t="shared" si="117"/>
        <v>121.96962036168549</v>
      </c>
      <c r="M62" s="43">
        <f t="shared" si="117"/>
        <v>211.28362523323912</v>
      </c>
      <c r="N62" s="43">
        <f t="shared" si="117"/>
        <v>229.87123431625116</v>
      </c>
      <c r="O62" s="43">
        <f t="shared" si="117"/>
        <v>155.4536657443648</v>
      </c>
      <c r="P62" s="43">
        <f t="shared" si="117"/>
        <v>131.0214679992782</v>
      </c>
      <c r="Q62" s="43">
        <f t="shared" si="117"/>
        <v>116.14967655446492</v>
      </c>
      <c r="R62" s="43">
        <f>R20*R42/1000</f>
        <v>176.36382413189617</v>
      </c>
      <c r="S62" s="43">
        <f t="shared" si="117"/>
        <v>170.47629437197025</v>
      </c>
      <c r="T62" s="43">
        <f t="shared" si="117"/>
        <v>170.04331809538746</v>
      </c>
      <c r="U62" s="43">
        <f t="shared" si="117"/>
        <v>160.02477851800234</v>
      </c>
      <c r="V62" s="43">
        <f t="shared" si="117"/>
        <v>88.263979645476269</v>
      </c>
      <c r="X62" s="31">
        <f t="shared" ref="X62:X64" si="118">SUM(K62:V62)</f>
        <v>1857.3655745886824</v>
      </c>
    </row>
    <row r="63" spans="2:24" outlineLevel="1" x14ac:dyDescent="0.15"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spans="2:24" s="25" customFormat="1" outlineLevel="1" x14ac:dyDescent="0.15">
      <c r="B64" s="41" t="s">
        <v>3322</v>
      </c>
      <c r="C64" s="41"/>
      <c r="D64" s="41"/>
      <c r="E64" s="41"/>
      <c r="F64" s="41"/>
      <c r="G64" s="41" t="s">
        <v>3324</v>
      </c>
      <c r="H64" s="41"/>
      <c r="K64" s="42">
        <f>K46+K55</f>
        <v>525.49741811697049</v>
      </c>
      <c r="L64" s="42">
        <f t="shared" ref="L64:V64" si="119">L46+L55</f>
        <v>536.15103878688296</v>
      </c>
      <c r="M64" s="42">
        <f t="shared" si="119"/>
        <v>659.59693070721687</v>
      </c>
      <c r="N64" s="42">
        <f t="shared" si="119"/>
        <v>678.2988943865787</v>
      </c>
      <c r="O64" s="42">
        <f t="shared" si="119"/>
        <v>694.44897505201277</v>
      </c>
      <c r="P64" s="42">
        <f t="shared" si="119"/>
        <v>566.58106952888579</v>
      </c>
      <c r="Q64" s="42">
        <f t="shared" si="119"/>
        <v>608.54062811869176</v>
      </c>
      <c r="R64" s="42">
        <f t="shared" si="119"/>
        <v>661.38282971404385</v>
      </c>
      <c r="S64" s="42">
        <f t="shared" si="119"/>
        <v>581.06785779484539</v>
      </c>
      <c r="T64" s="42">
        <f t="shared" si="119"/>
        <v>699.56848245740343</v>
      </c>
      <c r="U64" s="42">
        <f t="shared" si="119"/>
        <v>684.2164654445794</v>
      </c>
      <c r="V64" s="42">
        <f t="shared" si="119"/>
        <v>552.61044124727982</v>
      </c>
      <c r="W64" s="32"/>
      <c r="X64" s="42">
        <f t="shared" si="118"/>
        <v>7447.9610313553912</v>
      </c>
    </row>
    <row r="65" outlineLevel="1" x14ac:dyDescent="0.1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0.79998168889431442"/>
  </sheetPr>
  <dimension ref="A2:CX1033"/>
  <sheetViews>
    <sheetView zoomScale="70" zoomScaleNormal="70" workbookViewId="0"/>
  </sheetViews>
  <sheetFormatPr defaultRowHeight="14.25" x14ac:dyDescent="0.2"/>
  <cols>
    <col min="1" max="102" width="6.796875" customWidth="1"/>
  </cols>
  <sheetData>
    <row r="2" spans="1:102" x14ac:dyDescent="0.2">
      <c r="A2" t="s">
        <v>4</v>
      </c>
      <c r="B2" t="s">
        <v>3329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  <c r="P2" t="s">
        <v>19</v>
      </c>
      <c r="Q2" t="s">
        <v>20</v>
      </c>
      <c r="R2" t="s">
        <v>21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  <c r="AD2" t="s">
        <v>33</v>
      </c>
      <c r="AE2" t="s">
        <v>34</v>
      </c>
      <c r="AF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 t="s">
        <v>47</v>
      </c>
      <c r="AS2" t="s">
        <v>48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78</v>
      </c>
      <c r="BX2" t="s">
        <v>79</v>
      </c>
      <c r="BY2" t="s">
        <v>80</v>
      </c>
      <c r="BZ2" t="s">
        <v>81</v>
      </c>
      <c r="CA2" t="s">
        <v>82</v>
      </c>
      <c r="CB2" t="s">
        <v>83</v>
      </c>
      <c r="CC2" t="s">
        <v>84</v>
      </c>
      <c r="CD2" t="s">
        <v>85</v>
      </c>
      <c r="CE2" t="s">
        <v>86</v>
      </c>
      <c r="CF2" t="s">
        <v>87</v>
      </c>
      <c r="CG2" t="s">
        <v>88</v>
      </c>
      <c r="CH2" t="s">
        <v>89</v>
      </c>
      <c r="CI2" t="s">
        <v>90</v>
      </c>
      <c r="CJ2" t="s">
        <v>91</v>
      </c>
      <c r="CK2" t="s">
        <v>92</v>
      </c>
      <c r="CL2" t="s">
        <v>93</v>
      </c>
      <c r="CM2" t="s">
        <v>94</v>
      </c>
      <c r="CN2" t="s">
        <v>95</v>
      </c>
      <c r="CO2" t="s">
        <v>96</v>
      </c>
      <c r="CP2" t="s">
        <v>97</v>
      </c>
      <c r="CQ2" t="s">
        <v>98</v>
      </c>
      <c r="CR2" t="s">
        <v>99</v>
      </c>
      <c r="CS2" t="s">
        <v>100</v>
      </c>
      <c r="CT2" t="s">
        <v>101</v>
      </c>
      <c r="CU2" t="s">
        <v>102</v>
      </c>
      <c r="CV2" t="s">
        <v>103</v>
      </c>
      <c r="CW2" t="s">
        <v>104</v>
      </c>
      <c r="CX2" t="s">
        <v>105</v>
      </c>
    </row>
    <row r="3" spans="1:102" x14ac:dyDescent="0.2">
      <c r="A3" s="8" t="s">
        <v>106</v>
      </c>
      <c r="B3" s="46">
        <v>45117</v>
      </c>
      <c r="C3" s="8" t="s">
        <v>2619</v>
      </c>
      <c r="D3" s="8" t="s">
        <v>2620</v>
      </c>
      <c r="E3" s="8" t="s">
        <v>2621</v>
      </c>
      <c r="F3" t="s">
        <v>110</v>
      </c>
      <c r="G3" s="8" t="s">
        <v>111</v>
      </c>
      <c r="H3" s="8" t="s">
        <v>112</v>
      </c>
      <c r="I3" s="8" t="s">
        <v>112</v>
      </c>
      <c r="J3" s="8" t="s">
        <v>112</v>
      </c>
      <c r="K3" s="8" t="s">
        <v>2622</v>
      </c>
      <c r="L3" s="8" t="s">
        <v>2623</v>
      </c>
      <c r="M3" s="8" t="s">
        <v>112</v>
      </c>
      <c r="N3" s="8" t="s">
        <v>112</v>
      </c>
      <c r="O3">
        <v>1</v>
      </c>
      <c r="P3">
        <v>0</v>
      </c>
      <c r="Q3">
        <v>1</v>
      </c>
      <c r="R3">
        <v>62</v>
      </c>
      <c r="S3" s="8" t="s">
        <v>2624</v>
      </c>
      <c r="T3" s="8" t="s">
        <v>2625</v>
      </c>
      <c r="U3" s="8" t="s">
        <v>2626</v>
      </c>
      <c r="V3" s="8" t="s">
        <v>2627</v>
      </c>
      <c r="W3" s="8" t="s">
        <v>2628</v>
      </c>
      <c r="X3" s="8" t="s">
        <v>2629</v>
      </c>
      <c r="Y3" s="8" t="s">
        <v>2624</v>
      </c>
      <c r="Z3" s="8" t="s">
        <v>2625</v>
      </c>
      <c r="AA3" s="8" t="s">
        <v>2626</v>
      </c>
      <c r="AB3" s="8" t="s">
        <v>2627</v>
      </c>
      <c r="AC3" s="8" t="s">
        <v>2628</v>
      </c>
      <c r="AD3" s="8" t="s">
        <v>2629</v>
      </c>
      <c r="AE3" s="8" t="s">
        <v>2163</v>
      </c>
      <c r="AF3" s="8" t="s">
        <v>2164</v>
      </c>
      <c r="AG3">
        <v>15361773.93</v>
      </c>
      <c r="AH3" s="8" t="s">
        <v>2624</v>
      </c>
      <c r="AI3" s="8" t="s">
        <v>2625</v>
      </c>
      <c r="AJ3" s="8" t="s">
        <v>2626</v>
      </c>
      <c r="AK3" s="8" t="s">
        <v>2627</v>
      </c>
      <c r="AL3" s="8" t="s">
        <v>2628</v>
      </c>
      <c r="AM3" s="8" t="s">
        <v>2629</v>
      </c>
      <c r="AN3" s="8" t="s">
        <v>2163</v>
      </c>
      <c r="AO3" s="8" t="s">
        <v>2164</v>
      </c>
      <c r="AP3" s="8" t="s">
        <v>2164</v>
      </c>
      <c r="AQ3" s="8" t="s">
        <v>124</v>
      </c>
      <c r="AR3" s="8" t="s">
        <v>125</v>
      </c>
      <c r="AS3">
        <v>2</v>
      </c>
      <c r="AT3" s="8" t="s">
        <v>126</v>
      </c>
      <c r="AU3" s="8" t="s">
        <v>155</v>
      </c>
      <c r="AV3" s="8" t="s">
        <v>2630</v>
      </c>
      <c r="AW3">
        <v>1</v>
      </c>
      <c r="AX3" s="8" t="s">
        <v>129</v>
      </c>
      <c r="AY3">
        <v>205407</v>
      </c>
      <c r="AZ3">
        <v>15003071</v>
      </c>
      <c r="BA3">
        <v>223684.75</v>
      </c>
      <c r="BB3">
        <v>73.040700000000001</v>
      </c>
      <c r="BC3" s="8" t="s">
        <v>130</v>
      </c>
      <c r="BD3" s="8" t="s">
        <v>746</v>
      </c>
      <c r="BE3" s="8" t="s">
        <v>2631</v>
      </c>
      <c r="BF3" s="8" t="s">
        <v>133</v>
      </c>
      <c r="BG3" s="8" t="s">
        <v>134</v>
      </c>
      <c r="BH3" s="8" t="s">
        <v>112</v>
      </c>
      <c r="BI3" s="8" t="s">
        <v>112</v>
      </c>
      <c r="BJ3" s="8" t="s">
        <v>112</v>
      </c>
      <c r="BK3" s="8" t="s">
        <v>2191</v>
      </c>
      <c r="BL3" s="8" t="s">
        <v>2192</v>
      </c>
      <c r="BM3" s="8" t="s">
        <v>2193</v>
      </c>
      <c r="BN3" s="8" t="s">
        <v>2194</v>
      </c>
      <c r="BO3">
        <v>1</v>
      </c>
      <c r="BP3" s="8" t="s">
        <v>2632</v>
      </c>
      <c r="BR3" s="8" t="s">
        <v>2622</v>
      </c>
      <c r="BS3">
        <v>62</v>
      </c>
      <c r="BT3">
        <v>0</v>
      </c>
      <c r="BU3">
        <v>383</v>
      </c>
      <c r="BV3" t="s">
        <v>2147</v>
      </c>
      <c r="BW3">
        <v>0</v>
      </c>
      <c r="BY3" s="8" t="s">
        <v>106</v>
      </c>
      <c r="BZ3" s="8" t="s">
        <v>2148</v>
      </c>
      <c r="CA3" s="8" t="s">
        <v>112</v>
      </c>
      <c r="CB3" s="8" t="s">
        <v>112</v>
      </c>
      <c r="CC3" s="8" t="s">
        <v>2163</v>
      </c>
      <c r="CD3">
        <v>15554.5</v>
      </c>
      <c r="CE3" t="s">
        <v>144</v>
      </c>
      <c r="CF3">
        <v>4000000</v>
      </c>
      <c r="CG3">
        <v>13783.972</v>
      </c>
      <c r="CH3">
        <v>0</v>
      </c>
      <c r="CI3" s="8" t="s">
        <v>112</v>
      </c>
      <c r="CJ3" s="8" t="s">
        <v>112</v>
      </c>
      <c r="CK3">
        <v>205407</v>
      </c>
      <c r="CL3">
        <v>15003071</v>
      </c>
      <c r="CM3">
        <v>0</v>
      </c>
      <c r="CN3">
        <v>1</v>
      </c>
      <c r="CO3">
        <v>15361773.93</v>
      </c>
      <c r="CP3">
        <v>223684.75</v>
      </c>
      <c r="CQ3" s="8" t="s">
        <v>145</v>
      </c>
      <c r="CR3">
        <v>16.227900000000002</v>
      </c>
      <c r="CS3">
        <v>1069</v>
      </c>
      <c r="CT3" t="s">
        <v>2633</v>
      </c>
      <c r="CV3" t="s">
        <v>2634</v>
      </c>
      <c r="CW3">
        <v>1</v>
      </c>
    </row>
    <row r="4" spans="1:102" x14ac:dyDescent="0.2">
      <c r="A4" s="8" t="s">
        <v>106</v>
      </c>
      <c r="B4" s="46">
        <v>45200</v>
      </c>
      <c r="C4" s="8" t="s">
        <v>2685</v>
      </c>
      <c r="D4" s="8" t="s">
        <v>2686</v>
      </c>
      <c r="E4" s="8" t="s">
        <v>2687</v>
      </c>
      <c r="F4" t="s">
        <v>110</v>
      </c>
      <c r="G4" s="8" t="s">
        <v>111</v>
      </c>
      <c r="H4" s="8" t="s">
        <v>112</v>
      </c>
      <c r="I4" s="8" t="s">
        <v>112</v>
      </c>
      <c r="J4" s="8" t="s">
        <v>112</v>
      </c>
      <c r="K4" s="8" t="s">
        <v>2688</v>
      </c>
      <c r="L4" s="8" t="s">
        <v>2689</v>
      </c>
      <c r="M4" s="8" t="s">
        <v>112</v>
      </c>
      <c r="N4" s="8" t="s">
        <v>112</v>
      </c>
      <c r="O4">
        <v>1</v>
      </c>
      <c r="P4">
        <v>0</v>
      </c>
      <c r="Q4">
        <v>1</v>
      </c>
      <c r="R4">
        <v>2</v>
      </c>
      <c r="S4" s="8" t="s">
        <v>2690</v>
      </c>
      <c r="T4" s="8" t="s">
        <v>2691</v>
      </c>
      <c r="U4" s="8" t="s">
        <v>2692</v>
      </c>
      <c r="V4" s="8" t="s">
        <v>2693</v>
      </c>
      <c r="W4" s="8" t="s">
        <v>2694</v>
      </c>
      <c r="X4" s="8" t="s">
        <v>2695</v>
      </c>
      <c r="Y4" s="8" t="s">
        <v>2690</v>
      </c>
      <c r="Z4" s="8" t="s">
        <v>2691</v>
      </c>
      <c r="AA4" s="8" t="s">
        <v>2692</v>
      </c>
      <c r="AB4" s="8" t="s">
        <v>2693</v>
      </c>
      <c r="AC4" s="8" t="s">
        <v>2694</v>
      </c>
      <c r="AD4" s="8" t="s">
        <v>2695</v>
      </c>
      <c r="AE4" s="8" t="s">
        <v>2142</v>
      </c>
      <c r="AF4" s="8" t="s">
        <v>2143</v>
      </c>
      <c r="AG4">
        <v>27470.400000000001</v>
      </c>
      <c r="AH4" s="8" t="s">
        <v>2690</v>
      </c>
      <c r="AI4" s="8" t="s">
        <v>2691</v>
      </c>
      <c r="AJ4" s="8" t="s">
        <v>2692</v>
      </c>
      <c r="AK4" s="8" t="s">
        <v>2693</v>
      </c>
      <c r="AL4" s="8" t="s">
        <v>2694</v>
      </c>
      <c r="AM4" s="8" t="s">
        <v>2695</v>
      </c>
      <c r="AN4" s="8" t="s">
        <v>2142</v>
      </c>
      <c r="AO4" s="8" t="s">
        <v>2143</v>
      </c>
      <c r="AP4" s="8" t="s">
        <v>2143</v>
      </c>
      <c r="AQ4" s="8" t="s">
        <v>124</v>
      </c>
      <c r="AR4" s="8" t="s">
        <v>125</v>
      </c>
      <c r="AS4">
        <v>2</v>
      </c>
      <c r="AT4" s="8" t="s">
        <v>126</v>
      </c>
      <c r="AU4" s="8" t="s">
        <v>2318</v>
      </c>
      <c r="AV4" s="8" t="s">
        <v>2696</v>
      </c>
      <c r="AW4">
        <v>1</v>
      </c>
      <c r="AX4" s="8" t="s">
        <v>2188</v>
      </c>
      <c r="AY4">
        <v>400</v>
      </c>
      <c r="AZ4">
        <v>27470</v>
      </c>
      <c r="BA4">
        <v>400</v>
      </c>
      <c r="BB4">
        <v>68.676000000000002</v>
      </c>
      <c r="BC4" s="8" t="s">
        <v>130</v>
      </c>
      <c r="BD4" s="8" t="s">
        <v>112</v>
      </c>
      <c r="BE4" s="8" t="s">
        <v>2697</v>
      </c>
      <c r="BF4" s="8" t="s">
        <v>133</v>
      </c>
      <c r="BG4" s="8" t="s">
        <v>167</v>
      </c>
      <c r="BH4" s="8" t="s">
        <v>2698</v>
      </c>
      <c r="BI4" s="8" t="s">
        <v>112</v>
      </c>
      <c r="BJ4" s="8" t="s">
        <v>112</v>
      </c>
      <c r="BK4" s="8" t="s">
        <v>2699</v>
      </c>
      <c r="BL4" s="8" t="s">
        <v>2700</v>
      </c>
      <c r="BM4" s="8" t="s">
        <v>2701</v>
      </c>
      <c r="BN4" s="8" t="s">
        <v>2702</v>
      </c>
      <c r="BO4">
        <v>1</v>
      </c>
      <c r="BP4" s="8" t="s">
        <v>2703</v>
      </c>
      <c r="BR4" s="8" t="s">
        <v>2704</v>
      </c>
      <c r="BS4">
        <v>2</v>
      </c>
      <c r="BT4">
        <v>0</v>
      </c>
      <c r="BU4">
        <v>1</v>
      </c>
      <c r="BV4" t="s">
        <v>2147</v>
      </c>
      <c r="BW4">
        <v>0</v>
      </c>
      <c r="BY4" s="8" t="s">
        <v>106</v>
      </c>
      <c r="BZ4" s="8" t="s">
        <v>2148</v>
      </c>
      <c r="CA4" s="8" t="s">
        <v>112</v>
      </c>
      <c r="CB4" s="8" t="s">
        <v>112</v>
      </c>
      <c r="CC4" s="8" t="s">
        <v>2142</v>
      </c>
      <c r="CD4">
        <v>232</v>
      </c>
      <c r="CE4" t="s">
        <v>144</v>
      </c>
      <c r="CF4">
        <v>4000000</v>
      </c>
      <c r="CG4">
        <v>175</v>
      </c>
      <c r="CH4">
        <v>0</v>
      </c>
      <c r="CI4" s="8" t="s">
        <v>112</v>
      </c>
      <c r="CJ4" s="8" t="s">
        <v>112</v>
      </c>
      <c r="CK4">
        <v>400</v>
      </c>
      <c r="CL4">
        <v>27470</v>
      </c>
      <c r="CM4">
        <v>2</v>
      </c>
      <c r="CN4">
        <v>1</v>
      </c>
      <c r="CO4">
        <v>27470.400000000001</v>
      </c>
      <c r="CP4">
        <v>400</v>
      </c>
      <c r="CQ4" s="8" t="s">
        <v>2560</v>
      </c>
      <c r="CR4">
        <v>2.2856999999999998</v>
      </c>
      <c r="CV4" t="s">
        <v>2705</v>
      </c>
      <c r="CW4">
        <v>79</v>
      </c>
    </row>
    <row r="5" spans="1:102" x14ac:dyDescent="0.2">
      <c r="A5" s="8" t="s">
        <v>106</v>
      </c>
      <c r="B5" s="46">
        <v>44990</v>
      </c>
      <c r="C5" s="8" t="s">
        <v>2946</v>
      </c>
      <c r="D5" s="8" t="s">
        <v>2947</v>
      </c>
      <c r="E5" s="8" t="s">
        <v>2948</v>
      </c>
      <c r="F5" t="s">
        <v>110</v>
      </c>
      <c r="G5" s="8" t="s">
        <v>111</v>
      </c>
      <c r="H5" s="8" t="s">
        <v>112</v>
      </c>
      <c r="I5" s="8" t="s">
        <v>112</v>
      </c>
      <c r="J5" s="8" t="s">
        <v>112</v>
      </c>
      <c r="K5" s="8" t="s">
        <v>2949</v>
      </c>
      <c r="L5" s="8" t="s">
        <v>2950</v>
      </c>
      <c r="M5" s="8" t="s">
        <v>112</v>
      </c>
      <c r="N5" s="8" t="s">
        <v>112</v>
      </c>
      <c r="O5">
        <v>6</v>
      </c>
      <c r="P5">
        <v>0</v>
      </c>
      <c r="Q5">
        <v>14</v>
      </c>
      <c r="R5">
        <v>215</v>
      </c>
      <c r="S5" s="8" t="s">
        <v>2951</v>
      </c>
      <c r="T5" s="8" t="s">
        <v>2952</v>
      </c>
      <c r="U5" s="8" t="s">
        <v>2953</v>
      </c>
      <c r="V5" s="8" t="s">
        <v>2954</v>
      </c>
      <c r="W5" s="8" t="s">
        <v>2955</v>
      </c>
      <c r="X5" s="8" t="s">
        <v>2956</v>
      </c>
      <c r="Y5" s="8" t="s">
        <v>2951</v>
      </c>
      <c r="Z5" s="8" t="s">
        <v>2952</v>
      </c>
      <c r="AA5" s="8" t="s">
        <v>2953</v>
      </c>
      <c r="AB5" s="8" t="s">
        <v>2954</v>
      </c>
      <c r="AC5" s="8" t="s">
        <v>2955</v>
      </c>
      <c r="AD5" s="8" t="s">
        <v>2956</v>
      </c>
      <c r="AE5" s="8" t="s">
        <v>2569</v>
      </c>
      <c r="AF5" s="8" t="s">
        <v>2570</v>
      </c>
      <c r="AG5">
        <v>4307880.3</v>
      </c>
      <c r="AH5" s="8" t="s">
        <v>2951</v>
      </c>
      <c r="AI5" s="8" t="s">
        <v>2952</v>
      </c>
      <c r="AJ5" s="8" t="s">
        <v>2953</v>
      </c>
      <c r="AK5" s="8" t="s">
        <v>2954</v>
      </c>
      <c r="AL5" s="8" t="s">
        <v>2955</v>
      </c>
      <c r="AM5" s="8" t="s">
        <v>2956</v>
      </c>
      <c r="AN5" s="8" t="s">
        <v>2569</v>
      </c>
      <c r="AO5" s="8" t="s">
        <v>2570</v>
      </c>
      <c r="AP5" s="8" t="s">
        <v>2570</v>
      </c>
      <c r="AQ5" s="8" t="s">
        <v>124</v>
      </c>
      <c r="AR5" s="8" t="s">
        <v>125</v>
      </c>
      <c r="AS5">
        <v>0</v>
      </c>
      <c r="AT5" s="8" t="s">
        <v>106</v>
      </c>
      <c r="AU5" s="8" t="s">
        <v>2957</v>
      </c>
      <c r="AV5" s="8" t="s">
        <v>2958</v>
      </c>
      <c r="AW5">
        <v>1</v>
      </c>
      <c r="AX5" s="8" t="s">
        <v>2188</v>
      </c>
      <c r="AY5">
        <v>62429.7</v>
      </c>
      <c r="AZ5">
        <v>4307880</v>
      </c>
      <c r="BA5">
        <v>62429.7</v>
      </c>
      <c r="BB5">
        <v>69.003699999999895</v>
      </c>
      <c r="BC5" s="8" t="s">
        <v>130</v>
      </c>
      <c r="BD5" s="8" t="s">
        <v>145</v>
      </c>
      <c r="BE5" s="8" t="s">
        <v>2959</v>
      </c>
      <c r="BF5" s="8" t="s">
        <v>133</v>
      </c>
      <c r="BG5" s="8" t="s">
        <v>134</v>
      </c>
      <c r="BH5" s="8" t="s">
        <v>112</v>
      </c>
      <c r="BI5" s="8" t="s">
        <v>2960</v>
      </c>
      <c r="BJ5" s="8" t="s">
        <v>112</v>
      </c>
      <c r="BK5" s="8" t="s">
        <v>2961</v>
      </c>
      <c r="BL5" s="8" t="s">
        <v>2962</v>
      </c>
      <c r="BM5" s="8" t="s">
        <v>2963</v>
      </c>
      <c r="BN5" s="8" t="s">
        <v>2964</v>
      </c>
      <c r="BO5">
        <v>2</v>
      </c>
      <c r="BP5" s="8" t="s">
        <v>2965</v>
      </c>
      <c r="BR5" s="8" t="s">
        <v>2966</v>
      </c>
      <c r="BS5">
        <v>23</v>
      </c>
      <c r="BT5">
        <v>1</v>
      </c>
      <c r="BU5">
        <v>16</v>
      </c>
      <c r="BV5" t="s">
        <v>2147</v>
      </c>
      <c r="BW5">
        <v>0</v>
      </c>
      <c r="BY5" s="8" t="s">
        <v>596</v>
      </c>
      <c r="BZ5" s="8" t="s">
        <v>2148</v>
      </c>
      <c r="CA5" s="8" t="s">
        <v>112</v>
      </c>
      <c r="CB5" s="8" t="s">
        <v>112</v>
      </c>
      <c r="CC5" s="8" t="s">
        <v>2569</v>
      </c>
      <c r="CD5">
        <v>5290.7</v>
      </c>
      <c r="CE5" t="s">
        <v>144</v>
      </c>
      <c r="CF5">
        <v>4000000</v>
      </c>
      <c r="CG5">
        <v>4697.3</v>
      </c>
      <c r="CH5">
        <v>0</v>
      </c>
      <c r="CI5" s="8" t="s">
        <v>112</v>
      </c>
      <c r="CJ5" s="8" t="s">
        <v>112</v>
      </c>
      <c r="CK5">
        <v>32981</v>
      </c>
      <c r="CL5">
        <v>2275811</v>
      </c>
      <c r="CM5">
        <v>0</v>
      </c>
      <c r="CN5">
        <v>1</v>
      </c>
      <c r="CO5">
        <v>2275811.02999999</v>
      </c>
      <c r="CP5">
        <v>32981</v>
      </c>
      <c r="CQ5" s="8" t="s">
        <v>145</v>
      </c>
      <c r="CR5">
        <v>7.0213000000000001</v>
      </c>
      <c r="CV5" t="s">
        <v>2967</v>
      </c>
      <c r="CW5">
        <v>621</v>
      </c>
    </row>
    <row r="6" spans="1:102" x14ac:dyDescent="0.2">
      <c r="A6" s="8" t="s">
        <v>106</v>
      </c>
      <c r="B6" s="46">
        <v>45041</v>
      </c>
      <c r="C6" s="8" t="s">
        <v>3038</v>
      </c>
      <c r="D6" s="8" t="s">
        <v>2947</v>
      </c>
      <c r="E6" s="8" t="s">
        <v>3039</v>
      </c>
      <c r="F6" t="s">
        <v>110</v>
      </c>
      <c r="G6" s="8" t="s">
        <v>111</v>
      </c>
      <c r="H6" s="8" t="s">
        <v>112</v>
      </c>
      <c r="I6" s="8" t="s">
        <v>112</v>
      </c>
      <c r="J6" s="8" t="s">
        <v>112</v>
      </c>
      <c r="K6" s="8" t="s">
        <v>3040</v>
      </c>
      <c r="L6" s="8" t="s">
        <v>3041</v>
      </c>
      <c r="M6" s="8" t="s">
        <v>112</v>
      </c>
      <c r="N6" s="8" t="s">
        <v>112</v>
      </c>
      <c r="O6">
        <v>1</v>
      </c>
      <c r="P6">
        <v>0</v>
      </c>
      <c r="Q6">
        <v>1</v>
      </c>
      <c r="R6">
        <v>200</v>
      </c>
      <c r="S6" s="8" t="s">
        <v>2982</v>
      </c>
      <c r="T6" s="8" t="s">
        <v>2983</v>
      </c>
      <c r="U6" s="8" t="s">
        <v>2984</v>
      </c>
      <c r="V6" s="8" t="s">
        <v>2985</v>
      </c>
      <c r="W6" s="8" t="s">
        <v>2986</v>
      </c>
      <c r="X6" s="8" t="s">
        <v>2987</v>
      </c>
      <c r="Y6" s="8" t="s">
        <v>2982</v>
      </c>
      <c r="Z6" s="8" t="s">
        <v>2983</v>
      </c>
      <c r="AA6" s="8" t="s">
        <v>2984</v>
      </c>
      <c r="AB6" s="8" t="s">
        <v>2985</v>
      </c>
      <c r="AC6" s="8" t="s">
        <v>2986</v>
      </c>
      <c r="AD6" s="8" t="s">
        <v>2987</v>
      </c>
      <c r="AE6" s="8" t="s">
        <v>2142</v>
      </c>
      <c r="AF6" s="8" t="s">
        <v>2143</v>
      </c>
      <c r="AG6">
        <v>3570761.54</v>
      </c>
      <c r="AH6" s="8" t="s">
        <v>2982</v>
      </c>
      <c r="AI6" s="8" t="s">
        <v>2983</v>
      </c>
      <c r="AJ6" s="8" t="s">
        <v>2984</v>
      </c>
      <c r="AK6" s="8" t="s">
        <v>2985</v>
      </c>
      <c r="AL6" s="8" t="s">
        <v>2986</v>
      </c>
      <c r="AM6" s="8" t="s">
        <v>2987</v>
      </c>
      <c r="AN6" s="8" t="s">
        <v>2142</v>
      </c>
      <c r="AO6" s="8" t="s">
        <v>2143</v>
      </c>
      <c r="AP6" s="8" t="s">
        <v>2143</v>
      </c>
      <c r="AQ6" s="8" t="s">
        <v>124</v>
      </c>
      <c r="AR6" s="8" t="s">
        <v>125</v>
      </c>
      <c r="AS6">
        <v>0</v>
      </c>
      <c r="AT6" s="8" t="s">
        <v>106</v>
      </c>
      <c r="AU6" s="8" t="s">
        <v>2251</v>
      </c>
      <c r="AV6" s="8" t="s">
        <v>3042</v>
      </c>
      <c r="AW6">
        <v>1</v>
      </c>
      <c r="AX6" s="8" t="s">
        <v>2253</v>
      </c>
      <c r="AY6">
        <v>364800</v>
      </c>
      <c r="AZ6">
        <v>3465469</v>
      </c>
      <c r="BA6">
        <v>55268.27</v>
      </c>
      <c r="BB6">
        <v>92.438199999999895</v>
      </c>
      <c r="BC6" s="8" t="s">
        <v>130</v>
      </c>
      <c r="BD6" s="8" t="s">
        <v>145</v>
      </c>
      <c r="BE6" s="8" t="s">
        <v>3043</v>
      </c>
      <c r="BF6" s="8" t="s">
        <v>133</v>
      </c>
      <c r="BG6" s="8" t="s">
        <v>134</v>
      </c>
      <c r="BH6" s="8" t="s">
        <v>112</v>
      </c>
      <c r="BI6" s="8" t="s">
        <v>2960</v>
      </c>
      <c r="BJ6" s="8" t="s">
        <v>112</v>
      </c>
      <c r="BK6" s="8" t="s">
        <v>2961</v>
      </c>
      <c r="BL6" s="8" t="s">
        <v>3044</v>
      </c>
      <c r="BM6" s="8" t="s">
        <v>3045</v>
      </c>
      <c r="BN6" s="8" t="s">
        <v>2964</v>
      </c>
      <c r="BO6">
        <v>1</v>
      </c>
      <c r="BP6" s="8" t="s">
        <v>3046</v>
      </c>
      <c r="BR6" s="8" t="s">
        <v>3047</v>
      </c>
      <c r="BS6">
        <v>200</v>
      </c>
      <c r="BT6">
        <v>1</v>
      </c>
      <c r="BU6">
        <v>200</v>
      </c>
      <c r="BV6" t="s">
        <v>2147</v>
      </c>
      <c r="BW6">
        <v>0</v>
      </c>
      <c r="BY6" s="8" t="s">
        <v>106</v>
      </c>
      <c r="BZ6" s="8" t="s">
        <v>2148</v>
      </c>
      <c r="CA6" s="8" t="s">
        <v>112</v>
      </c>
      <c r="CB6" s="8" t="s">
        <v>112</v>
      </c>
      <c r="CC6" s="8" t="s">
        <v>2142</v>
      </c>
      <c r="CD6">
        <v>7785</v>
      </c>
      <c r="CE6" t="s">
        <v>144</v>
      </c>
      <c r="CF6">
        <v>4000000</v>
      </c>
      <c r="CG6">
        <v>7325</v>
      </c>
      <c r="CH6">
        <v>0</v>
      </c>
      <c r="CI6" s="8" t="s">
        <v>112</v>
      </c>
      <c r="CJ6" s="8" t="s">
        <v>112</v>
      </c>
      <c r="CK6">
        <v>364800</v>
      </c>
      <c r="CL6">
        <v>3372146</v>
      </c>
      <c r="CM6">
        <v>0</v>
      </c>
      <c r="CN6">
        <v>1</v>
      </c>
      <c r="CO6">
        <v>3570761.54</v>
      </c>
      <c r="CP6">
        <v>55268.27</v>
      </c>
      <c r="CQ6" s="8" t="s">
        <v>145</v>
      </c>
      <c r="CR6">
        <v>7.5452000000000004</v>
      </c>
      <c r="CS6">
        <v>1027</v>
      </c>
      <c r="CT6" t="s">
        <v>2992</v>
      </c>
      <c r="CV6" t="s">
        <v>2993</v>
      </c>
      <c r="CW6">
        <v>215</v>
      </c>
    </row>
    <row r="7" spans="1:102" x14ac:dyDescent="0.2">
      <c r="A7" s="8" t="s">
        <v>126</v>
      </c>
      <c r="B7" s="46">
        <v>45180</v>
      </c>
      <c r="C7" s="8" t="s">
        <v>3146</v>
      </c>
      <c r="D7" s="8" t="s">
        <v>2947</v>
      </c>
      <c r="E7" s="8" t="s">
        <v>3147</v>
      </c>
      <c r="F7" t="s">
        <v>110</v>
      </c>
      <c r="G7" s="8" t="s">
        <v>2284</v>
      </c>
      <c r="H7" s="8" t="s">
        <v>112</v>
      </c>
      <c r="I7" s="8" t="s">
        <v>112</v>
      </c>
      <c r="J7" s="8" t="s">
        <v>112</v>
      </c>
      <c r="K7" s="8" t="s">
        <v>3148</v>
      </c>
      <c r="L7" s="8" t="s">
        <v>3149</v>
      </c>
      <c r="M7" s="8" t="s">
        <v>112</v>
      </c>
      <c r="N7" s="8" t="s">
        <v>112</v>
      </c>
      <c r="O7">
        <v>3</v>
      </c>
      <c r="P7">
        <v>0</v>
      </c>
      <c r="Q7">
        <v>7</v>
      </c>
      <c r="R7">
        <v>9</v>
      </c>
      <c r="S7" s="8" t="s">
        <v>3150</v>
      </c>
      <c r="T7" s="8" t="s">
        <v>3151</v>
      </c>
      <c r="U7" s="8" t="s">
        <v>3152</v>
      </c>
      <c r="V7" s="8" t="s">
        <v>3153</v>
      </c>
      <c r="W7" s="8" t="s">
        <v>3154</v>
      </c>
      <c r="X7" s="8" t="s">
        <v>3155</v>
      </c>
      <c r="Y7" s="8" t="s">
        <v>3150</v>
      </c>
      <c r="Z7" s="8" t="s">
        <v>3151</v>
      </c>
      <c r="AA7" s="8" t="s">
        <v>3152</v>
      </c>
      <c r="AB7" s="8" t="s">
        <v>3153</v>
      </c>
      <c r="AC7" s="8" t="s">
        <v>3154</v>
      </c>
      <c r="AD7" s="8" t="s">
        <v>3155</v>
      </c>
      <c r="AE7" s="8" t="s">
        <v>2142</v>
      </c>
      <c r="AF7" s="8" t="s">
        <v>2143</v>
      </c>
      <c r="AG7">
        <v>2159726.1</v>
      </c>
      <c r="AH7" s="8" t="s">
        <v>3150</v>
      </c>
      <c r="AI7" s="8" t="s">
        <v>3151</v>
      </c>
      <c r="AJ7" s="8" t="s">
        <v>3152</v>
      </c>
      <c r="AK7" s="8" t="s">
        <v>3153</v>
      </c>
      <c r="AL7" s="8" t="s">
        <v>3154</v>
      </c>
      <c r="AM7" s="8" t="s">
        <v>3155</v>
      </c>
      <c r="AN7" s="8" t="s">
        <v>2142</v>
      </c>
      <c r="AO7" s="8" t="s">
        <v>2143</v>
      </c>
      <c r="AP7" s="8" t="s">
        <v>2143</v>
      </c>
      <c r="AQ7" s="8" t="s">
        <v>124</v>
      </c>
      <c r="AR7" s="8" t="s">
        <v>125</v>
      </c>
      <c r="AS7">
        <v>1</v>
      </c>
      <c r="AT7" s="8" t="s">
        <v>106</v>
      </c>
      <c r="AU7" s="8" t="s">
        <v>2291</v>
      </c>
      <c r="AV7" s="8" t="s">
        <v>3156</v>
      </c>
      <c r="AW7">
        <v>1</v>
      </c>
      <c r="AX7" s="8" t="s">
        <v>2253</v>
      </c>
      <c r="AY7">
        <v>233640</v>
      </c>
      <c r="AZ7">
        <v>2219496</v>
      </c>
      <c r="BA7">
        <v>33428.26</v>
      </c>
      <c r="BB7">
        <v>92.438199999999895</v>
      </c>
      <c r="BC7" s="8" t="s">
        <v>130</v>
      </c>
      <c r="BD7" s="8" t="s">
        <v>145</v>
      </c>
      <c r="BE7" s="8" t="s">
        <v>112</v>
      </c>
      <c r="BF7" s="8" t="s">
        <v>133</v>
      </c>
      <c r="BG7" s="8" t="s">
        <v>134</v>
      </c>
      <c r="BH7" s="8" t="s">
        <v>112</v>
      </c>
      <c r="BI7" s="8" t="s">
        <v>3157</v>
      </c>
      <c r="BJ7" s="8" t="s">
        <v>112</v>
      </c>
      <c r="BK7" s="8" t="s">
        <v>3158</v>
      </c>
      <c r="BL7" s="8" t="s">
        <v>3159</v>
      </c>
      <c r="BM7" s="8" t="s">
        <v>3160</v>
      </c>
      <c r="BN7" s="8" t="s">
        <v>3161</v>
      </c>
      <c r="BO7">
        <v>3</v>
      </c>
      <c r="BP7" s="8" t="s">
        <v>3162</v>
      </c>
      <c r="BR7" s="8" t="s">
        <v>3163</v>
      </c>
      <c r="BS7">
        <v>2</v>
      </c>
      <c r="BT7">
        <v>1</v>
      </c>
      <c r="BU7">
        <v>1</v>
      </c>
      <c r="BV7" t="s">
        <v>2147</v>
      </c>
      <c r="BW7">
        <v>0</v>
      </c>
      <c r="BY7" s="8" t="s">
        <v>3164</v>
      </c>
      <c r="BZ7" s="8" t="s">
        <v>2148</v>
      </c>
      <c r="CA7" s="8" t="s">
        <v>112</v>
      </c>
      <c r="CB7" s="8" t="s">
        <v>112</v>
      </c>
      <c r="CC7" s="8" t="s">
        <v>2142</v>
      </c>
      <c r="CD7">
        <v>338</v>
      </c>
      <c r="CE7" t="s">
        <v>2302</v>
      </c>
      <c r="CF7">
        <v>7800171</v>
      </c>
      <c r="CG7">
        <v>303</v>
      </c>
      <c r="CH7">
        <v>0</v>
      </c>
      <c r="CI7" s="8" t="s">
        <v>112</v>
      </c>
      <c r="CJ7" s="8" t="s">
        <v>112</v>
      </c>
      <c r="CK7">
        <v>40085</v>
      </c>
      <c r="CL7">
        <v>370539</v>
      </c>
      <c r="CM7">
        <v>0</v>
      </c>
      <c r="CN7">
        <v>1</v>
      </c>
      <c r="CO7">
        <v>370538.52</v>
      </c>
      <c r="CP7">
        <v>5735.2</v>
      </c>
      <c r="CQ7" s="8" t="s">
        <v>145</v>
      </c>
      <c r="CR7">
        <v>18.928100000000001</v>
      </c>
      <c r="CS7">
        <v>860</v>
      </c>
      <c r="CT7" t="s">
        <v>3165</v>
      </c>
      <c r="CV7" t="s">
        <v>3166</v>
      </c>
      <c r="CW7">
        <v>483</v>
      </c>
    </row>
    <row r="8" spans="1:102" x14ac:dyDescent="0.2">
      <c r="A8" s="8" t="s">
        <v>106</v>
      </c>
      <c r="B8" s="46">
        <v>44943</v>
      </c>
      <c r="C8" s="8" t="s">
        <v>3225</v>
      </c>
      <c r="D8" s="8" t="s">
        <v>2947</v>
      </c>
      <c r="E8" s="8" t="s">
        <v>3226</v>
      </c>
      <c r="F8" t="s">
        <v>110</v>
      </c>
      <c r="G8" s="8" t="s">
        <v>111</v>
      </c>
      <c r="H8" s="8" t="s">
        <v>112</v>
      </c>
      <c r="I8" s="8" t="s">
        <v>112</v>
      </c>
      <c r="J8" s="8" t="s">
        <v>112</v>
      </c>
      <c r="K8" s="8" t="s">
        <v>3227</v>
      </c>
      <c r="L8" s="8" t="s">
        <v>3228</v>
      </c>
      <c r="M8" s="8" t="s">
        <v>112</v>
      </c>
      <c r="N8" s="8" t="s">
        <v>112</v>
      </c>
      <c r="O8">
        <v>1</v>
      </c>
      <c r="P8">
        <v>0</v>
      </c>
      <c r="Q8">
        <v>1</v>
      </c>
      <c r="R8">
        <v>13</v>
      </c>
      <c r="S8" s="8" t="s">
        <v>3229</v>
      </c>
      <c r="T8" s="8" t="s">
        <v>3230</v>
      </c>
      <c r="U8" s="8" t="s">
        <v>3231</v>
      </c>
      <c r="V8" s="8" t="s">
        <v>3232</v>
      </c>
      <c r="W8" s="8" t="s">
        <v>3233</v>
      </c>
      <c r="X8" s="8" t="s">
        <v>3234</v>
      </c>
      <c r="Y8" s="8" t="s">
        <v>3229</v>
      </c>
      <c r="Z8" s="8" t="s">
        <v>3230</v>
      </c>
      <c r="AA8" s="8" t="s">
        <v>3231</v>
      </c>
      <c r="AB8" s="8" t="s">
        <v>3232</v>
      </c>
      <c r="AC8" s="8" t="s">
        <v>3233</v>
      </c>
      <c r="AD8" s="8" t="s">
        <v>3234</v>
      </c>
      <c r="AE8" s="8" t="s">
        <v>2142</v>
      </c>
      <c r="AF8" s="8" t="s">
        <v>2143</v>
      </c>
      <c r="AG8">
        <v>8357933.7699999902</v>
      </c>
      <c r="AH8" s="8" t="s">
        <v>3229</v>
      </c>
      <c r="AI8" s="8" t="s">
        <v>3230</v>
      </c>
      <c r="AJ8" s="8" t="s">
        <v>3231</v>
      </c>
      <c r="AK8" s="8" t="s">
        <v>3232</v>
      </c>
      <c r="AL8" s="8" t="s">
        <v>3233</v>
      </c>
      <c r="AM8" s="8" t="s">
        <v>3234</v>
      </c>
      <c r="AN8" s="8" t="s">
        <v>2142</v>
      </c>
      <c r="AO8" s="8" t="s">
        <v>2143</v>
      </c>
      <c r="AP8" s="8" t="s">
        <v>2143</v>
      </c>
      <c r="AQ8" s="8" t="s">
        <v>124</v>
      </c>
      <c r="AR8" s="8" t="s">
        <v>125</v>
      </c>
      <c r="AS8">
        <v>0</v>
      </c>
      <c r="AT8" s="8" t="s">
        <v>106</v>
      </c>
      <c r="AU8" s="8" t="s">
        <v>155</v>
      </c>
      <c r="AV8" s="8" t="s">
        <v>3235</v>
      </c>
      <c r="AW8">
        <v>1</v>
      </c>
      <c r="AX8" s="8" t="s">
        <v>129</v>
      </c>
      <c r="AY8">
        <v>120850</v>
      </c>
      <c r="AZ8">
        <v>8151067</v>
      </c>
      <c r="BA8">
        <v>131913.92000000001</v>
      </c>
      <c r="BB8">
        <v>67.447800000000001</v>
      </c>
      <c r="BC8" s="8" t="s">
        <v>130</v>
      </c>
      <c r="BD8" s="8" t="s">
        <v>145</v>
      </c>
      <c r="BE8" s="8" t="s">
        <v>3236</v>
      </c>
      <c r="BF8" s="8" t="s">
        <v>133</v>
      </c>
      <c r="BG8" s="8" t="s">
        <v>134</v>
      </c>
      <c r="BH8" s="8" t="s">
        <v>112</v>
      </c>
      <c r="BI8" s="8" t="s">
        <v>2960</v>
      </c>
      <c r="BJ8" s="8" t="s">
        <v>112</v>
      </c>
      <c r="BK8" s="8" t="s">
        <v>2961</v>
      </c>
      <c r="BL8" s="8" t="s">
        <v>3237</v>
      </c>
      <c r="BM8" s="8" t="s">
        <v>3238</v>
      </c>
      <c r="BN8" s="8" t="s">
        <v>2964</v>
      </c>
      <c r="BO8">
        <v>1</v>
      </c>
      <c r="BP8" s="8" t="s">
        <v>3239</v>
      </c>
      <c r="BR8" s="8" t="s">
        <v>3227</v>
      </c>
      <c r="BS8">
        <v>13</v>
      </c>
      <c r="BT8">
        <v>1</v>
      </c>
      <c r="BU8">
        <v>1</v>
      </c>
      <c r="BV8" t="s">
        <v>2147</v>
      </c>
      <c r="BW8">
        <v>0</v>
      </c>
      <c r="BY8" s="8" t="s">
        <v>106</v>
      </c>
      <c r="BZ8" s="8" t="s">
        <v>2148</v>
      </c>
      <c r="CA8" s="8" t="s">
        <v>2232</v>
      </c>
      <c r="CB8" s="8" t="s">
        <v>112</v>
      </c>
      <c r="CC8" s="8" t="s">
        <v>2142</v>
      </c>
      <c r="CD8">
        <v>3760</v>
      </c>
      <c r="CE8" t="s">
        <v>144</v>
      </c>
      <c r="CF8">
        <v>4000000</v>
      </c>
      <c r="CG8">
        <v>3500</v>
      </c>
      <c r="CH8">
        <v>0</v>
      </c>
      <c r="CI8" s="8" t="s">
        <v>112</v>
      </c>
      <c r="CJ8" s="8" t="s">
        <v>112</v>
      </c>
      <c r="CK8">
        <v>120850</v>
      </c>
      <c r="CL8">
        <v>8151067</v>
      </c>
      <c r="CM8">
        <v>0</v>
      </c>
      <c r="CN8">
        <v>1</v>
      </c>
      <c r="CO8">
        <v>8357933.7699999902</v>
      </c>
      <c r="CP8">
        <v>131913.92000000001</v>
      </c>
      <c r="CQ8" s="8" t="s">
        <v>145</v>
      </c>
      <c r="CR8">
        <v>37.689700000000002</v>
      </c>
      <c r="CS8">
        <v>1067</v>
      </c>
      <c r="CT8" t="s">
        <v>3240</v>
      </c>
      <c r="CV8" t="s">
        <v>3241</v>
      </c>
      <c r="CW8">
        <v>0</v>
      </c>
    </row>
    <row r="9" spans="1:102" x14ac:dyDescent="0.2">
      <c r="A9" s="8" t="s">
        <v>106</v>
      </c>
      <c r="B9" s="46">
        <v>44772</v>
      </c>
      <c r="C9" s="8" t="s">
        <v>2435</v>
      </c>
      <c r="D9" s="8" t="s">
        <v>2436</v>
      </c>
      <c r="E9" s="8" t="s">
        <v>2437</v>
      </c>
      <c r="F9" t="s">
        <v>110</v>
      </c>
      <c r="G9" s="8" t="s">
        <v>111</v>
      </c>
      <c r="H9" s="8" t="s">
        <v>112</v>
      </c>
      <c r="I9" s="8" t="s">
        <v>112</v>
      </c>
      <c r="J9" s="8" t="s">
        <v>112</v>
      </c>
      <c r="K9" s="8" t="s">
        <v>2438</v>
      </c>
      <c r="L9" s="8" t="s">
        <v>2439</v>
      </c>
      <c r="M9" s="8" t="s">
        <v>112</v>
      </c>
      <c r="N9" s="8" t="s">
        <v>112</v>
      </c>
      <c r="O9">
        <v>1</v>
      </c>
      <c r="P9">
        <v>0</v>
      </c>
      <c r="Q9">
        <v>1</v>
      </c>
      <c r="R9">
        <v>9</v>
      </c>
      <c r="S9" s="8" t="s">
        <v>2440</v>
      </c>
      <c r="T9" s="8" t="s">
        <v>2441</v>
      </c>
      <c r="U9" s="8" t="s">
        <v>2442</v>
      </c>
      <c r="V9" s="8" t="s">
        <v>2443</v>
      </c>
      <c r="W9" s="8" t="s">
        <v>2444</v>
      </c>
      <c r="X9" s="8" t="s">
        <v>2445</v>
      </c>
      <c r="Y9" s="8" t="s">
        <v>2440</v>
      </c>
      <c r="Z9" s="8" t="s">
        <v>2441</v>
      </c>
      <c r="AA9" s="8" t="s">
        <v>2442</v>
      </c>
      <c r="AB9" s="8" t="s">
        <v>2443</v>
      </c>
      <c r="AC9" s="8" t="s">
        <v>2444</v>
      </c>
      <c r="AD9" s="8" t="s">
        <v>2445</v>
      </c>
      <c r="AE9" s="8" t="s">
        <v>2163</v>
      </c>
      <c r="AF9" s="8" t="s">
        <v>2164</v>
      </c>
      <c r="AG9">
        <v>2536832.64</v>
      </c>
      <c r="AH9" s="8" t="s">
        <v>2440</v>
      </c>
      <c r="AI9" s="8" t="s">
        <v>2441</v>
      </c>
      <c r="AJ9" s="8" t="s">
        <v>2442</v>
      </c>
      <c r="AK9" s="8" t="s">
        <v>2443</v>
      </c>
      <c r="AL9" s="8" t="s">
        <v>2444</v>
      </c>
      <c r="AM9" s="8" t="s">
        <v>2445</v>
      </c>
      <c r="AN9" s="8" t="s">
        <v>2163</v>
      </c>
      <c r="AO9" s="8" t="s">
        <v>2164</v>
      </c>
      <c r="AP9" s="8" t="s">
        <v>2164</v>
      </c>
      <c r="AQ9" s="8" t="s">
        <v>124</v>
      </c>
      <c r="AR9" s="8" t="s">
        <v>125</v>
      </c>
      <c r="AS9">
        <v>2</v>
      </c>
      <c r="AT9" s="8" t="s">
        <v>126</v>
      </c>
      <c r="AU9" s="8" t="s">
        <v>155</v>
      </c>
      <c r="AV9" s="8" t="s">
        <v>2446</v>
      </c>
      <c r="AW9">
        <v>1</v>
      </c>
      <c r="AX9" s="8" t="s">
        <v>129</v>
      </c>
      <c r="AY9">
        <v>29757</v>
      </c>
      <c r="AZ9">
        <v>2207461</v>
      </c>
      <c r="BA9">
        <v>36274.36</v>
      </c>
      <c r="BB9">
        <v>74.182900000000004</v>
      </c>
      <c r="BC9" s="8" t="s">
        <v>130</v>
      </c>
      <c r="BD9" s="8" t="s">
        <v>112</v>
      </c>
      <c r="BE9" s="8" t="s">
        <v>2447</v>
      </c>
      <c r="BF9" s="8" t="s">
        <v>133</v>
      </c>
      <c r="BG9" s="8" t="s">
        <v>167</v>
      </c>
      <c r="BH9" s="8" t="s">
        <v>2448</v>
      </c>
      <c r="BI9" s="8" t="s">
        <v>112</v>
      </c>
      <c r="BJ9" s="8" t="s">
        <v>112</v>
      </c>
      <c r="BK9" s="8" t="s">
        <v>2449</v>
      </c>
      <c r="BL9" s="8" t="s">
        <v>2450</v>
      </c>
      <c r="BM9" s="8" t="s">
        <v>2451</v>
      </c>
      <c r="BN9" s="8" t="s">
        <v>2452</v>
      </c>
      <c r="BO9">
        <v>1</v>
      </c>
      <c r="BP9" s="8" t="s">
        <v>2453</v>
      </c>
      <c r="BR9" s="8" t="s">
        <v>2454</v>
      </c>
      <c r="BS9">
        <v>9</v>
      </c>
      <c r="BT9">
        <v>0</v>
      </c>
      <c r="BU9">
        <v>7</v>
      </c>
      <c r="BV9" t="s">
        <v>2147</v>
      </c>
      <c r="BW9">
        <v>0</v>
      </c>
      <c r="BY9" s="8" t="s">
        <v>106</v>
      </c>
      <c r="BZ9" s="8" t="s">
        <v>2148</v>
      </c>
      <c r="CA9" s="8" t="s">
        <v>112</v>
      </c>
      <c r="CB9" s="8" t="s">
        <v>112</v>
      </c>
      <c r="CC9" s="8" t="s">
        <v>2163</v>
      </c>
      <c r="CD9">
        <v>11797</v>
      </c>
      <c r="CE9" t="s">
        <v>144</v>
      </c>
      <c r="CF9">
        <v>4000000</v>
      </c>
      <c r="CG9">
        <v>11767</v>
      </c>
      <c r="CH9">
        <v>0</v>
      </c>
      <c r="CI9" s="8" t="s">
        <v>112</v>
      </c>
      <c r="CJ9" s="8" t="s">
        <v>112</v>
      </c>
      <c r="CK9">
        <v>29757</v>
      </c>
      <c r="CL9">
        <v>2207461</v>
      </c>
      <c r="CM9">
        <v>0</v>
      </c>
      <c r="CN9">
        <v>1</v>
      </c>
      <c r="CO9">
        <v>2536832.64</v>
      </c>
      <c r="CP9">
        <v>36274.36</v>
      </c>
      <c r="CQ9" s="8" t="s">
        <v>145</v>
      </c>
      <c r="CR9">
        <v>3.0827</v>
      </c>
      <c r="CV9" t="s">
        <v>2455</v>
      </c>
      <c r="CW9">
        <v>0</v>
      </c>
    </row>
    <row r="10" spans="1:102" x14ac:dyDescent="0.2">
      <c r="A10" s="8" t="s">
        <v>106</v>
      </c>
      <c r="B10" s="46">
        <v>45243</v>
      </c>
      <c r="C10" s="8" t="s">
        <v>2867</v>
      </c>
      <c r="D10" s="8" t="s">
        <v>2868</v>
      </c>
      <c r="E10" s="8" t="s">
        <v>2869</v>
      </c>
      <c r="F10" t="s">
        <v>110</v>
      </c>
      <c r="G10" s="8" t="s">
        <v>111</v>
      </c>
      <c r="H10" s="8" t="s">
        <v>112</v>
      </c>
      <c r="I10" s="8" t="s">
        <v>112</v>
      </c>
      <c r="J10" s="8" t="s">
        <v>112</v>
      </c>
      <c r="K10" s="8" t="s">
        <v>2870</v>
      </c>
      <c r="L10" s="8" t="s">
        <v>2871</v>
      </c>
      <c r="M10" s="8" t="s">
        <v>112</v>
      </c>
      <c r="N10" s="8" t="s">
        <v>112</v>
      </c>
      <c r="O10">
        <v>1</v>
      </c>
      <c r="P10">
        <v>0</v>
      </c>
      <c r="Q10">
        <v>1</v>
      </c>
      <c r="R10">
        <v>595</v>
      </c>
      <c r="S10" s="8" t="s">
        <v>2872</v>
      </c>
      <c r="T10" s="8" t="s">
        <v>2873</v>
      </c>
      <c r="U10" s="8" t="s">
        <v>2874</v>
      </c>
      <c r="V10" s="8" t="s">
        <v>2875</v>
      </c>
      <c r="W10" s="8" t="s">
        <v>2269</v>
      </c>
      <c r="X10" s="8" t="s">
        <v>2270</v>
      </c>
      <c r="Y10" s="8" t="s">
        <v>2872</v>
      </c>
      <c r="Z10" s="8" t="s">
        <v>2873</v>
      </c>
      <c r="AA10" s="8" t="s">
        <v>2874</v>
      </c>
      <c r="AB10" s="8" t="s">
        <v>2875</v>
      </c>
      <c r="AC10" s="8" t="s">
        <v>2269</v>
      </c>
      <c r="AD10" s="8" t="s">
        <v>2270</v>
      </c>
      <c r="AE10" s="8" t="s">
        <v>2185</v>
      </c>
      <c r="AF10" s="8" t="s">
        <v>2186</v>
      </c>
      <c r="AG10">
        <v>12796878.449999901</v>
      </c>
      <c r="AH10" s="8" t="s">
        <v>2872</v>
      </c>
      <c r="AI10" s="8" t="s">
        <v>2873</v>
      </c>
      <c r="AJ10" s="8" t="s">
        <v>2874</v>
      </c>
      <c r="AK10" s="8" t="s">
        <v>2875</v>
      </c>
      <c r="AL10" s="8" t="s">
        <v>2269</v>
      </c>
      <c r="AM10" s="8" t="s">
        <v>2270</v>
      </c>
      <c r="AN10" s="8" t="s">
        <v>2185</v>
      </c>
      <c r="AO10" s="8" t="s">
        <v>2186</v>
      </c>
      <c r="AP10" s="8" t="s">
        <v>2186</v>
      </c>
      <c r="AQ10" s="8" t="s">
        <v>124</v>
      </c>
      <c r="AR10" s="8" t="s">
        <v>125</v>
      </c>
      <c r="AS10">
        <v>2</v>
      </c>
      <c r="AT10" s="8" t="s">
        <v>126</v>
      </c>
      <c r="AU10" s="8" t="s">
        <v>127</v>
      </c>
      <c r="AV10" s="8" t="s">
        <v>2271</v>
      </c>
      <c r="AW10">
        <v>1</v>
      </c>
      <c r="AX10" s="8" t="s">
        <v>129</v>
      </c>
      <c r="AY10">
        <v>165890.25</v>
      </c>
      <c r="AZ10">
        <v>12456931</v>
      </c>
      <c r="BA10">
        <v>181450.12</v>
      </c>
      <c r="BB10">
        <v>75.091399999999894</v>
      </c>
      <c r="BC10" s="8" t="s">
        <v>130</v>
      </c>
      <c r="BD10" s="8" t="s">
        <v>112</v>
      </c>
      <c r="BE10" s="8" t="s">
        <v>2876</v>
      </c>
      <c r="BF10" s="8" t="s">
        <v>133</v>
      </c>
      <c r="BG10" s="8" t="s">
        <v>167</v>
      </c>
      <c r="BH10" s="8" t="s">
        <v>2877</v>
      </c>
      <c r="BI10" s="8" t="s">
        <v>112</v>
      </c>
      <c r="BJ10" s="8" t="s">
        <v>112</v>
      </c>
      <c r="BK10" s="8" t="s">
        <v>2878</v>
      </c>
      <c r="BL10" s="8" t="s">
        <v>2879</v>
      </c>
      <c r="BM10" s="8" t="s">
        <v>2880</v>
      </c>
      <c r="BN10" s="8" t="s">
        <v>2881</v>
      </c>
      <c r="BO10">
        <v>1</v>
      </c>
      <c r="BP10" s="8" t="s">
        <v>2882</v>
      </c>
      <c r="BR10" s="8" t="s">
        <v>2279</v>
      </c>
      <c r="BS10">
        <v>595</v>
      </c>
      <c r="BT10">
        <v>0</v>
      </c>
      <c r="BU10">
        <v>595</v>
      </c>
      <c r="BV10" t="s">
        <v>2147</v>
      </c>
      <c r="BW10">
        <v>0</v>
      </c>
      <c r="BY10" s="8" t="s">
        <v>106</v>
      </c>
      <c r="BZ10" s="8" t="s">
        <v>2148</v>
      </c>
      <c r="CA10" s="8" t="s">
        <v>112</v>
      </c>
      <c r="CB10" s="8" t="s">
        <v>112</v>
      </c>
      <c r="CC10" s="8" t="s">
        <v>2185</v>
      </c>
      <c r="CD10">
        <v>19367</v>
      </c>
      <c r="CE10" t="s">
        <v>144</v>
      </c>
      <c r="CF10">
        <v>4000000</v>
      </c>
      <c r="CG10">
        <v>17498</v>
      </c>
      <c r="CH10">
        <v>0</v>
      </c>
      <c r="CI10" s="8" t="s">
        <v>112</v>
      </c>
      <c r="CJ10" s="8" t="s">
        <v>112</v>
      </c>
      <c r="CK10">
        <v>165890.25</v>
      </c>
      <c r="CL10">
        <v>12456931</v>
      </c>
      <c r="CM10">
        <v>0</v>
      </c>
      <c r="CN10">
        <v>1</v>
      </c>
      <c r="CO10">
        <v>12796878.449999901</v>
      </c>
      <c r="CP10">
        <v>181450.12</v>
      </c>
      <c r="CQ10" s="8" t="s">
        <v>145</v>
      </c>
      <c r="CR10">
        <v>10.3698</v>
      </c>
      <c r="CS10">
        <v>696</v>
      </c>
      <c r="CT10" t="s">
        <v>2883</v>
      </c>
      <c r="CV10" t="s">
        <v>2884</v>
      </c>
      <c r="CW10">
        <v>113</v>
      </c>
    </row>
    <row r="11" spans="1:102" x14ac:dyDescent="0.2">
      <c r="A11" s="8" t="s">
        <v>106</v>
      </c>
      <c r="B11" s="46">
        <v>45136</v>
      </c>
      <c r="C11" s="8" t="s">
        <v>2211</v>
      </c>
      <c r="D11" s="8" t="s">
        <v>2212</v>
      </c>
      <c r="E11" s="8" t="s">
        <v>2213</v>
      </c>
      <c r="F11" t="s">
        <v>110</v>
      </c>
      <c r="G11" s="8" t="s">
        <v>111</v>
      </c>
      <c r="H11" s="8" t="s">
        <v>112</v>
      </c>
      <c r="I11" s="8" t="s">
        <v>112</v>
      </c>
      <c r="J11" s="8" t="s">
        <v>112</v>
      </c>
      <c r="K11" s="8" t="s">
        <v>2214</v>
      </c>
      <c r="L11" s="8" t="s">
        <v>2215</v>
      </c>
      <c r="M11" s="8" t="s">
        <v>112</v>
      </c>
      <c r="N11" s="8" t="s">
        <v>112</v>
      </c>
      <c r="O11">
        <v>5</v>
      </c>
      <c r="P11">
        <v>0</v>
      </c>
      <c r="Q11">
        <v>11</v>
      </c>
      <c r="R11">
        <v>383</v>
      </c>
      <c r="S11" s="8" t="s">
        <v>2216</v>
      </c>
      <c r="T11" s="8" t="s">
        <v>2217</v>
      </c>
      <c r="U11" s="8" t="s">
        <v>2218</v>
      </c>
      <c r="V11" s="8" t="s">
        <v>2219</v>
      </c>
      <c r="W11" s="8" t="s">
        <v>2220</v>
      </c>
      <c r="X11" s="8" t="s">
        <v>2221</v>
      </c>
      <c r="Y11" s="8" t="s">
        <v>2216</v>
      </c>
      <c r="Z11" s="8" t="s">
        <v>2217</v>
      </c>
      <c r="AA11" s="8" t="s">
        <v>2218</v>
      </c>
      <c r="AB11" s="8" t="s">
        <v>2219</v>
      </c>
      <c r="AC11" s="8" t="s">
        <v>2220</v>
      </c>
      <c r="AD11" s="8" t="s">
        <v>2221</v>
      </c>
      <c r="AE11" s="8" t="s">
        <v>2222</v>
      </c>
      <c r="AF11" s="8" t="s">
        <v>2223</v>
      </c>
      <c r="AG11">
        <v>22359772.510000002</v>
      </c>
      <c r="AH11" s="8" t="s">
        <v>2216</v>
      </c>
      <c r="AI11" s="8" t="s">
        <v>2217</v>
      </c>
      <c r="AJ11" s="8" t="s">
        <v>2218</v>
      </c>
      <c r="AK11" s="8" t="s">
        <v>2219</v>
      </c>
      <c r="AL11" s="8" t="s">
        <v>2220</v>
      </c>
      <c r="AM11" s="8" t="s">
        <v>2221</v>
      </c>
      <c r="AN11" s="8" t="s">
        <v>2222</v>
      </c>
      <c r="AO11" s="8" t="s">
        <v>2223</v>
      </c>
      <c r="AP11" s="8" t="s">
        <v>2223</v>
      </c>
      <c r="AQ11" s="8" t="s">
        <v>124</v>
      </c>
      <c r="AR11" s="8" t="s">
        <v>125</v>
      </c>
      <c r="AS11">
        <v>2</v>
      </c>
      <c r="AT11" s="8" t="s">
        <v>126</v>
      </c>
      <c r="AU11" s="8" t="s">
        <v>127</v>
      </c>
      <c r="AV11" s="8" t="s">
        <v>2224</v>
      </c>
      <c r="AW11">
        <v>1</v>
      </c>
      <c r="AX11" s="8" t="s">
        <v>129</v>
      </c>
      <c r="AY11">
        <v>321360.06</v>
      </c>
      <c r="AZ11">
        <v>21996132</v>
      </c>
      <c r="BA11">
        <v>347733.27</v>
      </c>
      <c r="BB11">
        <v>68.447000000000003</v>
      </c>
      <c r="BC11" s="8" t="s">
        <v>130</v>
      </c>
      <c r="BD11" s="8" t="s">
        <v>131</v>
      </c>
      <c r="BE11" s="8" t="s">
        <v>2225</v>
      </c>
      <c r="BF11" s="8" t="s">
        <v>133</v>
      </c>
      <c r="BG11" s="8" t="s">
        <v>134</v>
      </c>
      <c r="BH11" s="8" t="s">
        <v>112</v>
      </c>
      <c r="BI11" s="8" t="s">
        <v>178</v>
      </c>
      <c r="BJ11" s="8" t="s">
        <v>2226</v>
      </c>
      <c r="BK11" s="8" t="s">
        <v>2227</v>
      </c>
      <c r="BL11" s="8" t="s">
        <v>2228</v>
      </c>
      <c r="BM11" s="8" t="s">
        <v>2229</v>
      </c>
      <c r="BN11" s="8" t="s">
        <v>181</v>
      </c>
      <c r="BO11">
        <v>1</v>
      </c>
      <c r="BP11" s="8" t="s">
        <v>2230</v>
      </c>
      <c r="BR11" s="8" t="s">
        <v>2231</v>
      </c>
      <c r="BS11">
        <v>368</v>
      </c>
      <c r="BT11">
        <v>0</v>
      </c>
      <c r="BU11">
        <v>420</v>
      </c>
      <c r="BV11" t="s">
        <v>2147</v>
      </c>
      <c r="BW11">
        <v>0</v>
      </c>
      <c r="BY11" s="8" t="s">
        <v>106</v>
      </c>
      <c r="BZ11" s="8" t="s">
        <v>2148</v>
      </c>
      <c r="CA11" s="8" t="s">
        <v>2232</v>
      </c>
      <c r="CB11" s="8" t="s">
        <v>112</v>
      </c>
      <c r="CC11" s="8" t="s">
        <v>2222</v>
      </c>
      <c r="CD11">
        <v>9487.0750000000007</v>
      </c>
      <c r="CE11" t="s">
        <v>144</v>
      </c>
      <c r="CF11">
        <v>4000000</v>
      </c>
      <c r="CG11">
        <v>8750.8250000000007</v>
      </c>
      <c r="CH11">
        <v>0</v>
      </c>
      <c r="CI11" s="8" t="s">
        <v>112</v>
      </c>
      <c r="CJ11" s="8" t="s">
        <v>112</v>
      </c>
      <c r="CK11">
        <v>133189.06</v>
      </c>
      <c r="CL11">
        <v>9116392</v>
      </c>
      <c r="CM11">
        <v>0</v>
      </c>
      <c r="CN11">
        <v>1</v>
      </c>
      <c r="CO11">
        <v>9389407.4499999899</v>
      </c>
      <c r="CP11">
        <v>146021.59</v>
      </c>
      <c r="CQ11" s="8" t="s">
        <v>145</v>
      </c>
      <c r="CR11">
        <v>16.686599999999999</v>
      </c>
      <c r="CS11">
        <v>1117</v>
      </c>
      <c r="CT11" t="s">
        <v>2233</v>
      </c>
      <c r="CV11" t="s">
        <v>2234</v>
      </c>
      <c r="CW11">
        <v>92</v>
      </c>
    </row>
    <row r="12" spans="1:102" x14ac:dyDescent="0.2">
      <c r="A12" s="8" t="s">
        <v>106</v>
      </c>
      <c r="B12" s="46">
        <v>44995</v>
      </c>
      <c r="C12" s="8" t="s">
        <v>2260</v>
      </c>
      <c r="D12" s="8" t="s">
        <v>2261</v>
      </c>
      <c r="E12" s="8" t="s">
        <v>2262</v>
      </c>
      <c r="F12" t="s">
        <v>110</v>
      </c>
      <c r="G12" s="8" t="s">
        <v>111</v>
      </c>
      <c r="H12" s="8" t="s">
        <v>112</v>
      </c>
      <c r="I12" s="8" t="s">
        <v>112</v>
      </c>
      <c r="J12" s="8" t="s">
        <v>112</v>
      </c>
      <c r="K12" s="8" t="s">
        <v>2263</v>
      </c>
      <c r="L12" s="8" t="s">
        <v>2264</v>
      </c>
      <c r="M12" s="8" t="s">
        <v>112</v>
      </c>
      <c r="N12" s="8" t="s">
        <v>112</v>
      </c>
      <c r="O12">
        <v>2</v>
      </c>
      <c r="P12">
        <v>0</v>
      </c>
      <c r="Q12">
        <v>4</v>
      </c>
      <c r="R12">
        <v>496</v>
      </c>
      <c r="S12" s="8" t="s">
        <v>2265</v>
      </c>
      <c r="T12" s="8" t="s">
        <v>2266</v>
      </c>
      <c r="U12" s="8" t="s">
        <v>2267</v>
      </c>
      <c r="V12" s="8" t="s">
        <v>2268</v>
      </c>
      <c r="W12" s="8" t="s">
        <v>2269</v>
      </c>
      <c r="X12" s="8" t="s">
        <v>2270</v>
      </c>
      <c r="Y12" s="8" t="s">
        <v>2265</v>
      </c>
      <c r="Z12" s="8" t="s">
        <v>2266</v>
      </c>
      <c r="AA12" s="8" t="s">
        <v>2267</v>
      </c>
      <c r="AB12" s="8" t="s">
        <v>2268</v>
      </c>
      <c r="AC12" s="8" t="s">
        <v>2269</v>
      </c>
      <c r="AD12" s="8" t="s">
        <v>2270</v>
      </c>
      <c r="AE12" s="8" t="s">
        <v>2185</v>
      </c>
      <c r="AF12" s="8" t="s">
        <v>2186</v>
      </c>
      <c r="AG12">
        <v>11038147.699999901</v>
      </c>
      <c r="AH12" s="8" t="s">
        <v>2265</v>
      </c>
      <c r="AI12" s="8" t="s">
        <v>2266</v>
      </c>
      <c r="AJ12" s="8" t="s">
        <v>2267</v>
      </c>
      <c r="AK12" s="8" t="s">
        <v>2268</v>
      </c>
      <c r="AL12" s="8" t="s">
        <v>2269</v>
      </c>
      <c r="AM12" s="8" t="s">
        <v>2270</v>
      </c>
      <c r="AN12" s="8" t="s">
        <v>2185</v>
      </c>
      <c r="AO12" s="8" t="s">
        <v>2186</v>
      </c>
      <c r="AP12" s="8" t="s">
        <v>2186</v>
      </c>
      <c r="AQ12" s="8" t="s">
        <v>124</v>
      </c>
      <c r="AR12" s="8" t="s">
        <v>125</v>
      </c>
      <c r="AS12">
        <v>0</v>
      </c>
      <c r="AT12" s="8" t="s">
        <v>106</v>
      </c>
      <c r="AU12" s="8" t="s">
        <v>127</v>
      </c>
      <c r="AV12" s="8" t="s">
        <v>2271</v>
      </c>
      <c r="AW12">
        <v>1</v>
      </c>
      <c r="AX12" s="8" t="s">
        <v>129</v>
      </c>
      <c r="AY12">
        <v>139586.16</v>
      </c>
      <c r="AZ12">
        <v>10619227</v>
      </c>
      <c r="BA12">
        <v>153354.9</v>
      </c>
      <c r="BB12">
        <v>76.076499999999896</v>
      </c>
      <c r="BC12" s="8" t="s">
        <v>130</v>
      </c>
      <c r="BD12" s="8" t="s">
        <v>112</v>
      </c>
      <c r="BE12" s="8" t="s">
        <v>2272</v>
      </c>
      <c r="BF12" s="8" t="s">
        <v>133</v>
      </c>
      <c r="BG12" s="8" t="s">
        <v>134</v>
      </c>
      <c r="BH12" s="8" t="s">
        <v>112</v>
      </c>
      <c r="BI12" s="8" t="s">
        <v>2273</v>
      </c>
      <c r="BJ12" s="8" t="s">
        <v>112</v>
      </c>
      <c r="BK12" s="8" t="s">
        <v>2274</v>
      </c>
      <c r="BL12" s="8" t="s">
        <v>2275</v>
      </c>
      <c r="BM12" s="8" t="s">
        <v>2276</v>
      </c>
      <c r="BN12" s="8" t="s">
        <v>2277</v>
      </c>
      <c r="BO12">
        <v>1</v>
      </c>
      <c r="BP12" s="8" t="s">
        <v>2278</v>
      </c>
      <c r="BR12" s="8" t="s">
        <v>2279</v>
      </c>
      <c r="BS12">
        <v>486</v>
      </c>
      <c r="BT12">
        <v>1</v>
      </c>
      <c r="BU12">
        <v>486</v>
      </c>
      <c r="BV12" t="s">
        <v>2147</v>
      </c>
      <c r="BW12">
        <v>0</v>
      </c>
      <c r="BY12" s="8" t="s">
        <v>106</v>
      </c>
      <c r="BZ12" s="8" t="s">
        <v>2148</v>
      </c>
      <c r="CA12" s="8" t="s">
        <v>112</v>
      </c>
      <c r="CB12" s="8" t="s">
        <v>112</v>
      </c>
      <c r="CC12" s="8" t="s">
        <v>2185</v>
      </c>
      <c r="CD12">
        <v>15217.3</v>
      </c>
      <c r="CE12" t="s">
        <v>144</v>
      </c>
      <c r="CF12">
        <v>4000000</v>
      </c>
      <c r="CG12">
        <v>14354.1</v>
      </c>
      <c r="CH12">
        <v>0</v>
      </c>
      <c r="CI12" s="8" t="s">
        <v>112</v>
      </c>
      <c r="CJ12" s="8" t="s">
        <v>112</v>
      </c>
      <c r="CK12">
        <v>133319</v>
      </c>
      <c r="CL12">
        <v>10142443</v>
      </c>
      <c r="CM12">
        <v>0</v>
      </c>
      <c r="CN12">
        <v>1</v>
      </c>
      <c r="CO12">
        <v>10555045.98</v>
      </c>
      <c r="CP12">
        <v>146643.079999999</v>
      </c>
      <c r="CQ12" s="8" t="s">
        <v>145</v>
      </c>
      <c r="CR12">
        <v>10.216100000000001</v>
      </c>
      <c r="CS12">
        <v>727</v>
      </c>
      <c r="CT12" t="s">
        <v>2280</v>
      </c>
      <c r="CV12" t="s">
        <v>2281</v>
      </c>
      <c r="CW12">
        <v>0</v>
      </c>
    </row>
    <row r="13" spans="1:102" x14ac:dyDescent="0.2">
      <c r="A13" s="8" t="s">
        <v>106</v>
      </c>
      <c r="B13" s="46">
        <v>44940</v>
      </c>
      <c r="C13" s="8" t="s">
        <v>2306</v>
      </c>
      <c r="D13" s="8" t="s">
        <v>2261</v>
      </c>
      <c r="E13" s="8" t="s">
        <v>2307</v>
      </c>
      <c r="F13" t="s">
        <v>110</v>
      </c>
      <c r="G13" s="8" t="s">
        <v>111</v>
      </c>
      <c r="H13" s="8" t="s">
        <v>112</v>
      </c>
      <c r="I13" s="8" t="s">
        <v>112</v>
      </c>
      <c r="J13" s="8" t="s">
        <v>112</v>
      </c>
      <c r="K13" s="8" t="s">
        <v>2263</v>
      </c>
      <c r="L13" s="8" t="s">
        <v>2264</v>
      </c>
      <c r="M13" s="8" t="s">
        <v>112</v>
      </c>
      <c r="N13" s="8" t="s">
        <v>112</v>
      </c>
      <c r="O13">
        <v>1</v>
      </c>
      <c r="P13">
        <v>0</v>
      </c>
      <c r="Q13">
        <v>1</v>
      </c>
      <c r="R13">
        <v>490</v>
      </c>
      <c r="S13" s="8" t="s">
        <v>2265</v>
      </c>
      <c r="T13" s="8" t="s">
        <v>2266</v>
      </c>
      <c r="U13" s="8" t="s">
        <v>2267</v>
      </c>
      <c r="V13" s="8" t="s">
        <v>2268</v>
      </c>
      <c r="W13" s="8" t="s">
        <v>2269</v>
      </c>
      <c r="X13" s="8" t="s">
        <v>2270</v>
      </c>
      <c r="Y13" s="8" t="s">
        <v>2265</v>
      </c>
      <c r="Z13" s="8" t="s">
        <v>2266</v>
      </c>
      <c r="AA13" s="8" t="s">
        <v>2267</v>
      </c>
      <c r="AB13" s="8" t="s">
        <v>2268</v>
      </c>
      <c r="AC13" s="8" t="s">
        <v>2269</v>
      </c>
      <c r="AD13" s="8" t="s">
        <v>2270</v>
      </c>
      <c r="AE13" s="8" t="s">
        <v>2185</v>
      </c>
      <c r="AF13" s="8" t="s">
        <v>2186</v>
      </c>
      <c r="AG13">
        <v>10222789.710000001</v>
      </c>
      <c r="AH13" s="8" t="s">
        <v>2265</v>
      </c>
      <c r="AI13" s="8" t="s">
        <v>2266</v>
      </c>
      <c r="AJ13" s="8" t="s">
        <v>2267</v>
      </c>
      <c r="AK13" s="8" t="s">
        <v>2268</v>
      </c>
      <c r="AL13" s="8" t="s">
        <v>2269</v>
      </c>
      <c r="AM13" s="8" t="s">
        <v>2270</v>
      </c>
      <c r="AN13" s="8" t="s">
        <v>2185</v>
      </c>
      <c r="AO13" s="8" t="s">
        <v>2186</v>
      </c>
      <c r="AP13" s="8" t="s">
        <v>2186</v>
      </c>
      <c r="AQ13" s="8" t="s">
        <v>124</v>
      </c>
      <c r="AR13" s="8" t="s">
        <v>125</v>
      </c>
      <c r="AS13">
        <v>0</v>
      </c>
      <c r="AT13" s="8" t="s">
        <v>106</v>
      </c>
      <c r="AU13" s="8" t="s">
        <v>127</v>
      </c>
      <c r="AV13" s="8" t="s">
        <v>2271</v>
      </c>
      <c r="AW13">
        <v>1</v>
      </c>
      <c r="AX13" s="8" t="s">
        <v>129</v>
      </c>
      <c r="AY13">
        <v>129000</v>
      </c>
      <c r="AZ13">
        <v>9813869</v>
      </c>
      <c r="BA13">
        <v>142026.98000000001</v>
      </c>
      <c r="BB13">
        <v>76.076499999999896</v>
      </c>
      <c r="BC13" s="8" t="s">
        <v>130</v>
      </c>
      <c r="BD13" s="8" t="s">
        <v>112</v>
      </c>
      <c r="BE13" s="8" t="s">
        <v>2272</v>
      </c>
      <c r="BF13" s="8" t="s">
        <v>133</v>
      </c>
      <c r="BG13" s="8" t="s">
        <v>134</v>
      </c>
      <c r="BH13" s="8" t="s">
        <v>112</v>
      </c>
      <c r="BI13" s="8" t="s">
        <v>2273</v>
      </c>
      <c r="BJ13" s="8" t="s">
        <v>112</v>
      </c>
      <c r="BK13" s="8" t="s">
        <v>2274</v>
      </c>
      <c r="BL13" s="8" t="s">
        <v>2275</v>
      </c>
      <c r="BM13" s="8" t="s">
        <v>2276</v>
      </c>
      <c r="BN13" s="8" t="s">
        <v>2277</v>
      </c>
      <c r="BO13">
        <v>1</v>
      </c>
      <c r="BP13" s="8" t="s">
        <v>2278</v>
      </c>
      <c r="BR13" s="8" t="s">
        <v>2279</v>
      </c>
      <c r="BS13">
        <v>490</v>
      </c>
      <c r="BT13">
        <v>1</v>
      </c>
      <c r="BU13">
        <v>490</v>
      </c>
      <c r="BV13" t="s">
        <v>2147</v>
      </c>
      <c r="BW13">
        <v>0</v>
      </c>
      <c r="BY13" s="8" t="s">
        <v>106</v>
      </c>
      <c r="BZ13" s="8" t="s">
        <v>2148</v>
      </c>
      <c r="CA13" s="8" t="s">
        <v>112</v>
      </c>
      <c r="CB13" s="8" t="s">
        <v>112</v>
      </c>
      <c r="CC13" s="8" t="s">
        <v>2185</v>
      </c>
      <c r="CD13">
        <v>15034</v>
      </c>
      <c r="CE13" t="s">
        <v>144</v>
      </c>
      <c r="CF13">
        <v>4000000</v>
      </c>
      <c r="CG13">
        <v>14207</v>
      </c>
      <c r="CH13">
        <v>0</v>
      </c>
      <c r="CI13" s="8" t="s">
        <v>112</v>
      </c>
      <c r="CJ13" s="8" t="s">
        <v>112</v>
      </c>
      <c r="CK13">
        <v>129000</v>
      </c>
      <c r="CL13">
        <v>9813869</v>
      </c>
      <c r="CM13">
        <v>0</v>
      </c>
      <c r="CN13">
        <v>1</v>
      </c>
      <c r="CO13">
        <v>10222789.710000001</v>
      </c>
      <c r="CP13">
        <v>142026.98000000001</v>
      </c>
      <c r="CQ13" s="8" t="s">
        <v>145</v>
      </c>
      <c r="CR13">
        <v>9.9969999999999999</v>
      </c>
      <c r="CS13">
        <v>727</v>
      </c>
      <c r="CT13" t="s">
        <v>2280</v>
      </c>
      <c r="CV13" t="s">
        <v>2281</v>
      </c>
      <c r="CW13">
        <v>0</v>
      </c>
    </row>
    <row r="14" spans="1:102" x14ac:dyDescent="0.2">
      <c r="A14" s="8" t="s">
        <v>106</v>
      </c>
      <c r="B14" s="46">
        <v>44610</v>
      </c>
      <c r="C14" s="8" t="s">
        <v>2469</v>
      </c>
      <c r="D14" s="8" t="s">
        <v>2261</v>
      </c>
      <c r="E14" s="8" t="s">
        <v>2470</v>
      </c>
      <c r="F14" t="s">
        <v>110</v>
      </c>
      <c r="G14" s="8" t="s">
        <v>111</v>
      </c>
      <c r="H14" s="8" t="s">
        <v>112</v>
      </c>
      <c r="I14" s="8" t="s">
        <v>112</v>
      </c>
      <c r="J14" s="8" t="s">
        <v>112</v>
      </c>
      <c r="K14" s="8" t="s">
        <v>2471</v>
      </c>
      <c r="L14" s="8" t="s">
        <v>2472</v>
      </c>
      <c r="M14" s="8" t="s">
        <v>112</v>
      </c>
      <c r="N14" s="8" t="s">
        <v>112</v>
      </c>
      <c r="O14">
        <v>2</v>
      </c>
      <c r="P14">
        <v>0</v>
      </c>
      <c r="Q14">
        <v>4</v>
      </c>
      <c r="R14">
        <v>471</v>
      </c>
      <c r="S14" s="8" t="s">
        <v>2473</v>
      </c>
      <c r="T14" s="8" t="s">
        <v>2474</v>
      </c>
      <c r="U14" s="8" t="s">
        <v>2475</v>
      </c>
      <c r="V14" s="8" t="s">
        <v>2476</v>
      </c>
      <c r="W14" s="8" t="s">
        <v>119</v>
      </c>
      <c r="X14" s="8" t="s">
        <v>2477</v>
      </c>
      <c r="Y14" s="8" t="s">
        <v>2473</v>
      </c>
      <c r="Z14" s="8" t="s">
        <v>2474</v>
      </c>
      <c r="AA14" s="8" t="s">
        <v>2475</v>
      </c>
      <c r="AB14" s="8" t="s">
        <v>2476</v>
      </c>
      <c r="AC14" s="8" t="s">
        <v>119</v>
      </c>
      <c r="AD14" s="8" t="s">
        <v>2477</v>
      </c>
      <c r="AE14" s="8" t="s">
        <v>2185</v>
      </c>
      <c r="AF14" s="8" t="s">
        <v>2186</v>
      </c>
      <c r="AG14">
        <v>9189223.8900000006</v>
      </c>
      <c r="AH14" s="8" t="s">
        <v>2473</v>
      </c>
      <c r="AI14" s="8" t="s">
        <v>2474</v>
      </c>
      <c r="AJ14" s="8" t="s">
        <v>2475</v>
      </c>
      <c r="AK14" s="8" t="s">
        <v>2476</v>
      </c>
      <c r="AL14" s="8" t="s">
        <v>119</v>
      </c>
      <c r="AM14" s="8" t="s">
        <v>2477</v>
      </c>
      <c r="AN14" s="8" t="s">
        <v>2185</v>
      </c>
      <c r="AO14" s="8" t="s">
        <v>2186</v>
      </c>
      <c r="AP14" s="8" t="s">
        <v>2186</v>
      </c>
      <c r="AQ14" s="8" t="s">
        <v>124</v>
      </c>
      <c r="AR14" s="8" t="s">
        <v>125</v>
      </c>
      <c r="AS14">
        <v>0</v>
      </c>
      <c r="AT14" s="8" t="s">
        <v>106</v>
      </c>
      <c r="AU14" s="8" t="s">
        <v>155</v>
      </c>
      <c r="AV14" s="8" t="s">
        <v>2478</v>
      </c>
      <c r="AW14">
        <v>1</v>
      </c>
      <c r="AX14" s="8" t="s">
        <v>2188</v>
      </c>
      <c r="AY14">
        <v>131226.62</v>
      </c>
      <c r="AZ14">
        <v>9012119</v>
      </c>
      <c r="BA14">
        <v>133805.46</v>
      </c>
      <c r="BB14">
        <v>68.676000000000002</v>
      </c>
      <c r="BC14" s="8" t="s">
        <v>130</v>
      </c>
      <c r="BD14" s="8" t="s">
        <v>112</v>
      </c>
      <c r="BE14" s="8" t="s">
        <v>2479</v>
      </c>
      <c r="BF14" s="8" t="s">
        <v>133</v>
      </c>
      <c r="BG14" s="8" t="s">
        <v>2480</v>
      </c>
      <c r="BH14" s="8" t="s">
        <v>112</v>
      </c>
      <c r="BI14" s="8" t="s">
        <v>2481</v>
      </c>
      <c r="BJ14" s="8" t="s">
        <v>112</v>
      </c>
      <c r="BK14" s="8" t="s">
        <v>2274</v>
      </c>
      <c r="BL14" s="8" t="s">
        <v>2482</v>
      </c>
      <c r="BM14" s="8" t="s">
        <v>2483</v>
      </c>
      <c r="BN14" s="8" t="s">
        <v>2277</v>
      </c>
      <c r="BO14">
        <v>1</v>
      </c>
      <c r="BP14" s="8" t="s">
        <v>2484</v>
      </c>
      <c r="BR14" s="8" t="s">
        <v>2485</v>
      </c>
      <c r="BS14">
        <v>305</v>
      </c>
      <c r="BT14">
        <v>1</v>
      </c>
      <c r="BU14">
        <v>305</v>
      </c>
      <c r="BV14" t="s">
        <v>2147</v>
      </c>
      <c r="BW14">
        <v>0</v>
      </c>
      <c r="BY14" s="8" t="s">
        <v>106</v>
      </c>
      <c r="BZ14" s="8" t="s">
        <v>2148</v>
      </c>
      <c r="CA14" s="8" t="s">
        <v>112</v>
      </c>
      <c r="CB14" s="8" t="s">
        <v>112</v>
      </c>
      <c r="CC14" s="8" t="s">
        <v>2185</v>
      </c>
      <c r="CD14">
        <v>10190</v>
      </c>
      <c r="CE14" t="s">
        <v>144</v>
      </c>
      <c r="CF14">
        <v>4000000</v>
      </c>
      <c r="CG14">
        <v>9677</v>
      </c>
      <c r="CH14">
        <v>0</v>
      </c>
      <c r="CI14" s="8" t="s">
        <v>112</v>
      </c>
      <c r="CJ14" s="8" t="s">
        <v>112</v>
      </c>
      <c r="CK14">
        <v>111308.47</v>
      </c>
      <c r="CL14">
        <v>7644220</v>
      </c>
      <c r="CM14">
        <v>0</v>
      </c>
      <c r="CN14">
        <v>1</v>
      </c>
      <c r="CO14">
        <v>7811476.8200000003</v>
      </c>
      <c r="CP14">
        <v>113743.91</v>
      </c>
      <c r="CQ14" s="8" t="s">
        <v>145</v>
      </c>
      <c r="CR14">
        <v>11.754</v>
      </c>
      <c r="CS14">
        <v>1405</v>
      </c>
      <c r="CT14">
        <v>140</v>
      </c>
      <c r="CV14" t="s">
        <v>2486</v>
      </c>
      <c r="CW14">
        <v>308</v>
      </c>
    </row>
    <row r="15" spans="1:102" x14ac:dyDescent="0.2">
      <c r="A15" s="8" t="s">
        <v>106</v>
      </c>
      <c r="B15" s="46">
        <v>44860</v>
      </c>
      <c r="C15" s="8" t="s">
        <v>2517</v>
      </c>
      <c r="D15" s="8" t="s">
        <v>2261</v>
      </c>
      <c r="E15" s="8" t="s">
        <v>2518</v>
      </c>
      <c r="F15" t="s">
        <v>110</v>
      </c>
      <c r="G15" s="8" t="s">
        <v>111</v>
      </c>
      <c r="H15" s="8" t="s">
        <v>112</v>
      </c>
      <c r="I15" s="8" t="s">
        <v>112</v>
      </c>
      <c r="J15" s="8" t="s">
        <v>112</v>
      </c>
      <c r="K15" s="8" t="s">
        <v>2519</v>
      </c>
      <c r="L15" s="8" t="s">
        <v>2520</v>
      </c>
      <c r="M15" s="8" t="s">
        <v>112</v>
      </c>
      <c r="N15" s="8" t="s">
        <v>112</v>
      </c>
      <c r="O15">
        <v>2</v>
      </c>
      <c r="P15">
        <v>0</v>
      </c>
      <c r="Q15">
        <v>2</v>
      </c>
      <c r="R15">
        <v>11</v>
      </c>
      <c r="S15" s="8" t="s">
        <v>2473</v>
      </c>
      <c r="T15" s="8" t="s">
        <v>2474</v>
      </c>
      <c r="U15" s="8" t="s">
        <v>2475</v>
      </c>
      <c r="V15" s="8" t="s">
        <v>2521</v>
      </c>
      <c r="W15" s="8" t="s">
        <v>119</v>
      </c>
      <c r="X15" s="8" t="s">
        <v>2477</v>
      </c>
      <c r="Y15" s="8" t="s">
        <v>2473</v>
      </c>
      <c r="Z15" s="8" t="s">
        <v>2474</v>
      </c>
      <c r="AA15" s="8" t="s">
        <v>2475</v>
      </c>
      <c r="AB15" s="8" t="s">
        <v>2521</v>
      </c>
      <c r="AC15" s="8" t="s">
        <v>119</v>
      </c>
      <c r="AD15" s="8" t="s">
        <v>2477</v>
      </c>
      <c r="AE15" s="8" t="s">
        <v>2185</v>
      </c>
      <c r="AF15" s="8" t="s">
        <v>2186</v>
      </c>
      <c r="AG15">
        <v>2934124.67</v>
      </c>
      <c r="AH15" s="8" t="s">
        <v>2473</v>
      </c>
      <c r="AI15" s="8" t="s">
        <v>2474</v>
      </c>
      <c r="AJ15" s="8" t="s">
        <v>2475</v>
      </c>
      <c r="AK15" s="8" t="s">
        <v>2521</v>
      </c>
      <c r="AL15" s="8" t="s">
        <v>119</v>
      </c>
      <c r="AM15" s="8" t="s">
        <v>2477</v>
      </c>
      <c r="AN15" s="8" t="s">
        <v>2185</v>
      </c>
      <c r="AO15" s="8" t="s">
        <v>2186</v>
      </c>
      <c r="AP15" s="8" t="s">
        <v>2186</v>
      </c>
      <c r="AQ15" s="8" t="s">
        <v>124</v>
      </c>
      <c r="AR15" s="8" t="s">
        <v>125</v>
      </c>
      <c r="AS15">
        <v>0</v>
      </c>
      <c r="AT15" s="8" t="s">
        <v>106</v>
      </c>
      <c r="AU15" s="8" t="s">
        <v>155</v>
      </c>
      <c r="AV15" s="8" t="s">
        <v>2187</v>
      </c>
      <c r="AW15">
        <v>1</v>
      </c>
      <c r="AX15" s="8" t="s">
        <v>2188</v>
      </c>
      <c r="AY15">
        <v>41551.64</v>
      </c>
      <c r="AZ15">
        <v>2853600</v>
      </c>
      <c r="BA15">
        <v>42724.17</v>
      </c>
      <c r="BB15">
        <v>68.676000000000002</v>
      </c>
      <c r="BC15" s="8" t="s">
        <v>130</v>
      </c>
      <c r="BD15" s="8" t="s">
        <v>112</v>
      </c>
      <c r="BE15" s="8" t="s">
        <v>2522</v>
      </c>
      <c r="BF15" s="8" t="s">
        <v>133</v>
      </c>
      <c r="BG15" s="8" t="s">
        <v>2480</v>
      </c>
      <c r="BH15" s="8" t="s">
        <v>112</v>
      </c>
      <c r="BI15" s="8" t="s">
        <v>2481</v>
      </c>
      <c r="BJ15" s="8" t="s">
        <v>112</v>
      </c>
      <c r="BK15" s="8" t="s">
        <v>2274</v>
      </c>
      <c r="BL15" s="8" t="s">
        <v>2482</v>
      </c>
      <c r="BM15" s="8" t="s">
        <v>2483</v>
      </c>
      <c r="BN15" s="8" t="s">
        <v>2277</v>
      </c>
      <c r="BO15">
        <v>1</v>
      </c>
      <c r="BP15" s="8" t="s">
        <v>2523</v>
      </c>
      <c r="BR15" s="8" t="s">
        <v>2524</v>
      </c>
      <c r="BS15">
        <v>10</v>
      </c>
      <c r="BT15">
        <v>1</v>
      </c>
      <c r="BU15">
        <v>10</v>
      </c>
      <c r="BV15" t="s">
        <v>2147</v>
      </c>
      <c r="BW15">
        <v>0</v>
      </c>
      <c r="BY15" s="8" t="s">
        <v>106</v>
      </c>
      <c r="BZ15" s="8" t="s">
        <v>2148</v>
      </c>
      <c r="CA15" s="8" t="s">
        <v>112</v>
      </c>
      <c r="CB15" s="8" t="s">
        <v>112</v>
      </c>
      <c r="CC15" s="8" t="s">
        <v>2185</v>
      </c>
      <c r="CD15">
        <v>1815</v>
      </c>
      <c r="CE15" t="s">
        <v>144</v>
      </c>
      <c r="CF15">
        <v>4000000</v>
      </c>
      <c r="CG15">
        <v>1794</v>
      </c>
      <c r="CH15">
        <v>0</v>
      </c>
      <c r="CI15" s="8" t="s">
        <v>112</v>
      </c>
      <c r="CJ15" s="8" t="s">
        <v>112</v>
      </c>
      <c r="CK15">
        <v>13718.04</v>
      </c>
      <c r="CL15">
        <v>942100</v>
      </c>
      <c r="CM15">
        <v>0</v>
      </c>
      <c r="CN15">
        <v>1</v>
      </c>
      <c r="CO15">
        <v>971889.59</v>
      </c>
      <c r="CP15">
        <v>14151.81</v>
      </c>
      <c r="CQ15" s="8" t="s">
        <v>145</v>
      </c>
      <c r="CR15">
        <v>7.8883999999999999</v>
      </c>
      <c r="CS15">
        <v>1405</v>
      </c>
      <c r="CT15">
        <v>140</v>
      </c>
      <c r="CV15" t="s">
        <v>2486</v>
      </c>
      <c r="CW15">
        <v>145</v>
      </c>
    </row>
    <row r="16" spans="1:102" x14ac:dyDescent="0.2">
      <c r="A16" s="8" t="s">
        <v>106</v>
      </c>
      <c r="B16" s="46">
        <v>45112</v>
      </c>
      <c r="C16" s="8" t="s">
        <v>2600</v>
      </c>
      <c r="D16" s="8" t="s">
        <v>2261</v>
      </c>
      <c r="E16" s="8" t="s">
        <v>2601</v>
      </c>
      <c r="F16" t="s">
        <v>110</v>
      </c>
      <c r="G16" s="8" t="s">
        <v>111</v>
      </c>
      <c r="H16" s="8" t="s">
        <v>112</v>
      </c>
      <c r="I16" s="8" t="s">
        <v>112</v>
      </c>
      <c r="J16" s="8" t="s">
        <v>112</v>
      </c>
      <c r="K16" s="8" t="s">
        <v>2602</v>
      </c>
      <c r="L16" s="8" t="s">
        <v>2603</v>
      </c>
      <c r="M16" s="8" t="s">
        <v>112</v>
      </c>
      <c r="N16" s="8" t="s">
        <v>112</v>
      </c>
      <c r="O16">
        <v>1</v>
      </c>
      <c r="P16">
        <v>0</v>
      </c>
      <c r="Q16">
        <v>1</v>
      </c>
      <c r="R16">
        <v>1</v>
      </c>
      <c r="S16" s="8" t="s">
        <v>2473</v>
      </c>
      <c r="T16" s="8" t="s">
        <v>2474</v>
      </c>
      <c r="U16" s="8" t="s">
        <v>2475</v>
      </c>
      <c r="V16" s="8" t="s">
        <v>2476</v>
      </c>
      <c r="W16" s="8" t="s">
        <v>119</v>
      </c>
      <c r="X16" s="8" t="s">
        <v>2477</v>
      </c>
      <c r="Y16" s="8" t="s">
        <v>2473</v>
      </c>
      <c r="Z16" s="8" t="s">
        <v>2474</v>
      </c>
      <c r="AA16" s="8" t="s">
        <v>2475</v>
      </c>
      <c r="AB16" s="8" t="s">
        <v>2476</v>
      </c>
      <c r="AC16" s="8" t="s">
        <v>119</v>
      </c>
      <c r="AD16" s="8" t="s">
        <v>2477</v>
      </c>
      <c r="AE16" s="8" t="s">
        <v>2185</v>
      </c>
      <c r="AF16" s="8" t="s">
        <v>2186</v>
      </c>
      <c r="AG16">
        <v>323452.87</v>
      </c>
      <c r="AH16" s="8" t="s">
        <v>2473</v>
      </c>
      <c r="AI16" s="8" t="s">
        <v>2474</v>
      </c>
      <c r="AJ16" s="8" t="s">
        <v>2475</v>
      </c>
      <c r="AK16" s="8" t="s">
        <v>2476</v>
      </c>
      <c r="AL16" s="8" t="s">
        <v>119</v>
      </c>
      <c r="AM16" s="8" t="s">
        <v>2477</v>
      </c>
      <c r="AN16" s="8" t="s">
        <v>2185</v>
      </c>
      <c r="AO16" s="8" t="s">
        <v>2186</v>
      </c>
      <c r="AP16" s="8" t="s">
        <v>2186</v>
      </c>
      <c r="AQ16" s="8" t="s">
        <v>124</v>
      </c>
      <c r="AR16" s="8" t="s">
        <v>125</v>
      </c>
      <c r="AS16">
        <v>0</v>
      </c>
      <c r="AT16" s="8" t="s">
        <v>106</v>
      </c>
      <c r="AU16" s="8" t="s">
        <v>155</v>
      </c>
      <c r="AV16" s="8" t="s">
        <v>2187</v>
      </c>
      <c r="AW16">
        <v>1</v>
      </c>
      <c r="AX16" s="8" t="s">
        <v>2425</v>
      </c>
      <c r="AY16">
        <v>85900</v>
      </c>
      <c r="AZ16">
        <v>314829</v>
      </c>
      <c r="BA16">
        <v>4709.84</v>
      </c>
      <c r="BB16">
        <v>36.786099999999898</v>
      </c>
      <c r="BC16" s="8" t="s">
        <v>130</v>
      </c>
      <c r="BD16" s="8" t="s">
        <v>112</v>
      </c>
      <c r="BE16" s="8" t="s">
        <v>2604</v>
      </c>
      <c r="BF16" s="8" t="s">
        <v>133</v>
      </c>
      <c r="BG16" s="8" t="s">
        <v>2480</v>
      </c>
      <c r="BH16" s="8" t="s">
        <v>112</v>
      </c>
      <c r="BI16" s="8" t="s">
        <v>2481</v>
      </c>
      <c r="BJ16" s="8" t="s">
        <v>112</v>
      </c>
      <c r="BK16" s="8" t="s">
        <v>2274</v>
      </c>
      <c r="BL16" s="8" t="s">
        <v>2482</v>
      </c>
      <c r="BM16" s="8" t="s">
        <v>2483</v>
      </c>
      <c r="BN16" s="8" t="s">
        <v>2277</v>
      </c>
      <c r="BO16">
        <v>1</v>
      </c>
      <c r="BP16" s="8" t="s">
        <v>2605</v>
      </c>
      <c r="BR16" s="8" t="s">
        <v>2606</v>
      </c>
      <c r="BS16">
        <v>1</v>
      </c>
      <c r="BT16">
        <v>1</v>
      </c>
      <c r="BU16">
        <v>5</v>
      </c>
      <c r="BV16" t="s">
        <v>2147</v>
      </c>
      <c r="BW16">
        <v>0</v>
      </c>
      <c r="BY16" s="8" t="s">
        <v>106</v>
      </c>
      <c r="BZ16" s="8" t="s">
        <v>2148</v>
      </c>
      <c r="CA16" s="8" t="s">
        <v>112</v>
      </c>
      <c r="CB16" s="8" t="s">
        <v>112</v>
      </c>
      <c r="CC16" s="8" t="s">
        <v>2185</v>
      </c>
      <c r="CD16">
        <v>444</v>
      </c>
      <c r="CE16" t="s">
        <v>144</v>
      </c>
      <c r="CF16">
        <v>4000000</v>
      </c>
      <c r="CG16">
        <v>415</v>
      </c>
      <c r="CH16">
        <v>0</v>
      </c>
      <c r="CI16" s="8" t="s">
        <v>112</v>
      </c>
      <c r="CJ16" s="8" t="s">
        <v>112</v>
      </c>
      <c r="CK16">
        <v>85900</v>
      </c>
      <c r="CL16">
        <v>314829</v>
      </c>
      <c r="CM16">
        <v>0</v>
      </c>
      <c r="CN16">
        <v>1</v>
      </c>
      <c r="CO16">
        <v>323452.87</v>
      </c>
      <c r="CP16">
        <v>4709.84</v>
      </c>
      <c r="CQ16" s="8" t="s">
        <v>145</v>
      </c>
      <c r="CR16">
        <v>11.349</v>
      </c>
      <c r="CS16">
        <v>1405</v>
      </c>
      <c r="CT16">
        <v>140</v>
      </c>
      <c r="CV16" t="s">
        <v>2486</v>
      </c>
      <c r="CW16">
        <v>151</v>
      </c>
    </row>
    <row r="17" spans="1:101" x14ac:dyDescent="0.2">
      <c r="A17" s="8" t="s">
        <v>106</v>
      </c>
      <c r="B17" s="46">
        <v>44931</v>
      </c>
      <c r="C17" s="8" t="s">
        <v>2905</v>
      </c>
      <c r="D17" s="8" t="s">
        <v>2261</v>
      </c>
      <c r="E17" s="8" t="s">
        <v>2906</v>
      </c>
      <c r="F17" t="s">
        <v>110</v>
      </c>
      <c r="G17" s="8" t="s">
        <v>111</v>
      </c>
      <c r="H17" s="8" t="s">
        <v>112</v>
      </c>
      <c r="I17" s="8" t="s">
        <v>112</v>
      </c>
      <c r="J17" s="8" t="s">
        <v>112</v>
      </c>
      <c r="K17" s="8" t="s">
        <v>2887</v>
      </c>
      <c r="L17" s="8" t="s">
        <v>2907</v>
      </c>
      <c r="M17" s="8" t="s">
        <v>112</v>
      </c>
      <c r="N17" s="8" t="s">
        <v>112</v>
      </c>
      <c r="O17">
        <v>1</v>
      </c>
      <c r="Q17">
        <v>1</v>
      </c>
      <c r="R17">
        <v>28</v>
      </c>
      <c r="S17" s="8" t="s">
        <v>2136</v>
      </c>
      <c r="T17" s="8" t="s">
        <v>2137</v>
      </c>
      <c r="U17" s="8" t="s">
        <v>2141</v>
      </c>
      <c r="V17" s="8" t="s">
        <v>2889</v>
      </c>
      <c r="W17" s="8" t="s">
        <v>119</v>
      </c>
      <c r="X17" s="8" t="s">
        <v>2140</v>
      </c>
      <c r="Y17" s="8" t="s">
        <v>2136</v>
      </c>
      <c r="Z17" s="8" t="s">
        <v>2137</v>
      </c>
      <c r="AA17" s="8" t="s">
        <v>2141</v>
      </c>
      <c r="AB17" s="8" t="s">
        <v>2889</v>
      </c>
      <c r="AC17" s="8" t="s">
        <v>119</v>
      </c>
      <c r="AD17" s="8" t="s">
        <v>2140</v>
      </c>
      <c r="AE17" s="8" t="s">
        <v>2185</v>
      </c>
      <c r="AF17" s="8" t="s">
        <v>2186</v>
      </c>
      <c r="AG17">
        <v>7119229.6600000001</v>
      </c>
      <c r="AH17" s="8" t="s">
        <v>2136</v>
      </c>
      <c r="AI17" s="8" t="s">
        <v>2137</v>
      </c>
      <c r="AJ17" s="8" t="s">
        <v>2141</v>
      </c>
      <c r="AK17" s="8" t="s">
        <v>2889</v>
      </c>
      <c r="AL17" s="8" t="s">
        <v>119</v>
      </c>
      <c r="AM17" s="8" t="s">
        <v>2140</v>
      </c>
      <c r="AN17" s="8" t="s">
        <v>2185</v>
      </c>
      <c r="AO17" s="8" t="s">
        <v>2186</v>
      </c>
      <c r="AP17" s="8" t="s">
        <v>2186</v>
      </c>
      <c r="AQ17" s="8" t="s">
        <v>124</v>
      </c>
      <c r="AR17" s="8" t="s">
        <v>125</v>
      </c>
      <c r="AT17" s="8" t="s">
        <v>106</v>
      </c>
      <c r="AU17" s="8" t="s">
        <v>127</v>
      </c>
      <c r="AV17" s="8" t="s">
        <v>2890</v>
      </c>
      <c r="AW17">
        <v>1</v>
      </c>
      <c r="AX17" s="8" t="s">
        <v>129</v>
      </c>
      <c r="AY17">
        <v>91116.479999999894</v>
      </c>
      <c r="AZ17">
        <v>6842064</v>
      </c>
      <c r="BA17">
        <v>100945.33</v>
      </c>
      <c r="BB17">
        <v>75.091399999999894</v>
      </c>
      <c r="BC17" s="8" t="s">
        <v>130</v>
      </c>
      <c r="BD17" s="8" t="s">
        <v>746</v>
      </c>
      <c r="BE17" s="8" t="s">
        <v>2891</v>
      </c>
      <c r="BF17" s="8" t="s">
        <v>133</v>
      </c>
      <c r="BG17" s="8" t="s">
        <v>134</v>
      </c>
      <c r="BH17" s="8" t="s">
        <v>112</v>
      </c>
      <c r="BI17" s="8" t="s">
        <v>2481</v>
      </c>
      <c r="BJ17" s="8" t="s">
        <v>112</v>
      </c>
      <c r="BK17" s="8" t="s">
        <v>2274</v>
      </c>
      <c r="BL17" s="8" t="s">
        <v>2482</v>
      </c>
      <c r="BM17" s="8" t="s">
        <v>2908</v>
      </c>
      <c r="BN17" s="8" t="s">
        <v>2277</v>
      </c>
      <c r="BO17">
        <v>1</v>
      </c>
      <c r="BP17" s="8" t="s">
        <v>2909</v>
      </c>
      <c r="BR17" s="8" t="s">
        <v>2887</v>
      </c>
      <c r="BS17">
        <v>28</v>
      </c>
      <c r="BT17">
        <v>1</v>
      </c>
      <c r="BU17">
        <v>336</v>
      </c>
      <c r="BV17" t="s">
        <v>2147</v>
      </c>
      <c r="BY17" s="8" t="s">
        <v>106</v>
      </c>
      <c r="BZ17" s="8" t="s">
        <v>2148</v>
      </c>
      <c r="CA17" s="8" t="s">
        <v>112</v>
      </c>
      <c r="CB17" s="8" t="s">
        <v>112</v>
      </c>
      <c r="CC17" s="8" t="s">
        <v>2185</v>
      </c>
      <c r="CD17">
        <v>10836</v>
      </c>
      <c r="CE17" t="s">
        <v>144</v>
      </c>
      <c r="CF17">
        <v>4000000</v>
      </c>
      <c r="CG17">
        <v>10416</v>
      </c>
      <c r="CI17" s="8" t="s">
        <v>112</v>
      </c>
      <c r="CJ17" s="8" t="s">
        <v>112</v>
      </c>
      <c r="CK17">
        <v>91116.479999999894</v>
      </c>
      <c r="CL17">
        <v>6842064</v>
      </c>
      <c r="CM17">
        <v>0</v>
      </c>
      <c r="CN17">
        <v>1</v>
      </c>
      <c r="CO17">
        <v>7119229.6600000001</v>
      </c>
      <c r="CP17">
        <v>100945.33</v>
      </c>
      <c r="CQ17" s="8" t="s">
        <v>145</v>
      </c>
      <c r="CR17">
        <v>9.6913999999999998</v>
      </c>
      <c r="CS17">
        <v>1168</v>
      </c>
      <c r="CT17" t="s">
        <v>2894</v>
      </c>
      <c r="CV17" t="s">
        <v>2910</v>
      </c>
      <c r="CW17">
        <v>0</v>
      </c>
    </row>
    <row r="18" spans="1:101" x14ac:dyDescent="0.2">
      <c r="A18" s="8" t="s">
        <v>106</v>
      </c>
      <c r="B18" s="46">
        <v>45164</v>
      </c>
      <c r="C18" s="8" t="s">
        <v>2885</v>
      </c>
      <c r="D18" s="8" t="s">
        <v>2261</v>
      </c>
      <c r="E18" s="8" t="s">
        <v>2886</v>
      </c>
      <c r="F18" t="s">
        <v>110</v>
      </c>
      <c r="G18" s="8" t="s">
        <v>111</v>
      </c>
      <c r="H18" s="8" t="s">
        <v>112</v>
      </c>
      <c r="I18" s="8" t="s">
        <v>112</v>
      </c>
      <c r="J18" s="8" t="s">
        <v>112</v>
      </c>
      <c r="K18" s="8" t="s">
        <v>2887</v>
      </c>
      <c r="L18" s="8" t="s">
        <v>2888</v>
      </c>
      <c r="M18" s="8" t="s">
        <v>112</v>
      </c>
      <c r="N18" s="8" t="s">
        <v>112</v>
      </c>
      <c r="O18">
        <v>1</v>
      </c>
      <c r="P18">
        <v>0</v>
      </c>
      <c r="Q18">
        <v>1</v>
      </c>
      <c r="R18">
        <v>28</v>
      </c>
      <c r="S18" s="8" t="s">
        <v>2136</v>
      </c>
      <c r="T18" s="8" t="s">
        <v>2137</v>
      </c>
      <c r="U18" s="8" t="s">
        <v>2141</v>
      </c>
      <c r="V18" s="8" t="s">
        <v>2889</v>
      </c>
      <c r="W18" s="8" t="s">
        <v>119</v>
      </c>
      <c r="X18" s="8" t="s">
        <v>2140</v>
      </c>
      <c r="Y18" s="8" t="s">
        <v>2136</v>
      </c>
      <c r="Z18" s="8" t="s">
        <v>2137</v>
      </c>
      <c r="AA18" s="8" t="s">
        <v>2141</v>
      </c>
      <c r="AB18" s="8" t="s">
        <v>2889</v>
      </c>
      <c r="AC18" s="8" t="s">
        <v>119</v>
      </c>
      <c r="AD18" s="8" t="s">
        <v>2140</v>
      </c>
      <c r="AE18" s="8" t="s">
        <v>2185</v>
      </c>
      <c r="AF18" s="8" t="s">
        <v>2186</v>
      </c>
      <c r="AG18">
        <v>7084237.0599999903</v>
      </c>
      <c r="AH18" s="8" t="s">
        <v>2136</v>
      </c>
      <c r="AI18" s="8" t="s">
        <v>2137</v>
      </c>
      <c r="AJ18" s="8" t="s">
        <v>2141</v>
      </c>
      <c r="AK18" s="8" t="s">
        <v>2889</v>
      </c>
      <c r="AL18" s="8" t="s">
        <v>119</v>
      </c>
      <c r="AM18" s="8" t="s">
        <v>2140</v>
      </c>
      <c r="AN18" s="8" t="s">
        <v>2185</v>
      </c>
      <c r="AO18" s="8" t="s">
        <v>2186</v>
      </c>
      <c r="AP18" s="8" t="s">
        <v>2186</v>
      </c>
      <c r="AQ18" s="8" t="s">
        <v>124</v>
      </c>
      <c r="AR18" s="8" t="s">
        <v>125</v>
      </c>
      <c r="AS18">
        <v>0</v>
      </c>
      <c r="AT18" s="8" t="s">
        <v>106</v>
      </c>
      <c r="AU18" s="8" t="s">
        <v>127</v>
      </c>
      <c r="AV18" s="8" t="s">
        <v>2890</v>
      </c>
      <c r="AW18">
        <v>1</v>
      </c>
      <c r="AX18" s="8" t="s">
        <v>129</v>
      </c>
      <c r="AY18">
        <v>90650.48</v>
      </c>
      <c r="AZ18">
        <v>6807071</v>
      </c>
      <c r="BA18">
        <v>100449.16</v>
      </c>
      <c r="BB18">
        <v>75.091399999999894</v>
      </c>
      <c r="BC18" s="8" t="s">
        <v>130</v>
      </c>
      <c r="BD18" s="8" t="s">
        <v>746</v>
      </c>
      <c r="BE18" s="8" t="s">
        <v>2891</v>
      </c>
      <c r="BF18" s="8" t="s">
        <v>133</v>
      </c>
      <c r="BG18" s="8" t="s">
        <v>134</v>
      </c>
      <c r="BH18" s="8" t="s">
        <v>112</v>
      </c>
      <c r="BI18" s="8" t="s">
        <v>2481</v>
      </c>
      <c r="BJ18" s="8" t="s">
        <v>112</v>
      </c>
      <c r="BK18" s="8" t="s">
        <v>2274</v>
      </c>
      <c r="BL18" s="8" t="s">
        <v>2482</v>
      </c>
      <c r="BM18" s="8" t="s">
        <v>2892</v>
      </c>
      <c r="BN18" s="8" t="s">
        <v>2277</v>
      </c>
      <c r="BO18">
        <v>1</v>
      </c>
      <c r="BP18" s="8" t="s">
        <v>2893</v>
      </c>
      <c r="BR18" s="8" t="s">
        <v>2887</v>
      </c>
      <c r="BS18">
        <v>28</v>
      </c>
      <c r="BT18">
        <v>1</v>
      </c>
      <c r="BU18">
        <v>336</v>
      </c>
      <c r="BV18" t="s">
        <v>2147</v>
      </c>
      <c r="BW18">
        <v>0</v>
      </c>
      <c r="BY18" s="8" t="s">
        <v>106</v>
      </c>
      <c r="BZ18" s="8" t="s">
        <v>2148</v>
      </c>
      <c r="CA18" s="8" t="s">
        <v>112</v>
      </c>
      <c r="CB18" s="8" t="s">
        <v>112</v>
      </c>
      <c r="CC18" s="8" t="s">
        <v>2185</v>
      </c>
      <c r="CD18">
        <v>10836</v>
      </c>
      <c r="CE18" t="s">
        <v>144</v>
      </c>
      <c r="CF18">
        <v>4000000</v>
      </c>
      <c r="CG18">
        <v>10416</v>
      </c>
      <c r="CH18">
        <v>0</v>
      </c>
      <c r="CI18" s="8" t="s">
        <v>112</v>
      </c>
      <c r="CJ18" s="8" t="s">
        <v>112</v>
      </c>
      <c r="CK18">
        <v>90650.48</v>
      </c>
      <c r="CL18">
        <v>6807071</v>
      </c>
      <c r="CM18">
        <v>0</v>
      </c>
      <c r="CN18">
        <v>1</v>
      </c>
      <c r="CO18">
        <v>7084237.0599999903</v>
      </c>
      <c r="CP18">
        <v>100449.16</v>
      </c>
      <c r="CQ18" s="8" t="s">
        <v>145</v>
      </c>
      <c r="CR18">
        <v>9.6437000000000008</v>
      </c>
      <c r="CS18">
        <v>1168</v>
      </c>
      <c r="CT18" t="s">
        <v>2894</v>
      </c>
      <c r="CV18" t="s">
        <v>2895</v>
      </c>
      <c r="CW18">
        <v>0</v>
      </c>
    </row>
    <row r="19" spans="1:101" x14ac:dyDescent="0.2">
      <c r="A19" s="8" t="s">
        <v>106</v>
      </c>
      <c r="B19" s="46">
        <v>45048</v>
      </c>
      <c r="C19" s="8" t="s">
        <v>2938</v>
      </c>
      <c r="D19" s="8" t="s">
        <v>2261</v>
      </c>
      <c r="E19" s="8" t="s">
        <v>2939</v>
      </c>
      <c r="F19" t="s">
        <v>110</v>
      </c>
      <c r="G19" s="8" t="s">
        <v>111</v>
      </c>
      <c r="H19" s="8" t="s">
        <v>112</v>
      </c>
      <c r="I19" s="8" t="s">
        <v>112</v>
      </c>
      <c r="J19" s="8" t="s">
        <v>112</v>
      </c>
      <c r="K19" s="8" t="s">
        <v>2940</v>
      </c>
      <c r="L19" s="8" t="s">
        <v>2941</v>
      </c>
      <c r="M19" s="8" t="s">
        <v>112</v>
      </c>
      <c r="N19" s="8" t="s">
        <v>112</v>
      </c>
      <c r="O19">
        <v>1</v>
      </c>
      <c r="P19">
        <v>0</v>
      </c>
      <c r="Q19">
        <v>1</v>
      </c>
      <c r="R19">
        <v>28</v>
      </c>
      <c r="S19" s="8" t="s">
        <v>2136</v>
      </c>
      <c r="T19" s="8" t="s">
        <v>2137</v>
      </c>
      <c r="U19" s="8" t="s">
        <v>2141</v>
      </c>
      <c r="V19" s="8" t="s">
        <v>2942</v>
      </c>
      <c r="W19" s="8" t="s">
        <v>119</v>
      </c>
      <c r="X19" s="8" t="s">
        <v>2140</v>
      </c>
      <c r="Y19" s="8" t="s">
        <v>2136</v>
      </c>
      <c r="Z19" s="8" t="s">
        <v>2137</v>
      </c>
      <c r="AA19" s="8" t="s">
        <v>2141</v>
      </c>
      <c r="AB19" s="8" t="s">
        <v>2942</v>
      </c>
      <c r="AC19" s="8" t="s">
        <v>119</v>
      </c>
      <c r="AD19" s="8" t="s">
        <v>2140</v>
      </c>
      <c r="AE19" s="8" t="s">
        <v>2185</v>
      </c>
      <c r="AF19" s="8" t="s">
        <v>2186</v>
      </c>
      <c r="AG19">
        <v>6935230.4199999897</v>
      </c>
      <c r="AH19" s="8" t="s">
        <v>2136</v>
      </c>
      <c r="AI19" s="8" t="s">
        <v>2137</v>
      </c>
      <c r="AJ19" s="8" t="s">
        <v>2141</v>
      </c>
      <c r="AK19" s="8" t="s">
        <v>2942</v>
      </c>
      <c r="AL19" s="8" t="s">
        <v>119</v>
      </c>
      <c r="AM19" s="8" t="s">
        <v>2140</v>
      </c>
      <c r="AN19" s="8" t="s">
        <v>2185</v>
      </c>
      <c r="AO19" s="8" t="s">
        <v>2186</v>
      </c>
      <c r="AP19" s="8" t="s">
        <v>2186</v>
      </c>
      <c r="AQ19" s="8" t="s">
        <v>124</v>
      </c>
      <c r="AR19" s="8" t="s">
        <v>125</v>
      </c>
      <c r="AS19">
        <v>0</v>
      </c>
      <c r="AT19" s="8" t="s">
        <v>106</v>
      </c>
      <c r="AU19" s="8" t="s">
        <v>127</v>
      </c>
      <c r="AV19" s="8" t="s">
        <v>2890</v>
      </c>
      <c r="AW19">
        <v>1</v>
      </c>
      <c r="AX19" s="8" t="s">
        <v>129</v>
      </c>
      <c r="AY19">
        <v>91116.479999999894</v>
      </c>
      <c r="AZ19">
        <v>6682382</v>
      </c>
      <c r="BA19">
        <v>100505.2</v>
      </c>
      <c r="BB19">
        <v>73.338899999999896</v>
      </c>
      <c r="BC19" s="8" t="s">
        <v>130</v>
      </c>
      <c r="BD19" s="8" t="s">
        <v>746</v>
      </c>
      <c r="BE19" s="8" t="s">
        <v>2891</v>
      </c>
      <c r="BF19" s="8" t="s">
        <v>133</v>
      </c>
      <c r="BG19" s="8" t="s">
        <v>134</v>
      </c>
      <c r="BH19" s="8" t="s">
        <v>112</v>
      </c>
      <c r="BI19" s="8" t="s">
        <v>2481</v>
      </c>
      <c r="BJ19" s="8" t="s">
        <v>112</v>
      </c>
      <c r="BK19" s="8" t="s">
        <v>2274</v>
      </c>
      <c r="BL19" s="8" t="s">
        <v>2482</v>
      </c>
      <c r="BM19" s="8" t="s">
        <v>2943</v>
      </c>
      <c r="BN19" s="8" t="s">
        <v>2277</v>
      </c>
      <c r="BO19">
        <v>1</v>
      </c>
      <c r="BP19" s="8" t="s">
        <v>2806</v>
      </c>
      <c r="BR19" s="8" t="s">
        <v>2887</v>
      </c>
      <c r="BS19">
        <v>28</v>
      </c>
      <c r="BT19">
        <v>1</v>
      </c>
      <c r="BU19">
        <v>336</v>
      </c>
      <c r="BV19" t="s">
        <v>2147</v>
      </c>
      <c r="BW19">
        <v>0</v>
      </c>
      <c r="BY19" s="8" t="s">
        <v>106</v>
      </c>
      <c r="BZ19" s="8" t="s">
        <v>2148</v>
      </c>
      <c r="CA19" s="8" t="s">
        <v>112</v>
      </c>
      <c r="CB19" s="8" t="s">
        <v>112</v>
      </c>
      <c r="CC19" s="8" t="s">
        <v>2185</v>
      </c>
      <c r="CD19">
        <v>10836</v>
      </c>
      <c r="CE19" t="s">
        <v>144</v>
      </c>
      <c r="CF19">
        <v>4000000</v>
      </c>
      <c r="CG19">
        <v>10836</v>
      </c>
      <c r="CH19">
        <v>0</v>
      </c>
      <c r="CI19" s="8" t="s">
        <v>112</v>
      </c>
      <c r="CJ19" s="8" t="s">
        <v>112</v>
      </c>
      <c r="CK19">
        <v>91116.479999999894</v>
      </c>
      <c r="CL19">
        <v>6682382</v>
      </c>
      <c r="CM19">
        <v>0</v>
      </c>
      <c r="CN19">
        <v>1</v>
      </c>
      <c r="CO19">
        <v>6935230.4199999897</v>
      </c>
      <c r="CP19">
        <v>100505.2</v>
      </c>
      <c r="CQ19" s="8" t="s">
        <v>145</v>
      </c>
      <c r="CR19">
        <v>9.2751000000000001</v>
      </c>
      <c r="CS19">
        <v>897</v>
      </c>
      <c r="CT19" t="s">
        <v>2944</v>
      </c>
      <c r="CV19" t="s">
        <v>2945</v>
      </c>
      <c r="CW19">
        <v>0</v>
      </c>
    </row>
    <row r="20" spans="1:101" x14ac:dyDescent="0.2">
      <c r="A20" s="8" t="s">
        <v>106</v>
      </c>
      <c r="B20" s="46">
        <v>44928</v>
      </c>
      <c r="C20" s="8" t="s">
        <v>2978</v>
      </c>
      <c r="D20" s="8" t="s">
        <v>2261</v>
      </c>
      <c r="E20" s="8" t="s">
        <v>2979</v>
      </c>
      <c r="F20" t="s">
        <v>110</v>
      </c>
      <c r="G20" s="8" t="s">
        <v>111</v>
      </c>
      <c r="H20" s="8" t="s">
        <v>112</v>
      </c>
      <c r="I20" s="8" t="s">
        <v>112</v>
      </c>
      <c r="J20" s="8" t="s">
        <v>112</v>
      </c>
      <c r="K20" s="8" t="s">
        <v>2980</v>
      </c>
      <c r="L20" s="8" t="s">
        <v>2981</v>
      </c>
      <c r="M20" s="8" t="s">
        <v>112</v>
      </c>
      <c r="N20" s="8" t="s">
        <v>112</v>
      </c>
      <c r="O20">
        <v>1</v>
      </c>
      <c r="P20">
        <v>0</v>
      </c>
      <c r="Q20">
        <v>1</v>
      </c>
      <c r="R20">
        <v>404</v>
      </c>
      <c r="S20" s="8" t="s">
        <v>2982</v>
      </c>
      <c r="T20" s="8" t="s">
        <v>2983</v>
      </c>
      <c r="U20" s="8" t="s">
        <v>2984</v>
      </c>
      <c r="V20" s="8" t="s">
        <v>2985</v>
      </c>
      <c r="W20" s="8" t="s">
        <v>2986</v>
      </c>
      <c r="X20" s="8" t="s">
        <v>2987</v>
      </c>
      <c r="Y20" s="8" t="s">
        <v>2982</v>
      </c>
      <c r="Z20" s="8" t="s">
        <v>2983</v>
      </c>
      <c r="AA20" s="8" t="s">
        <v>2984</v>
      </c>
      <c r="AB20" s="8" t="s">
        <v>2985</v>
      </c>
      <c r="AC20" s="8" t="s">
        <v>2986</v>
      </c>
      <c r="AD20" s="8" t="s">
        <v>2987</v>
      </c>
      <c r="AE20" s="8" t="s">
        <v>2185</v>
      </c>
      <c r="AF20" s="8" t="s">
        <v>2186</v>
      </c>
      <c r="AG20">
        <v>8329581.8200000003</v>
      </c>
      <c r="AH20" s="8" t="s">
        <v>2982</v>
      </c>
      <c r="AI20" s="8" t="s">
        <v>2983</v>
      </c>
      <c r="AJ20" s="8" t="s">
        <v>2984</v>
      </c>
      <c r="AK20" s="8" t="s">
        <v>2985</v>
      </c>
      <c r="AL20" s="8" t="s">
        <v>2986</v>
      </c>
      <c r="AM20" s="8" t="s">
        <v>2987</v>
      </c>
      <c r="AN20" s="8" t="s">
        <v>2185</v>
      </c>
      <c r="AO20" s="8" t="s">
        <v>2186</v>
      </c>
      <c r="AP20" s="8" t="s">
        <v>2186</v>
      </c>
      <c r="AQ20" s="8" t="s">
        <v>124</v>
      </c>
      <c r="AR20" s="8" t="s">
        <v>125</v>
      </c>
      <c r="AS20">
        <v>1</v>
      </c>
      <c r="AT20" s="8" t="s">
        <v>106</v>
      </c>
      <c r="AU20" s="8" t="s">
        <v>2957</v>
      </c>
      <c r="AV20" s="8" t="s">
        <v>2275</v>
      </c>
      <c r="AW20">
        <v>1</v>
      </c>
      <c r="AX20" s="8" t="s">
        <v>129</v>
      </c>
      <c r="AY20">
        <v>117950</v>
      </c>
      <c r="AZ20">
        <v>8329582</v>
      </c>
      <c r="BA20">
        <v>125544.96000000001</v>
      </c>
      <c r="BB20">
        <v>70.619600000000005</v>
      </c>
      <c r="BC20" s="8" t="s">
        <v>130</v>
      </c>
      <c r="BD20" s="8" t="s">
        <v>145</v>
      </c>
      <c r="BE20" s="8" t="s">
        <v>2988</v>
      </c>
      <c r="BF20" s="8" t="s">
        <v>133</v>
      </c>
      <c r="BG20" s="8" t="s">
        <v>2480</v>
      </c>
      <c r="BH20" s="8" t="s">
        <v>112</v>
      </c>
      <c r="BI20" s="8" t="s">
        <v>2481</v>
      </c>
      <c r="BJ20" s="8" t="s">
        <v>112</v>
      </c>
      <c r="BK20" s="8" t="s">
        <v>2274</v>
      </c>
      <c r="BL20" s="8" t="s">
        <v>2482</v>
      </c>
      <c r="BM20" s="8" t="s">
        <v>2989</v>
      </c>
      <c r="BN20" s="8" t="s">
        <v>2277</v>
      </c>
      <c r="BO20">
        <v>1</v>
      </c>
      <c r="BP20" s="8" t="s">
        <v>2990</v>
      </c>
      <c r="BR20" s="8" t="s">
        <v>2991</v>
      </c>
      <c r="BS20">
        <v>404</v>
      </c>
      <c r="BT20">
        <v>1</v>
      </c>
      <c r="BU20">
        <v>404</v>
      </c>
      <c r="BV20" t="s">
        <v>2147</v>
      </c>
      <c r="BW20">
        <v>0</v>
      </c>
      <c r="BY20" s="8" t="s">
        <v>106</v>
      </c>
      <c r="BZ20" s="8" t="s">
        <v>2148</v>
      </c>
      <c r="CA20" s="8" t="s">
        <v>112</v>
      </c>
      <c r="CB20" s="8" t="s">
        <v>112</v>
      </c>
      <c r="CC20" s="8" t="s">
        <v>2185</v>
      </c>
      <c r="CD20">
        <v>14050</v>
      </c>
      <c r="CE20" t="s">
        <v>144</v>
      </c>
      <c r="CF20">
        <v>4000000</v>
      </c>
      <c r="CG20">
        <v>14050</v>
      </c>
      <c r="CH20">
        <v>0</v>
      </c>
      <c r="CI20" s="8" t="s">
        <v>112</v>
      </c>
      <c r="CJ20" s="8" t="s">
        <v>112</v>
      </c>
      <c r="CK20">
        <v>117950</v>
      </c>
      <c r="CL20">
        <v>8329582</v>
      </c>
      <c r="CM20">
        <v>0</v>
      </c>
      <c r="CN20">
        <v>1</v>
      </c>
      <c r="CO20">
        <v>8329581.8200000003</v>
      </c>
      <c r="CP20">
        <v>125544.96000000001</v>
      </c>
      <c r="CQ20" s="8" t="s">
        <v>145</v>
      </c>
      <c r="CR20">
        <v>8.9356000000000009</v>
      </c>
      <c r="CS20">
        <v>1027</v>
      </c>
      <c r="CT20" t="s">
        <v>2992</v>
      </c>
      <c r="CV20" t="s">
        <v>2993</v>
      </c>
      <c r="CW20">
        <v>201</v>
      </c>
    </row>
    <row r="21" spans="1:101" x14ac:dyDescent="0.2">
      <c r="A21" s="8" t="s">
        <v>106</v>
      </c>
      <c r="B21" s="46">
        <v>45162</v>
      </c>
      <c r="C21" s="8" t="s">
        <v>3071</v>
      </c>
      <c r="D21" s="8" t="s">
        <v>2261</v>
      </c>
      <c r="E21" s="8" t="s">
        <v>3072</v>
      </c>
      <c r="F21" t="s">
        <v>110</v>
      </c>
      <c r="G21" s="8" t="s">
        <v>111</v>
      </c>
      <c r="H21" s="8" t="s">
        <v>112</v>
      </c>
      <c r="I21" s="8" t="s">
        <v>112</v>
      </c>
      <c r="J21" s="8" t="s">
        <v>112</v>
      </c>
      <c r="K21" s="8" t="s">
        <v>3073</v>
      </c>
      <c r="L21" s="8" t="s">
        <v>3074</v>
      </c>
      <c r="M21" s="8" t="s">
        <v>112</v>
      </c>
      <c r="N21" s="8" t="s">
        <v>112</v>
      </c>
      <c r="O21">
        <v>2</v>
      </c>
      <c r="P21">
        <v>0</v>
      </c>
      <c r="Q21">
        <v>2</v>
      </c>
      <c r="R21">
        <v>650</v>
      </c>
      <c r="S21" s="8" t="s">
        <v>3075</v>
      </c>
      <c r="T21" s="8" t="s">
        <v>3076</v>
      </c>
      <c r="U21" s="8" t="s">
        <v>3077</v>
      </c>
      <c r="V21" s="8" t="s">
        <v>3078</v>
      </c>
      <c r="W21" s="8" t="s">
        <v>3079</v>
      </c>
      <c r="X21" s="8" t="s">
        <v>3080</v>
      </c>
      <c r="Y21" s="8" t="s">
        <v>3075</v>
      </c>
      <c r="Z21" s="8" t="s">
        <v>3076</v>
      </c>
      <c r="AA21" s="8" t="s">
        <v>3077</v>
      </c>
      <c r="AB21" s="8" t="s">
        <v>3078</v>
      </c>
      <c r="AC21" s="8" t="s">
        <v>3079</v>
      </c>
      <c r="AD21" s="8" t="s">
        <v>3080</v>
      </c>
      <c r="AE21" s="8" t="s">
        <v>2185</v>
      </c>
      <c r="AF21" s="8" t="s">
        <v>2186</v>
      </c>
      <c r="AG21">
        <v>9550855.9800000004</v>
      </c>
      <c r="AH21" s="8" t="s">
        <v>3075</v>
      </c>
      <c r="AI21" s="8" t="s">
        <v>3076</v>
      </c>
      <c r="AJ21" s="8" t="s">
        <v>3077</v>
      </c>
      <c r="AK21" s="8" t="s">
        <v>3078</v>
      </c>
      <c r="AL21" s="8" t="s">
        <v>3079</v>
      </c>
      <c r="AM21" s="8" t="s">
        <v>3080</v>
      </c>
      <c r="AN21" s="8" t="s">
        <v>2185</v>
      </c>
      <c r="AO21" s="8" t="s">
        <v>2186</v>
      </c>
      <c r="AP21" s="8" t="s">
        <v>2186</v>
      </c>
      <c r="AQ21" s="8" t="s">
        <v>124</v>
      </c>
      <c r="AR21" s="8" t="s">
        <v>125</v>
      </c>
      <c r="AS21">
        <v>0</v>
      </c>
      <c r="AT21" s="8" t="s">
        <v>106</v>
      </c>
      <c r="AU21" s="8" t="s">
        <v>127</v>
      </c>
      <c r="AV21" s="8" t="s">
        <v>2271</v>
      </c>
      <c r="AW21">
        <v>1</v>
      </c>
      <c r="AX21" s="8" t="s">
        <v>129</v>
      </c>
      <c r="AY21">
        <v>133881</v>
      </c>
      <c r="AZ21">
        <v>9208308</v>
      </c>
      <c r="BA21">
        <v>147828.22</v>
      </c>
      <c r="BB21">
        <v>68.779799999999895</v>
      </c>
      <c r="BC21" s="8" t="s">
        <v>130</v>
      </c>
      <c r="BD21" s="8" t="s">
        <v>112</v>
      </c>
      <c r="BE21" s="8" t="s">
        <v>3081</v>
      </c>
      <c r="BF21" s="8" t="s">
        <v>133</v>
      </c>
      <c r="BG21" s="8" t="s">
        <v>134</v>
      </c>
      <c r="BH21" s="8" t="s">
        <v>112</v>
      </c>
      <c r="BI21" s="8" t="s">
        <v>2273</v>
      </c>
      <c r="BJ21" s="8" t="s">
        <v>112</v>
      </c>
      <c r="BK21" s="8" t="s">
        <v>2274</v>
      </c>
      <c r="BL21" s="8" t="s">
        <v>2275</v>
      </c>
      <c r="BM21" s="8" t="s">
        <v>2276</v>
      </c>
      <c r="BN21" s="8" t="s">
        <v>2277</v>
      </c>
      <c r="BO21">
        <v>1</v>
      </c>
      <c r="BP21" s="8" t="s">
        <v>3082</v>
      </c>
      <c r="BR21" s="8" t="s">
        <v>2279</v>
      </c>
      <c r="BS21">
        <v>490</v>
      </c>
      <c r="BT21">
        <v>1</v>
      </c>
      <c r="BU21">
        <v>490</v>
      </c>
      <c r="BV21" t="s">
        <v>2147</v>
      </c>
      <c r="BW21">
        <v>0</v>
      </c>
      <c r="BY21" s="8" t="s">
        <v>106</v>
      </c>
      <c r="BZ21" s="8" t="s">
        <v>2148</v>
      </c>
      <c r="CA21" s="8" t="s">
        <v>112</v>
      </c>
      <c r="CB21" s="8" t="s">
        <v>112</v>
      </c>
      <c r="CC21" s="8" t="s">
        <v>2185</v>
      </c>
      <c r="CD21">
        <v>15242</v>
      </c>
      <c r="CE21" t="s">
        <v>144</v>
      </c>
      <c r="CF21">
        <v>4000000</v>
      </c>
      <c r="CG21">
        <v>14378.1</v>
      </c>
      <c r="CH21">
        <v>0</v>
      </c>
      <c r="CI21" s="8" t="s">
        <v>112</v>
      </c>
      <c r="CJ21" s="8" t="s">
        <v>112</v>
      </c>
      <c r="CK21">
        <v>132281</v>
      </c>
      <c r="CL21">
        <v>9098261</v>
      </c>
      <c r="CM21">
        <v>0</v>
      </c>
      <c r="CN21">
        <v>1</v>
      </c>
      <c r="CO21">
        <v>9437070.3200000003</v>
      </c>
      <c r="CP21">
        <v>146067.04</v>
      </c>
      <c r="CQ21" s="8" t="s">
        <v>145</v>
      </c>
      <c r="CR21">
        <v>10.159000000000001</v>
      </c>
      <c r="CS21">
        <v>727</v>
      </c>
      <c r="CT21" t="s">
        <v>3083</v>
      </c>
      <c r="CV21" t="s">
        <v>2281</v>
      </c>
      <c r="CW21">
        <v>18</v>
      </c>
    </row>
    <row r="22" spans="1:101" x14ac:dyDescent="0.2">
      <c r="A22" s="8" t="s">
        <v>106</v>
      </c>
      <c r="B22" s="46">
        <v>45241</v>
      </c>
      <c r="C22" s="8" t="s">
        <v>3125</v>
      </c>
      <c r="D22" s="8" t="s">
        <v>2261</v>
      </c>
      <c r="E22" s="8" t="s">
        <v>3126</v>
      </c>
      <c r="F22" t="s">
        <v>110</v>
      </c>
      <c r="G22" s="8" t="s">
        <v>111</v>
      </c>
      <c r="H22" s="8" t="s">
        <v>112</v>
      </c>
      <c r="I22" s="8" t="s">
        <v>112</v>
      </c>
      <c r="J22" s="8" t="s">
        <v>112</v>
      </c>
      <c r="K22" s="8" t="s">
        <v>3073</v>
      </c>
      <c r="L22" s="8" t="s">
        <v>3127</v>
      </c>
      <c r="M22" s="8" t="s">
        <v>112</v>
      </c>
      <c r="N22" s="8" t="s">
        <v>112</v>
      </c>
      <c r="O22">
        <v>1</v>
      </c>
      <c r="P22">
        <v>0</v>
      </c>
      <c r="Q22">
        <v>1</v>
      </c>
      <c r="R22">
        <v>490</v>
      </c>
      <c r="S22" s="8" t="s">
        <v>2265</v>
      </c>
      <c r="T22" s="8" t="s">
        <v>2266</v>
      </c>
      <c r="U22" s="8" t="s">
        <v>2267</v>
      </c>
      <c r="V22" s="8" t="s">
        <v>2268</v>
      </c>
      <c r="W22" s="8" t="s">
        <v>2269</v>
      </c>
      <c r="X22" s="8" t="s">
        <v>2270</v>
      </c>
      <c r="Y22" s="8" t="s">
        <v>2265</v>
      </c>
      <c r="Z22" s="8" t="s">
        <v>2266</v>
      </c>
      <c r="AA22" s="8" t="s">
        <v>2267</v>
      </c>
      <c r="AB22" s="8" t="s">
        <v>2268</v>
      </c>
      <c r="AC22" s="8" t="s">
        <v>2269</v>
      </c>
      <c r="AD22" s="8" t="s">
        <v>2270</v>
      </c>
      <c r="AE22" s="8" t="s">
        <v>2185</v>
      </c>
      <c r="AF22" s="8" t="s">
        <v>2186</v>
      </c>
      <c r="AG22">
        <v>9458278.3699999899</v>
      </c>
      <c r="AH22" s="8" t="s">
        <v>2265</v>
      </c>
      <c r="AI22" s="8" t="s">
        <v>2266</v>
      </c>
      <c r="AJ22" s="8" t="s">
        <v>2267</v>
      </c>
      <c r="AK22" s="8" t="s">
        <v>2268</v>
      </c>
      <c r="AL22" s="8" t="s">
        <v>2269</v>
      </c>
      <c r="AM22" s="8" t="s">
        <v>2270</v>
      </c>
      <c r="AN22" s="8" t="s">
        <v>2185</v>
      </c>
      <c r="AO22" s="8" t="s">
        <v>2186</v>
      </c>
      <c r="AP22" s="8" t="s">
        <v>2186</v>
      </c>
      <c r="AQ22" s="8" t="s">
        <v>124</v>
      </c>
      <c r="AR22" s="8" t="s">
        <v>125</v>
      </c>
      <c r="AS22">
        <v>0</v>
      </c>
      <c r="AT22" s="8" t="s">
        <v>106</v>
      </c>
      <c r="AU22" s="8" t="s">
        <v>127</v>
      </c>
      <c r="AV22" s="8" t="s">
        <v>2271</v>
      </c>
      <c r="AW22">
        <v>1</v>
      </c>
      <c r="AX22" s="8" t="s">
        <v>129</v>
      </c>
      <c r="AY22">
        <v>132535</v>
      </c>
      <c r="AZ22">
        <v>9115731</v>
      </c>
      <c r="BA22">
        <v>146395.299999999</v>
      </c>
      <c r="BB22">
        <v>68.779799999999895</v>
      </c>
      <c r="BC22" s="8" t="s">
        <v>130</v>
      </c>
      <c r="BD22" s="8" t="s">
        <v>112</v>
      </c>
      <c r="BE22" s="8" t="s">
        <v>2272</v>
      </c>
      <c r="BF22" s="8" t="s">
        <v>133</v>
      </c>
      <c r="BG22" s="8" t="s">
        <v>134</v>
      </c>
      <c r="BH22" s="8" t="s">
        <v>112</v>
      </c>
      <c r="BI22" s="8" t="s">
        <v>2273</v>
      </c>
      <c r="BJ22" s="8" t="s">
        <v>112</v>
      </c>
      <c r="BK22" s="8" t="s">
        <v>2274</v>
      </c>
      <c r="BL22" s="8" t="s">
        <v>2275</v>
      </c>
      <c r="BM22" s="8" t="s">
        <v>2276</v>
      </c>
      <c r="BN22" s="8" t="s">
        <v>2277</v>
      </c>
      <c r="BO22">
        <v>1</v>
      </c>
      <c r="BP22" s="8" t="s">
        <v>3082</v>
      </c>
      <c r="BR22" s="8" t="s">
        <v>2279</v>
      </c>
      <c r="BS22">
        <v>490</v>
      </c>
      <c r="BT22">
        <v>1</v>
      </c>
      <c r="BU22">
        <v>490</v>
      </c>
      <c r="BV22" t="s">
        <v>2147</v>
      </c>
      <c r="BW22">
        <v>0</v>
      </c>
      <c r="BY22" s="8" t="s">
        <v>106</v>
      </c>
      <c r="BZ22" s="8" t="s">
        <v>2148</v>
      </c>
      <c r="CA22" s="8" t="s">
        <v>112</v>
      </c>
      <c r="CB22" s="8" t="s">
        <v>112</v>
      </c>
      <c r="CC22" s="8" t="s">
        <v>2185</v>
      </c>
      <c r="CD22">
        <v>15616.2</v>
      </c>
      <c r="CE22" t="s">
        <v>144</v>
      </c>
      <c r="CF22">
        <v>4000000</v>
      </c>
      <c r="CG22">
        <v>14756.8</v>
      </c>
      <c r="CH22">
        <v>0</v>
      </c>
      <c r="CI22" s="8" t="s">
        <v>112</v>
      </c>
      <c r="CJ22" s="8" t="s">
        <v>112</v>
      </c>
      <c r="CK22">
        <v>132535</v>
      </c>
      <c r="CL22">
        <v>9115731</v>
      </c>
      <c r="CM22">
        <v>0</v>
      </c>
      <c r="CN22">
        <v>1</v>
      </c>
      <c r="CO22">
        <v>9458278.3699999899</v>
      </c>
      <c r="CP22">
        <v>146395.299999999</v>
      </c>
      <c r="CQ22" s="8" t="s">
        <v>145</v>
      </c>
      <c r="CR22">
        <v>9.9205000000000005</v>
      </c>
      <c r="CS22">
        <v>727</v>
      </c>
      <c r="CT22" t="s">
        <v>2280</v>
      </c>
      <c r="CV22" t="s">
        <v>2281</v>
      </c>
      <c r="CW22">
        <v>0</v>
      </c>
    </row>
    <row r="23" spans="1:101" x14ac:dyDescent="0.2">
      <c r="A23" s="8" t="s">
        <v>106</v>
      </c>
      <c r="B23" s="46">
        <v>45205</v>
      </c>
      <c r="C23" s="8" t="s">
        <v>3170</v>
      </c>
      <c r="D23" s="8" t="s">
        <v>2261</v>
      </c>
      <c r="E23" s="8" t="s">
        <v>3171</v>
      </c>
      <c r="F23" t="s">
        <v>110</v>
      </c>
      <c r="G23" s="8" t="s">
        <v>111</v>
      </c>
      <c r="H23" s="8" t="s">
        <v>112</v>
      </c>
      <c r="I23" s="8" t="s">
        <v>112</v>
      </c>
      <c r="J23" s="8" t="s">
        <v>112</v>
      </c>
      <c r="K23" s="8" t="s">
        <v>2606</v>
      </c>
      <c r="L23" s="8" t="s">
        <v>3172</v>
      </c>
      <c r="M23" s="8" t="s">
        <v>112</v>
      </c>
      <c r="N23" s="8" t="s">
        <v>112</v>
      </c>
      <c r="O23">
        <v>3</v>
      </c>
      <c r="P23">
        <v>0</v>
      </c>
      <c r="Q23">
        <v>5</v>
      </c>
      <c r="R23">
        <v>6</v>
      </c>
      <c r="S23" s="8" t="s">
        <v>3173</v>
      </c>
      <c r="T23" s="8" t="s">
        <v>3174</v>
      </c>
      <c r="U23" s="8" t="s">
        <v>3175</v>
      </c>
      <c r="V23" s="8" t="s">
        <v>3176</v>
      </c>
      <c r="W23" s="8" t="s">
        <v>435</v>
      </c>
      <c r="X23" s="8" t="s">
        <v>2184</v>
      </c>
      <c r="Y23" s="8" t="s">
        <v>3173</v>
      </c>
      <c r="Z23" s="8" t="s">
        <v>3174</v>
      </c>
      <c r="AA23" s="8" t="s">
        <v>3175</v>
      </c>
      <c r="AB23" s="8" t="s">
        <v>3176</v>
      </c>
      <c r="AC23" s="8" t="s">
        <v>435</v>
      </c>
      <c r="AD23" s="8" t="s">
        <v>2184</v>
      </c>
      <c r="AE23" s="8" t="s">
        <v>2185</v>
      </c>
      <c r="AF23" s="8" t="s">
        <v>2186</v>
      </c>
      <c r="AG23">
        <v>2970657.96</v>
      </c>
      <c r="AH23" s="8" t="s">
        <v>3173</v>
      </c>
      <c r="AI23" s="8" t="s">
        <v>3174</v>
      </c>
      <c r="AJ23" s="8" t="s">
        <v>3175</v>
      </c>
      <c r="AK23" s="8" t="s">
        <v>3176</v>
      </c>
      <c r="AL23" s="8" t="s">
        <v>435</v>
      </c>
      <c r="AM23" s="8" t="s">
        <v>2184</v>
      </c>
      <c r="AN23" s="8" t="s">
        <v>2185</v>
      </c>
      <c r="AO23" s="8" t="s">
        <v>2186</v>
      </c>
      <c r="AP23" s="8" t="s">
        <v>2186</v>
      </c>
      <c r="AQ23" s="8" t="s">
        <v>124</v>
      </c>
      <c r="AR23" s="8" t="s">
        <v>125</v>
      </c>
      <c r="AS23">
        <v>2</v>
      </c>
      <c r="AT23" s="8" t="s">
        <v>106</v>
      </c>
      <c r="AU23" s="8" t="s">
        <v>127</v>
      </c>
      <c r="AV23" s="8" t="s">
        <v>3177</v>
      </c>
      <c r="AW23">
        <v>1</v>
      </c>
      <c r="AX23" s="8" t="s">
        <v>129</v>
      </c>
      <c r="AY23">
        <v>39317</v>
      </c>
      <c r="AZ23">
        <v>2704215</v>
      </c>
      <c r="BA23">
        <v>45979.86</v>
      </c>
      <c r="BB23">
        <v>68.779799999999895</v>
      </c>
      <c r="BC23" s="8" t="s">
        <v>130</v>
      </c>
      <c r="BD23" s="8" t="s">
        <v>111</v>
      </c>
      <c r="BE23" s="8" t="s">
        <v>3178</v>
      </c>
      <c r="BF23" s="8" t="s">
        <v>133</v>
      </c>
      <c r="BG23" s="8" t="s">
        <v>167</v>
      </c>
      <c r="BH23" s="8" t="s">
        <v>3179</v>
      </c>
      <c r="BI23" s="8" t="s">
        <v>112</v>
      </c>
      <c r="BJ23" s="8" t="s">
        <v>112</v>
      </c>
      <c r="BK23" s="8" t="s">
        <v>2274</v>
      </c>
      <c r="BL23" s="8" t="s">
        <v>2482</v>
      </c>
      <c r="BM23" s="8" t="s">
        <v>3180</v>
      </c>
      <c r="BN23" s="8" t="s">
        <v>3181</v>
      </c>
      <c r="BO23">
        <v>1</v>
      </c>
      <c r="BP23" s="8" t="s">
        <v>3182</v>
      </c>
      <c r="BR23" s="8" t="s">
        <v>3183</v>
      </c>
      <c r="BS23">
        <v>6</v>
      </c>
      <c r="BT23">
        <v>1</v>
      </c>
      <c r="BU23">
        <v>21</v>
      </c>
      <c r="BV23" t="s">
        <v>2147</v>
      </c>
      <c r="BW23">
        <v>0</v>
      </c>
      <c r="BY23" s="8" t="s">
        <v>106</v>
      </c>
      <c r="BZ23" s="8" t="s">
        <v>2148</v>
      </c>
      <c r="CA23" s="8" t="s">
        <v>112</v>
      </c>
      <c r="CB23" s="8" t="s">
        <v>112</v>
      </c>
      <c r="CC23" s="8" t="s">
        <v>2185</v>
      </c>
      <c r="CD23">
        <v>1898</v>
      </c>
      <c r="CE23" t="s">
        <v>144</v>
      </c>
      <c r="CF23">
        <v>4000000</v>
      </c>
      <c r="CG23">
        <v>1898</v>
      </c>
      <c r="CH23">
        <v>0</v>
      </c>
      <c r="CI23" s="8" t="s">
        <v>112</v>
      </c>
      <c r="CJ23" s="8" t="s">
        <v>112</v>
      </c>
      <c r="CK23">
        <v>34888.730000000003</v>
      </c>
      <c r="CL23">
        <v>2399640</v>
      </c>
      <c r="CM23">
        <v>0</v>
      </c>
      <c r="CN23">
        <v>1</v>
      </c>
      <c r="CO23">
        <v>2647292.54999999</v>
      </c>
      <c r="CP23">
        <v>40974.81</v>
      </c>
      <c r="CQ23" s="8" t="s">
        <v>145</v>
      </c>
      <c r="CR23">
        <v>21.5884</v>
      </c>
      <c r="CS23">
        <v>905</v>
      </c>
      <c r="CT23" t="s">
        <v>3184</v>
      </c>
      <c r="CV23" t="s">
        <v>3185</v>
      </c>
      <c r="CW23">
        <v>145</v>
      </c>
    </row>
    <row r="24" spans="1:101" x14ac:dyDescent="0.2">
      <c r="A24" s="8" t="s">
        <v>106</v>
      </c>
      <c r="B24" s="46">
        <v>45073</v>
      </c>
      <c r="C24" s="8" t="s">
        <v>3213</v>
      </c>
      <c r="D24" s="8" t="s">
        <v>2261</v>
      </c>
      <c r="E24" s="8" t="s">
        <v>3214</v>
      </c>
      <c r="F24" t="s">
        <v>110</v>
      </c>
      <c r="G24" s="8" t="s">
        <v>111</v>
      </c>
      <c r="H24" s="8" t="s">
        <v>112</v>
      </c>
      <c r="I24" s="8" t="s">
        <v>112</v>
      </c>
      <c r="J24" s="8" t="s">
        <v>112</v>
      </c>
      <c r="K24" s="8" t="s">
        <v>2178</v>
      </c>
      <c r="L24" s="8" t="s">
        <v>3215</v>
      </c>
      <c r="M24" s="8" t="s">
        <v>112</v>
      </c>
      <c r="N24" s="8" t="s">
        <v>112</v>
      </c>
      <c r="O24">
        <v>1</v>
      </c>
      <c r="P24">
        <v>0</v>
      </c>
      <c r="Q24">
        <v>1</v>
      </c>
      <c r="R24">
        <v>81</v>
      </c>
      <c r="S24" s="8" t="s">
        <v>2391</v>
      </c>
      <c r="T24" s="8" t="s">
        <v>2392</v>
      </c>
      <c r="U24" s="8" t="s">
        <v>2393</v>
      </c>
      <c r="V24" s="8" t="s">
        <v>3216</v>
      </c>
      <c r="W24" s="8" t="s">
        <v>119</v>
      </c>
      <c r="X24" s="8" t="s">
        <v>2395</v>
      </c>
      <c r="Y24" s="8" t="s">
        <v>2391</v>
      </c>
      <c r="Z24" s="8" t="s">
        <v>2392</v>
      </c>
      <c r="AA24" s="8" t="s">
        <v>2393</v>
      </c>
      <c r="AB24" s="8" t="s">
        <v>3216</v>
      </c>
      <c r="AC24" s="8" t="s">
        <v>119</v>
      </c>
      <c r="AD24" s="8" t="s">
        <v>2395</v>
      </c>
      <c r="AE24" s="8" t="s">
        <v>2185</v>
      </c>
      <c r="AF24" s="8" t="s">
        <v>2186</v>
      </c>
      <c r="AG24">
        <v>4140372.89</v>
      </c>
      <c r="AH24" s="8" t="s">
        <v>2391</v>
      </c>
      <c r="AI24" s="8" t="s">
        <v>2392</v>
      </c>
      <c r="AJ24" s="8" t="s">
        <v>2393</v>
      </c>
      <c r="AK24" s="8" t="s">
        <v>3216</v>
      </c>
      <c r="AL24" s="8" t="s">
        <v>119</v>
      </c>
      <c r="AM24" s="8" t="s">
        <v>2395</v>
      </c>
      <c r="AN24" s="8" t="s">
        <v>2185</v>
      </c>
      <c r="AO24" s="8" t="s">
        <v>2186</v>
      </c>
      <c r="AP24" s="8" t="s">
        <v>2186</v>
      </c>
      <c r="AQ24" s="8" t="s">
        <v>124</v>
      </c>
      <c r="AR24" s="8" t="s">
        <v>125</v>
      </c>
      <c r="AS24">
        <v>0</v>
      </c>
      <c r="AT24" s="8" t="s">
        <v>106</v>
      </c>
      <c r="AU24" s="8" t="s">
        <v>127</v>
      </c>
      <c r="AV24" s="8" t="s">
        <v>2187</v>
      </c>
      <c r="AW24">
        <v>1</v>
      </c>
      <c r="AX24" s="8" t="s">
        <v>129</v>
      </c>
      <c r="AY24">
        <v>56815.8</v>
      </c>
      <c r="AZ24">
        <v>3907779</v>
      </c>
      <c r="BA24">
        <v>64084.72</v>
      </c>
      <c r="BB24">
        <v>68.779799999999895</v>
      </c>
      <c r="BC24" s="8" t="s">
        <v>130</v>
      </c>
      <c r="BD24" s="8" t="s">
        <v>112</v>
      </c>
      <c r="BE24" s="8" t="s">
        <v>3217</v>
      </c>
      <c r="BF24" s="8" t="s">
        <v>133</v>
      </c>
      <c r="BG24" s="8" t="s">
        <v>134</v>
      </c>
      <c r="BH24" s="8" t="s">
        <v>112</v>
      </c>
      <c r="BI24" s="8" t="s">
        <v>2481</v>
      </c>
      <c r="BJ24" s="8" t="s">
        <v>112</v>
      </c>
      <c r="BK24" s="8" t="s">
        <v>2274</v>
      </c>
      <c r="BL24" s="8" t="s">
        <v>2275</v>
      </c>
      <c r="BM24" s="8" t="s">
        <v>3218</v>
      </c>
      <c r="BN24" s="8" t="s">
        <v>2277</v>
      </c>
      <c r="BO24">
        <v>1</v>
      </c>
      <c r="BP24" s="8" t="s">
        <v>3219</v>
      </c>
      <c r="BR24" s="8" t="s">
        <v>2178</v>
      </c>
      <c r="BS24">
        <v>81</v>
      </c>
      <c r="BT24">
        <v>1</v>
      </c>
      <c r="BU24">
        <v>81</v>
      </c>
      <c r="BV24" t="s">
        <v>2147</v>
      </c>
      <c r="BW24">
        <v>0</v>
      </c>
      <c r="BY24" s="8" t="s">
        <v>106</v>
      </c>
      <c r="BZ24" s="8" t="s">
        <v>2467</v>
      </c>
      <c r="CA24" s="8" t="s">
        <v>112</v>
      </c>
      <c r="CB24" s="8" t="s">
        <v>112</v>
      </c>
      <c r="CC24" s="8" t="s">
        <v>2185</v>
      </c>
      <c r="CD24">
        <v>18138</v>
      </c>
      <c r="CE24" t="s">
        <v>144</v>
      </c>
      <c r="CF24">
        <v>4000000</v>
      </c>
      <c r="CG24">
        <v>16385</v>
      </c>
      <c r="CH24">
        <v>0</v>
      </c>
      <c r="CI24" s="8" t="s">
        <v>112</v>
      </c>
      <c r="CJ24" s="8" t="s">
        <v>112</v>
      </c>
      <c r="CK24">
        <v>56815.8</v>
      </c>
      <c r="CL24">
        <v>3907779</v>
      </c>
      <c r="CM24">
        <v>0</v>
      </c>
      <c r="CN24">
        <v>1</v>
      </c>
      <c r="CO24">
        <v>4140372.89</v>
      </c>
      <c r="CP24">
        <v>64084.72</v>
      </c>
      <c r="CQ24" s="8" t="s">
        <v>145</v>
      </c>
      <c r="CR24">
        <v>3.9112</v>
      </c>
      <c r="CS24">
        <v>1371</v>
      </c>
      <c r="CT24" t="s">
        <v>3220</v>
      </c>
      <c r="CV24" t="s">
        <v>3221</v>
      </c>
      <c r="CW24">
        <v>0</v>
      </c>
    </row>
    <row r="25" spans="1:101" x14ac:dyDescent="0.2">
      <c r="A25" s="8" t="s">
        <v>106</v>
      </c>
      <c r="B25" s="46">
        <v>45131</v>
      </c>
      <c r="C25" s="8" t="s">
        <v>2308</v>
      </c>
      <c r="D25" s="8" t="s">
        <v>427</v>
      </c>
      <c r="E25" s="8" t="s">
        <v>2309</v>
      </c>
      <c r="F25" t="s">
        <v>110</v>
      </c>
      <c r="G25" s="8" t="s">
        <v>111</v>
      </c>
      <c r="H25" s="8" t="s">
        <v>112</v>
      </c>
      <c r="I25" s="8" t="s">
        <v>112</v>
      </c>
      <c r="J25" s="8" t="s">
        <v>112</v>
      </c>
      <c r="K25" s="8" t="s">
        <v>2310</v>
      </c>
      <c r="L25" s="8" t="s">
        <v>2311</v>
      </c>
      <c r="M25" s="8" t="s">
        <v>112</v>
      </c>
      <c r="N25" s="8" t="s">
        <v>112</v>
      </c>
      <c r="O25">
        <v>4</v>
      </c>
      <c r="P25">
        <v>0</v>
      </c>
      <c r="Q25">
        <v>8</v>
      </c>
      <c r="R25">
        <v>356</v>
      </c>
      <c r="S25" s="8" t="s">
        <v>2312</v>
      </c>
      <c r="T25" s="8" t="s">
        <v>2313</v>
      </c>
      <c r="U25" s="8" t="s">
        <v>2314</v>
      </c>
      <c r="V25" s="8" t="s">
        <v>2315</v>
      </c>
      <c r="W25" s="8" t="s">
        <v>2316</v>
      </c>
      <c r="X25" s="8" t="s">
        <v>2317</v>
      </c>
      <c r="Y25" s="8" t="s">
        <v>2312</v>
      </c>
      <c r="Z25" s="8" t="s">
        <v>2313</v>
      </c>
      <c r="AA25" s="8" t="s">
        <v>2314</v>
      </c>
      <c r="AB25" s="8" t="s">
        <v>2315</v>
      </c>
      <c r="AC25" s="8" t="s">
        <v>2316</v>
      </c>
      <c r="AD25" s="8" t="s">
        <v>2317</v>
      </c>
      <c r="AE25" s="8" t="s">
        <v>2163</v>
      </c>
      <c r="AF25" s="8" t="s">
        <v>2164</v>
      </c>
      <c r="AG25">
        <v>9937252.4199999906</v>
      </c>
      <c r="AH25" s="8" t="s">
        <v>2312</v>
      </c>
      <c r="AI25" s="8" t="s">
        <v>2313</v>
      </c>
      <c r="AJ25" s="8" t="s">
        <v>2314</v>
      </c>
      <c r="AK25" s="8" t="s">
        <v>2315</v>
      </c>
      <c r="AL25" s="8" t="s">
        <v>2316</v>
      </c>
      <c r="AM25" s="8" t="s">
        <v>2317</v>
      </c>
      <c r="AN25" s="8" t="s">
        <v>2163</v>
      </c>
      <c r="AO25" s="8" t="s">
        <v>2164</v>
      </c>
      <c r="AP25" s="8" t="s">
        <v>2164</v>
      </c>
      <c r="AQ25" s="8" t="s">
        <v>124</v>
      </c>
      <c r="AR25" s="8" t="s">
        <v>125</v>
      </c>
      <c r="AS25">
        <v>2</v>
      </c>
      <c r="AT25" s="8" t="s">
        <v>126</v>
      </c>
      <c r="AU25" s="8" t="s">
        <v>2318</v>
      </c>
      <c r="AV25" s="8" t="s">
        <v>2227</v>
      </c>
      <c r="AW25">
        <v>1</v>
      </c>
      <c r="AX25" s="8" t="s">
        <v>129</v>
      </c>
      <c r="AY25">
        <v>130621.84</v>
      </c>
      <c r="AZ25">
        <v>9937252</v>
      </c>
      <c r="BA25">
        <v>138059.97</v>
      </c>
      <c r="BB25">
        <v>76.076499999999896</v>
      </c>
      <c r="BC25" s="8" t="s">
        <v>130</v>
      </c>
      <c r="BD25" s="8" t="s">
        <v>112</v>
      </c>
      <c r="BE25" s="8" t="s">
        <v>2319</v>
      </c>
      <c r="BF25" s="8" t="s">
        <v>133</v>
      </c>
      <c r="BG25" s="8" t="s">
        <v>134</v>
      </c>
      <c r="BH25" s="8" t="s">
        <v>112</v>
      </c>
      <c r="BI25" s="8" t="s">
        <v>2320</v>
      </c>
      <c r="BJ25" s="8" t="s">
        <v>112</v>
      </c>
      <c r="BK25" s="8" t="s">
        <v>2321</v>
      </c>
      <c r="BL25" s="8" t="s">
        <v>2322</v>
      </c>
      <c r="BM25" s="8" t="s">
        <v>2323</v>
      </c>
      <c r="BN25" s="8" t="s">
        <v>2324</v>
      </c>
      <c r="BO25">
        <v>1</v>
      </c>
      <c r="BP25" s="8" t="s">
        <v>2325</v>
      </c>
      <c r="BR25" s="8" t="s">
        <v>2326</v>
      </c>
      <c r="BS25">
        <v>300</v>
      </c>
      <c r="BT25">
        <v>0</v>
      </c>
      <c r="BU25">
        <v>301</v>
      </c>
      <c r="BV25" t="s">
        <v>2147</v>
      </c>
      <c r="BW25">
        <v>0</v>
      </c>
      <c r="BY25" s="8" t="s">
        <v>106</v>
      </c>
      <c r="BZ25" s="8" t="s">
        <v>2148</v>
      </c>
      <c r="CA25" s="8" t="s">
        <v>112</v>
      </c>
      <c r="CB25" s="8" t="s">
        <v>112</v>
      </c>
      <c r="CC25" s="8" t="s">
        <v>2163</v>
      </c>
      <c r="CD25">
        <v>9065.4</v>
      </c>
      <c r="CE25" t="s">
        <v>144</v>
      </c>
      <c r="CF25">
        <v>4000000</v>
      </c>
      <c r="CG25">
        <v>9065.4</v>
      </c>
      <c r="CH25">
        <v>0</v>
      </c>
      <c r="CI25" s="8" t="s">
        <v>112</v>
      </c>
      <c r="CJ25" s="8" t="s">
        <v>112</v>
      </c>
      <c r="CK25">
        <v>100251.28</v>
      </c>
      <c r="CL25">
        <v>7626767</v>
      </c>
      <c r="CM25">
        <v>0</v>
      </c>
      <c r="CN25">
        <v>1</v>
      </c>
      <c r="CO25">
        <v>7626766.5</v>
      </c>
      <c r="CP25">
        <v>105959.98</v>
      </c>
      <c r="CQ25" s="8" t="s">
        <v>145</v>
      </c>
      <c r="CR25">
        <v>11.6884</v>
      </c>
      <c r="CS25">
        <v>53</v>
      </c>
      <c r="CT25" t="s">
        <v>2327</v>
      </c>
      <c r="CV25" t="s">
        <v>2328</v>
      </c>
      <c r="CW25">
        <v>0</v>
      </c>
    </row>
    <row r="26" spans="1:101" x14ac:dyDescent="0.2">
      <c r="A26" s="8" t="s">
        <v>106</v>
      </c>
      <c r="B26" s="46">
        <v>45017</v>
      </c>
      <c r="C26" s="8" t="s">
        <v>2367</v>
      </c>
      <c r="D26" s="8" t="s">
        <v>427</v>
      </c>
      <c r="E26" s="8" t="s">
        <v>2368</v>
      </c>
      <c r="F26" t="s">
        <v>110</v>
      </c>
      <c r="G26" s="8" t="s">
        <v>111</v>
      </c>
      <c r="H26" s="8" t="s">
        <v>112</v>
      </c>
      <c r="I26" s="8" t="s">
        <v>112</v>
      </c>
      <c r="J26" s="8" t="s">
        <v>112</v>
      </c>
      <c r="K26" s="8" t="s">
        <v>2369</v>
      </c>
      <c r="L26" s="8" t="s">
        <v>2370</v>
      </c>
      <c r="M26" s="8" t="s">
        <v>112</v>
      </c>
      <c r="N26" s="8" t="s">
        <v>112</v>
      </c>
      <c r="O26">
        <v>10</v>
      </c>
      <c r="P26">
        <v>0</v>
      </c>
      <c r="Q26">
        <v>26</v>
      </c>
      <c r="R26">
        <v>751</v>
      </c>
      <c r="S26" s="8" t="s">
        <v>2239</v>
      </c>
      <c r="T26" s="8" t="s">
        <v>2240</v>
      </c>
      <c r="U26" s="8" t="s">
        <v>2371</v>
      </c>
      <c r="V26" s="8" t="s">
        <v>2372</v>
      </c>
      <c r="W26" s="8" t="s">
        <v>2243</v>
      </c>
      <c r="X26" s="8" t="s">
        <v>2244</v>
      </c>
      <c r="Y26" s="8" t="s">
        <v>2373</v>
      </c>
      <c r="Z26" s="8" t="s">
        <v>2374</v>
      </c>
      <c r="AA26" s="8" t="s">
        <v>2375</v>
      </c>
      <c r="AB26" s="8" t="s">
        <v>2376</v>
      </c>
      <c r="AC26" s="8" t="s">
        <v>2316</v>
      </c>
      <c r="AD26" s="8" t="s">
        <v>2377</v>
      </c>
      <c r="AE26" s="8" t="s">
        <v>2142</v>
      </c>
      <c r="AF26" s="8" t="s">
        <v>2143</v>
      </c>
      <c r="AG26">
        <v>9277052.0199999902</v>
      </c>
      <c r="AH26" s="8" t="s">
        <v>2373</v>
      </c>
      <c r="AI26" s="8" t="s">
        <v>2374</v>
      </c>
      <c r="AJ26" s="8" t="s">
        <v>2375</v>
      </c>
      <c r="AK26" s="8" t="s">
        <v>2376</v>
      </c>
      <c r="AL26" s="8" t="s">
        <v>2316</v>
      </c>
      <c r="AM26" s="8" t="s">
        <v>2377</v>
      </c>
      <c r="AN26" s="8" t="s">
        <v>2142</v>
      </c>
      <c r="AO26" s="8" t="s">
        <v>2143</v>
      </c>
      <c r="AP26" s="8" t="s">
        <v>2143</v>
      </c>
      <c r="AQ26" s="8" t="s">
        <v>124</v>
      </c>
      <c r="AR26" s="8" t="s">
        <v>125</v>
      </c>
      <c r="AS26">
        <v>1</v>
      </c>
      <c r="AT26" s="8" t="s">
        <v>106</v>
      </c>
      <c r="AU26" s="8" t="s">
        <v>155</v>
      </c>
      <c r="AV26" s="8" t="s">
        <v>2378</v>
      </c>
      <c r="AW26">
        <v>0</v>
      </c>
      <c r="AX26" s="8" t="s">
        <v>2253</v>
      </c>
      <c r="AY26">
        <v>893291.9</v>
      </c>
      <c r="AZ26">
        <v>9064144</v>
      </c>
      <c r="BA26">
        <v>130065.3</v>
      </c>
      <c r="BB26">
        <v>10.1469</v>
      </c>
      <c r="BC26" s="8" t="s">
        <v>130</v>
      </c>
      <c r="BD26" s="8" t="s">
        <v>145</v>
      </c>
      <c r="BE26" s="8" t="s">
        <v>2379</v>
      </c>
      <c r="BF26" s="8" t="s">
        <v>133</v>
      </c>
      <c r="BG26" s="8" t="s">
        <v>167</v>
      </c>
      <c r="BH26" s="8" t="s">
        <v>2255</v>
      </c>
      <c r="BI26" s="8" t="s">
        <v>112</v>
      </c>
      <c r="BJ26" s="8" t="s">
        <v>112</v>
      </c>
      <c r="BK26" s="8" t="s">
        <v>2380</v>
      </c>
      <c r="BL26" s="8" t="s">
        <v>2381</v>
      </c>
      <c r="BM26" s="8" t="s">
        <v>2382</v>
      </c>
      <c r="BN26" s="8" t="s">
        <v>161</v>
      </c>
      <c r="BO26">
        <v>1</v>
      </c>
      <c r="BP26" s="8" t="s">
        <v>2383</v>
      </c>
      <c r="BR26" s="8" t="s">
        <v>2384</v>
      </c>
      <c r="BS26">
        <v>579</v>
      </c>
      <c r="BT26">
        <v>1</v>
      </c>
      <c r="BU26">
        <v>579</v>
      </c>
      <c r="BV26" t="s">
        <v>2147</v>
      </c>
      <c r="BW26">
        <v>0</v>
      </c>
      <c r="BY26" s="8" t="s">
        <v>106</v>
      </c>
      <c r="BZ26" s="8" t="s">
        <v>2148</v>
      </c>
      <c r="CA26" s="8" t="s">
        <v>112</v>
      </c>
      <c r="CB26" s="8" t="s">
        <v>112</v>
      </c>
      <c r="CC26" s="8" t="s">
        <v>2142</v>
      </c>
      <c r="CD26">
        <v>13179.9</v>
      </c>
      <c r="CE26" t="s">
        <v>144</v>
      </c>
      <c r="CF26">
        <v>4000000</v>
      </c>
      <c r="CG26">
        <v>13179.9</v>
      </c>
      <c r="CH26">
        <v>0</v>
      </c>
      <c r="CI26" s="8" t="s">
        <v>112</v>
      </c>
      <c r="CJ26" s="8" t="s">
        <v>112</v>
      </c>
      <c r="CK26">
        <v>698493</v>
      </c>
      <c r="CL26">
        <v>7087539</v>
      </c>
      <c r="CM26">
        <v>0</v>
      </c>
      <c r="CN26">
        <v>1</v>
      </c>
      <c r="CO26">
        <v>7266624.9100000001</v>
      </c>
      <c r="CP26">
        <v>101878.9</v>
      </c>
      <c r="CQ26" s="8" t="s">
        <v>145</v>
      </c>
      <c r="CR26">
        <v>7.7298999999999998</v>
      </c>
      <c r="CS26">
        <v>1075</v>
      </c>
      <c r="CT26" t="s">
        <v>2385</v>
      </c>
      <c r="CV26" t="s">
        <v>2386</v>
      </c>
      <c r="CW26">
        <v>200</v>
      </c>
    </row>
    <row r="27" spans="1:101" x14ac:dyDescent="0.2">
      <c r="A27" s="8" t="s">
        <v>126</v>
      </c>
      <c r="B27" s="46">
        <v>44777</v>
      </c>
      <c r="C27" s="8" t="s">
        <v>2415</v>
      </c>
      <c r="D27" s="8" t="s">
        <v>427</v>
      </c>
      <c r="E27" s="8" t="s">
        <v>2416</v>
      </c>
      <c r="F27" t="s">
        <v>110</v>
      </c>
      <c r="G27" s="8" t="s">
        <v>111</v>
      </c>
      <c r="H27" s="8" t="s">
        <v>112</v>
      </c>
      <c r="I27" s="8" t="s">
        <v>112</v>
      </c>
      <c r="J27" s="8" t="s">
        <v>112</v>
      </c>
      <c r="K27" s="8" t="s">
        <v>2417</v>
      </c>
      <c r="L27" s="8" t="s">
        <v>2418</v>
      </c>
      <c r="M27" s="8" t="s">
        <v>112</v>
      </c>
      <c r="N27" s="8" t="s">
        <v>112</v>
      </c>
      <c r="O27">
        <v>1</v>
      </c>
      <c r="P27">
        <v>0</v>
      </c>
      <c r="Q27">
        <v>1</v>
      </c>
      <c r="R27">
        <v>3</v>
      </c>
      <c r="S27" s="8" t="s">
        <v>2419</v>
      </c>
      <c r="T27" s="8" t="s">
        <v>2420</v>
      </c>
      <c r="U27" s="8" t="s">
        <v>2421</v>
      </c>
      <c r="V27" s="8" t="s">
        <v>2422</v>
      </c>
      <c r="W27" s="8" t="s">
        <v>435</v>
      </c>
      <c r="X27" s="8" t="s">
        <v>2423</v>
      </c>
      <c r="Y27" s="8" t="s">
        <v>2419</v>
      </c>
      <c r="Z27" s="8" t="s">
        <v>2420</v>
      </c>
      <c r="AA27" s="8" t="s">
        <v>2421</v>
      </c>
      <c r="AB27" s="8" t="s">
        <v>2422</v>
      </c>
      <c r="AC27" s="8" t="s">
        <v>435</v>
      </c>
      <c r="AD27" s="8" t="s">
        <v>2423</v>
      </c>
      <c r="AE27" s="8" t="s">
        <v>2185</v>
      </c>
      <c r="AF27" s="8" t="s">
        <v>2186</v>
      </c>
      <c r="AG27">
        <v>2335756.83</v>
      </c>
      <c r="AH27" s="8" t="s">
        <v>2419</v>
      </c>
      <c r="AI27" s="8" t="s">
        <v>2420</v>
      </c>
      <c r="AJ27" s="8" t="s">
        <v>2421</v>
      </c>
      <c r="AK27" s="8" t="s">
        <v>2422</v>
      </c>
      <c r="AL27" s="8" t="s">
        <v>435</v>
      </c>
      <c r="AM27" s="8" t="s">
        <v>2423</v>
      </c>
      <c r="AN27" s="8" t="s">
        <v>2185</v>
      </c>
      <c r="AO27" s="8" t="s">
        <v>2186</v>
      </c>
      <c r="AP27" s="8" t="s">
        <v>2186</v>
      </c>
      <c r="AQ27" s="8" t="s">
        <v>124</v>
      </c>
      <c r="AR27" s="8" t="s">
        <v>125</v>
      </c>
      <c r="AS27">
        <v>2</v>
      </c>
      <c r="AT27" s="8" t="s">
        <v>126</v>
      </c>
      <c r="AU27" s="8" t="s">
        <v>127</v>
      </c>
      <c r="AV27" s="8" t="s">
        <v>2424</v>
      </c>
      <c r="AW27">
        <v>1</v>
      </c>
      <c r="AX27" s="8" t="s">
        <v>2425</v>
      </c>
      <c r="AY27">
        <v>532800</v>
      </c>
      <c r="AZ27">
        <v>1994515</v>
      </c>
      <c r="BA27">
        <v>33399.160000000003</v>
      </c>
      <c r="BB27">
        <v>37.434600000000003</v>
      </c>
      <c r="BC27" s="8" t="s">
        <v>130</v>
      </c>
      <c r="BD27" s="8" t="s">
        <v>145</v>
      </c>
      <c r="BE27" s="8" t="s">
        <v>112</v>
      </c>
      <c r="BF27" s="8" t="s">
        <v>133</v>
      </c>
      <c r="BG27" s="8" t="s">
        <v>167</v>
      </c>
      <c r="BH27" s="8" t="s">
        <v>2426</v>
      </c>
      <c r="BI27" s="8" t="s">
        <v>112</v>
      </c>
      <c r="BJ27" s="8" t="s">
        <v>112</v>
      </c>
      <c r="BK27" s="8" t="s">
        <v>2427</v>
      </c>
      <c r="BL27" s="8" t="s">
        <v>2428</v>
      </c>
      <c r="BM27" s="8" t="s">
        <v>2429</v>
      </c>
      <c r="BN27" s="8" t="s">
        <v>2430</v>
      </c>
      <c r="BO27">
        <v>1</v>
      </c>
      <c r="BP27" s="8" t="s">
        <v>2431</v>
      </c>
      <c r="BR27" s="8" t="s">
        <v>2432</v>
      </c>
      <c r="BS27">
        <v>3</v>
      </c>
      <c r="BT27">
        <v>0</v>
      </c>
      <c r="BU27">
        <v>3</v>
      </c>
      <c r="BV27" t="s">
        <v>2147</v>
      </c>
      <c r="BW27">
        <v>0</v>
      </c>
      <c r="BY27" s="8" t="s">
        <v>106</v>
      </c>
      <c r="BZ27" s="8" t="s">
        <v>2148</v>
      </c>
      <c r="CA27" s="8" t="s">
        <v>112</v>
      </c>
      <c r="CB27" s="8" t="s">
        <v>112</v>
      </c>
      <c r="CC27" s="8" t="s">
        <v>2185</v>
      </c>
      <c r="CD27">
        <v>1875</v>
      </c>
      <c r="CE27" t="s">
        <v>144</v>
      </c>
      <c r="CF27">
        <v>4000064</v>
      </c>
      <c r="CG27">
        <v>1410</v>
      </c>
      <c r="CH27">
        <v>0</v>
      </c>
      <c r="CI27" s="8" t="s">
        <v>112</v>
      </c>
      <c r="CJ27" s="8" t="s">
        <v>112</v>
      </c>
      <c r="CK27">
        <v>532800</v>
      </c>
      <c r="CL27">
        <v>1994515</v>
      </c>
      <c r="CM27">
        <v>0</v>
      </c>
      <c r="CN27">
        <v>1</v>
      </c>
      <c r="CO27">
        <v>2335756.83</v>
      </c>
      <c r="CP27">
        <v>33399.160000000003</v>
      </c>
      <c r="CQ27" s="8" t="s">
        <v>145</v>
      </c>
      <c r="CR27">
        <v>23.6873</v>
      </c>
      <c r="CS27">
        <v>1446</v>
      </c>
      <c r="CT27" t="s">
        <v>2433</v>
      </c>
      <c r="CV27" t="s">
        <v>2434</v>
      </c>
      <c r="CW27">
        <v>44</v>
      </c>
    </row>
    <row r="28" spans="1:101" x14ac:dyDescent="0.2">
      <c r="A28" s="8" t="s">
        <v>106</v>
      </c>
      <c r="B28" s="46">
        <v>44574</v>
      </c>
      <c r="C28" s="8" t="s">
        <v>2525</v>
      </c>
      <c r="D28" s="8" t="s">
        <v>427</v>
      </c>
      <c r="E28" s="8" t="s">
        <v>2526</v>
      </c>
      <c r="F28" t="s">
        <v>110</v>
      </c>
      <c r="G28" s="8" t="s">
        <v>111</v>
      </c>
      <c r="H28" s="8" t="s">
        <v>112</v>
      </c>
      <c r="I28" s="8" t="s">
        <v>112</v>
      </c>
      <c r="J28" s="8" t="s">
        <v>112</v>
      </c>
      <c r="K28" s="8" t="s">
        <v>2527</v>
      </c>
      <c r="L28" s="8" t="s">
        <v>2528</v>
      </c>
      <c r="M28" s="8" t="s">
        <v>112</v>
      </c>
      <c r="N28" s="8" t="s">
        <v>112</v>
      </c>
      <c r="O28">
        <v>2</v>
      </c>
      <c r="Q28">
        <v>2</v>
      </c>
      <c r="R28">
        <v>535</v>
      </c>
      <c r="S28" s="8" t="s">
        <v>2529</v>
      </c>
      <c r="T28" s="8" t="s">
        <v>2530</v>
      </c>
      <c r="U28" s="8" t="s">
        <v>2531</v>
      </c>
      <c r="V28" s="8" t="s">
        <v>2532</v>
      </c>
      <c r="W28" s="8" t="s">
        <v>435</v>
      </c>
      <c r="X28" s="8" t="s">
        <v>2533</v>
      </c>
      <c r="Y28" s="8" t="s">
        <v>2373</v>
      </c>
      <c r="Z28" s="8" t="s">
        <v>2374</v>
      </c>
      <c r="AA28" s="8" t="s">
        <v>2375</v>
      </c>
      <c r="AB28" s="8" t="s">
        <v>2376</v>
      </c>
      <c r="AC28" s="8" t="s">
        <v>2316</v>
      </c>
      <c r="AD28" s="8" t="s">
        <v>2377</v>
      </c>
      <c r="AE28" s="8" t="s">
        <v>2142</v>
      </c>
      <c r="AF28" s="8" t="s">
        <v>2143</v>
      </c>
      <c r="AG28">
        <v>7766209.3899999904</v>
      </c>
      <c r="AH28" s="8" t="s">
        <v>2373</v>
      </c>
      <c r="AI28" s="8" t="s">
        <v>2374</v>
      </c>
      <c r="AJ28" s="8" t="s">
        <v>2375</v>
      </c>
      <c r="AK28" s="8" t="s">
        <v>2376</v>
      </c>
      <c r="AL28" s="8" t="s">
        <v>2316</v>
      </c>
      <c r="AM28" s="8" t="s">
        <v>2377</v>
      </c>
      <c r="AN28" s="8" t="s">
        <v>2142</v>
      </c>
      <c r="AO28" s="8" t="s">
        <v>2143</v>
      </c>
      <c r="AP28" s="8" t="s">
        <v>2143</v>
      </c>
      <c r="AQ28" s="8" t="s">
        <v>124</v>
      </c>
      <c r="AR28" s="8" t="s">
        <v>125</v>
      </c>
      <c r="AS28">
        <v>1</v>
      </c>
      <c r="AT28" s="8" t="s">
        <v>106</v>
      </c>
      <c r="AU28" s="8" t="s">
        <v>155</v>
      </c>
      <c r="AV28" s="8" t="s">
        <v>2534</v>
      </c>
      <c r="AX28" s="8" t="s">
        <v>2253</v>
      </c>
      <c r="AY28">
        <v>770914.75</v>
      </c>
      <c r="AZ28">
        <v>7503575</v>
      </c>
      <c r="BA28">
        <v>113084.77</v>
      </c>
      <c r="BB28">
        <v>97.588399999999893</v>
      </c>
      <c r="BC28" s="8" t="s">
        <v>130</v>
      </c>
      <c r="BD28" s="8" t="s">
        <v>145</v>
      </c>
      <c r="BE28" s="8" t="s">
        <v>2535</v>
      </c>
      <c r="BF28" s="8" t="s">
        <v>133</v>
      </c>
      <c r="BG28" s="8" t="s">
        <v>2294</v>
      </c>
      <c r="BH28" s="8" t="s">
        <v>112</v>
      </c>
      <c r="BI28" s="8" t="s">
        <v>2536</v>
      </c>
      <c r="BJ28" s="8" t="s">
        <v>112</v>
      </c>
      <c r="BK28" s="8" t="s">
        <v>2537</v>
      </c>
      <c r="BL28" s="8" t="s">
        <v>2538</v>
      </c>
      <c r="BM28" s="8" t="s">
        <v>2539</v>
      </c>
      <c r="BN28" s="8" t="s">
        <v>2540</v>
      </c>
      <c r="BO28">
        <v>1</v>
      </c>
      <c r="BP28" s="8" t="s">
        <v>2541</v>
      </c>
      <c r="BR28" s="8" t="s">
        <v>2542</v>
      </c>
      <c r="BS28">
        <v>485</v>
      </c>
      <c r="BT28">
        <v>1</v>
      </c>
      <c r="BU28">
        <v>485</v>
      </c>
      <c r="BV28" t="s">
        <v>2147</v>
      </c>
      <c r="BY28" s="8" t="s">
        <v>106</v>
      </c>
      <c r="BZ28" s="8" t="s">
        <v>2148</v>
      </c>
      <c r="CA28" s="8" t="s">
        <v>112</v>
      </c>
      <c r="CB28" s="8" t="s">
        <v>112</v>
      </c>
      <c r="CC28" s="8" t="s">
        <v>2142</v>
      </c>
      <c r="CD28">
        <v>10427.5</v>
      </c>
      <c r="CE28" t="s">
        <v>144</v>
      </c>
      <c r="CF28">
        <v>4000000</v>
      </c>
      <c r="CG28">
        <v>10427.5</v>
      </c>
      <c r="CI28" s="8" t="s">
        <v>112</v>
      </c>
      <c r="CJ28" s="8" t="s">
        <v>112</v>
      </c>
      <c r="CK28">
        <v>697114.75</v>
      </c>
      <c r="CL28">
        <v>6785255</v>
      </c>
      <c r="CM28">
        <v>0</v>
      </c>
      <c r="CN28">
        <v>1</v>
      </c>
      <c r="CO28">
        <v>7030117.4299999904</v>
      </c>
      <c r="CP28">
        <v>102366.44</v>
      </c>
      <c r="CQ28" s="8" t="s">
        <v>145</v>
      </c>
      <c r="CR28">
        <v>9.8170000000000002</v>
      </c>
      <c r="CS28">
        <v>1075</v>
      </c>
      <c r="CT28" t="s">
        <v>2385</v>
      </c>
      <c r="CV28" t="s">
        <v>2543</v>
      </c>
      <c r="CW28">
        <v>82</v>
      </c>
    </row>
    <row r="29" spans="1:101" x14ac:dyDescent="0.2">
      <c r="A29" s="8" t="s">
        <v>106</v>
      </c>
      <c r="B29" s="46">
        <v>45229</v>
      </c>
      <c r="C29" s="8" t="s">
        <v>2610</v>
      </c>
      <c r="D29" s="8" t="s">
        <v>427</v>
      </c>
      <c r="E29" s="8" t="s">
        <v>2611</v>
      </c>
      <c r="F29" t="s">
        <v>110</v>
      </c>
      <c r="G29" s="8" t="s">
        <v>111</v>
      </c>
      <c r="H29" s="8" t="s">
        <v>112</v>
      </c>
      <c r="I29" s="8" t="s">
        <v>112</v>
      </c>
      <c r="J29" s="8" t="s">
        <v>112</v>
      </c>
      <c r="K29" s="8" t="s">
        <v>2612</v>
      </c>
      <c r="L29" s="8" t="s">
        <v>2613</v>
      </c>
      <c r="M29" s="8" t="s">
        <v>112</v>
      </c>
      <c r="N29" s="8" t="s">
        <v>112</v>
      </c>
      <c r="O29">
        <v>1</v>
      </c>
      <c r="P29">
        <v>0</v>
      </c>
      <c r="Q29">
        <v>1</v>
      </c>
      <c r="R29">
        <v>667</v>
      </c>
      <c r="S29" s="8" t="s">
        <v>2312</v>
      </c>
      <c r="T29" s="8" t="s">
        <v>2313</v>
      </c>
      <c r="U29" s="8" t="s">
        <v>2314</v>
      </c>
      <c r="V29" s="8" t="s">
        <v>2315</v>
      </c>
      <c r="W29" s="8" t="s">
        <v>2316</v>
      </c>
      <c r="X29" s="8" t="s">
        <v>2317</v>
      </c>
      <c r="Y29" s="8" t="s">
        <v>2312</v>
      </c>
      <c r="Z29" s="8" t="s">
        <v>2313</v>
      </c>
      <c r="AA29" s="8" t="s">
        <v>2314</v>
      </c>
      <c r="AB29" s="8" t="s">
        <v>2315</v>
      </c>
      <c r="AC29" s="8" t="s">
        <v>2316</v>
      </c>
      <c r="AD29" s="8" t="s">
        <v>2317</v>
      </c>
      <c r="AE29" s="8" t="s">
        <v>2163</v>
      </c>
      <c r="AF29" s="8" t="s">
        <v>2164</v>
      </c>
      <c r="AG29">
        <v>15296818.1199999</v>
      </c>
      <c r="AH29" s="8" t="s">
        <v>2312</v>
      </c>
      <c r="AI29" s="8" t="s">
        <v>2313</v>
      </c>
      <c r="AJ29" s="8" t="s">
        <v>2314</v>
      </c>
      <c r="AK29" s="8" t="s">
        <v>2315</v>
      </c>
      <c r="AL29" s="8" t="s">
        <v>2316</v>
      </c>
      <c r="AM29" s="8" t="s">
        <v>2317</v>
      </c>
      <c r="AN29" s="8" t="s">
        <v>2163</v>
      </c>
      <c r="AO29" s="8" t="s">
        <v>2164</v>
      </c>
      <c r="AP29" s="8" t="s">
        <v>2164</v>
      </c>
      <c r="AQ29" s="8" t="s">
        <v>124</v>
      </c>
      <c r="AR29" s="8" t="s">
        <v>125</v>
      </c>
      <c r="AS29">
        <v>2</v>
      </c>
      <c r="AT29" s="8" t="s">
        <v>126</v>
      </c>
      <c r="AU29" s="8" t="s">
        <v>2318</v>
      </c>
      <c r="AV29" s="8" t="s">
        <v>2227</v>
      </c>
      <c r="AW29">
        <v>1</v>
      </c>
      <c r="AX29" s="8" t="s">
        <v>129</v>
      </c>
      <c r="AY29">
        <v>209428.69</v>
      </c>
      <c r="AZ29">
        <v>15296818</v>
      </c>
      <c r="BA29">
        <v>222738.92</v>
      </c>
      <c r="BB29">
        <v>73.040700000000001</v>
      </c>
      <c r="BC29" s="8" t="s">
        <v>130</v>
      </c>
      <c r="BD29" s="8" t="s">
        <v>112</v>
      </c>
      <c r="BE29" s="8" t="s">
        <v>2319</v>
      </c>
      <c r="BF29" s="8" t="s">
        <v>133</v>
      </c>
      <c r="BG29" s="8" t="s">
        <v>134</v>
      </c>
      <c r="BH29" s="8" t="s">
        <v>112</v>
      </c>
      <c r="BI29" s="8" t="s">
        <v>2320</v>
      </c>
      <c r="BJ29" s="8" t="s">
        <v>112</v>
      </c>
      <c r="BK29" s="8" t="s">
        <v>2321</v>
      </c>
      <c r="BL29" s="8" t="s">
        <v>2322</v>
      </c>
      <c r="BM29" s="8" t="s">
        <v>2323</v>
      </c>
      <c r="BN29" s="8" t="s">
        <v>2324</v>
      </c>
      <c r="BO29">
        <v>1</v>
      </c>
      <c r="BP29" s="8" t="s">
        <v>2325</v>
      </c>
      <c r="BR29" s="8" t="s">
        <v>2326</v>
      </c>
      <c r="BS29">
        <v>667</v>
      </c>
      <c r="BT29">
        <v>0</v>
      </c>
      <c r="BU29">
        <v>667</v>
      </c>
      <c r="BV29" t="s">
        <v>2147</v>
      </c>
      <c r="BW29">
        <v>0</v>
      </c>
      <c r="BY29" s="8" t="s">
        <v>106</v>
      </c>
      <c r="BZ29" s="8" t="s">
        <v>2148</v>
      </c>
      <c r="CA29" s="8" t="s">
        <v>112</v>
      </c>
      <c r="CB29" s="8" t="s">
        <v>112</v>
      </c>
      <c r="CC29" s="8" t="s">
        <v>2163</v>
      </c>
      <c r="CD29">
        <v>19944.8</v>
      </c>
      <c r="CE29" t="s">
        <v>144</v>
      </c>
      <c r="CF29">
        <v>4000000</v>
      </c>
      <c r="CG29">
        <v>19944.8</v>
      </c>
      <c r="CH29">
        <v>0</v>
      </c>
      <c r="CI29" s="8" t="s">
        <v>112</v>
      </c>
      <c r="CJ29" s="8" t="s">
        <v>112</v>
      </c>
      <c r="CK29">
        <v>209428.69</v>
      </c>
      <c r="CL29">
        <v>15296818</v>
      </c>
      <c r="CM29">
        <v>0</v>
      </c>
      <c r="CN29">
        <v>1</v>
      </c>
      <c r="CO29">
        <v>15296818.1199999</v>
      </c>
      <c r="CP29">
        <v>222738.92</v>
      </c>
      <c r="CQ29" s="8" t="s">
        <v>145</v>
      </c>
      <c r="CR29">
        <v>11.1678</v>
      </c>
      <c r="CS29">
        <v>53</v>
      </c>
      <c r="CT29" t="s">
        <v>2327</v>
      </c>
      <c r="CV29" t="s">
        <v>2328</v>
      </c>
      <c r="CW29">
        <v>0</v>
      </c>
    </row>
    <row r="30" spans="1:101" x14ac:dyDescent="0.2">
      <c r="A30" s="8" t="s">
        <v>126</v>
      </c>
      <c r="B30" s="46">
        <v>45135</v>
      </c>
      <c r="C30" s="8" t="s">
        <v>2706</v>
      </c>
      <c r="D30" s="8" t="s">
        <v>427</v>
      </c>
      <c r="E30" s="8" t="s">
        <v>2707</v>
      </c>
      <c r="F30" t="s">
        <v>110</v>
      </c>
      <c r="G30" s="8" t="s">
        <v>111</v>
      </c>
      <c r="H30" s="8" t="s">
        <v>112</v>
      </c>
      <c r="I30" s="8" t="s">
        <v>112</v>
      </c>
      <c r="J30" s="8" t="s">
        <v>112</v>
      </c>
      <c r="K30" s="8" t="s">
        <v>2527</v>
      </c>
      <c r="L30" s="8" t="s">
        <v>2528</v>
      </c>
      <c r="M30" s="8" t="s">
        <v>112</v>
      </c>
      <c r="N30" s="8" t="s">
        <v>112</v>
      </c>
      <c r="O30">
        <v>2</v>
      </c>
      <c r="P30">
        <v>0</v>
      </c>
      <c r="Q30">
        <v>2</v>
      </c>
      <c r="R30">
        <v>535</v>
      </c>
      <c r="S30" s="8" t="s">
        <v>2529</v>
      </c>
      <c r="T30" s="8" t="s">
        <v>2530</v>
      </c>
      <c r="U30" s="8" t="s">
        <v>2531</v>
      </c>
      <c r="V30" s="8" t="s">
        <v>2532</v>
      </c>
      <c r="W30" s="8" t="s">
        <v>435</v>
      </c>
      <c r="X30" s="8" t="s">
        <v>2533</v>
      </c>
      <c r="Y30" s="8" t="s">
        <v>2373</v>
      </c>
      <c r="Z30" s="8" t="s">
        <v>2374</v>
      </c>
      <c r="AA30" s="8" t="s">
        <v>2375</v>
      </c>
      <c r="AB30" s="8" t="s">
        <v>2376</v>
      </c>
      <c r="AC30" s="8" t="s">
        <v>2316</v>
      </c>
      <c r="AD30" s="8" t="s">
        <v>2377</v>
      </c>
      <c r="AE30" s="8" t="s">
        <v>2142</v>
      </c>
      <c r="AF30" s="8" t="s">
        <v>2143</v>
      </c>
      <c r="AG30">
        <v>7766209.3899999904</v>
      </c>
      <c r="AH30" s="8" t="s">
        <v>2373</v>
      </c>
      <c r="AI30" s="8" t="s">
        <v>2374</v>
      </c>
      <c r="AJ30" s="8" t="s">
        <v>2375</v>
      </c>
      <c r="AK30" s="8" t="s">
        <v>2376</v>
      </c>
      <c r="AL30" s="8" t="s">
        <v>2316</v>
      </c>
      <c r="AM30" s="8" t="s">
        <v>2377</v>
      </c>
      <c r="AN30" s="8" t="s">
        <v>2142</v>
      </c>
      <c r="AO30" s="8" t="s">
        <v>2143</v>
      </c>
      <c r="AP30" s="8" t="s">
        <v>2143</v>
      </c>
      <c r="AQ30" s="8" t="s">
        <v>124</v>
      </c>
      <c r="AR30" s="8" t="s">
        <v>125</v>
      </c>
      <c r="AS30">
        <v>1</v>
      </c>
      <c r="AT30" s="8" t="s">
        <v>106</v>
      </c>
      <c r="AU30" s="8" t="s">
        <v>155</v>
      </c>
      <c r="AV30" s="8" t="s">
        <v>2534</v>
      </c>
      <c r="AW30">
        <v>0</v>
      </c>
      <c r="AX30" s="8" t="s">
        <v>2253</v>
      </c>
      <c r="AY30">
        <v>770914.75</v>
      </c>
      <c r="AZ30">
        <v>7523234</v>
      </c>
      <c r="BA30">
        <v>113084.77</v>
      </c>
      <c r="BB30">
        <v>97.588399999999893</v>
      </c>
      <c r="BC30" s="8" t="s">
        <v>130</v>
      </c>
      <c r="BD30" s="8" t="s">
        <v>145</v>
      </c>
      <c r="BE30" s="8" t="s">
        <v>2535</v>
      </c>
      <c r="BF30" s="8" t="s">
        <v>133</v>
      </c>
      <c r="BG30" s="8" t="s">
        <v>2294</v>
      </c>
      <c r="BH30" s="8" t="s">
        <v>112</v>
      </c>
      <c r="BI30" s="8" t="s">
        <v>2536</v>
      </c>
      <c r="BJ30" s="8" t="s">
        <v>112</v>
      </c>
      <c r="BK30" s="8" t="s">
        <v>2537</v>
      </c>
      <c r="BL30" s="8" t="s">
        <v>2538</v>
      </c>
      <c r="BM30" s="8" t="s">
        <v>2539</v>
      </c>
      <c r="BN30" s="8" t="s">
        <v>2540</v>
      </c>
      <c r="BO30">
        <v>1</v>
      </c>
      <c r="BP30" s="8" t="s">
        <v>2541</v>
      </c>
      <c r="BR30" s="8" t="s">
        <v>2542</v>
      </c>
      <c r="BS30">
        <v>485</v>
      </c>
      <c r="BT30">
        <v>1</v>
      </c>
      <c r="BU30">
        <v>485</v>
      </c>
      <c r="BV30" t="s">
        <v>2147</v>
      </c>
      <c r="BW30">
        <v>0</v>
      </c>
      <c r="BY30" s="8" t="s">
        <v>106</v>
      </c>
      <c r="BZ30" s="8" t="s">
        <v>2148</v>
      </c>
      <c r="CA30" s="8" t="s">
        <v>112</v>
      </c>
      <c r="CB30" s="8" t="s">
        <v>112</v>
      </c>
      <c r="CC30" s="8" t="s">
        <v>2142</v>
      </c>
      <c r="CD30">
        <v>10427.5</v>
      </c>
      <c r="CE30" t="s">
        <v>144</v>
      </c>
      <c r="CF30">
        <v>4000000</v>
      </c>
      <c r="CG30">
        <v>10427.5</v>
      </c>
      <c r="CH30">
        <v>0</v>
      </c>
      <c r="CI30" s="8" t="s">
        <v>112</v>
      </c>
      <c r="CJ30" s="8" t="s">
        <v>112</v>
      </c>
      <c r="CK30">
        <v>697114.75</v>
      </c>
      <c r="CL30">
        <v>7152397</v>
      </c>
      <c r="CN30">
        <v>1</v>
      </c>
      <c r="CO30">
        <v>7030117.4299999904</v>
      </c>
      <c r="CP30">
        <v>102366.44</v>
      </c>
      <c r="CQ30" s="8" t="s">
        <v>2708</v>
      </c>
      <c r="CR30">
        <v>9.8170000000000002</v>
      </c>
      <c r="CS30">
        <v>1075</v>
      </c>
      <c r="CT30" t="s">
        <v>2385</v>
      </c>
      <c r="CV30" t="s">
        <v>2543</v>
      </c>
      <c r="CW30">
        <v>175</v>
      </c>
    </row>
    <row r="31" spans="1:101" x14ac:dyDescent="0.2">
      <c r="A31" s="8" t="s">
        <v>106</v>
      </c>
      <c r="B31" s="46">
        <v>45003</v>
      </c>
      <c r="C31" s="8" t="s">
        <v>2820</v>
      </c>
      <c r="D31" s="8" t="s">
        <v>427</v>
      </c>
      <c r="E31" s="8" t="s">
        <v>2821</v>
      </c>
      <c r="F31" t="s">
        <v>110</v>
      </c>
      <c r="G31" s="8" t="s">
        <v>111</v>
      </c>
      <c r="H31" s="8" t="s">
        <v>112</v>
      </c>
      <c r="I31" s="8" t="s">
        <v>112</v>
      </c>
      <c r="J31" s="8" t="s">
        <v>112</v>
      </c>
      <c r="K31" s="8" t="s">
        <v>2310</v>
      </c>
      <c r="L31" s="8" t="s">
        <v>2311</v>
      </c>
      <c r="M31" s="8" t="s">
        <v>112</v>
      </c>
      <c r="N31" s="8" t="s">
        <v>112</v>
      </c>
      <c r="O31">
        <v>2</v>
      </c>
      <c r="P31">
        <v>0</v>
      </c>
      <c r="Q31">
        <v>2</v>
      </c>
      <c r="R31">
        <v>602</v>
      </c>
      <c r="S31" s="8" t="s">
        <v>2312</v>
      </c>
      <c r="T31" s="8" t="s">
        <v>2313</v>
      </c>
      <c r="U31" s="8" t="s">
        <v>2314</v>
      </c>
      <c r="V31" s="8" t="s">
        <v>2315</v>
      </c>
      <c r="W31" s="8" t="s">
        <v>2316</v>
      </c>
      <c r="X31" s="8" t="s">
        <v>2317</v>
      </c>
      <c r="Y31" s="8" t="s">
        <v>2312</v>
      </c>
      <c r="Z31" s="8" t="s">
        <v>2313</v>
      </c>
      <c r="AA31" s="8" t="s">
        <v>2314</v>
      </c>
      <c r="AB31" s="8" t="s">
        <v>2315</v>
      </c>
      <c r="AC31" s="8" t="s">
        <v>2316</v>
      </c>
      <c r="AD31" s="8" t="s">
        <v>2317</v>
      </c>
      <c r="AE31" s="8" t="s">
        <v>2163</v>
      </c>
      <c r="AF31" s="8" t="s">
        <v>2164</v>
      </c>
      <c r="AG31">
        <v>15865610.02</v>
      </c>
      <c r="AH31" s="8" t="s">
        <v>2312</v>
      </c>
      <c r="AI31" s="8" t="s">
        <v>2313</v>
      </c>
      <c r="AJ31" s="8" t="s">
        <v>2314</v>
      </c>
      <c r="AK31" s="8" t="s">
        <v>2315</v>
      </c>
      <c r="AL31" s="8" t="s">
        <v>2316</v>
      </c>
      <c r="AM31" s="8" t="s">
        <v>2317</v>
      </c>
      <c r="AN31" s="8" t="s">
        <v>2163</v>
      </c>
      <c r="AO31" s="8" t="s">
        <v>2164</v>
      </c>
      <c r="AP31" s="8" t="s">
        <v>2164</v>
      </c>
      <c r="AQ31" s="8" t="s">
        <v>124</v>
      </c>
      <c r="AR31" s="8" t="s">
        <v>125</v>
      </c>
      <c r="AS31">
        <v>2</v>
      </c>
      <c r="AT31" s="8" t="s">
        <v>126</v>
      </c>
      <c r="AU31" s="8" t="s">
        <v>2318</v>
      </c>
      <c r="AV31" s="8" t="s">
        <v>2227</v>
      </c>
      <c r="AW31">
        <v>1</v>
      </c>
      <c r="AX31" s="8" t="s">
        <v>129</v>
      </c>
      <c r="AY31">
        <v>207002.32</v>
      </c>
      <c r="AZ31">
        <v>15865610</v>
      </c>
      <c r="BA31">
        <v>219956.72</v>
      </c>
      <c r="BB31">
        <v>76.644599999999897</v>
      </c>
      <c r="BC31" s="8" t="s">
        <v>130</v>
      </c>
      <c r="BD31" s="8" t="s">
        <v>112</v>
      </c>
      <c r="BE31" s="8" t="s">
        <v>2319</v>
      </c>
      <c r="BF31" s="8" t="s">
        <v>133</v>
      </c>
      <c r="BG31" s="8" t="s">
        <v>134</v>
      </c>
      <c r="BH31" s="8" t="s">
        <v>112</v>
      </c>
      <c r="BI31" s="8" t="s">
        <v>2320</v>
      </c>
      <c r="BJ31" s="8" t="s">
        <v>112</v>
      </c>
      <c r="BK31" s="8" t="s">
        <v>2321</v>
      </c>
      <c r="BL31" s="8" t="s">
        <v>2322</v>
      </c>
      <c r="BM31" s="8" t="s">
        <v>2323</v>
      </c>
      <c r="BN31" s="8" t="s">
        <v>2324</v>
      </c>
      <c r="BO31">
        <v>1</v>
      </c>
      <c r="BP31" s="8" t="s">
        <v>2325</v>
      </c>
      <c r="BR31" s="8" t="s">
        <v>2326</v>
      </c>
      <c r="BS31">
        <v>600</v>
      </c>
      <c r="BT31">
        <v>0</v>
      </c>
      <c r="BU31">
        <v>600</v>
      </c>
      <c r="BV31" t="s">
        <v>2147</v>
      </c>
      <c r="BW31">
        <v>0</v>
      </c>
      <c r="BY31" s="8" t="s">
        <v>106</v>
      </c>
      <c r="BZ31" s="8" t="s">
        <v>2148</v>
      </c>
      <c r="CA31" s="8" t="s">
        <v>112</v>
      </c>
      <c r="CB31" s="8" t="s">
        <v>112</v>
      </c>
      <c r="CC31" s="8" t="s">
        <v>2163</v>
      </c>
      <c r="CD31">
        <v>18609.2</v>
      </c>
      <c r="CE31" t="s">
        <v>144</v>
      </c>
      <c r="CF31">
        <v>4000000</v>
      </c>
      <c r="CG31">
        <v>18609.2</v>
      </c>
      <c r="CH31">
        <v>0</v>
      </c>
      <c r="CI31" s="8" t="s">
        <v>112</v>
      </c>
      <c r="CJ31" s="8" t="s">
        <v>112</v>
      </c>
      <c r="CK31">
        <v>203660.87</v>
      </c>
      <c r="CL31">
        <v>15609506</v>
      </c>
      <c r="CM31">
        <v>0</v>
      </c>
      <c r="CN31">
        <v>1</v>
      </c>
      <c r="CO31">
        <v>15609505.92</v>
      </c>
      <c r="CP31">
        <v>216406.16</v>
      </c>
      <c r="CQ31" s="8" t="s">
        <v>145</v>
      </c>
      <c r="CR31">
        <v>11.629</v>
      </c>
      <c r="CS31">
        <v>53</v>
      </c>
      <c r="CT31" t="s">
        <v>2327</v>
      </c>
      <c r="CV31" t="s">
        <v>2328</v>
      </c>
      <c r="CW31">
        <v>0</v>
      </c>
    </row>
    <row r="32" spans="1:101" x14ac:dyDescent="0.2">
      <c r="A32" s="8" t="s">
        <v>106</v>
      </c>
      <c r="B32" s="46">
        <v>45282</v>
      </c>
      <c r="C32" s="8" t="s">
        <v>2911</v>
      </c>
      <c r="D32" s="8" t="s">
        <v>427</v>
      </c>
      <c r="E32" s="8" t="s">
        <v>2912</v>
      </c>
      <c r="F32" t="s">
        <v>110</v>
      </c>
      <c r="G32" s="8" t="s">
        <v>111</v>
      </c>
      <c r="H32" s="8" t="s">
        <v>112</v>
      </c>
      <c r="I32" s="8" t="s">
        <v>112</v>
      </c>
      <c r="J32" s="8" t="s">
        <v>112</v>
      </c>
      <c r="K32" s="8" t="s">
        <v>2369</v>
      </c>
      <c r="L32" s="8" t="s">
        <v>2370</v>
      </c>
      <c r="M32" s="8" t="s">
        <v>112</v>
      </c>
      <c r="N32" s="8" t="s">
        <v>112</v>
      </c>
      <c r="O32">
        <v>1</v>
      </c>
      <c r="P32">
        <v>0</v>
      </c>
      <c r="Q32">
        <v>1</v>
      </c>
      <c r="R32">
        <v>672</v>
      </c>
      <c r="S32" s="8" t="s">
        <v>2529</v>
      </c>
      <c r="T32" s="8" t="s">
        <v>2530</v>
      </c>
      <c r="U32" s="8" t="s">
        <v>2913</v>
      </c>
      <c r="V32" s="8" t="s">
        <v>2532</v>
      </c>
      <c r="W32" s="8" t="s">
        <v>435</v>
      </c>
      <c r="X32" s="8" t="s">
        <v>2533</v>
      </c>
      <c r="Y32" s="8" t="s">
        <v>2373</v>
      </c>
      <c r="Z32" s="8" t="s">
        <v>2374</v>
      </c>
      <c r="AA32" s="8" t="s">
        <v>2375</v>
      </c>
      <c r="AB32" s="8" t="s">
        <v>2376</v>
      </c>
      <c r="AC32" s="8" t="s">
        <v>2316</v>
      </c>
      <c r="AD32" s="8" t="s">
        <v>2377</v>
      </c>
      <c r="AE32" s="8" t="s">
        <v>2142</v>
      </c>
      <c r="AF32" s="8" t="s">
        <v>2143</v>
      </c>
      <c r="AG32">
        <v>8392053.2699999902</v>
      </c>
      <c r="AH32" s="8" t="s">
        <v>2373</v>
      </c>
      <c r="AI32" s="8" t="s">
        <v>2374</v>
      </c>
      <c r="AJ32" s="8" t="s">
        <v>2375</v>
      </c>
      <c r="AK32" s="8" t="s">
        <v>2376</v>
      </c>
      <c r="AL32" s="8" t="s">
        <v>2316</v>
      </c>
      <c r="AM32" s="8" t="s">
        <v>2377</v>
      </c>
      <c r="AN32" s="8" t="s">
        <v>2142</v>
      </c>
      <c r="AO32" s="8" t="s">
        <v>2143</v>
      </c>
      <c r="AP32" s="8" t="s">
        <v>2143</v>
      </c>
      <c r="AQ32" s="8" t="s">
        <v>124</v>
      </c>
      <c r="AR32" s="8" t="s">
        <v>125</v>
      </c>
      <c r="AS32">
        <v>1</v>
      </c>
      <c r="AT32" s="8" t="s">
        <v>106</v>
      </c>
      <c r="AU32" s="8" t="s">
        <v>155</v>
      </c>
      <c r="AV32" s="8" t="s">
        <v>2378</v>
      </c>
      <c r="AW32">
        <v>0</v>
      </c>
      <c r="AX32" s="8" t="s">
        <v>2253</v>
      </c>
      <c r="AY32">
        <v>810636</v>
      </c>
      <c r="AZ32">
        <v>8174129</v>
      </c>
      <c r="BA32">
        <v>118993.01</v>
      </c>
      <c r="BB32">
        <v>10.083600000000001</v>
      </c>
      <c r="BC32" s="8" t="s">
        <v>130</v>
      </c>
      <c r="BD32" s="8" t="s">
        <v>145</v>
      </c>
      <c r="BE32" s="8" t="s">
        <v>2379</v>
      </c>
      <c r="BF32" s="8" t="s">
        <v>133</v>
      </c>
      <c r="BG32" s="8" t="s">
        <v>2294</v>
      </c>
      <c r="BH32" s="8" t="s">
        <v>112</v>
      </c>
      <c r="BI32" s="8" t="s">
        <v>2536</v>
      </c>
      <c r="BJ32" s="8" t="s">
        <v>112</v>
      </c>
      <c r="BK32" s="8" t="s">
        <v>2537</v>
      </c>
      <c r="BL32" s="8" t="s">
        <v>2538</v>
      </c>
      <c r="BM32" s="8" t="s">
        <v>2539</v>
      </c>
      <c r="BN32" s="8" t="s">
        <v>2540</v>
      </c>
      <c r="BO32">
        <v>1</v>
      </c>
      <c r="BP32" s="8" t="s">
        <v>2383</v>
      </c>
      <c r="BR32" s="8" t="s">
        <v>2384</v>
      </c>
      <c r="BS32">
        <v>672</v>
      </c>
      <c r="BT32">
        <v>1</v>
      </c>
      <c r="BU32">
        <v>672</v>
      </c>
      <c r="BV32" t="s">
        <v>2147</v>
      </c>
      <c r="BW32">
        <v>0</v>
      </c>
      <c r="BY32" s="8" t="s">
        <v>106</v>
      </c>
      <c r="BZ32" s="8" t="s">
        <v>2148</v>
      </c>
      <c r="CA32" s="8" t="s">
        <v>112</v>
      </c>
      <c r="CB32" s="8" t="s">
        <v>112</v>
      </c>
      <c r="CC32" s="8" t="s">
        <v>2142</v>
      </c>
      <c r="CD32">
        <v>15296.6</v>
      </c>
      <c r="CE32" t="s">
        <v>144</v>
      </c>
      <c r="CF32">
        <v>4000000</v>
      </c>
      <c r="CG32">
        <v>15296.6</v>
      </c>
      <c r="CH32">
        <v>0</v>
      </c>
      <c r="CI32" s="8" t="s">
        <v>112</v>
      </c>
      <c r="CJ32" s="8" t="s">
        <v>112</v>
      </c>
      <c r="CK32">
        <v>810636</v>
      </c>
      <c r="CL32">
        <v>8174129</v>
      </c>
      <c r="CM32">
        <v>0</v>
      </c>
      <c r="CN32">
        <v>1</v>
      </c>
      <c r="CO32">
        <v>8392053.2699999902</v>
      </c>
      <c r="CP32">
        <v>118993.01</v>
      </c>
      <c r="CQ32" s="8" t="s">
        <v>145</v>
      </c>
      <c r="CR32">
        <v>7.7789999999999999</v>
      </c>
      <c r="CS32">
        <v>1075</v>
      </c>
      <c r="CT32" t="s">
        <v>2385</v>
      </c>
      <c r="CV32" t="s">
        <v>2386</v>
      </c>
      <c r="CW32">
        <v>0</v>
      </c>
    </row>
    <row r="33" spans="1:101" x14ac:dyDescent="0.2">
      <c r="A33" s="8" t="s">
        <v>106</v>
      </c>
      <c r="B33" s="46">
        <v>45078</v>
      </c>
      <c r="C33" s="8" t="s">
        <v>2827</v>
      </c>
      <c r="D33" s="8" t="s">
        <v>427</v>
      </c>
      <c r="E33" s="8" t="s">
        <v>2828</v>
      </c>
      <c r="F33" t="s">
        <v>110</v>
      </c>
      <c r="G33" s="8" t="s">
        <v>111</v>
      </c>
      <c r="H33" s="8" t="s">
        <v>112</v>
      </c>
      <c r="I33" s="8" t="s">
        <v>112</v>
      </c>
      <c r="J33" s="8" t="s">
        <v>112</v>
      </c>
      <c r="K33" s="8" t="s">
        <v>2829</v>
      </c>
      <c r="L33" s="8" t="s">
        <v>2830</v>
      </c>
      <c r="M33" s="8" t="s">
        <v>112</v>
      </c>
      <c r="N33" s="8" t="s">
        <v>112</v>
      </c>
      <c r="O33">
        <v>2</v>
      </c>
      <c r="P33">
        <v>0</v>
      </c>
      <c r="Q33">
        <v>2</v>
      </c>
      <c r="R33">
        <v>116</v>
      </c>
      <c r="S33" s="8" t="s">
        <v>2180</v>
      </c>
      <c r="T33" s="8" t="s">
        <v>2181</v>
      </c>
      <c r="U33" s="8" t="s">
        <v>2182</v>
      </c>
      <c r="V33" s="8" t="s">
        <v>2183</v>
      </c>
      <c r="W33" s="8" t="s">
        <v>435</v>
      </c>
      <c r="X33" s="8" t="s">
        <v>2184</v>
      </c>
      <c r="Y33" s="8" t="s">
        <v>2180</v>
      </c>
      <c r="Z33" s="8" t="s">
        <v>2181</v>
      </c>
      <c r="AA33" s="8" t="s">
        <v>2182</v>
      </c>
      <c r="AB33" s="8" t="s">
        <v>2183</v>
      </c>
      <c r="AC33" s="8" t="s">
        <v>435</v>
      </c>
      <c r="AD33" s="8" t="s">
        <v>2184</v>
      </c>
      <c r="AE33" s="8" t="s">
        <v>2185</v>
      </c>
      <c r="AF33" s="8" t="s">
        <v>2186</v>
      </c>
      <c r="AG33">
        <v>11282557.939999901</v>
      </c>
      <c r="AH33" s="8" t="s">
        <v>2180</v>
      </c>
      <c r="AI33" s="8" t="s">
        <v>2181</v>
      </c>
      <c r="AJ33" s="8" t="s">
        <v>2182</v>
      </c>
      <c r="AK33" s="8" t="s">
        <v>2183</v>
      </c>
      <c r="AL33" s="8" t="s">
        <v>435</v>
      </c>
      <c r="AM33" s="8" t="s">
        <v>2184</v>
      </c>
      <c r="AN33" s="8" t="s">
        <v>2185</v>
      </c>
      <c r="AO33" s="8" t="s">
        <v>2186</v>
      </c>
      <c r="AP33" s="8" t="s">
        <v>2186</v>
      </c>
      <c r="AQ33" s="8" t="s">
        <v>124</v>
      </c>
      <c r="AR33" s="8" t="s">
        <v>125</v>
      </c>
      <c r="AS33">
        <v>2</v>
      </c>
      <c r="AT33" s="8" t="s">
        <v>126</v>
      </c>
      <c r="AU33" s="8" t="s">
        <v>155</v>
      </c>
      <c r="AV33" s="8" t="s">
        <v>2831</v>
      </c>
      <c r="AW33">
        <v>1</v>
      </c>
      <c r="AX33" s="8" t="s">
        <v>129</v>
      </c>
      <c r="AY33">
        <v>145651</v>
      </c>
      <c r="AZ33">
        <v>10937138</v>
      </c>
      <c r="BA33">
        <v>159978.20000000001</v>
      </c>
      <c r="BB33">
        <v>75.091399999999894</v>
      </c>
      <c r="BC33" s="8" t="s">
        <v>130</v>
      </c>
      <c r="BD33" s="8" t="s">
        <v>112</v>
      </c>
      <c r="BE33" s="8" t="s">
        <v>2832</v>
      </c>
      <c r="BF33" s="8" t="s">
        <v>133</v>
      </c>
      <c r="BG33" s="8" t="s">
        <v>167</v>
      </c>
      <c r="BH33" s="8" t="s">
        <v>2190</v>
      </c>
      <c r="BI33" s="8" t="s">
        <v>112</v>
      </c>
      <c r="BJ33" s="8" t="s">
        <v>112</v>
      </c>
      <c r="BK33" s="8" t="s">
        <v>2191</v>
      </c>
      <c r="BL33" s="8" t="s">
        <v>2192</v>
      </c>
      <c r="BM33" s="8" t="s">
        <v>2193</v>
      </c>
      <c r="BN33" s="8" t="s">
        <v>2194</v>
      </c>
      <c r="BO33">
        <v>1</v>
      </c>
      <c r="BP33" s="8" t="s">
        <v>2833</v>
      </c>
      <c r="BR33" s="8" t="s">
        <v>2834</v>
      </c>
      <c r="BS33">
        <v>116</v>
      </c>
      <c r="BT33">
        <v>0</v>
      </c>
      <c r="BU33">
        <v>400</v>
      </c>
      <c r="BV33" t="s">
        <v>2147</v>
      </c>
      <c r="BW33">
        <v>0</v>
      </c>
      <c r="BY33" s="8" t="s">
        <v>106</v>
      </c>
      <c r="BZ33" s="8" t="s">
        <v>2148</v>
      </c>
      <c r="CA33" s="8" t="s">
        <v>112</v>
      </c>
      <c r="CB33" s="8" t="s">
        <v>112</v>
      </c>
      <c r="CC33" s="8" t="s">
        <v>2185</v>
      </c>
      <c r="CD33">
        <v>13886.58</v>
      </c>
      <c r="CE33" t="s">
        <v>144</v>
      </c>
      <c r="CF33">
        <v>4000000</v>
      </c>
      <c r="CG33">
        <v>13707</v>
      </c>
      <c r="CH33">
        <v>0</v>
      </c>
      <c r="CI33" s="8" t="s">
        <v>112</v>
      </c>
      <c r="CJ33" s="8" t="s">
        <v>112</v>
      </c>
      <c r="CK33">
        <v>141360</v>
      </c>
      <c r="CL33">
        <v>10614920</v>
      </c>
      <c r="CM33">
        <v>0</v>
      </c>
      <c r="CN33">
        <v>1</v>
      </c>
      <c r="CO33">
        <v>10935625.91</v>
      </c>
      <c r="CP33">
        <v>155058.96</v>
      </c>
      <c r="CQ33" s="8" t="s">
        <v>145</v>
      </c>
      <c r="CR33">
        <v>11.3124</v>
      </c>
      <c r="CS33">
        <v>1075</v>
      </c>
      <c r="CT33" t="s">
        <v>2197</v>
      </c>
      <c r="CV33" t="s">
        <v>2386</v>
      </c>
      <c r="CW33">
        <v>200</v>
      </c>
    </row>
    <row r="34" spans="1:101" x14ac:dyDescent="0.2">
      <c r="A34" s="8" t="s">
        <v>106</v>
      </c>
      <c r="B34" s="46">
        <v>44989</v>
      </c>
      <c r="C34" s="8" t="s">
        <v>2968</v>
      </c>
      <c r="D34" s="8" t="s">
        <v>427</v>
      </c>
      <c r="E34" s="8" t="s">
        <v>2969</v>
      </c>
      <c r="F34" t="s">
        <v>110</v>
      </c>
      <c r="G34" s="8" t="s">
        <v>111</v>
      </c>
      <c r="H34" s="8" t="s">
        <v>112</v>
      </c>
      <c r="I34" s="8" t="s">
        <v>112</v>
      </c>
      <c r="J34" s="8" t="s">
        <v>112</v>
      </c>
      <c r="K34" s="8" t="s">
        <v>2970</v>
      </c>
      <c r="L34" s="8" t="s">
        <v>2311</v>
      </c>
      <c r="M34" s="8" t="s">
        <v>112</v>
      </c>
      <c r="N34" s="8" t="s">
        <v>112</v>
      </c>
      <c r="O34">
        <v>4</v>
      </c>
      <c r="P34">
        <v>0</v>
      </c>
      <c r="Q34">
        <v>9</v>
      </c>
      <c r="R34">
        <v>53</v>
      </c>
      <c r="S34" s="8" t="s">
        <v>2312</v>
      </c>
      <c r="T34" s="8" t="s">
        <v>2313</v>
      </c>
      <c r="U34" s="8" t="s">
        <v>2314</v>
      </c>
      <c r="V34" s="8" t="s">
        <v>2315</v>
      </c>
      <c r="W34" s="8" t="s">
        <v>2316</v>
      </c>
      <c r="X34" s="8" t="s">
        <v>2317</v>
      </c>
      <c r="Y34" s="8" t="s">
        <v>2312</v>
      </c>
      <c r="Z34" s="8" t="s">
        <v>2313</v>
      </c>
      <c r="AA34" s="8" t="s">
        <v>2314</v>
      </c>
      <c r="AB34" s="8" t="s">
        <v>2315</v>
      </c>
      <c r="AC34" s="8" t="s">
        <v>2316</v>
      </c>
      <c r="AD34" s="8" t="s">
        <v>2317</v>
      </c>
      <c r="AE34" s="8" t="s">
        <v>2163</v>
      </c>
      <c r="AF34" s="8" t="s">
        <v>2164</v>
      </c>
      <c r="AG34">
        <v>7416706.4900000002</v>
      </c>
      <c r="AH34" s="8" t="s">
        <v>2312</v>
      </c>
      <c r="AI34" s="8" t="s">
        <v>2313</v>
      </c>
      <c r="AJ34" s="8" t="s">
        <v>2314</v>
      </c>
      <c r="AK34" s="8" t="s">
        <v>2315</v>
      </c>
      <c r="AL34" s="8" t="s">
        <v>2316</v>
      </c>
      <c r="AM34" s="8" t="s">
        <v>2317</v>
      </c>
      <c r="AN34" s="8" t="s">
        <v>2163</v>
      </c>
      <c r="AO34" s="8" t="s">
        <v>2164</v>
      </c>
      <c r="AP34" s="8" t="s">
        <v>2971</v>
      </c>
      <c r="AQ34" s="8" t="s">
        <v>124</v>
      </c>
      <c r="AR34" s="8" t="s">
        <v>125</v>
      </c>
      <c r="AS34">
        <v>2</v>
      </c>
      <c r="AT34" s="8" t="s">
        <v>126</v>
      </c>
      <c r="AU34" s="8" t="s">
        <v>2318</v>
      </c>
      <c r="AV34" s="8" t="s">
        <v>2227</v>
      </c>
      <c r="AW34">
        <v>1</v>
      </c>
      <c r="AX34" s="8" t="s">
        <v>129</v>
      </c>
      <c r="AY34">
        <v>101129.23</v>
      </c>
      <c r="AZ34">
        <v>7416706</v>
      </c>
      <c r="BA34">
        <v>107482.72</v>
      </c>
      <c r="BB34">
        <v>73.338899999999896</v>
      </c>
      <c r="BC34" s="8" t="s">
        <v>130</v>
      </c>
      <c r="BD34" s="8" t="s">
        <v>112</v>
      </c>
      <c r="BE34" s="8" t="s">
        <v>2319</v>
      </c>
      <c r="BF34" s="8" t="s">
        <v>133</v>
      </c>
      <c r="BG34" s="8" t="s">
        <v>134</v>
      </c>
      <c r="BH34" s="8" t="s">
        <v>112</v>
      </c>
      <c r="BI34" s="8" t="s">
        <v>2320</v>
      </c>
      <c r="BJ34" s="8" t="s">
        <v>112</v>
      </c>
      <c r="BK34" s="8" t="s">
        <v>2321</v>
      </c>
      <c r="BL34" s="8" t="s">
        <v>2322</v>
      </c>
      <c r="BM34" s="8" t="s">
        <v>2323</v>
      </c>
      <c r="BN34" s="8" t="s">
        <v>2324</v>
      </c>
      <c r="BO34">
        <v>4</v>
      </c>
      <c r="BP34" s="8" t="s">
        <v>2972</v>
      </c>
      <c r="BR34" s="8" t="s">
        <v>2973</v>
      </c>
      <c r="BS34">
        <v>1</v>
      </c>
      <c r="BT34">
        <v>0</v>
      </c>
      <c r="BU34">
        <v>2</v>
      </c>
      <c r="BV34" t="s">
        <v>2147</v>
      </c>
      <c r="BW34">
        <v>0</v>
      </c>
      <c r="BY34" s="8" t="s">
        <v>2899</v>
      </c>
      <c r="BZ34" s="8" t="s">
        <v>2148</v>
      </c>
      <c r="CA34" s="8" t="s">
        <v>112</v>
      </c>
      <c r="CB34" s="8" t="s">
        <v>112</v>
      </c>
      <c r="CC34" s="8" t="s">
        <v>2974</v>
      </c>
      <c r="CD34">
        <v>260</v>
      </c>
      <c r="CE34" t="s">
        <v>144</v>
      </c>
      <c r="CF34">
        <v>4000000</v>
      </c>
      <c r="CG34">
        <v>260</v>
      </c>
      <c r="CH34">
        <v>0</v>
      </c>
      <c r="CI34" s="8" t="s">
        <v>112</v>
      </c>
      <c r="CJ34" s="8" t="s">
        <v>112</v>
      </c>
      <c r="CK34">
        <v>4777.04</v>
      </c>
      <c r="CL34">
        <v>350343</v>
      </c>
      <c r="CM34">
        <v>0</v>
      </c>
      <c r="CN34">
        <v>1</v>
      </c>
      <c r="CO34">
        <v>350342.86</v>
      </c>
      <c r="CP34">
        <v>5077.16</v>
      </c>
      <c r="CQ34" s="8" t="s">
        <v>145</v>
      </c>
      <c r="CR34">
        <v>19.5275</v>
      </c>
      <c r="CS34">
        <v>53</v>
      </c>
      <c r="CT34" t="s">
        <v>2327</v>
      </c>
      <c r="CV34" t="s">
        <v>2975</v>
      </c>
      <c r="CW34">
        <v>0</v>
      </c>
    </row>
    <row r="35" spans="1:101" x14ac:dyDescent="0.2">
      <c r="A35" s="8" t="s">
        <v>106</v>
      </c>
      <c r="B35" s="46">
        <v>45024</v>
      </c>
      <c r="C35" s="8" t="s">
        <v>2968</v>
      </c>
      <c r="D35" s="8" t="s">
        <v>427</v>
      </c>
      <c r="E35" s="8" t="s">
        <v>2969</v>
      </c>
      <c r="F35" t="s">
        <v>110</v>
      </c>
      <c r="G35" s="8" t="s">
        <v>111</v>
      </c>
      <c r="H35" s="8" t="s">
        <v>112</v>
      </c>
      <c r="I35" s="8" t="s">
        <v>112</v>
      </c>
      <c r="J35" s="8" t="s">
        <v>112</v>
      </c>
      <c r="K35" s="8" t="s">
        <v>2970</v>
      </c>
      <c r="L35" s="8" t="s">
        <v>2311</v>
      </c>
      <c r="M35" s="8" t="s">
        <v>112</v>
      </c>
      <c r="N35" s="8" t="s">
        <v>112</v>
      </c>
      <c r="O35">
        <v>4</v>
      </c>
      <c r="P35">
        <v>0</v>
      </c>
      <c r="Q35">
        <v>9</v>
      </c>
      <c r="R35">
        <v>53</v>
      </c>
      <c r="S35" s="8" t="s">
        <v>2312</v>
      </c>
      <c r="T35" s="8" t="s">
        <v>2313</v>
      </c>
      <c r="U35" s="8" t="s">
        <v>2314</v>
      </c>
      <c r="V35" s="8" t="s">
        <v>2315</v>
      </c>
      <c r="W35" s="8" t="s">
        <v>2316</v>
      </c>
      <c r="X35" s="8" t="s">
        <v>2317</v>
      </c>
      <c r="Y35" s="8" t="s">
        <v>2312</v>
      </c>
      <c r="Z35" s="8" t="s">
        <v>2313</v>
      </c>
      <c r="AA35" s="8" t="s">
        <v>2314</v>
      </c>
      <c r="AB35" s="8" t="s">
        <v>2315</v>
      </c>
      <c r="AC35" s="8" t="s">
        <v>2316</v>
      </c>
      <c r="AD35" s="8" t="s">
        <v>2317</v>
      </c>
      <c r="AE35" s="8" t="s">
        <v>2163</v>
      </c>
      <c r="AF35" s="8" t="s">
        <v>2164</v>
      </c>
      <c r="AG35">
        <v>7416706.4900000002</v>
      </c>
      <c r="AH35" s="8" t="s">
        <v>2312</v>
      </c>
      <c r="AI35" s="8" t="s">
        <v>2313</v>
      </c>
      <c r="AJ35" s="8" t="s">
        <v>2314</v>
      </c>
      <c r="AK35" s="8" t="s">
        <v>2315</v>
      </c>
      <c r="AL35" s="8" t="s">
        <v>2316</v>
      </c>
      <c r="AM35" s="8" t="s">
        <v>2317</v>
      </c>
      <c r="AN35" s="8" t="s">
        <v>2163</v>
      </c>
      <c r="AO35" s="8" t="s">
        <v>2164</v>
      </c>
      <c r="AP35" s="8" t="s">
        <v>2164</v>
      </c>
      <c r="AQ35" s="8" t="s">
        <v>124</v>
      </c>
      <c r="AR35" s="8" t="s">
        <v>125</v>
      </c>
      <c r="AS35">
        <v>2</v>
      </c>
      <c r="AT35" s="8" t="s">
        <v>126</v>
      </c>
      <c r="AU35" s="8" t="s">
        <v>2318</v>
      </c>
      <c r="AV35" s="8" t="s">
        <v>2227</v>
      </c>
      <c r="AW35">
        <v>1</v>
      </c>
      <c r="AX35" s="8" t="s">
        <v>129</v>
      </c>
      <c r="AY35">
        <v>101129.23</v>
      </c>
      <c r="AZ35">
        <v>7416706</v>
      </c>
      <c r="BA35">
        <v>107482.72</v>
      </c>
      <c r="BB35">
        <v>73.338899999999896</v>
      </c>
      <c r="BC35" s="8" t="s">
        <v>130</v>
      </c>
      <c r="BD35" s="8" t="s">
        <v>112</v>
      </c>
      <c r="BE35" s="8" t="s">
        <v>2319</v>
      </c>
      <c r="BF35" s="8" t="s">
        <v>133</v>
      </c>
      <c r="BG35" s="8" t="s">
        <v>134</v>
      </c>
      <c r="BH35" s="8" t="s">
        <v>112</v>
      </c>
      <c r="BI35" s="8" t="s">
        <v>2320</v>
      </c>
      <c r="BJ35" s="8" t="s">
        <v>112</v>
      </c>
      <c r="BK35" s="8" t="s">
        <v>2321</v>
      </c>
      <c r="BL35" s="8" t="s">
        <v>2322</v>
      </c>
      <c r="BM35" s="8" t="s">
        <v>2323</v>
      </c>
      <c r="BN35" s="8" t="s">
        <v>2324</v>
      </c>
      <c r="BO35">
        <v>1</v>
      </c>
      <c r="BP35" s="8" t="s">
        <v>2977</v>
      </c>
      <c r="BR35" s="8" t="s">
        <v>2326</v>
      </c>
      <c r="BS35">
        <v>5</v>
      </c>
      <c r="BT35">
        <v>0</v>
      </c>
      <c r="BU35">
        <v>5</v>
      </c>
      <c r="BV35" t="s">
        <v>2147</v>
      </c>
      <c r="BW35">
        <v>0</v>
      </c>
      <c r="BY35" s="8" t="s">
        <v>106</v>
      </c>
      <c r="BZ35" s="8" t="s">
        <v>2148</v>
      </c>
      <c r="CA35" s="8" t="s">
        <v>112</v>
      </c>
      <c r="CB35" s="8" t="s">
        <v>112</v>
      </c>
      <c r="CC35" s="8" t="s">
        <v>2163</v>
      </c>
      <c r="CD35">
        <v>3529</v>
      </c>
      <c r="CE35" t="s">
        <v>144</v>
      </c>
      <c r="CF35">
        <v>4000000</v>
      </c>
      <c r="CG35">
        <v>3375</v>
      </c>
      <c r="CH35">
        <v>0</v>
      </c>
      <c r="CI35" s="8" t="s">
        <v>112</v>
      </c>
      <c r="CJ35" s="8" t="s">
        <v>112</v>
      </c>
      <c r="CK35">
        <v>52413.64</v>
      </c>
      <c r="CL35">
        <v>3843959</v>
      </c>
      <c r="CM35">
        <v>0</v>
      </c>
      <c r="CN35">
        <v>1</v>
      </c>
      <c r="CO35">
        <v>3843958.7</v>
      </c>
      <c r="CP35">
        <v>55706.559999999903</v>
      </c>
      <c r="CQ35" s="8" t="s">
        <v>145</v>
      </c>
      <c r="CR35">
        <v>16.505600000000001</v>
      </c>
      <c r="CS35">
        <v>53</v>
      </c>
      <c r="CT35" t="s">
        <v>2327</v>
      </c>
      <c r="CV35" t="s">
        <v>2975</v>
      </c>
      <c r="CW35">
        <v>0</v>
      </c>
    </row>
    <row r="36" spans="1:101" x14ac:dyDescent="0.2">
      <c r="A36" s="8" t="s">
        <v>106</v>
      </c>
      <c r="B36" s="46">
        <v>45132</v>
      </c>
      <c r="C36" s="8" t="s">
        <v>2968</v>
      </c>
      <c r="D36" s="8" t="s">
        <v>427</v>
      </c>
      <c r="E36" s="8" t="s">
        <v>2969</v>
      </c>
      <c r="F36" t="s">
        <v>110</v>
      </c>
      <c r="G36" s="8" t="s">
        <v>111</v>
      </c>
      <c r="H36" s="8" t="s">
        <v>112</v>
      </c>
      <c r="I36" s="8" t="s">
        <v>112</v>
      </c>
      <c r="J36" s="8" t="s">
        <v>112</v>
      </c>
      <c r="K36" s="8" t="s">
        <v>2970</v>
      </c>
      <c r="L36" s="8" t="s">
        <v>2311</v>
      </c>
      <c r="M36" s="8" t="s">
        <v>112</v>
      </c>
      <c r="N36" s="8" t="s">
        <v>112</v>
      </c>
      <c r="O36">
        <v>4</v>
      </c>
      <c r="P36">
        <v>0</v>
      </c>
      <c r="Q36">
        <v>9</v>
      </c>
      <c r="R36">
        <v>53</v>
      </c>
      <c r="S36" s="8" t="s">
        <v>2312</v>
      </c>
      <c r="T36" s="8" t="s">
        <v>2313</v>
      </c>
      <c r="U36" s="8" t="s">
        <v>2314</v>
      </c>
      <c r="V36" s="8" t="s">
        <v>2315</v>
      </c>
      <c r="W36" s="8" t="s">
        <v>2316</v>
      </c>
      <c r="X36" s="8" t="s">
        <v>2317</v>
      </c>
      <c r="Y36" s="8" t="s">
        <v>2312</v>
      </c>
      <c r="Z36" s="8" t="s">
        <v>2313</v>
      </c>
      <c r="AA36" s="8" t="s">
        <v>2314</v>
      </c>
      <c r="AB36" s="8" t="s">
        <v>2315</v>
      </c>
      <c r="AC36" s="8" t="s">
        <v>2316</v>
      </c>
      <c r="AD36" s="8" t="s">
        <v>2317</v>
      </c>
      <c r="AE36" s="8" t="s">
        <v>2163</v>
      </c>
      <c r="AF36" s="8" t="s">
        <v>2164</v>
      </c>
      <c r="AG36">
        <v>7416706.4900000002</v>
      </c>
      <c r="AH36" s="8" t="s">
        <v>2312</v>
      </c>
      <c r="AI36" s="8" t="s">
        <v>2313</v>
      </c>
      <c r="AJ36" s="8" t="s">
        <v>2314</v>
      </c>
      <c r="AK36" s="8" t="s">
        <v>2315</v>
      </c>
      <c r="AL36" s="8" t="s">
        <v>2316</v>
      </c>
      <c r="AM36" s="8" t="s">
        <v>2317</v>
      </c>
      <c r="AN36" s="8" t="s">
        <v>2163</v>
      </c>
      <c r="AO36" s="8" t="s">
        <v>2164</v>
      </c>
      <c r="AP36" s="8" t="s">
        <v>2164</v>
      </c>
      <c r="AQ36" s="8" t="s">
        <v>124</v>
      </c>
      <c r="AR36" s="8" t="s">
        <v>125</v>
      </c>
      <c r="AS36">
        <v>2</v>
      </c>
      <c r="AT36" s="8" t="s">
        <v>126</v>
      </c>
      <c r="AU36" s="8" t="s">
        <v>2318</v>
      </c>
      <c r="AV36" s="8" t="s">
        <v>2227</v>
      </c>
      <c r="AW36">
        <v>1</v>
      </c>
      <c r="AX36" s="8" t="s">
        <v>129</v>
      </c>
      <c r="AY36">
        <v>101129.23</v>
      </c>
      <c r="AZ36">
        <v>7416706</v>
      </c>
      <c r="BA36">
        <v>107482.72</v>
      </c>
      <c r="BB36">
        <v>73.338899999999896</v>
      </c>
      <c r="BC36" s="8" t="s">
        <v>130</v>
      </c>
      <c r="BD36" s="8" t="s">
        <v>112</v>
      </c>
      <c r="BE36" s="8" t="s">
        <v>2319</v>
      </c>
      <c r="BF36" s="8" t="s">
        <v>133</v>
      </c>
      <c r="BG36" s="8" t="s">
        <v>134</v>
      </c>
      <c r="BH36" s="8" t="s">
        <v>112</v>
      </c>
      <c r="BI36" s="8" t="s">
        <v>2320</v>
      </c>
      <c r="BJ36" s="8" t="s">
        <v>112</v>
      </c>
      <c r="BK36" s="8" t="s">
        <v>2321</v>
      </c>
      <c r="BL36" s="8" t="s">
        <v>2322</v>
      </c>
      <c r="BM36" s="8" t="s">
        <v>2323</v>
      </c>
      <c r="BN36" s="8" t="s">
        <v>2324</v>
      </c>
      <c r="BO36">
        <v>2</v>
      </c>
      <c r="BP36" s="8" t="s">
        <v>2976</v>
      </c>
      <c r="BR36" s="8" t="s">
        <v>2326</v>
      </c>
      <c r="BS36">
        <v>8</v>
      </c>
      <c r="BT36">
        <v>0</v>
      </c>
      <c r="BU36">
        <v>14</v>
      </c>
      <c r="BV36" t="s">
        <v>2147</v>
      </c>
      <c r="BW36">
        <v>0</v>
      </c>
      <c r="BY36" s="8" t="s">
        <v>596</v>
      </c>
      <c r="BZ36" s="8" t="s">
        <v>2148</v>
      </c>
      <c r="CA36" s="8" t="s">
        <v>112</v>
      </c>
      <c r="CB36" s="8" t="s">
        <v>112</v>
      </c>
      <c r="CC36" s="8" t="s">
        <v>2163</v>
      </c>
      <c r="CD36">
        <v>1540</v>
      </c>
      <c r="CE36" t="s">
        <v>144</v>
      </c>
      <c r="CF36">
        <v>4000000</v>
      </c>
      <c r="CG36">
        <v>1540</v>
      </c>
      <c r="CH36">
        <v>0</v>
      </c>
      <c r="CI36" s="8" t="s">
        <v>112</v>
      </c>
      <c r="CJ36" s="8" t="s">
        <v>112</v>
      </c>
      <c r="CK36">
        <v>35032.910000000003</v>
      </c>
      <c r="CL36">
        <v>2569275</v>
      </c>
      <c r="CM36">
        <v>0</v>
      </c>
      <c r="CN36">
        <v>1</v>
      </c>
      <c r="CO36">
        <v>2569275.08</v>
      </c>
      <c r="CP36">
        <v>37233.870000000003</v>
      </c>
      <c r="CQ36" s="8" t="s">
        <v>145</v>
      </c>
      <c r="CR36">
        <v>24.177800000000001</v>
      </c>
      <c r="CS36">
        <v>53</v>
      </c>
      <c r="CT36" t="s">
        <v>2327</v>
      </c>
      <c r="CV36" t="s">
        <v>2975</v>
      </c>
      <c r="CW36">
        <v>0</v>
      </c>
    </row>
    <row r="37" spans="1:101" x14ac:dyDescent="0.2">
      <c r="A37" s="8" t="s">
        <v>106</v>
      </c>
      <c r="B37" s="46">
        <v>45181</v>
      </c>
      <c r="C37" s="8" t="s">
        <v>2931</v>
      </c>
      <c r="D37" s="8" t="s">
        <v>427</v>
      </c>
      <c r="E37" s="8" t="s">
        <v>2932</v>
      </c>
      <c r="F37" t="s">
        <v>110</v>
      </c>
      <c r="G37" s="8" t="s">
        <v>111</v>
      </c>
      <c r="H37" s="8" t="s">
        <v>112</v>
      </c>
      <c r="I37" s="8" t="s">
        <v>112</v>
      </c>
      <c r="J37" s="8" t="s">
        <v>112</v>
      </c>
      <c r="K37" s="8" t="s">
        <v>2933</v>
      </c>
      <c r="L37" s="8" t="s">
        <v>2311</v>
      </c>
      <c r="M37" s="8" t="s">
        <v>112</v>
      </c>
      <c r="N37" s="8" t="s">
        <v>112</v>
      </c>
      <c r="O37">
        <v>4</v>
      </c>
      <c r="P37">
        <v>0</v>
      </c>
      <c r="Q37">
        <v>10</v>
      </c>
      <c r="R37">
        <v>360</v>
      </c>
      <c r="S37" s="8" t="s">
        <v>2312</v>
      </c>
      <c r="T37" s="8" t="s">
        <v>2313</v>
      </c>
      <c r="U37" s="8" t="s">
        <v>2314</v>
      </c>
      <c r="V37" s="8" t="s">
        <v>2315</v>
      </c>
      <c r="W37" s="8" t="s">
        <v>2316</v>
      </c>
      <c r="X37" s="8" t="s">
        <v>2317</v>
      </c>
      <c r="Y37" s="8" t="s">
        <v>2312</v>
      </c>
      <c r="Z37" s="8" t="s">
        <v>2313</v>
      </c>
      <c r="AA37" s="8" t="s">
        <v>2314</v>
      </c>
      <c r="AB37" s="8" t="s">
        <v>2315</v>
      </c>
      <c r="AC37" s="8" t="s">
        <v>2316</v>
      </c>
      <c r="AD37" s="8" t="s">
        <v>2317</v>
      </c>
      <c r="AE37" s="8" t="s">
        <v>2163</v>
      </c>
      <c r="AF37" s="8" t="s">
        <v>2164</v>
      </c>
      <c r="AG37">
        <v>10762487.970000001</v>
      </c>
      <c r="AH37" s="8" t="s">
        <v>2312</v>
      </c>
      <c r="AI37" s="8" t="s">
        <v>2313</v>
      </c>
      <c r="AJ37" s="8" t="s">
        <v>2314</v>
      </c>
      <c r="AK37" s="8" t="s">
        <v>2315</v>
      </c>
      <c r="AL37" s="8" t="s">
        <v>2316</v>
      </c>
      <c r="AM37" s="8" t="s">
        <v>2317</v>
      </c>
      <c r="AN37" s="8" t="s">
        <v>2934</v>
      </c>
      <c r="AO37" s="8" t="s">
        <v>2935</v>
      </c>
      <c r="AP37" s="8" t="s">
        <v>2164</v>
      </c>
      <c r="AQ37" s="8" t="s">
        <v>124</v>
      </c>
      <c r="AR37" s="8" t="s">
        <v>125</v>
      </c>
      <c r="AS37">
        <v>2</v>
      </c>
      <c r="AT37" s="8" t="s">
        <v>126</v>
      </c>
      <c r="AU37" s="8" t="s">
        <v>2318</v>
      </c>
      <c r="AV37" s="8" t="s">
        <v>2227</v>
      </c>
      <c r="AW37">
        <v>1</v>
      </c>
      <c r="AX37" s="8" t="s">
        <v>129</v>
      </c>
      <c r="AY37">
        <v>146750.06</v>
      </c>
      <c r="AZ37">
        <v>10762488</v>
      </c>
      <c r="BA37">
        <v>155969.71</v>
      </c>
      <c r="BB37">
        <v>73.338899999999896</v>
      </c>
      <c r="BC37" s="8" t="s">
        <v>130</v>
      </c>
      <c r="BD37" s="8" t="s">
        <v>112</v>
      </c>
      <c r="BE37" s="8" t="s">
        <v>2319</v>
      </c>
      <c r="BF37" s="8" t="s">
        <v>133</v>
      </c>
      <c r="BG37" s="8" t="s">
        <v>134</v>
      </c>
      <c r="BH37" s="8" t="s">
        <v>112</v>
      </c>
      <c r="BI37" s="8" t="s">
        <v>2320</v>
      </c>
      <c r="BJ37" s="8" t="s">
        <v>112</v>
      </c>
      <c r="BK37" s="8" t="s">
        <v>2321</v>
      </c>
      <c r="BL37" s="8" t="s">
        <v>2322</v>
      </c>
      <c r="BM37" s="8" t="s">
        <v>2323</v>
      </c>
      <c r="BN37" s="8" t="s">
        <v>2324</v>
      </c>
      <c r="BO37">
        <v>1</v>
      </c>
      <c r="BP37" s="8" t="s">
        <v>2325</v>
      </c>
      <c r="BR37" s="8" t="s">
        <v>2326</v>
      </c>
      <c r="BS37">
        <v>328</v>
      </c>
      <c r="BT37">
        <v>0</v>
      </c>
      <c r="BU37">
        <v>328</v>
      </c>
      <c r="BV37" t="s">
        <v>2147</v>
      </c>
      <c r="BW37">
        <v>0</v>
      </c>
      <c r="BY37" s="8" t="s">
        <v>106</v>
      </c>
      <c r="BZ37" s="8" t="s">
        <v>2148</v>
      </c>
      <c r="CA37" s="8" t="s">
        <v>112</v>
      </c>
      <c r="CB37" s="8" t="s">
        <v>112</v>
      </c>
      <c r="CC37" s="8" t="s">
        <v>2163</v>
      </c>
      <c r="CD37">
        <v>9807.2999999999902</v>
      </c>
      <c r="CE37" t="s">
        <v>144</v>
      </c>
      <c r="CF37">
        <v>4000000</v>
      </c>
      <c r="CG37">
        <v>9807.2999999999902</v>
      </c>
      <c r="CH37">
        <v>0</v>
      </c>
      <c r="CI37" s="8" t="s">
        <v>112</v>
      </c>
      <c r="CJ37" s="8" t="s">
        <v>112</v>
      </c>
      <c r="CK37">
        <v>114186.64</v>
      </c>
      <c r="CL37">
        <v>8374323</v>
      </c>
      <c r="CM37">
        <v>0</v>
      </c>
      <c r="CN37">
        <v>1</v>
      </c>
      <c r="CO37">
        <v>8374322.5700000003</v>
      </c>
      <c r="CP37">
        <v>121360.49</v>
      </c>
      <c r="CQ37" s="8" t="s">
        <v>145</v>
      </c>
      <c r="CR37">
        <v>12.374499999999999</v>
      </c>
      <c r="CS37">
        <v>53</v>
      </c>
      <c r="CT37" t="s">
        <v>2327</v>
      </c>
      <c r="CV37" t="s">
        <v>2328</v>
      </c>
      <c r="CW37">
        <v>0</v>
      </c>
    </row>
    <row r="38" spans="1:101" x14ac:dyDescent="0.2">
      <c r="A38" s="8" t="s">
        <v>106</v>
      </c>
      <c r="B38" s="46">
        <v>44961</v>
      </c>
      <c r="C38" s="8" t="s">
        <v>3189</v>
      </c>
      <c r="D38" s="8" t="s">
        <v>427</v>
      </c>
      <c r="E38" s="8" t="s">
        <v>3190</v>
      </c>
      <c r="F38" t="s">
        <v>110</v>
      </c>
      <c r="G38" s="8" t="s">
        <v>111</v>
      </c>
      <c r="H38" s="8" t="s">
        <v>112</v>
      </c>
      <c r="I38" s="8" t="s">
        <v>112</v>
      </c>
      <c r="J38" s="8" t="s">
        <v>112</v>
      </c>
      <c r="K38" s="8" t="s">
        <v>2310</v>
      </c>
      <c r="L38" s="8" t="s">
        <v>2311</v>
      </c>
      <c r="M38" s="8" t="s">
        <v>112</v>
      </c>
      <c r="N38" s="8" t="s">
        <v>112</v>
      </c>
      <c r="O38">
        <v>2</v>
      </c>
      <c r="P38">
        <v>0</v>
      </c>
      <c r="Q38">
        <v>2</v>
      </c>
      <c r="R38">
        <v>501</v>
      </c>
      <c r="S38" s="8" t="s">
        <v>2312</v>
      </c>
      <c r="T38" s="8" t="s">
        <v>2313</v>
      </c>
      <c r="U38" s="8" t="s">
        <v>2314</v>
      </c>
      <c r="V38" s="8" t="s">
        <v>2315</v>
      </c>
      <c r="W38" s="8" t="s">
        <v>2316</v>
      </c>
      <c r="X38" s="8" t="s">
        <v>2317</v>
      </c>
      <c r="Y38" s="8" t="s">
        <v>2312</v>
      </c>
      <c r="Z38" s="8" t="s">
        <v>2313</v>
      </c>
      <c r="AA38" s="8" t="s">
        <v>2314</v>
      </c>
      <c r="AB38" s="8" t="s">
        <v>2315</v>
      </c>
      <c r="AC38" s="8" t="s">
        <v>2316</v>
      </c>
      <c r="AD38" s="8" t="s">
        <v>2317</v>
      </c>
      <c r="AE38" s="8" t="s">
        <v>2163</v>
      </c>
      <c r="AF38" s="8" t="s">
        <v>2164</v>
      </c>
      <c r="AG38">
        <v>11840329.77</v>
      </c>
      <c r="AH38" s="8" t="s">
        <v>2312</v>
      </c>
      <c r="AI38" s="8" t="s">
        <v>2313</v>
      </c>
      <c r="AJ38" s="8" t="s">
        <v>2314</v>
      </c>
      <c r="AK38" s="8" t="s">
        <v>2315</v>
      </c>
      <c r="AL38" s="8" t="s">
        <v>2316</v>
      </c>
      <c r="AM38" s="8" t="s">
        <v>2317</v>
      </c>
      <c r="AN38" s="8" t="s">
        <v>2163</v>
      </c>
      <c r="AO38" s="8" t="s">
        <v>2164</v>
      </c>
      <c r="AP38" s="8" t="s">
        <v>2164</v>
      </c>
      <c r="AQ38" s="8" t="s">
        <v>124</v>
      </c>
      <c r="AR38" s="8" t="s">
        <v>125</v>
      </c>
      <c r="AS38">
        <v>2</v>
      </c>
      <c r="AT38" s="8" t="s">
        <v>126</v>
      </c>
      <c r="AU38" s="8" t="s">
        <v>2318</v>
      </c>
      <c r="AV38" s="8" t="s">
        <v>2227</v>
      </c>
      <c r="AW38">
        <v>1</v>
      </c>
      <c r="AX38" s="8" t="s">
        <v>129</v>
      </c>
      <c r="AY38">
        <v>172148.36</v>
      </c>
      <c r="AZ38">
        <v>11840330</v>
      </c>
      <c r="BA38">
        <v>183264.71</v>
      </c>
      <c r="BB38">
        <v>68.779799999999895</v>
      </c>
      <c r="BC38" s="8" t="s">
        <v>130</v>
      </c>
      <c r="BD38" s="8" t="s">
        <v>112</v>
      </c>
      <c r="BE38" s="8" t="s">
        <v>2319</v>
      </c>
      <c r="BF38" s="8" t="s">
        <v>133</v>
      </c>
      <c r="BG38" s="8" t="s">
        <v>167</v>
      </c>
      <c r="BH38" s="8" t="s">
        <v>3191</v>
      </c>
      <c r="BI38" s="8" t="s">
        <v>112</v>
      </c>
      <c r="BJ38" s="8" t="s">
        <v>3192</v>
      </c>
      <c r="BK38" s="8" t="s">
        <v>2321</v>
      </c>
      <c r="BL38" s="8" t="s">
        <v>2322</v>
      </c>
      <c r="BM38" s="8" t="s">
        <v>2323</v>
      </c>
      <c r="BN38" s="8" t="s">
        <v>2324</v>
      </c>
      <c r="BO38">
        <v>2</v>
      </c>
      <c r="BP38" s="8" t="s">
        <v>2325</v>
      </c>
      <c r="BR38" s="8" t="s">
        <v>2326</v>
      </c>
      <c r="BS38">
        <v>489</v>
      </c>
      <c r="BT38">
        <v>0</v>
      </c>
      <c r="BU38">
        <v>489</v>
      </c>
      <c r="BV38" t="s">
        <v>2147</v>
      </c>
      <c r="BW38">
        <v>0</v>
      </c>
      <c r="BY38" s="8" t="s">
        <v>596</v>
      </c>
      <c r="BZ38" s="8" t="s">
        <v>2148</v>
      </c>
      <c r="CA38" s="8" t="s">
        <v>112</v>
      </c>
      <c r="CB38" s="8" t="s">
        <v>112</v>
      </c>
      <c r="CC38" s="8" t="s">
        <v>2163</v>
      </c>
      <c r="CD38">
        <v>14860</v>
      </c>
      <c r="CE38" t="s">
        <v>144</v>
      </c>
      <c r="CF38">
        <v>4000000</v>
      </c>
      <c r="CG38">
        <v>14860</v>
      </c>
      <c r="CH38">
        <v>0</v>
      </c>
      <c r="CI38" s="8" t="s">
        <v>112</v>
      </c>
      <c r="CJ38" s="8" t="s">
        <v>112</v>
      </c>
      <c r="CK38">
        <v>160002.84</v>
      </c>
      <c r="CL38">
        <v>11004963</v>
      </c>
      <c r="CM38">
        <v>0</v>
      </c>
      <c r="CN38">
        <v>1</v>
      </c>
      <c r="CO38">
        <v>11004963.33</v>
      </c>
      <c r="CP38">
        <v>170334.9</v>
      </c>
      <c r="CQ38" s="8" t="s">
        <v>145</v>
      </c>
      <c r="CR38">
        <v>11.4626</v>
      </c>
      <c r="CS38">
        <v>53</v>
      </c>
      <c r="CT38" t="s">
        <v>2327</v>
      </c>
      <c r="CV38" t="s">
        <v>2328</v>
      </c>
      <c r="CW38">
        <v>27</v>
      </c>
    </row>
    <row r="39" spans="1:101" x14ac:dyDescent="0.2">
      <c r="A39" s="8" t="s">
        <v>106</v>
      </c>
      <c r="B39" s="46">
        <v>45215</v>
      </c>
      <c r="C39" s="8" t="s">
        <v>2176</v>
      </c>
      <c r="D39" s="8" t="s">
        <v>427</v>
      </c>
      <c r="E39" s="8" t="s">
        <v>2177</v>
      </c>
      <c r="F39" t="s">
        <v>110</v>
      </c>
      <c r="G39" s="8" t="s">
        <v>111</v>
      </c>
      <c r="H39" s="8" t="s">
        <v>112</v>
      </c>
      <c r="I39" s="8" t="s">
        <v>112</v>
      </c>
      <c r="J39" s="8" t="s">
        <v>112</v>
      </c>
      <c r="K39" s="8" t="s">
        <v>2178</v>
      </c>
      <c r="L39" s="8" t="s">
        <v>2179</v>
      </c>
      <c r="M39" s="8" t="s">
        <v>112</v>
      </c>
      <c r="N39" s="8" t="s">
        <v>112</v>
      </c>
      <c r="O39">
        <v>1</v>
      </c>
      <c r="P39">
        <v>0</v>
      </c>
      <c r="Q39">
        <v>1</v>
      </c>
      <c r="R39">
        <v>4</v>
      </c>
      <c r="S39" s="8" t="s">
        <v>2180</v>
      </c>
      <c r="T39" s="8" t="s">
        <v>2181</v>
      </c>
      <c r="U39" s="8" t="s">
        <v>2182</v>
      </c>
      <c r="V39" s="8" t="s">
        <v>2183</v>
      </c>
      <c r="W39" s="8" t="s">
        <v>435</v>
      </c>
      <c r="X39" s="8" t="s">
        <v>2184</v>
      </c>
      <c r="Y39" s="8" t="s">
        <v>2180</v>
      </c>
      <c r="Z39" s="8" t="s">
        <v>2181</v>
      </c>
      <c r="AA39" s="8" t="s">
        <v>2182</v>
      </c>
      <c r="AB39" s="8" t="s">
        <v>2183</v>
      </c>
      <c r="AC39" s="8" t="s">
        <v>435</v>
      </c>
      <c r="AD39" s="8" t="s">
        <v>2184</v>
      </c>
      <c r="AE39" s="8" t="s">
        <v>2185</v>
      </c>
      <c r="AF39" s="8" t="s">
        <v>2186</v>
      </c>
      <c r="AG39">
        <v>1170030.0900000001</v>
      </c>
      <c r="AH39" s="8" t="s">
        <v>2180</v>
      </c>
      <c r="AI39" s="8" t="s">
        <v>2181</v>
      </c>
      <c r="AJ39" s="8" t="s">
        <v>2182</v>
      </c>
      <c r="AK39" s="8" t="s">
        <v>2183</v>
      </c>
      <c r="AL39" s="8" t="s">
        <v>435</v>
      </c>
      <c r="AM39" s="8" t="s">
        <v>2184</v>
      </c>
      <c r="AN39" s="8" t="s">
        <v>2185</v>
      </c>
      <c r="AO39" s="8" t="s">
        <v>2186</v>
      </c>
      <c r="AP39" s="8" t="s">
        <v>2186</v>
      </c>
      <c r="AQ39" s="8" t="s">
        <v>124</v>
      </c>
      <c r="AR39" s="8" t="s">
        <v>125</v>
      </c>
      <c r="AS39">
        <v>1</v>
      </c>
      <c r="AT39" s="8" t="s">
        <v>126</v>
      </c>
      <c r="AU39" s="8" t="s">
        <v>127</v>
      </c>
      <c r="AV39" s="8" t="s">
        <v>2187</v>
      </c>
      <c r="AW39">
        <v>1</v>
      </c>
      <c r="AX39" s="8" t="s">
        <v>2188</v>
      </c>
      <c r="AY39">
        <v>15096</v>
      </c>
      <c r="AZ39">
        <v>970695</v>
      </c>
      <c r="BA39">
        <v>18196</v>
      </c>
      <c r="BB39">
        <v>64.301500000000004</v>
      </c>
      <c r="BC39" s="8" t="s">
        <v>130</v>
      </c>
      <c r="BD39" s="8" t="s">
        <v>112</v>
      </c>
      <c r="BE39" s="8" t="s">
        <v>2189</v>
      </c>
      <c r="BF39" s="8" t="s">
        <v>133</v>
      </c>
      <c r="BG39" s="8" t="s">
        <v>167</v>
      </c>
      <c r="BH39" s="8" t="s">
        <v>2190</v>
      </c>
      <c r="BI39" s="8" t="s">
        <v>112</v>
      </c>
      <c r="BJ39" s="8" t="s">
        <v>112</v>
      </c>
      <c r="BK39" s="8" t="s">
        <v>2191</v>
      </c>
      <c r="BL39" s="8" t="s">
        <v>2192</v>
      </c>
      <c r="BM39" s="8" t="s">
        <v>2193</v>
      </c>
      <c r="BN39" s="8" t="s">
        <v>2194</v>
      </c>
      <c r="BO39">
        <v>1</v>
      </c>
      <c r="BP39" s="8" t="s">
        <v>2195</v>
      </c>
      <c r="BR39" s="8" t="s">
        <v>2196</v>
      </c>
      <c r="BS39">
        <v>4</v>
      </c>
      <c r="BT39">
        <v>0</v>
      </c>
      <c r="BU39">
        <v>4</v>
      </c>
      <c r="BV39" t="s">
        <v>2147</v>
      </c>
      <c r="BW39">
        <v>0</v>
      </c>
      <c r="BY39" s="8" t="s">
        <v>106</v>
      </c>
      <c r="BZ39" s="8" t="s">
        <v>2148</v>
      </c>
      <c r="CA39" s="8" t="s">
        <v>112</v>
      </c>
      <c r="CB39" s="8" t="s">
        <v>112</v>
      </c>
      <c r="CC39" s="8" t="s">
        <v>2185</v>
      </c>
      <c r="CD39">
        <v>1300</v>
      </c>
      <c r="CE39" t="s">
        <v>144</v>
      </c>
      <c r="CF39">
        <v>4000000</v>
      </c>
      <c r="CG39">
        <v>1200</v>
      </c>
      <c r="CH39">
        <v>0</v>
      </c>
      <c r="CI39" s="8" t="s">
        <v>112</v>
      </c>
      <c r="CJ39" s="8" t="s">
        <v>112</v>
      </c>
      <c r="CK39">
        <v>15096</v>
      </c>
      <c r="CL39">
        <v>970695</v>
      </c>
      <c r="CM39">
        <v>0</v>
      </c>
      <c r="CN39">
        <v>1</v>
      </c>
      <c r="CO39">
        <v>1170030.0900000001</v>
      </c>
      <c r="CP39">
        <v>18196</v>
      </c>
      <c r="CQ39" s="8" t="s">
        <v>145</v>
      </c>
      <c r="CR39">
        <v>15.1633</v>
      </c>
      <c r="CS39">
        <v>1075</v>
      </c>
      <c r="CT39" t="s">
        <v>2197</v>
      </c>
      <c r="CV39" t="s">
        <v>2198</v>
      </c>
      <c r="CW39">
        <v>0</v>
      </c>
    </row>
    <row r="40" spans="1:101" x14ac:dyDescent="0.2">
      <c r="A40" t="s">
        <v>106</v>
      </c>
      <c r="B40" s="46">
        <v>45060</v>
      </c>
      <c r="C40" t="s">
        <v>451</v>
      </c>
      <c r="D40" t="s">
        <v>427</v>
      </c>
      <c r="E40" t="s">
        <v>452</v>
      </c>
      <c r="F40" t="s">
        <v>110</v>
      </c>
      <c r="G40" t="s">
        <v>111</v>
      </c>
      <c r="H40" t="s">
        <v>112</v>
      </c>
      <c r="I40" t="s">
        <v>112</v>
      </c>
      <c r="J40" t="s">
        <v>112</v>
      </c>
      <c r="K40" t="s">
        <v>429</v>
      </c>
      <c r="L40" t="s">
        <v>430</v>
      </c>
      <c r="M40" t="s">
        <v>112</v>
      </c>
      <c r="N40" t="s">
        <v>112</v>
      </c>
      <c r="O40">
        <v>1</v>
      </c>
      <c r="P40">
        <v>0</v>
      </c>
      <c r="Q40">
        <v>1</v>
      </c>
      <c r="R40">
        <v>27</v>
      </c>
      <c r="S40" t="s">
        <v>431</v>
      </c>
      <c r="T40" t="s">
        <v>432</v>
      </c>
      <c r="U40" t="s">
        <v>433</v>
      </c>
      <c r="V40" t="s">
        <v>434</v>
      </c>
      <c r="W40" t="s">
        <v>435</v>
      </c>
      <c r="X40" t="s">
        <v>436</v>
      </c>
      <c r="Y40" t="s">
        <v>431</v>
      </c>
      <c r="Z40" t="s">
        <v>432</v>
      </c>
      <c r="AA40" t="s">
        <v>433</v>
      </c>
      <c r="AB40" t="s">
        <v>434</v>
      </c>
      <c r="AC40" t="s">
        <v>435</v>
      </c>
      <c r="AD40" t="s">
        <v>436</v>
      </c>
      <c r="AE40" t="s">
        <v>437</v>
      </c>
      <c r="AF40" t="s">
        <v>438</v>
      </c>
      <c r="AG40">
        <v>2443275.0299999998</v>
      </c>
      <c r="AH40" t="s">
        <v>431</v>
      </c>
      <c r="AI40" t="s">
        <v>432</v>
      </c>
      <c r="AJ40" t="s">
        <v>433</v>
      </c>
      <c r="AK40" t="s">
        <v>434</v>
      </c>
      <c r="AL40" t="s">
        <v>435</v>
      </c>
      <c r="AM40" t="s">
        <v>436</v>
      </c>
      <c r="AN40" t="s">
        <v>121</v>
      </c>
      <c r="AO40" t="s">
        <v>122</v>
      </c>
      <c r="AP40" t="s">
        <v>123</v>
      </c>
      <c r="AQ40" t="s">
        <v>124</v>
      </c>
      <c r="AR40" t="s">
        <v>125</v>
      </c>
      <c r="AS40">
        <v>2</v>
      </c>
      <c r="AT40" t="s">
        <v>106</v>
      </c>
      <c r="AU40" t="s">
        <v>127</v>
      </c>
      <c r="AV40" t="s">
        <v>128</v>
      </c>
      <c r="AW40">
        <v>1</v>
      </c>
      <c r="AX40" t="s">
        <v>129</v>
      </c>
      <c r="AY40">
        <v>29190.6</v>
      </c>
      <c r="AZ40">
        <v>2239923</v>
      </c>
      <c r="BA40">
        <v>34713.160000000003</v>
      </c>
      <c r="BB40">
        <v>76.734399999999994</v>
      </c>
      <c r="BC40" t="s">
        <v>130</v>
      </c>
      <c r="BD40" t="s">
        <v>131</v>
      </c>
      <c r="BE40" t="s">
        <v>440</v>
      </c>
      <c r="BF40" t="s">
        <v>133</v>
      </c>
      <c r="BG40" t="s">
        <v>134</v>
      </c>
      <c r="BH40" t="s">
        <v>112</v>
      </c>
      <c r="BI40" t="s">
        <v>178</v>
      </c>
      <c r="BJ40" t="s">
        <v>112</v>
      </c>
      <c r="BK40" t="s">
        <v>125</v>
      </c>
      <c r="BL40" t="s">
        <v>179</v>
      </c>
      <c r="BM40" t="s">
        <v>180</v>
      </c>
      <c r="BN40" t="s">
        <v>181</v>
      </c>
      <c r="BO40">
        <v>1</v>
      </c>
      <c r="BP40" t="s">
        <v>453</v>
      </c>
      <c r="BR40" t="s">
        <v>141</v>
      </c>
      <c r="BS40">
        <v>27</v>
      </c>
      <c r="BT40">
        <v>1</v>
      </c>
      <c r="BU40">
        <v>0</v>
      </c>
      <c r="BW40">
        <v>0</v>
      </c>
      <c r="BY40" t="s">
        <v>106</v>
      </c>
      <c r="BZ40" t="s">
        <v>142</v>
      </c>
      <c r="CA40" t="s">
        <v>112</v>
      </c>
      <c r="CB40" t="s">
        <v>112</v>
      </c>
      <c r="CC40" t="s">
        <v>143</v>
      </c>
      <c r="CD40">
        <v>10395</v>
      </c>
      <c r="CE40" t="s">
        <v>144</v>
      </c>
      <c r="CF40">
        <v>4000000</v>
      </c>
      <c r="CG40">
        <v>10053</v>
      </c>
      <c r="CH40">
        <v>0</v>
      </c>
      <c r="CI40" t="s">
        <v>112</v>
      </c>
      <c r="CJ40" t="s">
        <v>112</v>
      </c>
      <c r="CK40">
        <v>29190.6</v>
      </c>
      <c r="CL40">
        <v>2239923</v>
      </c>
      <c r="CM40">
        <v>0</v>
      </c>
      <c r="CN40">
        <v>1</v>
      </c>
      <c r="CO40">
        <v>2443275.0299999998</v>
      </c>
      <c r="CP40">
        <v>34713.160000000003</v>
      </c>
      <c r="CQ40" t="s">
        <v>145</v>
      </c>
      <c r="CR40">
        <v>34713.008999999998</v>
      </c>
      <c r="CS40">
        <v>3.4529999999999998</v>
      </c>
      <c r="CV40" t="s">
        <v>442</v>
      </c>
      <c r="CW40">
        <v>35</v>
      </c>
    </row>
    <row r="41" spans="1:101" x14ac:dyDescent="0.2">
      <c r="A41" t="s">
        <v>106</v>
      </c>
      <c r="B41" s="46">
        <v>45046</v>
      </c>
      <c r="C41" t="s">
        <v>457</v>
      </c>
      <c r="D41" t="s">
        <v>427</v>
      </c>
      <c r="E41" t="s">
        <v>458</v>
      </c>
      <c r="F41" t="s">
        <v>110</v>
      </c>
      <c r="G41" t="s">
        <v>111</v>
      </c>
      <c r="H41" t="s">
        <v>112</v>
      </c>
      <c r="I41" t="s">
        <v>112</v>
      </c>
      <c r="J41" t="s">
        <v>112</v>
      </c>
      <c r="K41" t="s">
        <v>429</v>
      </c>
      <c r="L41" t="s">
        <v>430</v>
      </c>
      <c r="M41" t="s">
        <v>112</v>
      </c>
      <c r="N41" t="s">
        <v>112</v>
      </c>
      <c r="O41">
        <v>1</v>
      </c>
      <c r="P41">
        <v>0</v>
      </c>
      <c r="Q41">
        <v>1</v>
      </c>
      <c r="R41">
        <v>28</v>
      </c>
      <c r="S41" t="s">
        <v>431</v>
      </c>
      <c r="T41" t="s">
        <v>432</v>
      </c>
      <c r="U41" t="s">
        <v>433</v>
      </c>
      <c r="V41" t="s">
        <v>434</v>
      </c>
      <c r="W41" t="s">
        <v>435</v>
      </c>
      <c r="X41" t="s">
        <v>436</v>
      </c>
      <c r="Y41" t="s">
        <v>431</v>
      </c>
      <c r="Z41" t="s">
        <v>432</v>
      </c>
      <c r="AA41" t="s">
        <v>433</v>
      </c>
      <c r="AB41" t="s">
        <v>434</v>
      </c>
      <c r="AC41" t="s">
        <v>435</v>
      </c>
      <c r="AD41" t="s">
        <v>436</v>
      </c>
      <c r="AE41" t="s">
        <v>437</v>
      </c>
      <c r="AF41" t="s">
        <v>438</v>
      </c>
      <c r="AG41">
        <v>2400858.5499999998</v>
      </c>
      <c r="AH41" t="s">
        <v>431</v>
      </c>
      <c r="AI41" t="s">
        <v>432</v>
      </c>
      <c r="AJ41" t="s">
        <v>433</v>
      </c>
      <c r="AK41" t="s">
        <v>434</v>
      </c>
      <c r="AL41" t="s">
        <v>435</v>
      </c>
      <c r="AM41" t="s">
        <v>436</v>
      </c>
      <c r="AN41" t="s">
        <v>121</v>
      </c>
      <c r="AO41" t="s">
        <v>122</v>
      </c>
      <c r="AP41" t="s">
        <v>123</v>
      </c>
      <c r="AQ41" t="s">
        <v>124</v>
      </c>
      <c r="AR41" t="s">
        <v>125</v>
      </c>
      <c r="AS41">
        <v>2</v>
      </c>
      <c r="AT41" t="s">
        <v>106</v>
      </c>
      <c r="AU41" t="s">
        <v>127</v>
      </c>
      <c r="AV41" t="s">
        <v>439</v>
      </c>
      <c r="AW41">
        <v>1</v>
      </c>
      <c r="AX41" t="s">
        <v>129</v>
      </c>
      <c r="AY41">
        <v>28637.83</v>
      </c>
      <c r="AZ41">
        <v>2197507</v>
      </c>
      <c r="BA41">
        <v>34110.519999999997</v>
      </c>
      <c r="BB41">
        <v>76.734399999999994</v>
      </c>
      <c r="BC41" t="s">
        <v>130</v>
      </c>
      <c r="BD41" t="s">
        <v>111</v>
      </c>
      <c r="BE41" t="s">
        <v>440</v>
      </c>
      <c r="BF41" t="s">
        <v>133</v>
      </c>
      <c r="BG41" t="s">
        <v>134</v>
      </c>
      <c r="BH41" t="s">
        <v>112</v>
      </c>
      <c r="BI41" t="s">
        <v>178</v>
      </c>
      <c r="BJ41" t="s">
        <v>112</v>
      </c>
      <c r="BK41" t="s">
        <v>125</v>
      </c>
      <c r="BL41" t="s">
        <v>179</v>
      </c>
      <c r="BM41" t="s">
        <v>180</v>
      </c>
      <c r="BN41" t="s">
        <v>181</v>
      </c>
      <c r="BO41">
        <v>1</v>
      </c>
      <c r="BP41" t="s">
        <v>459</v>
      </c>
      <c r="BR41" t="s">
        <v>141</v>
      </c>
      <c r="BS41">
        <v>28</v>
      </c>
      <c r="BT41">
        <v>1</v>
      </c>
      <c r="BU41">
        <v>0</v>
      </c>
      <c r="BW41">
        <v>0</v>
      </c>
      <c r="BY41" t="s">
        <v>106</v>
      </c>
      <c r="BZ41" t="s">
        <v>142</v>
      </c>
      <c r="CA41" t="s">
        <v>112</v>
      </c>
      <c r="CB41" t="s">
        <v>112</v>
      </c>
      <c r="CC41" t="s">
        <v>143</v>
      </c>
      <c r="CD41">
        <v>11234.15</v>
      </c>
      <c r="CE41" t="s">
        <v>144</v>
      </c>
      <c r="CF41">
        <v>4000000</v>
      </c>
      <c r="CG41">
        <v>10978.95</v>
      </c>
      <c r="CH41">
        <v>0</v>
      </c>
      <c r="CI41" t="s">
        <v>112</v>
      </c>
      <c r="CJ41" t="s">
        <v>112</v>
      </c>
      <c r="CK41">
        <v>28637.83</v>
      </c>
      <c r="CL41">
        <v>2197507</v>
      </c>
      <c r="CM41">
        <v>0</v>
      </c>
      <c r="CN41">
        <v>1</v>
      </c>
      <c r="CO41">
        <v>2400858.5499999998</v>
      </c>
      <c r="CP41">
        <v>34110.519999999997</v>
      </c>
      <c r="CQ41" t="s">
        <v>145</v>
      </c>
      <c r="CR41">
        <v>34110.499755000004</v>
      </c>
      <c r="CS41">
        <v>3.1069</v>
      </c>
      <c r="CV41" t="s">
        <v>442</v>
      </c>
      <c r="CW41">
        <v>204</v>
      </c>
    </row>
    <row r="42" spans="1:101" x14ac:dyDescent="0.2">
      <c r="A42" t="s">
        <v>106</v>
      </c>
      <c r="B42" s="46">
        <v>45179</v>
      </c>
      <c r="C42" t="s">
        <v>454</v>
      </c>
      <c r="D42" t="s">
        <v>427</v>
      </c>
      <c r="E42" t="s">
        <v>455</v>
      </c>
      <c r="F42" t="s">
        <v>110</v>
      </c>
      <c r="G42" t="s">
        <v>111</v>
      </c>
      <c r="H42" t="s">
        <v>112</v>
      </c>
      <c r="I42" t="s">
        <v>112</v>
      </c>
      <c r="J42" t="s">
        <v>112</v>
      </c>
      <c r="K42" t="s">
        <v>429</v>
      </c>
      <c r="L42" t="s">
        <v>430</v>
      </c>
      <c r="M42" t="s">
        <v>112</v>
      </c>
      <c r="N42" t="s">
        <v>112</v>
      </c>
      <c r="O42">
        <v>1</v>
      </c>
      <c r="P42">
        <v>0</v>
      </c>
      <c r="Q42">
        <v>1</v>
      </c>
      <c r="R42">
        <v>33</v>
      </c>
      <c r="S42" t="s">
        <v>431</v>
      </c>
      <c r="T42" t="s">
        <v>432</v>
      </c>
      <c r="U42" t="s">
        <v>433</v>
      </c>
      <c r="V42" t="s">
        <v>434</v>
      </c>
      <c r="W42" t="s">
        <v>435</v>
      </c>
      <c r="X42" t="s">
        <v>436</v>
      </c>
      <c r="Y42" t="s">
        <v>431</v>
      </c>
      <c r="Z42" t="s">
        <v>432</v>
      </c>
      <c r="AA42" t="s">
        <v>433</v>
      </c>
      <c r="AB42" t="s">
        <v>434</v>
      </c>
      <c r="AC42" t="s">
        <v>435</v>
      </c>
      <c r="AD42" t="s">
        <v>436</v>
      </c>
      <c r="AE42" t="s">
        <v>437</v>
      </c>
      <c r="AF42" t="s">
        <v>438</v>
      </c>
      <c r="AG42">
        <v>2707379.33</v>
      </c>
      <c r="AH42" t="s">
        <v>431</v>
      </c>
      <c r="AI42" t="s">
        <v>432</v>
      </c>
      <c r="AJ42" t="s">
        <v>433</v>
      </c>
      <c r="AK42" t="s">
        <v>434</v>
      </c>
      <c r="AL42" t="s">
        <v>435</v>
      </c>
      <c r="AM42" t="s">
        <v>436</v>
      </c>
      <c r="AN42" t="s">
        <v>121</v>
      </c>
      <c r="AO42" t="s">
        <v>122</v>
      </c>
      <c r="AP42" t="s">
        <v>123</v>
      </c>
      <c r="AQ42" t="s">
        <v>124</v>
      </c>
      <c r="AR42" t="s">
        <v>125</v>
      </c>
      <c r="AS42">
        <v>2</v>
      </c>
      <c r="AT42" t="s">
        <v>106</v>
      </c>
      <c r="AU42" t="s">
        <v>127</v>
      </c>
      <c r="AV42" t="s">
        <v>439</v>
      </c>
      <c r="AW42">
        <v>1</v>
      </c>
      <c r="AX42" t="s">
        <v>129</v>
      </c>
      <c r="AY42">
        <v>32270.04</v>
      </c>
      <c r="AZ42">
        <v>2476222</v>
      </c>
      <c r="BA42">
        <v>38465.449999999997</v>
      </c>
      <c r="BB42">
        <v>76.734399999999994</v>
      </c>
      <c r="BC42" t="s">
        <v>130</v>
      </c>
      <c r="BD42" t="s">
        <v>111</v>
      </c>
      <c r="BE42" t="s">
        <v>440</v>
      </c>
      <c r="BF42" t="s">
        <v>133</v>
      </c>
      <c r="BG42" t="s">
        <v>167</v>
      </c>
      <c r="BH42" t="s">
        <v>330</v>
      </c>
      <c r="BI42" t="s">
        <v>112</v>
      </c>
      <c r="BJ42" t="s">
        <v>112</v>
      </c>
      <c r="BK42" t="s">
        <v>125</v>
      </c>
      <c r="BL42" t="s">
        <v>331</v>
      </c>
      <c r="BM42" t="s">
        <v>332</v>
      </c>
      <c r="BN42" t="s">
        <v>181</v>
      </c>
      <c r="BO42">
        <v>1</v>
      </c>
      <c r="BP42" t="s">
        <v>456</v>
      </c>
      <c r="BR42" t="s">
        <v>141</v>
      </c>
      <c r="BS42">
        <v>33</v>
      </c>
      <c r="BT42">
        <v>1</v>
      </c>
      <c r="BU42">
        <v>0</v>
      </c>
      <c r="BW42">
        <v>0</v>
      </c>
      <c r="BY42" t="s">
        <v>106</v>
      </c>
      <c r="BZ42" t="s">
        <v>142</v>
      </c>
      <c r="CA42" t="s">
        <v>112</v>
      </c>
      <c r="CB42" t="s">
        <v>112</v>
      </c>
      <c r="CC42" t="s">
        <v>143</v>
      </c>
      <c r="CD42">
        <v>12173.04</v>
      </c>
      <c r="CE42" t="s">
        <v>144</v>
      </c>
      <c r="CF42">
        <v>4000000</v>
      </c>
      <c r="CG42">
        <v>11790.24</v>
      </c>
      <c r="CH42">
        <v>0</v>
      </c>
      <c r="CI42" t="s">
        <v>112</v>
      </c>
      <c r="CJ42" t="s">
        <v>112</v>
      </c>
      <c r="CK42">
        <v>32270.04</v>
      </c>
      <c r="CL42">
        <v>2476222</v>
      </c>
      <c r="CM42">
        <v>0</v>
      </c>
      <c r="CN42">
        <v>1</v>
      </c>
      <c r="CO42">
        <v>2707379.33</v>
      </c>
      <c r="CP42">
        <v>38465.449999999997</v>
      </c>
      <c r="CQ42" t="s">
        <v>145</v>
      </c>
      <c r="CR42">
        <v>38465.658000000003</v>
      </c>
      <c r="CS42">
        <v>3.2625000000000002</v>
      </c>
      <c r="CV42" t="s">
        <v>442</v>
      </c>
      <c r="CW42">
        <v>108</v>
      </c>
    </row>
    <row r="43" spans="1:101" x14ac:dyDescent="0.2">
      <c r="A43" t="s">
        <v>106</v>
      </c>
      <c r="B43" s="46">
        <v>44964</v>
      </c>
      <c r="C43" t="s">
        <v>426</v>
      </c>
      <c r="D43" t="s">
        <v>427</v>
      </c>
      <c r="E43" t="s">
        <v>428</v>
      </c>
      <c r="F43" t="s">
        <v>110</v>
      </c>
      <c r="G43" t="s">
        <v>111</v>
      </c>
      <c r="H43" t="s">
        <v>112</v>
      </c>
      <c r="I43" t="s">
        <v>112</v>
      </c>
      <c r="J43" t="s">
        <v>112</v>
      </c>
      <c r="K43" t="s">
        <v>429</v>
      </c>
      <c r="L43" t="s">
        <v>430</v>
      </c>
      <c r="M43" t="s">
        <v>112</v>
      </c>
      <c r="N43" t="s">
        <v>112</v>
      </c>
      <c r="O43">
        <v>1</v>
      </c>
      <c r="P43">
        <v>0</v>
      </c>
      <c r="Q43">
        <v>1</v>
      </c>
      <c r="R43">
        <v>33</v>
      </c>
      <c r="S43" t="s">
        <v>431</v>
      </c>
      <c r="T43" t="s">
        <v>432</v>
      </c>
      <c r="U43" t="s">
        <v>433</v>
      </c>
      <c r="V43" t="s">
        <v>434</v>
      </c>
      <c r="W43" t="s">
        <v>435</v>
      </c>
      <c r="X43" t="s">
        <v>436</v>
      </c>
      <c r="Y43" t="s">
        <v>431</v>
      </c>
      <c r="Z43" t="s">
        <v>432</v>
      </c>
      <c r="AA43" t="s">
        <v>433</v>
      </c>
      <c r="AB43" t="s">
        <v>434</v>
      </c>
      <c r="AC43" t="s">
        <v>435</v>
      </c>
      <c r="AD43" t="s">
        <v>436</v>
      </c>
      <c r="AE43" t="s">
        <v>437</v>
      </c>
      <c r="AF43" t="s">
        <v>438</v>
      </c>
      <c r="AG43">
        <v>2455798.08</v>
      </c>
      <c r="AH43" t="s">
        <v>431</v>
      </c>
      <c r="AI43" t="s">
        <v>432</v>
      </c>
      <c r="AJ43" t="s">
        <v>433</v>
      </c>
      <c r="AK43" t="s">
        <v>434</v>
      </c>
      <c r="AL43" t="s">
        <v>435</v>
      </c>
      <c r="AM43" t="s">
        <v>436</v>
      </c>
      <c r="AN43" t="s">
        <v>121</v>
      </c>
      <c r="AO43" t="s">
        <v>122</v>
      </c>
      <c r="AP43" t="s">
        <v>123</v>
      </c>
      <c r="AQ43" t="s">
        <v>124</v>
      </c>
      <c r="AR43" t="s">
        <v>125</v>
      </c>
      <c r="AS43">
        <v>2</v>
      </c>
      <c r="AT43" t="s">
        <v>106</v>
      </c>
      <c r="AU43" t="s">
        <v>127</v>
      </c>
      <c r="AV43" t="s">
        <v>439</v>
      </c>
      <c r="AW43">
        <v>1</v>
      </c>
      <c r="AX43" t="s">
        <v>129</v>
      </c>
      <c r="AY43">
        <v>29353.8</v>
      </c>
      <c r="AZ43">
        <v>2252446</v>
      </c>
      <c r="BA43">
        <v>34891.08</v>
      </c>
      <c r="BB43">
        <v>76.734399999999994</v>
      </c>
      <c r="BC43" t="s">
        <v>130</v>
      </c>
      <c r="BD43" t="s">
        <v>111</v>
      </c>
      <c r="BE43" t="s">
        <v>440</v>
      </c>
      <c r="BF43" t="s">
        <v>133</v>
      </c>
      <c r="BG43" t="s">
        <v>134</v>
      </c>
      <c r="BH43" t="s">
        <v>112</v>
      </c>
      <c r="BI43" t="s">
        <v>178</v>
      </c>
      <c r="BJ43" t="s">
        <v>112</v>
      </c>
      <c r="BK43" t="s">
        <v>125</v>
      </c>
      <c r="BL43" t="s">
        <v>179</v>
      </c>
      <c r="BM43" t="s">
        <v>180</v>
      </c>
      <c r="BN43" t="s">
        <v>181</v>
      </c>
      <c r="BO43">
        <v>1</v>
      </c>
      <c r="BP43" t="s">
        <v>441</v>
      </c>
      <c r="BR43" t="s">
        <v>141</v>
      </c>
      <c r="BS43">
        <v>33</v>
      </c>
      <c r="BT43">
        <v>1</v>
      </c>
      <c r="BU43">
        <v>0</v>
      </c>
      <c r="BW43">
        <v>0</v>
      </c>
      <c r="BY43" t="s">
        <v>106</v>
      </c>
      <c r="BZ43" t="s">
        <v>142</v>
      </c>
      <c r="CA43" t="s">
        <v>112</v>
      </c>
      <c r="CB43" t="s">
        <v>112</v>
      </c>
      <c r="CC43" t="s">
        <v>143</v>
      </c>
      <c r="CD43">
        <v>13311</v>
      </c>
      <c r="CE43" t="s">
        <v>144</v>
      </c>
      <c r="CF43">
        <v>4000000</v>
      </c>
      <c r="CG43">
        <v>13311</v>
      </c>
      <c r="CH43">
        <v>0</v>
      </c>
      <c r="CI43" t="s">
        <v>112</v>
      </c>
      <c r="CJ43" t="s">
        <v>112</v>
      </c>
      <c r="CK43">
        <v>29353.8</v>
      </c>
      <c r="CL43">
        <v>2252446</v>
      </c>
      <c r="CM43">
        <v>0</v>
      </c>
      <c r="CN43">
        <v>1</v>
      </c>
      <c r="CO43">
        <v>2455798.08</v>
      </c>
      <c r="CP43">
        <v>34891.08</v>
      </c>
      <c r="CQ43" t="s">
        <v>145</v>
      </c>
      <c r="CR43">
        <v>34890.7932</v>
      </c>
      <c r="CS43">
        <v>2.6212</v>
      </c>
      <c r="CV43" t="s">
        <v>442</v>
      </c>
      <c r="CW43">
        <v>44</v>
      </c>
    </row>
    <row r="44" spans="1:101" x14ac:dyDescent="0.2">
      <c r="A44" t="s">
        <v>106</v>
      </c>
      <c r="B44" s="46">
        <v>45174</v>
      </c>
      <c r="C44" t="s">
        <v>443</v>
      </c>
      <c r="D44" t="s">
        <v>427</v>
      </c>
      <c r="E44" t="s">
        <v>444</v>
      </c>
      <c r="F44" t="s">
        <v>110</v>
      </c>
      <c r="G44" t="s">
        <v>111</v>
      </c>
      <c r="H44" t="s">
        <v>112</v>
      </c>
      <c r="I44" t="s">
        <v>112</v>
      </c>
      <c r="J44" t="s">
        <v>112</v>
      </c>
      <c r="K44" t="s">
        <v>429</v>
      </c>
      <c r="L44" t="s">
        <v>430</v>
      </c>
      <c r="M44" t="s">
        <v>112</v>
      </c>
      <c r="N44" t="s">
        <v>112</v>
      </c>
      <c r="O44">
        <v>1</v>
      </c>
      <c r="P44">
        <v>0</v>
      </c>
      <c r="Q44">
        <v>1</v>
      </c>
      <c r="R44">
        <v>33</v>
      </c>
      <c r="S44" t="s">
        <v>431</v>
      </c>
      <c r="T44" t="s">
        <v>432</v>
      </c>
      <c r="U44" t="s">
        <v>433</v>
      </c>
      <c r="V44" t="s">
        <v>434</v>
      </c>
      <c r="W44" t="s">
        <v>435</v>
      </c>
      <c r="X44" t="s">
        <v>436</v>
      </c>
      <c r="Y44" t="s">
        <v>431</v>
      </c>
      <c r="Z44" t="s">
        <v>432</v>
      </c>
      <c r="AA44" t="s">
        <v>433</v>
      </c>
      <c r="AB44" t="s">
        <v>434</v>
      </c>
      <c r="AC44" t="s">
        <v>435</v>
      </c>
      <c r="AD44" t="s">
        <v>436</v>
      </c>
      <c r="AE44" t="s">
        <v>437</v>
      </c>
      <c r="AF44" t="s">
        <v>438</v>
      </c>
      <c r="AG44">
        <v>2609711.94</v>
      </c>
      <c r="AH44" t="s">
        <v>431</v>
      </c>
      <c r="AI44" t="s">
        <v>432</v>
      </c>
      <c r="AJ44" t="s">
        <v>433</v>
      </c>
      <c r="AK44" t="s">
        <v>434</v>
      </c>
      <c r="AL44" t="s">
        <v>435</v>
      </c>
      <c r="AM44" t="s">
        <v>436</v>
      </c>
      <c r="AN44" t="s">
        <v>121</v>
      </c>
      <c r="AO44" t="s">
        <v>122</v>
      </c>
      <c r="AP44" t="s">
        <v>123</v>
      </c>
      <c r="AQ44" t="s">
        <v>124</v>
      </c>
      <c r="AR44" t="s">
        <v>125</v>
      </c>
      <c r="AS44">
        <v>2</v>
      </c>
      <c r="AT44" t="s">
        <v>106</v>
      </c>
      <c r="AU44" t="s">
        <v>127</v>
      </c>
      <c r="AV44" t="s">
        <v>439</v>
      </c>
      <c r="AW44">
        <v>1</v>
      </c>
      <c r="AX44" t="s">
        <v>129</v>
      </c>
      <c r="AY44">
        <v>31359.599999999999</v>
      </c>
      <c r="AZ44">
        <v>2406360</v>
      </c>
      <c r="BA44">
        <v>37077.83</v>
      </c>
      <c r="BB44">
        <v>76.734399999999994</v>
      </c>
      <c r="BC44" t="s">
        <v>130</v>
      </c>
      <c r="BD44" t="s">
        <v>111</v>
      </c>
      <c r="BE44" t="s">
        <v>440</v>
      </c>
      <c r="BF44" t="s">
        <v>133</v>
      </c>
      <c r="BG44" t="s">
        <v>134</v>
      </c>
      <c r="BH44" t="s">
        <v>112</v>
      </c>
      <c r="BI44" t="s">
        <v>178</v>
      </c>
      <c r="BJ44" t="s">
        <v>112</v>
      </c>
      <c r="BK44" t="s">
        <v>125</v>
      </c>
      <c r="BL44" t="s">
        <v>179</v>
      </c>
      <c r="BM44" t="s">
        <v>180</v>
      </c>
      <c r="BN44" t="s">
        <v>181</v>
      </c>
      <c r="BO44">
        <v>1</v>
      </c>
      <c r="BP44" t="s">
        <v>445</v>
      </c>
      <c r="BR44" t="s">
        <v>141</v>
      </c>
      <c r="BS44">
        <v>33</v>
      </c>
      <c r="BT44">
        <v>1</v>
      </c>
      <c r="BU44">
        <v>0</v>
      </c>
      <c r="BW44">
        <v>0</v>
      </c>
      <c r="BY44" t="s">
        <v>106</v>
      </c>
      <c r="BZ44" t="s">
        <v>142</v>
      </c>
      <c r="CA44" t="s">
        <v>112</v>
      </c>
      <c r="CB44" t="s">
        <v>112</v>
      </c>
      <c r="CC44" t="s">
        <v>143</v>
      </c>
      <c r="CD44">
        <v>11829.6</v>
      </c>
      <c r="CE44" t="s">
        <v>144</v>
      </c>
      <c r="CF44">
        <v>4000000</v>
      </c>
      <c r="CG44">
        <v>11457.6</v>
      </c>
      <c r="CH44">
        <v>0</v>
      </c>
      <c r="CI44" t="s">
        <v>112</v>
      </c>
      <c r="CJ44" t="s">
        <v>112</v>
      </c>
      <c r="CK44">
        <v>31359.599999999999</v>
      </c>
      <c r="CL44">
        <v>2406360</v>
      </c>
      <c r="CM44">
        <v>0</v>
      </c>
      <c r="CN44">
        <v>1</v>
      </c>
      <c r="CO44">
        <v>2609711.94</v>
      </c>
      <c r="CP44">
        <v>37077.83</v>
      </c>
      <c r="CQ44" t="s">
        <v>145</v>
      </c>
      <c r="CR44">
        <v>37077.939360000004</v>
      </c>
      <c r="CS44">
        <v>3.2361</v>
      </c>
      <c r="CV44" t="s">
        <v>442</v>
      </c>
      <c r="CW44">
        <v>200</v>
      </c>
    </row>
    <row r="45" spans="1:101" x14ac:dyDescent="0.2">
      <c r="A45" s="8" t="s">
        <v>106</v>
      </c>
      <c r="B45" s="46">
        <v>45208</v>
      </c>
      <c r="C45" s="8" t="s">
        <v>2132</v>
      </c>
      <c r="D45" s="8" t="s">
        <v>108</v>
      </c>
      <c r="E45" s="8" t="s">
        <v>2133</v>
      </c>
      <c r="F45" t="s">
        <v>110</v>
      </c>
      <c r="G45" s="8" t="s">
        <v>111</v>
      </c>
      <c r="H45" s="8" t="s">
        <v>112</v>
      </c>
      <c r="I45" s="8" t="s">
        <v>112</v>
      </c>
      <c r="J45" s="8" t="s">
        <v>112</v>
      </c>
      <c r="K45" s="8" t="s">
        <v>2134</v>
      </c>
      <c r="L45" s="8" t="s">
        <v>2135</v>
      </c>
      <c r="M45" s="8" t="s">
        <v>112</v>
      </c>
      <c r="N45" s="8" t="s">
        <v>112</v>
      </c>
      <c r="O45">
        <v>1</v>
      </c>
      <c r="P45">
        <v>0</v>
      </c>
      <c r="Q45">
        <v>1</v>
      </c>
      <c r="R45">
        <v>56</v>
      </c>
      <c r="S45" s="8" t="s">
        <v>2136</v>
      </c>
      <c r="T45" s="8" t="s">
        <v>2137</v>
      </c>
      <c r="U45" s="8" t="s">
        <v>2138</v>
      </c>
      <c r="V45" s="8" t="s">
        <v>2139</v>
      </c>
      <c r="W45" s="8" t="s">
        <v>119</v>
      </c>
      <c r="X45" s="8" t="s">
        <v>2140</v>
      </c>
      <c r="Y45" s="8" t="s">
        <v>2136</v>
      </c>
      <c r="Z45" s="8" t="s">
        <v>2137</v>
      </c>
      <c r="AA45" s="8" t="s">
        <v>2141</v>
      </c>
      <c r="AB45" s="8" t="s">
        <v>2139</v>
      </c>
      <c r="AC45" s="8" t="s">
        <v>119</v>
      </c>
      <c r="AD45" s="8" t="s">
        <v>2140</v>
      </c>
      <c r="AE45" s="8" t="s">
        <v>2142</v>
      </c>
      <c r="AF45" s="8" t="s">
        <v>2143</v>
      </c>
      <c r="AG45">
        <v>7849865.3899999904</v>
      </c>
      <c r="AH45" s="8" t="s">
        <v>2136</v>
      </c>
      <c r="AI45" s="8" t="s">
        <v>2137</v>
      </c>
      <c r="AJ45" s="8" t="s">
        <v>2141</v>
      </c>
      <c r="AK45" s="8" t="s">
        <v>2139</v>
      </c>
      <c r="AL45" s="8" t="s">
        <v>119</v>
      </c>
      <c r="AM45" s="8" t="s">
        <v>2140</v>
      </c>
      <c r="AN45" s="8" t="s">
        <v>2142</v>
      </c>
      <c r="AO45" s="8" t="s">
        <v>2143</v>
      </c>
      <c r="AP45" s="8" t="s">
        <v>2143</v>
      </c>
      <c r="AQ45" s="8" t="s">
        <v>124</v>
      </c>
      <c r="AR45" s="8" t="s">
        <v>125</v>
      </c>
      <c r="AS45">
        <v>1</v>
      </c>
      <c r="AT45" s="8" t="s">
        <v>106</v>
      </c>
      <c r="AU45" s="8" t="s">
        <v>127</v>
      </c>
      <c r="AV45" s="8" t="s">
        <v>2144</v>
      </c>
      <c r="AW45">
        <v>0</v>
      </c>
      <c r="AX45" s="8" t="s">
        <v>129</v>
      </c>
      <c r="AY45">
        <v>99667.32</v>
      </c>
      <c r="AZ45">
        <v>7540361</v>
      </c>
      <c r="BA45">
        <v>111602.85</v>
      </c>
      <c r="BB45">
        <v>75.655299999999897</v>
      </c>
      <c r="BC45" s="8" t="s">
        <v>130</v>
      </c>
      <c r="BD45" s="8" t="s">
        <v>111</v>
      </c>
      <c r="BE45" s="8" t="s">
        <v>2145</v>
      </c>
      <c r="BF45" s="8" t="s">
        <v>133</v>
      </c>
      <c r="BG45" s="8" t="s">
        <v>167</v>
      </c>
      <c r="BH45" s="8" t="s">
        <v>168</v>
      </c>
      <c r="BI45" s="8" t="s">
        <v>112</v>
      </c>
      <c r="BJ45" s="8" t="s">
        <v>112</v>
      </c>
      <c r="BK45" s="8" t="s">
        <v>169</v>
      </c>
      <c r="BL45" s="8" t="s">
        <v>159</v>
      </c>
      <c r="BM45" s="8" t="s">
        <v>160</v>
      </c>
      <c r="BN45" s="8" t="s">
        <v>161</v>
      </c>
      <c r="BO45">
        <v>1</v>
      </c>
      <c r="BP45" s="8" t="s">
        <v>2146</v>
      </c>
      <c r="BR45" s="8" t="s">
        <v>2134</v>
      </c>
      <c r="BS45">
        <v>56</v>
      </c>
      <c r="BT45">
        <v>1</v>
      </c>
      <c r="BU45">
        <v>388</v>
      </c>
      <c r="BV45" t="s">
        <v>2147</v>
      </c>
      <c r="BW45">
        <v>0</v>
      </c>
      <c r="BY45" s="8" t="s">
        <v>106</v>
      </c>
      <c r="BZ45" s="8" t="s">
        <v>2148</v>
      </c>
      <c r="CA45" s="8" t="s">
        <v>112</v>
      </c>
      <c r="CB45" s="8" t="s">
        <v>112</v>
      </c>
      <c r="CC45" s="8" t="s">
        <v>2142</v>
      </c>
      <c r="CD45">
        <v>11524</v>
      </c>
      <c r="CE45" t="s">
        <v>144</v>
      </c>
      <c r="CF45">
        <v>4000000</v>
      </c>
      <c r="CG45">
        <v>11252</v>
      </c>
      <c r="CH45">
        <v>0</v>
      </c>
      <c r="CI45" s="8" t="s">
        <v>112</v>
      </c>
      <c r="CJ45" s="8" t="s">
        <v>112</v>
      </c>
      <c r="CK45">
        <v>99667.32</v>
      </c>
      <c r="CL45">
        <v>7540361</v>
      </c>
      <c r="CM45">
        <v>0</v>
      </c>
      <c r="CN45">
        <v>1</v>
      </c>
      <c r="CO45">
        <v>7849865.3899999904</v>
      </c>
      <c r="CP45">
        <v>111602.85</v>
      </c>
      <c r="CQ45" s="8" t="s">
        <v>145</v>
      </c>
      <c r="CR45">
        <v>9.9184999999999999</v>
      </c>
      <c r="CS45">
        <v>1053</v>
      </c>
      <c r="CT45" t="s">
        <v>2149</v>
      </c>
      <c r="CV45" t="s">
        <v>2150</v>
      </c>
      <c r="CW45">
        <v>0</v>
      </c>
    </row>
    <row r="46" spans="1:101" x14ac:dyDescent="0.2">
      <c r="A46" s="8" t="s">
        <v>106</v>
      </c>
      <c r="B46" s="46">
        <v>45043</v>
      </c>
      <c r="C46" s="8" t="s">
        <v>2151</v>
      </c>
      <c r="D46" s="8" t="s">
        <v>108</v>
      </c>
      <c r="E46" s="8" t="s">
        <v>2152</v>
      </c>
      <c r="F46" t="s">
        <v>110</v>
      </c>
      <c r="G46" s="8" t="s">
        <v>111</v>
      </c>
      <c r="H46" s="8" t="s">
        <v>112</v>
      </c>
      <c r="I46" s="8" t="s">
        <v>112</v>
      </c>
      <c r="J46" s="8" t="s">
        <v>112</v>
      </c>
      <c r="K46" s="8" t="s">
        <v>2134</v>
      </c>
      <c r="L46" s="8" t="s">
        <v>2135</v>
      </c>
      <c r="M46" s="8" t="s">
        <v>112</v>
      </c>
      <c r="N46" s="8" t="s">
        <v>112</v>
      </c>
      <c r="O46">
        <v>1</v>
      </c>
      <c r="P46">
        <v>0</v>
      </c>
      <c r="Q46">
        <v>1</v>
      </c>
      <c r="R46">
        <v>52</v>
      </c>
      <c r="S46" s="8" t="s">
        <v>2136</v>
      </c>
      <c r="T46" s="8" t="s">
        <v>2137</v>
      </c>
      <c r="U46" s="8" t="s">
        <v>2138</v>
      </c>
      <c r="V46" s="8" t="s">
        <v>2139</v>
      </c>
      <c r="W46" s="8" t="s">
        <v>119</v>
      </c>
      <c r="X46" s="8" t="s">
        <v>2140</v>
      </c>
      <c r="Y46" s="8" t="s">
        <v>2136</v>
      </c>
      <c r="Z46" s="8" t="s">
        <v>2137</v>
      </c>
      <c r="AA46" s="8" t="s">
        <v>2141</v>
      </c>
      <c r="AB46" s="8" t="s">
        <v>2139</v>
      </c>
      <c r="AC46" s="8" t="s">
        <v>119</v>
      </c>
      <c r="AD46" s="8" t="s">
        <v>2140</v>
      </c>
      <c r="AE46" s="8" t="s">
        <v>2142</v>
      </c>
      <c r="AF46" s="8" t="s">
        <v>2143</v>
      </c>
      <c r="AG46">
        <v>7107262.3300000001</v>
      </c>
      <c r="AH46" s="8" t="s">
        <v>2136</v>
      </c>
      <c r="AI46" s="8" t="s">
        <v>2137</v>
      </c>
      <c r="AJ46" s="8" t="s">
        <v>2141</v>
      </c>
      <c r="AK46" s="8" t="s">
        <v>2139</v>
      </c>
      <c r="AL46" s="8" t="s">
        <v>119</v>
      </c>
      <c r="AM46" s="8" t="s">
        <v>2140</v>
      </c>
      <c r="AN46" s="8" t="s">
        <v>2142</v>
      </c>
      <c r="AO46" s="8" t="s">
        <v>2143</v>
      </c>
      <c r="AP46" s="8" t="s">
        <v>2143</v>
      </c>
      <c r="AQ46" s="8" t="s">
        <v>124</v>
      </c>
      <c r="AR46" s="8" t="s">
        <v>125</v>
      </c>
      <c r="AS46">
        <v>1</v>
      </c>
      <c r="AT46" s="8" t="s">
        <v>106</v>
      </c>
      <c r="AU46" s="8" t="s">
        <v>127</v>
      </c>
      <c r="AV46" s="8" t="s">
        <v>2144</v>
      </c>
      <c r="AW46">
        <v>0</v>
      </c>
      <c r="AX46" s="8" t="s">
        <v>129</v>
      </c>
      <c r="AY46">
        <v>89851.71</v>
      </c>
      <c r="AZ46">
        <v>6797758</v>
      </c>
      <c r="BA46">
        <v>101045.14</v>
      </c>
      <c r="BB46">
        <v>75.655299999999897</v>
      </c>
      <c r="BC46" s="8" t="s">
        <v>130</v>
      </c>
      <c r="BD46" s="8" t="s">
        <v>111</v>
      </c>
      <c r="BE46" s="8" t="s">
        <v>2145</v>
      </c>
      <c r="BF46" s="8" t="s">
        <v>133</v>
      </c>
      <c r="BG46" s="8" t="s">
        <v>167</v>
      </c>
      <c r="BH46" s="8" t="s">
        <v>168</v>
      </c>
      <c r="BI46" s="8" t="s">
        <v>112</v>
      </c>
      <c r="BJ46" s="8" t="s">
        <v>112</v>
      </c>
      <c r="BK46" s="8" t="s">
        <v>169</v>
      </c>
      <c r="BL46" s="8" t="s">
        <v>159</v>
      </c>
      <c r="BM46" s="8" t="s">
        <v>160</v>
      </c>
      <c r="BN46" s="8" t="s">
        <v>161</v>
      </c>
      <c r="BO46">
        <v>1</v>
      </c>
      <c r="BP46" s="8" t="s">
        <v>2146</v>
      </c>
      <c r="BR46" s="8" t="s">
        <v>2134</v>
      </c>
      <c r="BS46">
        <v>52</v>
      </c>
      <c r="BT46">
        <v>1</v>
      </c>
      <c r="BU46">
        <v>324</v>
      </c>
      <c r="BV46" t="s">
        <v>2147</v>
      </c>
      <c r="BW46">
        <v>0</v>
      </c>
      <c r="BY46" s="8" t="s">
        <v>106</v>
      </c>
      <c r="BZ46" s="8" t="s">
        <v>2148</v>
      </c>
      <c r="CA46" s="8" t="s">
        <v>112</v>
      </c>
      <c r="CB46" s="8" t="s">
        <v>112</v>
      </c>
      <c r="CC46" s="8" t="s">
        <v>2142</v>
      </c>
      <c r="CD46">
        <v>10656</v>
      </c>
      <c r="CE46" t="s">
        <v>144</v>
      </c>
      <c r="CF46">
        <v>4000000</v>
      </c>
      <c r="CG46">
        <v>10196</v>
      </c>
      <c r="CH46">
        <v>0</v>
      </c>
      <c r="CI46" s="8" t="s">
        <v>112</v>
      </c>
      <c r="CJ46" s="8" t="s">
        <v>112</v>
      </c>
      <c r="CK46">
        <v>89851.71</v>
      </c>
      <c r="CL46">
        <v>6797758</v>
      </c>
      <c r="CM46">
        <v>0</v>
      </c>
      <c r="CN46">
        <v>1</v>
      </c>
      <c r="CO46">
        <v>7107262.3300000001</v>
      </c>
      <c r="CP46">
        <v>101045.14</v>
      </c>
      <c r="CQ46" s="8" t="s">
        <v>145</v>
      </c>
      <c r="CR46">
        <v>9.9102999999999994</v>
      </c>
      <c r="CS46">
        <v>1053</v>
      </c>
      <c r="CT46" t="s">
        <v>2149</v>
      </c>
      <c r="CV46" t="s">
        <v>2150</v>
      </c>
      <c r="CW46">
        <v>0</v>
      </c>
    </row>
    <row r="47" spans="1:101" x14ac:dyDescent="0.2">
      <c r="A47" s="8" t="s">
        <v>106</v>
      </c>
      <c r="B47" s="46">
        <v>44985</v>
      </c>
      <c r="C47" s="8" t="s">
        <v>2153</v>
      </c>
      <c r="D47" s="8" t="s">
        <v>108</v>
      </c>
      <c r="E47" s="8" t="s">
        <v>2154</v>
      </c>
      <c r="F47" t="s">
        <v>110</v>
      </c>
      <c r="G47" s="8" t="s">
        <v>111</v>
      </c>
      <c r="H47" s="8" t="s">
        <v>112</v>
      </c>
      <c r="I47" s="8" t="s">
        <v>112</v>
      </c>
      <c r="J47" s="8" t="s">
        <v>112</v>
      </c>
      <c r="K47" s="8" t="s">
        <v>2134</v>
      </c>
      <c r="L47" s="8" t="s">
        <v>2135</v>
      </c>
      <c r="M47" s="8" t="s">
        <v>112</v>
      </c>
      <c r="N47" s="8" t="s">
        <v>112</v>
      </c>
      <c r="O47">
        <v>1</v>
      </c>
      <c r="P47">
        <v>0</v>
      </c>
      <c r="Q47">
        <v>1</v>
      </c>
      <c r="R47">
        <v>52</v>
      </c>
      <c r="S47" s="8" t="s">
        <v>2136</v>
      </c>
      <c r="T47" s="8" t="s">
        <v>2137</v>
      </c>
      <c r="U47" s="8" t="s">
        <v>2138</v>
      </c>
      <c r="V47" s="8" t="s">
        <v>2139</v>
      </c>
      <c r="W47" s="8" t="s">
        <v>119</v>
      </c>
      <c r="X47" s="8" t="s">
        <v>2140</v>
      </c>
      <c r="Y47" s="8" t="s">
        <v>2136</v>
      </c>
      <c r="Z47" s="8" t="s">
        <v>2137</v>
      </c>
      <c r="AA47" s="8" t="s">
        <v>2141</v>
      </c>
      <c r="AB47" s="8" t="s">
        <v>2139</v>
      </c>
      <c r="AC47" s="8" t="s">
        <v>119</v>
      </c>
      <c r="AD47" s="8" t="s">
        <v>2140</v>
      </c>
      <c r="AE47" s="8" t="s">
        <v>2142</v>
      </c>
      <c r="AF47" s="8" t="s">
        <v>2143</v>
      </c>
      <c r="AG47">
        <v>6989252.75</v>
      </c>
      <c r="AH47" s="8" t="s">
        <v>2136</v>
      </c>
      <c r="AI47" s="8" t="s">
        <v>2137</v>
      </c>
      <c r="AJ47" s="8" t="s">
        <v>2141</v>
      </c>
      <c r="AK47" s="8" t="s">
        <v>2139</v>
      </c>
      <c r="AL47" s="8" t="s">
        <v>119</v>
      </c>
      <c r="AM47" s="8" t="s">
        <v>2140</v>
      </c>
      <c r="AN47" s="8" t="s">
        <v>2142</v>
      </c>
      <c r="AO47" s="8" t="s">
        <v>2143</v>
      </c>
      <c r="AP47" s="8" t="s">
        <v>2143</v>
      </c>
      <c r="AQ47" s="8" t="s">
        <v>124</v>
      </c>
      <c r="AR47" s="8" t="s">
        <v>125</v>
      </c>
      <c r="AS47">
        <v>1</v>
      </c>
      <c r="AT47" s="8" t="s">
        <v>106</v>
      </c>
      <c r="AU47" s="8" t="s">
        <v>127</v>
      </c>
      <c r="AV47" s="8" t="s">
        <v>2144</v>
      </c>
      <c r="AW47">
        <v>0</v>
      </c>
      <c r="AX47" s="8" t="s">
        <v>129</v>
      </c>
      <c r="AY47">
        <v>88291.87</v>
      </c>
      <c r="AZ47">
        <v>6679748</v>
      </c>
      <c r="BA47">
        <v>99367.38</v>
      </c>
      <c r="BB47">
        <v>75.655299999999897</v>
      </c>
      <c r="BC47" s="8" t="s">
        <v>130</v>
      </c>
      <c r="BD47" s="8" t="s">
        <v>111</v>
      </c>
      <c r="BE47" s="8" t="s">
        <v>2145</v>
      </c>
      <c r="BF47" s="8" t="s">
        <v>133</v>
      </c>
      <c r="BG47" s="8" t="s">
        <v>167</v>
      </c>
      <c r="BH47" s="8" t="s">
        <v>168</v>
      </c>
      <c r="BI47" s="8" t="s">
        <v>112</v>
      </c>
      <c r="BJ47" s="8" t="s">
        <v>112</v>
      </c>
      <c r="BK47" s="8" t="s">
        <v>169</v>
      </c>
      <c r="BL47" s="8" t="s">
        <v>159</v>
      </c>
      <c r="BM47" s="8" t="s">
        <v>160</v>
      </c>
      <c r="BN47" s="8" t="s">
        <v>161</v>
      </c>
      <c r="BO47">
        <v>1</v>
      </c>
      <c r="BP47" s="8" t="s">
        <v>2146</v>
      </c>
      <c r="BR47" s="8" t="s">
        <v>2134</v>
      </c>
      <c r="BS47">
        <v>52</v>
      </c>
      <c r="BT47">
        <v>1</v>
      </c>
      <c r="BU47">
        <v>308</v>
      </c>
      <c r="BV47" t="s">
        <v>2147</v>
      </c>
      <c r="BW47">
        <v>0</v>
      </c>
      <c r="BY47" s="8" t="s">
        <v>106</v>
      </c>
      <c r="BZ47" s="8" t="s">
        <v>2148</v>
      </c>
      <c r="CA47" s="8" t="s">
        <v>112</v>
      </c>
      <c r="CB47" s="8" t="s">
        <v>112</v>
      </c>
      <c r="CC47" s="8" t="s">
        <v>2142</v>
      </c>
      <c r="CD47">
        <v>10592</v>
      </c>
      <c r="CE47" t="s">
        <v>144</v>
      </c>
      <c r="CF47">
        <v>4000000</v>
      </c>
      <c r="CG47">
        <v>10032</v>
      </c>
      <c r="CH47">
        <v>0</v>
      </c>
      <c r="CI47" s="8" t="s">
        <v>112</v>
      </c>
      <c r="CJ47" s="8" t="s">
        <v>112</v>
      </c>
      <c r="CK47">
        <v>88291.87</v>
      </c>
      <c r="CL47">
        <v>6679748</v>
      </c>
      <c r="CM47">
        <v>0</v>
      </c>
      <c r="CN47">
        <v>1</v>
      </c>
      <c r="CO47">
        <v>6989252.75</v>
      </c>
      <c r="CP47">
        <v>99367.38</v>
      </c>
      <c r="CQ47" s="8" t="s">
        <v>145</v>
      </c>
      <c r="CR47">
        <v>9.9049999999999994</v>
      </c>
      <c r="CS47">
        <v>1053</v>
      </c>
      <c r="CT47" t="s">
        <v>2149</v>
      </c>
      <c r="CV47" t="s">
        <v>2150</v>
      </c>
      <c r="CW47">
        <v>0</v>
      </c>
    </row>
    <row r="48" spans="1:101" x14ac:dyDescent="0.2">
      <c r="A48" s="8" t="s">
        <v>106</v>
      </c>
      <c r="B48" s="46">
        <v>45115</v>
      </c>
      <c r="C48" s="8" t="s">
        <v>2157</v>
      </c>
      <c r="D48" s="8" t="s">
        <v>108</v>
      </c>
      <c r="E48" s="8" t="s">
        <v>2158</v>
      </c>
      <c r="F48" t="s">
        <v>110</v>
      </c>
      <c r="G48" s="8" t="s">
        <v>111</v>
      </c>
      <c r="H48" s="8" t="s">
        <v>112</v>
      </c>
      <c r="I48" s="8" t="s">
        <v>112</v>
      </c>
      <c r="J48" s="8" t="s">
        <v>112</v>
      </c>
      <c r="K48" s="8" t="s">
        <v>2134</v>
      </c>
      <c r="L48" s="8" t="s">
        <v>2135</v>
      </c>
      <c r="M48" s="8" t="s">
        <v>112</v>
      </c>
      <c r="N48" s="8" t="s">
        <v>112</v>
      </c>
      <c r="O48">
        <v>1</v>
      </c>
      <c r="P48">
        <v>0</v>
      </c>
      <c r="Q48">
        <v>1</v>
      </c>
      <c r="R48">
        <v>56</v>
      </c>
      <c r="S48" s="8" t="s">
        <v>2136</v>
      </c>
      <c r="T48" s="8" t="s">
        <v>2137</v>
      </c>
      <c r="U48" s="8" t="s">
        <v>2138</v>
      </c>
      <c r="V48" s="8" t="s">
        <v>2139</v>
      </c>
      <c r="W48" s="8" t="s">
        <v>119</v>
      </c>
      <c r="X48" s="8" t="s">
        <v>2140</v>
      </c>
      <c r="Y48" s="8" t="s">
        <v>2136</v>
      </c>
      <c r="Z48" s="8" t="s">
        <v>2137</v>
      </c>
      <c r="AA48" s="8" t="s">
        <v>2141</v>
      </c>
      <c r="AB48" s="8" t="s">
        <v>2139</v>
      </c>
      <c r="AC48" s="8" t="s">
        <v>119</v>
      </c>
      <c r="AD48" s="8" t="s">
        <v>2140</v>
      </c>
      <c r="AE48" s="8" t="s">
        <v>2142</v>
      </c>
      <c r="AF48" s="8" t="s">
        <v>2143</v>
      </c>
      <c r="AG48">
        <v>7849865.3899999904</v>
      </c>
      <c r="AH48" s="8" t="s">
        <v>2136</v>
      </c>
      <c r="AI48" s="8" t="s">
        <v>2137</v>
      </c>
      <c r="AJ48" s="8" t="s">
        <v>2141</v>
      </c>
      <c r="AK48" s="8" t="s">
        <v>2139</v>
      </c>
      <c r="AL48" s="8" t="s">
        <v>119</v>
      </c>
      <c r="AM48" s="8" t="s">
        <v>2140</v>
      </c>
      <c r="AN48" s="8" t="s">
        <v>2142</v>
      </c>
      <c r="AO48" s="8" t="s">
        <v>2143</v>
      </c>
      <c r="AP48" s="8" t="s">
        <v>2143</v>
      </c>
      <c r="AQ48" s="8" t="s">
        <v>124</v>
      </c>
      <c r="AR48" s="8" t="s">
        <v>125</v>
      </c>
      <c r="AS48">
        <v>1</v>
      </c>
      <c r="AT48" s="8" t="s">
        <v>106</v>
      </c>
      <c r="AU48" s="8" t="s">
        <v>127</v>
      </c>
      <c r="AV48" s="8" t="s">
        <v>2144</v>
      </c>
      <c r="AW48">
        <v>0</v>
      </c>
      <c r="AX48" s="8" t="s">
        <v>129</v>
      </c>
      <c r="AY48">
        <v>99667.32</v>
      </c>
      <c r="AZ48">
        <v>7540361</v>
      </c>
      <c r="BA48">
        <v>111602.85</v>
      </c>
      <c r="BB48">
        <v>75.655299999999897</v>
      </c>
      <c r="BC48" s="8" t="s">
        <v>130</v>
      </c>
      <c r="BD48" s="8" t="s">
        <v>111</v>
      </c>
      <c r="BE48" s="8" t="s">
        <v>2145</v>
      </c>
      <c r="BF48" s="8" t="s">
        <v>133</v>
      </c>
      <c r="BG48" s="8" t="s">
        <v>167</v>
      </c>
      <c r="BH48" s="8" t="s">
        <v>168</v>
      </c>
      <c r="BI48" s="8" t="s">
        <v>112</v>
      </c>
      <c r="BJ48" s="8" t="s">
        <v>112</v>
      </c>
      <c r="BK48" s="8" t="s">
        <v>169</v>
      </c>
      <c r="BL48" s="8" t="s">
        <v>159</v>
      </c>
      <c r="BM48" s="8" t="s">
        <v>160</v>
      </c>
      <c r="BN48" s="8" t="s">
        <v>161</v>
      </c>
      <c r="BO48">
        <v>1</v>
      </c>
      <c r="BP48" s="8" t="s">
        <v>2146</v>
      </c>
      <c r="BR48" s="8" t="s">
        <v>2134</v>
      </c>
      <c r="BS48">
        <v>56</v>
      </c>
      <c r="BT48">
        <v>1</v>
      </c>
      <c r="BU48">
        <v>388</v>
      </c>
      <c r="BV48" t="s">
        <v>2147</v>
      </c>
      <c r="BW48">
        <v>0</v>
      </c>
      <c r="BY48" s="8" t="s">
        <v>106</v>
      </c>
      <c r="BZ48" s="8" t="s">
        <v>2148</v>
      </c>
      <c r="CA48" s="8" t="s">
        <v>112</v>
      </c>
      <c r="CB48" s="8" t="s">
        <v>112</v>
      </c>
      <c r="CC48" s="8" t="s">
        <v>2142</v>
      </c>
      <c r="CD48">
        <v>11524</v>
      </c>
      <c r="CE48" t="s">
        <v>144</v>
      </c>
      <c r="CF48">
        <v>4000000</v>
      </c>
      <c r="CG48">
        <v>11252</v>
      </c>
      <c r="CH48">
        <v>0</v>
      </c>
      <c r="CI48" s="8" t="s">
        <v>112</v>
      </c>
      <c r="CJ48" s="8" t="s">
        <v>112</v>
      </c>
      <c r="CK48">
        <v>99667.32</v>
      </c>
      <c r="CL48">
        <v>7540361</v>
      </c>
      <c r="CM48">
        <v>0</v>
      </c>
      <c r="CN48">
        <v>1</v>
      </c>
      <c r="CO48">
        <v>7849865.3899999904</v>
      </c>
      <c r="CP48">
        <v>111602.85</v>
      </c>
      <c r="CQ48" s="8" t="s">
        <v>145</v>
      </c>
      <c r="CR48">
        <v>9.9184999999999999</v>
      </c>
      <c r="CS48">
        <v>1053</v>
      </c>
      <c r="CT48" t="s">
        <v>2149</v>
      </c>
      <c r="CV48" t="s">
        <v>2150</v>
      </c>
      <c r="CW48">
        <v>0</v>
      </c>
    </row>
    <row r="49" spans="1:101" x14ac:dyDescent="0.2">
      <c r="A49" s="8" t="s">
        <v>106</v>
      </c>
      <c r="B49" s="46">
        <v>45245</v>
      </c>
      <c r="C49" s="8" t="s">
        <v>2155</v>
      </c>
      <c r="D49" s="8" t="s">
        <v>108</v>
      </c>
      <c r="E49" s="8" t="s">
        <v>2156</v>
      </c>
      <c r="F49" t="s">
        <v>110</v>
      </c>
      <c r="G49" s="8" t="s">
        <v>111</v>
      </c>
      <c r="H49" s="8" t="s">
        <v>112</v>
      </c>
      <c r="I49" s="8" t="s">
        <v>112</v>
      </c>
      <c r="J49" s="8" t="s">
        <v>112</v>
      </c>
      <c r="K49" s="8" t="s">
        <v>2134</v>
      </c>
      <c r="L49" s="8" t="s">
        <v>2135</v>
      </c>
      <c r="M49" s="8" t="s">
        <v>112</v>
      </c>
      <c r="N49" s="8" t="s">
        <v>112</v>
      </c>
      <c r="O49">
        <v>1</v>
      </c>
      <c r="P49">
        <v>0</v>
      </c>
      <c r="Q49">
        <v>1</v>
      </c>
      <c r="R49">
        <v>52</v>
      </c>
      <c r="S49" s="8" t="s">
        <v>2136</v>
      </c>
      <c r="T49" s="8" t="s">
        <v>2137</v>
      </c>
      <c r="U49" s="8" t="s">
        <v>2138</v>
      </c>
      <c r="V49" s="8" t="s">
        <v>2139</v>
      </c>
      <c r="W49" s="8" t="s">
        <v>119</v>
      </c>
      <c r="X49" s="8" t="s">
        <v>2140</v>
      </c>
      <c r="Y49" s="8" t="s">
        <v>2136</v>
      </c>
      <c r="Z49" s="8" t="s">
        <v>2137</v>
      </c>
      <c r="AA49" s="8" t="s">
        <v>2141</v>
      </c>
      <c r="AB49" s="8" t="s">
        <v>2139</v>
      </c>
      <c r="AC49" s="8" t="s">
        <v>119</v>
      </c>
      <c r="AD49" s="8" t="s">
        <v>2140</v>
      </c>
      <c r="AE49" s="8" t="s">
        <v>2142</v>
      </c>
      <c r="AF49" s="8" t="s">
        <v>2143</v>
      </c>
      <c r="AG49">
        <v>6881277.0099999905</v>
      </c>
      <c r="AH49" s="8" t="s">
        <v>2136</v>
      </c>
      <c r="AI49" s="8" t="s">
        <v>2137</v>
      </c>
      <c r="AJ49" s="8" t="s">
        <v>2141</v>
      </c>
      <c r="AK49" s="8" t="s">
        <v>2139</v>
      </c>
      <c r="AL49" s="8" t="s">
        <v>119</v>
      </c>
      <c r="AM49" s="8" t="s">
        <v>2140</v>
      </c>
      <c r="AN49" s="8" t="s">
        <v>2142</v>
      </c>
      <c r="AO49" s="8" t="s">
        <v>2143</v>
      </c>
      <c r="AP49" s="8" t="s">
        <v>2143</v>
      </c>
      <c r="AQ49" s="8" t="s">
        <v>124</v>
      </c>
      <c r="AR49" s="8" t="s">
        <v>125</v>
      </c>
      <c r="AS49">
        <v>1</v>
      </c>
      <c r="AT49" s="8" t="s">
        <v>106</v>
      </c>
      <c r="AU49" s="8" t="s">
        <v>127</v>
      </c>
      <c r="AV49" s="8" t="s">
        <v>2144</v>
      </c>
      <c r="AW49">
        <v>0</v>
      </c>
      <c r="AX49" s="8" t="s">
        <v>129</v>
      </c>
      <c r="AY49">
        <v>86864.67</v>
      </c>
      <c r="AZ49">
        <v>6571773</v>
      </c>
      <c r="BA49">
        <v>97832.27</v>
      </c>
      <c r="BB49">
        <v>75.655299999999897</v>
      </c>
      <c r="BC49" s="8" t="s">
        <v>130</v>
      </c>
      <c r="BD49" s="8" t="s">
        <v>111</v>
      </c>
      <c r="BE49" s="8" t="s">
        <v>2145</v>
      </c>
      <c r="BF49" s="8" t="s">
        <v>133</v>
      </c>
      <c r="BG49" s="8" t="s">
        <v>167</v>
      </c>
      <c r="BH49" s="8" t="s">
        <v>168</v>
      </c>
      <c r="BI49" s="8" t="s">
        <v>112</v>
      </c>
      <c r="BJ49" s="8" t="s">
        <v>112</v>
      </c>
      <c r="BK49" s="8" t="s">
        <v>169</v>
      </c>
      <c r="BL49" s="8" t="s">
        <v>159</v>
      </c>
      <c r="BM49" s="8" t="s">
        <v>160</v>
      </c>
      <c r="BN49" s="8" t="s">
        <v>161</v>
      </c>
      <c r="BO49">
        <v>1</v>
      </c>
      <c r="BP49" s="8" t="s">
        <v>2146</v>
      </c>
      <c r="BR49" s="8" t="s">
        <v>2134</v>
      </c>
      <c r="BS49">
        <v>52</v>
      </c>
      <c r="BT49">
        <v>1</v>
      </c>
      <c r="BU49">
        <v>300</v>
      </c>
      <c r="BV49" t="s">
        <v>2147</v>
      </c>
      <c r="BW49">
        <v>0</v>
      </c>
      <c r="BY49" s="8" t="s">
        <v>106</v>
      </c>
      <c r="BZ49" s="8" t="s">
        <v>2148</v>
      </c>
      <c r="CA49" s="8" t="s">
        <v>112</v>
      </c>
      <c r="CB49" s="8" t="s">
        <v>112</v>
      </c>
      <c r="CC49" s="8" t="s">
        <v>2142</v>
      </c>
      <c r="CD49">
        <v>10560</v>
      </c>
      <c r="CE49" t="s">
        <v>144</v>
      </c>
      <c r="CF49">
        <v>4000000</v>
      </c>
      <c r="CG49">
        <v>9820</v>
      </c>
      <c r="CH49">
        <v>0</v>
      </c>
      <c r="CI49" s="8" t="s">
        <v>112</v>
      </c>
      <c r="CJ49" s="8" t="s">
        <v>112</v>
      </c>
      <c r="CK49">
        <v>86864.67</v>
      </c>
      <c r="CL49">
        <v>6571773</v>
      </c>
      <c r="CM49">
        <v>0</v>
      </c>
      <c r="CN49">
        <v>1</v>
      </c>
      <c r="CO49">
        <v>6881277.0099999905</v>
      </c>
      <c r="CP49">
        <v>97832.27</v>
      </c>
      <c r="CQ49" s="8" t="s">
        <v>145</v>
      </c>
      <c r="CR49">
        <v>9.9626000000000001</v>
      </c>
      <c r="CS49">
        <v>1053</v>
      </c>
      <c r="CT49" t="s">
        <v>2149</v>
      </c>
      <c r="CV49" t="s">
        <v>2150</v>
      </c>
      <c r="CW49">
        <v>0</v>
      </c>
    </row>
    <row r="50" spans="1:101" x14ac:dyDescent="0.2">
      <c r="A50" t="s">
        <v>106</v>
      </c>
      <c r="B50" s="46">
        <v>44625</v>
      </c>
      <c r="C50" t="s">
        <v>1764</v>
      </c>
      <c r="D50" t="s">
        <v>108</v>
      </c>
      <c r="E50" t="s">
        <v>1765</v>
      </c>
      <c r="F50" t="s">
        <v>110</v>
      </c>
      <c r="G50" t="s">
        <v>111</v>
      </c>
      <c r="H50" t="s">
        <v>112</v>
      </c>
      <c r="I50" t="s">
        <v>112</v>
      </c>
      <c r="J50" t="s">
        <v>112</v>
      </c>
      <c r="K50" t="s">
        <v>150</v>
      </c>
      <c r="L50" t="s">
        <v>151</v>
      </c>
      <c r="M50" t="s">
        <v>112</v>
      </c>
      <c r="N50" t="s">
        <v>112</v>
      </c>
      <c r="O50">
        <v>1</v>
      </c>
      <c r="Q50">
        <v>1</v>
      </c>
      <c r="R50">
        <v>33</v>
      </c>
      <c r="S50" t="s">
        <v>112</v>
      </c>
      <c r="T50" t="s">
        <v>152</v>
      </c>
      <c r="U50" t="s">
        <v>153</v>
      </c>
      <c r="V50" t="s">
        <v>154</v>
      </c>
      <c r="W50" t="s">
        <v>119</v>
      </c>
      <c r="X50" t="s">
        <v>112</v>
      </c>
      <c r="Y50" t="s">
        <v>112</v>
      </c>
      <c r="Z50" t="s">
        <v>152</v>
      </c>
      <c r="AA50" t="s">
        <v>153</v>
      </c>
      <c r="AB50" t="s">
        <v>154</v>
      </c>
      <c r="AC50" t="s">
        <v>119</v>
      </c>
      <c r="AD50" t="s">
        <v>112</v>
      </c>
      <c r="AE50" t="s">
        <v>121</v>
      </c>
      <c r="AF50" t="s">
        <v>122</v>
      </c>
      <c r="AG50">
        <v>4106236.01</v>
      </c>
      <c r="AH50" t="s">
        <v>112</v>
      </c>
      <c r="AI50" t="s">
        <v>152</v>
      </c>
      <c r="AJ50" t="s">
        <v>153</v>
      </c>
      <c r="AK50" t="s">
        <v>154</v>
      </c>
      <c r="AL50" t="s">
        <v>119</v>
      </c>
      <c r="AM50" t="s">
        <v>112</v>
      </c>
      <c r="AN50" t="s">
        <v>121</v>
      </c>
      <c r="AO50" t="s">
        <v>122</v>
      </c>
      <c r="AP50" t="s">
        <v>122</v>
      </c>
      <c r="AQ50" t="s">
        <v>124</v>
      </c>
      <c r="AR50" t="s">
        <v>125</v>
      </c>
      <c r="AS50">
        <v>2</v>
      </c>
      <c r="AT50" t="s">
        <v>126</v>
      </c>
      <c r="AU50" t="s">
        <v>155</v>
      </c>
      <c r="AV50" t="s">
        <v>156</v>
      </c>
      <c r="AX50" t="s">
        <v>129</v>
      </c>
      <c r="AY50">
        <v>37118.47</v>
      </c>
      <c r="BB50">
        <v>98.616399999999999</v>
      </c>
      <c r="BC50" t="s">
        <v>112</v>
      </c>
      <c r="BD50" t="s">
        <v>112</v>
      </c>
      <c r="BE50" t="s">
        <v>157</v>
      </c>
      <c r="BF50" t="s">
        <v>133</v>
      </c>
      <c r="BG50" t="s">
        <v>134</v>
      </c>
      <c r="BH50" t="s">
        <v>112</v>
      </c>
      <c r="BI50" t="s">
        <v>112</v>
      </c>
      <c r="BJ50" t="s">
        <v>112</v>
      </c>
      <c r="BK50" t="s">
        <v>158</v>
      </c>
      <c r="BL50" t="s">
        <v>159</v>
      </c>
      <c r="BM50" t="s">
        <v>212</v>
      </c>
      <c r="BN50" t="s">
        <v>161</v>
      </c>
      <c r="BP50" t="s">
        <v>162</v>
      </c>
      <c r="BR50" t="s">
        <v>150</v>
      </c>
      <c r="BS50">
        <v>33</v>
      </c>
      <c r="BT50">
        <v>0</v>
      </c>
      <c r="BU50">
        <v>0</v>
      </c>
      <c r="BW50">
        <v>0</v>
      </c>
      <c r="BY50" t="s">
        <v>106</v>
      </c>
      <c r="BZ50" t="s">
        <v>142</v>
      </c>
      <c r="CA50" t="s">
        <v>112</v>
      </c>
      <c r="CB50" t="s">
        <v>112</v>
      </c>
      <c r="CC50" t="s">
        <v>121</v>
      </c>
      <c r="CD50">
        <v>16636.830000000002</v>
      </c>
      <c r="CE50" t="s">
        <v>144</v>
      </c>
      <c r="CF50">
        <v>4000000</v>
      </c>
      <c r="CG50">
        <v>16528.830000000002</v>
      </c>
      <c r="CH50">
        <v>0</v>
      </c>
      <c r="CI50" t="s">
        <v>112</v>
      </c>
      <c r="CJ50" t="s">
        <v>112</v>
      </c>
      <c r="CK50">
        <v>37118.47</v>
      </c>
      <c r="CM50">
        <v>0</v>
      </c>
      <c r="CN50">
        <v>1</v>
      </c>
      <c r="CO50">
        <v>4106236.01</v>
      </c>
      <c r="CP50">
        <v>44037.77</v>
      </c>
      <c r="CQ50" t="s">
        <v>145</v>
      </c>
      <c r="CR50">
        <v>43966.687800000007</v>
      </c>
      <c r="CS50">
        <v>2.66</v>
      </c>
      <c r="CT50">
        <v>45</v>
      </c>
      <c r="CV50" t="s">
        <v>1140</v>
      </c>
      <c r="CW50">
        <v>1</v>
      </c>
    </row>
    <row r="51" spans="1:101" x14ac:dyDescent="0.2">
      <c r="A51" t="s">
        <v>106</v>
      </c>
      <c r="B51" s="46">
        <v>44982</v>
      </c>
      <c r="C51" t="s">
        <v>1826</v>
      </c>
      <c r="D51" t="s">
        <v>108</v>
      </c>
      <c r="E51" t="s">
        <v>1827</v>
      </c>
      <c r="F51" t="s">
        <v>110</v>
      </c>
      <c r="G51" t="s">
        <v>111</v>
      </c>
      <c r="H51" t="s">
        <v>112</v>
      </c>
      <c r="I51" t="s">
        <v>112</v>
      </c>
      <c r="J51" t="s">
        <v>112</v>
      </c>
      <c r="K51" t="s">
        <v>150</v>
      </c>
      <c r="L51" t="s">
        <v>151</v>
      </c>
      <c r="M51" t="s">
        <v>112</v>
      </c>
      <c r="N51" t="s">
        <v>112</v>
      </c>
      <c r="O51">
        <v>1</v>
      </c>
      <c r="Q51">
        <v>1</v>
      </c>
      <c r="R51">
        <v>33</v>
      </c>
      <c r="S51" t="s">
        <v>112</v>
      </c>
      <c r="T51" t="s">
        <v>152</v>
      </c>
      <c r="U51" t="s">
        <v>153</v>
      </c>
      <c r="V51" t="s">
        <v>154</v>
      </c>
      <c r="W51" t="s">
        <v>119</v>
      </c>
      <c r="X51" t="s">
        <v>112</v>
      </c>
      <c r="Y51" t="s">
        <v>112</v>
      </c>
      <c r="Z51" t="s">
        <v>152</v>
      </c>
      <c r="AA51" t="s">
        <v>153</v>
      </c>
      <c r="AB51" t="s">
        <v>154</v>
      </c>
      <c r="AC51" t="s">
        <v>119</v>
      </c>
      <c r="AD51" t="s">
        <v>112</v>
      </c>
      <c r="AE51" t="s">
        <v>121</v>
      </c>
      <c r="AF51" t="s">
        <v>122</v>
      </c>
      <c r="AG51">
        <v>5108309.8</v>
      </c>
      <c r="AH51" t="s">
        <v>112</v>
      </c>
      <c r="AI51" t="s">
        <v>152</v>
      </c>
      <c r="AJ51" t="s">
        <v>153</v>
      </c>
      <c r="AK51" t="s">
        <v>154</v>
      </c>
      <c r="AL51" t="s">
        <v>119</v>
      </c>
      <c r="AM51" t="s">
        <v>112</v>
      </c>
      <c r="AN51" t="s">
        <v>121</v>
      </c>
      <c r="AO51" t="s">
        <v>122</v>
      </c>
      <c r="AP51" t="s">
        <v>122</v>
      </c>
      <c r="AQ51" t="s">
        <v>124</v>
      </c>
      <c r="AR51" t="s">
        <v>125</v>
      </c>
      <c r="AS51">
        <v>2</v>
      </c>
      <c r="AT51" t="s">
        <v>126</v>
      </c>
      <c r="AU51" t="s">
        <v>155</v>
      </c>
      <c r="AV51" t="s">
        <v>156</v>
      </c>
      <c r="AX51" t="s">
        <v>129</v>
      </c>
      <c r="AY51">
        <v>47809.8</v>
      </c>
      <c r="BB51">
        <v>98.616399999999999</v>
      </c>
      <c r="BC51" t="s">
        <v>112</v>
      </c>
      <c r="BD51" t="s">
        <v>112</v>
      </c>
      <c r="BE51" t="s">
        <v>157</v>
      </c>
      <c r="BF51" t="s">
        <v>133</v>
      </c>
      <c r="BG51" t="s">
        <v>134</v>
      </c>
      <c r="BH51" t="s">
        <v>112</v>
      </c>
      <c r="BI51" t="s">
        <v>112</v>
      </c>
      <c r="BJ51" t="s">
        <v>112</v>
      </c>
      <c r="BK51" t="s">
        <v>158</v>
      </c>
      <c r="BL51" t="s">
        <v>159</v>
      </c>
      <c r="BM51" t="s">
        <v>212</v>
      </c>
      <c r="BN51" t="s">
        <v>161</v>
      </c>
      <c r="BP51" t="s">
        <v>205</v>
      </c>
      <c r="BR51" t="s">
        <v>150</v>
      </c>
      <c r="BS51">
        <v>33</v>
      </c>
      <c r="BT51">
        <v>0</v>
      </c>
      <c r="BU51">
        <v>0</v>
      </c>
      <c r="BW51">
        <v>0</v>
      </c>
      <c r="BY51" t="s">
        <v>106</v>
      </c>
      <c r="BZ51" t="s">
        <v>142</v>
      </c>
      <c r="CA51" t="s">
        <v>112</v>
      </c>
      <c r="CB51" t="s">
        <v>112</v>
      </c>
      <c r="CC51" t="s">
        <v>121</v>
      </c>
      <c r="CD51">
        <v>16525.080000000002</v>
      </c>
      <c r="CE51" t="s">
        <v>144</v>
      </c>
      <c r="CF51">
        <v>4000000</v>
      </c>
      <c r="CG51">
        <v>16525.080000000002</v>
      </c>
      <c r="CH51">
        <v>0</v>
      </c>
      <c r="CI51" t="s">
        <v>112</v>
      </c>
      <c r="CJ51" t="s">
        <v>112</v>
      </c>
      <c r="CK51">
        <v>47809.8</v>
      </c>
      <c r="CM51">
        <v>0</v>
      </c>
      <c r="CN51">
        <v>1</v>
      </c>
      <c r="CO51">
        <v>5108309.8</v>
      </c>
      <c r="CP51">
        <v>54784.62</v>
      </c>
      <c r="CQ51" t="s">
        <v>145</v>
      </c>
      <c r="CR51">
        <v>54863.265600000006</v>
      </c>
      <c r="CS51">
        <v>3.32</v>
      </c>
      <c r="CT51">
        <v>45</v>
      </c>
      <c r="CV51" t="s">
        <v>729</v>
      </c>
      <c r="CW51">
        <v>71</v>
      </c>
    </row>
    <row r="52" spans="1:101" x14ac:dyDescent="0.2">
      <c r="A52" t="s">
        <v>106</v>
      </c>
      <c r="B52" s="46">
        <v>45217</v>
      </c>
      <c r="C52" t="s">
        <v>1832</v>
      </c>
      <c r="D52" t="s">
        <v>108</v>
      </c>
      <c r="E52" t="s">
        <v>1833</v>
      </c>
      <c r="F52" t="s">
        <v>110</v>
      </c>
      <c r="G52" t="s">
        <v>111</v>
      </c>
      <c r="H52" t="s">
        <v>112</v>
      </c>
      <c r="I52" t="s">
        <v>112</v>
      </c>
      <c r="J52" t="s">
        <v>112</v>
      </c>
      <c r="K52" t="s">
        <v>150</v>
      </c>
      <c r="L52" t="s">
        <v>151</v>
      </c>
      <c r="M52" t="s">
        <v>112</v>
      </c>
      <c r="N52" t="s">
        <v>112</v>
      </c>
      <c r="O52">
        <v>1</v>
      </c>
      <c r="Q52">
        <v>1</v>
      </c>
      <c r="R52">
        <v>33</v>
      </c>
      <c r="S52" t="s">
        <v>112</v>
      </c>
      <c r="T52" t="s">
        <v>152</v>
      </c>
      <c r="U52" t="s">
        <v>153</v>
      </c>
      <c r="V52" t="s">
        <v>154</v>
      </c>
      <c r="W52" t="s">
        <v>119</v>
      </c>
      <c r="X52" t="s">
        <v>112</v>
      </c>
      <c r="Y52" t="s">
        <v>112</v>
      </c>
      <c r="Z52" t="s">
        <v>152</v>
      </c>
      <c r="AA52" t="s">
        <v>153</v>
      </c>
      <c r="AB52" t="s">
        <v>154</v>
      </c>
      <c r="AC52" t="s">
        <v>119</v>
      </c>
      <c r="AD52" t="s">
        <v>112</v>
      </c>
      <c r="AE52" t="s">
        <v>121</v>
      </c>
      <c r="AF52" t="s">
        <v>122</v>
      </c>
      <c r="AG52">
        <v>4229107.12</v>
      </c>
      <c r="AH52" t="s">
        <v>112</v>
      </c>
      <c r="AI52" t="s">
        <v>152</v>
      </c>
      <c r="AJ52" t="s">
        <v>153</v>
      </c>
      <c r="AK52" t="s">
        <v>154</v>
      </c>
      <c r="AL52" t="s">
        <v>119</v>
      </c>
      <c r="AM52" t="s">
        <v>112</v>
      </c>
      <c r="AN52" t="s">
        <v>121</v>
      </c>
      <c r="AO52" t="s">
        <v>122</v>
      </c>
      <c r="AP52" t="s">
        <v>122</v>
      </c>
      <c r="AQ52" t="s">
        <v>124</v>
      </c>
      <c r="AR52" t="s">
        <v>125</v>
      </c>
      <c r="AS52">
        <v>2</v>
      </c>
      <c r="AT52" t="s">
        <v>126</v>
      </c>
      <c r="AU52" t="s">
        <v>155</v>
      </c>
      <c r="AV52" t="s">
        <v>156</v>
      </c>
      <c r="AX52" t="s">
        <v>129</v>
      </c>
      <c r="AY52">
        <v>38894.42</v>
      </c>
      <c r="BB52">
        <v>98.616399999999999</v>
      </c>
      <c r="BC52" t="s">
        <v>112</v>
      </c>
      <c r="BD52" t="s">
        <v>112</v>
      </c>
      <c r="BE52" t="s">
        <v>157</v>
      </c>
      <c r="BF52" t="s">
        <v>133</v>
      </c>
      <c r="BG52" t="s">
        <v>134</v>
      </c>
      <c r="BH52" t="s">
        <v>112</v>
      </c>
      <c r="BI52" t="s">
        <v>112</v>
      </c>
      <c r="BJ52" t="s">
        <v>112</v>
      </c>
      <c r="BK52" t="s">
        <v>158</v>
      </c>
      <c r="BL52" t="s">
        <v>159</v>
      </c>
      <c r="BM52" t="s">
        <v>212</v>
      </c>
      <c r="BN52" t="s">
        <v>161</v>
      </c>
      <c r="BP52" t="s">
        <v>205</v>
      </c>
      <c r="BR52" t="s">
        <v>150</v>
      </c>
      <c r="BS52">
        <v>33</v>
      </c>
      <c r="BT52">
        <v>0</v>
      </c>
      <c r="BU52">
        <v>0</v>
      </c>
      <c r="BW52">
        <v>0</v>
      </c>
      <c r="BY52" t="s">
        <v>106</v>
      </c>
      <c r="BZ52" t="s">
        <v>142</v>
      </c>
      <c r="CA52" t="s">
        <v>112</v>
      </c>
      <c r="CB52" t="s">
        <v>112</v>
      </c>
      <c r="CC52" t="s">
        <v>121</v>
      </c>
      <c r="CD52">
        <v>16080.56</v>
      </c>
      <c r="CE52" t="s">
        <v>144</v>
      </c>
      <c r="CF52">
        <v>4000000</v>
      </c>
      <c r="CG52">
        <v>15901.16</v>
      </c>
      <c r="CH52">
        <v>0</v>
      </c>
      <c r="CI52" t="s">
        <v>112</v>
      </c>
      <c r="CJ52" t="s">
        <v>112</v>
      </c>
      <c r="CK52">
        <v>38894.42</v>
      </c>
      <c r="CM52">
        <v>0</v>
      </c>
      <c r="CN52">
        <v>1</v>
      </c>
      <c r="CO52">
        <v>4229107.12</v>
      </c>
      <c r="CP52">
        <v>45355.519999999997</v>
      </c>
      <c r="CQ52" t="s">
        <v>145</v>
      </c>
      <c r="CR52">
        <v>45318.306000000004</v>
      </c>
      <c r="CS52">
        <v>2.85</v>
      </c>
      <c r="CT52">
        <v>45</v>
      </c>
      <c r="CV52" t="s">
        <v>233</v>
      </c>
      <c r="CW52">
        <v>580</v>
      </c>
    </row>
    <row r="53" spans="1:101" x14ac:dyDescent="0.2">
      <c r="A53" t="s">
        <v>106</v>
      </c>
      <c r="B53" s="46">
        <v>44976</v>
      </c>
      <c r="C53" t="s">
        <v>1837</v>
      </c>
      <c r="D53" t="s">
        <v>108</v>
      </c>
      <c r="E53" t="s">
        <v>1838</v>
      </c>
      <c r="F53" t="s">
        <v>110</v>
      </c>
      <c r="G53" t="s">
        <v>111</v>
      </c>
      <c r="H53" t="s">
        <v>112</v>
      </c>
      <c r="I53" t="s">
        <v>112</v>
      </c>
      <c r="J53" t="s">
        <v>112</v>
      </c>
      <c r="K53" t="s">
        <v>150</v>
      </c>
      <c r="L53" t="s">
        <v>151</v>
      </c>
      <c r="M53" t="s">
        <v>112</v>
      </c>
      <c r="N53" t="s">
        <v>112</v>
      </c>
      <c r="O53">
        <v>1</v>
      </c>
      <c r="Q53">
        <v>1</v>
      </c>
      <c r="R53">
        <v>33</v>
      </c>
      <c r="S53" t="s">
        <v>112</v>
      </c>
      <c r="T53" t="s">
        <v>152</v>
      </c>
      <c r="U53" t="s">
        <v>153</v>
      </c>
      <c r="V53" t="s">
        <v>154</v>
      </c>
      <c r="W53" t="s">
        <v>119</v>
      </c>
      <c r="X53" t="s">
        <v>112</v>
      </c>
      <c r="Y53" t="s">
        <v>112</v>
      </c>
      <c r="Z53" t="s">
        <v>152</v>
      </c>
      <c r="AA53" t="s">
        <v>153</v>
      </c>
      <c r="AB53" t="s">
        <v>154</v>
      </c>
      <c r="AC53" t="s">
        <v>119</v>
      </c>
      <c r="AD53" t="s">
        <v>112</v>
      </c>
      <c r="AE53" t="s">
        <v>121</v>
      </c>
      <c r="AF53" t="s">
        <v>122</v>
      </c>
      <c r="AG53">
        <v>5111999.04</v>
      </c>
      <c r="AH53" t="s">
        <v>112</v>
      </c>
      <c r="AI53" t="s">
        <v>152</v>
      </c>
      <c r="AJ53" t="s">
        <v>153</v>
      </c>
      <c r="AK53" t="s">
        <v>154</v>
      </c>
      <c r="AL53" t="s">
        <v>119</v>
      </c>
      <c r="AM53" t="s">
        <v>112</v>
      </c>
      <c r="AN53" t="s">
        <v>121</v>
      </c>
      <c r="AO53" t="s">
        <v>122</v>
      </c>
      <c r="AP53" t="s">
        <v>122</v>
      </c>
      <c r="AQ53" t="s">
        <v>124</v>
      </c>
      <c r="AR53" t="s">
        <v>125</v>
      </c>
      <c r="AS53">
        <v>2</v>
      </c>
      <c r="AT53" t="s">
        <v>126</v>
      </c>
      <c r="AU53" t="s">
        <v>155</v>
      </c>
      <c r="AV53" t="s">
        <v>156</v>
      </c>
      <c r="AX53" t="s">
        <v>129</v>
      </c>
      <c r="AY53">
        <v>47317.21</v>
      </c>
      <c r="BB53">
        <v>98.616399999999999</v>
      </c>
      <c r="BC53" t="s">
        <v>112</v>
      </c>
      <c r="BD53" t="s">
        <v>112</v>
      </c>
      <c r="BE53" t="s">
        <v>157</v>
      </c>
      <c r="BF53" t="s">
        <v>133</v>
      </c>
      <c r="BG53" t="s">
        <v>134</v>
      </c>
      <c r="BH53" t="s">
        <v>112</v>
      </c>
      <c r="BI53" t="s">
        <v>112</v>
      </c>
      <c r="BJ53" t="s">
        <v>112</v>
      </c>
      <c r="BK53" t="s">
        <v>158</v>
      </c>
      <c r="BL53" t="s">
        <v>159</v>
      </c>
      <c r="BM53" t="s">
        <v>212</v>
      </c>
      <c r="BN53" t="s">
        <v>161</v>
      </c>
      <c r="BP53" t="s">
        <v>162</v>
      </c>
      <c r="BR53" t="s">
        <v>150</v>
      </c>
      <c r="BS53">
        <v>33</v>
      </c>
      <c r="BT53">
        <v>0</v>
      </c>
      <c r="BU53">
        <v>0</v>
      </c>
      <c r="BW53">
        <v>0</v>
      </c>
      <c r="BY53" t="s">
        <v>106</v>
      </c>
      <c r="BZ53" t="s">
        <v>142</v>
      </c>
      <c r="CA53" t="s">
        <v>112</v>
      </c>
      <c r="CB53" t="s">
        <v>112</v>
      </c>
      <c r="CC53" t="s">
        <v>121</v>
      </c>
      <c r="CD53">
        <v>15664.95</v>
      </c>
      <c r="CE53" t="s">
        <v>144</v>
      </c>
      <c r="CF53">
        <v>4000000</v>
      </c>
      <c r="CG53">
        <v>15574.95</v>
      </c>
      <c r="CH53">
        <v>0</v>
      </c>
      <c r="CI53" t="s">
        <v>112</v>
      </c>
      <c r="CJ53" t="s">
        <v>112</v>
      </c>
      <c r="CK53">
        <v>47317.21</v>
      </c>
      <c r="CM53">
        <v>0</v>
      </c>
      <c r="CN53">
        <v>1</v>
      </c>
      <c r="CO53">
        <v>5111999.04</v>
      </c>
      <c r="CP53">
        <v>54824.19</v>
      </c>
      <c r="CQ53" t="s">
        <v>145</v>
      </c>
      <c r="CR53">
        <v>54823.824000000001</v>
      </c>
      <c r="CS53">
        <v>3.52</v>
      </c>
      <c r="CT53">
        <v>45</v>
      </c>
      <c r="CV53" t="s">
        <v>163</v>
      </c>
      <c r="CW53">
        <v>310</v>
      </c>
    </row>
    <row r="54" spans="1:101" x14ac:dyDescent="0.2">
      <c r="A54" t="s">
        <v>106</v>
      </c>
      <c r="B54" s="46">
        <v>45147</v>
      </c>
      <c r="C54" t="s">
        <v>1834</v>
      </c>
      <c r="D54" t="s">
        <v>108</v>
      </c>
      <c r="E54" t="s">
        <v>1835</v>
      </c>
      <c r="F54" t="s">
        <v>110</v>
      </c>
      <c r="G54" t="s">
        <v>111</v>
      </c>
      <c r="H54" t="s">
        <v>112</v>
      </c>
      <c r="I54" t="s">
        <v>112</v>
      </c>
      <c r="J54" t="s">
        <v>112</v>
      </c>
      <c r="K54" t="s">
        <v>150</v>
      </c>
      <c r="L54" t="s">
        <v>151</v>
      </c>
      <c r="M54" t="s">
        <v>112</v>
      </c>
      <c r="N54" t="s">
        <v>112</v>
      </c>
      <c r="O54">
        <v>1</v>
      </c>
      <c r="Q54">
        <v>1</v>
      </c>
      <c r="R54">
        <v>38</v>
      </c>
      <c r="S54" t="s">
        <v>112</v>
      </c>
      <c r="T54" t="s">
        <v>1704</v>
      </c>
      <c r="U54" t="s">
        <v>153</v>
      </c>
      <c r="V54" t="s">
        <v>154</v>
      </c>
      <c r="W54" t="s">
        <v>119</v>
      </c>
      <c r="X54" t="s">
        <v>112</v>
      </c>
      <c r="Y54" t="s">
        <v>112</v>
      </c>
      <c r="Z54" t="s">
        <v>152</v>
      </c>
      <c r="AA54" t="s">
        <v>153</v>
      </c>
      <c r="AB54" t="s">
        <v>154</v>
      </c>
      <c r="AC54" t="s">
        <v>119</v>
      </c>
      <c r="AD54" t="s">
        <v>112</v>
      </c>
      <c r="AE54" t="s">
        <v>121</v>
      </c>
      <c r="AF54" t="s">
        <v>122</v>
      </c>
      <c r="AG54">
        <v>5232447.63</v>
      </c>
      <c r="AH54" t="s">
        <v>112</v>
      </c>
      <c r="AI54" t="s">
        <v>152</v>
      </c>
      <c r="AJ54" t="s">
        <v>153</v>
      </c>
      <c r="AK54" t="s">
        <v>154</v>
      </c>
      <c r="AL54" t="s">
        <v>119</v>
      </c>
      <c r="AM54" t="s">
        <v>112</v>
      </c>
      <c r="AN54" t="s">
        <v>121</v>
      </c>
      <c r="AO54" t="s">
        <v>122</v>
      </c>
      <c r="AP54" t="s">
        <v>122</v>
      </c>
      <c r="AQ54" t="s">
        <v>124</v>
      </c>
      <c r="AR54" t="s">
        <v>125</v>
      </c>
      <c r="AS54">
        <v>2</v>
      </c>
      <c r="AT54" t="s">
        <v>126</v>
      </c>
      <c r="AU54" t="s">
        <v>155</v>
      </c>
      <c r="AV54" t="s">
        <v>156</v>
      </c>
      <c r="AX54" t="s">
        <v>129</v>
      </c>
      <c r="AY54">
        <v>45965.43</v>
      </c>
      <c r="BB54">
        <v>104.4496</v>
      </c>
      <c r="BC54" t="s">
        <v>112</v>
      </c>
      <c r="BD54" t="s">
        <v>131</v>
      </c>
      <c r="BE54" t="s">
        <v>157</v>
      </c>
      <c r="BF54" t="s">
        <v>1836</v>
      </c>
      <c r="BG54" t="s">
        <v>167</v>
      </c>
      <c r="BH54" t="s">
        <v>112</v>
      </c>
      <c r="BI54" t="s">
        <v>112</v>
      </c>
      <c r="BJ54" t="s">
        <v>112</v>
      </c>
      <c r="BK54" t="s">
        <v>169</v>
      </c>
      <c r="BL54" t="s">
        <v>159</v>
      </c>
      <c r="BM54" t="s">
        <v>160</v>
      </c>
      <c r="BN54" t="s">
        <v>161</v>
      </c>
      <c r="BP54" t="s">
        <v>466</v>
      </c>
      <c r="BR54" t="s">
        <v>150</v>
      </c>
      <c r="BS54">
        <v>38</v>
      </c>
      <c r="BY54" t="s">
        <v>106</v>
      </c>
      <c r="BZ54" t="s">
        <v>142</v>
      </c>
      <c r="CA54" t="s">
        <v>112</v>
      </c>
      <c r="CB54" t="s">
        <v>112</v>
      </c>
      <c r="CC54" t="s">
        <v>121</v>
      </c>
      <c r="CD54">
        <v>19480.810000000001</v>
      </c>
      <c r="CE54" t="s">
        <v>144</v>
      </c>
      <c r="CF54">
        <v>4000000</v>
      </c>
      <c r="CG54">
        <v>19378.810000000001</v>
      </c>
      <c r="CI54" t="s">
        <v>112</v>
      </c>
      <c r="CJ54" t="s">
        <v>112</v>
      </c>
      <c r="CK54">
        <v>45965.43</v>
      </c>
      <c r="CM54">
        <v>0</v>
      </c>
      <c r="CN54">
        <v>1</v>
      </c>
      <c r="CO54">
        <v>5232447.63</v>
      </c>
      <c r="CP54">
        <v>54545.4</v>
      </c>
      <c r="CQ54" t="s">
        <v>145</v>
      </c>
      <c r="CR54">
        <v>54454.456100000003</v>
      </c>
      <c r="CS54">
        <v>2.81</v>
      </c>
      <c r="CT54">
        <v>45</v>
      </c>
      <c r="CV54" t="s">
        <v>729</v>
      </c>
      <c r="CW54">
        <v>296</v>
      </c>
    </row>
    <row r="55" spans="1:101" x14ac:dyDescent="0.2">
      <c r="A55" t="s">
        <v>106</v>
      </c>
      <c r="B55" s="46">
        <v>44985</v>
      </c>
      <c r="C55" t="s">
        <v>1839</v>
      </c>
      <c r="D55" t="s">
        <v>108</v>
      </c>
      <c r="E55" t="s">
        <v>1840</v>
      </c>
      <c r="F55" t="s">
        <v>110</v>
      </c>
      <c r="G55" t="s">
        <v>111</v>
      </c>
      <c r="H55" t="s">
        <v>112</v>
      </c>
      <c r="I55" t="s">
        <v>112</v>
      </c>
      <c r="J55" t="s">
        <v>112</v>
      </c>
      <c r="K55" t="s">
        <v>150</v>
      </c>
      <c r="L55" t="s">
        <v>151</v>
      </c>
      <c r="M55" t="s">
        <v>112</v>
      </c>
      <c r="N55" t="s">
        <v>112</v>
      </c>
      <c r="O55">
        <v>1</v>
      </c>
      <c r="Q55">
        <v>1</v>
      </c>
      <c r="R55">
        <v>33</v>
      </c>
      <c r="S55" t="s">
        <v>112</v>
      </c>
      <c r="T55" t="s">
        <v>1704</v>
      </c>
      <c r="U55" t="s">
        <v>153</v>
      </c>
      <c r="V55" t="s">
        <v>154</v>
      </c>
      <c r="W55" t="s">
        <v>119</v>
      </c>
      <c r="X55" t="s">
        <v>112</v>
      </c>
      <c r="Y55" t="s">
        <v>112</v>
      </c>
      <c r="Z55" t="s">
        <v>152</v>
      </c>
      <c r="AA55" t="s">
        <v>153</v>
      </c>
      <c r="AB55" t="s">
        <v>154</v>
      </c>
      <c r="AC55" t="s">
        <v>119</v>
      </c>
      <c r="AD55" t="s">
        <v>112</v>
      </c>
      <c r="AE55" t="s">
        <v>121</v>
      </c>
      <c r="AF55" t="s">
        <v>122</v>
      </c>
      <c r="AG55">
        <v>4733204.6500000004</v>
      </c>
      <c r="AH55" t="s">
        <v>112</v>
      </c>
      <c r="AI55" t="s">
        <v>152</v>
      </c>
      <c r="AJ55" t="s">
        <v>153</v>
      </c>
      <c r="AK55" t="s">
        <v>154</v>
      </c>
      <c r="AL55" t="s">
        <v>119</v>
      </c>
      <c r="AM55" t="s">
        <v>112</v>
      </c>
      <c r="AN55" t="s">
        <v>121</v>
      </c>
      <c r="AO55" t="s">
        <v>122</v>
      </c>
      <c r="AP55" t="s">
        <v>122</v>
      </c>
      <c r="AQ55" t="s">
        <v>124</v>
      </c>
      <c r="AR55" t="s">
        <v>125</v>
      </c>
      <c r="AS55">
        <v>2</v>
      </c>
      <c r="AT55" t="s">
        <v>126</v>
      </c>
      <c r="AU55" t="s">
        <v>155</v>
      </c>
      <c r="AV55" t="s">
        <v>156</v>
      </c>
      <c r="AX55" t="s">
        <v>129</v>
      </c>
      <c r="AY55">
        <v>41185.68</v>
      </c>
      <c r="BB55">
        <v>104.4496</v>
      </c>
      <c r="BC55" t="s">
        <v>112</v>
      </c>
      <c r="BD55" t="s">
        <v>131</v>
      </c>
      <c r="BE55" t="s">
        <v>157</v>
      </c>
      <c r="BF55" t="s">
        <v>1841</v>
      </c>
      <c r="BG55" t="s">
        <v>134</v>
      </c>
      <c r="BH55" t="s">
        <v>112</v>
      </c>
      <c r="BI55" t="s">
        <v>112</v>
      </c>
      <c r="BJ55" t="s">
        <v>112</v>
      </c>
      <c r="BK55" t="s">
        <v>169</v>
      </c>
      <c r="BL55" t="s">
        <v>159</v>
      </c>
      <c r="BM55" t="s">
        <v>212</v>
      </c>
      <c r="BN55" t="s">
        <v>161</v>
      </c>
      <c r="BP55" t="s">
        <v>205</v>
      </c>
      <c r="BR55" t="s">
        <v>150</v>
      </c>
      <c r="BS55">
        <v>33</v>
      </c>
      <c r="BT55">
        <v>0</v>
      </c>
      <c r="BU55">
        <v>0</v>
      </c>
      <c r="BW55">
        <v>0</v>
      </c>
      <c r="BY55" t="s">
        <v>106</v>
      </c>
      <c r="BZ55" t="s">
        <v>142</v>
      </c>
      <c r="CA55" t="s">
        <v>112</v>
      </c>
      <c r="CB55" t="s">
        <v>112</v>
      </c>
      <c r="CC55" t="s">
        <v>121</v>
      </c>
      <c r="CD55">
        <v>16912.34</v>
      </c>
      <c r="CE55" t="s">
        <v>144</v>
      </c>
      <c r="CF55">
        <v>4000000</v>
      </c>
      <c r="CG55">
        <v>16869.14</v>
      </c>
      <c r="CH55">
        <v>0</v>
      </c>
      <c r="CI55" t="s">
        <v>112</v>
      </c>
      <c r="CJ55" t="s">
        <v>112</v>
      </c>
      <c r="CK55">
        <v>41185.68</v>
      </c>
      <c r="CM55">
        <v>0</v>
      </c>
      <c r="CN55">
        <v>1</v>
      </c>
      <c r="CO55">
        <v>4733204.6500000004</v>
      </c>
      <c r="CP55">
        <v>49341.07</v>
      </c>
      <c r="CQ55" t="s">
        <v>145</v>
      </c>
      <c r="CR55">
        <v>49257.888800000001</v>
      </c>
      <c r="CS55">
        <v>2.92</v>
      </c>
      <c r="CT55">
        <v>45</v>
      </c>
      <c r="CV55" t="s">
        <v>233</v>
      </c>
      <c r="CW55">
        <v>166</v>
      </c>
    </row>
    <row r="56" spans="1:101" x14ac:dyDescent="0.2">
      <c r="A56" t="s">
        <v>106</v>
      </c>
      <c r="B56" s="46">
        <v>45235</v>
      </c>
      <c r="C56" t="s">
        <v>1620</v>
      </c>
      <c r="D56" t="s">
        <v>108</v>
      </c>
      <c r="E56" t="s">
        <v>1621</v>
      </c>
      <c r="F56" t="s">
        <v>110</v>
      </c>
      <c r="G56" t="s">
        <v>111</v>
      </c>
      <c r="H56" t="s">
        <v>112</v>
      </c>
      <c r="I56" t="s">
        <v>112</v>
      </c>
      <c r="J56" t="s">
        <v>112</v>
      </c>
      <c r="K56" t="s">
        <v>150</v>
      </c>
      <c r="L56" t="s">
        <v>151</v>
      </c>
      <c r="M56" t="s">
        <v>112</v>
      </c>
      <c r="N56" t="s">
        <v>112</v>
      </c>
      <c r="O56">
        <v>1</v>
      </c>
      <c r="P56">
        <v>0</v>
      </c>
      <c r="Q56">
        <v>1</v>
      </c>
      <c r="R56">
        <v>33</v>
      </c>
      <c r="S56" t="s">
        <v>166</v>
      </c>
      <c r="T56" t="s">
        <v>152</v>
      </c>
      <c r="U56" t="s">
        <v>153</v>
      </c>
      <c r="V56" t="s">
        <v>154</v>
      </c>
      <c r="W56" t="s">
        <v>119</v>
      </c>
      <c r="X56" t="s">
        <v>112</v>
      </c>
      <c r="Y56" t="s">
        <v>166</v>
      </c>
      <c r="Z56" t="s">
        <v>152</v>
      </c>
      <c r="AA56" t="s">
        <v>153</v>
      </c>
      <c r="AB56" t="s">
        <v>154</v>
      </c>
      <c r="AC56" t="s">
        <v>119</v>
      </c>
      <c r="AD56" t="s">
        <v>112</v>
      </c>
      <c r="AE56" t="s">
        <v>121</v>
      </c>
      <c r="AF56" t="s">
        <v>122</v>
      </c>
      <c r="AG56">
        <v>4577002.34</v>
      </c>
      <c r="AH56" t="s">
        <v>166</v>
      </c>
      <c r="AI56" t="s">
        <v>152</v>
      </c>
      <c r="AJ56" t="s">
        <v>153</v>
      </c>
      <c r="AK56" t="s">
        <v>154</v>
      </c>
      <c r="AL56" t="s">
        <v>119</v>
      </c>
      <c r="AM56" t="s">
        <v>112</v>
      </c>
      <c r="AN56" t="s">
        <v>121</v>
      </c>
      <c r="AO56" t="s">
        <v>122</v>
      </c>
      <c r="AP56" t="s">
        <v>122</v>
      </c>
      <c r="AQ56" t="s">
        <v>124</v>
      </c>
      <c r="AR56" t="s">
        <v>125</v>
      </c>
      <c r="AS56">
        <v>2</v>
      </c>
      <c r="AT56" t="s">
        <v>126</v>
      </c>
      <c r="AU56" t="s">
        <v>155</v>
      </c>
      <c r="AV56" t="s">
        <v>156</v>
      </c>
      <c r="AW56">
        <v>1</v>
      </c>
      <c r="AX56" t="s">
        <v>129</v>
      </c>
      <c r="AY56">
        <v>40958.980000000003</v>
      </c>
      <c r="BB56">
        <v>99.958600000000004</v>
      </c>
      <c r="BC56" t="s">
        <v>145</v>
      </c>
      <c r="BD56" t="s">
        <v>131</v>
      </c>
      <c r="BE56" t="s">
        <v>157</v>
      </c>
      <c r="BF56" t="s">
        <v>1601</v>
      </c>
      <c r="BG56" t="s">
        <v>134</v>
      </c>
      <c r="BH56" t="s">
        <v>112</v>
      </c>
      <c r="BI56" t="s">
        <v>112</v>
      </c>
      <c r="BJ56" t="s">
        <v>112</v>
      </c>
      <c r="BK56" t="s">
        <v>169</v>
      </c>
      <c r="BL56" t="s">
        <v>159</v>
      </c>
      <c r="BM56" t="s">
        <v>212</v>
      </c>
      <c r="BN56" t="s">
        <v>161</v>
      </c>
      <c r="BP56" t="s">
        <v>205</v>
      </c>
      <c r="BR56" t="s">
        <v>150</v>
      </c>
      <c r="BS56">
        <v>33</v>
      </c>
      <c r="BT56">
        <v>0</v>
      </c>
      <c r="BU56">
        <v>0</v>
      </c>
      <c r="BW56">
        <v>0</v>
      </c>
      <c r="BY56" t="s">
        <v>106</v>
      </c>
      <c r="BZ56" t="s">
        <v>142</v>
      </c>
      <c r="CA56" t="s">
        <v>112</v>
      </c>
      <c r="CB56" t="s">
        <v>112</v>
      </c>
      <c r="CC56" t="s">
        <v>121</v>
      </c>
      <c r="CD56">
        <v>16850.560000000001</v>
      </c>
      <c r="CE56" t="s">
        <v>144</v>
      </c>
      <c r="CF56">
        <v>4000000</v>
      </c>
      <c r="CG56">
        <v>16789.36</v>
      </c>
      <c r="CH56">
        <v>0</v>
      </c>
      <c r="CI56" t="s">
        <v>112</v>
      </c>
      <c r="CJ56" t="s">
        <v>112</v>
      </c>
      <c r="CK56">
        <v>40958.980000000003</v>
      </c>
      <c r="CL56">
        <v>4094202.3</v>
      </c>
      <c r="CM56">
        <v>0</v>
      </c>
      <c r="CN56">
        <v>1</v>
      </c>
      <c r="CO56">
        <v>4577002.34</v>
      </c>
      <c r="CP56">
        <v>50308.73</v>
      </c>
      <c r="CQ56" t="s">
        <v>145</v>
      </c>
      <c r="CR56">
        <v>50368.08</v>
      </c>
      <c r="CS56">
        <v>3</v>
      </c>
      <c r="CT56">
        <v>45</v>
      </c>
      <c r="CU56" t="s">
        <v>171</v>
      </c>
      <c r="CV56" t="s">
        <v>369</v>
      </c>
      <c r="CW56">
        <v>553</v>
      </c>
    </row>
    <row r="57" spans="1:101" x14ac:dyDescent="0.2">
      <c r="A57" t="s">
        <v>106</v>
      </c>
      <c r="B57" s="46">
        <v>44966</v>
      </c>
      <c r="C57" t="s">
        <v>1618</v>
      </c>
      <c r="D57" t="s">
        <v>108</v>
      </c>
      <c r="E57" t="s">
        <v>1619</v>
      </c>
      <c r="F57" t="s">
        <v>110</v>
      </c>
      <c r="G57" t="s">
        <v>111</v>
      </c>
      <c r="H57" t="s">
        <v>112</v>
      </c>
      <c r="I57" t="s">
        <v>112</v>
      </c>
      <c r="J57" t="s">
        <v>112</v>
      </c>
      <c r="K57" t="s">
        <v>150</v>
      </c>
      <c r="L57" t="s">
        <v>151</v>
      </c>
      <c r="M57" t="s">
        <v>112</v>
      </c>
      <c r="N57" t="s">
        <v>112</v>
      </c>
      <c r="O57">
        <v>1</v>
      </c>
      <c r="P57">
        <v>0</v>
      </c>
      <c r="Q57">
        <v>1</v>
      </c>
      <c r="R57">
        <v>33</v>
      </c>
      <c r="S57" t="s">
        <v>166</v>
      </c>
      <c r="T57" t="s">
        <v>152</v>
      </c>
      <c r="U57" t="s">
        <v>153</v>
      </c>
      <c r="V57" t="s">
        <v>154</v>
      </c>
      <c r="W57" t="s">
        <v>119</v>
      </c>
      <c r="X57" t="s">
        <v>112</v>
      </c>
      <c r="Y57" t="s">
        <v>166</v>
      </c>
      <c r="Z57" t="s">
        <v>152</v>
      </c>
      <c r="AA57" t="s">
        <v>153</v>
      </c>
      <c r="AB57" t="s">
        <v>154</v>
      </c>
      <c r="AC57" t="s">
        <v>119</v>
      </c>
      <c r="AD57" t="s">
        <v>112</v>
      </c>
      <c r="AE57" t="s">
        <v>121</v>
      </c>
      <c r="AF57" t="s">
        <v>122</v>
      </c>
      <c r="AG57">
        <v>4560723.08</v>
      </c>
      <c r="AH57" t="s">
        <v>166</v>
      </c>
      <c r="AI57" t="s">
        <v>152</v>
      </c>
      <c r="AJ57" t="s">
        <v>153</v>
      </c>
      <c r="AK57" t="s">
        <v>154</v>
      </c>
      <c r="AL57" t="s">
        <v>119</v>
      </c>
      <c r="AM57" t="s">
        <v>112</v>
      </c>
      <c r="AN57" t="s">
        <v>121</v>
      </c>
      <c r="AO57" t="s">
        <v>122</v>
      </c>
      <c r="AP57" t="s">
        <v>122</v>
      </c>
      <c r="AQ57" t="s">
        <v>124</v>
      </c>
      <c r="AR57" t="s">
        <v>125</v>
      </c>
      <c r="AS57">
        <v>2</v>
      </c>
      <c r="AT57" t="s">
        <v>126</v>
      </c>
      <c r="AU57" t="s">
        <v>155</v>
      </c>
      <c r="AV57" t="s">
        <v>156</v>
      </c>
      <c r="AW57">
        <v>1</v>
      </c>
      <c r="AX57" t="s">
        <v>129</v>
      </c>
      <c r="AY57">
        <v>41496.120000000003</v>
      </c>
      <c r="BB57">
        <v>99.958600000000004</v>
      </c>
      <c r="BC57" t="s">
        <v>145</v>
      </c>
      <c r="BD57" t="s">
        <v>131</v>
      </c>
      <c r="BE57" t="s">
        <v>157</v>
      </c>
      <c r="BF57" t="s">
        <v>1601</v>
      </c>
      <c r="BG57" t="s">
        <v>134</v>
      </c>
      <c r="BH57" t="s">
        <v>112</v>
      </c>
      <c r="BI57" t="s">
        <v>112</v>
      </c>
      <c r="BJ57" t="s">
        <v>112</v>
      </c>
      <c r="BK57" t="s">
        <v>169</v>
      </c>
      <c r="BL57" t="s">
        <v>159</v>
      </c>
      <c r="BM57" t="s">
        <v>212</v>
      </c>
      <c r="BN57" t="s">
        <v>161</v>
      </c>
      <c r="BP57" t="s">
        <v>162</v>
      </c>
      <c r="BR57" t="s">
        <v>150</v>
      </c>
      <c r="BS57">
        <v>33</v>
      </c>
      <c r="BT57">
        <v>0</v>
      </c>
      <c r="BU57">
        <v>0</v>
      </c>
      <c r="BW57">
        <v>0</v>
      </c>
      <c r="BY57" t="s">
        <v>106</v>
      </c>
      <c r="BZ57" t="s">
        <v>142</v>
      </c>
      <c r="CA57" t="s">
        <v>112</v>
      </c>
      <c r="CB57" t="s">
        <v>112</v>
      </c>
      <c r="CC57" t="s">
        <v>121</v>
      </c>
      <c r="CD57">
        <v>16510.240000000002</v>
      </c>
      <c r="CE57" t="s">
        <v>144</v>
      </c>
      <c r="CF57">
        <v>4000000</v>
      </c>
      <c r="CG57">
        <v>16359.04</v>
      </c>
      <c r="CH57">
        <v>0</v>
      </c>
      <c r="CI57" t="s">
        <v>112</v>
      </c>
      <c r="CJ57" t="s">
        <v>112</v>
      </c>
      <c r="CK57">
        <v>41496.120000000003</v>
      </c>
      <c r="CL57">
        <v>4147894.06</v>
      </c>
      <c r="CM57">
        <v>0</v>
      </c>
      <c r="CN57">
        <v>1</v>
      </c>
      <c r="CO57">
        <v>4560723.08</v>
      </c>
      <c r="CP57">
        <v>50129.79</v>
      </c>
      <c r="CQ57" t="s">
        <v>145</v>
      </c>
      <c r="CR57">
        <v>50058.662400000001</v>
      </c>
      <c r="CS57">
        <v>3.06</v>
      </c>
      <c r="CT57">
        <v>45</v>
      </c>
      <c r="CU57" t="s">
        <v>171</v>
      </c>
      <c r="CV57" t="s">
        <v>372</v>
      </c>
      <c r="CW57">
        <v>68</v>
      </c>
    </row>
    <row r="58" spans="1:101" x14ac:dyDescent="0.2">
      <c r="A58" t="s">
        <v>106</v>
      </c>
      <c r="B58" s="46">
        <v>44998</v>
      </c>
      <c r="C58" t="s">
        <v>1616</v>
      </c>
      <c r="D58" t="s">
        <v>108</v>
      </c>
      <c r="E58" t="s">
        <v>1617</v>
      </c>
      <c r="F58" t="s">
        <v>110</v>
      </c>
      <c r="G58" t="s">
        <v>111</v>
      </c>
      <c r="H58" t="s">
        <v>112</v>
      </c>
      <c r="I58" t="s">
        <v>112</v>
      </c>
      <c r="J58" t="s">
        <v>112</v>
      </c>
      <c r="K58" t="s">
        <v>150</v>
      </c>
      <c r="L58" t="s">
        <v>151</v>
      </c>
      <c r="M58" t="s">
        <v>112</v>
      </c>
      <c r="N58" t="s">
        <v>112</v>
      </c>
      <c r="O58">
        <v>1</v>
      </c>
      <c r="P58">
        <v>0</v>
      </c>
      <c r="Q58">
        <v>1</v>
      </c>
      <c r="R58">
        <v>33</v>
      </c>
      <c r="S58" t="s">
        <v>166</v>
      </c>
      <c r="T58" t="s">
        <v>152</v>
      </c>
      <c r="U58" t="s">
        <v>153</v>
      </c>
      <c r="V58" t="s">
        <v>154</v>
      </c>
      <c r="W58" t="s">
        <v>119</v>
      </c>
      <c r="X58" t="s">
        <v>112</v>
      </c>
      <c r="Y58" t="s">
        <v>166</v>
      </c>
      <c r="Z58" t="s">
        <v>152</v>
      </c>
      <c r="AA58" t="s">
        <v>153</v>
      </c>
      <c r="AB58" t="s">
        <v>154</v>
      </c>
      <c r="AC58" t="s">
        <v>119</v>
      </c>
      <c r="AD58" t="s">
        <v>112</v>
      </c>
      <c r="AE58" t="s">
        <v>121</v>
      </c>
      <c r="AF58" t="s">
        <v>122</v>
      </c>
      <c r="AG58">
        <v>4459281.0999999996</v>
      </c>
      <c r="AH58" t="s">
        <v>166</v>
      </c>
      <c r="AI58" t="s">
        <v>152</v>
      </c>
      <c r="AJ58" t="s">
        <v>153</v>
      </c>
      <c r="AK58" t="s">
        <v>154</v>
      </c>
      <c r="AL58" t="s">
        <v>119</v>
      </c>
      <c r="AM58" t="s">
        <v>112</v>
      </c>
      <c r="AN58" t="s">
        <v>121</v>
      </c>
      <c r="AO58" t="s">
        <v>122</v>
      </c>
      <c r="AP58" t="s">
        <v>122</v>
      </c>
      <c r="AQ58" t="s">
        <v>124</v>
      </c>
      <c r="AR58" t="s">
        <v>125</v>
      </c>
      <c r="AS58">
        <v>2</v>
      </c>
      <c r="AT58" t="s">
        <v>126</v>
      </c>
      <c r="AU58" t="s">
        <v>155</v>
      </c>
      <c r="AV58" t="s">
        <v>156</v>
      </c>
      <c r="AW58">
        <v>1</v>
      </c>
      <c r="AX58" t="s">
        <v>129</v>
      </c>
      <c r="AY58">
        <v>40481.279999999999</v>
      </c>
      <c r="BB58">
        <v>99.958600000000004</v>
      </c>
      <c r="BC58" t="s">
        <v>145</v>
      </c>
      <c r="BD58" t="s">
        <v>131</v>
      </c>
      <c r="BE58" t="s">
        <v>157</v>
      </c>
      <c r="BF58" t="s">
        <v>1601</v>
      </c>
      <c r="BG58" t="s">
        <v>167</v>
      </c>
      <c r="BH58" t="s">
        <v>168</v>
      </c>
      <c r="BI58" t="s">
        <v>112</v>
      </c>
      <c r="BJ58" t="s">
        <v>112</v>
      </c>
      <c r="BK58" t="s">
        <v>169</v>
      </c>
      <c r="BL58" t="s">
        <v>159</v>
      </c>
      <c r="BM58" t="s">
        <v>160</v>
      </c>
      <c r="BN58" t="s">
        <v>161</v>
      </c>
      <c r="BP58" t="s">
        <v>205</v>
      </c>
      <c r="BR58" t="s">
        <v>150</v>
      </c>
      <c r="BS58">
        <v>33</v>
      </c>
      <c r="BT58">
        <v>0</v>
      </c>
      <c r="BU58">
        <v>0</v>
      </c>
      <c r="BW58">
        <v>0</v>
      </c>
      <c r="BY58" t="s">
        <v>106</v>
      </c>
      <c r="BZ58" t="s">
        <v>142</v>
      </c>
      <c r="CA58" t="s">
        <v>112</v>
      </c>
      <c r="CB58" t="s">
        <v>112</v>
      </c>
      <c r="CC58" t="s">
        <v>121</v>
      </c>
      <c r="CD58">
        <v>16162.18</v>
      </c>
      <c r="CE58" t="s">
        <v>144</v>
      </c>
      <c r="CF58">
        <v>4000000</v>
      </c>
      <c r="CG58">
        <v>16054.18</v>
      </c>
      <c r="CH58">
        <v>0</v>
      </c>
      <c r="CI58" t="s">
        <v>112</v>
      </c>
      <c r="CJ58" t="s">
        <v>112</v>
      </c>
      <c r="CK58">
        <v>40481.279999999999</v>
      </c>
      <c r="CL58">
        <v>4046452.08</v>
      </c>
      <c r="CM58">
        <v>0</v>
      </c>
      <c r="CN58">
        <v>1</v>
      </c>
      <c r="CO58">
        <v>4459281.0999999996</v>
      </c>
      <c r="CP58">
        <v>49014.78</v>
      </c>
      <c r="CQ58" t="s">
        <v>145</v>
      </c>
      <c r="CR58">
        <v>48965.248999999996</v>
      </c>
      <c r="CS58">
        <v>3.05</v>
      </c>
      <c r="CT58">
        <v>45</v>
      </c>
      <c r="CU58" t="s">
        <v>171</v>
      </c>
      <c r="CV58" t="s">
        <v>463</v>
      </c>
      <c r="CW58">
        <v>212</v>
      </c>
    </row>
    <row r="59" spans="1:101" x14ac:dyDescent="0.2">
      <c r="A59" t="s">
        <v>106</v>
      </c>
      <c r="B59" s="46">
        <v>45163</v>
      </c>
      <c r="C59" t="s">
        <v>1612</v>
      </c>
      <c r="D59" t="s">
        <v>108</v>
      </c>
      <c r="E59" t="s">
        <v>1613</v>
      </c>
      <c r="F59" t="s">
        <v>110</v>
      </c>
      <c r="G59" t="s">
        <v>111</v>
      </c>
      <c r="H59" t="s">
        <v>112</v>
      </c>
      <c r="I59" t="s">
        <v>112</v>
      </c>
      <c r="J59" t="s">
        <v>112</v>
      </c>
      <c r="K59" t="s">
        <v>150</v>
      </c>
      <c r="L59" t="s">
        <v>151</v>
      </c>
      <c r="M59" t="s">
        <v>112</v>
      </c>
      <c r="N59" t="s">
        <v>112</v>
      </c>
      <c r="O59">
        <v>1</v>
      </c>
      <c r="P59">
        <v>0</v>
      </c>
      <c r="Q59">
        <v>1</v>
      </c>
      <c r="R59">
        <v>33</v>
      </c>
      <c r="S59" t="s">
        <v>166</v>
      </c>
      <c r="T59" t="s">
        <v>152</v>
      </c>
      <c r="U59" t="s">
        <v>153</v>
      </c>
      <c r="V59" t="s">
        <v>154</v>
      </c>
      <c r="W59" t="s">
        <v>119</v>
      </c>
      <c r="X59" t="s">
        <v>112</v>
      </c>
      <c r="Y59" t="s">
        <v>166</v>
      </c>
      <c r="Z59" t="s">
        <v>152</v>
      </c>
      <c r="AA59" t="s">
        <v>153</v>
      </c>
      <c r="AB59" t="s">
        <v>154</v>
      </c>
      <c r="AC59" t="s">
        <v>119</v>
      </c>
      <c r="AD59" t="s">
        <v>112</v>
      </c>
      <c r="AE59" t="s">
        <v>121</v>
      </c>
      <c r="AF59" t="s">
        <v>122</v>
      </c>
      <c r="AG59">
        <v>4325034.7</v>
      </c>
      <c r="AH59" t="s">
        <v>166</v>
      </c>
      <c r="AI59" t="s">
        <v>152</v>
      </c>
      <c r="AJ59" t="s">
        <v>153</v>
      </c>
      <c r="AK59" t="s">
        <v>154</v>
      </c>
      <c r="AL59" t="s">
        <v>119</v>
      </c>
      <c r="AM59" t="s">
        <v>112</v>
      </c>
      <c r="AN59" t="s">
        <v>121</v>
      </c>
      <c r="AO59" t="s">
        <v>122</v>
      </c>
      <c r="AP59" t="s">
        <v>122</v>
      </c>
      <c r="AQ59" t="s">
        <v>124</v>
      </c>
      <c r="AR59" t="s">
        <v>125</v>
      </c>
      <c r="AS59">
        <v>2</v>
      </c>
      <c r="AT59" t="s">
        <v>126</v>
      </c>
      <c r="AU59" t="s">
        <v>155</v>
      </c>
      <c r="AV59" t="s">
        <v>156</v>
      </c>
      <c r="AW59">
        <v>1</v>
      </c>
      <c r="AX59" t="s">
        <v>129</v>
      </c>
      <c r="AY59">
        <v>39138.26</v>
      </c>
      <c r="BB59">
        <v>99.958600000000004</v>
      </c>
      <c r="BC59" t="s">
        <v>145</v>
      </c>
      <c r="BD59" t="s">
        <v>131</v>
      </c>
      <c r="BE59" t="s">
        <v>157</v>
      </c>
      <c r="BF59" t="s">
        <v>1601</v>
      </c>
      <c r="BG59" t="s">
        <v>167</v>
      </c>
      <c r="BH59" t="s">
        <v>168</v>
      </c>
      <c r="BI59" t="s">
        <v>112</v>
      </c>
      <c r="BJ59" t="s">
        <v>112</v>
      </c>
      <c r="BK59" t="s">
        <v>169</v>
      </c>
      <c r="BL59" t="s">
        <v>159</v>
      </c>
      <c r="BM59" t="s">
        <v>160</v>
      </c>
      <c r="BN59" t="s">
        <v>161</v>
      </c>
      <c r="BP59" t="s">
        <v>162</v>
      </c>
      <c r="BR59" t="s">
        <v>150</v>
      </c>
      <c r="BS59">
        <v>33</v>
      </c>
      <c r="BT59">
        <v>0</v>
      </c>
      <c r="BU59">
        <v>0</v>
      </c>
      <c r="BW59">
        <v>0</v>
      </c>
      <c r="BY59" t="s">
        <v>106</v>
      </c>
      <c r="BZ59" t="s">
        <v>142</v>
      </c>
      <c r="CA59" t="s">
        <v>112</v>
      </c>
      <c r="CB59" t="s">
        <v>112</v>
      </c>
      <c r="CC59" t="s">
        <v>121</v>
      </c>
      <c r="CD59">
        <v>17073.59</v>
      </c>
      <c r="CE59" t="s">
        <v>144</v>
      </c>
      <c r="CF59">
        <v>4000000</v>
      </c>
      <c r="CG59">
        <v>17037.59</v>
      </c>
      <c r="CH59">
        <v>0</v>
      </c>
      <c r="CI59" t="s">
        <v>112</v>
      </c>
      <c r="CJ59" t="s">
        <v>112</v>
      </c>
      <c r="CK59">
        <v>39138.26</v>
      </c>
      <c r="CL59">
        <v>3912205.68</v>
      </c>
      <c r="CM59">
        <v>0</v>
      </c>
      <c r="CN59">
        <v>1</v>
      </c>
      <c r="CO59">
        <v>4325034.7</v>
      </c>
      <c r="CP59">
        <v>47539.19</v>
      </c>
      <c r="CQ59" t="s">
        <v>145</v>
      </c>
      <c r="CR59">
        <v>47534.876100000001</v>
      </c>
      <c r="CS59">
        <v>2.79</v>
      </c>
      <c r="CT59">
        <v>45</v>
      </c>
      <c r="CU59" t="s">
        <v>171</v>
      </c>
      <c r="CV59" t="s">
        <v>372</v>
      </c>
      <c r="CW59">
        <v>337</v>
      </c>
    </row>
    <row r="60" spans="1:101" x14ac:dyDescent="0.2">
      <c r="A60" t="s">
        <v>106</v>
      </c>
      <c r="B60" s="46">
        <v>45131</v>
      </c>
      <c r="C60" t="s">
        <v>1610</v>
      </c>
      <c r="D60" t="s">
        <v>108</v>
      </c>
      <c r="E60" t="s">
        <v>1611</v>
      </c>
      <c r="F60" t="s">
        <v>110</v>
      </c>
      <c r="G60" t="s">
        <v>111</v>
      </c>
      <c r="H60" t="s">
        <v>112</v>
      </c>
      <c r="I60" t="s">
        <v>112</v>
      </c>
      <c r="J60" t="s">
        <v>112</v>
      </c>
      <c r="K60" t="s">
        <v>150</v>
      </c>
      <c r="L60" t="s">
        <v>151</v>
      </c>
      <c r="M60" t="s">
        <v>112</v>
      </c>
      <c r="N60" t="s">
        <v>112</v>
      </c>
      <c r="O60">
        <v>1</v>
      </c>
      <c r="P60">
        <v>0</v>
      </c>
      <c r="Q60">
        <v>1</v>
      </c>
      <c r="R60">
        <v>33</v>
      </c>
      <c r="S60" t="s">
        <v>166</v>
      </c>
      <c r="T60" t="s">
        <v>152</v>
      </c>
      <c r="U60" t="s">
        <v>153</v>
      </c>
      <c r="V60" t="s">
        <v>154</v>
      </c>
      <c r="W60" t="s">
        <v>119</v>
      </c>
      <c r="X60" t="s">
        <v>112</v>
      </c>
      <c r="Y60" t="s">
        <v>166</v>
      </c>
      <c r="Z60" t="s">
        <v>152</v>
      </c>
      <c r="AA60" t="s">
        <v>153</v>
      </c>
      <c r="AB60" t="s">
        <v>154</v>
      </c>
      <c r="AC60" t="s">
        <v>119</v>
      </c>
      <c r="AD60" t="s">
        <v>112</v>
      </c>
      <c r="AE60" t="s">
        <v>121</v>
      </c>
      <c r="AF60" t="s">
        <v>122</v>
      </c>
      <c r="AG60">
        <v>4554123.8099999996</v>
      </c>
      <c r="AH60" t="s">
        <v>166</v>
      </c>
      <c r="AI60" t="s">
        <v>152</v>
      </c>
      <c r="AJ60" t="s">
        <v>153</v>
      </c>
      <c r="AK60" t="s">
        <v>154</v>
      </c>
      <c r="AL60" t="s">
        <v>119</v>
      </c>
      <c r="AM60" t="s">
        <v>112</v>
      </c>
      <c r="AN60" t="s">
        <v>121</v>
      </c>
      <c r="AO60" t="s">
        <v>122</v>
      </c>
      <c r="AP60" t="s">
        <v>122</v>
      </c>
      <c r="AQ60" t="s">
        <v>124</v>
      </c>
      <c r="AR60" t="s">
        <v>125</v>
      </c>
      <c r="AS60">
        <v>2</v>
      </c>
      <c r="AT60" t="s">
        <v>126</v>
      </c>
      <c r="AU60" t="s">
        <v>155</v>
      </c>
      <c r="AV60" t="s">
        <v>156</v>
      </c>
      <c r="AW60">
        <v>1</v>
      </c>
      <c r="AX60" t="s">
        <v>129</v>
      </c>
      <c r="AY60">
        <v>40910.1</v>
      </c>
      <c r="BB60">
        <v>99.958600000000004</v>
      </c>
      <c r="BC60" t="s">
        <v>145</v>
      </c>
      <c r="BD60" t="s">
        <v>131</v>
      </c>
      <c r="BE60" t="s">
        <v>157</v>
      </c>
      <c r="BF60" t="s">
        <v>1601</v>
      </c>
      <c r="BG60" t="s">
        <v>167</v>
      </c>
      <c r="BH60" t="s">
        <v>168</v>
      </c>
      <c r="BI60" t="s">
        <v>112</v>
      </c>
      <c r="BJ60" t="s">
        <v>112</v>
      </c>
      <c r="BK60" t="s">
        <v>169</v>
      </c>
      <c r="BL60" t="s">
        <v>159</v>
      </c>
      <c r="BM60" t="s">
        <v>160</v>
      </c>
      <c r="BN60" t="s">
        <v>161</v>
      </c>
      <c r="BP60" t="s">
        <v>205</v>
      </c>
      <c r="BR60" t="s">
        <v>150</v>
      </c>
      <c r="BS60">
        <v>33</v>
      </c>
      <c r="BT60">
        <v>0</v>
      </c>
      <c r="BU60">
        <v>0</v>
      </c>
      <c r="BW60">
        <v>0</v>
      </c>
      <c r="BY60" t="s">
        <v>106</v>
      </c>
      <c r="BZ60" t="s">
        <v>142</v>
      </c>
      <c r="CA60" t="s">
        <v>112</v>
      </c>
      <c r="CB60" t="s">
        <v>112</v>
      </c>
      <c r="CC60" t="s">
        <v>121</v>
      </c>
      <c r="CD60">
        <v>16919.830000000002</v>
      </c>
      <c r="CE60" t="s">
        <v>144</v>
      </c>
      <c r="CF60">
        <v>4000000</v>
      </c>
      <c r="CG60">
        <v>16826.23</v>
      </c>
      <c r="CH60">
        <v>0</v>
      </c>
      <c r="CI60" t="s">
        <v>112</v>
      </c>
      <c r="CJ60" t="s">
        <v>112</v>
      </c>
      <c r="CK60">
        <v>40910.1</v>
      </c>
      <c r="CL60">
        <v>4089316.32</v>
      </c>
      <c r="CM60">
        <v>0</v>
      </c>
      <c r="CN60">
        <v>1</v>
      </c>
      <c r="CO60">
        <v>4554123.8099999996</v>
      </c>
      <c r="CP60">
        <v>50057.25</v>
      </c>
      <c r="CQ60" t="s">
        <v>145</v>
      </c>
      <c r="CR60">
        <v>49973.903100000003</v>
      </c>
      <c r="CS60">
        <v>2.97</v>
      </c>
      <c r="CT60">
        <v>45</v>
      </c>
      <c r="CU60" t="s">
        <v>171</v>
      </c>
      <c r="CV60" t="s">
        <v>369</v>
      </c>
      <c r="CW60">
        <v>45</v>
      </c>
    </row>
    <row r="61" spans="1:101" x14ac:dyDescent="0.2">
      <c r="A61" t="s">
        <v>106</v>
      </c>
      <c r="B61" s="46">
        <v>45000</v>
      </c>
      <c r="C61" t="s">
        <v>1608</v>
      </c>
      <c r="D61" t="s">
        <v>108</v>
      </c>
      <c r="E61" t="s">
        <v>1609</v>
      </c>
      <c r="F61" t="s">
        <v>110</v>
      </c>
      <c r="G61" t="s">
        <v>111</v>
      </c>
      <c r="H61" t="s">
        <v>112</v>
      </c>
      <c r="I61" t="s">
        <v>112</v>
      </c>
      <c r="J61" t="s">
        <v>112</v>
      </c>
      <c r="K61" t="s">
        <v>150</v>
      </c>
      <c r="L61" t="s">
        <v>151</v>
      </c>
      <c r="M61" t="s">
        <v>112</v>
      </c>
      <c r="N61" t="s">
        <v>112</v>
      </c>
      <c r="O61">
        <v>1</v>
      </c>
      <c r="P61">
        <v>0</v>
      </c>
      <c r="Q61">
        <v>1</v>
      </c>
      <c r="R61">
        <v>33</v>
      </c>
      <c r="S61" t="s">
        <v>166</v>
      </c>
      <c r="T61" t="s">
        <v>152</v>
      </c>
      <c r="U61" t="s">
        <v>153</v>
      </c>
      <c r="V61" t="s">
        <v>154</v>
      </c>
      <c r="W61" t="s">
        <v>119</v>
      </c>
      <c r="X61" t="s">
        <v>112</v>
      </c>
      <c r="Y61" t="s">
        <v>166</v>
      </c>
      <c r="Z61" t="s">
        <v>152</v>
      </c>
      <c r="AA61" t="s">
        <v>153</v>
      </c>
      <c r="AB61" t="s">
        <v>154</v>
      </c>
      <c r="AC61" t="s">
        <v>119</v>
      </c>
      <c r="AD61" t="s">
        <v>112</v>
      </c>
      <c r="AE61" t="s">
        <v>121</v>
      </c>
      <c r="AF61" t="s">
        <v>122</v>
      </c>
      <c r="AG61">
        <v>4530391.6399999997</v>
      </c>
      <c r="AH61" t="s">
        <v>166</v>
      </c>
      <c r="AI61" t="s">
        <v>152</v>
      </c>
      <c r="AJ61" t="s">
        <v>153</v>
      </c>
      <c r="AK61" t="s">
        <v>154</v>
      </c>
      <c r="AL61" t="s">
        <v>119</v>
      </c>
      <c r="AM61" t="s">
        <v>112</v>
      </c>
      <c r="AN61" t="s">
        <v>121</v>
      </c>
      <c r="AO61" t="s">
        <v>122</v>
      </c>
      <c r="AP61" t="s">
        <v>122</v>
      </c>
      <c r="AQ61" t="s">
        <v>124</v>
      </c>
      <c r="AR61" t="s">
        <v>125</v>
      </c>
      <c r="AS61">
        <v>2</v>
      </c>
      <c r="AT61" t="s">
        <v>126</v>
      </c>
      <c r="AU61" t="s">
        <v>155</v>
      </c>
      <c r="AV61" t="s">
        <v>156</v>
      </c>
      <c r="AW61">
        <v>1</v>
      </c>
      <c r="AX61" t="s">
        <v>129</v>
      </c>
      <c r="AY61">
        <v>40672.68</v>
      </c>
      <c r="BB61">
        <v>99.958600000000004</v>
      </c>
      <c r="BC61" t="s">
        <v>145</v>
      </c>
      <c r="BD61" t="s">
        <v>131</v>
      </c>
      <c r="BE61" t="s">
        <v>157</v>
      </c>
      <c r="BF61" t="s">
        <v>1601</v>
      </c>
      <c r="BG61" t="s">
        <v>167</v>
      </c>
      <c r="BH61" t="s">
        <v>168</v>
      </c>
      <c r="BI61" t="s">
        <v>112</v>
      </c>
      <c r="BJ61" t="s">
        <v>112</v>
      </c>
      <c r="BK61" t="s">
        <v>169</v>
      </c>
      <c r="BL61" t="s">
        <v>159</v>
      </c>
      <c r="BM61" t="s">
        <v>160</v>
      </c>
      <c r="BN61" t="s">
        <v>161</v>
      </c>
      <c r="BP61" t="s">
        <v>281</v>
      </c>
      <c r="BR61" t="s">
        <v>150</v>
      </c>
      <c r="BS61">
        <v>33</v>
      </c>
      <c r="BT61">
        <v>0</v>
      </c>
      <c r="BU61">
        <v>0</v>
      </c>
      <c r="BW61">
        <v>0</v>
      </c>
      <c r="BY61" t="s">
        <v>106</v>
      </c>
      <c r="BZ61" t="s">
        <v>142</v>
      </c>
      <c r="CA61" t="s">
        <v>112</v>
      </c>
      <c r="CB61" t="s">
        <v>112</v>
      </c>
      <c r="CC61" t="s">
        <v>121</v>
      </c>
      <c r="CD61">
        <v>17085.439999999999</v>
      </c>
      <c r="CE61" t="s">
        <v>144</v>
      </c>
      <c r="CF61">
        <v>4000000</v>
      </c>
      <c r="CG61">
        <v>16999.04</v>
      </c>
      <c r="CH61">
        <v>0</v>
      </c>
      <c r="CI61" t="s">
        <v>112</v>
      </c>
      <c r="CJ61" t="s">
        <v>112</v>
      </c>
      <c r="CK61">
        <v>40672.68</v>
      </c>
      <c r="CL61">
        <v>4065584.15</v>
      </c>
      <c r="CM61">
        <v>0</v>
      </c>
      <c r="CN61">
        <v>1</v>
      </c>
      <c r="CO61">
        <v>4530391.6399999997</v>
      </c>
      <c r="CP61">
        <v>49796.4</v>
      </c>
      <c r="CQ61" t="s">
        <v>145</v>
      </c>
      <c r="CR61">
        <v>49807.187200000008</v>
      </c>
      <c r="CS61">
        <v>2.93</v>
      </c>
      <c r="CT61">
        <v>45</v>
      </c>
      <c r="CU61" t="s">
        <v>171</v>
      </c>
      <c r="CV61" t="s">
        <v>369</v>
      </c>
      <c r="CW61">
        <v>67</v>
      </c>
    </row>
    <row r="62" spans="1:101" x14ac:dyDescent="0.2">
      <c r="A62" t="s">
        <v>106</v>
      </c>
      <c r="B62" s="46">
        <v>45249</v>
      </c>
      <c r="C62" t="s">
        <v>1606</v>
      </c>
      <c r="D62" t="s">
        <v>108</v>
      </c>
      <c r="E62" t="s">
        <v>1607</v>
      </c>
      <c r="F62" t="s">
        <v>110</v>
      </c>
      <c r="G62" t="s">
        <v>111</v>
      </c>
      <c r="H62" t="s">
        <v>112</v>
      </c>
      <c r="I62" t="s">
        <v>112</v>
      </c>
      <c r="J62" t="s">
        <v>112</v>
      </c>
      <c r="K62" t="s">
        <v>150</v>
      </c>
      <c r="L62" t="s">
        <v>151</v>
      </c>
      <c r="M62" t="s">
        <v>112</v>
      </c>
      <c r="N62" t="s">
        <v>112</v>
      </c>
      <c r="O62">
        <v>1</v>
      </c>
      <c r="P62">
        <v>0</v>
      </c>
      <c r="Q62">
        <v>1</v>
      </c>
      <c r="R62">
        <v>33</v>
      </c>
      <c r="S62" t="s">
        <v>166</v>
      </c>
      <c r="T62" t="s">
        <v>152</v>
      </c>
      <c r="U62" t="s">
        <v>153</v>
      </c>
      <c r="V62" t="s">
        <v>154</v>
      </c>
      <c r="W62" t="s">
        <v>119</v>
      </c>
      <c r="X62" t="s">
        <v>112</v>
      </c>
      <c r="Y62" t="s">
        <v>166</v>
      </c>
      <c r="Z62" t="s">
        <v>152</v>
      </c>
      <c r="AA62" t="s">
        <v>153</v>
      </c>
      <c r="AB62" t="s">
        <v>154</v>
      </c>
      <c r="AC62" t="s">
        <v>119</v>
      </c>
      <c r="AD62" t="s">
        <v>112</v>
      </c>
      <c r="AE62" t="s">
        <v>121</v>
      </c>
      <c r="AF62" t="s">
        <v>122</v>
      </c>
      <c r="AG62">
        <v>4574484.38</v>
      </c>
      <c r="AH62" t="s">
        <v>166</v>
      </c>
      <c r="AI62" t="s">
        <v>152</v>
      </c>
      <c r="AJ62" t="s">
        <v>153</v>
      </c>
      <c r="AK62" t="s">
        <v>154</v>
      </c>
      <c r="AL62" t="s">
        <v>119</v>
      </c>
      <c r="AM62" t="s">
        <v>112</v>
      </c>
      <c r="AN62" t="s">
        <v>121</v>
      </c>
      <c r="AO62" t="s">
        <v>122</v>
      </c>
      <c r="AP62" t="s">
        <v>122</v>
      </c>
      <c r="AQ62" t="s">
        <v>124</v>
      </c>
      <c r="AR62" t="s">
        <v>125</v>
      </c>
      <c r="AS62">
        <v>2</v>
      </c>
      <c r="AT62" t="s">
        <v>126</v>
      </c>
      <c r="AU62" t="s">
        <v>155</v>
      </c>
      <c r="AV62" t="s">
        <v>156</v>
      </c>
      <c r="AW62">
        <v>1</v>
      </c>
      <c r="AX62" t="s">
        <v>129</v>
      </c>
      <c r="AY62">
        <v>40933.79</v>
      </c>
      <c r="BB62">
        <v>99.958600000000004</v>
      </c>
      <c r="BC62" t="s">
        <v>145</v>
      </c>
      <c r="BD62" t="s">
        <v>131</v>
      </c>
      <c r="BE62" t="s">
        <v>157</v>
      </c>
      <c r="BF62" t="s">
        <v>1601</v>
      </c>
      <c r="BG62" t="s">
        <v>167</v>
      </c>
      <c r="BH62" t="s">
        <v>168</v>
      </c>
      <c r="BI62" t="s">
        <v>112</v>
      </c>
      <c r="BJ62" t="s">
        <v>112</v>
      </c>
      <c r="BK62" t="s">
        <v>169</v>
      </c>
      <c r="BL62" t="s">
        <v>159</v>
      </c>
      <c r="BM62" t="s">
        <v>160</v>
      </c>
      <c r="BN62" t="s">
        <v>161</v>
      </c>
      <c r="BP62" t="s">
        <v>162</v>
      </c>
      <c r="BR62" t="s">
        <v>150</v>
      </c>
      <c r="BS62">
        <v>33</v>
      </c>
      <c r="BT62">
        <v>0</v>
      </c>
      <c r="BU62">
        <v>0</v>
      </c>
      <c r="BW62">
        <v>0</v>
      </c>
      <c r="BY62" t="s">
        <v>106</v>
      </c>
      <c r="BZ62" t="s">
        <v>142</v>
      </c>
      <c r="CA62" t="s">
        <v>112</v>
      </c>
      <c r="CB62" t="s">
        <v>112</v>
      </c>
      <c r="CC62" t="s">
        <v>121</v>
      </c>
      <c r="CD62">
        <v>16429.2</v>
      </c>
      <c r="CE62" t="s">
        <v>144</v>
      </c>
      <c r="CF62">
        <v>4000000</v>
      </c>
      <c r="CG62">
        <v>16296</v>
      </c>
      <c r="CH62">
        <v>0</v>
      </c>
      <c r="CI62" t="s">
        <v>112</v>
      </c>
      <c r="CJ62" t="s">
        <v>112</v>
      </c>
      <c r="CK62">
        <v>40933.79</v>
      </c>
      <c r="CL62">
        <v>4091684.34</v>
      </c>
      <c r="CM62">
        <v>0</v>
      </c>
      <c r="CN62">
        <v>1</v>
      </c>
      <c r="CO62">
        <v>4574484.38</v>
      </c>
      <c r="CP62">
        <v>50281.05</v>
      </c>
      <c r="CQ62" t="s">
        <v>145</v>
      </c>
      <c r="CR62">
        <v>50354.64</v>
      </c>
      <c r="CS62">
        <v>3.09</v>
      </c>
      <c r="CT62">
        <v>45</v>
      </c>
      <c r="CU62" t="s">
        <v>171</v>
      </c>
      <c r="CV62" t="s">
        <v>372</v>
      </c>
      <c r="CW62">
        <v>52</v>
      </c>
    </row>
    <row r="63" spans="1:101" x14ac:dyDescent="0.2">
      <c r="A63" t="s">
        <v>106</v>
      </c>
      <c r="B63" s="46">
        <v>45215</v>
      </c>
      <c r="C63" t="s">
        <v>1599</v>
      </c>
      <c r="D63" t="s">
        <v>108</v>
      </c>
      <c r="E63" t="s">
        <v>1600</v>
      </c>
      <c r="F63" t="s">
        <v>110</v>
      </c>
      <c r="G63" t="s">
        <v>111</v>
      </c>
      <c r="H63" t="s">
        <v>112</v>
      </c>
      <c r="I63" t="s">
        <v>112</v>
      </c>
      <c r="J63" t="s">
        <v>112</v>
      </c>
      <c r="K63" t="s">
        <v>150</v>
      </c>
      <c r="L63" t="s">
        <v>151</v>
      </c>
      <c r="M63" t="s">
        <v>112</v>
      </c>
      <c r="N63" t="s">
        <v>112</v>
      </c>
      <c r="O63">
        <v>1</v>
      </c>
      <c r="P63">
        <v>0</v>
      </c>
      <c r="Q63">
        <v>1</v>
      </c>
      <c r="R63">
        <v>33</v>
      </c>
      <c r="S63" t="s">
        <v>166</v>
      </c>
      <c r="T63" t="s">
        <v>152</v>
      </c>
      <c r="U63" t="s">
        <v>153</v>
      </c>
      <c r="V63" t="s">
        <v>154</v>
      </c>
      <c r="W63" t="s">
        <v>119</v>
      </c>
      <c r="X63" t="s">
        <v>112</v>
      </c>
      <c r="Y63" t="s">
        <v>166</v>
      </c>
      <c r="Z63" t="s">
        <v>152</v>
      </c>
      <c r="AA63" t="s">
        <v>153</v>
      </c>
      <c r="AB63" t="s">
        <v>154</v>
      </c>
      <c r="AC63" t="s">
        <v>119</v>
      </c>
      <c r="AD63" t="s">
        <v>112</v>
      </c>
      <c r="AE63" t="s">
        <v>121</v>
      </c>
      <c r="AF63" t="s">
        <v>122</v>
      </c>
      <c r="AG63">
        <v>4409721.62</v>
      </c>
      <c r="AH63" t="s">
        <v>166</v>
      </c>
      <c r="AI63" t="s">
        <v>152</v>
      </c>
      <c r="AJ63" t="s">
        <v>153</v>
      </c>
      <c r="AK63" t="s">
        <v>154</v>
      </c>
      <c r="AL63" t="s">
        <v>119</v>
      </c>
      <c r="AM63" t="s">
        <v>112</v>
      </c>
      <c r="AN63" t="s">
        <v>121</v>
      </c>
      <c r="AO63" t="s">
        <v>122</v>
      </c>
      <c r="AP63" t="s">
        <v>122</v>
      </c>
      <c r="AQ63" t="s">
        <v>124</v>
      </c>
      <c r="AR63" t="s">
        <v>125</v>
      </c>
      <c r="AS63">
        <v>2</v>
      </c>
      <c r="AT63" t="s">
        <v>126</v>
      </c>
      <c r="AU63" t="s">
        <v>155</v>
      </c>
      <c r="AV63" t="s">
        <v>156</v>
      </c>
      <c r="AW63">
        <v>1</v>
      </c>
      <c r="AX63" t="s">
        <v>129</v>
      </c>
      <c r="AY63">
        <v>39465.480000000003</v>
      </c>
      <c r="BB63">
        <v>99.958600000000004</v>
      </c>
      <c r="BC63" t="s">
        <v>145</v>
      </c>
      <c r="BD63" t="s">
        <v>131</v>
      </c>
      <c r="BE63" t="s">
        <v>157</v>
      </c>
      <c r="BF63" t="s">
        <v>1601</v>
      </c>
      <c r="BG63" t="s">
        <v>167</v>
      </c>
      <c r="BH63" t="s">
        <v>168</v>
      </c>
      <c r="BI63" t="s">
        <v>112</v>
      </c>
      <c r="BJ63" t="s">
        <v>112</v>
      </c>
      <c r="BK63" t="s">
        <v>169</v>
      </c>
      <c r="BL63" t="s">
        <v>159</v>
      </c>
      <c r="BM63" t="s">
        <v>160</v>
      </c>
      <c r="BN63" t="s">
        <v>161</v>
      </c>
      <c r="BP63" t="s">
        <v>205</v>
      </c>
      <c r="BR63" t="s">
        <v>150</v>
      </c>
      <c r="BS63">
        <v>33</v>
      </c>
      <c r="BT63">
        <v>0</v>
      </c>
      <c r="BU63">
        <v>0</v>
      </c>
      <c r="BW63">
        <v>0</v>
      </c>
      <c r="BY63" t="s">
        <v>106</v>
      </c>
      <c r="BZ63" t="s">
        <v>142</v>
      </c>
      <c r="CA63" t="s">
        <v>112</v>
      </c>
      <c r="CB63" t="s">
        <v>112</v>
      </c>
      <c r="CC63" t="s">
        <v>121</v>
      </c>
      <c r="CD63">
        <v>17247.14</v>
      </c>
      <c r="CE63" t="s">
        <v>144</v>
      </c>
      <c r="CF63">
        <v>4000000</v>
      </c>
      <c r="CG63">
        <v>17203.939999999999</v>
      </c>
      <c r="CH63">
        <v>0</v>
      </c>
      <c r="CI63" t="s">
        <v>112</v>
      </c>
      <c r="CJ63" t="s">
        <v>112</v>
      </c>
      <c r="CK63">
        <v>39465.480000000003</v>
      </c>
      <c r="CL63">
        <v>3944914.13</v>
      </c>
      <c r="CM63">
        <v>0</v>
      </c>
      <c r="CN63">
        <v>1</v>
      </c>
      <c r="CO63">
        <v>4409721.62</v>
      </c>
      <c r="CP63">
        <v>48470.04</v>
      </c>
      <c r="CQ63" t="s">
        <v>145</v>
      </c>
      <c r="CR63">
        <v>48515.110799999995</v>
      </c>
      <c r="CS63">
        <v>2.82</v>
      </c>
      <c r="CT63">
        <v>45</v>
      </c>
      <c r="CU63" t="s">
        <v>171</v>
      </c>
      <c r="CV63" t="s">
        <v>463</v>
      </c>
      <c r="CW63">
        <v>118</v>
      </c>
    </row>
    <row r="64" spans="1:101" x14ac:dyDescent="0.2">
      <c r="A64" t="s">
        <v>106</v>
      </c>
      <c r="B64" s="46">
        <v>45211</v>
      </c>
      <c r="C64" t="s">
        <v>1245</v>
      </c>
      <c r="D64" t="s">
        <v>108</v>
      </c>
      <c r="E64" t="s">
        <v>1246</v>
      </c>
      <c r="F64" t="s">
        <v>110</v>
      </c>
      <c r="G64" t="s">
        <v>111</v>
      </c>
      <c r="H64" t="s">
        <v>112</v>
      </c>
      <c r="I64" t="s">
        <v>112</v>
      </c>
      <c r="J64" t="s">
        <v>112</v>
      </c>
      <c r="K64" t="s">
        <v>150</v>
      </c>
      <c r="L64" t="s">
        <v>1060</v>
      </c>
      <c r="M64" t="s">
        <v>112</v>
      </c>
      <c r="N64" t="s">
        <v>112</v>
      </c>
      <c r="O64">
        <v>1</v>
      </c>
      <c r="P64">
        <v>0</v>
      </c>
      <c r="Q64">
        <v>1</v>
      </c>
      <c r="R64">
        <v>33</v>
      </c>
      <c r="S64" t="s">
        <v>166</v>
      </c>
      <c r="T64" t="s">
        <v>152</v>
      </c>
      <c r="U64" t="s">
        <v>153</v>
      </c>
      <c r="V64" t="s">
        <v>154</v>
      </c>
      <c r="W64" t="s">
        <v>119</v>
      </c>
      <c r="X64" t="s">
        <v>112</v>
      </c>
      <c r="Y64" t="s">
        <v>166</v>
      </c>
      <c r="Z64" t="s">
        <v>152</v>
      </c>
      <c r="AA64" t="s">
        <v>153</v>
      </c>
      <c r="AB64" t="s">
        <v>154</v>
      </c>
      <c r="AC64" t="s">
        <v>119</v>
      </c>
      <c r="AD64" t="s">
        <v>112</v>
      </c>
      <c r="AE64" t="s">
        <v>121</v>
      </c>
      <c r="AF64" t="s">
        <v>122</v>
      </c>
      <c r="AG64">
        <v>4321262.49</v>
      </c>
      <c r="AH64" t="s">
        <v>166</v>
      </c>
      <c r="AI64" t="s">
        <v>152</v>
      </c>
      <c r="AJ64" t="s">
        <v>153</v>
      </c>
      <c r="AK64" t="s">
        <v>154</v>
      </c>
      <c r="AL64" t="s">
        <v>119</v>
      </c>
      <c r="AM64" t="s">
        <v>112</v>
      </c>
      <c r="AN64" t="s">
        <v>121</v>
      </c>
      <c r="AO64" t="s">
        <v>122</v>
      </c>
      <c r="AP64" t="s">
        <v>122</v>
      </c>
      <c r="AQ64" t="s">
        <v>124</v>
      </c>
      <c r="AR64" t="s">
        <v>125</v>
      </c>
      <c r="AS64">
        <v>2</v>
      </c>
      <c r="AT64" t="s">
        <v>126</v>
      </c>
      <c r="AU64" t="s">
        <v>155</v>
      </c>
      <c r="AV64" t="s">
        <v>156</v>
      </c>
      <c r="AW64">
        <v>1</v>
      </c>
      <c r="AX64" t="s">
        <v>129</v>
      </c>
      <c r="AY64">
        <v>45819.92</v>
      </c>
      <c r="AZ64">
        <v>3963968</v>
      </c>
      <c r="BA64">
        <v>53555.74</v>
      </c>
      <c r="BB64">
        <v>86.511899999999997</v>
      </c>
      <c r="BC64" t="s">
        <v>130</v>
      </c>
      <c r="BD64" t="s">
        <v>112</v>
      </c>
      <c r="BE64" t="s">
        <v>157</v>
      </c>
      <c r="BF64" t="s">
        <v>133</v>
      </c>
      <c r="BG64" t="s">
        <v>134</v>
      </c>
      <c r="BH64" t="s">
        <v>112</v>
      </c>
      <c r="BI64" t="s">
        <v>112</v>
      </c>
      <c r="BJ64" t="s">
        <v>112</v>
      </c>
      <c r="BK64" t="s">
        <v>169</v>
      </c>
      <c r="BL64" t="s">
        <v>159</v>
      </c>
      <c r="BM64" t="s">
        <v>722</v>
      </c>
      <c r="BN64" t="s">
        <v>161</v>
      </c>
      <c r="BO64">
        <v>1</v>
      </c>
      <c r="BP64" t="s">
        <v>539</v>
      </c>
      <c r="BR64" t="s">
        <v>150</v>
      </c>
      <c r="BS64">
        <v>33</v>
      </c>
      <c r="BT64">
        <v>0</v>
      </c>
      <c r="BU64">
        <v>0</v>
      </c>
      <c r="BW64">
        <v>0</v>
      </c>
      <c r="BY64" t="s">
        <v>106</v>
      </c>
      <c r="BZ64" t="s">
        <v>142</v>
      </c>
      <c r="CA64" t="s">
        <v>112</v>
      </c>
      <c r="CB64" t="s">
        <v>112</v>
      </c>
      <c r="CC64" t="s">
        <v>121</v>
      </c>
      <c r="CD64">
        <v>16803.919999999998</v>
      </c>
      <c r="CE64" t="s">
        <v>144</v>
      </c>
      <c r="CF64">
        <v>4000000</v>
      </c>
      <c r="CG64">
        <v>16803.919999999998</v>
      </c>
      <c r="CH64">
        <v>0</v>
      </c>
      <c r="CI64" t="s">
        <v>112</v>
      </c>
      <c r="CJ64" t="s">
        <v>112</v>
      </c>
      <c r="CK64">
        <v>45819.92</v>
      </c>
      <c r="CL64">
        <v>3963968</v>
      </c>
      <c r="CM64">
        <v>0</v>
      </c>
      <c r="CN64">
        <v>1</v>
      </c>
      <c r="CO64">
        <v>4321262.49</v>
      </c>
      <c r="CP64">
        <v>53555.74</v>
      </c>
      <c r="CQ64" t="s">
        <v>145</v>
      </c>
      <c r="CR64">
        <v>53555.773431999995</v>
      </c>
      <c r="CS64">
        <v>3.1871</v>
      </c>
      <c r="CT64">
        <v>45</v>
      </c>
      <c r="CU64" t="s">
        <v>171</v>
      </c>
      <c r="CV64" t="s">
        <v>369</v>
      </c>
      <c r="CW64">
        <v>286</v>
      </c>
    </row>
    <row r="65" spans="1:101" x14ac:dyDescent="0.2">
      <c r="A65" t="s">
        <v>106</v>
      </c>
      <c r="B65" s="46">
        <v>45135</v>
      </c>
      <c r="C65" t="s">
        <v>1252</v>
      </c>
      <c r="D65" t="s">
        <v>108</v>
      </c>
      <c r="E65" t="s">
        <v>1253</v>
      </c>
      <c r="F65" t="s">
        <v>110</v>
      </c>
      <c r="G65" t="s">
        <v>111</v>
      </c>
      <c r="H65" t="s">
        <v>112</v>
      </c>
      <c r="I65" t="s">
        <v>112</v>
      </c>
      <c r="J65" t="s">
        <v>112</v>
      </c>
      <c r="K65" t="s">
        <v>150</v>
      </c>
      <c r="L65" t="s">
        <v>1060</v>
      </c>
      <c r="M65" t="s">
        <v>112</v>
      </c>
      <c r="N65" t="s">
        <v>112</v>
      </c>
      <c r="O65">
        <v>1</v>
      </c>
      <c r="P65">
        <v>0</v>
      </c>
      <c r="Q65">
        <v>1</v>
      </c>
      <c r="R65">
        <v>33</v>
      </c>
      <c r="S65" t="s">
        <v>166</v>
      </c>
      <c r="T65" t="s">
        <v>152</v>
      </c>
      <c r="U65" t="s">
        <v>153</v>
      </c>
      <c r="V65" t="s">
        <v>154</v>
      </c>
      <c r="W65" t="s">
        <v>119</v>
      </c>
      <c r="X65" t="s">
        <v>112</v>
      </c>
      <c r="Y65" t="s">
        <v>166</v>
      </c>
      <c r="Z65" t="s">
        <v>152</v>
      </c>
      <c r="AA65" t="s">
        <v>153</v>
      </c>
      <c r="AB65" t="s">
        <v>154</v>
      </c>
      <c r="AC65" t="s">
        <v>119</v>
      </c>
      <c r="AD65" t="s">
        <v>112</v>
      </c>
      <c r="AE65" t="s">
        <v>121</v>
      </c>
      <c r="AF65" t="s">
        <v>122</v>
      </c>
      <c r="AG65">
        <v>3936852.05</v>
      </c>
      <c r="AH65" t="s">
        <v>166</v>
      </c>
      <c r="AI65" t="s">
        <v>152</v>
      </c>
      <c r="AJ65" t="s">
        <v>153</v>
      </c>
      <c r="AK65" t="s">
        <v>154</v>
      </c>
      <c r="AL65" t="s">
        <v>119</v>
      </c>
      <c r="AM65" t="s">
        <v>112</v>
      </c>
      <c r="AN65" t="s">
        <v>121</v>
      </c>
      <c r="AO65" t="s">
        <v>122</v>
      </c>
      <c r="AP65" t="s">
        <v>122</v>
      </c>
      <c r="AQ65" t="s">
        <v>124</v>
      </c>
      <c r="AR65" t="s">
        <v>125</v>
      </c>
      <c r="AS65">
        <v>2</v>
      </c>
      <c r="AT65" t="s">
        <v>126</v>
      </c>
      <c r="AU65" t="s">
        <v>155</v>
      </c>
      <c r="AV65" t="s">
        <v>156</v>
      </c>
      <c r="AW65">
        <v>1</v>
      </c>
      <c r="AX65" t="s">
        <v>129</v>
      </c>
      <c r="AY65">
        <v>41376.480000000003</v>
      </c>
      <c r="AZ65">
        <v>3579558</v>
      </c>
      <c r="BA65">
        <v>48791.53</v>
      </c>
      <c r="BB65">
        <v>86.511899999999997</v>
      </c>
      <c r="BC65" t="s">
        <v>130</v>
      </c>
      <c r="BD65" t="s">
        <v>112</v>
      </c>
      <c r="BE65" t="s">
        <v>157</v>
      </c>
      <c r="BF65" t="s">
        <v>133</v>
      </c>
      <c r="BG65" t="s">
        <v>134</v>
      </c>
      <c r="BH65" t="s">
        <v>112</v>
      </c>
      <c r="BI65" t="s">
        <v>112</v>
      </c>
      <c r="BJ65" t="s">
        <v>112</v>
      </c>
      <c r="BK65" t="s">
        <v>169</v>
      </c>
      <c r="BL65" t="s">
        <v>159</v>
      </c>
      <c r="BM65" t="s">
        <v>722</v>
      </c>
      <c r="BN65" t="s">
        <v>161</v>
      </c>
      <c r="BO65">
        <v>1</v>
      </c>
      <c r="BP65" t="s">
        <v>205</v>
      </c>
      <c r="BR65" t="s">
        <v>150</v>
      </c>
      <c r="BS65">
        <v>33</v>
      </c>
      <c r="BT65">
        <v>0</v>
      </c>
      <c r="BU65">
        <v>0</v>
      </c>
      <c r="BW65">
        <v>0</v>
      </c>
      <c r="BY65" t="s">
        <v>106</v>
      </c>
      <c r="BZ65" t="s">
        <v>142</v>
      </c>
      <c r="CA65" t="s">
        <v>112</v>
      </c>
      <c r="CB65" t="s">
        <v>112</v>
      </c>
      <c r="CC65" t="s">
        <v>121</v>
      </c>
      <c r="CD65">
        <v>16871.78</v>
      </c>
      <c r="CE65" t="s">
        <v>144</v>
      </c>
      <c r="CF65">
        <v>4000000</v>
      </c>
      <c r="CG65">
        <v>16806.98</v>
      </c>
      <c r="CH65">
        <v>0</v>
      </c>
      <c r="CI65" t="s">
        <v>112</v>
      </c>
      <c r="CJ65" t="s">
        <v>112</v>
      </c>
      <c r="CK65">
        <v>41376.480000000003</v>
      </c>
      <c r="CL65">
        <v>3579558</v>
      </c>
      <c r="CM65">
        <v>0</v>
      </c>
      <c r="CN65">
        <v>1</v>
      </c>
      <c r="CO65">
        <v>3936852.05</v>
      </c>
      <c r="CP65">
        <v>48791.53</v>
      </c>
      <c r="CQ65" t="s">
        <v>145</v>
      </c>
      <c r="CR65">
        <v>48792.343637999998</v>
      </c>
      <c r="CS65">
        <v>2.9030999999999998</v>
      </c>
      <c r="CT65">
        <v>45</v>
      </c>
      <c r="CU65" t="s">
        <v>171</v>
      </c>
      <c r="CV65" t="s">
        <v>369</v>
      </c>
      <c r="CW65">
        <v>108</v>
      </c>
    </row>
    <row r="66" spans="1:101" x14ac:dyDescent="0.2">
      <c r="A66" t="s">
        <v>106</v>
      </c>
      <c r="B66" s="46">
        <v>45192</v>
      </c>
      <c r="C66" t="s">
        <v>1247</v>
      </c>
      <c r="D66" t="s">
        <v>108</v>
      </c>
      <c r="E66" t="s">
        <v>1248</v>
      </c>
      <c r="F66" t="s">
        <v>110</v>
      </c>
      <c r="G66" t="s">
        <v>111</v>
      </c>
      <c r="H66" t="s">
        <v>112</v>
      </c>
      <c r="I66" t="s">
        <v>112</v>
      </c>
      <c r="J66" t="s">
        <v>112</v>
      </c>
      <c r="K66" t="s">
        <v>150</v>
      </c>
      <c r="L66" t="s">
        <v>1060</v>
      </c>
      <c r="M66" t="s">
        <v>112</v>
      </c>
      <c r="N66" t="s">
        <v>112</v>
      </c>
      <c r="O66">
        <v>1</v>
      </c>
      <c r="P66">
        <v>0</v>
      </c>
      <c r="Q66">
        <v>1</v>
      </c>
      <c r="R66">
        <v>33</v>
      </c>
      <c r="S66" t="s">
        <v>166</v>
      </c>
      <c r="T66" t="s">
        <v>152</v>
      </c>
      <c r="U66" t="s">
        <v>153</v>
      </c>
      <c r="V66" t="s">
        <v>154</v>
      </c>
      <c r="W66" t="s">
        <v>119</v>
      </c>
      <c r="X66" t="s">
        <v>112</v>
      </c>
      <c r="Y66" t="s">
        <v>166</v>
      </c>
      <c r="Z66" t="s">
        <v>152</v>
      </c>
      <c r="AA66" t="s">
        <v>153</v>
      </c>
      <c r="AB66" t="s">
        <v>154</v>
      </c>
      <c r="AC66" t="s">
        <v>119</v>
      </c>
      <c r="AD66" t="s">
        <v>112</v>
      </c>
      <c r="AE66" t="s">
        <v>121</v>
      </c>
      <c r="AF66" t="s">
        <v>122</v>
      </c>
      <c r="AG66">
        <v>3822189.18</v>
      </c>
      <c r="AH66" t="s">
        <v>166</v>
      </c>
      <c r="AI66" t="s">
        <v>152</v>
      </c>
      <c r="AJ66" t="s">
        <v>153</v>
      </c>
      <c r="AK66" t="s">
        <v>154</v>
      </c>
      <c r="AL66" t="s">
        <v>119</v>
      </c>
      <c r="AM66" t="s">
        <v>112</v>
      </c>
      <c r="AN66" t="s">
        <v>121</v>
      </c>
      <c r="AO66" t="s">
        <v>122</v>
      </c>
      <c r="AP66" t="s">
        <v>122</v>
      </c>
      <c r="AQ66" t="s">
        <v>124</v>
      </c>
      <c r="AR66" t="s">
        <v>125</v>
      </c>
      <c r="AS66">
        <v>2</v>
      </c>
      <c r="AT66" t="s">
        <v>126</v>
      </c>
      <c r="AU66" t="s">
        <v>155</v>
      </c>
      <c r="AV66" t="s">
        <v>156</v>
      </c>
      <c r="AW66">
        <v>1</v>
      </c>
      <c r="AX66" t="s">
        <v>129</v>
      </c>
      <c r="AY66">
        <v>40051.08</v>
      </c>
      <c r="AZ66">
        <v>3464895</v>
      </c>
      <c r="BA66">
        <v>47370.45</v>
      </c>
      <c r="BB66">
        <v>86.511899999999997</v>
      </c>
      <c r="BC66" t="s">
        <v>130</v>
      </c>
      <c r="BD66" t="s">
        <v>112</v>
      </c>
      <c r="BE66" t="s">
        <v>157</v>
      </c>
      <c r="BF66" t="s">
        <v>133</v>
      </c>
      <c r="BG66" t="s">
        <v>134</v>
      </c>
      <c r="BH66" t="s">
        <v>112</v>
      </c>
      <c r="BI66" t="s">
        <v>112</v>
      </c>
      <c r="BJ66" t="s">
        <v>112</v>
      </c>
      <c r="BK66" t="s">
        <v>169</v>
      </c>
      <c r="BL66" t="s">
        <v>159</v>
      </c>
      <c r="BM66" t="s">
        <v>722</v>
      </c>
      <c r="BN66" t="s">
        <v>161</v>
      </c>
      <c r="BO66">
        <v>1</v>
      </c>
      <c r="BP66" t="s">
        <v>1249</v>
      </c>
      <c r="BR66" t="s">
        <v>150</v>
      </c>
      <c r="BS66">
        <v>33</v>
      </c>
      <c r="BT66">
        <v>0</v>
      </c>
      <c r="BU66">
        <v>0</v>
      </c>
      <c r="BW66">
        <v>0</v>
      </c>
      <c r="BY66" t="s">
        <v>106</v>
      </c>
      <c r="BZ66" t="s">
        <v>142</v>
      </c>
      <c r="CA66" t="s">
        <v>112</v>
      </c>
      <c r="CB66" t="s">
        <v>112</v>
      </c>
      <c r="CC66" t="s">
        <v>121</v>
      </c>
      <c r="CD66">
        <v>17096.84</v>
      </c>
      <c r="CE66" t="s">
        <v>144</v>
      </c>
      <c r="CF66">
        <v>4000000</v>
      </c>
      <c r="CG66">
        <v>17096.84</v>
      </c>
      <c r="CH66">
        <v>0</v>
      </c>
      <c r="CI66" t="s">
        <v>112</v>
      </c>
      <c r="CJ66" t="s">
        <v>112</v>
      </c>
      <c r="CK66">
        <v>40051.08</v>
      </c>
      <c r="CL66">
        <v>3464895</v>
      </c>
      <c r="CM66">
        <v>0</v>
      </c>
      <c r="CN66">
        <v>1</v>
      </c>
      <c r="CO66">
        <v>3822189.18</v>
      </c>
      <c r="CP66">
        <v>47370.45</v>
      </c>
      <c r="CQ66" t="s">
        <v>145</v>
      </c>
      <c r="CR66">
        <v>47370.214588000003</v>
      </c>
      <c r="CS66">
        <v>2.7707000000000002</v>
      </c>
      <c r="CT66">
        <v>45</v>
      </c>
      <c r="CU66" t="s">
        <v>171</v>
      </c>
      <c r="CV66" t="s">
        <v>463</v>
      </c>
      <c r="CW66">
        <v>108</v>
      </c>
    </row>
    <row r="67" spans="1:101" x14ac:dyDescent="0.2">
      <c r="A67" t="s">
        <v>106</v>
      </c>
      <c r="B67" s="46">
        <v>45009</v>
      </c>
      <c r="C67" t="s">
        <v>905</v>
      </c>
      <c r="D67" t="s">
        <v>108</v>
      </c>
      <c r="E67" t="s">
        <v>906</v>
      </c>
      <c r="F67" t="s">
        <v>110</v>
      </c>
      <c r="G67" t="s">
        <v>111</v>
      </c>
      <c r="H67" t="s">
        <v>112</v>
      </c>
      <c r="I67" t="s">
        <v>112</v>
      </c>
      <c r="J67" t="s">
        <v>112</v>
      </c>
      <c r="K67" t="s">
        <v>150</v>
      </c>
      <c r="L67" t="s">
        <v>151</v>
      </c>
      <c r="M67" t="s">
        <v>112</v>
      </c>
      <c r="N67" t="s">
        <v>112</v>
      </c>
      <c r="O67">
        <v>1</v>
      </c>
      <c r="P67">
        <v>0</v>
      </c>
      <c r="Q67">
        <v>1</v>
      </c>
      <c r="R67">
        <v>33</v>
      </c>
      <c r="S67" t="s">
        <v>166</v>
      </c>
      <c r="T67" t="s">
        <v>152</v>
      </c>
      <c r="U67" t="s">
        <v>153</v>
      </c>
      <c r="V67" t="s">
        <v>154</v>
      </c>
      <c r="W67" t="s">
        <v>119</v>
      </c>
      <c r="X67" t="s">
        <v>112</v>
      </c>
      <c r="Y67" t="s">
        <v>166</v>
      </c>
      <c r="Z67" t="s">
        <v>152</v>
      </c>
      <c r="AA67" t="s">
        <v>153</v>
      </c>
      <c r="AB67" t="s">
        <v>154</v>
      </c>
      <c r="AC67" t="s">
        <v>119</v>
      </c>
      <c r="AD67" t="s">
        <v>112</v>
      </c>
      <c r="AE67" t="s">
        <v>121</v>
      </c>
      <c r="AF67" t="s">
        <v>122</v>
      </c>
      <c r="AG67">
        <v>4413109.45</v>
      </c>
      <c r="AH67" t="s">
        <v>166</v>
      </c>
      <c r="AI67" t="s">
        <v>152</v>
      </c>
      <c r="AJ67" t="s">
        <v>153</v>
      </c>
      <c r="AK67" t="s">
        <v>154</v>
      </c>
      <c r="AL67" t="s">
        <v>119</v>
      </c>
      <c r="AM67" t="s">
        <v>112</v>
      </c>
      <c r="AN67" t="s">
        <v>121</v>
      </c>
      <c r="AO67" t="s">
        <v>122</v>
      </c>
      <c r="AP67" t="s">
        <v>122</v>
      </c>
      <c r="AQ67" t="s">
        <v>124</v>
      </c>
      <c r="AR67" t="s">
        <v>125</v>
      </c>
      <c r="AS67">
        <v>2</v>
      </c>
      <c r="AT67" t="s">
        <v>126</v>
      </c>
      <c r="AU67" t="s">
        <v>155</v>
      </c>
      <c r="AV67" t="s">
        <v>156</v>
      </c>
      <c r="AW67">
        <v>1</v>
      </c>
      <c r="AX67" t="s">
        <v>129</v>
      </c>
      <c r="AY67">
        <v>48335.1</v>
      </c>
      <c r="AZ67">
        <v>4048736</v>
      </c>
      <c r="BA67">
        <v>57248.95</v>
      </c>
      <c r="BB67">
        <v>83.763900000000007</v>
      </c>
      <c r="BC67" t="s">
        <v>130</v>
      </c>
      <c r="BD67" t="s">
        <v>112</v>
      </c>
      <c r="BE67" t="s">
        <v>157</v>
      </c>
      <c r="BF67" t="s">
        <v>133</v>
      </c>
      <c r="BG67" t="s">
        <v>134</v>
      </c>
      <c r="BH67" t="s">
        <v>112</v>
      </c>
      <c r="BI67" t="s">
        <v>112</v>
      </c>
      <c r="BJ67" t="s">
        <v>112</v>
      </c>
      <c r="BK67" t="s">
        <v>169</v>
      </c>
      <c r="BL67" t="s">
        <v>159</v>
      </c>
      <c r="BM67" t="s">
        <v>722</v>
      </c>
      <c r="BN67" t="s">
        <v>161</v>
      </c>
      <c r="BO67">
        <v>1</v>
      </c>
      <c r="BP67" t="s">
        <v>466</v>
      </c>
      <c r="BR67" t="s">
        <v>150</v>
      </c>
      <c r="BS67">
        <v>33</v>
      </c>
      <c r="BT67">
        <v>0</v>
      </c>
      <c r="BU67">
        <v>0</v>
      </c>
      <c r="BW67">
        <v>0</v>
      </c>
      <c r="BY67" t="s">
        <v>106</v>
      </c>
      <c r="BZ67" t="s">
        <v>142</v>
      </c>
      <c r="CA67" t="s">
        <v>112</v>
      </c>
      <c r="CB67" t="s">
        <v>112</v>
      </c>
      <c r="CC67" t="s">
        <v>121</v>
      </c>
      <c r="CD67">
        <v>16581.45</v>
      </c>
      <c r="CE67" t="s">
        <v>144</v>
      </c>
      <c r="CF67">
        <v>4000000</v>
      </c>
      <c r="CG67">
        <v>16470.45</v>
      </c>
      <c r="CH67">
        <v>0</v>
      </c>
      <c r="CI67" t="s">
        <v>112</v>
      </c>
      <c r="CJ67" t="s">
        <v>112</v>
      </c>
      <c r="CK67">
        <v>48335.1</v>
      </c>
      <c r="CL67">
        <v>4048736</v>
      </c>
      <c r="CM67">
        <v>0</v>
      </c>
      <c r="CN67">
        <v>1</v>
      </c>
      <c r="CO67">
        <v>4413109.45</v>
      </c>
      <c r="CP67">
        <v>57248.95</v>
      </c>
      <c r="CQ67" t="s">
        <v>145</v>
      </c>
      <c r="CR67">
        <v>57249.637155000004</v>
      </c>
      <c r="CS67">
        <v>3.4759000000000002</v>
      </c>
      <c r="CT67">
        <v>45</v>
      </c>
      <c r="CU67" t="s">
        <v>171</v>
      </c>
      <c r="CV67" t="s">
        <v>369</v>
      </c>
      <c r="CW67">
        <v>37</v>
      </c>
    </row>
    <row r="68" spans="1:101" x14ac:dyDescent="0.2">
      <c r="A68" t="s">
        <v>106</v>
      </c>
      <c r="B68" s="46">
        <v>45131</v>
      </c>
      <c r="C68" t="s">
        <v>907</v>
      </c>
      <c r="D68" t="s">
        <v>108</v>
      </c>
      <c r="E68" t="s">
        <v>908</v>
      </c>
      <c r="F68" t="s">
        <v>110</v>
      </c>
      <c r="G68" t="s">
        <v>111</v>
      </c>
      <c r="H68" t="s">
        <v>112</v>
      </c>
      <c r="I68" t="s">
        <v>112</v>
      </c>
      <c r="J68" t="s">
        <v>112</v>
      </c>
      <c r="K68" t="s">
        <v>150</v>
      </c>
      <c r="L68" t="s">
        <v>151</v>
      </c>
      <c r="M68" t="s">
        <v>112</v>
      </c>
      <c r="N68" t="s">
        <v>112</v>
      </c>
      <c r="O68">
        <v>1</v>
      </c>
      <c r="P68">
        <v>0</v>
      </c>
      <c r="Q68">
        <v>1</v>
      </c>
      <c r="R68">
        <v>38</v>
      </c>
      <c r="S68" t="s">
        <v>166</v>
      </c>
      <c r="T68" t="s">
        <v>152</v>
      </c>
      <c r="U68" t="s">
        <v>153</v>
      </c>
      <c r="V68" t="s">
        <v>154</v>
      </c>
      <c r="W68" t="s">
        <v>119</v>
      </c>
      <c r="X68" t="s">
        <v>112</v>
      </c>
      <c r="Y68" t="s">
        <v>166</v>
      </c>
      <c r="Z68" t="s">
        <v>152</v>
      </c>
      <c r="AA68" t="s">
        <v>153</v>
      </c>
      <c r="AB68" t="s">
        <v>154</v>
      </c>
      <c r="AC68" t="s">
        <v>119</v>
      </c>
      <c r="AD68" t="s">
        <v>112</v>
      </c>
      <c r="AE68" t="s">
        <v>121</v>
      </c>
      <c r="AF68" t="s">
        <v>122</v>
      </c>
      <c r="AG68">
        <v>4480239.5199999996</v>
      </c>
      <c r="AH68" t="s">
        <v>166</v>
      </c>
      <c r="AI68" t="s">
        <v>152</v>
      </c>
      <c r="AJ68" t="s">
        <v>153</v>
      </c>
      <c r="AK68" t="s">
        <v>154</v>
      </c>
      <c r="AL68" t="s">
        <v>119</v>
      </c>
      <c r="AM68" t="s">
        <v>112</v>
      </c>
      <c r="AN68" t="s">
        <v>121</v>
      </c>
      <c r="AO68" t="s">
        <v>122</v>
      </c>
      <c r="AP68" t="s">
        <v>122</v>
      </c>
      <c r="AQ68" t="s">
        <v>124</v>
      </c>
      <c r="AR68" t="s">
        <v>125</v>
      </c>
      <c r="AS68">
        <v>2</v>
      </c>
      <c r="AT68" t="s">
        <v>126</v>
      </c>
      <c r="AU68" t="s">
        <v>155</v>
      </c>
      <c r="AV68" t="s">
        <v>156</v>
      </c>
      <c r="AW68">
        <v>1</v>
      </c>
      <c r="AX68" t="s">
        <v>129</v>
      </c>
      <c r="AY68">
        <v>49136.52</v>
      </c>
      <c r="AZ68">
        <v>4115867</v>
      </c>
      <c r="BA68">
        <v>58119.79</v>
      </c>
      <c r="BB68">
        <v>83.763900000000007</v>
      </c>
      <c r="BC68" t="s">
        <v>130</v>
      </c>
      <c r="BD68" t="s">
        <v>112</v>
      </c>
      <c r="BE68" t="s">
        <v>157</v>
      </c>
      <c r="BF68" t="s">
        <v>133</v>
      </c>
      <c r="BG68" t="s">
        <v>134</v>
      </c>
      <c r="BH68" t="s">
        <v>112</v>
      </c>
      <c r="BI68" t="s">
        <v>112</v>
      </c>
      <c r="BJ68" t="s">
        <v>112</v>
      </c>
      <c r="BK68" t="s">
        <v>169</v>
      </c>
      <c r="BL68" t="s">
        <v>159</v>
      </c>
      <c r="BM68" t="s">
        <v>722</v>
      </c>
      <c r="BN68" t="s">
        <v>161</v>
      </c>
      <c r="BO68">
        <v>1</v>
      </c>
      <c r="BP68" t="s">
        <v>232</v>
      </c>
      <c r="BR68" t="s">
        <v>150</v>
      </c>
      <c r="BS68">
        <v>38</v>
      </c>
      <c r="BT68">
        <v>0</v>
      </c>
      <c r="BU68">
        <v>0</v>
      </c>
      <c r="BW68">
        <v>0</v>
      </c>
      <c r="BY68" t="s">
        <v>106</v>
      </c>
      <c r="BZ68" t="s">
        <v>142</v>
      </c>
      <c r="CA68" t="s">
        <v>112</v>
      </c>
      <c r="CB68" t="s">
        <v>112</v>
      </c>
      <c r="CC68" t="s">
        <v>121</v>
      </c>
      <c r="CD68">
        <v>19057.73</v>
      </c>
      <c r="CE68" t="s">
        <v>144</v>
      </c>
      <c r="CF68">
        <v>4000000</v>
      </c>
      <c r="CG68">
        <v>18949.73</v>
      </c>
      <c r="CH68">
        <v>0</v>
      </c>
      <c r="CI68" t="s">
        <v>112</v>
      </c>
      <c r="CJ68" t="s">
        <v>112</v>
      </c>
      <c r="CK68">
        <v>49136.52</v>
      </c>
      <c r="CL68">
        <v>4115867</v>
      </c>
      <c r="CM68">
        <v>0</v>
      </c>
      <c r="CN68">
        <v>1</v>
      </c>
      <c r="CO68">
        <v>4480239.5199999996</v>
      </c>
      <c r="CP68">
        <v>58119.79</v>
      </c>
      <c r="CQ68" t="s">
        <v>145</v>
      </c>
      <c r="CR68">
        <v>58120.716883000001</v>
      </c>
      <c r="CS68">
        <v>3.0670999999999999</v>
      </c>
      <c r="CT68">
        <v>45</v>
      </c>
      <c r="CU68" t="s">
        <v>171</v>
      </c>
      <c r="CV68" t="s">
        <v>372</v>
      </c>
      <c r="CW68">
        <v>128</v>
      </c>
    </row>
    <row r="69" spans="1:101" x14ac:dyDescent="0.2">
      <c r="A69" t="s">
        <v>106</v>
      </c>
      <c r="B69" s="46">
        <v>45199</v>
      </c>
      <c r="C69" t="s">
        <v>909</v>
      </c>
      <c r="D69" t="s">
        <v>108</v>
      </c>
      <c r="E69" t="s">
        <v>910</v>
      </c>
      <c r="F69" t="s">
        <v>110</v>
      </c>
      <c r="G69" t="s">
        <v>111</v>
      </c>
      <c r="H69" t="s">
        <v>112</v>
      </c>
      <c r="I69" t="s">
        <v>112</v>
      </c>
      <c r="J69" t="s">
        <v>112</v>
      </c>
      <c r="K69" t="s">
        <v>150</v>
      </c>
      <c r="L69" t="s">
        <v>151</v>
      </c>
      <c r="M69" t="s">
        <v>112</v>
      </c>
      <c r="N69" t="s">
        <v>112</v>
      </c>
      <c r="O69">
        <v>1</v>
      </c>
      <c r="P69">
        <v>0</v>
      </c>
      <c r="Q69">
        <v>1</v>
      </c>
      <c r="R69">
        <v>33</v>
      </c>
      <c r="S69" t="s">
        <v>166</v>
      </c>
      <c r="T69" t="s">
        <v>152</v>
      </c>
      <c r="U69" t="s">
        <v>153</v>
      </c>
      <c r="V69" t="s">
        <v>154</v>
      </c>
      <c r="W69" t="s">
        <v>119</v>
      </c>
      <c r="X69" t="s">
        <v>112</v>
      </c>
      <c r="Y69" t="s">
        <v>166</v>
      </c>
      <c r="Z69" t="s">
        <v>152</v>
      </c>
      <c r="AA69" t="s">
        <v>153</v>
      </c>
      <c r="AB69" t="s">
        <v>154</v>
      </c>
      <c r="AC69" t="s">
        <v>119</v>
      </c>
      <c r="AD69" t="s">
        <v>112</v>
      </c>
      <c r="AE69" t="s">
        <v>121</v>
      </c>
      <c r="AF69" t="s">
        <v>122</v>
      </c>
      <c r="AG69">
        <v>4037679.65</v>
      </c>
      <c r="AH69" t="s">
        <v>166</v>
      </c>
      <c r="AI69" t="s">
        <v>152</v>
      </c>
      <c r="AJ69" t="s">
        <v>153</v>
      </c>
      <c r="AK69" t="s">
        <v>154</v>
      </c>
      <c r="AL69" t="s">
        <v>119</v>
      </c>
      <c r="AM69" t="s">
        <v>112</v>
      </c>
      <c r="AN69" t="s">
        <v>121</v>
      </c>
      <c r="AO69" t="s">
        <v>122</v>
      </c>
      <c r="AP69" t="s">
        <v>122</v>
      </c>
      <c r="AQ69" t="s">
        <v>124</v>
      </c>
      <c r="AR69" t="s">
        <v>125</v>
      </c>
      <c r="AS69">
        <v>2</v>
      </c>
      <c r="AT69" t="s">
        <v>126</v>
      </c>
      <c r="AU69" t="s">
        <v>155</v>
      </c>
      <c r="AV69" t="s">
        <v>156</v>
      </c>
      <c r="AW69">
        <v>1</v>
      </c>
      <c r="AX69" t="s">
        <v>129</v>
      </c>
      <c r="AY69">
        <v>43853.1</v>
      </c>
      <c r="AZ69">
        <v>3673307</v>
      </c>
      <c r="BA69">
        <v>52378.69</v>
      </c>
      <c r="BB69">
        <v>83.763900000000007</v>
      </c>
      <c r="BC69" t="s">
        <v>130</v>
      </c>
      <c r="BD69" t="s">
        <v>112</v>
      </c>
      <c r="BE69" t="s">
        <v>157</v>
      </c>
      <c r="BF69" t="s">
        <v>133</v>
      </c>
      <c r="BG69" t="s">
        <v>134</v>
      </c>
      <c r="BH69" t="s">
        <v>112</v>
      </c>
      <c r="BI69" t="s">
        <v>112</v>
      </c>
      <c r="BJ69" t="s">
        <v>112</v>
      </c>
      <c r="BK69" t="s">
        <v>169</v>
      </c>
      <c r="BL69" t="s">
        <v>159</v>
      </c>
      <c r="BM69" t="s">
        <v>722</v>
      </c>
      <c r="BN69" t="s">
        <v>161</v>
      </c>
      <c r="BO69">
        <v>1</v>
      </c>
      <c r="BP69" t="s">
        <v>911</v>
      </c>
      <c r="BR69" t="s">
        <v>150</v>
      </c>
      <c r="BS69">
        <v>33</v>
      </c>
      <c r="BT69">
        <v>0</v>
      </c>
      <c r="BU69">
        <v>0</v>
      </c>
      <c r="BW69">
        <v>0</v>
      </c>
      <c r="BY69" t="s">
        <v>106</v>
      </c>
      <c r="BZ69" t="s">
        <v>142</v>
      </c>
      <c r="CA69" t="s">
        <v>112</v>
      </c>
      <c r="CB69" t="s">
        <v>112</v>
      </c>
      <c r="CC69" t="s">
        <v>121</v>
      </c>
      <c r="CD69">
        <v>15747.01</v>
      </c>
      <c r="CE69" t="s">
        <v>144</v>
      </c>
      <c r="CF69">
        <v>4000000</v>
      </c>
      <c r="CG69">
        <v>15495.01</v>
      </c>
      <c r="CH69">
        <v>0</v>
      </c>
      <c r="CI69" t="s">
        <v>112</v>
      </c>
      <c r="CJ69" t="s">
        <v>112</v>
      </c>
      <c r="CK69">
        <v>43853.1</v>
      </c>
      <c r="CL69">
        <v>3673307</v>
      </c>
      <c r="CM69">
        <v>0</v>
      </c>
      <c r="CN69">
        <v>1</v>
      </c>
      <c r="CO69">
        <v>4037679.65</v>
      </c>
      <c r="CP69">
        <v>52378.69</v>
      </c>
      <c r="CQ69" t="s">
        <v>145</v>
      </c>
      <c r="CR69">
        <v>52379.331804000001</v>
      </c>
      <c r="CS69">
        <v>3.3803999999999998</v>
      </c>
      <c r="CT69">
        <v>45</v>
      </c>
      <c r="CU69" t="s">
        <v>171</v>
      </c>
      <c r="CV69" t="s">
        <v>172</v>
      </c>
      <c r="CW69">
        <v>319</v>
      </c>
    </row>
    <row r="70" spans="1:101" x14ac:dyDescent="0.2">
      <c r="A70" t="s">
        <v>106</v>
      </c>
      <c r="B70" s="46">
        <v>44992</v>
      </c>
      <c r="C70" t="s">
        <v>194</v>
      </c>
      <c r="D70" t="s">
        <v>108</v>
      </c>
      <c r="E70" t="s">
        <v>195</v>
      </c>
      <c r="F70" t="s">
        <v>110</v>
      </c>
      <c r="G70" t="s">
        <v>111</v>
      </c>
      <c r="H70" t="s">
        <v>112</v>
      </c>
      <c r="I70" t="s">
        <v>112</v>
      </c>
      <c r="J70" t="s">
        <v>112</v>
      </c>
      <c r="K70" t="s">
        <v>113</v>
      </c>
      <c r="L70" t="s">
        <v>114</v>
      </c>
      <c r="M70" t="s">
        <v>112</v>
      </c>
      <c r="N70" t="s">
        <v>112</v>
      </c>
      <c r="O70">
        <v>1</v>
      </c>
      <c r="P70">
        <v>0</v>
      </c>
      <c r="Q70">
        <v>1</v>
      </c>
      <c r="R70">
        <v>33</v>
      </c>
      <c r="S70" t="s">
        <v>115</v>
      </c>
      <c r="T70" t="s">
        <v>116</v>
      </c>
      <c r="U70" t="s">
        <v>117</v>
      </c>
      <c r="V70" t="s">
        <v>118</v>
      </c>
      <c r="W70" t="s">
        <v>119</v>
      </c>
      <c r="X70" t="s">
        <v>120</v>
      </c>
      <c r="Y70" t="s">
        <v>115</v>
      </c>
      <c r="Z70" t="s">
        <v>116</v>
      </c>
      <c r="AA70" t="s">
        <v>117</v>
      </c>
      <c r="AB70" t="s">
        <v>118</v>
      </c>
      <c r="AC70" t="s">
        <v>119</v>
      </c>
      <c r="AD70" t="s">
        <v>120</v>
      </c>
      <c r="AE70" t="s">
        <v>121</v>
      </c>
      <c r="AF70" t="s">
        <v>122</v>
      </c>
      <c r="AG70">
        <v>3952765.97</v>
      </c>
      <c r="AH70" t="s">
        <v>115</v>
      </c>
      <c r="AI70" t="s">
        <v>116</v>
      </c>
      <c r="AJ70" t="s">
        <v>117</v>
      </c>
      <c r="AK70" t="s">
        <v>118</v>
      </c>
      <c r="AL70" t="s">
        <v>119</v>
      </c>
      <c r="AM70" t="s">
        <v>120</v>
      </c>
      <c r="AN70" t="s">
        <v>121</v>
      </c>
      <c r="AO70" t="s">
        <v>122</v>
      </c>
      <c r="AP70" t="s">
        <v>123</v>
      </c>
      <c r="AQ70" t="s">
        <v>124</v>
      </c>
      <c r="AR70" t="s">
        <v>125</v>
      </c>
      <c r="AS70">
        <v>2</v>
      </c>
      <c r="AT70" t="s">
        <v>126</v>
      </c>
      <c r="AU70" t="s">
        <v>127</v>
      </c>
      <c r="AV70" t="s">
        <v>128</v>
      </c>
      <c r="AW70">
        <v>1</v>
      </c>
      <c r="AX70" t="s">
        <v>129</v>
      </c>
      <c r="AY70">
        <v>49047.14</v>
      </c>
      <c r="AZ70">
        <v>3716787</v>
      </c>
      <c r="BA70">
        <v>56798.57</v>
      </c>
      <c r="BB70">
        <v>75.779899999999998</v>
      </c>
      <c r="BC70" t="s">
        <v>130</v>
      </c>
      <c r="BD70" t="s">
        <v>131</v>
      </c>
      <c r="BE70" t="s">
        <v>132</v>
      </c>
      <c r="BF70" t="s">
        <v>133</v>
      </c>
      <c r="BG70" t="s">
        <v>134</v>
      </c>
      <c r="BH70" t="s">
        <v>112</v>
      </c>
      <c r="BI70" t="s">
        <v>135</v>
      </c>
      <c r="BJ70" t="s">
        <v>112</v>
      </c>
      <c r="BK70" t="s">
        <v>136</v>
      </c>
      <c r="BL70" t="s">
        <v>137</v>
      </c>
      <c r="BM70" t="s">
        <v>138</v>
      </c>
      <c r="BN70" t="s">
        <v>139</v>
      </c>
      <c r="BO70">
        <v>1</v>
      </c>
      <c r="BP70" t="s">
        <v>196</v>
      </c>
      <c r="BR70" t="s">
        <v>141</v>
      </c>
      <c r="BS70">
        <v>33</v>
      </c>
      <c r="BT70">
        <v>0</v>
      </c>
      <c r="BU70">
        <v>0</v>
      </c>
      <c r="BW70">
        <v>0</v>
      </c>
      <c r="BY70" t="s">
        <v>106</v>
      </c>
      <c r="BZ70" t="s">
        <v>142</v>
      </c>
      <c r="CA70" t="s">
        <v>112</v>
      </c>
      <c r="CB70" t="s">
        <v>112</v>
      </c>
      <c r="CC70" t="s">
        <v>143</v>
      </c>
      <c r="CD70">
        <v>15044.16</v>
      </c>
      <c r="CE70" t="s">
        <v>144</v>
      </c>
      <c r="CF70">
        <v>4000000</v>
      </c>
      <c r="CG70">
        <v>14931.12</v>
      </c>
      <c r="CH70">
        <v>0</v>
      </c>
      <c r="CI70" t="s">
        <v>112</v>
      </c>
      <c r="CJ70" t="s">
        <v>112</v>
      </c>
      <c r="CK70">
        <v>49047.14</v>
      </c>
      <c r="CL70">
        <v>3716787</v>
      </c>
      <c r="CM70">
        <v>0</v>
      </c>
      <c r="CN70">
        <v>1</v>
      </c>
      <c r="CO70">
        <v>3952765.97</v>
      </c>
      <c r="CP70">
        <v>56798.57</v>
      </c>
      <c r="CQ70" t="s">
        <v>145</v>
      </c>
      <c r="CR70">
        <v>56797.980479999998</v>
      </c>
      <c r="CS70">
        <v>3.8039999999999998</v>
      </c>
      <c r="CT70">
        <v>941</v>
      </c>
      <c r="CU70" t="s">
        <v>146</v>
      </c>
      <c r="CV70" t="s">
        <v>147</v>
      </c>
      <c r="CW70">
        <v>221</v>
      </c>
    </row>
    <row r="71" spans="1:101" x14ac:dyDescent="0.2">
      <c r="A71" s="8" t="s">
        <v>106</v>
      </c>
      <c r="B71" s="46">
        <v>45027</v>
      </c>
      <c r="C71" s="8" t="s">
        <v>2304</v>
      </c>
      <c r="D71" s="8" t="s">
        <v>108</v>
      </c>
      <c r="E71" s="8" t="s">
        <v>2305</v>
      </c>
      <c r="F71" t="s">
        <v>110</v>
      </c>
      <c r="G71" s="8" t="s">
        <v>111</v>
      </c>
      <c r="H71" s="8" t="s">
        <v>112</v>
      </c>
      <c r="I71" s="8" t="s">
        <v>112</v>
      </c>
      <c r="J71" s="8" t="s">
        <v>112</v>
      </c>
      <c r="K71" s="8" t="s">
        <v>2237</v>
      </c>
      <c r="L71" s="8" t="s">
        <v>2238</v>
      </c>
      <c r="M71" s="8" t="s">
        <v>112</v>
      </c>
      <c r="N71" s="8" t="s">
        <v>112</v>
      </c>
      <c r="O71">
        <v>1</v>
      </c>
      <c r="P71">
        <v>0</v>
      </c>
      <c r="Q71">
        <v>1</v>
      </c>
      <c r="R71">
        <v>481</v>
      </c>
      <c r="S71" s="8" t="s">
        <v>2239</v>
      </c>
      <c r="T71" s="8" t="s">
        <v>2240</v>
      </c>
      <c r="U71" s="8" t="s">
        <v>2241</v>
      </c>
      <c r="V71" s="8" t="s">
        <v>2242</v>
      </c>
      <c r="W71" s="8" t="s">
        <v>2243</v>
      </c>
      <c r="X71" s="8" t="s">
        <v>2244</v>
      </c>
      <c r="Y71" s="8" t="s">
        <v>2245</v>
      </c>
      <c r="Z71" s="8" t="s">
        <v>2246</v>
      </c>
      <c r="AA71" s="8" t="s">
        <v>2247</v>
      </c>
      <c r="AB71" s="8" t="s">
        <v>2248</v>
      </c>
      <c r="AC71" s="8" t="s">
        <v>2249</v>
      </c>
      <c r="AD71" s="8" t="s">
        <v>2250</v>
      </c>
      <c r="AE71" s="8" t="s">
        <v>2142</v>
      </c>
      <c r="AF71" s="8" t="s">
        <v>2143</v>
      </c>
      <c r="AG71">
        <v>8084712.0599999903</v>
      </c>
      <c r="AH71" s="8" t="s">
        <v>2245</v>
      </c>
      <c r="AI71" s="8" t="s">
        <v>2246</v>
      </c>
      <c r="AJ71" s="8" t="s">
        <v>2247</v>
      </c>
      <c r="AK71" s="8" t="s">
        <v>2248</v>
      </c>
      <c r="AL71" s="8" t="s">
        <v>2249</v>
      </c>
      <c r="AM71" s="8" t="s">
        <v>2250</v>
      </c>
      <c r="AN71" s="8" t="s">
        <v>2142</v>
      </c>
      <c r="AO71" s="8" t="s">
        <v>2143</v>
      </c>
      <c r="AP71" s="8" t="s">
        <v>2143</v>
      </c>
      <c r="AQ71" s="8" t="s">
        <v>124</v>
      </c>
      <c r="AR71" s="8" t="s">
        <v>125</v>
      </c>
      <c r="AS71">
        <v>1</v>
      </c>
      <c r="AT71" s="8" t="s">
        <v>106</v>
      </c>
      <c r="AU71" s="8" t="s">
        <v>2251</v>
      </c>
      <c r="AV71" s="8" t="s">
        <v>2252</v>
      </c>
      <c r="AW71">
        <v>0</v>
      </c>
      <c r="AX71" s="8" t="s">
        <v>2253</v>
      </c>
      <c r="AY71">
        <v>758621</v>
      </c>
      <c r="AZ71">
        <v>7685286</v>
      </c>
      <c r="BA71">
        <v>112322.3</v>
      </c>
      <c r="BB71">
        <v>10.1305999999999</v>
      </c>
      <c r="BC71" s="8" t="s">
        <v>130</v>
      </c>
      <c r="BD71" s="8" t="s">
        <v>112</v>
      </c>
      <c r="BE71" s="8" t="s">
        <v>2254</v>
      </c>
      <c r="BF71" s="8" t="s">
        <v>133</v>
      </c>
      <c r="BG71" s="8" t="s">
        <v>167</v>
      </c>
      <c r="BH71" s="8" t="s">
        <v>2255</v>
      </c>
      <c r="BI71" s="8" t="s">
        <v>112</v>
      </c>
      <c r="BJ71" s="8" t="s">
        <v>2256</v>
      </c>
      <c r="BK71" s="8" t="s">
        <v>169</v>
      </c>
      <c r="BL71" s="8" t="s">
        <v>159</v>
      </c>
      <c r="BM71" s="8" t="s">
        <v>160</v>
      </c>
      <c r="BN71" s="8" t="s">
        <v>161</v>
      </c>
      <c r="BO71">
        <v>1</v>
      </c>
      <c r="BP71" s="8" t="s">
        <v>2257</v>
      </c>
      <c r="BR71" s="8" t="s">
        <v>2258</v>
      </c>
      <c r="BS71">
        <v>481</v>
      </c>
      <c r="BT71">
        <v>1</v>
      </c>
      <c r="BU71">
        <v>481</v>
      </c>
      <c r="BV71" t="s">
        <v>2147</v>
      </c>
      <c r="BW71">
        <v>0</v>
      </c>
      <c r="BY71" s="8" t="s">
        <v>106</v>
      </c>
      <c r="BZ71" s="8" t="s">
        <v>2148</v>
      </c>
      <c r="CA71" s="8" t="s">
        <v>112</v>
      </c>
      <c r="CB71" s="8" t="s">
        <v>112</v>
      </c>
      <c r="CC71" s="8" t="s">
        <v>2142</v>
      </c>
      <c r="CD71">
        <v>15152.95</v>
      </c>
      <c r="CE71" t="s">
        <v>144</v>
      </c>
      <c r="CF71">
        <v>4000000</v>
      </c>
      <c r="CG71">
        <v>15152.95</v>
      </c>
      <c r="CH71">
        <v>0</v>
      </c>
      <c r="CI71" s="8" t="s">
        <v>112</v>
      </c>
      <c r="CJ71" s="8" t="s">
        <v>112</v>
      </c>
      <c r="CK71">
        <v>758621</v>
      </c>
      <c r="CL71">
        <v>7685286</v>
      </c>
      <c r="CM71">
        <v>0</v>
      </c>
      <c r="CN71">
        <v>1</v>
      </c>
      <c r="CO71">
        <v>8084712.0599999903</v>
      </c>
      <c r="CP71">
        <v>112322.3</v>
      </c>
      <c r="CQ71" s="8" t="s">
        <v>145</v>
      </c>
      <c r="CR71">
        <v>7.4126000000000003</v>
      </c>
      <c r="CV71" t="s">
        <v>2259</v>
      </c>
      <c r="CW71">
        <v>0</v>
      </c>
    </row>
    <row r="72" spans="1:101" x14ac:dyDescent="0.2">
      <c r="A72" s="8" t="s">
        <v>106</v>
      </c>
      <c r="B72" s="46">
        <v>45053</v>
      </c>
      <c r="C72" s="8" t="s">
        <v>2235</v>
      </c>
      <c r="D72" s="8" t="s">
        <v>108</v>
      </c>
      <c r="E72" s="8" t="s">
        <v>2236</v>
      </c>
      <c r="F72" t="s">
        <v>110</v>
      </c>
      <c r="G72" s="8" t="s">
        <v>111</v>
      </c>
      <c r="H72" s="8" t="s">
        <v>112</v>
      </c>
      <c r="I72" s="8" t="s">
        <v>112</v>
      </c>
      <c r="J72" s="8" t="s">
        <v>112</v>
      </c>
      <c r="K72" s="8" t="s">
        <v>2237</v>
      </c>
      <c r="L72" s="8" t="s">
        <v>2238</v>
      </c>
      <c r="M72" s="8" t="s">
        <v>112</v>
      </c>
      <c r="N72" s="8" t="s">
        <v>112</v>
      </c>
      <c r="O72">
        <v>2</v>
      </c>
      <c r="P72">
        <v>0</v>
      </c>
      <c r="Q72">
        <v>2</v>
      </c>
      <c r="R72">
        <v>1045</v>
      </c>
      <c r="S72" s="8" t="s">
        <v>2239</v>
      </c>
      <c r="T72" s="8" t="s">
        <v>2240</v>
      </c>
      <c r="U72" s="8" t="s">
        <v>2241</v>
      </c>
      <c r="V72" s="8" t="s">
        <v>2242</v>
      </c>
      <c r="W72" s="8" t="s">
        <v>2243</v>
      </c>
      <c r="X72" s="8" t="s">
        <v>2244</v>
      </c>
      <c r="Y72" s="8" t="s">
        <v>2245</v>
      </c>
      <c r="Z72" s="8" t="s">
        <v>2246</v>
      </c>
      <c r="AA72" s="8" t="s">
        <v>2247</v>
      </c>
      <c r="AB72" s="8" t="s">
        <v>2248</v>
      </c>
      <c r="AC72" s="8" t="s">
        <v>2249</v>
      </c>
      <c r="AD72" s="8" t="s">
        <v>2250</v>
      </c>
      <c r="AE72" s="8" t="s">
        <v>2142</v>
      </c>
      <c r="AF72" s="8" t="s">
        <v>2143</v>
      </c>
      <c r="AG72">
        <v>6630716.5899999896</v>
      </c>
      <c r="AH72" s="8" t="s">
        <v>2245</v>
      </c>
      <c r="AI72" s="8" t="s">
        <v>2246</v>
      </c>
      <c r="AJ72" s="8" t="s">
        <v>2247</v>
      </c>
      <c r="AK72" s="8" t="s">
        <v>2248</v>
      </c>
      <c r="AL72" s="8" t="s">
        <v>2249</v>
      </c>
      <c r="AM72" s="8" t="s">
        <v>2250</v>
      </c>
      <c r="AN72" s="8" t="s">
        <v>2142</v>
      </c>
      <c r="AO72" s="8" t="s">
        <v>2143</v>
      </c>
      <c r="AP72" s="8" t="s">
        <v>2143</v>
      </c>
      <c r="AQ72" s="8" t="s">
        <v>124</v>
      </c>
      <c r="AR72" s="8" t="s">
        <v>125</v>
      </c>
      <c r="AS72">
        <v>1</v>
      </c>
      <c r="AT72" s="8" t="s">
        <v>106</v>
      </c>
      <c r="AU72" s="8" t="s">
        <v>2251</v>
      </c>
      <c r="AV72" s="8" t="s">
        <v>2252</v>
      </c>
      <c r="AW72">
        <v>0</v>
      </c>
      <c r="AX72" s="8" t="s">
        <v>2253</v>
      </c>
      <c r="AY72">
        <v>615095.89</v>
      </c>
      <c r="AZ72">
        <v>6231290</v>
      </c>
      <c r="BA72">
        <v>92121.69</v>
      </c>
      <c r="BB72">
        <v>10.1305999999999</v>
      </c>
      <c r="BC72" s="8" t="s">
        <v>130</v>
      </c>
      <c r="BD72" s="8" t="s">
        <v>112</v>
      </c>
      <c r="BE72" s="8" t="s">
        <v>2254</v>
      </c>
      <c r="BF72" s="8" t="s">
        <v>133</v>
      </c>
      <c r="BG72" s="8" t="s">
        <v>167</v>
      </c>
      <c r="BH72" s="8" t="s">
        <v>2255</v>
      </c>
      <c r="BI72" s="8" t="s">
        <v>112</v>
      </c>
      <c r="BJ72" s="8" t="s">
        <v>2256</v>
      </c>
      <c r="BK72" s="8" t="s">
        <v>169</v>
      </c>
      <c r="BL72" s="8" t="s">
        <v>159</v>
      </c>
      <c r="BM72" s="8" t="s">
        <v>160</v>
      </c>
      <c r="BN72" s="8" t="s">
        <v>161</v>
      </c>
      <c r="BO72">
        <v>1</v>
      </c>
      <c r="BP72" s="8" t="s">
        <v>2257</v>
      </c>
      <c r="BR72" s="8" t="s">
        <v>2258</v>
      </c>
      <c r="BS72">
        <v>119</v>
      </c>
      <c r="BT72">
        <v>1</v>
      </c>
      <c r="BU72">
        <v>119</v>
      </c>
      <c r="BV72" t="s">
        <v>2147</v>
      </c>
      <c r="BW72">
        <v>0</v>
      </c>
      <c r="BY72" s="8" t="s">
        <v>106</v>
      </c>
      <c r="BZ72" s="8" t="s">
        <v>2148</v>
      </c>
      <c r="CA72" s="8" t="s">
        <v>112</v>
      </c>
      <c r="CB72" s="8" t="s">
        <v>112</v>
      </c>
      <c r="CC72" s="8" t="s">
        <v>2142</v>
      </c>
      <c r="CD72">
        <v>4153.05</v>
      </c>
      <c r="CE72" t="s">
        <v>144</v>
      </c>
      <c r="CF72">
        <v>4000000</v>
      </c>
      <c r="CG72">
        <v>4153.05</v>
      </c>
      <c r="CH72">
        <v>0</v>
      </c>
      <c r="CI72" s="8" t="s">
        <v>112</v>
      </c>
      <c r="CJ72" s="8" t="s">
        <v>112</v>
      </c>
      <c r="CK72">
        <v>212159</v>
      </c>
      <c r="CL72">
        <v>2149298</v>
      </c>
      <c r="CM72">
        <v>0</v>
      </c>
      <c r="CN72">
        <v>1</v>
      </c>
      <c r="CO72">
        <v>2299807.54999999</v>
      </c>
      <c r="CP72">
        <v>31951.62</v>
      </c>
      <c r="CQ72" s="8" t="s">
        <v>145</v>
      </c>
      <c r="CR72">
        <v>7.6935000000000002</v>
      </c>
      <c r="CV72" t="s">
        <v>2259</v>
      </c>
      <c r="CW72">
        <v>0</v>
      </c>
    </row>
    <row r="73" spans="1:101" x14ac:dyDescent="0.2">
      <c r="A73" t="s">
        <v>106</v>
      </c>
      <c r="B73" s="46">
        <v>45040</v>
      </c>
      <c r="C73" t="s">
        <v>1303</v>
      </c>
      <c r="D73" t="s">
        <v>108</v>
      </c>
      <c r="E73" t="s">
        <v>1304</v>
      </c>
      <c r="F73" t="s">
        <v>110</v>
      </c>
      <c r="G73" t="s">
        <v>111</v>
      </c>
      <c r="H73" t="s">
        <v>112</v>
      </c>
      <c r="I73" t="s">
        <v>112</v>
      </c>
      <c r="J73" t="s">
        <v>112</v>
      </c>
      <c r="K73" t="s">
        <v>150</v>
      </c>
      <c r="L73" t="s">
        <v>151</v>
      </c>
      <c r="M73" t="s">
        <v>112</v>
      </c>
      <c r="N73" t="s">
        <v>112</v>
      </c>
      <c r="O73">
        <v>1</v>
      </c>
      <c r="Q73">
        <v>1</v>
      </c>
      <c r="R73">
        <v>33</v>
      </c>
      <c r="S73" t="s">
        <v>112</v>
      </c>
      <c r="T73" t="s">
        <v>152</v>
      </c>
      <c r="U73" t="s">
        <v>153</v>
      </c>
      <c r="V73" t="s">
        <v>154</v>
      </c>
      <c r="W73" t="s">
        <v>119</v>
      </c>
      <c r="X73" t="s">
        <v>112</v>
      </c>
      <c r="Y73" t="s">
        <v>112</v>
      </c>
      <c r="Z73" t="s">
        <v>152</v>
      </c>
      <c r="AA73" t="s">
        <v>153</v>
      </c>
      <c r="AB73" t="s">
        <v>154</v>
      </c>
      <c r="AC73" t="s">
        <v>119</v>
      </c>
      <c r="AD73" t="s">
        <v>112</v>
      </c>
      <c r="AE73" t="s">
        <v>121</v>
      </c>
      <c r="AF73" t="s">
        <v>122</v>
      </c>
      <c r="AG73">
        <v>4228111.5199999996</v>
      </c>
      <c r="AH73" t="s">
        <v>112</v>
      </c>
      <c r="AI73" t="s">
        <v>152</v>
      </c>
      <c r="AJ73" t="s">
        <v>153</v>
      </c>
      <c r="AK73" t="s">
        <v>154</v>
      </c>
      <c r="AL73" t="s">
        <v>119</v>
      </c>
      <c r="AM73" t="s">
        <v>112</v>
      </c>
      <c r="AN73" t="s">
        <v>121</v>
      </c>
      <c r="AO73" t="s">
        <v>122</v>
      </c>
      <c r="AP73" t="s">
        <v>122</v>
      </c>
      <c r="AQ73" t="s">
        <v>124</v>
      </c>
      <c r="AR73" t="s">
        <v>125</v>
      </c>
      <c r="AS73">
        <v>2</v>
      </c>
      <c r="AT73" t="s">
        <v>126</v>
      </c>
      <c r="AU73" t="s">
        <v>155</v>
      </c>
      <c r="AV73" t="s">
        <v>156</v>
      </c>
      <c r="AX73" t="s">
        <v>129</v>
      </c>
      <c r="AY73">
        <v>39308.5</v>
      </c>
      <c r="BB73">
        <v>97.650300000000001</v>
      </c>
      <c r="BC73" t="s">
        <v>112</v>
      </c>
      <c r="BD73" t="s">
        <v>112</v>
      </c>
      <c r="BE73" t="s">
        <v>157</v>
      </c>
      <c r="BF73" t="s">
        <v>133</v>
      </c>
      <c r="BG73" t="s">
        <v>134</v>
      </c>
      <c r="BH73" t="s">
        <v>112</v>
      </c>
      <c r="BI73" t="s">
        <v>112</v>
      </c>
      <c r="BJ73" t="s">
        <v>112</v>
      </c>
      <c r="BK73" t="s">
        <v>158</v>
      </c>
      <c r="BL73" t="s">
        <v>159</v>
      </c>
      <c r="BM73" t="s">
        <v>212</v>
      </c>
      <c r="BN73" t="s">
        <v>161</v>
      </c>
      <c r="BP73" t="s">
        <v>213</v>
      </c>
      <c r="BR73" t="s">
        <v>150</v>
      </c>
      <c r="BS73">
        <v>33</v>
      </c>
      <c r="BT73">
        <v>0</v>
      </c>
      <c r="BU73">
        <v>0</v>
      </c>
      <c r="BW73">
        <v>0</v>
      </c>
      <c r="BY73" t="s">
        <v>106</v>
      </c>
      <c r="BZ73" t="s">
        <v>142</v>
      </c>
      <c r="CA73" t="s">
        <v>112</v>
      </c>
      <c r="CB73" t="s">
        <v>112</v>
      </c>
      <c r="CC73" t="s">
        <v>121</v>
      </c>
      <c r="CD73">
        <v>16569.689999999999</v>
      </c>
      <c r="CE73" t="s">
        <v>144</v>
      </c>
      <c r="CF73">
        <v>4000000</v>
      </c>
      <c r="CG73">
        <v>16396.29</v>
      </c>
      <c r="CH73">
        <v>0</v>
      </c>
      <c r="CI73" t="s">
        <v>112</v>
      </c>
      <c r="CJ73" t="s">
        <v>112</v>
      </c>
      <c r="CK73">
        <v>39308.5</v>
      </c>
      <c r="CM73">
        <v>0</v>
      </c>
      <c r="CN73">
        <v>1</v>
      </c>
      <c r="CO73">
        <v>4228111.5199999996</v>
      </c>
      <c r="CP73">
        <v>47568.82</v>
      </c>
      <c r="CQ73" t="s">
        <v>145</v>
      </c>
      <c r="CR73">
        <v>47549.241000000002</v>
      </c>
      <c r="CS73">
        <v>2.9</v>
      </c>
      <c r="CT73">
        <v>45</v>
      </c>
      <c r="CV73" t="s">
        <v>233</v>
      </c>
      <c r="CW73">
        <v>300</v>
      </c>
    </row>
    <row r="74" spans="1:101" x14ac:dyDescent="0.2">
      <c r="A74" t="s">
        <v>106</v>
      </c>
      <c r="B74" s="46">
        <v>44956</v>
      </c>
      <c r="C74" t="s">
        <v>1185</v>
      </c>
      <c r="D74" t="s">
        <v>108</v>
      </c>
      <c r="E74" t="s">
        <v>1186</v>
      </c>
      <c r="F74" t="s">
        <v>110</v>
      </c>
      <c r="G74" t="s">
        <v>111</v>
      </c>
      <c r="H74" t="s">
        <v>112</v>
      </c>
      <c r="I74" t="s">
        <v>112</v>
      </c>
      <c r="J74" t="s">
        <v>112</v>
      </c>
      <c r="K74" t="s">
        <v>150</v>
      </c>
      <c r="L74" t="s">
        <v>151</v>
      </c>
      <c r="M74" t="s">
        <v>112</v>
      </c>
      <c r="N74" t="s">
        <v>112</v>
      </c>
      <c r="O74">
        <v>1</v>
      </c>
      <c r="Q74">
        <v>1</v>
      </c>
      <c r="R74">
        <v>33</v>
      </c>
      <c r="S74" t="s">
        <v>112</v>
      </c>
      <c r="T74" t="s">
        <v>152</v>
      </c>
      <c r="U74" t="s">
        <v>153</v>
      </c>
      <c r="V74" t="s">
        <v>154</v>
      </c>
      <c r="W74" t="s">
        <v>119</v>
      </c>
      <c r="X74" t="s">
        <v>112</v>
      </c>
      <c r="Y74" t="s">
        <v>112</v>
      </c>
      <c r="Z74" t="s">
        <v>152</v>
      </c>
      <c r="AA74" t="s">
        <v>153</v>
      </c>
      <c r="AB74" t="s">
        <v>154</v>
      </c>
      <c r="AC74" t="s">
        <v>119</v>
      </c>
      <c r="AD74" t="s">
        <v>112</v>
      </c>
      <c r="AE74" t="s">
        <v>121</v>
      </c>
      <c r="AF74" t="s">
        <v>122</v>
      </c>
      <c r="AG74">
        <v>4423089.87</v>
      </c>
      <c r="AH74" t="s">
        <v>112</v>
      </c>
      <c r="AI74" t="s">
        <v>152</v>
      </c>
      <c r="AJ74" t="s">
        <v>153</v>
      </c>
      <c r="AK74" t="s">
        <v>154</v>
      </c>
      <c r="AL74" t="s">
        <v>119</v>
      </c>
      <c r="AM74" t="s">
        <v>112</v>
      </c>
      <c r="AN74" t="s">
        <v>121</v>
      </c>
      <c r="AO74" t="s">
        <v>122</v>
      </c>
      <c r="AP74" t="s">
        <v>122</v>
      </c>
      <c r="AQ74" t="s">
        <v>124</v>
      </c>
      <c r="AR74" t="s">
        <v>125</v>
      </c>
      <c r="AS74">
        <v>2</v>
      </c>
      <c r="AT74" t="s">
        <v>126</v>
      </c>
      <c r="AU74" t="s">
        <v>155</v>
      </c>
      <c r="AV74" t="s">
        <v>156</v>
      </c>
      <c r="AX74" t="s">
        <v>129</v>
      </c>
      <c r="AY74">
        <v>41305.199999999997</v>
      </c>
      <c r="BB74">
        <v>97.650300000000001</v>
      </c>
      <c r="BC74" t="s">
        <v>112</v>
      </c>
      <c r="BD74" t="s">
        <v>112</v>
      </c>
      <c r="BE74" t="s">
        <v>157</v>
      </c>
      <c r="BF74" t="s">
        <v>133</v>
      </c>
      <c r="BG74" t="s">
        <v>134</v>
      </c>
      <c r="BH74" t="s">
        <v>112</v>
      </c>
      <c r="BI74" t="s">
        <v>112</v>
      </c>
      <c r="BJ74" t="s">
        <v>112</v>
      </c>
      <c r="BK74" t="s">
        <v>158</v>
      </c>
      <c r="BL74" t="s">
        <v>159</v>
      </c>
      <c r="BM74" t="s">
        <v>212</v>
      </c>
      <c r="BN74" t="s">
        <v>161</v>
      </c>
      <c r="BP74" t="s">
        <v>205</v>
      </c>
      <c r="BR74" t="s">
        <v>150</v>
      </c>
      <c r="BS74">
        <v>33</v>
      </c>
      <c r="BT74">
        <v>0</v>
      </c>
      <c r="BU74">
        <v>0</v>
      </c>
      <c r="BW74">
        <v>0</v>
      </c>
      <c r="BY74" t="s">
        <v>106</v>
      </c>
      <c r="BZ74" t="s">
        <v>142</v>
      </c>
      <c r="CA74" t="s">
        <v>112</v>
      </c>
      <c r="CB74" t="s">
        <v>112</v>
      </c>
      <c r="CC74" t="s">
        <v>121</v>
      </c>
      <c r="CD74">
        <v>16952.7</v>
      </c>
      <c r="CE74" t="s">
        <v>144</v>
      </c>
      <c r="CF74">
        <v>4000000</v>
      </c>
      <c r="CG74">
        <v>16952.7</v>
      </c>
      <c r="CH74">
        <v>0</v>
      </c>
      <c r="CI74" t="s">
        <v>112</v>
      </c>
      <c r="CJ74" t="s">
        <v>112</v>
      </c>
      <c r="CK74">
        <v>41305.199999999997</v>
      </c>
      <c r="CM74">
        <v>0</v>
      </c>
      <c r="CN74">
        <v>1</v>
      </c>
      <c r="CO74">
        <v>4423089.87</v>
      </c>
      <c r="CP74">
        <v>49762.44</v>
      </c>
      <c r="CQ74" t="s">
        <v>145</v>
      </c>
      <c r="CR74">
        <v>49840.938000000002</v>
      </c>
      <c r="CS74">
        <v>2.94</v>
      </c>
      <c r="CT74">
        <v>45</v>
      </c>
      <c r="CV74" t="s">
        <v>729</v>
      </c>
      <c r="CW74">
        <v>155</v>
      </c>
    </row>
    <row r="75" spans="1:101" x14ac:dyDescent="0.2">
      <c r="A75" t="s">
        <v>106</v>
      </c>
      <c r="B75" s="46">
        <v>45112</v>
      </c>
      <c r="C75" t="s">
        <v>1130</v>
      </c>
      <c r="D75" t="s">
        <v>108</v>
      </c>
      <c r="E75" t="s">
        <v>1131</v>
      </c>
      <c r="F75" t="s">
        <v>110</v>
      </c>
      <c r="G75" t="s">
        <v>111</v>
      </c>
      <c r="H75" t="s">
        <v>112</v>
      </c>
      <c r="I75" t="s">
        <v>112</v>
      </c>
      <c r="J75" t="s">
        <v>112</v>
      </c>
      <c r="K75" t="s">
        <v>150</v>
      </c>
      <c r="L75" t="s">
        <v>151</v>
      </c>
      <c r="M75" t="s">
        <v>112</v>
      </c>
      <c r="N75" t="s">
        <v>112</v>
      </c>
      <c r="O75">
        <v>1</v>
      </c>
      <c r="Q75">
        <v>1</v>
      </c>
      <c r="R75">
        <v>33</v>
      </c>
      <c r="S75" t="s">
        <v>112</v>
      </c>
      <c r="T75" t="s">
        <v>152</v>
      </c>
      <c r="U75" t="s">
        <v>153</v>
      </c>
      <c r="V75" t="s">
        <v>154</v>
      </c>
      <c r="W75" t="s">
        <v>119</v>
      </c>
      <c r="X75" t="s">
        <v>112</v>
      </c>
      <c r="Y75" t="s">
        <v>112</v>
      </c>
      <c r="Z75" t="s">
        <v>152</v>
      </c>
      <c r="AA75" t="s">
        <v>153</v>
      </c>
      <c r="AB75" t="s">
        <v>154</v>
      </c>
      <c r="AC75" t="s">
        <v>119</v>
      </c>
      <c r="AD75" t="s">
        <v>112</v>
      </c>
      <c r="AE75" t="s">
        <v>121</v>
      </c>
      <c r="AF75" t="s">
        <v>122</v>
      </c>
      <c r="AG75">
        <v>4315822.97</v>
      </c>
      <c r="AH75" t="s">
        <v>112</v>
      </c>
      <c r="AI75" t="s">
        <v>152</v>
      </c>
      <c r="AJ75" t="s">
        <v>153</v>
      </c>
      <c r="AK75" t="s">
        <v>154</v>
      </c>
      <c r="AL75" t="s">
        <v>119</v>
      </c>
      <c r="AM75" t="s">
        <v>112</v>
      </c>
      <c r="AN75" t="s">
        <v>121</v>
      </c>
      <c r="AO75" t="s">
        <v>122</v>
      </c>
      <c r="AP75" t="s">
        <v>122</v>
      </c>
      <c r="AQ75" t="s">
        <v>124</v>
      </c>
      <c r="AR75" t="s">
        <v>125</v>
      </c>
      <c r="AS75">
        <v>2</v>
      </c>
      <c r="AT75" t="s">
        <v>126</v>
      </c>
      <c r="AU75" t="s">
        <v>155</v>
      </c>
      <c r="AV75" t="s">
        <v>156</v>
      </c>
      <c r="AX75" t="s">
        <v>129</v>
      </c>
      <c r="AY75">
        <v>39506.720000000001</v>
      </c>
      <c r="BB75">
        <v>97.650300000000001</v>
      </c>
      <c r="BC75" t="s">
        <v>112</v>
      </c>
      <c r="BD75" t="s">
        <v>112</v>
      </c>
      <c r="BE75" t="s">
        <v>157</v>
      </c>
      <c r="BF75" t="s">
        <v>133</v>
      </c>
      <c r="BG75" t="s">
        <v>134</v>
      </c>
      <c r="BH75" t="s">
        <v>112</v>
      </c>
      <c r="BI75" t="s">
        <v>112</v>
      </c>
      <c r="BJ75" t="s">
        <v>112</v>
      </c>
      <c r="BK75" t="s">
        <v>158</v>
      </c>
      <c r="BL75" t="s">
        <v>159</v>
      </c>
      <c r="BM75" t="s">
        <v>212</v>
      </c>
      <c r="BN75" t="s">
        <v>161</v>
      </c>
      <c r="BP75" t="s">
        <v>205</v>
      </c>
      <c r="BR75" t="s">
        <v>150</v>
      </c>
      <c r="BS75">
        <v>33</v>
      </c>
      <c r="BT75">
        <v>0</v>
      </c>
      <c r="BU75">
        <v>0</v>
      </c>
      <c r="BW75">
        <v>0</v>
      </c>
      <c r="BY75" t="s">
        <v>106</v>
      </c>
      <c r="BZ75" t="s">
        <v>142</v>
      </c>
      <c r="CA75" t="s">
        <v>112</v>
      </c>
      <c r="CB75" t="s">
        <v>112</v>
      </c>
      <c r="CC75" t="s">
        <v>121</v>
      </c>
      <c r="CD75">
        <v>16196.28</v>
      </c>
      <c r="CE75" t="s">
        <v>144</v>
      </c>
      <c r="CF75">
        <v>4000000</v>
      </c>
      <c r="CG75">
        <v>16196.28</v>
      </c>
      <c r="CH75">
        <v>0</v>
      </c>
      <c r="CI75" t="s">
        <v>112</v>
      </c>
      <c r="CJ75" t="s">
        <v>112</v>
      </c>
      <c r="CK75">
        <v>39506.720000000001</v>
      </c>
      <c r="CM75">
        <v>0</v>
      </c>
      <c r="CN75">
        <v>1</v>
      </c>
      <c r="CO75">
        <v>4315822.97</v>
      </c>
      <c r="CP75">
        <v>48555.62</v>
      </c>
      <c r="CQ75" t="s">
        <v>145</v>
      </c>
      <c r="CR75">
        <v>48588.840000000004</v>
      </c>
      <c r="CS75">
        <v>3</v>
      </c>
      <c r="CT75">
        <v>45</v>
      </c>
      <c r="CV75" t="s">
        <v>233</v>
      </c>
      <c r="CW75">
        <v>284</v>
      </c>
    </row>
    <row r="76" spans="1:101" x14ac:dyDescent="0.2">
      <c r="A76" t="s">
        <v>106</v>
      </c>
      <c r="B76" s="46">
        <v>45003</v>
      </c>
      <c r="C76" t="s">
        <v>1135</v>
      </c>
      <c r="D76" t="s">
        <v>108</v>
      </c>
      <c r="E76" t="s">
        <v>1136</v>
      </c>
      <c r="F76" t="s">
        <v>110</v>
      </c>
      <c r="G76" t="s">
        <v>111</v>
      </c>
      <c r="H76" t="s">
        <v>112</v>
      </c>
      <c r="I76" t="s">
        <v>112</v>
      </c>
      <c r="J76" t="s">
        <v>112</v>
      </c>
      <c r="K76" t="s">
        <v>150</v>
      </c>
      <c r="L76" t="s">
        <v>151</v>
      </c>
      <c r="M76" t="s">
        <v>112</v>
      </c>
      <c r="N76" t="s">
        <v>112</v>
      </c>
      <c r="O76">
        <v>1</v>
      </c>
      <c r="Q76">
        <v>1</v>
      </c>
      <c r="R76">
        <v>33</v>
      </c>
      <c r="S76" t="s">
        <v>112</v>
      </c>
      <c r="T76" t="s">
        <v>152</v>
      </c>
      <c r="U76" t="s">
        <v>153</v>
      </c>
      <c r="V76" t="s">
        <v>154</v>
      </c>
      <c r="W76" t="s">
        <v>119</v>
      </c>
      <c r="X76" t="s">
        <v>112</v>
      </c>
      <c r="Y76" t="s">
        <v>112</v>
      </c>
      <c r="Z76" t="s">
        <v>152</v>
      </c>
      <c r="AA76" t="s">
        <v>153</v>
      </c>
      <c r="AB76" t="s">
        <v>154</v>
      </c>
      <c r="AC76" t="s">
        <v>119</v>
      </c>
      <c r="AD76" t="s">
        <v>112</v>
      </c>
      <c r="AE76" t="s">
        <v>121</v>
      </c>
      <c r="AF76" t="s">
        <v>122</v>
      </c>
      <c r="AG76">
        <v>4291068.62</v>
      </c>
      <c r="AH76" t="s">
        <v>112</v>
      </c>
      <c r="AI76" t="s">
        <v>152</v>
      </c>
      <c r="AJ76" t="s">
        <v>153</v>
      </c>
      <c r="AK76" t="s">
        <v>154</v>
      </c>
      <c r="AL76" t="s">
        <v>119</v>
      </c>
      <c r="AM76" t="s">
        <v>112</v>
      </c>
      <c r="AN76" t="s">
        <v>121</v>
      </c>
      <c r="AO76" t="s">
        <v>122</v>
      </c>
      <c r="AP76" t="s">
        <v>122</v>
      </c>
      <c r="AQ76" t="s">
        <v>124</v>
      </c>
      <c r="AR76" t="s">
        <v>125</v>
      </c>
      <c r="AS76">
        <v>2</v>
      </c>
      <c r="AT76" t="s">
        <v>126</v>
      </c>
      <c r="AU76" t="s">
        <v>155</v>
      </c>
      <c r="AV76" t="s">
        <v>156</v>
      </c>
      <c r="AX76" t="s">
        <v>129</v>
      </c>
      <c r="AY76">
        <v>39953.22</v>
      </c>
      <c r="BB76">
        <v>97.650300000000001</v>
      </c>
      <c r="BC76" t="s">
        <v>112</v>
      </c>
      <c r="BD76" t="s">
        <v>112</v>
      </c>
      <c r="BE76" t="s">
        <v>157</v>
      </c>
      <c r="BF76" t="s">
        <v>133</v>
      </c>
      <c r="BG76" t="s">
        <v>134</v>
      </c>
      <c r="BH76" t="s">
        <v>112</v>
      </c>
      <c r="BI76" t="s">
        <v>112</v>
      </c>
      <c r="BJ76" t="s">
        <v>112</v>
      </c>
      <c r="BK76" t="s">
        <v>158</v>
      </c>
      <c r="BL76" t="s">
        <v>159</v>
      </c>
      <c r="BM76" t="s">
        <v>212</v>
      </c>
      <c r="BN76" t="s">
        <v>161</v>
      </c>
      <c r="BP76" t="s">
        <v>1137</v>
      </c>
      <c r="BR76" t="s">
        <v>150</v>
      </c>
      <c r="BS76">
        <v>33</v>
      </c>
      <c r="BT76">
        <v>0</v>
      </c>
      <c r="BU76">
        <v>0</v>
      </c>
      <c r="BW76">
        <v>0</v>
      </c>
      <c r="BY76" t="s">
        <v>106</v>
      </c>
      <c r="BZ76" t="s">
        <v>142</v>
      </c>
      <c r="CA76" t="s">
        <v>112</v>
      </c>
      <c r="CB76" t="s">
        <v>112</v>
      </c>
      <c r="CC76" t="s">
        <v>121</v>
      </c>
      <c r="CD76">
        <v>16956.25</v>
      </c>
      <c r="CE76" t="s">
        <v>144</v>
      </c>
      <c r="CF76">
        <v>4000000</v>
      </c>
      <c r="CG76">
        <v>16956.25</v>
      </c>
      <c r="CH76">
        <v>0</v>
      </c>
      <c r="CI76" t="s">
        <v>112</v>
      </c>
      <c r="CJ76" t="s">
        <v>112</v>
      </c>
      <c r="CK76">
        <v>39953.22</v>
      </c>
      <c r="CM76">
        <v>0</v>
      </c>
      <c r="CN76">
        <v>1</v>
      </c>
      <c r="CO76">
        <v>4291068.62</v>
      </c>
      <c r="CP76">
        <v>48277.120000000003</v>
      </c>
      <c r="CQ76" t="s">
        <v>145</v>
      </c>
      <c r="CR76">
        <v>48325.3125</v>
      </c>
      <c r="CS76">
        <v>2.85</v>
      </c>
      <c r="CT76">
        <v>45</v>
      </c>
      <c r="CV76" t="s">
        <v>206</v>
      </c>
      <c r="CW76">
        <v>212</v>
      </c>
    </row>
    <row r="77" spans="1:101" x14ac:dyDescent="0.2">
      <c r="A77" t="s">
        <v>106</v>
      </c>
      <c r="B77" s="46">
        <v>45095</v>
      </c>
      <c r="C77" t="s">
        <v>1784</v>
      </c>
      <c r="D77" t="s">
        <v>108</v>
      </c>
      <c r="E77" t="s">
        <v>1785</v>
      </c>
      <c r="F77" t="s">
        <v>110</v>
      </c>
      <c r="G77" t="s">
        <v>111</v>
      </c>
      <c r="H77" t="s">
        <v>112</v>
      </c>
      <c r="I77" t="s">
        <v>112</v>
      </c>
      <c r="J77" t="s">
        <v>112</v>
      </c>
      <c r="K77" t="s">
        <v>150</v>
      </c>
      <c r="L77" t="s">
        <v>151</v>
      </c>
      <c r="M77" t="s">
        <v>112</v>
      </c>
      <c r="N77" t="s">
        <v>112</v>
      </c>
      <c r="O77">
        <v>1</v>
      </c>
      <c r="Q77">
        <v>1</v>
      </c>
      <c r="R77">
        <v>33</v>
      </c>
      <c r="S77" t="s">
        <v>112</v>
      </c>
      <c r="T77" t="s">
        <v>152</v>
      </c>
      <c r="U77" t="s">
        <v>153</v>
      </c>
      <c r="V77" t="s">
        <v>154</v>
      </c>
      <c r="W77" t="s">
        <v>119</v>
      </c>
      <c r="X77" t="s">
        <v>112</v>
      </c>
      <c r="Y77" t="s">
        <v>112</v>
      </c>
      <c r="Z77" t="s">
        <v>152</v>
      </c>
      <c r="AA77" t="s">
        <v>153</v>
      </c>
      <c r="AB77" t="s">
        <v>154</v>
      </c>
      <c r="AC77" t="s">
        <v>119</v>
      </c>
      <c r="AD77" t="s">
        <v>112</v>
      </c>
      <c r="AE77" t="s">
        <v>121</v>
      </c>
      <c r="AF77" t="s">
        <v>122</v>
      </c>
      <c r="AG77">
        <v>4773392.41</v>
      </c>
      <c r="AH77" t="s">
        <v>112</v>
      </c>
      <c r="AI77" t="s">
        <v>152</v>
      </c>
      <c r="AJ77" t="s">
        <v>153</v>
      </c>
      <c r="AK77" t="s">
        <v>154</v>
      </c>
      <c r="AL77" t="s">
        <v>119</v>
      </c>
      <c r="AM77" t="s">
        <v>112</v>
      </c>
      <c r="AN77" t="s">
        <v>121</v>
      </c>
      <c r="AO77" t="s">
        <v>122</v>
      </c>
      <c r="AP77" t="s">
        <v>122</v>
      </c>
      <c r="AQ77" t="s">
        <v>124</v>
      </c>
      <c r="AR77" t="s">
        <v>125</v>
      </c>
      <c r="AS77">
        <v>2</v>
      </c>
      <c r="AT77" t="s">
        <v>126</v>
      </c>
      <c r="AU77" t="s">
        <v>155</v>
      </c>
      <c r="AV77" t="s">
        <v>156</v>
      </c>
      <c r="AX77" t="s">
        <v>129</v>
      </c>
      <c r="AY77">
        <v>44544.55</v>
      </c>
      <c r="BB77">
        <v>98.350399999999993</v>
      </c>
      <c r="BC77" t="s">
        <v>112</v>
      </c>
      <c r="BD77" t="s">
        <v>112</v>
      </c>
      <c r="BE77" t="s">
        <v>157</v>
      </c>
      <c r="BF77" t="s">
        <v>133</v>
      </c>
      <c r="BG77" t="s">
        <v>134</v>
      </c>
      <c r="BH77" t="s">
        <v>112</v>
      </c>
      <c r="BI77" t="s">
        <v>112</v>
      </c>
      <c r="BJ77" t="s">
        <v>112</v>
      </c>
      <c r="BK77" t="s">
        <v>158</v>
      </c>
      <c r="BL77" t="s">
        <v>159</v>
      </c>
      <c r="BM77" t="s">
        <v>212</v>
      </c>
      <c r="BN77" t="s">
        <v>161</v>
      </c>
      <c r="BP77" t="s">
        <v>205</v>
      </c>
      <c r="BR77" t="s">
        <v>150</v>
      </c>
      <c r="BS77">
        <v>33</v>
      </c>
      <c r="BT77">
        <v>0</v>
      </c>
      <c r="BU77">
        <v>0</v>
      </c>
      <c r="BW77">
        <v>0</v>
      </c>
      <c r="BY77" t="s">
        <v>106</v>
      </c>
      <c r="BZ77" t="s">
        <v>142</v>
      </c>
      <c r="CA77" t="s">
        <v>112</v>
      </c>
      <c r="CB77" t="s">
        <v>112</v>
      </c>
      <c r="CC77" t="s">
        <v>121</v>
      </c>
      <c r="CD77">
        <v>16745.23</v>
      </c>
      <c r="CE77" t="s">
        <v>144</v>
      </c>
      <c r="CF77">
        <v>4000000</v>
      </c>
      <c r="CG77">
        <v>16745.23</v>
      </c>
      <c r="CH77">
        <v>0</v>
      </c>
      <c r="CI77" t="s">
        <v>112</v>
      </c>
      <c r="CJ77" t="s">
        <v>112</v>
      </c>
      <c r="CK77">
        <v>44544.55</v>
      </c>
      <c r="CM77">
        <v>0</v>
      </c>
      <c r="CN77">
        <v>1</v>
      </c>
      <c r="CO77">
        <v>4773392.41</v>
      </c>
      <c r="CP77">
        <v>51207.1</v>
      </c>
      <c r="CQ77" t="s">
        <v>145</v>
      </c>
      <c r="CR77">
        <v>51240.4038</v>
      </c>
      <c r="CS77">
        <v>3.06</v>
      </c>
      <c r="CT77">
        <v>45</v>
      </c>
      <c r="CV77" t="s">
        <v>233</v>
      </c>
      <c r="CW77">
        <v>236</v>
      </c>
    </row>
    <row r="78" spans="1:101" x14ac:dyDescent="0.2">
      <c r="A78" t="s">
        <v>106</v>
      </c>
      <c r="B78" s="46">
        <v>45037</v>
      </c>
      <c r="C78" t="s">
        <v>1790</v>
      </c>
      <c r="D78" t="s">
        <v>108</v>
      </c>
      <c r="E78" t="s">
        <v>1791</v>
      </c>
      <c r="F78" t="s">
        <v>110</v>
      </c>
      <c r="G78" t="s">
        <v>111</v>
      </c>
      <c r="H78" t="s">
        <v>112</v>
      </c>
      <c r="I78" t="s">
        <v>112</v>
      </c>
      <c r="J78" t="s">
        <v>112</v>
      </c>
      <c r="K78" t="s">
        <v>150</v>
      </c>
      <c r="L78" t="s">
        <v>151</v>
      </c>
      <c r="M78" t="s">
        <v>112</v>
      </c>
      <c r="N78" t="s">
        <v>112</v>
      </c>
      <c r="O78">
        <v>1</v>
      </c>
      <c r="Q78">
        <v>1</v>
      </c>
      <c r="R78">
        <v>33</v>
      </c>
      <c r="S78" t="s">
        <v>112</v>
      </c>
      <c r="T78" t="s">
        <v>152</v>
      </c>
      <c r="U78" t="s">
        <v>153</v>
      </c>
      <c r="V78" t="s">
        <v>154</v>
      </c>
      <c r="W78" t="s">
        <v>119</v>
      </c>
      <c r="X78" t="s">
        <v>112</v>
      </c>
      <c r="Y78" t="s">
        <v>112</v>
      </c>
      <c r="Z78" t="s">
        <v>152</v>
      </c>
      <c r="AA78" t="s">
        <v>153</v>
      </c>
      <c r="AB78" t="s">
        <v>154</v>
      </c>
      <c r="AC78" t="s">
        <v>119</v>
      </c>
      <c r="AD78" t="s">
        <v>112</v>
      </c>
      <c r="AE78" t="s">
        <v>121</v>
      </c>
      <c r="AF78" t="s">
        <v>122</v>
      </c>
      <c r="AG78">
        <v>4682364.2</v>
      </c>
      <c r="AH78" t="s">
        <v>112</v>
      </c>
      <c r="AI78" t="s">
        <v>152</v>
      </c>
      <c r="AJ78" t="s">
        <v>153</v>
      </c>
      <c r="AK78" t="s">
        <v>154</v>
      </c>
      <c r="AL78" t="s">
        <v>119</v>
      </c>
      <c r="AM78" t="s">
        <v>112</v>
      </c>
      <c r="AN78" t="s">
        <v>121</v>
      </c>
      <c r="AO78" t="s">
        <v>122</v>
      </c>
      <c r="AP78" t="s">
        <v>122</v>
      </c>
      <c r="AQ78" t="s">
        <v>124</v>
      </c>
      <c r="AR78" t="s">
        <v>125</v>
      </c>
      <c r="AS78">
        <v>2</v>
      </c>
      <c r="AT78" t="s">
        <v>126</v>
      </c>
      <c r="AU78" t="s">
        <v>155</v>
      </c>
      <c r="AV78" t="s">
        <v>156</v>
      </c>
      <c r="AX78" t="s">
        <v>129</v>
      </c>
      <c r="AY78">
        <v>43089</v>
      </c>
      <c r="BB78">
        <v>98.350399999999993</v>
      </c>
      <c r="BC78" t="s">
        <v>112</v>
      </c>
      <c r="BD78" t="s">
        <v>112</v>
      </c>
      <c r="BE78" t="s">
        <v>157</v>
      </c>
      <c r="BF78" t="s">
        <v>133</v>
      </c>
      <c r="BG78" t="s">
        <v>134</v>
      </c>
      <c r="BH78" t="s">
        <v>112</v>
      </c>
      <c r="BI78" t="s">
        <v>112</v>
      </c>
      <c r="BJ78" t="s">
        <v>112</v>
      </c>
      <c r="BK78" t="s">
        <v>158</v>
      </c>
      <c r="BL78" t="s">
        <v>159</v>
      </c>
      <c r="BM78" t="s">
        <v>212</v>
      </c>
      <c r="BN78" t="s">
        <v>161</v>
      </c>
      <c r="BP78" t="s">
        <v>205</v>
      </c>
      <c r="BR78" t="s">
        <v>150</v>
      </c>
      <c r="BS78">
        <v>33</v>
      </c>
      <c r="BT78">
        <v>0</v>
      </c>
      <c r="BU78">
        <v>0</v>
      </c>
      <c r="BW78">
        <v>0</v>
      </c>
      <c r="BY78" t="s">
        <v>106</v>
      </c>
      <c r="BZ78" t="s">
        <v>142</v>
      </c>
      <c r="CA78" t="s">
        <v>112</v>
      </c>
      <c r="CB78" t="s">
        <v>112</v>
      </c>
      <c r="CC78" t="s">
        <v>121</v>
      </c>
      <c r="CD78">
        <v>17137.22</v>
      </c>
      <c r="CE78" t="s">
        <v>144</v>
      </c>
      <c r="CF78">
        <v>4000000</v>
      </c>
      <c r="CG78">
        <v>17137.22</v>
      </c>
      <c r="CH78">
        <v>0</v>
      </c>
      <c r="CI78" t="s">
        <v>112</v>
      </c>
      <c r="CJ78" t="s">
        <v>112</v>
      </c>
      <c r="CK78">
        <v>43089</v>
      </c>
      <c r="CM78">
        <v>0</v>
      </c>
      <c r="CN78">
        <v>1</v>
      </c>
      <c r="CO78">
        <v>4682364.2</v>
      </c>
      <c r="CP78">
        <v>50230.58</v>
      </c>
      <c r="CQ78" t="s">
        <v>145</v>
      </c>
      <c r="CR78">
        <v>50212.054600000003</v>
      </c>
      <c r="CS78">
        <v>2.93</v>
      </c>
      <c r="CT78">
        <v>45</v>
      </c>
      <c r="CV78" t="s">
        <v>206</v>
      </c>
      <c r="CW78">
        <v>340</v>
      </c>
    </row>
    <row r="79" spans="1:101" x14ac:dyDescent="0.2">
      <c r="A79" t="s">
        <v>106</v>
      </c>
      <c r="B79" s="46">
        <v>45203</v>
      </c>
      <c r="C79" t="s">
        <v>1872</v>
      </c>
      <c r="D79" t="s">
        <v>108</v>
      </c>
      <c r="E79" t="s">
        <v>1873</v>
      </c>
      <c r="F79" t="s">
        <v>110</v>
      </c>
      <c r="G79" t="s">
        <v>111</v>
      </c>
      <c r="H79" t="s">
        <v>112</v>
      </c>
      <c r="I79" t="s">
        <v>112</v>
      </c>
      <c r="J79" t="s">
        <v>112</v>
      </c>
      <c r="K79" t="s">
        <v>150</v>
      </c>
      <c r="L79" t="s">
        <v>151</v>
      </c>
      <c r="M79" t="s">
        <v>112</v>
      </c>
      <c r="N79" t="s">
        <v>112</v>
      </c>
      <c r="O79">
        <v>1</v>
      </c>
      <c r="Q79">
        <v>1</v>
      </c>
      <c r="R79">
        <v>33</v>
      </c>
      <c r="S79" t="s">
        <v>112</v>
      </c>
      <c r="T79" t="s">
        <v>152</v>
      </c>
      <c r="U79" t="s">
        <v>153</v>
      </c>
      <c r="V79" t="s">
        <v>154</v>
      </c>
      <c r="W79" t="s">
        <v>119</v>
      </c>
      <c r="X79" t="s">
        <v>112</v>
      </c>
      <c r="Y79" t="s">
        <v>112</v>
      </c>
      <c r="Z79" t="s">
        <v>152</v>
      </c>
      <c r="AA79" t="s">
        <v>153</v>
      </c>
      <c r="AB79" t="s">
        <v>154</v>
      </c>
      <c r="AC79" t="s">
        <v>119</v>
      </c>
      <c r="AD79" t="s">
        <v>112</v>
      </c>
      <c r="AE79" t="s">
        <v>121</v>
      </c>
      <c r="AF79" t="s">
        <v>122</v>
      </c>
      <c r="AG79">
        <v>4667556.5599999996</v>
      </c>
      <c r="AH79" t="s">
        <v>112</v>
      </c>
      <c r="AI79" t="s">
        <v>152</v>
      </c>
      <c r="AJ79" t="s">
        <v>153</v>
      </c>
      <c r="AK79" t="s">
        <v>154</v>
      </c>
      <c r="AL79" t="s">
        <v>119</v>
      </c>
      <c r="AM79" t="s">
        <v>112</v>
      </c>
      <c r="AN79" t="s">
        <v>121</v>
      </c>
      <c r="AO79" t="s">
        <v>122</v>
      </c>
      <c r="AP79" t="s">
        <v>122</v>
      </c>
      <c r="AQ79" t="s">
        <v>124</v>
      </c>
      <c r="AR79" t="s">
        <v>125</v>
      </c>
      <c r="AS79">
        <v>2</v>
      </c>
      <c r="AT79" t="s">
        <v>126</v>
      </c>
      <c r="AU79" t="s">
        <v>155</v>
      </c>
      <c r="AV79" t="s">
        <v>156</v>
      </c>
      <c r="AX79" t="s">
        <v>129</v>
      </c>
      <c r="AY79">
        <v>43468.44</v>
      </c>
      <c r="BB79">
        <v>98.350399999999993</v>
      </c>
      <c r="BC79" t="s">
        <v>112</v>
      </c>
      <c r="BD79" t="s">
        <v>112</v>
      </c>
      <c r="BE79" t="s">
        <v>157</v>
      </c>
      <c r="BF79" t="s">
        <v>133</v>
      </c>
      <c r="BG79" t="s">
        <v>134</v>
      </c>
      <c r="BH79" t="s">
        <v>112</v>
      </c>
      <c r="BI79" t="s">
        <v>112</v>
      </c>
      <c r="BJ79" t="s">
        <v>112</v>
      </c>
      <c r="BK79" t="s">
        <v>158</v>
      </c>
      <c r="BL79" t="s">
        <v>159</v>
      </c>
      <c r="BM79" t="s">
        <v>212</v>
      </c>
      <c r="BN79" t="s">
        <v>161</v>
      </c>
      <c r="BP79" t="s">
        <v>205</v>
      </c>
      <c r="BR79" t="s">
        <v>150</v>
      </c>
      <c r="BS79">
        <v>33</v>
      </c>
      <c r="BT79">
        <v>0</v>
      </c>
      <c r="BU79">
        <v>0</v>
      </c>
      <c r="BW79">
        <v>0</v>
      </c>
      <c r="BY79" t="s">
        <v>106</v>
      </c>
      <c r="BZ79" t="s">
        <v>142</v>
      </c>
      <c r="CA79" t="s">
        <v>112</v>
      </c>
      <c r="CB79" t="s">
        <v>112</v>
      </c>
      <c r="CC79" t="s">
        <v>121</v>
      </c>
      <c r="CD79">
        <v>17087</v>
      </c>
      <c r="CE79" t="s">
        <v>144</v>
      </c>
      <c r="CF79">
        <v>4000000</v>
      </c>
      <c r="CG79">
        <v>17087</v>
      </c>
      <c r="CH79">
        <v>0</v>
      </c>
      <c r="CI79" t="s">
        <v>112</v>
      </c>
      <c r="CJ79" t="s">
        <v>112</v>
      </c>
      <c r="CK79">
        <v>43468.44</v>
      </c>
      <c r="CM79">
        <v>0</v>
      </c>
      <c r="CN79">
        <v>1</v>
      </c>
      <c r="CO79">
        <v>4667556.5599999996</v>
      </c>
      <c r="CP79">
        <v>50071.73</v>
      </c>
      <c r="CQ79" t="s">
        <v>145</v>
      </c>
      <c r="CR79">
        <v>50064.91</v>
      </c>
      <c r="CS79">
        <v>2.93</v>
      </c>
      <c r="CT79">
        <v>45</v>
      </c>
      <c r="CV79" t="s">
        <v>729</v>
      </c>
      <c r="CW79">
        <v>146</v>
      </c>
    </row>
    <row r="80" spans="1:101" x14ac:dyDescent="0.2">
      <c r="A80" t="s">
        <v>106</v>
      </c>
      <c r="B80" s="46">
        <v>45258</v>
      </c>
      <c r="C80" t="s">
        <v>1848</v>
      </c>
      <c r="D80" t="s">
        <v>108</v>
      </c>
      <c r="E80" t="s">
        <v>1849</v>
      </c>
      <c r="F80" t="s">
        <v>110</v>
      </c>
      <c r="G80" t="s">
        <v>111</v>
      </c>
      <c r="H80" t="s">
        <v>112</v>
      </c>
      <c r="I80" t="s">
        <v>112</v>
      </c>
      <c r="J80" t="s">
        <v>112</v>
      </c>
      <c r="K80" t="s">
        <v>150</v>
      </c>
      <c r="L80" t="s">
        <v>151</v>
      </c>
      <c r="M80" t="s">
        <v>112</v>
      </c>
      <c r="N80" t="s">
        <v>112</v>
      </c>
      <c r="O80">
        <v>1</v>
      </c>
      <c r="Q80">
        <v>1</v>
      </c>
      <c r="R80">
        <v>33</v>
      </c>
      <c r="S80" t="s">
        <v>112</v>
      </c>
      <c r="T80" t="s">
        <v>152</v>
      </c>
      <c r="U80" t="s">
        <v>153</v>
      </c>
      <c r="V80" t="s">
        <v>154</v>
      </c>
      <c r="W80" t="s">
        <v>119</v>
      </c>
      <c r="X80" t="s">
        <v>112</v>
      </c>
      <c r="Y80" t="s">
        <v>112</v>
      </c>
      <c r="Z80" t="s">
        <v>152</v>
      </c>
      <c r="AA80" t="s">
        <v>153</v>
      </c>
      <c r="AB80" t="s">
        <v>154</v>
      </c>
      <c r="AC80" t="s">
        <v>119</v>
      </c>
      <c r="AD80" t="s">
        <v>112</v>
      </c>
      <c r="AE80" t="s">
        <v>121</v>
      </c>
      <c r="AF80" t="s">
        <v>122</v>
      </c>
      <c r="AG80">
        <v>4689268.3899999997</v>
      </c>
      <c r="AH80" t="s">
        <v>112</v>
      </c>
      <c r="AI80" t="s">
        <v>152</v>
      </c>
      <c r="AJ80" t="s">
        <v>153</v>
      </c>
      <c r="AK80" t="s">
        <v>154</v>
      </c>
      <c r="AL80" t="s">
        <v>119</v>
      </c>
      <c r="AM80" t="s">
        <v>112</v>
      </c>
      <c r="AN80" t="s">
        <v>121</v>
      </c>
      <c r="AO80" t="s">
        <v>122</v>
      </c>
      <c r="AP80" t="s">
        <v>122</v>
      </c>
      <c r="AQ80" t="s">
        <v>124</v>
      </c>
      <c r="AR80" t="s">
        <v>125</v>
      </c>
      <c r="AS80">
        <v>2</v>
      </c>
      <c r="AT80" t="s">
        <v>126</v>
      </c>
      <c r="AU80" t="s">
        <v>155</v>
      </c>
      <c r="AV80" t="s">
        <v>156</v>
      </c>
      <c r="AX80" t="s">
        <v>129</v>
      </c>
      <c r="AY80">
        <v>43159.199999999997</v>
      </c>
      <c r="BB80">
        <v>98.350399999999993</v>
      </c>
      <c r="BC80" t="s">
        <v>112</v>
      </c>
      <c r="BD80" t="s">
        <v>112</v>
      </c>
      <c r="BE80" t="s">
        <v>157</v>
      </c>
      <c r="BF80" t="s">
        <v>133</v>
      </c>
      <c r="BG80" t="s">
        <v>167</v>
      </c>
      <c r="BH80" t="s">
        <v>112</v>
      </c>
      <c r="BI80" t="s">
        <v>112</v>
      </c>
      <c r="BJ80" t="s">
        <v>112</v>
      </c>
      <c r="BK80" t="s">
        <v>158</v>
      </c>
      <c r="BL80" t="s">
        <v>159</v>
      </c>
      <c r="BM80" t="s">
        <v>160</v>
      </c>
      <c r="BN80" t="s">
        <v>161</v>
      </c>
      <c r="BP80" t="s">
        <v>466</v>
      </c>
      <c r="BR80" t="s">
        <v>150</v>
      </c>
      <c r="BS80">
        <v>33</v>
      </c>
      <c r="BT80">
        <v>0</v>
      </c>
      <c r="BU80">
        <v>0</v>
      </c>
      <c r="BW80">
        <v>0</v>
      </c>
      <c r="BY80" t="s">
        <v>106</v>
      </c>
      <c r="BZ80" t="s">
        <v>142</v>
      </c>
      <c r="CA80" t="s">
        <v>112</v>
      </c>
      <c r="CB80" t="s">
        <v>112</v>
      </c>
      <c r="CC80" t="s">
        <v>121</v>
      </c>
      <c r="CD80">
        <v>15554.88</v>
      </c>
      <c r="CE80" t="s">
        <v>144</v>
      </c>
      <c r="CF80">
        <v>4000000</v>
      </c>
      <c r="CG80">
        <v>15306.48</v>
      </c>
      <c r="CH80">
        <v>0</v>
      </c>
      <c r="CI80" t="s">
        <v>112</v>
      </c>
      <c r="CJ80" t="s">
        <v>112</v>
      </c>
      <c r="CK80">
        <v>43159.199999999997</v>
      </c>
      <c r="CM80">
        <v>0</v>
      </c>
      <c r="CN80">
        <v>1</v>
      </c>
      <c r="CO80">
        <v>4689268.3899999997</v>
      </c>
      <c r="CP80">
        <v>50304.65</v>
      </c>
      <c r="CQ80" t="s">
        <v>145</v>
      </c>
      <c r="CR80">
        <v>50358.319199999998</v>
      </c>
      <c r="CS80">
        <v>3.29</v>
      </c>
      <c r="CT80">
        <v>45</v>
      </c>
      <c r="CV80" t="s">
        <v>729</v>
      </c>
      <c r="CW80">
        <v>89</v>
      </c>
    </row>
    <row r="81" spans="1:101" x14ac:dyDescent="0.2">
      <c r="A81" t="s">
        <v>106</v>
      </c>
      <c r="B81" s="46">
        <v>45146</v>
      </c>
      <c r="C81" t="s">
        <v>1780</v>
      </c>
      <c r="D81" t="s">
        <v>108</v>
      </c>
      <c r="E81" t="s">
        <v>1781</v>
      </c>
      <c r="F81" t="s">
        <v>110</v>
      </c>
      <c r="G81" t="s">
        <v>111</v>
      </c>
      <c r="H81" t="s">
        <v>112</v>
      </c>
      <c r="I81" t="s">
        <v>112</v>
      </c>
      <c r="J81" t="s">
        <v>112</v>
      </c>
      <c r="K81" t="s">
        <v>150</v>
      </c>
      <c r="L81" t="s">
        <v>151</v>
      </c>
      <c r="M81" t="s">
        <v>112</v>
      </c>
      <c r="N81" t="s">
        <v>112</v>
      </c>
      <c r="O81">
        <v>1</v>
      </c>
      <c r="Q81">
        <v>1</v>
      </c>
      <c r="R81">
        <v>33</v>
      </c>
      <c r="S81" t="s">
        <v>112</v>
      </c>
      <c r="T81" t="s">
        <v>152</v>
      </c>
      <c r="U81" t="s">
        <v>153</v>
      </c>
      <c r="V81" t="s">
        <v>154</v>
      </c>
      <c r="W81" t="s">
        <v>119</v>
      </c>
      <c r="X81" t="s">
        <v>112</v>
      </c>
      <c r="Y81" t="s">
        <v>112</v>
      </c>
      <c r="Z81" t="s">
        <v>152</v>
      </c>
      <c r="AA81" t="s">
        <v>153</v>
      </c>
      <c r="AB81" t="s">
        <v>154</v>
      </c>
      <c r="AC81" t="s">
        <v>119</v>
      </c>
      <c r="AD81" t="s">
        <v>112</v>
      </c>
      <c r="AE81" t="s">
        <v>121</v>
      </c>
      <c r="AF81" t="s">
        <v>122</v>
      </c>
      <c r="AG81">
        <v>4702254.58</v>
      </c>
      <c r="AH81" t="s">
        <v>112</v>
      </c>
      <c r="AI81" t="s">
        <v>152</v>
      </c>
      <c r="AJ81" t="s">
        <v>153</v>
      </c>
      <c r="AK81" t="s">
        <v>154</v>
      </c>
      <c r="AL81" t="s">
        <v>119</v>
      </c>
      <c r="AM81" t="s">
        <v>112</v>
      </c>
      <c r="AN81" t="s">
        <v>121</v>
      </c>
      <c r="AO81" t="s">
        <v>122</v>
      </c>
      <c r="AP81" t="s">
        <v>122</v>
      </c>
      <c r="AQ81" t="s">
        <v>124</v>
      </c>
      <c r="AR81" t="s">
        <v>125</v>
      </c>
      <c r="AS81">
        <v>2</v>
      </c>
      <c r="AT81" t="s">
        <v>126</v>
      </c>
      <c r="AU81" t="s">
        <v>155</v>
      </c>
      <c r="AV81" t="s">
        <v>156</v>
      </c>
      <c r="AX81" t="s">
        <v>129</v>
      </c>
      <c r="AY81">
        <v>43821.24</v>
      </c>
      <c r="BB81">
        <v>98.350399999999993</v>
      </c>
      <c r="BC81" t="s">
        <v>112</v>
      </c>
      <c r="BD81" t="s">
        <v>112</v>
      </c>
      <c r="BE81" t="s">
        <v>157</v>
      </c>
      <c r="BF81" t="s">
        <v>133</v>
      </c>
      <c r="BG81" t="s">
        <v>167</v>
      </c>
      <c r="BH81" t="s">
        <v>112</v>
      </c>
      <c r="BI81" t="s">
        <v>112</v>
      </c>
      <c r="BJ81" t="s">
        <v>112</v>
      </c>
      <c r="BK81" t="s">
        <v>158</v>
      </c>
      <c r="BL81" t="s">
        <v>159</v>
      </c>
      <c r="BM81" t="s">
        <v>160</v>
      </c>
      <c r="BN81" t="s">
        <v>161</v>
      </c>
      <c r="BP81" t="s">
        <v>162</v>
      </c>
      <c r="BR81" t="s">
        <v>150</v>
      </c>
      <c r="BS81">
        <v>33</v>
      </c>
      <c r="BT81">
        <v>0</v>
      </c>
      <c r="BU81">
        <v>0</v>
      </c>
      <c r="BW81">
        <v>0</v>
      </c>
      <c r="BY81" t="s">
        <v>106</v>
      </c>
      <c r="BZ81" t="s">
        <v>142</v>
      </c>
      <c r="CA81" t="s">
        <v>112</v>
      </c>
      <c r="CB81" t="s">
        <v>112</v>
      </c>
      <c r="CC81" t="s">
        <v>121</v>
      </c>
      <c r="CD81">
        <v>16027.11</v>
      </c>
      <c r="CE81" t="s">
        <v>144</v>
      </c>
      <c r="CF81">
        <v>4000000</v>
      </c>
      <c r="CG81">
        <v>15937.11</v>
      </c>
      <c r="CH81">
        <v>0</v>
      </c>
      <c r="CI81" t="s">
        <v>112</v>
      </c>
      <c r="CJ81" t="s">
        <v>112</v>
      </c>
      <c r="CK81">
        <v>43821.24</v>
      </c>
      <c r="CM81">
        <v>0</v>
      </c>
      <c r="CN81">
        <v>1</v>
      </c>
      <c r="CO81">
        <v>4702254.58</v>
      </c>
      <c r="CP81">
        <v>50443.96</v>
      </c>
      <c r="CQ81" t="s">
        <v>145</v>
      </c>
      <c r="CR81">
        <v>50520.638700000003</v>
      </c>
      <c r="CS81">
        <v>3.17</v>
      </c>
      <c r="CT81">
        <v>45</v>
      </c>
      <c r="CV81" t="s">
        <v>1140</v>
      </c>
      <c r="CW81">
        <v>134</v>
      </c>
    </row>
    <row r="82" spans="1:101" x14ac:dyDescent="0.2">
      <c r="A82" t="s">
        <v>106</v>
      </c>
      <c r="B82" s="46">
        <v>45162</v>
      </c>
      <c r="C82" t="s">
        <v>1806</v>
      </c>
      <c r="D82" t="s">
        <v>108</v>
      </c>
      <c r="E82" t="s">
        <v>1807</v>
      </c>
      <c r="F82" t="s">
        <v>110</v>
      </c>
      <c r="G82" t="s">
        <v>111</v>
      </c>
      <c r="H82" t="s">
        <v>112</v>
      </c>
      <c r="I82" t="s">
        <v>112</v>
      </c>
      <c r="J82" t="s">
        <v>112</v>
      </c>
      <c r="K82" t="s">
        <v>150</v>
      </c>
      <c r="L82" t="s">
        <v>151</v>
      </c>
      <c r="M82" t="s">
        <v>112</v>
      </c>
      <c r="N82" t="s">
        <v>112</v>
      </c>
      <c r="O82">
        <v>1</v>
      </c>
      <c r="Q82">
        <v>1</v>
      </c>
      <c r="R82">
        <v>33</v>
      </c>
      <c r="S82" t="s">
        <v>112</v>
      </c>
      <c r="T82" t="s">
        <v>152</v>
      </c>
      <c r="U82" t="s">
        <v>153</v>
      </c>
      <c r="V82" t="s">
        <v>154</v>
      </c>
      <c r="W82" t="s">
        <v>119</v>
      </c>
      <c r="X82" t="s">
        <v>112</v>
      </c>
      <c r="Y82" t="s">
        <v>112</v>
      </c>
      <c r="Z82" t="s">
        <v>152</v>
      </c>
      <c r="AA82" t="s">
        <v>153</v>
      </c>
      <c r="AB82" t="s">
        <v>154</v>
      </c>
      <c r="AC82" t="s">
        <v>119</v>
      </c>
      <c r="AD82" t="s">
        <v>112</v>
      </c>
      <c r="AE82" t="s">
        <v>121</v>
      </c>
      <c r="AF82" t="s">
        <v>122</v>
      </c>
      <c r="AG82">
        <v>5029423.09</v>
      </c>
      <c r="AH82" t="s">
        <v>112</v>
      </c>
      <c r="AI82" t="s">
        <v>152</v>
      </c>
      <c r="AJ82" t="s">
        <v>153</v>
      </c>
      <c r="AK82" t="s">
        <v>154</v>
      </c>
      <c r="AL82" t="s">
        <v>119</v>
      </c>
      <c r="AM82" t="s">
        <v>112</v>
      </c>
      <c r="AN82" t="s">
        <v>121</v>
      </c>
      <c r="AO82" t="s">
        <v>122</v>
      </c>
      <c r="AP82" t="s">
        <v>122</v>
      </c>
      <c r="AQ82" t="s">
        <v>124</v>
      </c>
      <c r="AR82" t="s">
        <v>125</v>
      </c>
      <c r="AS82">
        <v>2</v>
      </c>
      <c r="AT82" t="s">
        <v>126</v>
      </c>
      <c r="AU82" t="s">
        <v>155</v>
      </c>
      <c r="AV82" t="s">
        <v>156</v>
      </c>
      <c r="AX82" t="s">
        <v>129</v>
      </c>
      <c r="AY82">
        <v>47147.8</v>
      </c>
      <c r="BB82">
        <v>98.350399999999993</v>
      </c>
      <c r="BC82" t="s">
        <v>112</v>
      </c>
      <c r="BD82" t="s">
        <v>112</v>
      </c>
      <c r="BE82" t="s">
        <v>157</v>
      </c>
      <c r="BF82" t="s">
        <v>133</v>
      </c>
      <c r="BG82" t="s">
        <v>167</v>
      </c>
      <c r="BH82" t="s">
        <v>112</v>
      </c>
      <c r="BI82" t="s">
        <v>112</v>
      </c>
      <c r="BJ82" t="s">
        <v>112</v>
      </c>
      <c r="BK82" t="s">
        <v>158</v>
      </c>
      <c r="BL82" t="s">
        <v>159</v>
      </c>
      <c r="BM82" t="s">
        <v>160</v>
      </c>
      <c r="BN82" t="s">
        <v>161</v>
      </c>
      <c r="BP82" t="s">
        <v>205</v>
      </c>
      <c r="BR82" t="s">
        <v>150</v>
      </c>
      <c r="BS82">
        <v>33</v>
      </c>
      <c r="BT82">
        <v>0</v>
      </c>
      <c r="BU82">
        <v>0</v>
      </c>
      <c r="BW82">
        <v>0</v>
      </c>
      <c r="BY82" t="s">
        <v>106</v>
      </c>
      <c r="BZ82" t="s">
        <v>142</v>
      </c>
      <c r="CA82" t="s">
        <v>112</v>
      </c>
      <c r="CB82" t="s">
        <v>112</v>
      </c>
      <c r="CC82" t="s">
        <v>121</v>
      </c>
      <c r="CD82">
        <v>16525.080000000002</v>
      </c>
      <c r="CE82" t="s">
        <v>144</v>
      </c>
      <c r="CF82">
        <v>4000000</v>
      </c>
      <c r="CG82">
        <v>16525.080000000002</v>
      </c>
      <c r="CH82">
        <v>0</v>
      </c>
      <c r="CI82" t="s">
        <v>112</v>
      </c>
      <c r="CJ82" t="s">
        <v>112</v>
      </c>
      <c r="CK82">
        <v>47147.8</v>
      </c>
      <c r="CM82">
        <v>0</v>
      </c>
      <c r="CN82">
        <v>1</v>
      </c>
      <c r="CO82">
        <v>5029423.09</v>
      </c>
      <c r="CP82">
        <v>53953.69</v>
      </c>
      <c r="CQ82" t="s">
        <v>145</v>
      </c>
      <c r="CR82">
        <v>53871.760800000004</v>
      </c>
      <c r="CS82">
        <v>3.26</v>
      </c>
      <c r="CT82">
        <v>45</v>
      </c>
      <c r="CV82" t="s">
        <v>206</v>
      </c>
      <c r="CW82">
        <v>134</v>
      </c>
    </row>
    <row r="83" spans="1:101" x14ac:dyDescent="0.2">
      <c r="A83" t="s">
        <v>106</v>
      </c>
      <c r="B83" s="46">
        <v>45225</v>
      </c>
      <c r="C83" t="s">
        <v>1830</v>
      </c>
      <c r="D83" t="s">
        <v>108</v>
      </c>
      <c r="E83" t="s">
        <v>1831</v>
      </c>
      <c r="F83" t="s">
        <v>110</v>
      </c>
      <c r="G83" t="s">
        <v>111</v>
      </c>
      <c r="H83" t="s">
        <v>112</v>
      </c>
      <c r="I83" t="s">
        <v>112</v>
      </c>
      <c r="J83" t="s">
        <v>112</v>
      </c>
      <c r="K83" t="s">
        <v>150</v>
      </c>
      <c r="L83" t="s">
        <v>151</v>
      </c>
      <c r="M83" t="s">
        <v>112</v>
      </c>
      <c r="N83" t="s">
        <v>112</v>
      </c>
      <c r="Q83">
        <v>1</v>
      </c>
      <c r="R83">
        <v>33</v>
      </c>
      <c r="S83" t="s">
        <v>166</v>
      </c>
      <c r="T83" t="s">
        <v>152</v>
      </c>
      <c r="U83" t="s">
        <v>153</v>
      </c>
      <c r="V83" t="s">
        <v>154</v>
      </c>
      <c r="W83" t="s">
        <v>119</v>
      </c>
      <c r="X83" t="s">
        <v>112</v>
      </c>
      <c r="Y83" t="s">
        <v>166</v>
      </c>
      <c r="Z83" t="s">
        <v>152</v>
      </c>
      <c r="AA83" t="s">
        <v>153</v>
      </c>
      <c r="AB83" t="s">
        <v>154</v>
      </c>
      <c r="AC83" t="s">
        <v>119</v>
      </c>
      <c r="AD83" t="s">
        <v>112</v>
      </c>
      <c r="AE83" t="s">
        <v>121</v>
      </c>
      <c r="AF83" t="s">
        <v>122</v>
      </c>
      <c r="AG83">
        <v>4889413.6399999997</v>
      </c>
      <c r="AH83" t="s">
        <v>166</v>
      </c>
      <c r="AI83" t="s">
        <v>152</v>
      </c>
      <c r="AJ83" t="s">
        <v>153</v>
      </c>
      <c r="AK83" t="s">
        <v>154</v>
      </c>
      <c r="AL83" t="s">
        <v>119</v>
      </c>
      <c r="AM83" t="s">
        <v>112</v>
      </c>
      <c r="AN83" t="s">
        <v>121</v>
      </c>
      <c r="AO83" t="s">
        <v>122</v>
      </c>
      <c r="AP83" t="s">
        <v>122</v>
      </c>
      <c r="AQ83" t="s">
        <v>124</v>
      </c>
      <c r="AR83" t="s">
        <v>125</v>
      </c>
      <c r="AT83" t="s">
        <v>126</v>
      </c>
      <c r="AU83" t="s">
        <v>155</v>
      </c>
      <c r="AV83" t="s">
        <v>156</v>
      </c>
      <c r="AX83" t="s">
        <v>129</v>
      </c>
      <c r="AY83">
        <v>42601.440000000002</v>
      </c>
      <c r="BB83">
        <v>103.4765</v>
      </c>
      <c r="BC83" t="s">
        <v>112</v>
      </c>
      <c r="BD83" t="s">
        <v>112</v>
      </c>
      <c r="BE83" t="s">
        <v>112</v>
      </c>
      <c r="BF83" t="s">
        <v>133</v>
      </c>
      <c r="BG83" t="s">
        <v>167</v>
      </c>
      <c r="BH83" t="s">
        <v>112</v>
      </c>
      <c r="BI83" t="s">
        <v>112</v>
      </c>
      <c r="BJ83" t="s">
        <v>112</v>
      </c>
      <c r="BK83" t="s">
        <v>112</v>
      </c>
      <c r="BL83" t="s">
        <v>112</v>
      </c>
      <c r="BM83" t="s">
        <v>112</v>
      </c>
      <c r="BN83" t="s">
        <v>161</v>
      </c>
      <c r="BP83" t="s">
        <v>205</v>
      </c>
      <c r="BR83" t="s">
        <v>150</v>
      </c>
      <c r="BS83">
        <v>33</v>
      </c>
      <c r="BY83" t="s">
        <v>106</v>
      </c>
      <c r="BZ83" t="s">
        <v>142</v>
      </c>
      <c r="CA83" t="s">
        <v>112</v>
      </c>
      <c r="CB83" t="s">
        <v>112</v>
      </c>
      <c r="CC83" t="s">
        <v>121</v>
      </c>
      <c r="CD83">
        <v>16809.91</v>
      </c>
      <c r="CE83" t="s">
        <v>144</v>
      </c>
      <c r="CF83">
        <v>4000000</v>
      </c>
      <c r="CG83">
        <v>16791.91</v>
      </c>
      <c r="CI83" t="s">
        <v>112</v>
      </c>
      <c r="CJ83" t="s">
        <v>112</v>
      </c>
      <c r="CK83">
        <v>42601.440000000002</v>
      </c>
      <c r="CM83">
        <v>0</v>
      </c>
      <c r="CN83">
        <v>1</v>
      </c>
      <c r="CO83">
        <v>4889413.6399999997</v>
      </c>
      <c r="CP83">
        <v>51087.31</v>
      </c>
      <c r="CQ83" t="s">
        <v>145</v>
      </c>
      <c r="CR83">
        <v>51047.4064</v>
      </c>
      <c r="CS83">
        <v>3.04</v>
      </c>
      <c r="CW83">
        <v>547</v>
      </c>
    </row>
    <row r="84" spans="1:101" x14ac:dyDescent="0.2">
      <c r="A84" t="s">
        <v>106</v>
      </c>
      <c r="B84" s="46">
        <v>45282</v>
      </c>
      <c r="C84" t="s">
        <v>1828</v>
      </c>
      <c r="D84" t="s">
        <v>108</v>
      </c>
      <c r="E84" t="s">
        <v>1829</v>
      </c>
      <c r="F84" t="s">
        <v>110</v>
      </c>
      <c r="G84" t="s">
        <v>111</v>
      </c>
      <c r="H84" t="s">
        <v>112</v>
      </c>
      <c r="I84" t="s">
        <v>112</v>
      </c>
      <c r="J84" t="s">
        <v>112</v>
      </c>
      <c r="K84" t="s">
        <v>150</v>
      </c>
      <c r="L84" t="s">
        <v>151</v>
      </c>
      <c r="M84" t="s">
        <v>112</v>
      </c>
      <c r="N84" t="s">
        <v>112</v>
      </c>
      <c r="Q84">
        <v>1</v>
      </c>
      <c r="R84">
        <v>33</v>
      </c>
      <c r="S84" t="s">
        <v>166</v>
      </c>
      <c r="T84" t="s">
        <v>152</v>
      </c>
      <c r="U84" t="s">
        <v>153</v>
      </c>
      <c r="V84" t="s">
        <v>154</v>
      </c>
      <c r="W84" t="s">
        <v>119</v>
      </c>
      <c r="X84" t="s">
        <v>112</v>
      </c>
      <c r="Y84" t="s">
        <v>166</v>
      </c>
      <c r="Z84" t="s">
        <v>152</v>
      </c>
      <c r="AA84" t="s">
        <v>153</v>
      </c>
      <c r="AB84" t="s">
        <v>154</v>
      </c>
      <c r="AC84" t="s">
        <v>119</v>
      </c>
      <c r="AD84" t="s">
        <v>112</v>
      </c>
      <c r="AE84" t="s">
        <v>121</v>
      </c>
      <c r="AF84" t="s">
        <v>122</v>
      </c>
      <c r="AG84">
        <v>5054330.34</v>
      </c>
      <c r="AH84" t="s">
        <v>166</v>
      </c>
      <c r="AI84" t="s">
        <v>152</v>
      </c>
      <c r="AJ84" t="s">
        <v>153</v>
      </c>
      <c r="AK84" t="s">
        <v>154</v>
      </c>
      <c r="AL84" t="s">
        <v>119</v>
      </c>
      <c r="AM84" t="s">
        <v>112</v>
      </c>
      <c r="AN84" t="s">
        <v>121</v>
      </c>
      <c r="AO84" t="s">
        <v>122</v>
      </c>
      <c r="AP84" t="s">
        <v>122</v>
      </c>
      <c r="AQ84" t="s">
        <v>124</v>
      </c>
      <c r="AR84" t="s">
        <v>125</v>
      </c>
      <c r="AT84" t="s">
        <v>126</v>
      </c>
      <c r="AU84" t="s">
        <v>155</v>
      </c>
      <c r="AV84" t="s">
        <v>156</v>
      </c>
      <c r="AX84" t="s">
        <v>129</v>
      </c>
      <c r="AY84">
        <v>44195.199999999997</v>
      </c>
      <c r="BB84">
        <v>103.4765</v>
      </c>
      <c r="BC84" t="s">
        <v>112</v>
      </c>
      <c r="BD84" t="s">
        <v>112</v>
      </c>
      <c r="BE84" t="s">
        <v>112</v>
      </c>
      <c r="BF84" t="s">
        <v>133</v>
      </c>
      <c r="BG84" t="s">
        <v>167</v>
      </c>
      <c r="BH84" t="s">
        <v>112</v>
      </c>
      <c r="BI84" t="s">
        <v>112</v>
      </c>
      <c r="BJ84" t="s">
        <v>112</v>
      </c>
      <c r="BK84" t="s">
        <v>112</v>
      </c>
      <c r="BL84" t="s">
        <v>112</v>
      </c>
      <c r="BM84" t="s">
        <v>112</v>
      </c>
      <c r="BN84" t="s">
        <v>161</v>
      </c>
      <c r="BP84" t="s">
        <v>205</v>
      </c>
      <c r="BR84" t="s">
        <v>150</v>
      </c>
      <c r="BS84">
        <v>33</v>
      </c>
      <c r="BY84" t="s">
        <v>106</v>
      </c>
      <c r="BZ84" t="s">
        <v>142</v>
      </c>
      <c r="CA84" t="s">
        <v>112</v>
      </c>
      <c r="CB84" t="s">
        <v>112</v>
      </c>
      <c r="CC84" t="s">
        <v>121</v>
      </c>
      <c r="CD84">
        <v>16598.52</v>
      </c>
      <c r="CE84" t="s">
        <v>144</v>
      </c>
      <c r="CF84">
        <v>4000000</v>
      </c>
      <c r="CG84">
        <v>16533.72</v>
      </c>
      <c r="CI84" t="s">
        <v>112</v>
      </c>
      <c r="CJ84" t="s">
        <v>112</v>
      </c>
      <c r="CK84">
        <v>44195.199999999997</v>
      </c>
      <c r="CM84">
        <v>0</v>
      </c>
      <c r="CN84">
        <v>1</v>
      </c>
      <c r="CO84">
        <v>5054330.34</v>
      </c>
      <c r="CP84">
        <v>52810.46</v>
      </c>
      <c r="CQ84" t="s">
        <v>145</v>
      </c>
      <c r="CR84">
        <v>52742.566800000001</v>
      </c>
      <c r="CS84">
        <v>3.19</v>
      </c>
      <c r="CW84">
        <v>4</v>
      </c>
    </row>
    <row r="85" spans="1:101" x14ac:dyDescent="0.2">
      <c r="A85" t="s">
        <v>106</v>
      </c>
      <c r="B85" s="46">
        <v>44966</v>
      </c>
      <c r="C85" t="s">
        <v>1824</v>
      </c>
      <c r="D85" t="s">
        <v>108</v>
      </c>
      <c r="E85" t="s">
        <v>1825</v>
      </c>
      <c r="F85" t="s">
        <v>3244</v>
      </c>
      <c r="G85" t="s">
        <v>111</v>
      </c>
      <c r="H85" t="s">
        <v>112</v>
      </c>
      <c r="I85" t="s">
        <v>112</v>
      </c>
      <c r="J85" t="s">
        <v>112</v>
      </c>
      <c r="K85" t="s">
        <v>150</v>
      </c>
      <c r="L85" t="s">
        <v>151</v>
      </c>
      <c r="M85" t="s">
        <v>112</v>
      </c>
      <c r="N85" t="s">
        <v>112</v>
      </c>
      <c r="Q85">
        <v>1</v>
      </c>
      <c r="R85">
        <v>33</v>
      </c>
      <c r="S85" t="s">
        <v>166</v>
      </c>
      <c r="T85" t="s">
        <v>152</v>
      </c>
      <c r="U85" t="s">
        <v>153</v>
      </c>
      <c r="V85" t="s">
        <v>154</v>
      </c>
      <c r="W85" t="s">
        <v>119</v>
      </c>
      <c r="X85" t="s">
        <v>112</v>
      </c>
      <c r="Y85" t="s">
        <v>166</v>
      </c>
      <c r="Z85" t="s">
        <v>152</v>
      </c>
      <c r="AA85" t="s">
        <v>153</v>
      </c>
      <c r="AB85" t="s">
        <v>154</v>
      </c>
      <c r="AC85" t="s">
        <v>119</v>
      </c>
      <c r="AD85" t="s">
        <v>112</v>
      </c>
      <c r="AE85" t="s">
        <v>121</v>
      </c>
      <c r="AF85" t="s">
        <v>122</v>
      </c>
      <c r="AG85">
        <v>4570188.63</v>
      </c>
      <c r="AH85" t="s">
        <v>166</v>
      </c>
      <c r="AI85" t="s">
        <v>152</v>
      </c>
      <c r="AJ85" t="s">
        <v>153</v>
      </c>
      <c r="AK85" t="s">
        <v>154</v>
      </c>
      <c r="AL85" t="s">
        <v>119</v>
      </c>
      <c r="AM85" t="s">
        <v>112</v>
      </c>
      <c r="AN85" t="s">
        <v>121</v>
      </c>
      <c r="AO85" t="s">
        <v>122</v>
      </c>
      <c r="AP85" t="s">
        <v>122</v>
      </c>
      <c r="AQ85" t="s">
        <v>124</v>
      </c>
      <c r="AR85" t="s">
        <v>125</v>
      </c>
      <c r="AT85" t="s">
        <v>126</v>
      </c>
      <c r="AU85" t="s">
        <v>155</v>
      </c>
      <c r="AV85" t="s">
        <v>156</v>
      </c>
      <c r="AX85" t="s">
        <v>129</v>
      </c>
      <c r="AY85">
        <v>40036.44</v>
      </c>
      <c r="BB85">
        <v>103.4765</v>
      </c>
      <c r="BC85" t="s">
        <v>112</v>
      </c>
      <c r="BD85" t="s">
        <v>112</v>
      </c>
      <c r="BE85" t="s">
        <v>112</v>
      </c>
      <c r="BF85" t="s">
        <v>133</v>
      </c>
      <c r="BG85" t="s">
        <v>134</v>
      </c>
      <c r="BH85" t="s">
        <v>112</v>
      </c>
      <c r="BI85" t="s">
        <v>112</v>
      </c>
      <c r="BJ85" t="s">
        <v>112</v>
      </c>
      <c r="BK85" t="s">
        <v>112</v>
      </c>
      <c r="BL85" t="s">
        <v>112</v>
      </c>
      <c r="BM85" t="s">
        <v>112</v>
      </c>
      <c r="BN85" t="s">
        <v>161</v>
      </c>
      <c r="BP85" t="s">
        <v>232</v>
      </c>
      <c r="BR85" t="s">
        <v>150</v>
      </c>
      <c r="BS85">
        <v>33</v>
      </c>
      <c r="BT85">
        <v>0</v>
      </c>
      <c r="BU85">
        <v>0</v>
      </c>
      <c r="BY85" t="s">
        <v>106</v>
      </c>
      <c r="BZ85" t="s">
        <v>142</v>
      </c>
      <c r="CA85" t="s">
        <v>112</v>
      </c>
      <c r="CB85" t="s">
        <v>112</v>
      </c>
      <c r="CC85" t="s">
        <v>121</v>
      </c>
      <c r="CD85">
        <v>16861.57</v>
      </c>
      <c r="CE85" t="s">
        <v>144</v>
      </c>
      <c r="CF85">
        <v>4000000</v>
      </c>
      <c r="CG85">
        <v>16796.77</v>
      </c>
      <c r="CH85">
        <v>0</v>
      </c>
      <c r="CI85" t="s">
        <v>112</v>
      </c>
      <c r="CJ85" t="s">
        <v>112</v>
      </c>
      <c r="CK85">
        <v>40036.44</v>
      </c>
      <c r="CM85">
        <v>0</v>
      </c>
      <c r="CN85">
        <v>1</v>
      </c>
      <c r="CO85">
        <v>4570188.63</v>
      </c>
      <c r="CP85">
        <v>47751.87</v>
      </c>
      <c r="CQ85" t="s">
        <v>145</v>
      </c>
      <c r="CR85">
        <v>47702.826799999995</v>
      </c>
      <c r="CS85">
        <v>2.84</v>
      </c>
      <c r="CW85">
        <v>71</v>
      </c>
    </row>
    <row r="86" spans="1:101" x14ac:dyDescent="0.2">
      <c r="A86" t="s">
        <v>106</v>
      </c>
      <c r="B86" s="46">
        <v>45070</v>
      </c>
      <c r="C86" t="s">
        <v>1822</v>
      </c>
      <c r="D86" t="s">
        <v>108</v>
      </c>
      <c r="E86" t="s">
        <v>1823</v>
      </c>
      <c r="F86" t="s">
        <v>3244</v>
      </c>
      <c r="G86" t="s">
        <v>111</v>
      </c>
      <c r="H86" t="s">
        <v>112</v>
      </c>
      <c r="I86" t="s">
        <v>112</v>
      </c>
      <c r="J86" t="s">
        <v>112</v>
      </c>
      <c r="K86" t="s">
        <v>150</v>
      </c>
      <c r="L86" t="s">
        <v>151</v>
      </c>
      <c r="M86" t="s">
        <v>112</v>
      </c>
      <c r="N86" t="s">
        <v>112</v>
      </c>
      <c r="Q86">
        <v>1</v>
      </c>
      <c r="R86">
        <v>33</v>
      </c>
      <c r="S86" t="s">
        <v>166</v>
      </c>
      <c r="T86" t="s">
        <v>152</v>
      </c>
      <c r="U86" t="s">
        <v>153</v>
      </c>
      <c r="V86" t="s">
        <v>154</v>
      </c>
      <c r="W86" t="s">
        <v>119</v>
      </c>
      <c r="X86" t="s">
        <v>112</v>
      </c>
      <c r="Y86" t="s">
        <v>166</v>
      </c>
      <c r="Z86" t="s">
        <v>152</v>
      </c>
      <c r="AA86" t="s">
        <v>153</v>
      </c>
      <c r="AB86" t="s">
        <v>154</v>
      </c>
      <c r="AC86" t="s">
        <v>119</v>
      </c>
      <c r="AD86" t="s">
        <v>112</v>
      </c>
      <c r="AE86" t="s">
        <v>121</v>
      </c>
      <c r="AF86" t="s">
        <v>122</v>
      </c>
      <c r="AG86">
        <v>4716028.41</v>
      </c>
      <c r="AH86" t="s">
        <v>166</v>
      </c>
      <c r="AI86" t="s">
        <v>152</v>
      </c>
      <c r="AJ86" t="s">
        <v>153</v>
      </c>
      <c r="AK86" t="s">
        <v>154</v>
      </c>
      <c r="AL86" t="s">
        <v>119</v>
      </c>
      <c r="AM86" t="s">
        <v>112</v>
      </c>
      <c r="AN86" t="s">
        <v>121</v>
      </c>
      <c r="AO86" t="s">
        <v>122</v>
      </c>
      <c r="AP86" t="s">
        <v>122</v>
      </c>
      <c r="AQ86" t="s">
        <v>124</v>
      </c>
      <c r="AR86" t="s">
        <v>125</v>
      </c>
      <c r="AT86" t="s">
        <v>126</v>
      </c>
      <c r="AU86" t="s">
        <v>155</v>
      </c>
      <c r="AV86" t="s">
        <v>156</v>
      </c>
      <c r="AX86" t="s">
        <v>129</v>
      </c>
      <c r="AY86">
        <v>41445.839999999997</v>
      </c>
      <c r="BB86">
        <v>103.4765</v>
      </c>
      <c r="BC86" t="s">
        <v>112</v>
      </c>
      <c r="BD86" t="s">
        <v>112</v>
      </c>
      <c r="BE86" t="s">
        <v>112</v>
      </c>
      <c r="BF86" t="s">
        <v>133</v>
      </c>
      <c r="BG86" t="s">
        <v>134</v>
      </c>
      <c r="BH86" t="s">
        <v>112</v>
      </c>
      <c r="BI86" t="s">
        <v>112</v>
      </c>
      <c r="BJ86" t="s">
        <v>112</v>
      </c>
      <c r="BK86" t="s">
        <v>112</v>
      </c>
      <c r="BL86" t="s">
        <v>112</v>
      </c>
      <c r="BM86" t="s">
        <v>112</v>
      </c>
      <c r="BN86" t="s">
        <v>161</v>
      </c>
      <c r="BP86" t="s">
        <v>205</v>
      </c>
      <c r="BR86" t="s">
        <v>150</v>
      </c>
      <c r="BS86">
        <v>33</v>
      </c>
      <c r="BT86">
        <v>0</v>
      </c>
      <c r="BU86">
        <v>0</v>
      </c>
      <c r="BY86" t="s">
        <v>106</v>
      </c>
      <c r="BZ86" t="s">
        <v>142</v>
      </c>
      <c r="CA86" t="s">
        <v>112</v>
      </c>
      <c r="CB86" t="s">
        <v>112</v>
      </c>
      <c r="CC86" t="s">
        <v>121</v>
      </c>
      <c r="CD86">
        <v>15908.47</v>
      </c>
      <c r="CE86" t="s">
        <v>144</v>
      </c>
      <c r="CF86">
        <v>4000000</v>
      </c>
      <c r="CG86">
        <v>15746.47</v>
      </c>
      <c r="CH86">
        <v>0</v>
      </c>
      <c r="CI86" t="s">
        <v>112</v>
      </c>
      <c r="CJ86" t="s">
        <v>112</v>
      </c>
      <c r="CK86">
        <v>41445.839999999997</v>
      </c>
      <c r="CM86">
        <v>0</v>
      </c>
      <c r="CN86">
        <v>1</v>
      </c>
      <c r="CO86">
        <v>4716028.41</v>
      </c>
      <c r="CP86">
        <v>49275.69</v>
      </c>
      <c r="CQ86" t="s">
        <v>145</v>
      </c>
      <c r="CR86">
        <v>49286.451099999998</v>
      </c>
      <c r="CS86">
        <v>3.13</v>
      </c>
      <c r="CW86">
        <v>586</v>
      </c>
    </row>
    <row r="87" spans="1:101" x14ac:dyDescent="0.2">
      <c r="A87" t="s">
        <v>106</v>
      </c>
      <c r="B87" s="46">
        <v>45015</v>
      </c>
      <c r="C87" t="s">
        <v>1820</v>
      </c>
      <c r="D87" t="s">
        <v>108</v>
      </c>
      <c r="E87" t="s">
        <v>1821</v>
      </c>
      <c r="F87" t="s">
        <v>3244</v>
      </c>
      <c r="G87" t="s">
        <v>111</v>
      </c>
      <c r="H87" t="s">
        <v>112</v>
      </c>
      <c r="I87" t="s">
        <v>112</v>
      </c>
      <c r="J87" t="s">
        <v>112</v>
      </c>
      <c r="K87" t="s">
        <v>150</v>
      </c>
      <c r="L87" t="s">
        <v>151</v>
      </c>
      <c r="M87" t="s">
        <v>112</v>
      </c>
      <c r="N87" t="s">
        <v>112</v>
      </c>
      <c r="Q87">
        <v>1</v>
      </c>
      <c r="R87">
        <v>33</v>
      </c>
      <c r="S87" t="s">
        <v>166</v>
      </c>
      <c r="T87" t="s">
        <v>152</v>
      </c>
      <c r="U87" t="s">
        <v>153</v>
      </c>
      <c r="V87" t="s">
        <v>154</v>
      </c>
      <c r="W87" t="s">
        <v>119</v>
      </c>
      <c r="X87" t="s">
        <v>112</v>
      </c>
      <c r="Y87" t="s">
        <v>166</v>
      </c>
      <c r="Z87" t="s">
        <v>152</v>
      </c>
      <c r="AA87" t="s">
        <v>153</v>
      </c>
      <c r="AB87" t="s">
        <v>154</v>
      </c>
      <c r="AC87" t="s">
        <v>119</v>
      </c>
      <c r="AD87" t="s">
        <v>112</v>
      </c>
      <c r="AE87" t="s">
        <v>121</v>
      </c>
      <c r="AF87" t="s">
        <v>122</v>
      </c>
      <c r="AG87">
        <v>4959235.4400000004</v>
      </c>
      <c r="AH87" t="s">
        <v>166</v>
      </c>
      <c r="AI87" t="s">
        <v>152</v>
      </c>
      <c r="AJ87" t="s">
        <v>153</v>
      </c>
      <c r="AK87" t="s">
        <v>154</v>
      </c>
      <c r="AL87" t="s">
        <v>119</v>
      </c>
      <c r="AM87" t="s">
        <v>112</v>
      </c>
      <c r="AN87" t="s">
        <v>121</v>
      </c>
      <c r="AO87" t="s">
        <v>122</v>
      </c>
      <c r="AP87" t="s">
        <v>122</v>
      </c>
      <c r="AQ87" t="s">
        <v>124</v>
      </c>
      <c r="AR87" t="s">
        <v>125</v>
      </c>
      <c r="AT87" t="s">
        <v>126</v>
      </c>
      <c r="AU87" t="s">
        <v>155</v>
      </c>
      <c r="AV87" t="s">
        <v>156</v>
      </c>
      <c r="AX87" t="s">
        <v>129</v>
      </c>
      <c r="AY87">
        <v>43276.2</v>
      </c>
      <c r="BB87">
        <v>103.4765</v>
      </c>
      <c r="BC87" t="s">
        <v>112</v>
      </c>
      <c r="BD87" t="s">
        <v>112</v>
      </c>
      <c r="BE87" t="s">
        <v>112</v>
      </c>
      <c r="BF87" t="s">
        <v>133</v>
      </c>
      <c r="BG87" t="s">
        <v>134</v>
      </c>
      <c r="BH87" t="s">
        <v>112</v>
      </c>
      <c r="BI87" t="s">
        <v>112</v>
      </c>
      <c r="BJ87" t="s">
        <v>112</v>
      </c>
      <c r="BK87" t="s">
        <v>112</v>
      </c>
      <c r="BL87" t="s">
        <v>112</v>
      </c>
      <c r="BM87" t="s">
        <v>112</v>
      </c>
      <c r="BN87" t="s">
        <v>161</v>
      </c>
      <c r="BP87" t="s">
        <v>205</v>
      </c>
      <c r="BR87" t="s">
        <v>150</v>
      </c>
      <c r="BS87">
        <v>33</v>
      </c>
      <c r="BT87">
        <v>0</v>
      </c>
      <c r="BU87">
        <v>0</v>
      </c>
      <c r="BY87" t="s">
        <v>106</v>
      </c>
      <c r="BZ87" t="s">
        <v>142</v>
      </c>
      <c r="CA87" t="s">
        <v>112</v>
      </c>
      <c r="CB87" t="s">
        <v>112</v>
      </c>
      <c r="CC87" t="s">
        <v>121</v>
      </c>
      <c r="CD87">
        <v>16856.759999999998</v>
      </c>
      <c r="CE87" t="s">
        <v>144</v>
      </c>
      <c r="CF87">
        <v>4000000</v>
      </c>
      <c r="CG87">
        <v>16791.96</v>
      </c>
      <c r="CH87">
        <v>0</v>
      </c>
      <c r="CI87" t="s">
        <v>112</v>
      </c>
      <c r="CJ87" t="s">
        <v>112</v>
      </c>
      <c r="CK87">
        <v>43276.2</v>
      </c>
      <c r="CM87">
        <v>0</v>
      </c>
      <c r="CN87">
        <v>1</v>
      </c>
      <c r="CO87">
        <v>4959235.4400000004</v>
      </c>
      <c r="CP87">
        <v>51816.85</v>
      </c>
      <c r="CQ87" t="s">
        <v>145</v>
      </c>
      <c r="CR87">
        <v>51887.156399999993</v>
      </c>
      <c r="CS87">
        <v>3.09</v>
      </c>
      <c r="CW87">
        <v>361</v>
      </c>
    </row>
    <row r="88" spans="1:101" x14ac:dyDescent="0.2">
      <c r="A88" t="s">
        <v>106</v>
      </c>
      <c r="B88" s="46">
        <v>45259</v>
      </c>
      <c r="C88" t="s">
        <v>1818</v>
      </c>
      <c r="D88" t="s">
        <v>108</v>
      </c>
      <c r="E88" t="s">
        <v>1819</v>
      </c>
      <c r="F88" t="s">
        <v>3244</v>
      </c>
      <c r="G88" t="s">
        <v>111</v>
      </c>
      <c r="H88" t="s">
        <v>112</v>
      </c>
      <c r="I88" t="s">
        <v>112</v>
      </c>
      <c r="J88" t="s">
        <v>112</v>
      </c>
      <c r="K88" t="s">
        <v>150</v>
      </c>
      <c r="L88" t="s">
        <v>151</v>
      </c>
      <c r="M88" t="s">
        <v>112</v>
      </c>
      <c r="N88" t="s">
        <v>112</v>
      </c>
      <c r="Q88">
        <v>1</v>
      </c>
      <c r="R88">
        <v>33</v>
      </c>
      <c r="S88" t="s">
        <v>166</v>
      </c>
      <c r="T88" t="s">
        <v>152</v>
      </c>
      <c r="U88" t="s">
        <v>153</v>
      </c>
      <c r="V88" t="s">
        <v>154</v>
      </c>
      <c r="W88" t="s">
        <v>119</v>
      </c>
      <c r="X88" t="s">
        <v>112</v>
      </c>
      <c r="Y88" t="s">
        <v>166</v>
      </c>
      <c r="Z88" t="s">
        <v>152</v>
      </c>
      <c r="AA88" t="s">
        <v>153</v>
      </c>
      <c r="AB88" t="s">
        <v>154</v>
      </c>
      <c r="AC88" t="s">
        <v>119</v>
      </c>
      <c r="AD88" t="s">
        <v>112</v>
      </c>
      <c r="AE88" t="s">
        <v>121</v>
      </c>
      <c r="AF88" t="s">
        <v>122</v>
      </c>
      <c r="AG88">
        <v>4664186.6900000004</v>
      </c>
      <c r="AH88" t="s">
        <v>166</v>
      </c>
      <c r="AI88" t="s">
        <v>152</v>
      </c>
      <c r="AJ88" t="s">
        <v>153</v>
      </c>
      <c r="AK88" t="s">
        <v>154</v>
      </c>
      <c r="AL88" t="s">
        <v>119</v>
      </c>
      <c r="AM88" t="s">
        <v>112</v>
      </c>
      <c r="AN88" t="s">
        <v>121</v>
      </c>
      <c r="AO88" t="s">
        <v>122</v>
      </c>
      <c r="AP88" t="s">
        <v>122</v>
      </c>
      <c r="AQ88" t="s">
        <v>124</v>
      </c>
      <c r="AR88" t="s">
        <v>125</v>
      </c>
      <c r="AT88" t="s">
        <v>126</v>
      </c>
      <c r="AU88" t="s">
        <v>155</v>
      </c>
      <c r="AV88" t="s">
        <v>156</v>
      </c>
      <c r="AX88" t="s">
        <v>129</v>
      </c>
      <c r="AY88">
        <v>40944.839999999997</v>
      </c>
      <c r="BB88">
        <v>103.4765</v>
      </c>
      <c r="BC88" t="s">
        <v>112</v>
      </c>
      <c r="BD88" t="s">
        <v>112</v>
      </c>
      <c r="BE88" t="s">
        <v>112</v>
      </c>
      <c r="BF88" t="s">
        <v>133</v>
      </c>
      <c r="BG88" t="s">
        <v>134</v>
      </c>
      <c r="BH88" t="s">
        <v>112</v>
      </c>
      <c r="BI88" t="s">
        <v>112</v>
      </c>
      <c r="BJ88" t="s">
        <v>112</v>
      </c>
      <c r="BK88" t="s">
        <v>112</v>
      </c>
      <c r="BL88" t="s">
        <v>112</v>
      </c>
      <c r="BM88" t="s">
        <v>112</v>
      </c>
      <c r="BN88" t="s">
        <v>161</v>
      </c>
      <c r="BP88" t="s">
        <v>205</v>
      </c>
      <c r="BR88" t="s">
        <v>150</v>
      </c>
      <c r="BS88">
        <v>33</v>
      </c>
      <c r="BT88">
        <v>0</v>
      </c>
      <c r="BU88">
        <v>0</v>
      </c>
      <c r="BY88" t="s">
        <v>106</v>
      </c>
      <c r="BZ88" t="s">
        <v>142</v>
      </c>
      <c r="CA88" t="s">
        <v>112</v>
      </c>
      <c r="CB88" t="s">
        <v>112</v>
      </c>
      <c r="CC88" t="s">
        <v>121</v>
      </c>
      <c r="CD88">
        <v>16861.57</v>
      </c>
      <c r="CE88" t="s">
        <v>144</v>
      </c>
      <c r="CF88">
        <v>4000000</v>
      </c>
      <c r="CG88">
        <v>16796.77</v>
      </c>
      <c r="CH88">
        <v>0</v>
      </c>
      <c r="CI88" t="s">
        <v>112</v>
      </c>
      <c r="CJ88" t="s">
        <v>112</v>
      </c>
      <c r="CK88">
        <v>40944.839999999997</v>
      </c>
      <c r="CM88">
        <v>0</v>
      </c>
      <c r="CN88">
        <v>1</v>
      </c>
      <c r="CO88">
        <v>4664186.6900000004</v>
      </c>
      <c r="CP88">
        <v>48734.02</v>
      </c>
      <c r="CQ88" t="s">
        <v>145</v>
      </c>
      <c r="CR88">
        <v>48710.633000000002</v>
      </c>
      <c r="CS88">
        <v>2.9</v>
      </c>
      <c r="CW88">
        <v>544</v>
      </c>
    </row>
    <row r="89" spans="1:101" x14ac:dyDescent="0.2">
      <c r="A89" t="s">
        <v>106</v>
      </c>
      <c r="B89" s="46">
        <v>45041</v>
      </c>
      <c r="C89" t="s">
        <v>1394</v>
      </c>
      <c r="D89" t="s">
        <v>108</v>
      </c>
      <c r="E89" t="s">
        <v>1395</v>
      </c>
      <c r="F89" t="s">
        <v>3244</v>
      </c>
      <c r="G89" t="s">
        <v>111</v>
      </c>
      <c r="H89" t="s">
        <v>112</v>
      </c>
      <c r="I89" t="s">
        <v>112</v>
      </c>
      <c r="J89" t="s">
        <v>112</v>
      </c>
      <c r="K89" t="s">
        <v>150</v>
      </c>
      <c r="L89" t="s">
        <v>151</v>
      </c>
      <c r="M89" t="s">
        <v>112</v>
      </c>
      <c r="N89" t="s">
        <v>112</v>
      </c>
      <c r="O89">
        <v>1</v>
      </c>
      <c r="P89">
        <v>0</v>
      </c>
      <c r="Q89">
        <v>1</v>
      </c>
      <c r="R89">
        <v>33</v>
      </c>
      <c r="S89" t="s">
        <v>166</v>
      </c>
      <c r="T89" t="s">
        <v>152</v>
      </c>
      <c r="U89" t="s">
        <v>153</v>
      </c>
      <c r="V89" t="s">
        <v>154</v>
      </c>
      <c r="W89" t="s">
        <v>119</v>
      </c>
      <c r="X89" t="s">
        <v>112</v>
      </c>
      <c r="Y89" t="s">
        <v>166</v>
      </c>
      <c r="Z89" t="s">
        <v>152</v>
      </c>
      <c r="AA89" t="s">
        <v>153</v>
      </c>
      <c r="AB89" t="s">
        <v>154</v>
      </c>
      <c r="AC89" t="s">
        <v>119</v>
      </c>
      <c r="AD89" t="s">
        <v>112</v>
      </c>
      <c r="AE89" t="s">
        <v>121</v>
      </c>
      <c r="AF89" t="s">
        <v>122</v>
      </c>
      <c r="AG89">
        <v>4600295.59</v>
      </c>
      <c r="AH89" t="s">
        <v>166</v>
      </c>
      <c r="AI89" t="s">
        <v>152</v>
      </c>
      <c r="AJ89" t="s">
        <v>153</v>
      </c>
      <c r="AK89" t="s">
        <v>154</v>
      </c>
      <c r="AL89" t="s">
        <v>119</v>
      </c>
      <c r="AM89" t="s">
        <v>112</v>
      </c>
      <c r="AN89" t="s">
        <v>121</v>
      </c>
      <c r="AO89" t="s">
        <v>122</v>
      </c>
      <c r="AP89" t="s">
        <v>122</v>
      </c>
      <c r="AQ89" t="s">
        <v>124</v>
      </c>
      <c r="AR89" t="s">
        <v>125</v>
      </c>
      <c r="AS89">
        <v>2</v>
      </c>
      <c r="AT89" t="s">
        <v>126</v>
      </c>
      <c r="AU89" t="s">
        <v>155</v>
      </c>
      <c r="AV89" t="s">
        <v>156</v>
      </c>
      <c r="AW89">
        <v>1</v>
      </c>
      <c r="AX89" t="s">
        <v>129</v>
      </c>
      <c r="AY89">
        <v>44240.6</v>
      </c>
      <c r="AZ89">
        <v>4207511</v>
      </c>
      <c r="BA89">
        <v>52856.24</v>
      </c>
      <c r="BB89">
        <v>95.105199999999996</v>
      </c>
      <c r="BC89" t="s">
        <v>130</v>
      </c>
      <c r="BD89" t="s">
        <v>112</v>
      </c>
      <c r="BE89" t="s">
        <v>157</v>
      </c>
      <c r="BF89" t="s">
        <v>133</v>
      </c>
      <c r="BG89" t="s">
        <v>134</v>
      </c>
      <c r="BH89" t="s">
        <v>112</v>
      </c>
      <c r="BI89" t="s">
        <v>112</v>
      </c>
      <c r="BJ89" t="s">
        <v>112</v>
      </c>
      <c r="BK89" t="s">
        <v>169</v>
      </c>
      <c r="BL89" t="s">
        <v>159</v>
      </c>
      <c r="BM89" t="s">
        <v>722</v>
      </c>
      <c r="BN89" t="s">
        <v>161</v>
      </c>
      <c r="BO89">
        <v>1</v>
      </c>
      <c r="BP89" t="s">
        <v>1396</v>
      </c>
      <c r="BR89" t="s">
        <v>150</v>
      </c>
      <c r="BS89">
        <v>33</v>
      </c>
      <c r="BT89">
        <v>0</v>
      </c>
      <c r="BU89">
        <v>0</v>
      </c>
      <c r="BW89">
        <v>0</v>
      </c>
      <c r="BY89" t="s">
        <v>106</v>
      </c>
      <c r="BZ89" t="s">
        <v>142</v>
      </c>
      <c r="CA89" t="s">
        <v>112</v>
      </c>
      <c r="CB89" t="s">
        <v>112</v>
      </c>
      <c r="CC89" t="s">
        <v>121</v>
      </c>
      <c r="CD89">
        <v>16161.43</v>
      </c>
      <c r="CE89" t="s">
        <v>144</v>
      </c>
      <c r="CF89">
        <v>4000000</v>
      </c>
      <c r="CG89">
        <v>16042.03</v>
      </c>
      <c r="CH89">
        <v>0</v>
      </c>
      <c r="CI89" t="s">
        <v>112</v>
      </c>
      <c r="CJ89" t="s">
        <v>112</v>
      </c>
      <c r="CK89">
        <v>44240.6</v>
      </c>
      <c r="CL89">
        <v>4207511</v>
      </c>
      <c r="CM89">
        <v>0</v>
      </c>
      <c r="CN89">
        <v>1</v>
      </c>
      <c r="CO89">
        <v>4600295.59</v>
      </c>
      <c r="CP89">
        <v>52856.24</v>
      </c>
      <c r="CQ89" t="s">
        <v>145</v>
      </c>
      <c r="CR89">
        <v>52778.278700000003</v>
      </c>
      <c r="CS89">
        <v>3.29</v>
      </c>
      <c r="CT89">
        <v>45</v>
      </c>
      <c r="CU89" t="s">
        <v>171</v>
      </c>
      <c r="CV89" t="s">
        <v>463</v>
      </c>
      <c r="CW89">
        <v>96</v>
      </c>
    </row>
    <row r="90" spans="1:101" x14ac:dyDescent="0.2">
      <c r="A90" t="s">
        <v>106</v>
      </c>
      <c r="B90" s="46">
        <v>45172</v>
      </c>
      <c r="C90" t="s">
        <v>1401</v>
      </c>
      <c r="D90" t="s">
        <v>108</v>
      </c>
      <c r="E90" t="s">
        <v>1402</v>
      </c>
      <c r="F90" t="s">
        <v>3244</v>
      </c>
      <c r="G90" t="s">
        <v>111</v>
      </c>
      <c r="H90" t="s">
        <v>112</v>
      </c>
      <c r="I90" t="s">
        <v>112</v>
      </c>
      <c r="J90" t="s">
        <v>112</v>
      </c>
      <c r="K90" t="s">
        <v>150</v>
      </c>
      <c r="L90" t="s">
        <v>151</v>
      </c>
      <c r="M90" t="s">
        <v>112</v>
      </c>
      <c r="N90" t="s">
        <v>112</v>
      </c>
      <c r="O90">
        <v>1</v>
      </c>
      <c r="P90">
        <v>0</v>
      </c>
      <c r="Q90">
        <v>1</v>
      </c>
      <c r="R90">
        <v>33</v>
      </c>
      <c r="S90" t="s">
        <v>166</v>
      </c>
      <c r="T90" t="s">
        <v>152</v>
      </c>
      <c r="U90" t="s">
        <v>153</v>
      </c>
      <c r="V90" t="s">
        <v>154</v>
      </c>
      <c r="W90" t="s">
        <v>119</v>
      </c>
      <c r="X90" t="s">
        <v>112</v>
      </c>
      <c r="Y90" t="s">
        <v>166</v>
      </c>
      <c r="Z90" t="s">
        <v>152</v>
      </c>
      <c r="AA90" t="s">
        <v>153</v>
      </c>
      <c r="AB90" t="s">
        <v>154</v>
      </c>
      <c r="AC90" t="s">
        <v>119</v>
      </c>
      <c r="AD90" t="s">
        <v>112</v>
      </c>
      <c r="AE90" t="s">
        <v>121</v>
      </c>
      <c r="AF90" t="s">
        <v>122</v>
      </c>
      <c r="AG90">
        <v>4767338.3600000003</v>
      </c>
      <c r="AH90" t="s">
        <v>166</v>
      </c>
      <c r="AI90" t="s">
        <v>152</v>
      </c>
      <c r="AJ90" t="s">
        <v>153</v>
      </c>
      <c r="AK90" t="s">
        <v>154</v>
      </c>
      <c r="AL90" t="s">
        <v>119</v>
      </c>
      <c r="AM90" t="s">
        <v>112</v>
      </c>
      <c r="AN90" t="s">
        <v>121</v>
      </c>
      <c r="AO90" t="s">
        <v>122</v>
      </c>
      <c r="AP90" t="s">
        <v>122</v>
      </c>
      <c r="AQ90" t="s">
        <v>124</v>
      </c>
      <c r="AR90" t="s">
        <v>125</v>
      </c>
      <c r="AS90">
        <v>2</v>
      </c>
      <c r="AT90" t="s">
        <v>126</v>
      </c>
      <c r="AU90" t="s">
        <v>155</v>
      </c>
      <c r="AV90" t="s">
        <v>156</v>
      </c>
      <c r="AW90">
        <v>1</v>
      </c>
      <c r="AX90" t="s">
        <v>129</v>
      </c>
      <c r="AY90">
        <v>45477</v>
      </c>
      <c r="AZ90">
        <v>4325099</v>
      </c>
      <c r="BA90">
        <v>54775.519999999997</v>
      </c>
      <c r="BB90">
        <v>95.105199999999996</v>
      </c>
      <c r="BC90" t="s">
        <v>130</v>
      </c>
      <c r="BD90" t="s">
        <v>112</v>
      </c>
      <c r="BE90" t="s">
        <v>157</v>
      </c>
      <c r="BF90" t="s">
        <v>133</v>
      </c>
      <c r="BG90" t="s">
        <v>134</v>
      </c>
      <c r="BH90" t="s">
        <v>112</v>
      </c>
      <c r="BI90" t="s">
        <v>112</v>
      </c>
      <c r="BJ90" t="s">
        <v>112</v>
      </c>
      <c r="BK90" t="s">
        <v>169</v>
      </c>
      <c r="BL90" t="s">
        <v>159</v>
      </c>
      <c r="BM90" t="s">
        <v>722</v>
      </c>
      <c r="BN90" t="s">
        <v>161</v>
      </c>
      <c r="BO90">
        <v>1</v>
      </c>
      <c r="BP90" t="s">
        <v>719</v>
      </c>
      <c r="BR90" t="s">
        <v>150</v>
      </c>
      <c r="BS90">
        <v>33</v>
      </c>
      <c r="BT90">
        <v>0</v>
      </c>
      <c r="BU90">
        <v>0</v>
      </c>
      <c r="BW90">
        <v>0</v>
      </c>
      <c r="BY90" t="s">
        <v>106</v>
      </c>
      <c r="BZ90" t="s">
        <v>142</v>
      </c>
      <c r="CA90" t="s">
        <v>112</v>
      </c>
      <c r="CB90" t="s">
        <v>112</v>
      </c>
      <c r="CC90" t="s">
        <v>121</v>
      </c>
      <c r="CD90">
        <v>16803</v>
      </c>
      <c r="CE90" t="s">
        <v>144</v>
      </c>
      <c r="CF90">
        <v>4000000</v>
      </c>
      <c r="CG90">
        <v>16749</v>
      </c>
      <c r="CH90">
        <v>0</v>
      </c>
      <c r="CI90" t="s">
        <v>112</v>
      </c>
      <c r="CJ90" t="s">
        <v>112</v>
      </c>
      <c r="CK90">
        <v>45477</v>
      </c>
      <c r="CL90">
        <v>4325099</v>
      </c>
      <c r="CM90">
        <v>0</v>
      </c>
      <c r="CN90">
        <v>1</v>
      </c>
      <c r="CO90">
        <v>4767338.3600000003</v>
      </c>
      <c r="CP90">
        <v>54775.519999999997</v>
      </c>
      <c r="CQ90" t="s">
        <v>145</v>
      </c>
      <c r="CR90">
        <v>54769.23</v>
      </c>
      <c r="CS90">
        <v>3.27</v>
      </c>
      <c r="CT90">
        <v>45</v>
      </c>
      <c r="CU90" t="s">
        <v>171</v>
      </c>
      <c r="CV90" t="s">
        <v>463</v>
      </c>
      <c r="CW90">
        <v>96</v>
      </c>
    </row>
    <row r="91" spans="1:101" x14ac:dyDescent="0.2">
      <c r="A91" t="s">
        <v>106</v>
      </c>
      <c r="B91" s="46">
        <v>45080</v>
      </c>
      <c r="C91" t="s">
        <v>1242</v>
      </c>
      <c r="D91" t="s">
        <v>108</v>
      </c>
      <c r="E91" t="s">
        <v>1243</v>
      </c>
      <c r="F91" t="s">
        <v>3244</v>
      </c>
      <c r="G91" t="s">
        <v>111</v>
      </c>
      <c r="H91" t="s">
        <v>112</v>
      </c>
      <c r="I91" t="s">
        <v>112</v>
      </c>
      <c r="J91" t="s">
        <v>112</v>
      </c>
      <c r="K91" t="s">
        <v>150</v>
      </c>
      <c r="L91" t="s">
        <v>1060</v>
      </c>
      <c r="M91" t="s">
        <v>112</v>
      </c>
      <c r="N91" t="s">
        <v>112</v>
      </c>
      <c r="O91">
        <v>1</v>
      </c>
      <c r="P91">
        <v>0</v>
      </c>
      <c r="Q91">
        <v>1</v>
      </c>
      <c r="R91">
        <v>33</v>
      </c>
      <c r="S91" t="s">
        <v>166</v>
      </c>
      <c r="T91" t="s">
        <v>152</v>
      </c>
      <c r="U91" t="s">
        <v>153</v>
      </c>
      <c r="V91" t="s">
        <v>154</v>
      </c>
      <c r="W91" t="s">
        <v>119</v>
      </c>
      <c r="X91" t="s">
        <v>112</v>
      </c>
      <c r="Y91" t="s">
        <v>166</v>
      </c>
      <c r="Z91" t="s">
        <v>152</v>
      </c>
      <c r="AA91" t="s">
        <v>153</v>
      </c>
      <c r="AB91" t="s">
        <v>154</v>
      </c>
      <c r="AC91" t="s">
        <v>119</v>
      </c>
      <c r="AD91" t="s">
        <v>112</v>
      </c>
      <c r="AE91" t="s">
        <v>121</v>
      </c>
      <c r="AF91" t="s">
        <v>122</v>
      </c>
      <c r="AG91">
        <v>3705921.24</v>
      </c>
      <c r="AH91" t="s">
        <v>166</v>
      </c>
      <c r="AI91" t="s">
        <v>152</v>
      </c>
      <c r="AJ91" t="s">
        <v>153</v>
      </c>
      <c r="AK91" t="s">
        <v>154</v>
      </c>
      <c r="AL91" t="s">
        <v>119</v>
      </c>
      <c r="AM91" t="s">
        <v>112</v>
      </c>
      <c r="AN91" t="s">
        <v>121</v>
      </c>
      <c r="AO91" t="s">
        <v>122</v>
      </c>
      <c r="AP91" t="s">
        <v>122</v>
      </c>
      <c r="AQ91" t="s">
        <v>124</v>
      </c>
      <c r="AR91" t="s">
        <v>125</v>
      </c>
      <c r="AS91">
        <v>2</v>
      </c>
      <c r="AT91" t="s">
        <v>126</v>
      </c>
      <c r="AU91" t="s">
        <v>155</v>
      </c>
      <c r="AV91" t="s">
        <v>156</v>
      </c>
      <c r="AW91">
        <v>1</v>
      </c>
      <c r="AX91" t="s">
        <v>129</v>
      </c>
      <c r="AY91">
        <v>39011.620000000003</v>
      </c>
      <c r="AZ91">
        <v>3351149</v>
      </c>
      <c r="BA91">
        <v>46291.9</v>
      </c>
      <c r="BB91">
        <v>85.901300000000006</v>
      </c>
      <c r="BC91" t="s">
        <v>130</v>
      </c>
      <c r="BD91" t="s">
        <v>112</v>
      </c>
      <c r="BE91" t="s">
        <v>157</v>
      </c>
      <c r="BF91" t="s">
        <v>133</v>
      </c>
      <c r="BG91" t="s">
        <v>134</v>
      </c>
      <c r="BH91" t="s">
        <v>112</v>
      </c>
      <c r="BI91" t="s">
        <v>112</v>
      </c>
      <c r="BJ91" t="s">
        <v>112</v>
      </c>
      <c r="BK91" t="s">
        <v>169</v>
      </c>
      <c r="BL91" t="s">
        <v>159</v>
      </c>
      <c r="BM91" t="s">
        <v>722</v>
      </c>
      <c r="BN91" t="s">
        <v>161</v>
      </c>
      <c r="BO91">
        <v>1</v>
      </c>
      <c r="BP91" t="s">
        <v>1244</v>
      </c>
      <c r="BR91" t="s">
        <v>150</v>
      </c>
      <c r="BS91">
        <v>33</v>
      </c>
      <c r="BT91">
        <v>0</v>
      </c>
      <c r="BU91">
        <v>0</v>
      </c>
      <c r="BW91">
        <v>0</v>
      </c>
      <c r="BY91" t="s">
        <v>106</v>
      </c>
      <c r="BZ91" t="s">
        <v>142</v>
      </c>
      <c r="CA91" t="s">
        <v>112</v>
      </c>
      <c r="CB91" t="s">
        <v>112</v>
      </c>
      <c r="CC91" t="s">
        <v>121</v>
      </c>
      <c r="CD91">
        <v>17089.259999999998</v>
      </c>
      <c r="CE91" t="s">
        <v>144</v>
      </c>
      <c r="CF91">
        <v>4000000</v>
      </c>
      <c r="CG91">
        <v>17089.259999999998</v>
      </c>
      <c r="CH91">
        <v>0</v>
      </c>
      <c r="CI91" t="s">
        <v>112</v>
      </c>
      <c r="CJ91" t="s">
        <v>112</v>
      </c>
      <c r="CK91">
        <v>39011.620000000003</v>
      </c>
      <c r="CL91">
        <v>3351149</v>
      </c>
      <c r="CM91">
        <v>0</v>
      </c>
      <c r="CN91">
        <v>1</v>
      </c>
      <c r="CO91">
        <v>3705921.24</v>
      </c>
      <c r="CP91">
        <v>46291.9</v>
      </c>
      <c r="CQ91" t="s">
        <v>145</v>
      </c>
      <c r="CR91">
        <v>46291.387488</v>
      </c>
      <c r="CS91">
        <v>2.7088000000000001</v>
      </c>
      <c r="CT91">
        <v>45</v>
      </c>
      <c r="CU91" t="s">
        <v>171</v>
      </c>
      <c r="CV91" t="s">
        <v>369</v>
      </c>
      <c r="CW91">
        <v>152</v>
      </c>
    </row>
    <row r="92" spans="1:101" x14ac:dyDescent="0.2">
      <c r="A92" t="s">
        <v>106</v>
      </c>
      <c r="B92" s="46">
        <v>45064</v>
      </c>
      <c r="C92" t="s">
        <v>895</v>
      </c>
      <c r="D92" t="s">
        <v>108</v>
      </c>
      <c r="E92" t="s">
        <v>896</v>
      </c>
      <c r="F92" t="s">
        <v>3244</v>
      </c>
      <c r="G92" t="s">
        <v>111</v>
      </c>
      <c r="H92" t="s">
        <v>112</v>
      </c>
      <c r="I92" t="s">
        <v>112</v>
      </c>
      <c r="J92" t="s">
        <v>112</v>
      </c>
      <c r="K92" t="s">
        <v>150</v>
      </c>
      <c r="L92" t="s">
        <v>151</v>
      </c>
      <c r="M92" t="s">
        <v>112</v>
      </c>
      <c r="N92" t="s">
        <v>112</v>
      </c>
      <c r="O92">
        <v>1</v>
      </c>
      <c r="P92">
        <v>0</v>
      </c>
      <c r="Q92">
        <v>1</v>
      </c>
      <c r="R92">
        <v>38</v>
      </c>
      <c r="S92" t="s">
        <v>166</v>
      </c>
      <c r="T92" t="s">
        <v>152</v>
      </c>
      <c r="U92" t="s">
        <v>153</v>
      </c>
      <c r="V92" t="s">
        <v>154</v>
      </c>
      <c r="W92" t="s">
        <v>119</v>
      </c>
      <c r="X92" t="s">
        <v>112</v>
      </c>
      <c r="Y92" t="s">
        <v>166</v>
      </c>
      <c r="Z92" t="s">
        <v>152</v>
      </c>
      <c r="AA92" t="s">
        <v>153</v>
      </c>
      <c r="AB92" t="s">
        <v>154</v>
      </c>
      <c r="AC92" t="s">
        <v>119</v>
      </c>
      <c r="AD92" t="s">
        <v>112</v>
      </c>
      <c r="AE92" t="s">
        <v>121</v>
      </c>
      <c r="AF92" t="s">
        <v>122</v>
      </c>
      <c r="AG92">
        <v>4208180.26</v>
      </c>
      <c r="AH92" t="s">
        <v>166</v>
      </c>
      <c r="AI92" t="s">
        <v>152</v>
      </c>
      <c r="AJ92" t="s">
        <v>153</v>
      </c>
      <c r="AK92" t="s">
        <v>154</v>
      </c>
      <c r="AL92" t="s">
        <v>119</v>
      </c>
      <c r="AM92" t="s">
        <v>112</v>
      </c>
      <c r="AN92" t="s">
        <v>121</v>
      </c>
      <c r="AO92" t="s">
        <v>122</v>
      </c>
      <c r="AP92" t="s">
        <v>122</v>
      </c>
      <c r="AQ92" t="s">
        <v>124</v>
      </c>
      <c r="AR92" t="s">
        <v>125</v>
      </c>
      <c r="AS92">
        <v>2</v>
      </c>
      <c r="AT92" t="s">
        <v>126</v>
      </c>
      <c r="AU92" t="s">
        <v>155</v>
      </c>
      <c r="AV92" t="s">
        <v>156</v>
      </c>
      <c r="AW92">
        <v>1</v>
      </c>
      <c r="AX92" t="s">
        <v>129</v>
      </c>
      <c r="AY92">
        <v>46055.88</v>
      </c>
      <c r="AZ92">
        <v>3845017</v>
      </c>
      <c r="BA92">
        <v>54667.24</v>
      </c>
      <c r="BB92">
        <v>83.485900000000001</v>
      </c>
      <c r="BC92" t="s">
        <v>130</v>
      </c>
      <c r="BD92" t="s">
        <v>112</v>
      </c>
      <c r="BE92" t="s">
        <v>157</v>
      </c>
      <c r="BF92" t="s">
        <v>133</v>
      </c>
      <c r="BG92" t="s">
        <v>134</v>
      </c>
      <c r="BH92" t="s">
        <v>112</v>
      </c>
      <c r="BI92" t="s">
        <v>112</v>
      </c>
      <c r="BJ92" t="s">
        <v>112</v>
      </c>
      <c r="BK92" t="s">
        <v>169</v>
      </c>
      <c r="BL92" t="s">
        <v>159</v>
      </c>
      <c r="BM92" t="s">
        <v>722</v>
      </c>
      <c r="BN92" t="s">
        <v>161</v>
      </c>
      <c r="BO92">
        <v>1</v>
      </c>
      <c r="BP92" t="s">
        <v>897</v>
      </c>
      <c r="BR92" t="s">
        <v>150</v>
      </c>
      <c r="BS92">
        <v>38</v>
      </c>
      <c r="BT92">
        <v>0</v>
      </c>
      <c r="BU92">
        <v>0</v>
      </c>
      <c r="BW92">
        <v>0</v>
      </c>
      <c r="BY92" t="s">
        <v>106</v>
      </c>
      <c r="BZ92" t="s">
        <v>142</v>
      </c>
      <c r="CA92" t="s">
        <v>112</v>
      </c>
      <c r="CB92" t="s">
        <v>112</v>
      </c>
      <c r="CC92" t="s">
        <v>121</v>
      </c>
      <c r="CD92">
        <v>18579.21</v>
      </c>
      <c r="CE92" t="s">
        <v>144</v>
      </c>
      <c r="CF92">
        <v>4000000</v>
      </c>
      <c r="CG92">
        <v>18275.61</v>
      </c>
      <c r="CH92">
        <v>0</v>
      </c>
      <c r="CI92" t="s">
        <v>112</v>
      </c>
      <c r="CJ92" t="s">
        <v>112</v>
      </c>
      <c r="CK92">
        <v>46055.88</v>
      </c>
      <c r="CL92">
        <v>3845017</v>
      </c>
      <c r="CM92">
        <v>0</v>
      </c>
      <c r="CN92">
        <v>1</v>
      </c>
      <c r="CO92">
        <v>4208180.26</v>
      </c>
      <c r="CP92">
        <v>54667.24</v>
      </c>
      <c r="CQ92" t="s">
        <v>145</v>
      </c>
      <c r="CR92">
        <v>54667.832193000002</v>
      </c>
      <c r="CS92">
        <v>2.9912999999999998</v>
      </c>
      <c r="CT92">
        <v>45</v>
      </c>
      <c r="CU92" t="s">
        <v>171</v>
      </c>
      <c r="CV92" t="s">
        <v>372</v>
      </c>
      <c r="CW92">
        <v>174</v>
      </c>
    </row>
    <row r="93" spans="1:101" x14ac:dyDescent="0.2">
      <c r="A93" t="s">
        <v>106</v>
      </c>
      <c r="B93" s="46">
        <v>45154</v>
      </c>
      <c r="C93" t="s">
        <v>417</v>
      </c>
      <c r="D93" t="s">
        <v>108</v>
      </c>
      <c r="E93" t="s">
        <v>418</v>
      </c>
      <c r="F93" t="s">
        <v>3244</v>
      </c>
      <c r="G93" t="s">
        <v>111</v>
      </c>
      <c r="H93" t="s">
        <v>112</v>
      </c>
      <c r="I93" t="s">
        <v>112</v>
      </c>
      <c r="J93" t="s">
        <v>112</v>
      </c>
      <c r="K93" t="s">
        <v>150</v>
      </c>
      <c r="L93" t="s">
        <v>151</v>
      </c>
      <c r="M93" t="s">
        <v>112</v>
      </c>
      <c r="N93" t="s">
        <v>112</v>
      </c>
      <c r="O93">
        <v>1</v>
      </c>
      <c r="P93">
        <v>0</v>
      </c>
      <c r="Q93">
        <v>1</v>
      </c>
      <c r="R93">
        <v>33</v>
      </c>
      <c r="S93" t="s">
        <v>166</v>
      </c>
      <c r="T93" t="s">
        <v>152</v>
      </c>
      <c r="U93" t="s">
        <v>153</v>
      </c>
      <c r="V93" t="s">
        <v>154</v>
      </c>
      <c r="W93" t="s">
        <v>119</v>
      </c>
      <c r="X93" t="s">
        <v>112</v>
      </c>
      <c r="Y93" t="s">
        <v>166</v>
      </c>
      <c r="Z93" t="s">
        <v>152</v>
      </c>
      <c r="AA93" t="s">
        <v>153</v>
      </c>
      <c r="AB93" t="s">
        <v>154</v>
      </c>
      <c r="AC93" t="s">
        <v>119</v>
      </c>
      <c r="AD93" t="s">
        <v>112</v>
      </c>
      <c r="AE93" t="s">
        <v>121</v>
      </c>
      <c r="AF93" t="s">
        <v>122</v>
      </c>
      <c r="AG93">
        <v>3390567.39</v>
      </c>
      <c r="AH93" t="s">
        <v>166</v>
      </c>
      <c r="AI93" t="s">
        <v>152</v>
      </c>
      <c r="AJ93" t="s">
        <v>153</v>
      </c>
      <c r="AK93" t="s">
        <v>154</v>
      </c>
      <c r="AL93" t="s">
        <v>119</v>
      </c>
      <c r="AM93" t="s">
        <v>112</v>
      </c>
      <c r="AN93" t="s">
        <v>121</v>
      </c>
      <c r="AO93" t="s">
        <v>122</v>
      </c>
      <c r="AP93" t="s">
        <v>122</v>
      </c>
      <c r="AQ93" t="s">
        <v>124</v>
      </c>
      <c r="AR93" t="s">
        <v>125</v>
      </c>
      <c r="AS93">
        <v>2</v>
      </c>
      <c r="AT93" t="s">
        <v>126</v>
      </c>
      <c r="AU93" t="s">
        <v>155</v>
      </c>
      <c r="AV93" t="s">
        <v>156</v>
      </c>
      <c r="AW93">
        <v>1</v>
      </c>
      <c r="AX93" t="s">
        <v>129</v>
      </c>
      <c r="AY93">
        <v>40614.04</v>
      </c>
      <c r="AZ93">
        <v>3062550</v>
      </c>
      <c r="BA93">
        <v>48899.69</v>
      </c>
      <c r="BB93">
        <v>75.406199999999998</v>
      </c>
      <c r="BC93" t="s">
        <v>130</v>
      </c>
      <c r="BD93" t="s">
        <v>112</v>
      </c>
      <c r="BE93" t="s">
        <v>157</v>
      </c>
      <c r="BF93" t="s">
        <v>133</v>
      </c>
      <c r="BG93" t="s">
        <v>134</v>
      </c>
      <c r="BH93" t="s">
        <v>112</v>
      </c>
      <c r="BI93" t="s">
        <v>112</v>
      </c>
      <c r="BJ93" t="s">
        <v>112</v>
      </c>
      <c r="BK93" t="s">
        <v>169</v>
      </c>
      <c r="BL93" t="s">
        <v>159</v>
      </c>
      <c r="BM93" t="s">
        <v>212</v>
      </c>
      <c r="BN93" t="s">
        <v>161</v>
      </c>
      <c r="BO93">
        <v>1</v>
      </c>
      <c r="BP93" t="s">
        <v>419</v>
      </c>
      <c r="BR93" t="s">
        <v>150</v>
      </c>
      <c r="BS93">
        <v>33</v>
      </c>
      <c r="BT93">
        <v>0</v>
      </c>
      <c r="BU93">
        <v>0</v>
      </c>
      <c r="BW93">
        <v>0</v>
      </c>
      <c r="BY93" t="s">
        <v>106</v>
      </c>
      <c r="BZ93" t="s">
        <v>142</v>
      </c>
      <c r="CA93" t="s">
        <v>112</v>
      </c>
      <c r="CB93" t="s">
        <v>112</v>
      </c>
      <c r="CC93" t="s">
        <v>121</v>
      </c>
      <c r="CD93">
        <v>17169.61</v>
      </c>
      <c r="CE93" t="s">
        <v>144</v>
      </c>
      <c r="CF93">
        <v>4000000</v>
      </c>
      <c r="CG93">
        <v>17169.61</v>
      </c>
      <c r="CH93">
        <v>0</v>
      </c>
      <c r="CI93" t="s">
        <v>112</v>
      </c>
      <c r="CJ93" t="s">
        <v>112</v>
      </c>
      <c r="CK93">
        <v>40614.04</v>
      </c>
      <c r="CL93">
        <v>3062550</v>
      </c>
      <c r="CM93">
        <v>0</v>
      </c>
      <c r="CN93">
        <v>1</v>
      </c>
      <c r="CO93">
        <v>3390567.39</v>
      </c>
      <c r="CP93">
        <v>48899.69</v>
      </c>
      <c r="CQ93" t="s">
        <v>145</v>
      </c>
      <c r="CR93">
        <v>48899.049279999999</v>
      </c>
      <c r="CS93">
        <v>2.8479999999999999</v>
      </c>
      <c r="CT93">
        <v>45</v>
      </c>
      <c r="CU93" t="s">
        <v>171</v>
      </c>
      <c r="CV93" t="s">
        <v>369</v>
      </c>
      <c r="CW93">
        <v>140</v>
      </c>
    </row>
    <row r="94" spans="1:101" x14ac:dyDescent="0.2">
      <c r="A94" t="s">
        <v>106</v>
      </c>
      <c r="B94" s="46">
        <v>44927</v>
      </c>
      <c r="C94" t="s">
        <v>107</v>
      </c>
      <c r="D94" t="s">
        <v>108</v>
      </c>
      <c r="E94" t="s">
        <v>109</v>
      </c>
      <c r="F94" t="s">
        <v>3244</v>
      </c>
      <c r="G94" t="s">
        <v>111</v>
      </c>
      <c r="H94" t="s">
        <v>112</v>
      </c>
      <c r="I94" t="s">
        <v>112</v>
      </c>
      <c r="J94" t="s">
        <v>112</v>
      </c>
      <c r="K94" t="s">
        <v>113</v>
      </c>
      <c r="L94" t="s">
        <v>114</v>
      </c>
      <c r="M94" t="s">
        <v>112</v>
      </c>
      <c r="N94" t="s">
        <v>112</v>
      </c>
      <c r="O94">
        <v>1</v>
      </c>
      <c r="P94">
        <v>0</v>
      </c>
      <c r="Q94">
        <v>1</v>
      </c>
      <c r="R94">
        <v>33</v>
      </c>
      <c r="S94" t="s">
        <v>115</v>
      </c>
      <c r="T94" t="s">
        <v>116</v>
      </c>
      <c r="U94" t="s">
        <v>117</v>
      </c>
      <c r="V94" t="s">
        <v>118</v>
      </c>
      <c r="W94" t="s">
        <v>119</v>
      </c>
      <c r="X94" t="s">
        <v>120</v>
      </c>
      <c r="Y94" t="s">
        <v>115</v>
      </c>
      <c r="Z94" t="s">
        <v>116</v>
      </c>
      <c r="AA94" t="s">
        <v>117</v>
      </c>
      <c r="AB94" t="s">
        <v>118</v>
      </c>
      <c r="AC94" t="s">
        <v>119</v>
      </c>
      <c r="AD94" t="s">
        <v>120</v>
      </c>
      <c r="AE94" t="s">
        <v>121</v>
      </c>
      <c r="AF94" t="s">
        <v>122</v>
      </c>
      <c r="AG94">
        <v>3922236.91</v>
      </c>
      <c r="AH94" t="s">
        <v>115</v>
      </c>
      <c r="AI94" t="s">
        <v>116</v>
      </c>
      <c r="AJ94" t="s">
        <v>117</v>
      </c>
      <c r="AK94" t="s">
        <v>118</v>
      </c>
      <c r="AL94" t="s">
        <v>119</v>
      </c>
      <c r="AM94" t="s">
        <v>120</v>
      </c>
      <c r="AN94" t="s">
        <v>121</v>
      </c>
      <c r="AO94" t="s">
        <v>122</v>
      </c>
      <c r="AP94" t="s">
        <v>123</v>
      </c>
      <c r="AQ94" t="s">
        <v>124</v>
      </c>
      <c r="AR94" t="s">
        <v>125</v>
      </c>
      <c r="AS94">
        <v>2</v>
      </c>
      <c r="AT94" t="s">
        <v>126</v>
      </c>
      <c r="AU94" t="s">
        <v>127</v>
      </c>
      <c r="AV94" t="s">
        <v>128</v>
      </c>
      <c r="AW94">
        <v>1</v>
      </c>
      <c r="AX94" t="s">
        <v>129</v>
      </c>
      <c r="AY94">
        <v>48900.78</v>
      </c>
      <c r="AZ94">
        <v>3687422</v>
      </c>
      <c r="BA94">
        <v>56567.57</v>
      </c>
      <c r="BB94">
        <v>75.406199999999998</v>
      </c>
      <c r="BC94" t="s">
        <v>130</v>
      </c>
      <c r="BD94" t="s">
        <v>131</v>
      </c>
      <c r="BE94" t="s">
        <v>132</v>
      </c>
      <c r="BF94" t="s">
        <v>133</v>
      </c>
      <c r="BG94" t="s">
        <v>134</v>
      </c>
      <c r="BH94" t="s">
        <v>112</v>
      </c>
      <c r="BI94" t="s">
        <v>135</v>
      </c>
      <c r="BJ94" t="s">
        <v>112</v>
      </c>
      <c r="BK94" t="s">
        <v>136</v>
      </c>
      <c r="BL94" t="s">
        <v>137</v>
      </c>
      <c r="BM94" t="s">
        <v>138</v>
      </c>
      <c r="BN94" t="s">
        <v>139</v>
      </c>
      <c r="BO94">
        <v>1</v>
      </c>
      <c r="BP94" t="s">
        <v>140</v>
      </c>
      <c r="BR94" t="s">
        <v>141</v>
      </c>
      <c r="BS94">
        <v>33</v>
      </c>
      <c r="BT94">
        <v>0</v>
      </c>
      <c r="BU94">
        <v>0</v>
      </c>
      <c r="BW94">
        <v>0</v>
      </c>
      <c r="BY94" t="s">
        <v>106</v>
      </c>
      <c r="BZ94" t="s">
        <v>142</v>
      </c>
      <c r="CA94" t="s">
        <v>112</v>
      </c>
      <c r="CB94" t="s">
        <v>112</v>
      </c>
      <c r="CC94" t="s">
        <v>143</v>
      </c>
      <c r="CD94">
        <v>15042.96</v>
      </c>
      <c r="CE94" t="s">
        <v>144</v>
      </c>
      <c r="CF94">
        <v>4000000</v>
      </c>
      <c r="CG94">
        <v>14929.92</v>
      </c>
      <c r="CH94">
        <v>0</v>
      </c>
      <c r="CI94" t="s">
        <v>112</v>
      </c>
      <c r="CJ94" t="s">
        <v>112</v>
      </c>
      <c r="CK94">
        <v>48900.78</v>
      </c>
      <c r="CL94">
        <v>3687422</v>
      </c>
      <c r="CM94">
        <v>0</v>
      </c>
      <c r="CN94">
        <v>1</v>
      </c>
      <c r="CO94">
        <v>3922236.91</v>
      </c>
      <c r="CP94">
        <v>56567.57</v>
      </c>
      <c r="CQ94" t="s">
        <v>145</v>
      </c>
      <c r="CR94">
        <v>56567.973888</v>
      </c>
      <c r="CS94">
        <v>3.7888999999999999</v>
      </c>
      <c r="CT94">
        <v>941</v>
      </c>
      <c r="CU94" t="s">
        <v>146</v>
      </c>
      <c r="CV94" t="s">
        <v>147</v>
      </c>
      <c r="CW94">
        <v>317</v>
      </c>
    </row>
    <row r="95" spans="1:101" x14ac:dyDescent="0.2">
      <c r="A95" t="s">
        <v>106</v>
      </c>
      <c r="B95" s="46">
        <v>45084</v>
      </c>
      <c r="C95" t="s">
        <v>420</v>
      </c>
      <c r="D95" t="s">
        <v>108</v>
      </c>
      <c r="E95" t="s">
        <v>421</v>
      </c>
      <c r="F95" t="s">
        <v>3244</v>
      </c>
      <c r="G95" t="s">
        <v>111</v>
      </c>
      <c r="H95" t="s">
        <v>112</v>
      </c>
      <c r="I95" t="s">
        <v>112</v>
      </c>
      <c r="J95" t="s">
        <v>112</v>
      </c>
      <c r="K95" t="s">
        <v>150</v>
      </c>
      <c r="L95" t="s">
        <v>151</v>
      </c>
      <c r="M95" t="s">
        <v>112</v>
      </c>
      <c r="N95" t="s">
        <v>112</v>
      </c>
      <c r="O95">
        <v>1</v>
      </c>
      <c r="P95">
        <v>0</v>
      </c>
      <c r="Q95">
        <v>1</v>
      </c>
      <c r="R95">
        <v>33</v>
      </c>
      <c r="S95" t="s">
        <v>166</v>
      </c>
      <c r="T95" t="s">
        <v>152</v>
      </c>
      <c r="U95" t="s">
        <v>153</v>
      </c>
      <c r="V95" t="s">
        <v>154</v>
      </c>
      <c r="W95" t="s">
        <v>119</v>
      </c>
      <c r="X95" t="s">
        <v>112</v>
      </c>
      <c r="Y95" t="s">
        <v>166</v>
      </c>
      <c r="Z95" t="s">
        <v>152</v>
      </c>
      <c r="AA95" t="s">
        <v>153</v>
      </c>
      <c r="AB95" t="s">
        <v>154</v>
      </c>
      <c r="AC95" t="s">
        <v>119</v>
      </c>
      <c r="AD95" t="s">
        <v>112</v>
      </c>
      <c r="AE95" t="s">
        <v>121</v>
      </c>
      <c r="AF95" t="s">
        <v>122</v>
      </c>
      <c r="AG95">
        <v>3473981.73</v>
      </c>
      <c r="AH95" t="s">
        <v>166</v>
      </c>
      <c r="AI95" t="s">
        <v>152</v>
      </c>
      <c r="AJ95" t="s">
        <v>153</v>
      </c>
      <c r="AK95" t="s">
        <v>154</v>
      </c>
      <c r="AL95" t="s">
        <v>119</v>
      </c>
      <c r="AM95" t="s">
        <v>112</v>
      </c>
      <c r="AN95" t="s">
        <v>121</v>
      </c>
      <c r="AO95" t="s">
        <v>122</v>
      </c>
      <c r="AP95" t="s">
        <v>122</v>
      </c>
      <c r="AQ95" t="s">
        <v>124</v>
      </c>
      <c r="AR95" t="s">
        <v>125</v>
      </c>
      <c r="AS95">
        <v>2</v>
      </c>
      <c r="AT95" t="s">
        <v>126</v>
      </c>
      <c r="AU95" t="s">
        <v>155</v>
      </c>
      <c r="AV95" t="s">
        <v>156</v>
      </c>
      <c r="AW95">
        <v>1</v>
      </c>
      <c r="AX95" t="s">
        <v>129</v>
      </c>
      <c r="AY95">
        <v>41720.239999999998</v>
      </c>
      <c r="AZ95">
        <v>3145965</v>
      </c>
      <c r="BA95">
        <v>50102.71</v>
      </c>
      <c r="BB95">
        <v>75.406199999999998</v>
      </c>
      <c r="BC95" t="s">
        <v>130</v>
      </c>
      <c r="BD95" t="s">
        <v>112</v>
      </c>
      <c r="BE95" t="s">
        <v>157</v>
      </c>
      <c r="BF95" t="s">
        <v>133</v>
      </c>
      <c r="BG95" t="s">
        <v>134</v>
      </c>
      <c r="BH95" t="s">
        <v>112</v>
      </c>
      <c r="BI95" t="s">
        <v>112</v>
      </c>
      <c r="BJ95" t="s">
        <v>112</v>
      </c>
      <c r="BK95" t="s">
        <v>169</v>
      </c>
      <c r="BL95" t="s">
        <v>159</v>
      </c>
      <c r="BM95" t="s">
        <v>212</v>
      </c>
      <c r="BN95" t="s">
        <v>161</v>
      </c>
      <c r="BO95">
        <v>1</v>
      </c>
      <c r="BP95" t="s">
        <v>422</v>
      </c>
      <c r="BR95" t="s">
        <v>150</v>
      </c>
      <c r="BS95">
        <v>33</v>
      </c>
      <c r="BT95">
        <v>0</v>
      </c>
      <c r="BU95">
        <v>0</v>
      </c>
      <c r="BW95">
        <v>0</v>
      </c>
      <c r="BY95" t="s">
        <v>106</v>
      </c>
      <c r="BZ95" t="s">
        <v>142</v>
      </c>
      <c r="CA95" t="s">
        <v>112</v>
      </c>
      <c r="CB95" t="s">
        <v>112</v>
      </c>
      <c r="CC95" t="s">
        <v>121</v>
      </c>
      <c r="CD95">
        <v>17136.810000000001</v>
      </c>
      <c r="CE95" t="s">
        <v>144</v>
      </c>
      <c r="CF95">
        <v>4000000</v>
      </c>
      <c r="CG95">
        <v>17136.810000000001</v>
      </c>
      <c r="CH95">
        <v>0</v>
      </c>
      <c r="CI95" t="s">
        <v>112</v>
      </c>
      <c r="CJ95" t="s">
        <v>112</v>
      </c>
      <c r="CK95">
        <v>41720.239999999998</v>
      </c>
      <c r="CL95">
        <v>3145965</v>
      </c>
      <c r="CM95">
        <v>0</v>
      </c>
      <c r="CN95">
        <v>1</v>
      </c>
      <c r="CO95">
        <v>3473981.73</v>
      </c>
      <c r="CP95">
        <v>50102.71</v>
      </c>
      <c r="CQ95" t="s">
        <v>145</v>
      </c>
      <c r="CR95">
        <v>50102.891397000007</v>
      </c>
      <c r="CS95">
        <v>2.9237000000000002</v>
      </c>
      <c r="CT95">
        <v>45</v>
      </c>
      <c r="CU95" t="s">
        <v>171</v>
      </c>
      <c r="CV95" t="s">
        <v>372</v>
      </c>
      <c r="CW95">
        <v>271</v>
      </c>
    </row>
    <row r="96" spans="1:101" x14ac:dyDescent="0.2">
      <c r="A96" t="s">
        <v>106</v>
      </c>
      <c r="B96" s="46">
        <v>45232</v>
      </c>
      <c r="C96" t="s">
        <v>164</v>
      </c>
      <c r="D96" t="s">
        <v>108</v>
      </c>
      <c r="E96" t="s">
        <v>165</v>
      </c>
      <c r="F96" t="s">
        <v>3244</v>
      </c>
      <c r="G96" t="s">
        <v>111</v>
      </c>
      <c r="H96" t="s">
        <v>112</v>
      </c>
      <c r="I96" t="s">
        <v>112</v>
      </c>
      <c r="J96" t="s">
        <v>112</v>
      </c>
      <c r="K96" t="s">
        <v>150</v>
      </c>
      <c r="L96" t="s">
        <v>151</v>
      </c>
      <c r="M96" t="s">
        <v>112</v>
      </c>
      <c r="N96" t="s">
        <v>112</v>
      </c>
      <c r="O96">
        <v>1</v>
      </c>
      <c r="P96">
        <v>0</v>
      </c>
      <c r="Q96">
        <v>1</v>
      </c>
      <c r="R96">
        <v>36</v>
      </c>
      <c r="S96" t="s">
        <v>166</v>
      </c>
      <c r="T96" t="s">
        <v>152</v>
      </c>
      <c r="U96" t="s">
        <v>153</v>
      </c>
      <c r="V96" t="s">
        <v>154</v>
      </c>
      <c r="W96" t="s">
        <v>119</v>
      </c>
      <c r="X96" t="s">
        <v>112</v>
      </c>
      <c r="Y96" t="s">
        <v>166</v>
      </c>
      <c r="Z96" t="s">
        <v>152</v>
      </c>
      <c r="AA96" t="s">
        <v>153</v>
      </c>
      <c r="AB96" t="s">
        <v>154</v>
      </c>
      <c r="AC96" t="s">
        <v>119</v>
      </c>
      <c r="AD96" t="s">
        <v>112</v>
      </c>
      <c r="AE96" t="s">
        <v>121</v>
      </c>
      <c r="AF96" t="s">
        <v>122</v>
      </c>
      <c r="AG96">
        <v>3793477.8</v>
      </c>
      <c r="AH96" t="s">
        <v>166</v>
      </c>
      <c r="AI96" t="s">
        <v>152</v>
      </c>
      <c r="AJ96" t="s">
        <v>153</v>
      </c>
      <c r="AK96" t="s">
        <v>154</v>
      </c>
      <c r="AL96" t="s">
        <v>119</v>
      </c>
      <c r="AM96" t="s">
        <v>112</v>
      </c>
      <c r="AN96" t="s">
        <v>121</v>
      </c>
      <c r="AO96" t="s">
        <v>122</v>
      </c>
      <c r="AP96" t="s">
        <v>122</v>
      </c>
      <c r="AQ96" t="s">
        <v>124</v>
      </c>
      <c r="AR96" t="s">
        <v>125</v>
      </c>
      <c r="AS96">
        <v>2</v>
      </c>
      <c r="AT96" t="s">
        <v>126</v>
      </c>
      <c r="AU96" t="s">
        <v>155</v>
      </c>
      <c r="AV96" t="s">
        <v>156</v>
      </c>
      <c r="AW96">
        <v>1</v>
      </c>
      <c r="AX96" t="s">
        <v>129</v>
      </c>
      <c r="AY96">
        <v>45957.24</v>
      </c>
      <c r="AZ96">
        <v>3465461</v>
      </c>
      <c r="BA96">
        <v>54710.57</v>
      </c>
      <c r="BB96">
        <v>75.406199999999998</v>
      </c>
      <c r="BC96" t="s">
        <v>130</v>
      </c>
      <c r="BD96" t="s">
        <v>112</v>
      </c>
      <c r="BE96" t="s">
        <v>157</v>
      </c>
      <c r="BF96" t="s">
        <v>133</v>
      </c>
      <c r="BG96" t="s">
        <v>167</v>
      </c>
      <c r="BH96" t="s">
        <v>168</v>
      </c>
      <c r="BI96" t="s">
        <v>112</v>
      </c>
      <c r="BJ96" t="s">
        <v>112</v>
      </c>
      <c r="BK96" t="s">
        <v>169</v>
      </c>
      <c r="BL96" t="s">
        <v>159</v>
      </c>
      <c r="BM96" t="s">
        <v>160</v>
      </c>
      <c r="BN96" t="s">
        <v>161</v>
      </c>
      <c r="BO96">
        <v>1</v>
      </c>
      <c r="BP96" t="s">
        <v>170</v>
      </c>
      <c r="BR96" t="s">
        <v>150</v>
      </c>
      <c r="BS96">
        <v>36</v>
      </c>
      <c r="BT96">
        <v>0</v>
      </c>
      <c r="BU96">
        <v>0</v>
      </c>
      <c r="BW96">
        <v>0</v>
      </c>
      <c r="BY96" t="s">
        <v>106</v>
      </c>
      <c r="BZ96" t="s">
        <v>142</v>
      </c>
      <c r="CA96" t="s">
        <v>112</v>
      </c>
      <c r="CB96" t="s">
        <v>112</v>
      </c>
      <c r="CC96" t="s">
        <v>121</v>
      </c>
      <c r="CD96">
        <v>19386.87</v>
      </c>
      <c r="CE96" t="s">
        <v>144</v>
      </c>
      <c r="CF96">
        <v>4000000</v>
      </c>
      <c r="CG96">
        <v>19386.87</v>
      </c>
      <c r="CH96">
        <v>0</v>
      </c>
      <c r="CI96" t="s">
        <v>112</v>
      </c>
      <c r="CJ96" t="s">
        <v>112</v>
      </c>
      <c r="CK96">
        <v>45957.24</v>
      </c>
      <c r="CL96">
        <v>3465461</v>
      </c>
      <c r="CM96">
        <v>0</v>
      </c>
      <c r="CN96">
        <v>1</v>
      </c>
      <c r="CO96">
        <v>3793477.8</v>
      </c>
      <c r="CP96">
        <v>54710.57</v>
      </c>
      <c r="CQ96" t="s">
        <v>145</v>
      </c>
      <c r="CR96">
        <v>54709.747139999999</v>
      </c>
      <c r="CS96">
        <v>2.8220000000000001</v>
      </c>
      <c r="CT96">
        <v>45</v>
      </c>
      <c r="CU96" t="s">
        <v>171</v>
      </c>
      <c r="CV96" t="s">
        <v>172</v>
      </c>
      <c r="CW96">
        <v>137</v>
      </c>
    </row>
    <row r="97" spans="1:101" x14ac:dyDescent="0.2">
      <c r="A97" t="s">
        <v>106</v>
      </c>
      <c r="B97" s="46">
        <v>45024</v>
      </c>
      <c r="C97" t="s">
        <v>1195</v>
      </c>
      <c r="D97" t="s">
        <v>108</v>
      </c>
      <c r="E97" t="s">
        <v>1196</v>
      </c>
      <c r="F97" t="s">
        <v>3244</v>
      </c>
      <c r="G97" t="s">
        <v>111</v>
      </c>
      <c r="H97" t="s">
        <v>112</v>
      </c>
      <c r="I97" t="s">
        <v>112</v>
      </c>
      <c r="J97" t="s">
        <v>112</v>
      </c>
      <c r="K97" t="s">
        <v>150</v>
      </c>
      <c r="L97" t="s">
        <v>151</v>
      </c>
      <c r="M97" t="s">
        <v>112</v>
      </c>
      <c r="N97" t="s">
        <v>112</v>
      </c>
      <c r="O97">
        <v>1</v>
      </c>
      <c r="Q97">
        <v>1</v>
      </c>
      <c r="R97">
        <v>33</v>
      </c>
      <c r="S97" t="s">
        <v>112</v>
      </c>
      <c r="T97" t="s">
        <v>152</v>
      </c>
      <c r="U97" t="s">
        <v>153</v>
      </c>
      <c r="V97" t="s">
        <v>154</v>
      </c>
      <c r="W97" t="s">
        <v>119</v>
      </c>
      <c r="X97" t="s">
        <v>112</v>
      </c>
      <c r="Y97" t="s">
        <v>112</v>
      </c>
      <c r="Z97" t="s">
        <v>152</v>
      </c>
      <c r="AA97" t="s">
        <v>153</v>
      </c>
      <c r="AB97" t="s">
        <v>154</v>
      </c>
      <c r="AC97" t="s">
        <v>119</v>
      </c>
      <c r="AD97" t="s">
        <v>112</v>
      </c>
      <c r="AE97" t="s">
        <v>121</v>
      </c>
      <c r="AF97" t="s">
        <v>122</v>
      </c>
      <c r="AG97">
        <v>4552514.95</v>
      </c>
      <c r="AH97" t="s">
        <v>112</v>
      </c>
      <c r="AI97" t="s">
        <v>152</v>
      </c>
      <c r="AJ97" t="s">
        <v>153</v>
      </c>
      <c r="AK97" t="s">
        <v>154</v>
      </c>
      <c r="AL97" t="s">
        <v>119</v>
      </c>
      <c r="AM97" t="s">
        <v>112</v>
      </c>
      <c r="AN97" t="s">
        <v>121</v>
      </c>
      <c r="AO97" t="s">
        <v>122</v>
      </c>
      <c r="AP97" t="s">
        <v>122</v>
      </c>
      <c r="AQ97" t="s">
        <v>124</v>
      </c>
      <c r="AR97" t="s">
        <v>125</v>
      </c>
      <c r="AS97">
        <v>2</v>
      </c>
      <c r="AT97" t="s">
        <v>126</v>
      </c>
      <c r="AU97" t="s">
        <v>155</v>
      </c>
      <c r="AV97" t="s">
        <v>156</v>
      </c>
      <c r="AX97" t="s">
        <v>129</v>
      </c>
      <c r="AY97">
        <v>42211.28</v>
      </c>
      <c r="BB97">
        <v>97.065899999999999</v>
      </c>
      <c r="BC97" t="s">
        <v>112</v>
      </c>
      <c r="BD97" t="s">
        <v>112</v>
      </c>
      <c r="BE97" t="s">
        <v>157</v>
      </c>
      <c r="BF97" t="s">
        <v>133</v>
      </c>
      <c r="BG97" t="s">
        <v>134</v>
      </c>
      <c r="BH97" t="s">
        <v>112</v>
      </c>
      <c r="BI97" t="s">
        <v>112</v>
      </c>
      <c r="BJ97" t="s">
        <v>112</v>
      </c>
      <c r="BK97" t="s">
        <v>158</v>
      </c>
      <c r="BL97" t="s">
        <v>159</v>
      </c>
      <c r="BM97" t="s">
        <v>212</v>
      </c>
      <c r="BN97" t="s">
        <v>161</v>
      </c>
      <c r="BP97" t="s">
        <v>205</v>
      </c>
      <c r="BR97" t="s">
        <v>150</v>
      </c>
      <c r="BS97">
        <v>33</v>
      </c>
      <c r="BT97">
        <v>0</v>
      </c>
      <c r="BU97">
        <v>0</v>
      </c>
      <c r="BW97">
        <v>0</v>
      </c>
      <c r="BY97" t="s">
        <v>106</v>
      </c>
      <c r="BZ97" t="s">
        <v>142</v>
      </c>
      <c r="CA97" t="s">
        <v>112</v>
      </c>
      <c r="CB97" t="s">
        <v>112</v>
      </c>
      <c r="CC97" t="s">
        <v>121</v>
      </c>
      <c r="CD97">
        <v>16953.12</v>
      </c>
      <c r="CE97" t="s">
        <v>144</v>
      </c>
      <c r="CF97">
        <v>4000000</v>
      </c>
      <c r="CG97">
        <v>16845.12</v>
      </c>
      <c r="CH97">
        <v>0</v>
      </c>
      <c r="CI97" t="s">
        <v>112</v>
      </c>
      <c r="CJ97" t="s">
        <v>112</v>
      </c>
      <c r="CK97">
        <v>42211.28</v>
      </c>
      <c r="CM97">
        <v>0</v>
      </c>
      <c r="CN97">
        <v>1</v>
      </c>
      <c r="CO97">
        <v>4552514.95</v>
      </c>
      <c r="CP97">
        <v>51376.87</v>
      </c>
      <c r="CQ97" t="s">
        <v>145</v>
      </c>
      <c r="CR97">
        <v>51377.615999999995</v>
      </c>
      <c r="CS97">
        <v>3.05</v>
      </c>
      <c r="CT97">
        <v>45</v>
      </c>
      <c r="CV97" t="s">
        <v>233</v>
      </c>
      <c r="CW97">
        <v>128</v>
      </c>
    </row>
    <row r="98" spans="1:101" x14ac:dyDescent="0.2">
      <c r="A98" t="s">
        <v>106</v>
      </c>
      <c r="B98" s="46">
        <v>45106</v>
      </c>
      <c r="C98" t="s">
        <v>1207</v>
      </c>
      <c r="D98" t="s">
        <v>108</v>
      </c>
      <c r="E98" t="s">
        <v>1208</v>
      </c>
      <c r="F98" t="s">
        <v>3244</v>
      </c>
      <c r="G98" t="s">
        <v>111</v>
      </c>
      <c r="H98" t="s">
        <v>112</v>
      </c>
      <c r="I98" t="s">
        <v>112</v>
      </c>
      <c r="J98" t="s">
        <v>112</v>
      </c>
      <c r="K98" t="s">
        <v>150</v>
      </c>
      <c r="L98" t="s">
        <v>151</v>
      </c>
      <c r="M98" t="s">
        <v>112</v>
      </c>
      <c r="N98" t="s">
        <v>112</v>
      </c>
      <c r="O98">
        <v>1</v>
      </c>
      <c r="Q98">
        <v>1</v>
      </c>
      <c r="R98">
        <v>33</v>
      </c>
      <c r="S98" t="s">
        <v>112</v>
      </c>
      <c r="T98" t="s">
        <v>152</v>
      </c>
      <c r="U98" t="s">
        <v>153</v>
      </c>
      <c r="V98" t="s">
        <v>154</v>
      </c>
      <c r="W98" t="s">
        <v>119</v>
      </c>
      <c r="X98" t="s">
        <v>112</v>
      </c>
      <c r="Y98" t="s">
        <v>112</v>
      </c>
      <c r="Z98" t="s">
        <v>152</v>
      </c>
      <c r="AA98" t="s">
        <v>153</v>
      </c>
      <c r="AB98" t="s">
        <v>154</v>
      </c>
      <c r="AC98" t="s">
        <v>119</v>
      </c>
      <c r="AD98" t="s">
        <v>112</v>
      </c>
      <c r="AE98" t="s">
        <v>121</v>
      </c>
      <c r="AF98" t="s">
        <v>122</v>
      </c>
      <c r="AG98">
        <v>4132566.13</v>
      </c>
      <c r="AH98" t="s">
        <v>112</v>
      </c>
      <c r="AI98" t="s">
        <v>152</v>
      </c>
      <c r="AJ98" t="s">
        <v>153</v>
      </c>
      <c r="AK98" t="s">
        <v>154</v>
      </c>
      <c r="AL98" t="s">
        <v>119</v>
      </c>
      <c r="AM98" t="s">
        <v>112</v>
      </c>
      <c r="AN98" t="s">
        <v>121</v>
      </c>
      <c r="AO98" t="s">
        <v>122</v>
      </c>
      <c r="AP98" t="s">
        <v>122</v>
      </c>
      <c r="AQ98" t="s">
        <v>124</v>
      </c>
      <c r="AR98" t="s">
        <v>125</v>
      </c>
      <c r="AS98">
        <v>2</v>
      </c>
      <c r="AT98" t="s">
        <v>126</v>
      </c>
      <c r="AU98" t="s">
        <v>155</v>
      </c>
      <c r="AV98" t="s">
        <v>156</v>
      </c>
      <c r="AX98" t="s">
        <v>129</v>
      </c>
      <c r="AY98">
        <v>38584.85</v>
      </c>
      <c r="BB98">
        <v>97.065899999999999</v>
      </c>
      <c r="BC98" t="s">
        <v>112</v>
      </c>
      <c r="BD98" t="s">
        <v>112</v>
      </c>
      <c r="BE98" t="s">
        <v>157</v>
      </c>
      <c r="BF98" t="s">
        <v>133</v>
      </c>
      <c r="BG98" t="s">
        <v>134</v>
      </c>
      <c r="BH98" t="s">
        <v>112</v>
      </c>
      <c r="BI98" t="s">
        <v>112</v>
      </c>
      <c r="BJ98" t="s">
        <v>112</v>
      </c>
      <c r="BK98" t="s">
        <v>158</v>
      </c>
      <c r="BL98" t="s">
        <v>159</v>
      </c>
      <c r="BM98" t="s">
        <v>212</v>
      </c>
      <c r="BN98" t="s">
        <v>161</v>
      </c>
      <c r="BP98" t="s">
        <v>466</v>
      </c>
      <c r="BR98" t="s">
        <v>150</v>
      </c>
      <c r="BS98">
        <v>33</v>
      </c>
      <c r="BT98">
        <v>0</v>
      </c>
      <c r="BU98">
        <v>0</v>
      </c>
      <c r="BW98">
        <v>0</v>
      </c>
      <c r="BY98" t="s">
        <v>106</v>
      </c>
      <c r="BZ98" t="s">
        <v>142</v>
      </c>
      <c r="CA98" t="s">
        <v>112</v>
      </c>
      <c r="CB98" t="s">
        <v>112</v>
      </c>
      <c r="CC98" t="s">
        <v>121</v>
      </c>
      <c r="CD98">
        <v>16498.810000000001</v>
      </c>
      <c r="CE98" t="s">
        <v>144</v>
      </c>
      <c r="CF98">
        <v>4000000</v>
      </c>
      <c r="CG98">
        <v>16498.810000000001</v>
      </c>
      <c r="CH98">
        <v>0</v>
      </c>
      <c r="CI98" t="s">
        <v>112</v>
      </c>
      <c r="CJ98" t="s">
        <v>112</v>
      </c>
      <c r="CK98">
        <v>38584.85</v>
      </c>
      <c r="CM98">
        <v>0</v>
      </c>
      <c r="CN98">
        <v>1</v>
      </c>
      <c r="CO98">
        <v>4132566.13</v>
      </c>
      <c r="CP98">
        <v>46637.59</v>
      </c>
      <c r="CQ98" t="s">
        <v>145</v>
      </c>
      <c r="CR98">
        <v>46691.632300000005</v>
      </c>
      <c r="CS98">
        <v>2.83</v>
      </c>
      <c r="CT98">
        <v>45</v>
      </c>
      <c r="CV98" t="s">
        <v>729</v>
      </c>
      <c r="CW98">
        <v>128</v>
      </c>
    </row>
    <row r="99" spans="1:101" x14ac:dyDescent="0.2">
      <c r="A99" t="s">
        <v>106</v>
      </c>
      <c r="B99" s="46">
        <v>45142</v>
      </c>
      <c r="C99" t="s">
        <v>1193</v>
      </c>
      <c r="D99" t="s">
        <v>108</v>
      </c>
      <c r="E99" t="s">
        <v>1194</v>
      </c>
      <c r="F99" t="s">
        <v>3244</v>
      </c>
      <c r="G99" t="s">
        <v>111</v>
      </c>
      <c r="H99" t="s">
        <v>112</v>
      </c>
      <c r="I99" t="s">
        <v>112</v>
      </c>
      <c r="J99" t="s">
        <v>112</v>
      </c>
      <c r="K99" t="s">
        <v>150</v>
      </c>
      <c r="L99" t="s">
        <v>151</v>
      </c>
      <c r="M99" t="s">
        <v>112</v>
      </c>
      <c r="N99" t="s">
        <v>112</v>
      </c>
      <c r="O99">
        <v>1</v>
      </c>
      <c r="Q99">
        <v>1</v>
      </c>
      <c r="R99">
        <v>33</v>
      </c>
      <c r="S99" t="s">
        <v>112</v>
      </c>
      <c r="T99" t="s">
        <v>152</v>
      </c>
      <c r="U99" t="s">
        <v>153</v>
      </c>
      <c r="V99" t="s">
        <v>154</v>
      </c>
      <c r="W99" t="s">
        <v>119</v>
      </c>
      <c r="X99" t="s">
        <v>112</v>
      </c>
      <c r="Y99" t="s">
        <v>112</v>
      </c>
      <c r="Z99" t="s">
        <v>152</v>
      </c>
      <c r="AA99" t="s">
        <v>153</v>
      </c>
      <c r="AB99" t="s">
        <v>154</v>
      </c>
      <c r="AC99" t="s">
        <v>119</v>
      </c>
      <c r="AD99" t="s">
        <v>112</v>
      </c>
      <c r="AE99" t="s">
        <v>121</v>
      </c>
      <c r="AF99" t="s">
        <v>122</v>
      </c>
      <c r="AG99">
        <v>4440939.6399999997</v>
      </c>
      <c r="AH99" t="s">
        <v>112</v>
      </c>
      <c r="AI99" t="s">
        <v>152</v>
      </c>
      <c r="AJ99" t="s">
        <v>153</v>
      </c>
      <c r="AK99" t="s">
        <v>154</v>
      </c>
      <c r="AL99" t="s">
        <v>119</v>
      </c>
      <c r="AM99" t="s">
        <v>112</v>
      </c>
      <c r="AN99" t="s">
        <v>121</v>
      </c>
      <c r="AO99" t="s">
        <v>122</v>
      </c>
      <c r="AP99" t="s">
        <v>122</v>
      </c>
      <c r="AQ99" t="s">
        <v>124</v>
      </c>
      <c r="AR99" t="s">
        <v>125</v>
      </c>
      <c r="AS99">
        <v>2</v>
      </c>
      <c r="AT99" t="s">
        <v>126</v>
      </c>
      <c r="AU99" t="s">
        <v>155</v>
      </c>
      <c r="AV99" t="s">
        <v>156</v>
      </c>
      <c r="AX99" t="s">
        <v>129</v>
      </c>
      <c r="AY99">
        <v>41761.800000000003</v>
      </c>
      <c r="BB99">
        <v>97.065899999999999</v>
      </c>
      <c r="BC99" t="s">
        <v>112</v>
      </c>
      <c r="BD99" t="s">
        <v>112</v>
      </c>
      <c r="BE99" t="s">
        <v>157</v>
      </c>
      <c r="BF99" t="s">
        <v>133</v>
      </c>
      <c r="BG99" t="s">
        <v>134</v>
      </c>
      <c r="BH99" t="s">
        <v>112</v>
      </c>
      <c r="BI99" t="s">
        <v>112</v>
      </c>
      <c r="BJ99" t="s">
        <v>112</v>
      </c>
      <c r="BK99" t="s">
        <v>158</v>
      </c>
      <c r="BL99" t="s">
        <v>159</v>
      </c>
      <c r="BM99" t="s">
        <v>212</v>
      </c>
      <c r="BN99" t="s">
        <v>161</v>
      </c>
      <c r="BP99" t="s">
        <v>232</v>
      </c>
      <c r="BR99" t="s">
        <v>150</v>
      </c>
      <c r="BS99">
        <v>33</v>
      </c>
      <c r="BT99">
        <v>0</v>
      </c>
      <c r="BU99">
        <v>0</v>
      </c>
      <c r="BW99">
        <v>0</v>
      </c>
      <c r="BY99" t="s">
        <v>106</v>
      </c>
      <c r="BZ99" t="s">
        <v>142</v>
      </c>
      <c r="CA99" t="s">
        <v>112</v>
      </c>
      <c r="CB99" t="s">
        <v>112</v>
      </c>
      <c r="CC99" t="s">
        <v>121</v>
      </c>
      <c r="CD99">
        <v>16665.48</v>
      </c>
      <c r="CE99" t="s">
        <v>144</v>
      </c>
      <c r="CF99">
        <v>4000000</v>
      </c>
      <c r="CG99">
        <v>16557.48</v>
      </c>
      <c r="CH99">
        <v>0</v>
      </c>
      <c r="CI99" t="s">
        <v>112</v>
      </c>
      <c r="CJ99" t="s">
        <v>112</v>
      </c>
      <c r="CK99">
        <v>41761.800000000003</v>
      </c>
      <c r="CM99">
        <v>0</v>
      </c>
      <c r="CN99">
        <v>1</v>
      </c>
      <c r="CO99">
        <v>4440939.6399999997</v>
      </c>
      <c r="CP99">
        <v>50117.7</v>
      </c>
      <c r="CQ99" t="s">
        <v>145</v>
      </c>
      <c r="CR99">
        <v>50169.164399999994</v>
      </c>
      <c r="CS99">
        <v>3.03</v>
      </c>
      <c r="CT99">
        <v>45</v>
      </c>
      <c r="CV99" t="s">
        <v>1140</v>
      </c>
      <c r="CW99">
        <v>52</v>
      </c>
    </row>
    <row r="100" spans="1:101" x14ac:dyDescent="0.2">
      <c r="A100" t="s">
        <v>106</v>
      </c>
      <c r="B100" s="46">
        <v>45107</v>
      </c>
      <c r="C100" t="s">
        <v>1162</v>
      </c>
      <c r="D100" t="s">
        <v>108</v>
      </c>
      <c r="E100" t="s">
        <v>1163</v>
      </c>
      <c r="F100" t="s">
        <v>3244</v>
      </c>
      <c r="G100" t="s">
        <v>111</v>
      </c>
      <c r="H100" t="s">
        <v>112</v>
      </c>
      <c r="I100" t="s">
        <v>112</v>
      </c>
      <c r="J100" t="s">
        <v>112</v>
      </c>
      <c r="K100" t="s">
        <v>150</v>
      </c>
      <c r="L100" t="s">
        <v>151</v>
      </c>
      <c r="M100" t="s">
        <v>112</v>
      </c>
      <c r="N100" t="s">
        <v>112</v>
      </c>
      <c r="O100">
        <v>1</v>
      </c>
      <c r="Q100">
        <v>1</v>
      </c>
      <c r="R100">
        <v>33</v>
      </c>
      <c r="S100" t="s">
        <v>112</v>
      </c>
      <c r="T100" t="s">
        <v>152</v>
      </c>
      <c r="U100" t="s">
        <v>153</v>
      </c>
      <c r="V100" t="s">
        <v>154</v>
      </c>
      <c r="W100" t="s">
        <v>119</v>
      </c>
      <c r="X100" t="s">
        <v>112</v>
      </c>
      <c r="Y100" t="s">
        <v>112</v>
      </c>
      <c r="Z100" t="s">
        <v>152</v>
      </c>
      <c r="AA100" t="s">
        <v>153</v>
      </c>
      <c r="AB100" t="s">
        <v>154</v>
      </c>
      <c r="AC100" t="s">
        <v>119</v>
      </c>
      <c r="AD100" t="s">
        <v>112</v>
      </c>
      <c r="AE100" t="s">
        <v>121</v>
      </c>
      <c r="AF100" t="s">
        <v>122</v>
      </c>
      <c r="AG100">
        <v>4283854.9800000004</v>
      </c>
      <c r="AH100" t="s">
        <v>112</v>
      </c>
      <c r="AI100" t="s">
        <v>152</v>
      </c>
      <c r="AJ100" t="s">
        <v>153</v>
      </c>
      <c r="AK100" t="s">
        <v>154</v>
      </c>
      <c r="AL100" t="s">
        <v>119</v>
      </c>
      <c r="AM100" t="s">
        <v>112</v>
      </c>
      <c r="AN100" t="s">
        <v>121</v>
      </c>
      <c r="AO100" t="s">
        <v>122</v>
      </c>
      <c r="AP100" t="s">
        <v>122</v>
      </c>
      <c r="AQ100" t="s">
        <v>124</v>
      </c>
      <c r="AR100" t="s">
        <v>125</v>
      </c>
      <c r="AS100">
        <v>2</v>
      </c>
      <c r="AT100" t="s">
        <v>126</v>
      </c>
      <c r="AU100" t="s">
        <v>155</v>
      </c>
      <c r="AV100" t="s">
        <v>156</v>
      </c>
      <c r="AX100" t="s">
        <v>129</v>
      </c>
      <c r="AY100">
        <v>40143.47</v>
      </c>
      <c r="BB100">
        <v>97.065899999999999</v>
      </c>
      <c r="BC100" t="s">
        <v>112</v>
      </c>
      <c r="BD100" t="s">
        <v>112</v>
      </c>
      <c r="BE100" t="s">
        <v>157</v>
      </c>
      <c r="BF100" t="s">
        <v>133</v>
      </c>
      <c r="BG100" t="s">
        <v>134</v>
      </c>
      <c r="BH100" t="s">
        <v>112</v>
      </c>
      <c r="BI100" t="s">
        <v>112</v>
      </c>
      <c r="BJ100" t="s">
        <v>112</v>
      </c>
      <c r="BK100" t="s">
        <v>158</v>
      </c>
      <c r="BL100" t="s">
        <v>159</v>
      </c>
      <c r="BM100" t="s">
        <v>212</v>
      </c>
      <c r="BN100" t="s">
        <v>161</v>
      </c>
      <c r="BP100" t="s">
        <v>616</v>
      </c>
      <c r="BR100" t="s">
        <v>150</v>
      </c>
      <c r="BS100">
        <v>33</v>
      </c>
      <c r="BT100">
        <v>0</v>
      </c>
      <c r="BU100">
        <v>0</v>
      </c>
      <c r="BW100">
        <v>0</v>
      </c>
      <c r="BY100" t="s">
        <v>106</v>
      </c>
      <c r="BZ100" t="s">
        <v>142</v>
      </c>
      <c r="CA100" t="s">
        <v>112</v>
      </c>
      <c r="CB100" t="s">
        <v>112</v>
      </c>
      <c r="CC100" t="s">
        <v>121</v>
      </c>
      <c r="CD100">
        <v>16158.71</v>
      </c>
      <c r="CE100" t="s">
        <v>144</v>
      </c>
      <c r="CF100">
        <v>4000000</v>
      </c>
      <c r="CG100">
        <v>15964.31</v>
      </c>
      <c r="CH100">
        <v>0</v>
      </c>
      <c r="CI100" t="s">
        <v>112</v>
      </c>
      <c r="CJ100" t="s">
        <v>112</v>
      </c>
      <c r="CK100">
        <v>40143.47</v>
      </c>
      <c r="CM100">
        <v>0</v>
      </c>
      <c r="CN100">
        <v>1</v>
      </c>
      <c r="CO100">
        <v>4283854.9800000004</v>
      </c>
      <c r="CP100">
        <v>48344.94</v>
      </c>
      <c r="CQ100" t="s">
        <v>145</v>
      </c>
      <c r="CR100">
        <v>48371.859299999996</v>
      </c>
      <c r="CS100">
        <v>3.03</v>
      </c>
      <c r="CT100">
        <v>45</v>
      </c>
      <c r="CV100" t="s">
        <v>1140</v>
      </c>
      <c r="CW100">
        <v>108</v>
      </c>
    </row>
    <row r="101" spans="1:101" x14ac:dyDescent="0.2">
      <c r="A101" t="s">
        <v>106</v>
      </c>
      <c r="B101" s="46">
        <v>45219</v>
      </c>
      <c r="C101" t="s">
        <v>1201</v>
      </c>
      <c r="D101" t="s">
        <v>108</v>
      </c>
      <c r="E101" t="s">
        <v>1202</v>
      </c>
      <c r="F101" t="s">
        <v>3244</v>
      </c>
      <c r="G101" t="s">
        <v>111</v>
      </c>
      <c r="H101" t="s">
        <v>112</v>
      </c>
      <c r="I101" t="s">
        <v>112</v>
      </c>
      <c r="J101" t="s">
        <v>112</v>
      </c>
      <c r="K101" t="s">
        <v>150</v>
      </c>
      <c r="L101" t="s">
        <v>151</v>
      </c>
      <c r="M101" t="s">
        <v>112</v>
      </c>
      <c r="N101" t="s">
        <v>112</v>
      </c>
      <c r="O101">
        <v>1</v>
      </c>
      <c r="Q101">
        <v>1</v>
      </c>
      <c r="R101">
        <v>33</v>
      </c>
      <c r="S101" t="s">
        <v>112</v>
      </c>
      <c r="T101" t="s">
        <v>152</v>
      </c>
      <c r="U101" t="s">
        <v>153</v>
      </c>
      <c r="V101" t="s">
        <v>154</v>
      </c>
      <c r="W101" t="s">
        <v>119</v>
      </c>
      <c r="X101" t="s">
        <v>112</v>
      </c>
      <c r="Y101" t="s">
        <v>112</v>
      </c>
      <c r="Z101" t="s">
        <v>152</v>
      </c>
      <c r="AA101" t="s">
        <v>153</v>
      </c>
      <c r="AB101" t="s">
        <v>154</v>
      </c>
      <c r="AC101" t="s">
        <v>119</v>
      </c>
      <c r="AD101" t="s">
        <v>112</v>
      </c>
      <c r="AE101" t="s">
        <v>121</v>
      </c>
      <c r="AF101" t="s">
        <v>122</v>
      </c>
      <c r="AG101">
        <v>4113584.9</v>
      </c>
      <c r="AH101" t="s">
        <v>112</v>
      </c>
      <c r="AI101" t="s">
        <v>152</v>
      </c>
      <c r="AJ101" t="s">
        <v>153</v>
      </c>
      <c r="AK101" t="s">
        <v>154</v>
      </c>
      <c r="AL101" t="s">
        <v>119</v>
      </c>
      <c r="AM101" t="s">
        <v>112</v>
      </c>
      <c r="AN101" t="s">
        <v>121</v>
      </c>
      <c r="AO101" t="s">
        <v>122</v>
      </c>
      <c r="AP101" t="s">
        <v>122</v>
      </c>
      <c r="AQ101" t="s">
        <v>124</v>
      </c>
      <c r="AR101" t="s">
        <v>125</v>
      </c>
      <c r="AS101">
        <v>2</v>
      </c>
      <c r="AT101" t="s">
        <v>126</v>
      </c>
      <c r="AU101" t="s">
        <v>155</v>
      </c>
      <c r="AV101" t="s">
        <v>156</v>
      </c>
      <c r="AX101" t="s">
        <v>129</v>
      </c>
      <c r="AY101">
        <v>37859.300000000003</v>
      </c>
      <c r="BB101">
        <v>97.065899999999999</v>
      </c>
      <c r="BC101" t="s">
        <v>112</v>
      </c>
      <c r="BD101" t="s">
        <v>112</v>
      </c>
      <c r="BE101" t="s">
        <v>157</v>
      </c>
      <c r="BF101" t="s">
        <v>133</v>
      </c>
      <c r="BG101" t="s">
        <v>134</v>
      </c>
      <c r="BH101" t="s">
        <v>112</v>
      </c>
      <c r="BI101" t="s">
        <v>112</v>
      </c>
      <c r="BJ101" t="s">
        <v>112</v>
      </c>
      <c r="BK101" t="s">
        <v>158</v>
      </c>
      <c r="BL101" t="s">
        <v>159</v>
      </c>
      <c r="BM101" t="s">
        <v>212</v>
      </c>
      <c r="BN101" t="s">
        <v>161</v>
      </c>
      <c r="BP101" t="s">
        <v>466</v>
      </c>
      <c r="BR101" t="s">
        <v>150</v>
      </c>
      <c r="BS101">
        <v>33</v>
      </c>
      <c r="BT101">
        <v>0</v>
      </c>
      <c r="BU101">
        <v>0</v>
      </c>
      <c r="BW101">
        <v>0</v>
      </c>
      <c r="BY101" t="s">
        <v>106</v>
      </c>
      <c r="BZ101" t="s">
        <v>142</v>
      </c>
      <c r="CA101" t="s">
        <v>112</v>
      </c>
      <c r="CB101" t="s">
        <v>112</v>
      </c>
      <c r="CC101" t="s">
        <v>121</v>
      </c>
      <c r="CD101">
        <v>16573.22</v>
      </c>
      <c r="CE101" t="s">
        <v>144</v>
      </c>
      <c r="CF101">
        <v>4000000</v>
      </c>
      <c r="CG101">
        <v>16573.22</v>
      </c>
      <c r="CH101">
        <v>0</v>
      </c>
      <c r="CI101" t="s">
        <v>112</v>
      </c>
      <c r="CJ101" t="s">
        <v>112</v>
      </c>
      <c r="CK101">
        <v>37859.300000000003</v>
      </c>
      <c r="CM101">
        <v>0</v>
      </c>
      <c r="CN101">
        <v>1</v>
      </c>
      <c r="CO101">
        <v>4113584.9</v>
      </c>
      <c r="CP101">
        <v>46423.38</v>
      </c>
      <c r="CQ101" t="s">
        <v>145</v>
      </c>
      <c r="CR101">
        <v>46405.016000000003</v>
      </c>
      <c r="CS101">
        <v>2.8</v>
      </c>
      <c r="CT101">
        <v>45</v>
      </c>
      <c r="CV101" t="s">
        <v>729</v>
      </c>
      <c r="CW101">
        <v>212</v>
      </c>
    </row>
    <row r="102" spans="1:101" x14ac:dyDescent="0.2">
      <c r="A102" t="s">
        <v>106</v>
      </c>
      <c r="B102" s="46">
        <v>45147</v>
      </c>
      <c r="C102" t="s">
        <v>1152</v>
      </c>
      <c r="D102" t="s">
        <v>108</v>
      </c>
      <c r="E102" t="s">
        <v>1153</v>
      </c>
      <c r="F102" t="s">
        <v>3244</v>
      </c>
      <c r="G102" t="s">
        <v>111</v>
      </c>
      <c r="H102" t="s">
        <v>112</v>
      </c>
      <c r="I102" t="s">
        <v>112</v>
      </c>
      <c r="J102" t="s">
        <v>112</v>
      </c>
      <c r="K102" t="s">
        <v>150</v>
      </c>
      <c r="L102" t="s">
        <v>151</v>
      </c>
      <c r="M102" t="s">
        <v>112</v>
      </c>
      <c r="N102" t="s">
        <v>112</v>
      </c>
      <c r="O102">
        <v>1</v>
      </c>
      <c r="Q102">
        <v>1</v>
      </c>
      <c r="R102">
        <v>33</v>
      </c>
      <c r="S102" t="s">
        <v>112</v>
      </c>
      <c r="T102" t="s">
        <v>152</v>
      </c>
      <c r="U102" t="s">
        <v>153</v>
      </c>
      <c r="V102" t="s">
        <v>154</v>
      </c>
      <c r="W102" t="s">
        <v>119</v>
      </c>
      <c r="X102" t="s">
        <v>112</v>
      </c>
      <c r="Y102" t="s">
        <v>112</v>
      </c>
      <c r="Z102" t="s">
        <v>152</v>
      </c>
      <c r="AA102" t="s">
        <v>153</v>
      </c>
      <c r="AB102" t="s">
        <v>154</v>
      </c>
      <c r="AC102" t="s">
        <v>119</v>
      </c>
      <c r="AD102" t="s">
        <v>112</v>
      </c>
      <c r="AE102" t="s">
        <v>121</v>
      </c>
      <c r="AF102" t="s">
        <v>122</v>
      </c>
      <c r="AG102">
        <v>4193580.79</v>
      </c>
      <c r="AH102" t="s">
        <v>112</v>
      </c>
      <c r="AI102" t="s">
        <v>152</v>
      </c>
      <c r="AJ102" t="s">
        <v>153</v>
      </c>
      <c r="AK102" t="s">
        <v>154</v>
      </c>
      <c r="AL102" t="s">
        <v>119</v>
      </c>
      <c r="AM102" t="s">
        <v>112</v>
      </c>
      <c r="AN102" t="s">
        <v>121</v>
      </c>
      <c r="AO102" t="s">
        <v>122</v>
      </c>
      <c r="AP102" t="s">
        <v>122</v>
      </c>
      <c r="AQ102" t="s">
        <v>124</v>
      </c>
      <c r="AR102" t="s">
        <v>125</v>
      </c>
      <c r="AS102">
        <v>2</v>
      </c>
      <c r="AT102" t="s">
        <v>126</v>
      </c>
      <c r="AU102" t="s">
        <v>155</v>
      </c>
      <c r="AV102" t="s">
        <v>156</v>
      </c>
      <c r="AX102" t="s">
        <v>129</v>
      </c>
      <c r="AY102">
        <v>38683.440000000002</v>
      </c>
      <c r="BB102">
        <v>97.065899999999999</v>
      </c>
      <c r="BC102" t="s">
        <v>112</v>
      </c>
      <c r="BD102" t="s">
        <v>112</v>
      </c>
      <c r="BE102" t="s">
        <v>157</v>
      </c>
      <c r="BF102" t="s">
        <v>133</v>
      </c>
      <c r="BG102" t="s">
        <v>134</v>
      </c>
      <c r="BH102" t="s">
        <v>112</v>
      </c>
      <c r="BI102" t="s">
        <v>112</v>
      </c>
      <c r="BJ102" t="s">
        <v>112</v>
      </c>
      <c r="BK102" t="s">
        <v>158</v>
      </c>
      <c r="BL102" t="s">
        <v>159</v>
      </c>
      <c r="BM102" t="s">
        <v>212</v>
      </c>
      <c r="BN102" t="s">
        <v>161</v>
      </c>
      <c r="BP102" t="s">
        <v>205</v>
      </c>
      <c r="BR102" t="s">
        <v>150</v>
      </c>
      <c r="BS102">
        <v>33</v>
      </c>
      <c r="BT102">
        <v>0</v>
      </c>
      <c r="BU102">
        <v>0</v>
      </c>
      <c r="BW102">
        <v>0</v>
      </c>
      <c r="BY102" t="s">
        <v>106</v>
      </c>
      <c r="BZ102" t="s">
        <v>142</v>
      </c>
      <c r="CA102" t="s">
        <v>112</v>
      </c>
      <c r="CB102" t="s">
        <v>112</v>
      </c>
      <c r="CC102" t="s">
        <v>121</v>
      </c>
      <c r="CD102">
        <v>17137.689999999999</v>
      </c>
      <c r="CE102" t="s">
        <v>144</v>
      </c>
      <c r="CF102">
        <v>4000000</v>
      </c>
      <c r="CG102">
        <v>17137.689999999999</v>
      </c>
      <c r="CH102">
        <v>0</v>
      </c>
      <c r="CI102" t="s">
        <v>112</v>
      </c>
      <c r="CJ102" t="s">
        <v>112</v>
      </c>
      <c r="CK102">
        <v>38683.440000000002</v>
      </c>
      <c r="CM102">
        <v>0</v>
      </c>
      <c r="CN102">
        <v>1</v>
      </c>
      <c r="CO102">
        <v>4193580.79</v>
      </c>
      <c r="CP102">
        <v>47326.16</v>
      </c>
      <c r="CQ102" t="s">
        <v>145</v>
      </c>
      <c r="CR102">
        <v>47300.024399999995</v>
      </c>
      <c r="CS102">
        <v>2.76</v>
      </c>
      <c r="CT102">
        <v>45</v>
      </c>
      <c r="CV102" t="s">
        <v>233</v>
      </c>
      <c r="CW102">
        <v>150</v>
      </c>
    </row>
    <row r="103" spans="1:101" x14ac:dyDescent="0.2">
      <c r="A103" t="s">
        <v>106</v>
      </c>
      <c r="B103" s="46">
        <v>44794</v>
      </c>
      <c r="C103" t="s">
        <v>2065</v>
      </c>
      <c r="D103" t="s">
        <v>108</v>
      </c>
      <c r="E103" t="s">
        <v>2066</v>
      </c>
      <c r="F103" t="s">
        <v>3244</v>
      </c>
      <c r="G103" t="s">
        <v>111</v>
      </c>
      <c r="H103" t="s">
        <v>112</v>
      </c>
      <c r="I103" t="s">
        <v>112</v>
      </c>
      <c r="J103" t="s">
        <v>112</v>
      </c>
      <c r="K103" t="s">
        <v>150</v>
      </c>
      <c r="L103" t="s">
        <v>151</v>
      </c>
      <c r="M103" t="s">
        <v>112</v>
      </c>
      <c r="N103" t="s">
        <v>112</v>
      </c>
      <c r="O103">
        <v>1</v>
      </c>
      <c r="Q103">
        <v>1</v>
      </c>
      <c r="R103">
        <v>33</v>
      </c>
      <c r="S103" t="s">
        <v>112</v>
      </c>
      <c r="T103" t="s">
        <v>152</v>
      </c>
      <c r="U103" t="s">
        <v>153</v>
      </c>
      <c r="V103" t="s">
        <v>154</v>
      </c>
      <c r="W103" t="s">
        <v>119</v>
      </c>
      <c r="X103" t="s">
        <v>112</v>
      </c>
      <c r="Y103" t="s">
        <v>112</v>
      </c>
      <c r="Z103" t="s">
        <v>152</v>
      </c>
      <c r="AA103" t="s">
        <v>153</v>
      </c>
      <c r="AB103" t="s">
        <v>154</v>
      </c>
      <c r="AC103" t="s">
        <v>119</v>
      </c>
      <c r="AD103" t="s">
        <v>112</v>
      </c>
      <c r="AE103" t="s">
        <v>121</v>
      </c>
      <c r="AF103" t="s">
        <v>122</v>
      </c>
      <c r="AG103">
        <v>4050730.1</v>
      </c>
      <c r="AH103" t="s">
        <v>112</v>
      </c>
      <c r="AI103" t="s">
        <v>152</v>
      </c>
      <c r="AJ103" t="s">
        <v>153</v>
      </c>
      <c r="AK103" t="s">
        <v>154</v>
      </c>
      <c r="AL103" t="s">
        <v>119</v>
      </c>
      <c r="AM103" t="s">
        <v>112</v>
      </c>
      <c r="AN103" t="s">
        <v>121</v>
      </c>
      <c r="AO103" t="s">
        <v>122</v>
      </c>
      <c r="AP103" t="s">
        <v>122</v>
      </c>
      <c r="AQ103" t="s">
        <v>124</v>
      </c>
      <c r="AR103" t="s">
        <v>125</v>
      </c>
      <c r="AS103">
        <v>2</v>
      </c>
      <c r="AT103" t="s">
        <v>126</v>
      </c>
      <c r="AU103" t="s">
        <v>155</v>
      </c>
      <c r="AV103" t="s">
        <v>156</v>
      </c>
      <c r="AX103" t="s">
        <v>129</v>
      </c>
      <c r="AY103">
        <v>35544.959999999999</v>
      </c>
      <c r="BB103">
        <v>102.0979</v>
      </c>
      <c r="BC103" t="s">
        <v>112</v>
      </c>
      <c r="BD103" t="s">
        <v>112</v>
      </c>
      <c r="BE103" t="s">
        <v>157</v>
      </c>
      <c r="BF103" t="s">
        <v>133</v>
      </c>
      <c r="BG103" t="s">
        <v>167</v>
      </c>
      <c r="BH103" t="s">
        <v>112</v>
      </c>
      <c r="BI103" t="s">
        <v>112</v>
      </c>
      <c r="BJ103" t="s">
        <v>112</v>
      </c>
      <c r="BK103" t="s">
        <v>169</v>
      </c>
      <c r="BL103" t="s">
        <v>159</v>
      </c>
      <c r="BM103" t="s">
        <v>160</v>
      </c>
      <c r="BN103" t="s">
        <v>161</v>
      </c>
      <c r="BP103" t="s">
        <v>232</v>
      </c>
      <c r="BR103" t="s">
        <v>150</v>
      </c>
      <c r="BS103">
        <v>33</v>
      </c>
      <c r="BY103" t="s">
        <v>106</v>
      </c>
      <c r="BZ103" t="s">
        <v>142</v>
      </c>
      <c r="CA103" t="s">
        <v>112</v>
      </c>
      <c r="CB103" t="s">
        <v>112</v>
      </c>
      <c r="CC103" t="s">
        <v>121</v>
      </c>
      <c r="CD103">
        <v>17353.91</v>
      </c>
      <c r="CE103" t="s">
        <v>144</v>
      </c>
      <c r="CF103">
        <v>4000000</v>
      </c>
      <c r="CG103">
        <v>17353.91</v>
      </c>
      <c r="CI103" t="s">
        <v>112</v>
      </c>
      <c r="CJ103" t="s">
        <v>112</v>
      </c>
      <c r="CK103">
        <v>35544.959999999999</v>
      </c>
      <c r="CM103">
        <v>0</v>
      </c>
      <c r="CN103">
        <v>1</v>
      </c>
      <c r="CO103">
        <v>4050730.1</v>
      </c>
      <c r="CP103">
        <v>41759.33</v>
      </c>
      <c r="CQ103" t="s">
        <v>145</v>
      </c>
      <c r="CR103">
        <v>41822.9231</v>
      </c>
      <c r="CS103">
        <v>2.41</v>
      </c>
      <c r="CT103">
        <v>45</v>
      </c>
      <c r="CV103" t="s">
        <v>163</v>
      </c>
      <c r="CW103">
        <v>287</v>
      </c>
    </row>
    <row r="104" spans="1:101" x14ac:dyDescent="0.2">
      <c r="A104" t="s">
        <v>106</v>
      </c>
      <c r="B104" s="46">
        <v>45172</v>
      </c>
      <c r="C104" t="s">
        <v>1816</v>
      </c>
      <c r="D104" t="s">
        <v>108</v>
      </c>
      <c r="E104" t="s">
        <v>1817</v>
      </c>
      <c r="F104" t="s">
        <v>3244</v>
      </c>
      <c r="G104" t="s">
        <v>111</v>
      </c>
      <c r="H104" t="s">
        <v>112</v>
      </c>
      <c r="I104" t="s">
        <v>112</v>
      </c>
      <c r="J104" t="s">
        <v>112</v>
      </c>
      <c r="K104" t="s">
        <v>150</v>
      </c>
      <c r="L104" t="s">
        <v>151</v>
      </c>
      <c r="M104" t="s">
        <v>112</v>
      </c>
      <c r="N104" t="s">
        <v>112</v>
      </c>
      <c r="Q104">
        <v>1</v>
      </c>
      <c r="R104">
        <v>33</v>
      </c>
      <c r="S104" t="s">
        <v>166</v>
      </c>
      <c r="T104" t="s">
        <v>152</v>
      </c>
      <c r="U104" t="s">
        <v>153</v>
      </c>
      <c r="V104" t="s">
        <v>154</v>
      </c>
      <c r="W104" t="s">
        <v>119</v>
      </c>
      <c r="X104" t="s">
        <v>112</v>
      </c>
      <c r="Y104" t="s">
        <v>166</v>
      </c>
      <c r="Z104" t="s">
        <v>152</v>
      </c>
      <c r="AA104" t="s">
        <v>153</v>
      </c>
      <c r="AB104" t="s">
        <v>154</v>
      </c>
      <c r="AC104" t="s">
        <v>119</v>
      </c>
      <c r="AD104" t="s">
        <v>112</v>
      </c>
      <c r="AE104" t="s">
        <v>121</v>
      </c>
      <c r="AF104" t="s">
        <v>122</v>
      </c>
      <c r="AG104">
        <v>5157822.42</v>
      </c>
      <c r="AH104" t="s">
        <v>166</v>
      </c>
      <c r="AI104" t="s">
        <v>152</v>
      </c>
      <c r="AJ104" t="s">
        <v>153</v>
      </c>
      <c r="AK104" t="s">
        <v>154</v>
      </c>
      <c r="AL104" t="s">
        <v>119</v>
      </c>
      <c r="AM104" t="s">
        <v>112</v>
      </c>
      <c r="AN104" t="s">
        <v>121</v>
      </c>
      <c r="AO104" t="s">
        <v>122</v>
      </c>
      <c r="AP104" t="s">
        <v>122</v>
      </c>
      <c r="AQ104" t="s">
        <v>124</v>
      </c>
      <c r="AR104" t="s">
        <v>125</v>
      </c>
      <c r="AT104" t="s">
        <v>126</v>
      </c>
      <c r="AU104" t="s">
        <v>155</v>
      </c>
      <c r="AV104" t="s">
        <v>156</v>
      </c>
      <c r="AX104" t="s">
        <v>129</v>
      </c>
      <c r="AY104">
        <v>45827.89</v>
      </c>
      <c r="BB104">
        <v>103.24339999999999</v>
      </c>
      <c r="BC104" t="s">
        <v>112</v>
      </c>
      <c r="BD104" t="s">
        <v>112</v>
      </c>
      <c r="BE104" t="s">
        <v>112</v>
      </c>
      <c r="BF104" t="s">
        <v>133</v>
      </c>
      <c r="BG104" t="s">
        <v>167</v>
      </c>
      <c r="BH104" t="s">
        <v>112</v>
      </c>
      <c r="BI104" t="s">
        <v>112</v>
      </c>
      <c r="BJ104" t="s">
        <v>112</v>
      </c>
      <c r="BK104" t="s">
        <v>112</v>
      </c>
      <c r="BL104" t="s">
        <v>112</v>
      </c>
      <c r="BM104" t="s">
        <v>112</v>
      </c>
      <c r="BN104" t="s">
        <v>161</v>
      </c>
      <c r="BP104" t="s">
        <v>232</v>
      </c>
      <c r="BR104" t="s">
        <v>150</v>
      </c>
      <c r="BS104">
        <v>33</v>
      </c>
      <c r="BY104" t="s">
        <v>106</v>
      </c>
      <c r="BZ104" t="s">
        <v>142</v>
      </c>
      <c r="CA104" t="s">
        <v>112</v>
      </c>
      <c r="CB104" t="s">
        <v>112</v>
      </c>
      <c r="CC104" t="s">
        <v>121</v>
      </c>
      <c r="CD104">
        <v>16808.310000000001</v>
      </c>
      <c r="CE104" t="s">
        <v>144</v>
      </c>
      <c r="CF104">
        <v>4000000</v>
      </c>
      <c r="CG104">
        <v>16754.310000000001</v>
      </c>
      <c r="CI104" t="s">
        <v>112</v>
      </c>
      <c r="CJ104" t="s">
        <v>112</v>
      </c>
      <c r="CK104">
        <v>45827.89</v>
      </c>
      <c r="CM104">
        <v>0</v>
      </c>
      <c r="CN104">
        <v>1</v>
      </c>
      <c r="CO104">
        <v>5157822.42</v>
      </c>
      <c r="CP104">
        <v>54024.62</v>
      </c>
      <c r="CQ104" t="s">
        <v>145</v>
      </c>
      <c r="CR104">
        <v>53948.878200000006</v>
      </c>
      <c r="CS104">
        <v>3.22</v>
      </c>
      <c r="CW104">
        <v>52</v>
      </c>
    </row>
    <row r="105" spans="1:101" x14ac:dyDescent="0.2">
      <c r="A105" t="s">
        <v>106</v>
      </c>
      <c r="B105" s="46">
        <v>44962</v>
      </c>
      <c r="C105" t="s">
        <v>1814</v>
      </c>
      <c r="D105" t="s">
        <v>108</v>
      </c>
      <c r="E105" t="s">
        <v>1815</v>
      </c>
      <c r="F105" t="s">
        <v>3244</v>
      </c>
      <c r="G105" t="s">
        <v>111</v>
      </c>
      <c r="H105" t="s">
        <v>112</v>
      </c>
      <c r="I105" t="s">
        <v>112</v>
      </c>
      <c r="J105" t="s">
        <v>112</v>
      </c>
      <c r="K105" t="s">
        <v>150</v>
      </c>
      <c r="L105" t="s">
        <v>151</v>
      </c>
      <c r="M105" t="s">
        <v>112</v>
      </c>
      <c r="N105" t="s">
        <v>112</v>
      </c>
      <c r="Q105">
        <v>1</v>
      </c>
      <c r="R105">
        <v>33</v>
      </c>
      <c r="S105" t="s">
        <v>166</v>
      </c>
      <c r="T105" t="s">
        <v>152</v>
      </c>
      <c r="U105" t="s">
        <v>153</v>
      </c>
      <c r="V105" t="s">
        <v>154</v>
      </c>
      <c r="W105" t="s">
        <v>119</v>
      </c>
      <c r="X105" t="s">
        <v>112</v>
      </c>
      <c r="Y105" t="s">
        <v>166</v>
      </c>
      <c r="Z105" t="s">
        <v>152</v>
      </c>
      <c r="AA105" t="s">
        <v>153</v>
      </c>
      <c r="AB105" t="s">
        <v>154</v>
      </c>
      <c r="AC105" t="s">
        <v>119</v>
      </c>
      <c r="AD105" t="s">
        <v>112</v>
      </c>
      <c r="AE105" t="s">
        <v>121</v>
      </c>
      <c r="AF105" t="s">
        <v>122</v>
      </c>
      <c r="AG105">
        <v>4987693.8099999996</v>
      </c>
      <c r="AH105" t="s">
        <v>166</v>
      </c>
      <c r="AI105" t="s">
        <v>152</v>
      </c>
      <c r="AJ105" t="s">
        <v>153</v>
      </c>
      <c r="AK105" t="s">
        <v>154</v>
      </c>
      <c r="AL105" t="s">
        <v>119</v>
      </c>
      <c r="AM105" t="s">
        <v>112</v>
      </c>
      <c r="AN105" t="s">
        <v>121</v>
      </c>
      <c r="AO105" t="s">
        <v>122</v>
      </c>
      <c r="AP105" t="s">
        <v>122</v>
      </c>
      <c r="AQ105" t="s">
        <v>124</v>
      </c>
      <c r="AR105" t="s">
        <v>125</v>
      </c>
      <c r="AT105" t="s">
        <v>126</v>
      </c>
      <c r="AU105" t="s">
        <v>155</v>
      </c>
      <c r="AV105" t="s">
        <v>156</v>
      </c>
      <c r="AX105" t="s">
        <v>129</v>
      </c>
      <c r="AY105">
        <v>43480.05</v>
      </c>
      <c r="BB105">
        <v>103.24339999999999</v>
      </c>
      <c r="BC105" t="s">
        <v>112</v>
      </c>
      <c r="BD105" t="s">
        <v>112</v>
      </c>
      <c r="BE105" t="s">
        <v>112</v>
      </c>
      <c r="BF105" t="s">
        <v>133</v>
      </c>
      <c r="BG105" t="s">
        <v>167</v>
      </c>
      <c r="BH105" t="s">
        <v>112</v>
      </c>
      <c r="BI105" t="s">
        <v>112</v>
      </c>
      <c r="BJ105" t="s">
        <v>112</v>
      </c>
      <c r="BK105" t="s">
        <v>112</v>
      </c>
      <c r="BL105" t="s">
        <v>112</v>
      </c>
      <c r="BM105" t="s">
        <v>112</v>
      </c>
      <c r="BN105" t="s">
        <v>161</v>
      </c>
      <c r="BP105" t="s">
        <v>232</v>
      </c>
      <c r="BR105" t="s">
        <v>150</v>
      </c>
      <c r="BS105">
        <v>33</v>
      </c>
      <c r="BY105" t="s">
        <v>106</v>
      </c>
      <c r="BZ105" t="s">
        <v>142</v>
      </c>
      <c r="CA105" t="s">
        <v>112</v>
      </c>
      <c r="CB105" t="s">
        <v>112</v>
      </c>
      <c r="CC105" t="s">
        <v>121</v>
      </c>
      <c r="CD105">
        <v>16420.400000000001</v>
      </c>
      <c r="CE105" t="s">
        <v>144</v>
      </c>
      <c r="CF105">
        <v>4000000</v>
      </c>
      <c r="CG105">
        <v>16290.8</v>
      </c>
      <c r="CI105" t="s">
        <v>112</v>
      </c>
      <c r="CJ105" t="s">
        <v>112</v>
      </c>
      <c r="CK105">
        <v>43480.05</v>
      </c>
      <c r="CM105">
        <v>0</v>
      </c>
      <c r="CN105">
        <v>1</v>
      </c>
      <c r="CO105">
        <v>4987693.8099999996</v>
      </c>
      <c r="CP105">
        <v>52242.64</v>
      </c>
      <c r="CQ105" t="s">
        <v>145</v>
      </c>
      <c r="CR105">
        <v>52293.467999999993</v>
      </c>
      <c r="CS105">
        <v>3.21</v>
      </c>
      <c r="CW105">
        <v>370</v>
      </c>
    </row>
    <row r="106" spans="1:101" x14ac:dyDescent="0.2">
      <c r="A106" t="s">
        <v>106</v>
      </c>
      <c r="B106" s="46">
        <v>45213</v>
      </c>
      <c r="C106" t="s">
        <v>1812</v>
      </c>
      <c r="D106" t="s">
        <v>108</v>
      </c>
      <c r="E106" t="s">
        <v>1813</v>
      </c>
      <c r="F106" t="s">
        <v>3244</v>
      </c>
      <c r="G106" t="s">
        <v>111</v>
      </c>
      <c r="H106" t="s">
        <v>112</v>
      </c>
      <c r="I106" t="s">
        <v>112</v>
      </c>
      <c r="J106" t="s">
        <v>112</v>
      </c>
      <c r="K106" t="s">
        <v>150</v>
      </c>
      <c r="L106" t="s">
        <v>151</v>
      </c>
      <c r="M106" t="s">
        <v>112</v>
      </c>
      <c r="N106" t="s">
        <v>112</v>
      </c>
      <c r="Q106">
        <v>1</v>
      </c>
      <c r="R106">
        <v>33</v>
      </c>
      <c r="S106" t="s">
        <v>166</v>
      </c>
      <c r="T106" t="s">
        <v>152</v>
      </c>
      <c r="U106" t="s">
        <v>153</v>
      </c>
      <c r="V106" t="s">
        <v>154</v>
      </c>
      <c r="W106" t="s">
        <v>119</v>
      </c>
      <c r="X106" t="s">
        <v>112</v>
      </c>
      <c r="Y106" t="s">
        <v>166</v>
      </c>
      <c r="Z106" t="s">
        <v>152</v>
      </c>
      <c r="AA106" t="s">
        <v>153</v>
      </c>
      <c r="AB106" t="s">
        <v>154</v>
      </c>
      <c r="AC106" t="s">
        <v>119</v>
      </c>
      <c r="AD106" t="s">
        <v>112</v>
      </c>
      <c r="AE106" t="s">
        <v>121</v>
      </c>
      <c r="AF106" t="s">
        <v>122</v>
      </c>
      <c r="AG106">
        <v>4579282.54</v>
      </c>
      <c r="AH106" t="s">
        <v>166</v>
      </c>
      <c r="AI106" t="s">
        <v>152</v>
      </c>
      <c r="AJ106" t="s">
        <v>153</v>
      </c>
      <c r="AK106" t="s">
        <v>154</v>
      </c>
      <c r="AL106" t="s">
        <v>119</v>
      </c>
      <c r="AM106" t="s">
        <v>112</v>
      </c>
      <c r="AN106" t="s">
        <v>121</v>
      </c>
      <c r="AO106" t="s">
        <v>122</v>
      </c>
      <c r="AP106" t="s">
        <v>122</v>
      </c>
      <c r="AQ106" t="s">
        <v>124</v>
      </c>
      <c r="AR106" t="s">
        <v>125</v>
      </c>
      <c r="AT106" t="s">
        <v>126</v>
      </c>
      <c r="AU106" t="s">
        <v>155</v>
      </c>
      <c r="AV106" t="s">
        <v>156</v>
      </c>
      <c r="AX106" t="s">
        <v>129</v>
      </c>
      <c r="AY106">
        <v>40224.239999999998</v>
      </c>
      <c r="BB106">
        <v>103.24339999999999</v>
      </c>
      <c r="BC106" t="s">
        <v>112</v>
      </c>
      <c r="BD106" t="s">
        <v>112</v>
      </c>
      <c r="BE106" t="s">
        <v>112</v>
      </c>
      <c r="BF106" t="s">
        <v>133</v>
      </c>
      <c r="BG106" t="s">
        <v>167</v>
      </c>
      <c r="BH106" t="s">
        <v>112</v>
      </c>
      <c r="BI106" t="s">
        <v>112</v>
      </c>
      <c r="BJ106" t="s">
        <v>112</v>
      </c>
      <c r="BK106" t="s">
        <v>112</v>
      </c>
      <c r="BL106" t="s">
        <v>112</v>
      </c>
      <c r="BM106" t="s">
        <v>112</v>
      </c>
      <c r="BN106" t="s">
        <v>161</v>
      </c>
      <c r="BP106" t="s">
        <v>466</v>
      </c>
      <c r="BR106" t="s">
        <v>150</v>
      </c>
      <c r="BS106">
        <v>33</v>
      </c>
      <c r="BY106" t="s">
        <v>106</v>
      </c>
      <c r="BZ106" t="s">
        <v>142</v>
      </c>
      <c r="CA106" t="s">
        <v>112</v>
      </c>
      <c r="CB106" t="s">
        <v>112</v>
      </c>
      <c r="CC106" t="s">
        <v>121</v>
      </c>
      <c r="CD106">
        <v>16765.93</v>
      </c>
      <c r="CE106" t="s">
        <v>144</v>
      </c>
      <c r="CF106">
        <v>4000000</v>
      </c>
      <c r="CG106">
        <v>16679.53</v>
      </c>
      <c r="CI106" t="s">
        <v>112</v>
      </c>
      <c r="CJ106" t="s">
        <v>112</v>
      </c>
      <c r="CK106">
        <v>40224.239999999998</v>
      </c>
      <c r="CM106">
        <v>0</v>
      </c>
      <c r="CN106">
        <v>1</v>
      </c>
      <c r="CO106">
        <v>4579282.54</v>
      </c>
      <c r="CP106">
        <v>47964.82</v>
      </c>
      <c r="CQ106" t="s">
        <v>145</v>
      </c>
      <c r="CR106">
        <v>48037.046399999992</v>
      </c>
      <c r="CS106">
        <v>2.88</v>
      </c>
      <c r="CW106">
        <v>211</v>
      </c>
    </row>
    <row r="107" spans="1:101" x14ac:dyDescent="0.2">
      <c r="A107" t="s">
        <v>106</v>
      </c>
      <c r="B107" s="46">
        <v>45235</v>
      </c>
      <c r="C107" t="s">
        <v>1810</v>
      </c>
      <c r="D107" t="s">
        <v>108</v>
      </c>
      <c r="E107" t="s">
        <v>1811</v>
      </c>
      <c r="F107" t="s">
        <v>3244</v>
      </c>
      <c r="G107" t="s">
        <v>111</v>
      </c>
      <c r="H107" t="s">
        <v>112</v>
      </c>
      <c r="I107" t="s">
        <v>112</v>
      </c>
      <c r="J107" t="s">
        <v>112</v>
      </c>
      <c r="K107" t="s">
        <v>150</v>
      </c>
      <c r="L107" t="s">
        <v>151</v>
      </c>
      <c r="M107" t="s">
        <v>112</v>
      </c>
      <c r="N107" t="s">
        <v>112</v>
      </c>
      <c r="Q107">
        <v>1</v>
      </c>
      <c r="R107">
        <v>33</v>
      </c>
      <c r="S107" t="s">
        <v>166</v>
      </c>
      <c r="T107" t="s">
        <v>152</v>
      </c>
      <c r="U107" t="s">
        <v>153</v>
      </c>
      <c r="V107" t="s">
        <v>154</v>
      </c>
      <c r="W107" t="s">
        <v>119</v>
      </c>
      <c r="X107" t="s">
        <v>112</v>
      </c>
      <c r="Y107" t="s">
        <v>166</v>
      </c>
      <c r="Z107" t="s">
        <v>152</v>
      </c>
      <c r="AA107" t="s">
        <v>153</v>
      </c>
      <c r="AB107" t="s">
        <v>154</v>
      </c>
      <c r="AC107" t="s">
        <v>119</v>
      </c>
      <c r="AD107" t="s">
        <v>112</v>
      </c>
      <c r="AE107" t="s">
        <v>121</v>
      </c>
      <c r="AF107" t="s">
        <v>122</v>
      </c>
      <c r="AG107">
        <v>4609574.1500000004</v>
      </c>
      <c r="AH107" t="s">
        <v>166</v>
      </c>
      <c r="AI107" t="s">
        <v>152</v>
      </c>
      <c r="AJ107" t="s">
        <v>153</v>
      </c>
      <c r="AK107" t="s">
        <v>154</v>
      </c>
      <c r="AL107" t="s">
        <v>119</v>
      </c>
      <c r="AM107" t="s">
        <v>112</v>
      </c>
      <c r="AN107" t="s">
        <v>121</v>
      </c>
      <c r="AO107" t="s">
        <v>122</v>
      </c>
      <c r="AP107" t="s">
        <v>122</v>
      </c>
      <c r="AQ107" t="s">
        <v>124</v>
      </c>
      <c r="AR107" t="s">
        <v>125</v>
      </c>
      <c r="AT107" t="s">
        <v>126</v>
      </c>
      <c r="AU107" t="s">
        <v>155</v>
      </c>
      <c r="AV107" t="s">
        <v>156</v>
      </c>
      <c r="AX107" t="s">
        <v>129</v>
      </c>
      <c r="AY107">
        <v>40517.64</v>
      </c>
      <c r="BB107">
        <v>103.24339999999999</v>
      </c>
      <c r="BC107" t="s">
        <v>112</v>
      </c>
      <c r="BD107" t="s">
        <v>112</v>
      </c>
      <c r="BE107" t="s">
        <v>112</v>
      </c>
      <c r="BF107" t="s">
        <v>133</v>
      </c>
      <c r="BG107" t="s">
        <v>134</v>
      </c>
      <c r="BH107" t="s">
        <v>112</v>
      </c>
      <c r="BI107" t="s">
        <v>112</v>
      </c>
      <c r="BJ107" t="s">
        <v>112</v>
      </c>
      <c r="BK107" t="s">
        <v>112</v>
      </c>
      <c r="BL107" t="s">
        <v>112</v>
      </c>
      <c r="BM107" t="s">
        <v>112</v>
      </c>
      <c r="BN107" t="s">
        <v>161</v>
      </c>
      <c r="BP107" t="s">
        <v>205</v>
      </c>
      <c r="BR107" t="s">
        <v>150</v>
      </c>
      <c r="BS107">
        <v>33</v>
      </c>
      <c r="BT107">
        <v>0</v>
      </c>
      <c r="BU107">
        <v>0</v>
      </c>
      <c r="BY107" t="s">
        <v>106</v>
      </c>
      <c r="BZ107" t="s">
        <v>142</v>
      </c>
      <c r="CA107" t="s">
        <v>112</v>
      </c>
      <c r="CB107" t="s">
        <v>112</v>
      </c>
      <c r="CC107" t="s">
        <v>121</v>
      </c>
      <c r="CD107">
        <v>17080.93</v>
      </c>
      <c r="CE107" t="s">
        <v>144</v>
      </c>
      <c r="CF107">
        <v>4000000</v>
      </c>
      <c r="CG107">
        <v>17037.73</v>
      </c>
      <c r="CH107">
        <v>0</v>
      </c>
      <c r="CI107" t="s">
        <v>112</v>
      </c>
      <c r="CJ107" t="s">
        <v>112</v>
      </c>
      <c r="CK107">
        <v>40517.64</v>
      </c>
      <c r="CM107">
        <v>0</v>
      </c>
      <c r="CN107">
        <v>1</v>
      </c>
      <c r="CO107">
        <v>4609574.1500000004</v>
      </c>
      <c r="CP107">
        <v>48282.1</v>
      </c>
      <c r="CQ107" t="s">
        <v>145</v>
      </c>
      <c r="CR107">
        <v>48216.775900000001</v>
      </c>
      <c r="CS107">
        <v>2.83</v>
      </c>
      <c r="CW107">
        <v>128</v>
      </c>
    </row>
    <row r="108" spans="1:101" x14ac:dyDescent="0.2">
      <c r="A108" t="s">
        <v>106</v>
      </c>
      <c r="B108" s="46">
        <v>45157</v>
      </c>
      <c r="C108" t="s">
        <v>1808</v>
      </c>
      <c r="D108" t="s">
        <v>108</v>
      </c>
      <c r="E108" t="s">
        <v>1809</v>
      </c>
      <c r="F108" t="s">
        <v>3244</v>
      </c>
      <c r="G108" t="s">
        <v>111</v>
      </c>
      <c r="H108" t="s">
        <v>112</v>
      </c>
      <c r="I108" t="s">
        <v>112</v>
      </c>
      <c r="J108" t="s">
        <v>112</v>
      </c>
      <c r="K108" t="s">
        <v>150</v>
      </c>
      <c r="L108" t="s">
        <v>151</v>
      </c>
      <c r="M108" t="s">
        <v>112</v>
      </c>
      <c r="N108" t="s">
        <v>112</v>
      </c>
      <c r="Q108">
        <v>1</v>
      </c>
      <c r="R108">
        <v>33</v>
      </c>
      <c r="S108" t="s">
        <v>166</v>
      </c>
      <c r="T108" t="s">
        <v>152</v>
      </c>
      <c r="U108" t="s">
        <v>153</v>
      </c>
      <c r="V108" t="s">
        <v>154</v>
      </c>
      <c r="W108" t="s">
        <v>119</v>
      </c>
      <c r="X108" t="s">
        <v>112</v>
      </c>
      <c r="Y108" t="s">
        <v>166</v>
      </c>
      <c r="Z108" t="s">
        <v>152</v>
      </c>
      <c r="AA108" t="s">
        <v>153</v>
      </c>
      <c r="AB108" t="s">
        <v>154</v>
      </c>
      <c r="AC108" t="s">
        <v>119</v>
      </c>
      <c r="AD108" t="s">
        <v>112</v>
      </c>
      <c r="AE108" t="s">
        <v>121</v>
      </c>
      <c r="AF108" t="s">
        <v>122</v>
      </c>
      <c r="AG108">
        <v>5092918.46</v>
      </c>
      <c r="AH108" t="s">
        <v>166</v>
      </c>
      <c r="AI108" t="s">
        <v>152</v>
      </c>
      <c r="AJ108" t="s">
        <v>153</v>
      </c>
      <c r="AK108" t="s">
        <v>154</v>
      </c>
      <c r="AL108" t="s">
        <v>119</v>
      </c>
      <c r="AM108" t="s">
        <v>112</v>
      </c>
      <c r="AN108" t="s">
        <v>121</v>
      </c>
      <c r="AO108" t="s">
        <v>122</v>
      </c>
      <c r="AP108" t="s">
        <v>122</v>
      </c>
      <c r="AQ108" t="s">
        <v>124</v>
      </c>
      <c r="AR108" t="s">
        <v>125</v>
      </c>
      <c r="AT108" t="s">
        <v>126</v>
      </c>
      <c r="AU108" t="s">
        <v>155</v>
      </c>
      <c r="AV108" t="s">
        <v>156</v>
      </c>
      <c r="AX108" t="s">
        <v>129</v>
      </c>
      <c r="AY108">
        <v>44679.24</v>
      </c>
      <c r="BB108">
        <v>103.24339999999999</v>
      </c>
      <c r="BC108" t="s">
        <v>112</v>
      </c>
      <c r="BD108" t="s">
        <v>112</v>
      </c>
      <c r="BE108" t="s">
        <v>112</v>
      </c>
      <c r="BF108" t="s">
        <v>133</v>
      </c>
      <c r="BG108" t="s">
        <v>134</v>
      </c>
      <c r="BH108" t="s">
        <v>112</v>
      </c>
      <c r="BI108" t="s">
        <v>112</v>
      </c>
      <c r="BJ108" t="s">
        <v>112</v>
      </c>
      <c r="BK108" t="s">
        <v>112</v>
      </c>
      <c r="BL108" t="s">
        <v>112</v>
      </c>
      <c r="BM108" t="s">
        <v>112</v>
      </c>
      <c r="BN108" t="s">
        <v>161</v>
      </c>
      <c r="BP108" t="s">
        <v>232</v>
      </c>
      <c r="BR108" t="s">
        <v>150</v>
      </c>
      <c r="BS108">
        <v>33</v>
      </c>
      <c r="BT108">
        <v>0</v>
      </c>
      <c r="BU108">
        <v>0</v>
      </c>
      <c r="BY108" t="s">
        <v>106</v>
      </c>
      <c r="BZ108" t="s">
        <v>142</v>
      </c>
      <c r="CA108" t="s">
        <v>112</v>
      </c>
      <c r="CB108" t="s">
        <v>112</v>
      </c>
      <c r="CC108" t="s">
        <v>121</v>
      </c>
      <c r="CD108">
        <v>16533.560000000001</v>
      </c>
      <c r="CE108" t="s">
        <v>144</v>
      </c>
      <c r="CF108">
        <v>4000000</v>
      </c>
      <c r="CG108">
        <v>16443.560000000001</v>
      </c>
      <c r="CH108">
        <v>0</v>
      </c>
      <c r="CI108" t="s">
        <v>112</v>
      </c>
      <c r="CJ108" t="s">
        <v>112</v>
      </c>
      <c r="CK108">
        <v>44679.24</v>
      </c>
      <c r="CM108">
        <v>0</v>
      </c>
      <c r="CN108">
        <v>1</v>
      </c>
      <c r="CO108">
        <v>5092918.46</v>
      </c>
      <c r="CP108">
        <v>53344.800000000003</v>
      </c>
      <c r="CQ108" t="s">
        <v>145</v>
      </c>
      <c r="CR108">
        <v>53277.13440000001</v>
      </c>
      <c r="CS108">
        <v>3.24</v>
      </c>
      <c r="CW108">
        <v>112</v>
      </c>
    </row>
    <row r="109" spans="1:101" x14ac:dyDescent="0.2">
      <c r="A109" t="s">
        <v>106</v>
      </c>
      <c r="B109" s="46">
        <v>45063</v>
      </c>
      <c r="C109" t="s">
        <v>1804</v>
      </c>
      <c r="D109" t="s">
        <v>108</v>
      </c>
      <c r="E109" t="s">
        <v>1805</v>
      </c>
      <c r="F109" t="s">
        <v>3244</v>
      </c>
      <c r="G109" t="s">
        <v>111</v>
      </c>
      <c r="H109" t="s">
        <v>112</v>
      </c>
      <c r="I109" t="s">
        <v>112</v>
      </c>
      <c r="J109" t="s">
        <v>112</v>
      </c>
      <c r="K109" t="s">
        <v>150</v>
      </c>
      <c r="L109" t="s">
        <v>151</v>
      </c>
      <c r="M109" t="s">
        <v>112</v>
      </c>
      <c r="N109" t="s">
        <v>112</v>
      </c>
      <c r="Q109">
        <v>1</v>
      </c>
      <c r="R109">
        <v>33</v>
      </c>
      <c r="S109" t="s">
        <v>166</v>
      </c>
      <c r="T109" t="s">
        <v>152</v>
      </c>
      <c r="U109" t="s">
        <v>153</v>
      </c>
      <c r="V109" t="s">
        <v>154</v>
      </c>
      <c r="W109" t="s">
        <v>119</v>
      </c>
      <c r="X109" t="s">
        <v>112</v>
      </c>
      <c r="Y109" t="s">
        <v>166</v>
      </c>
      <c r="Z109" t="s">
        <v>152</v>
      </c>
      <c r="AA109" t="s">
        <v>153</v>
      </c>
      <c r="AB109" t="s">
        <v>154</v>
      </c>
      <c r="AC109" t="s">
        <v>119</v>
      </c>
      <c r="AD109" t="s">
        <v>112</v>
      </c>
      <c r="AE109" t="s">
        <v>121</v>
      </c>
      <c r="AF109" t="s">
        <v>122</v>
      </c>
      <c r="AG109">
        <v>4597990.24</v>
      </c>
      <c r="AH109" t="s">
        <v>166</v>
      </c>
      <c r="AI109" t="s">
        <v>152</v>
      </c>
      <c r="AJ109" t="s">
        <v>153</v>
      </c>
      <c r="AK109" t="s">
        <v>154</v>
      </c>
      <c r="AL109" t="s">
        <v>119</v>
      </c>
      <c r="AM109" t="s">
        <v>112</v>
      </c>
      <c r="AN109" t="s">
        <v>121</v>
      </c>
      <c r="AO109" t="s">
        <v>122</v>
      </c>
      <c r="AP109" t="s">
        <v>122</v>
      </c>
      <c r="AQ109" t="s">
        <v>124</v>
      </c>
      <c r="AR109" t="s">
        <v>125</v>
      </c>
      <c r="AT109" t="s">
        <v>126</v>
      </c>
      <c r="AU109" t="s">
        <v>155</v>
      </c>
      <c r="AV109" t="s">
        <v>156</v>
      </c>
      <c r="AX109" t="s">
        <v>129</v>
      </c>
      <c r="AY109">
        <v>40405.440000000002</v>
      </c>
      <c r="BB109">
        <v>103.24339999999999</v>
      </c>
      <c r="BC109" t="s">
        <v>112</v>
      </c>
      <c r="BD109" t="s">
        <v>112</v>
      </c>
      <c r="BE109" t="s">
        <v>112</v>
      </c>
      <c r="BF109" t="s">
        <v>133</v>
      </c>
      <c r="BG109" t="s">
        <v>134</v>
      </c>
      <c r="BH109" t="s">
        <v>112</v>
      </c>
      <c r="BI109" t="s">
        <v>112</v>
      </c>
      <c r="BJ109" t="s">
        <v>112</v>
      </c>
      <c r="BK109" t="s">
        <v>112</v>
      </c>
      <c r="BL109" t="s">
        <v>112</v>
      </c>
      <c r="BM109" t="s">
        <v>112</v>
      </c>
      <c r="BN109" t="s">
        <v>161</v>
      </c>
      <c r="BP109" t="s">
        <v>205</v>
      </c>
      <c r="BR109" t="s">
        <v>150</v>
      </c>
      <c r="BS109">
        <v>33</v>
      </c>
      <c r="BT109">
        <v>0</v>
      </c>
      <c r="BU109">
        <v>0</v>
      </c>
      <c r="BY109" t="s">
        <v>106</v>
      </c>
      <c r="BZ109" t="s">
        <v>142</v>
      </c>
      <c r="CA109" t="s">
        <v>112</v>
      </c>
      <c r="CB109" t="s">
        <v>112</v>
      </c>
      <c r="CC109" t="s">
        <v>121</v>
      </c>
      <c r="CD109">
        <v>17019.07</v>
      </c>
      <c r="CE109" t="s">
        <v>144</v>
      </c>
      <c r="CF109">
        <v>4000000</v>
      </c>
      <c r="CG109">
        <v>16975.87</v>
      </c>
      <c r="CH109">
        <v>0</v>
      </c>
      <c r="CI109" t="s">
        <v>112</v>
      </c>
      <c r="CJ109" t="s">
        <v>112</v>
      </c>
      <c r="CK109">
        <v>40405.440000000002</v>
      </c>
      <c r="CM109">
        <v>0</v>
      </c>
      <c r="CN109">
        <v>1</v>
      </c>
      <c r="CO109">
        <v>4597990.24</v>
      </c>
      <c r="CP109">
        <v>48160.77</v>
      </c>
      <c r="CQ109" t="s">
        <v>145</v>
      </c>
      <c r="CR109">
        <v>48211.470799999996</v>
      </c>
      <c r="CS109">
        <v>2.84</v>
      </c>
      <c r="CW109">
        <v>91</v>
      </c>
    </row>
    <row r="110" spans="1:101" x14ac:dyDescent="0.2">
      <c r="A110" t="s">
        <v>106</v>
      </c>
      <c r="B110" s="46">
        <v>45236</v>
      </c>
      <c r="C110" t="s">
        <v>1389</v>
      </c>
      <c r="D110" t="s">
        <v>108</v>
      </c>
      <c r="E110" t="s">
        <v>1390</v>
      </c>
      <c r="F110" t="s">
        <v>3244</v>
      </c>
      <c r="G110" t="s">
        <v>111</v>
      </c>
      <c r="H110" t="s">
        <v>112</v>
      </c>
      <c r="I110" t="s">
        <v>112</v>
      </c>
      <c r="J110" t="s">
        <v>112</v>
      </c>
      <c r="K110" t="s">
        <v>150</v>
      </c>
      <c r="L110" t="s">
        <v>151</v>
      </c>
      <c r="M110" t="s">
        <v>112</v>
      </c>
      <c r="N110" t="s">
        <v>112</v>
      </c>
      <c r="O110">
        <v>1</v>
      </c>
      <c r="P110">
        <v>0</v>
      </c>
      <c r="Q110">
        <v>1</v>
      </c>
      <c r="R110">
        <v>33</v>
      </c>
      <c r="S110" t="s">
        <v>166</v>
      </c>
      <c r="T110" t="s">
        <v>152</v>
      </c>
      <c r="U110" t="s">
        <v>153</v>
      </c>
      <c r="V110" t="s">
        <v>154</v>
      </c>
      <c r="W110" t="s">
        <v>119</v>
      </c>
      <c r="X110" t="s">
        <v>112</v>
      </c>
      <c r="Y110" t="s">
        <v>166</v>
      </c>
      <c r="Z110" t="s">
        <v>152</v>
      </c>
      <c r="AA110" t="s">
        <v>153</v>
      </c>
      <c r="AB110" t="s">
        <v>154</v>
      </c>
      <c r="AC110" t="s">
        <v>119</v>
      </c>
      <c r="AD110" t="s">
        <v>112</v>
      </c>
      <c r="AE110" t="s">
        <v>121</v>
      </c>
      <c r="AF110" t="s">
        <v>122</v>
      </c>
      <c r="AG110">
        <v>4376438.91</v>
      </c>
      <c r="AH110" t="s">
        <v>166</v>
      </c>
      <c r="AI110" t="s">
        <v>152</v>
      </c>
      <c r="AJ110" t="s">
        <v>153</v>
      </c>
      <c r="AK110" t="s">
        <v>154</v>
      </c>
      <c r="AL110" t="s">
        <v>119</v>
      </c>
      <c r="AM110" t="s">
        <v>112</v>
      </c>
      <c r="AN110" t="s">
        <v>121</v>
      </c>
      <c r="AO110" t="s">
        <v>122</v>
      </c>
      <c r="AP110" t="s">
        <v>122</v>
      </c>
      <c r="AQ110" t="s">
        <v>124</v>
      </c>
      <c r="AR110" t="s">
        <v>125</v>
      </c>
      <c r="AS110">
        <v>2</v>
      </c>
      <c r="AT110" t="s">
        <v>126</v>
      </c>
      <c r="AU110" t="s">
        <v>155</v>
      </c>
      <c r="AV110" t="s">
        <v>156</v>
      </c>
      <c r="AW110">
        <v>1</v>
      </c>
      <c r="AX110" t="s">
        <v>129</v>
      </c>
      <c r="AY110">
        <v>42495.12</v>
      </c>
      <c r="AZ110">
        <v>3988779</v>
      </c>
      <c r="BA110">
        <v>51115.16</v>
      </c>
      <c r="BB110">
        <v>93.864400000000003</v>
      </c>
      <c r="BC110" t="s">
        <v>130</v>
      </c>
      <c r="BD110" t="s">
        <v>112</v>
      </c>
      <c r="BE110" t="s">
        <v>157</v>
      </c>
      <c r="BF110" t="s">
        <v>133</v>
      </c>
      <c r="BG110" t="s">
        <v>134</v>
      </c>
      <c r="BH110" t="s">
        <v>112</v>
      </c>
      <c r="BI110" t="s">
        <v>112</v>
      </c>
      <c r="BJ110" t="s">
        <v>112</v>
      </c>
      <c r="BK110" t="s">
        <v>169</v>
      </c>
      <c r="BL110" t="s">
        <v>159</v>
      </c>
      <c r="BM110" t="s">
        <v>722</v>
      </c>
      <c r="BN110" t="s">
        <v>161</v>
      </c>
      <c r="BO110">
        <v>1</v>
      </c>
      <c r="BP110" t="s">
        <v>232</v>
      </c>
      <c r="BR110" t="s">
        <v>150</v>
      </c>
      <c r="BS110">
        <v>33</v>
      </c>
      <c r="BT110">
        <v>0</v>
      </c>
      <c r="BU110">
        <v>0</v>
      </c>
      <c r="BW110">
        <v>0</v>
      </c>
      <c r="BY110" t="s">
        <v>106</v>
      </c>
      <c r="BZ110" t="s">
        <v>142</v>
      </c>
      <c r="CA110" t="s">
        <v>112</v>
      </c>
      <c r="CB110" t="s">
        <v>112</v>
      </c>
      <c r="CC110" t="s">
        <v>121</v>
      </c>
      <c r="CD110">
        <v>17179.72</v>
      </c>
      <c r="CE110" t="s">
        <v>144</v>
      </c>
      <c r="CF110">
        <v>4000000</v>
      </c>
      <c r="CG110">
        <v>17179.72</v>
      </c>
      <c r="CH110">
        <v>0</v>
      </c>
      <c r="CI110" t="s">
        <v>112</v>
      </c>
      <c r="CJ110" t="s">
        <v>112</v>
      </c>
      <c r="CK110">
        <v>42495.12</v>
      </c>
      <c r="CL110">
        <v>3988779</v>
      </c>
      <c r="CM110">
        <v>0</v>
      </c>
      <c r="CN110">
        <v>1</v>
      </c>
      <c r="CO110">
        <v>4376438.91</v>
      </c>
      <c r="CP110">
        <v>51115.16</v>
      </c>
      <c r="CQ110" t="s">
        <v>145</v>
      </c>
      <c r="CR110">
        <v>51195.565600000002</v>
      </c>
      <c r="CS110">
        <v>2.98</v>
      </c>
      <c r="CT110">
        <v>45</v>
      </c>
      <c r="CU110" t="s">
        <v>171</v>
      </c>
      <c r="CV110" t="s">
        <v>350</v>
      </c>
      <c r="CW110">
        <v>243</v>
      </c>
    </row>
    <row r="111" spans="1:101" x14ac:dyDescent="0.2">
      <c r="A111" t="s">
        <v>106</v>
      </c>
      <c r="B111" s="46">
        <v>44951</v>
      </c>
      <c r="C111" t="s">
        <v>1391</v>
      </c>
      <c r="D111" t="s">
        <v>108</v>
      </c>
      <c r="E111" t="s">
        <v>1392</v>
      </c>
      <c r="F111" t="s">
        <v>3244</v>
      </c>
      <c r="G111" t="s">
        <v>111</v>
      </c>
      <c r="H111" t="s">
        <v>112</v>
      </c>
      <c r="I111" t="s">
        <v>112</v>
      </c>
      <c r="J111" t="s">
        <v>112</v>
      </c>
      <c r="K111" t="s">
        <v>150</v>
      </c>
      <c r="L111" t="s">
        <v>151</v>
      </c>
      <c r="M111" t="s">
        <v>112</v>
      </c>
      <c r="N111" t="s">
        <v>112</v>
      </c>
      <c r="O111">
        <v>1</v>
      </c>
      <c r="P111">
        <v>0</v>
      </c>
      <c r="Q111">
        <v>1</v>
      </c>
      <c r="R111">
        <v>33</v>
      </c>
      <c r="S111" t="s">
        <v>166</v>
      </c>
      <c r="T111" t="s">
        <v>152</v>
      </c>
      <c r="U111" t="s">
        <v>153</v>
      </c>
      <c r="V111" t="s">
        <v>154</v>
      </c>
      <c r="W111" t="s">
        <v>119</v>
      </c>
      <c r="X111" t="s">
        <v>112</v>
      </c>
      <c r="Y111" t="s">
        <v>166</v>
      </c>
      <c r="Z111" t="s">
        <v>152</v>
      </c>
      <c r="AA111" t="s">
        <v>153</v>
      </c>
      <c r="AB111" t="s">
        <v>154</v>
      </c>
      <c r="AC111" t="s">
        <v>119</v>
      </c>
      <c r="AD111" t="s">
        <v>112</v>
      </c>
      <c r="AE111" t="s">
        <v>121</v>
      </c>
      <c r="AF111" t="s">
        <v>122</v>
      </c>
      <c r="AG111">
        <v>4277047.78</v>
      </c>
      <c r="AH111" t="s">
        <v>166</v>
      </c>
      <c r="AI111" t="s">
        <v>152</v>
      </c>
      <c r="AJ111" t="s">
        <v>153</v>
      </c>
      <c r="AK111" t="s">
        <v>154</v>
      </c>
      <c r="AL111" t="s">
        <v>119</v>
      </c>
      <c r="AM111" t="s">
        <v>112</v>
      </c>
      <c r="AN111" t="s">
        <v>121</v>
      </c>
      <c r="AO111" t="s">
        <v>122</v>
      </c>
      <c r="AP111" t="s">
        <v>122</v>
      </c>
      <c r="AQ111" t="s">
        <v>124</v>
      </c>
      <c r="AR111" t="s">
        <v>125</v>
      </c>
      <c r="AS111">
        <v>2</v>
      </c>
      <c r="AT111" t="s">
        <v>126</v>
      </c>
      <c r="AU111" t="s">
        <v>155</v>
      </c>
      <c r="AV111" t="s">
        <v>156</v>
      </c>
      <c r="AW111">
        <v>1</v>
      </c>
      <c r="AX111" t="s">
        <v>129</v>
      </c>
      <c r="AY111">
        <v>41436.239999999998</v>
      </c>
      <c r="AZ111">
        <v>3889388</v>
      </c>
      <c r="BA111">
        <v>49954.31</v>
      </c>
      <c r="BB111">
        <v>93.864400000000003</v>
      </c>
      <c r="BC111" t="s">
        <v>130</v>
      </c>
      <c r="BD111" t="s">
        <v>112</v>
      </c>
      <c r="BE111" t="s">
        <v>157</v>
      </c>
      <c r="BF111" t="s">
        <v>133</v>
      </c>
      <c r="BG111" t="s">
        <v>134</v>
      </c>
      <c r="BH111" t="s">
        <v>112</v>
      </c>
      <c r="BI111" t="s">
        <v>112</v>
      </c>
      <c r="BJ111" t="s">
        <v>112</v>
      </c>
      <c r="BK111" t="s">
        <v>169</v>
      </c>
      <c r="BL111" t="s">
        <v>159</v>
      </c>
      <c r="BM111" t="s">
        <v>722</v>
      </c>
      <c r="BN111" t="s">
        <v>161</v>
      </c>
      <c r="BO111">
        <v>1</v>
      </c>
      <c r="BP111" t="s">
        <v>1393</v>
      </c>
      <c r="BR111" t="s">
        <v>150</v>
      </c>
      <c r="BS111">
        <v>33</v>
      </c>
      <c r="BT111">
        <v>0</v>
      </c>
      <c r="BU111">
        <v>0</v>
      </c>
      <c r="BW111">
        <v>0</v>
      </c>
      <c r="BY111" t="s">
        <v>106</v>
      </c>
      <c r="BZ111" t="s">
        <v>142</v>
      </c>
      <c r="CA111" t="s">
        <v>112</v>
      </c>
      <c r="CB111" t="s">
        <v>112</v>
      </c>
      <c r="CC111" t="s">
        <v>121</v>
      </c>
      <c r="CD111">
        <v>17210.349999999999</v>
      </c>
      <c r="CE111" t="s">
        <v>144</v>
      </c>
      <c r="CF111">
        <v>4000000</v>
      </c>
      <c r="CG111">
        <v>17210.349999999999</v>
      </c>
      <c r="CH111">
        <v>0</v>
      </c>
      <c r="CI111" t="s">
        <v>112</v>
      </c>
      <c r="CJ111" t="s">
        <v>112</v>
      </c>
      <c r="CK111">
        <v>41436.239999999998</v>
      </c>
      <c r="CL111">
        <v>3889388</v>
      </c>
      <c r="CM111">
        <v>0</v>
      </c>
      <c r="CN111">
        <v>1</v>
      </c>
      <c r="CO111">
        <v>4277047.78</v>
      </c>
      <c r="CP111">
        <v>49954.31</v>
      </c>
      <c r="CQ111" t="s">
        <v>145</v>
      </c>
      <c r="CR111">
        <v>49910.014999999992</v>
      </c>
      <c r="CS111">
        <v>2.9</v>
      </c>
      <c r="CT111">
        <v>45</v>
      </c>
      <c r="CU111" t="s">
        <v>171</v>
      </c>
      <c r="CV111" t="s">
        <v>463</v>
      </c>
      <c r="CW111">
        <v>257</v>
      </c>
    </row>
    <row r="112" spans="1:101" x14ac:dyDescent="0.2">
      <c r="A112" t="s">
        <v>106</v>
      </c>
      <c r="B112" s="46">
        <v>45064</v>
      </c>
      <c r="C112" t="s">
        <v>1240</v>
      </c>
      <c r="D112" t="s">
        <v>108</v>
      </c>
      <c r="E112" t="s">
        <v>1241</v>
      </c>
      <c r="F112" t="s">
        <v>3244</v>
      </c>
      <c r="G112" t="s">
        <v>111</v>
      </c>
      <c r="H112" t="s">
        <v>112</v>
      </c>
      <c r="I112" t="s">
        <v>112</v>
      </c>
      <c r="J112" t="s">
        <v>112</v>
      </c>
      <c r="K112" t="s">
        <v>150</v>
      </c>
      <c r="L112" t="s">
        <v>1060</v>
      </c>
      <c r="M112" t="s">
        <v>112</v>
      </c>
      <c r="N112" t="s">
        <v>112</v>
      </c>
      <c r="O112">
        <v>1</v>
      </c>
      <c r="P112">
        <v>0</v>
      </c>
      <c r="Q112">
        <v>1</v>
      </c>
      <c r="R112">
        <v>33</v>
      </c>
      <c r="S112" t="s">
        <v>166</v>
      </c>
      <c r="T112" t="s">
        <v>152</v>
      </c>
      <c r="U112" t="s">
        <v>153</v>
      </c>
      <c r="V112" t="s">
        <v>154</v>
      </c>
      <c r="W112" t="s">
        <v>119</v>
      </c>
      <c r="X112" t="s">
        <v>112</v>
      </c>
      <c r="Y112" t="s">
        <v>166</v>
      </c>
      <c r="Z112" t="s">
        <v>152</v>
      </c>
      <c r="AA112" t="s">
        <v>153</v>
      </c>
      <c r="AB112" t="s">
        <v>154</v>
      </c>
      <c r="AC112" t="s">
        <v>119</v>
      </c>
      <c r="AD112" t="s">
        <v>112</v>
      </c>
      <c r="AE112" t="s">
        <v>121</v>
      </c>
      <c r="AF112" t="s">
        <v>122</v>
      </c>
      <c r="AG112">
        <v>4341766.3099999996</v>
      </c>
      <c r="AH112" t="s">
        <v>166</v>
      </c>
      <c r="AI112" t="s">
        <v>152</v>
      </c>
      <c r="AJ112" t="s">
        <v>153</v>
      </c>
      <c r="AK112" t="s">
        <v>154</v>
      </c>
      <c r="AL112" t="s">
        <v>119</v>
      </c>
      <c r="AM112" t="s">
        <v>112</v>
      </c>
      <c r="AN112" t="s">
        <v>121</v>
      </c>
      <c r="AO112" t="s">
        <v>122</v>
      </c>
      <c r="AP112" t="s">
        <v>122</v>
      </c>
      <c r="AQ112" t="s">
        <v>124</v>
      </c>
      <c r="AR112" t="s">
        <v>125</v>
      </c>
      <c r="AS112">
        <v>2</v>
      </c>
      <c r="AT112" t="s">
        <v>126</v>
      </c>
      <c r="AU112" t="s">
        <v>155</v>
      </c>
      <c r="AV112" t="s">
        <v>156</v>
      </c>
      <c r="AW112">
        <v>1</v>
      </c>
      <c r="AX112" t="s">
        <v>129</v>
      </c>
      <c r="AY112">
        <v>45883.25</v>
      </c>
      <c r="AZ112">
        <v>3942243</v>
      </c>
      <c r="BA112">
        <v>54294.68</v>
      </c>
      <c r="BB112">
        <v>85.918999999999997</v>
      </c>
      <c r="BC112" t="s">
        <v>130</v>
      </c>
      <c r="BD112" t="s">
        <v>112</v>
      </c>
      <c r="BE112" t="s">
        <v>157</v>
      </c>
      <c r="BF112" t="s">
        <v>133</v>
      </c>
      <c r="BG112" t="s">
        <v>134</v>
      </c>
      <c r="BH112" t="s">
        <v>112</v>
      </c>
      <c r="BI112" t="s">
        <v>112</v>
      </c>
      <c r="BJ112" t="s">
        <v>112</v>
      </c>
      <c r="BK112" t="s">
        <v>169</v>
      </c>
      <c r="BL112" t="s">
        <v>159</v>
      </c>
      <c r="BM112" t="s">
        <v>722</v>
      </c>
      <c r="BN112" t="s">
        <v>161</v>
      </c>
      <c r="BO112">
        <v>1</v>
      </c>
      <c r="BP112" t="s">
        <v>466</v>
      </c>
      <c r="BR112" t="s">
        <v>150</v>
      </c>
      <c r="BS112">
        <v>33</v>
      </c>
      <c r="BT112">
        <v>0</v>
      </c>
      <c r="BU112">
        <v>0</v>
      </c>
      <c r="BW112">
        <v>0</v>
      </c>
      <c r="BY112" t="s">
        <v>106</v>
      </c>
      <c r="BZ112" t="s">
        <v>142</v>
      </c>
      <c r="CA112" t="s">
        <v>112</v>
      </c>
      <c r="CB112" t="s">
        <v>112</v>
      </c>
      <c r="CC112" t="s">
        <v>121</v>
      </c>
      <c r="CD112">
        <v>17056.099999999999</v>
      </c>
      <c r="CE112" t="s">
        <v>144</v>
      </c>
      <c r="CF112">
        <v>4000000</v>
      </c>
      <c r="CG112">
        <v>17056.099999999999</v>
      </c>
      <c r="CH112">
        <v>0</v>
      </c>
      <c r="CI112" t="s">
        <v>112</v>
      </c>
      <c r="CJ112" t="s">
        <v>112</v>
      </c>
      <c r="CK112">
        <v>45883.25</v>
      </c>
      <c r="CL112">
        <v>3942243</v>
      </c>
      <c r="CM112">
        <v>0</v>
      </c>
      <c r="CN112">
        <v>1</v>
      </c>
      <c r="CO112">
        <v>4341766.3099999996</v>
      </c>
      <c r="CP112">
        <v>54294.68</v>
      </c>
      <c r="CQ112" t="s">
        <v>145</v>
      </c>
      <c r="CR112">
        <v>54294.683129999998</v>
      </c>
      <c r="CS112">
        <v>3.1833</v>
      </c>
      <c r="CT112">
        <v>45</v>
      </c>
      <c r="CU112" t="s">
        <v>171</v>
      </c>
      <c r="CV112" t="s">
        <v>372</v>
      </c>
      <c r="CW112">
        <v>296</v>
      </c>
    </row>
    <row r="113" spans="1:101" x14ac:dyDescent="0.2">
      <c r="A113" t="s">
        <v>106</v>
      </c>
      <c r="B113" s="46">
        <v>45152</v>
      </c>
      <c r="C113" t="s">
        <v>1238</v>
      </c>
      <c r="D113" t="s">
        <v>108</v>
      </c>
      <c r="E113" t="s">
        <v>1239</v>
      </c>
      <c r="F113" t="s">
        <v>3244</v>
      </c>
      <c r="G113" t="s">
        <v>111</v>
      </c>
      <c r="H113" t="s">
        <v>112</v>
      </c>
      <c r="I113" t="s">
        <v>112</v>
      </c>
      <c r="J113" t="s">
        <v>112</v>
      </c>
      <c r="K113" t="s">
        <v>150</v>
      </c>
      <c r="L113" t="s">
        <v>1060</v>
      </c>
      <c r="M113" t="s">
        <v>112</v>
      </c>
      <c r="N113" t="s">
        <v>112</v>
      </c>
      <c r="O113">
        <v>1</v>
      </c>
      <c r="P113">
        <v>0</v>
      </c>
      <c r="Q113">
        <v>1</v>
      </c>
      <c r="R113">
        <v>33</v>
      </c>
      <c r="S113" t="s">
        <v>166</v>
      </c>
      <c r="T113" t="s">
        <v>152</v>
      </c>
      <c r="U113" t="s">
        <v>153</v>
      </c>
      <c r="V113" t="s">
        <v>154</v>
      </c>
      <c r="W113" t="s">
        <v>119</v>
      </c>
      <c r="X113" t="s">
        <v>112</v>
      </c>
      <c r="Y113" t="s">
        <v>166</v>
      </c>
      <c r="Z113" t="s">
        <v>152</v>
      </c>
      <c r="AA113" t="s">
        <v>153</v>
      </c>
      <c r="AB113" t="s">
        <v>154</v>
      </c>
      <c r="AC113" t="s">
        <v>119</v>
      </c>
      <c r="AD113" t="s">
        <v>112</v>
      </c>
      <c r="AE113" t="s">
        <v>121</v>
      </c>
      <c r="AF113" t="s">
        <v>122</v>
      </c>
      <c r="AG113">
        <v>4175531.08</v>
      </c>
      <c r="AH113" t="s">
        <v>166</v>
      </c>
      <c r="AI113" t="s">
        <v>152</v>
      </c>
      <c r="AJ113" t="s">
        <v>153</v>
      </c>
      <c r="AK113" t="s">
        <v>154</v>
      </c>
      <c r="AL113" t="s">
        <v>119</v>
      </c>
      <c r="AM113" t="s">
        <v>112</v>
      </c>
      <c r="AN113" t="s">
        <v>121</v>
      </c>
      <c r="AO113" t="s">
        <v>122</v>
      </c>
      <c r="AP113" t="s">
        <v>122</v>
      </c>
      <c r="AQ113" t="s">
        <v>124</v>
      </c>
      <c r="AR113" t="s">
        <v>125</v>
      </c>
      <c r="AS113">
        <v>2</v>
      </c>
      <c r="AT113" t="s">
        <v>126</v>
      </c>
      <c r="AU113" t="s">
        <v>155</v>
      </c>
      <c r="AV113" t="s">
        <v>156</v>
      </c>
      <c r="AW113">
        <v>1</v>
      </c>
      <c r="AX113" t="s">
        <v>129</v>
      </c>
      <c r="AY113">
        <v>44468.46</v>
      </c>
      <c r="AZ113">
        <v>3820686</v>
      </c>
      <c r="BA113">
        <v>52215.87</v>
      </c>
      <c r="BB113">
        <v>85.918999999999997</v>
      </c>
      <c r="BC113" t="s">
        <v>130</v>
      </c>
      <c r="BD113" t="s">
        <v>112</v>
      </c>
      <c r="BE113" t="s">
        <v>157</v>
      </c>
      <c r="BF113" t="s">
        <v>133</v>
      </c>
      <c r="BG113" t="s">
        <v>134</v>
      </c>
      <c r="BH113" t="s">
        <v>112</v>
      </c>
      <c r="BI113" t="s">
        <v>112</v>
      </c>
      <c r="BJ113" t="s">
        <v>112</v>
      </c>
      <c r="BK113" t="s">
        <v>169</v>
      </c>
      <c r="BL113" t="s">
        <v>159</v>
      </c>
      <c r="BM113" t="s">
        <v>722</v>
      </c>
      <c r="BN113" t="s">
        <v>161</v>
      </c>
      <c r="BO113">
        <v>1</v>
      </c>
      <c r="BP113" t="s">
        <v>232</v>
      </c>
      <c r="BR113" t="s">
        <v>150</v>
      </c>
      <c r="BS113">
        <v>33</v>
      </c>
      <c r="BT113">
        <v>0</v>
      </c>
      <c r="BU113">
        <v>0</v>
      </c>
      <c r="BW113">
        <v>0</v>
      </c>
      <c r="BY113" t="s">
        <v>106</v>
      </c>
      <c r="BZ113" t="s">
        <v>142</v>
      </c>
      <c r="CA113" t="s">
        <v>112</v>
      </c>
      <c r="CB113" t="s">
        <v>112</v>
      </c>
      <c r="CC113" t="s">
        <v>121</v>
      </c>
      <c r="CD113">
        <v>17106.330000000002</v>
      </c>
      <c r="CE113" t="s">
        <v>144</v>
      </c>
      <c r="CF113">
        <v>4000000</v>
      </c>
      <c r="CG113">
        <v>17106.330000000002</v>
      </c>
      <c r="CH113">
        <v>0</v>
      </c>
      <c r="CI113" t="s">
        <v>112</v>
      </c>
      <c r="CJ113" t="s">
        <v>112</v>
      </c>
      <c r="CK113">
        <v>44468.46</v>
      </c>
      <c r="CL113">
        <v>3820686</v>
      </c>
      <c r="CM113">
        <v>0</v>
      </c>
      <c r="CN113">
        <v>1</v>
      </c>
      <c r="CO113">
        <v>4175531.08</v>
      </c>
      <c r="CP113">
        <v>52215.87</v>
      </c>
      <c r="CQ113" t="s">
        <v>145</v>
      </c>
      <c r="CR113">
        <v>52215.361692000006</v>
      </c>
      <c r="CS113">
        <v>3.0524</v>
      </c>
      <c r="CT113">
        <v>45</v>
      </c>
      <c r="CU113" t="s">
        <v>171</v>
      </c>
      <c r="CV113" t="s">
        <v>463</v>
      </c>
      <c r="CW113">
        <v>296</v>
      </c>
    </row>
    <row r="114" spans="1:101" x14ac:dyDescent="0.2">
      <c r="A114" t="s">
        <v>106</v>
      </c>
      <c r="B114" s="46">
        <v>44956</v>
      </c>
      <c r="C114" t="s">
        <v>1235</v>
      </c>
      <c r="D114" t="s">
        <v>108</v>
      </c>
      <c r="E114" t="s">
        <v>1236</v>
      </c>
      <c r="F114" t="s">
        <v>3244</v>
      </c>
      <c r="G114" t="s">
        <v>111</v>
      </c>
      <c r="H114" t="s">
        <v>112</v>
      </c>
      <c r="I114" t="s">
        <v>112</v>
      </c>
      <c r="J114" t="s">
        <v>112</v>
      </c>
      <c r="K114" t="s">
        <v>150</v>
      </c>
      <c r="L114" t="s">
        <v>1060</v>
      </c>
      <c r="M114" t="s">
        <v>112</v>
      </c>
      <c r="N114" t="s">
        <v>112</v>
      </c>
      <c r="O114">
        <v>1</v>
      </c>
      <c r="P114">
        <v>0</v>
      </c>
      <c r="Q114">
        <v>1</v>
      </c>
      <c r="R114">
        <v>33</v>
      </c>
      <c r="S114" t="s">
        <v>166</v>
      </c>
      <c r="T114" t="s">
        <v>152</v>
      </c>
      <c r="U114" t="s">
        <v>153</v>
      </c>
      <c r="V114" t="s">
        <v>154</v>
      </c>
      <c r="W114" t="s">
        <v>119</v>
      </c>
      <c r="X114" t="s">
        <v>112</v>
      </c>
      <c r="Y114" t="s">
        <v>166</v>
      </c>
      <c r="Z114" t="s">
        <v>152</v>
      </c>
      <c r="AA114" t="s">
        <v>153</v>
      </c>
      <c r="AB114" t="s">
        <v>154</v>
      </c>
      <c r="AC114" t="s">
        <v>119</v>
      </c>
      <c r="AD114" t="s">
        <v>112</v>
      </c>
      <c r="AE114" t="s">
        <v>121</v>
      </c>
      <c r="AF114" t="s">
        <v>122</v>
      </c>
      <c r="AG114">
        <v>4335785.49</v>
      </c>
      <c r="AH114" t="s">
        <v>166</v>
      </c>
      <c r="AI114" t="s">
        <v>152</v>
      </c>
      <c r="AJ114" t="s">
        <v>153</v>
      </c>
      <c r="AK114" t="s">
        <v>154</v>
      </c>
      <c r="AL114" t="s">
        <v>119</v>
      </c>
      <c r="AM114" t="s">
        <v>112</v>
      </c>
      <c r="AN114" t="s">
        <v>121</v>
      </c>
      <c r="AO114" t="s">
        <v>122</v>
      </c>
      <c r="AP114" t="s">
        <v>122</v>
      </c>
      <c r="AQ114" t="s">
        <v>124</v>
      </c>
      <c r="AR114" t="s">
        <v>125</v>
      </c>
      <c r="AS114">
        <v>2</v>
      </c>
      <c r="AT114" t="s">
        <v>126</v>
      </c>
      <c r="AU114" t="s">
        <v>155</v>
      </c>
      <c r="AV114" t="s">
        <v>156</v>
      </c>
      <c r="AW114">
        <v>1</v>
      </c>
      <c r="AX114" t="s">
        <v>129</v>
      </c>
      <c r="AY114">
        <v>45813.64</v>
      </c>
      <c r="AZ114">
        <v>3936262</v>
      </c>
      <c r="BA114">
        <v>54219.89</v>
      </c>
      <c r="BB114">
        <v>85.918999999999997</v>
      </c>
      <c r="BC114" t="s">
        <v>130</v>
      </c>
      <c r="BD114" t="s">
        <v>112</v>
      </c>
      <c r="BE114" t="s">
        <v>157</v>
      </c>
      <c r="BF114" t="s">
        <v>133</v>
      </c>
      <c r="BG114" t="s">
        <v>134</v>
      </c>
      <c r="BH114" t="s">
        <v>112</v>
      </c>
      <c r="BI114" t="s">
        <v>112</v>
      </c>
      <c r="BJ114" t="s">
        <v>112</v>
      </c>
      <c r="BK114" t="s">
        <v>169</v>
      </c>
      <c r="BL114" t="s">
        <v>159</v>
      </c>
      <c r="BM114" t="s">
        <v>722</v>
      </c>
      <c r="BN114" t="s">
        <v>161</v>
      </c>
      <c r="BO114">
        <v>1</v>
      </c>
      <c r="BP114" t="s">
        <v>1237</v>
      </c>
      <c r="BR114" t="s">
        <v>150</v>
      </c>
      <c r="BS114">
        <v>33</v>
      </c>
      <c r="BT114">
        <v>0</v>
      </c>
      <c r="BU114">
        <v>0</v>
      </c>
      <c r="BW114">
        <v>0</v>
      </c>
      <c r="BY114" t="s">
        <v>106</v>
      </c>
      <c r="BZ114" t="s">
        <v>142</v>
      </c>
      <c r="CA114" t="s">
        <v>112</v>
      </c>
      <c r="CB114" t="s">
        <v>112</v>
      </c>
      <c r="CC114" t="s">
        <v>121</v>
      </c>
      <c r="CD114">
        <v>16837.09</v>
      </c>
      <c r="CE114" t="s">
        <v>144</v>
      </c>
      <c r="CF114">
        <v>4000000</v>
      </c>
      <c r="CG114">
        <v>16801.09</v>
      </c>
      <c r="CH114">
        <v>0</v>
      </c>
      <c r="CI114" t="s">
        <v>112</v>
      </c>
      <c r="CJ114" t="s">
        <v>112</v>
      </c>
      <c r="CK114">
        <v>45813.64</v>
      </c>
      <c r="CL114">
        <v>3936262</v>
      </c>
      <c r="CM114">
        <v>0</v>
      </c>
      <c r="CN114">
        <v>1</v>
      </c>
      <c r="CO114">
        <v>4335785.49</v>
      </c>
      <c r="CP114">
        <v>54219.89</v>
      </c>
      <c r="CQ114" t="s">
        <v>145</v>
      </c>
      <c r="CR114">
        <v>54220.477648</v>
      </c>
      <c r="CS114">
        <v>3.2271999999999998</v>
      </c>
      <c r="CT114">
        <v>45</v>
      </c>
      <c r="CU114" t="s">
        <v>171</v>
      </c>
      <c r="CV114" t="s">
        <v>372</v>
      </c>
      <c r="CW114">
        <v>180</v>
      </c>
    </row>
    <row r="115" spans="1:101" x14ac:dyDescent="0.2">
      <c r="A115" t="s">
        <v>106</v>
      </c>
      <c r="B115" s="46">
        <v>45163</v>
      </c>
      <c r="C115" t="s">
        <v>1233</v>
      </c>
      <c r="D115" t="s">
        <v>108</v>
      </c>
      <c r="E115" t="s">
        <v>1234</v>
      </c>
      <c r="F115" t="s">
        <v>110</v>
      </c>
      <c r="G115" t="s">
        <v>111</v>
      </c>
      <c r="H115" t="s">
        <v>112</v>
      </c>
      <c r="I115" t="s">
        <v>112</v>
      </c>
      <c r="J115" t="s">
        <v>112</v>
      </c>
      <c r="K115" t="s">
        <v>150</v>
      </c>
      <c r="L115" t="s">
        <v>1060</v>
      </c>
      <c r="M115" t="s">
        <v>112</v>
      </c>
      <c r="N115" t="s">
        <v>112</v>
      </c>
      <c r="O115">
        <v>1</v>
      </c>
      <c r="P115">
        <v>0</v>
      </c>
      <c r="Q115">
        <v>1</v>
      </c>
      <c r="R115">
        <v>33</v>
      </c>
      <c r="S115" t="s">
        <v>166</v>
      </c>
      <c r="T115" t="s">
        <v>152</v>
      </c>
      <c r="U115" t="s">
        <v>153</v>
      </c>
      <c r="V115" t="s">
        <v>154</v>
      </c>
      <c r="W115" t="s">
        <v>119</v>
      </c>
      <c r="X115" t="s">
        <v>112</v>
      </c>
      <c r="Y115" t="s">
        <v>166</v>
      </c>
      <c r="Z115" t="s">
        <v>152</v>
      </c>
      <c r="AA115" t="s">
        <v>153</v>
      </c>
      <c r="AB115" t="s">
        <v>154</v>
      </c>
      <c r="AC115" t="s">
        <v>119</v>
      </c>
      <c r="AD115" t="s">
        <v>112</v>
      </c>
      <c r="AE115" t="s">
        <v>121</v>
      </c>
      <c r="AF115" t="s">
        <v>122</v>
      </c>
      <c r="AG115">
        <v>3922638.82</v>
      </c>
      <c r="AH115" t="s">
        <v>166</v>
      </c>
      <c r="AI115" t="s">
        <v>152</v>
      </c>
      <c r="AJ115" t="s">
        <v>153</v>
      </c>
      <c r="AK115" t="s">
        <v>154</v>
      </c>
      <c r="AL115" t="s">
        <v>119</v>
      </c>
      <c r="AM115" t="s">
        <v>112</v>
      </c>
      <c r="AN115" t="s">
        <v>121</v>
      </c>
      <c r="AO115" t="s">
        <v>122</v>
      </c>
      <c r="AP115" t="s">
        <v>122</v>
      </c>
      <c r="AQ115" t="s">
        <v>124</v>
      </c>
      <c r="AR115" t="s">
        <v>125</v>
      </c>
      <c r="AS115">
        <v>2</v>
      </c>
      <c r="AT115" t="s">
        <v>126</v>
      </c>
      <c r="AU115" t="s">
        <v>155</v>
      </c>
      <c r="AV115" t="s">
        <v>156</v>
      </c>
      <c r="AW115">
        <v>1</v>
      </c>
      <c r="AX115" t="s">
        <v>129</v>
      </c>
      <c r="AY115">
        <v>41525.08</v>
      </c>
      <c r="AZ115">
        <v>3567793</v>
      </c>
      <c r="BA115">
        <v>49053.4</v>
      </c>
      <c r="BB115">
        <v>85.918999999999997</v>
      </c>
      <c r="BC115" t="s">
        <v>130</v>
      </c>
      <c r="BD115" t="s">
        <v>112</v>
      </c>
      <c r="BE115" t="s">
        <v>157</v>
      </c>
      <c r="BF115" t="s">
        <v>133</v>
      </c>
      <c r="BG115" t="s">
        <v>134</v>
      </c>
      <c r="BH115" t="s">
        <v>112</v>
      </c>
      <c r="BI115" t="s">
        <v>112</v>
      </c>
      <c r="BJ115" t="s">
        <v>112</v>
      </c>
      <c r="BK115" t="s">
        <v>169</v>
      </c>
      <c r="BL115" t="s">
        <v>159</v>
      </c>
      <c r="BM115" t="s">
        <v>722</v>
      </c>
      <c r="BN115" t="s">
        <v>161</v>
      </c>
      <c r="BO115">
        <v>1</v>
      </c>
      <c r="BP115" t="s">
        <v>162</v>
      </c>
      <c r="BR115" t="s">
        <v>150</v>
      </c>
      <c r="BS115">
        <v>33</v>
      </c>
      <c r="BT115">
        <v>0</v>
      </c>
      <c r="BU115">
        <v>0</v>
      </c>
      <c r="BW115">
        <v>0</v>
      </c>
      <c r="BY115" t="s">
        <v>106</v>
      </c>
      <c r="BZ115" t="s">
        <v>142</v>
      </c>
      <c r="CA115" t="s">
        <v>112</v>
      </c>
      <c r="CB115" t="s">
        <v>112</v>
      </c>
      <c r="CC115" t="s">
        <v>121</v>
      </c>
      <c r="CD115">
        <v>16875.34</v>
      </c>
      <c r="CE115" t="s">
        <v>144</v>
      </c>
      <c r="CF115">
        <v>4000000</v>
      </c>
      <c r="CG115">
        <v>16810.54</v>
      </c>
      <c r="CH115">
        <v>0</v>
      </c>
      <c r="CI115" t="s">
        <v>112</v>
      </c>
      <c r="CJ115" t="s">
        <v>112</v>
      </c>
      <c r="CK115">
        <v>41525.08</v>
      </c>
      <c r="CL115">
        <v>3567793</v>
      </c>
      <c r="CM115">
        <v>0</v>
      </c>
      <c r="CN115">
        <v>1</v>
      </c>
      <c r="CO115">
        <v>3922638.82</v>
      </c>
      <c r="CP115">
        <v>49053.4</v>
      </c>
      <c r="CQ115" t="s">
        <v>145</v>
      </c>
      <c r="CR115">
        <v>49053.155720000002</v>
      </c>
      <c r="CS115">
        <v>2.9180000000000001</v>
      </c>
      <c r="CT115">
        <v>45</v>
      </c>
      <c r="CU115" t="s">
        <v>171</v>
      </c>
      <c r="CV115" t="s">
        <v>350</v>
      </c>
      <c r="CW115">
        <v>166</v>
      </c>
    </row>
    <row r="116" spans="1:101" x14ac:dyDescent="0.2">
      <c r="A116" t="s">
        <v>106</v>
      </c>
      <c r="B116" s="46">
        <v>45251</v>
      </c>
      <c r="C116" t="s">
        <v>892</v>
      </c>
      <c r="D116" t="s">
        <v>108</v>
      </c>
      <c r="E116" t="s">
        <v>893</v>
      </c>
      <c r="F116" t="s">
        <v>110</v>
      </c>
      <c r="G116" t="s">
        <v>111</v>
      </c>
      <c r="H116" t="s">
        <v>112</v>
      </c>
      <c r="I116" t="s">
        <v>112</v>
      </c>
      <c r="J116" t="s">
        <v>112</v>
      </c>
      <c r="K116" t="s">
        <v>150</v>
      </c>
      <c r="L116" t="s">
        <v>151</v>
      </c>
      <c r="M116" t="s">
        <v>112</v>
      </c>
      <c r="N116" t="s">
        <v>112</v>
      </c>
      <c r="O116">
        <v>1</v>
      </c>
      <c r="P116">
        <v>0</v>
      </c>
      <c r="Q116">
        <v>1</v>
      </c>
      <c r="R116">
        <v>33</v>
      </c>
      <c r="S116" t="s">
        <v>166</v>
      </c>
      <c r="T116" t="s">
        <v>152</v>
      </c>
      <c r="U116" t="s">
        <v>153</v>
      </c>
      <c r="V116" t="s">
        <v>154</v>
      </c>
      <c r="W116" t="s">
        <v>119</v>
      </c>
      <c r="X116" t="s">
        <v>112</v>
      </c>
      <c r="Y116" t="s">
        <v>166</v>
      </c>
      <c r="Z116" t="s">
        <v>152</v>
      </c>
      <c r="AA116" t="s">
        <v>153</v>
      </c>
      <c r="AB116" t="s">
        <v>154</v>
      </c>
      <c r="AC116" t="s">
        <v>119</v>
      </c>
      <c r="AD116" t="s">
        <v>112</v>
      </c>
      <c r="AE116" t="s">
        <v>121</v>
      </c>
      <c r="AF116" t="s">
        <v>122</v>
      </c>
      <c r="AG116">
        <v>4193185.32</v>
      </c>
      <c r="AH116" t="s">
        <v>166</v>
      </c>
      <c r="AI116" t="s">
        <v>152</v>
      </c>
      <c r="AJ116" t="s">
        <v>153</v>
      </c>
      <c r="AK116" t="s">
        <v>154</v>
      </c>
      <c r="AL116" t="s">
        <v>119</v>
      </c>
      <c r="AM116" t="s">
        <v>112</v>
      </c>
      <c r="AN116" t="s">
        <v>121</v>
      </c>
      <c r="AO116" t="s">
        <v>122</v>
      </c>
      <c r="AP116" t="s">
        <v>122</v>
      </c>
      <c r="AQ116" t="s">
        <v>124</v>
      </c>
      <c r="AR116" t="s">
        <v>125</v>
      </c>
      <c r="AS116">
        <v>2</v>
      </c>
      <c r="AT116" t="s">
        <v>126</v>
      </c>
      <c r="AU116" t="s">
        <v>155</v>
      </c>
      <c r="AV116" t="s">
        <v>156</v>
      </c>
      <c r="AW116">
        <v>1</v>
      </c>
      <c r="AX116" t="s">
        <v>129</v>
      </c>
      <c r="AY116">
        <v>45807.63</v>
      </c>
      <c r="AZ116">
        <v>3791727</v>
      </c>
      <c r="BA116">
        <v>54745.68</v>
      </c>
      <c r="BB116">
        <v>82.775000000000006</v>
      </c>
      <c r="BC116" t="s">
        <v>130</v>
      </c>
      <c r="BD116" t="s">
        <v>112</v>
      </c>
      <c r="BE116" t="s">
        <v>157</v>
      </c>
      <c r="BF116" t="s">
        <v>133</v>
      </c>
      <c r="BG116" t="s">
        <v>134</v>
      </c>
      <c r="BH116" t="s">
        <v>112</v>
      </c>
      <c r="BI116" t="s">
        <v>112</v>
      </c>
      <c r="BJ116" t="s">
        <v>112</v>
      </c>
      <c r="BK116" t="s">
        <v>169</v>
      </c>
      <c r="BL116" t="s">
        <v>159</v>
      </c>
      <c r="BM116" t="s">
        <v>722</v>
      </c>
      <c r="BN116" t="s">
        <v>161</v>
      </c>
      <c r="BO116">
        <v>1</v>
      </c>
      <c r="BP116" t="s">
        <v>894</v>
      </c>
      <c r="BR116" t="s">
        <v>150</v>
      </c>
      <c r="BS116">
        <v>33</v>
      </c>
      <c r="BT116">
        <v>0</v>
      </c>
      <c r="BU116">
        <v>0</v>
      </c>
      <c r="BW116">
        <v>0</v>
      </c>
      <c r="BY116" t="s">
        <v>106</v>
      </c>
      <c r="BZ116" t="s">
        <v>142</v>
      </c>
      <c r="CA116" t="s">
        <v>112</v>
      </c>
      <c r="CB116" t="s">
        <v>112</v>
      </c>
      <c r="CC116" t="s">
        <v>121</v>
      </c>
      <c r="CD116">
        <v>16090.71</v>
      </c>
      <c r="CE116" t="s">
        <v>144</v>
      </c>
      <c r="CF116">
        <v>4000000</v>
      </c>
      <c r="CG116">
        <v>16035.51</v>
      </c>
      <c r="CH116">
        <v>0</v>
      </c>
      <c r="CI116" t="s">
        <v>112</v>
      </c>
      <c r="CJ116" t="s">
        <v>112</v>
      </c>
      <c r="CK116">
        <v>45807.63</v>
      </c>
      <c r="CL116">
        <v>3791727</v>
      </c>
      <c r="CM116">
        <v>0</v>
      </c>
      <c r="CN116">
        <v>1</v>
      </c>
      <c r="CO116">
        <v>4193185.32</v>
      </c>
      <c r="CP116">
        <v>54745.68</v>
      </c>
      <c r="CQ116" t="s">
        <v>145</v>
      </c>
      <c r="CR116">
        <v>54745.231140000004</v>
      </c>
      <c r="CS116">
        <v>3.4140000000000001</v>
      </c>
      <c r="CT116">
        <v>45</v>
      </c>
      <c r="CU116" t="s">
        <v>171</v>
      </c>
      <c r="CV116" t="s">
        <v>350</v>
      </c>
      <c r="CW116">
        <v>9</v>
      </c>
    </row>
    <row r="117" spans="1:101" x14ac:dyDescent="0.2">
      <c r="A117" t="s">
        <v>106</v>
      </c>
      <c r="B117" s="46">
        <v>45133</v>
      </c>
      <c r="C117" t="s">
        <v>414</v>
      </c>
      <c r="D117" t="s">
        <v>108</v>
      </c>
      <c r="E117" t="s">
        <v>415</v>
      </c>
      <c r="F117" t="s">
        <v>110</v>
      </c>
      <c r="G117" t="s">
        <v>111</v>
      </c>
      <c r="H117" t="s">
        <v>112</v>
      </c>
      <c r="I117" t="s">
        <v>112</v>
      </c>
      <c r="J117" t="s">
        <v>112</v>
      </c>
      <c r="K117" t="s">
        <v>175</v>
      </c>
      <c r="L117" t="s">
        <v>176</v>
      </c>
      <c r="M117" t="s">
        <v>112</v>
      </c>
      <c r="N117" t="s">
        <v>112</v>
      </c>
      <c r="O117">
        <v>1</v>
      </c>
      <c r="P117">
        <v>0</v>
      </c>
      <c r="Q117">
        <v>1</v>
      </c>
      <c r="R117">
        <v>33</v>
      </c>
      <c r="S117" t="s">
        <v>166</v>
      </c>
      <c r="T117" t="s">
        <v>152</v>
      </c>
      <c r="U117" t="s">
        <v>153</v>
      </c>
      <c r="V117" t="s">
        <v>177</v>
      </c>
      <c r="W117" t="s">
        <v>119</v>
      </c>
      <c r="X117" t="s">
        <v>112</v>
      </c>
      <c r="Y117" t="s">
        <v>166</v>
      </c>
      <c r="Z117" t="s">
        <v>152</v>
      </c>
      <c r="AA117" t="s">
        <v>153</v>
      </c>
      <c r="AB117" t="s">
        <v>177</v>
      </c>
      <c r="AC117" t="s">
        <v>119</v>
      </c>
      <c r="AD117" t="s">
        <v>112</v>
      </c>
      <c r="AE117" t="s">
        <v>121</v>
      </c>
      <c r="AF117" t="s">
        <v>122</v>
      </c>
      <c r="AG117">
        <v>3130791.31</v>
      </c>
      <c r="AH117" t="s">
        <v>166</v>
      </c>
      <c r="AI117" t="s">
        <v>152</v>
      </c>
      <c r="AJ117" t="s">
        <v>153</v>
      </c>
      <c r="AK117" t="s">
        <v>177</v>
      </c>
      <c r="AL117" t="s">
        <v>119</v>
      </c>
      <c r="AM117" t="s">
        <v>112</v>
      </c>
      <c r="AN117" t="s">
        <v>121</v>
      </c>
      <c r="AO117" t="s">
        <v>122</v>
      </c>
      <c r="AP117" t="s">
        <v>122</v>
      </c>
      <c r="AQ117" t="s">
        <v>124</v>
      </c>
      <c r="AR117" t="s">
        <v>125</v>
      </c>
      <c r="AS117">
        <v>2</v>
      </c>
      <c r="AT117" t="s">
        <v>106</v>
      </c>
      <c r="AU117" t="s">
        <v>155</v>
      </c>
      <c r="AV117" t="s">
        <v>156</v>
      </c>
      <c r="AW117">
        <v>1</v>
      </c>
      <c r="AX117" t="s">
        <v>129</v>
      </c>
      <c r="AY117">
        <v>38155.9</v>
      </c>
      <c r="AZ117">
        <v>2877191</v>
      </c>
      <c r="BA117">
        <v>45153.13</v>
      </c>
      <c r="BB117">
        <v>75.406199999999998</v>
      </c>
      <c r="BC117" t="s">
        <v>130</v>
      </c>
      <c r="BD117" t="s">
        <v>112</v>
      </c>
      <c r="BE117" t="s">
        <v>157</v>
      </c>
      <c r="BF117" t="s">
        <v>133</v>
      </c>
      <c r="BG117" t="s">
        <v>134</v>
      </c>
      <c r="BH117" t="s">
        <v>112</v>
      </c>
      <c r="BI117" t="s">
        <v>178</v>
      </c>
      <c r="BJ117" t="s">
        <v>112</v>
      </c>
      <c r="BK117" t="s">
        <v>125</v>
      </c>
      <c r="BL117" t="s">
        <v>179</v>
      </c>
      <c r="BM117" t="s">
        <v>180</v>
      </c>
      <c r="BN117" t="s">
        <v>181</v>
      </c>
      <c r="BO117">
        <v>1</v>
      </c>
      <c r="BP117" t="s">
        <v>416</v>
      </c>
      <c r="BR117" t="s">
        <v>150</v>
      </c>
      <c r="BS117">
        <v>33</v>
      </c>
      <c r="BT117">
        <v>1</v>
      </c>
      <c r="BU117">
        <v>0</v>
      </c>
      <c r="BW117">
        <v>0</v>
      </c>
      <c r="BY117" t="s">
        <v>106</v>
      </c>
      <c r="BZ117" t="s">
        <v>142</v>
      </c>
      <c r="CA117" t="s">
        <v>112</v>
      </c>
      <c r="CB117" t="s">
        <v>112</v>
      </c>
      <c r="CC117" t="s">
        <v>121</v>
      </c>
      <c r="CD117">
        <v>16496.490000000002</v>
      </c>
      <c r="CE117" t="s">
        <v>144</v>
      </c>
      <c r="CF117">
        <v>4000000</v>
      </c>
      <c r="CG117">
        <v>16323.69</v>
      </c>
      <c r="CH117">
        <v>0</v>
      </c>
      <c r="CI117" t="s">
        <v>112</v>
      </c>
      <c r="CJ117" t="s">
        <v>112</v>
      </c>
      <c r="CK117">
        <v>38155.9</v>
      </c>
      <c r="CL117">
        <v>2877191</v>
      </c>
      <c r="CM117">
        <v>0</v>
      </c>
      <c r="CN117">
        <v>1</v>
      </c>
      <c r="CO117">
        <v>3130791.31</v>
      </c>
      <c r="CP117">
        <v>45153.13</v>
      </c>
      <c r="CQ117" t="s">
        <v>145</v>
      </c>
      <c r="CR117">
        <v>45152.958909000001</v>
      </c>
      <c r="CS117">
        <v>2.7660999999999998</v>
      </c>
      <c r="CT117">
        <v>941</v>
      </c>
      <c r="CU117" t="s">
        <v>183</v>
      </c>
      <c r="CV117" t="s">
        <v>147</v>
      </c>
      <c r="CW117">
        <v>180</v>
      </c>
    </row>
    <row r="118" spans="1:101" x14ac:dyDescent="0.2">
      <c r="A118" t="s">
        <v>106</v>
      </c>
      <c r="B118" s="46">
        <v>45244</v>
      </c>
      <c r="C118" t="s">
        <v>411</v>
      </c>
      <c r="D118" t="s">
        <v>108</v>
      </c>
      <c r="E118" t="s">
        <v>412</v>
      </c>
      <c r="F118" t="s">
        <v>110</v>
      </c>
      <c r="G118" t="s">
        <v>111</v>
      </c>
      <c r="H118" t="s">
        <v>112</v>
      </c>
      <c r="I118" t="s">
        <v>112</v>
      </c>
      <c r="J118" t="s">
        <v>112</v>
      </c>
      <c r="K118" t="s">
        <v>175</v>
      </c>
      <c r="L118" t="s">
        <v>176</v>
      </c>
      <c r="M118" t="s">
        <v>112</v>
      </c>
      <c r="N118" t="s">
        <v>112</v>
      </c>
      <c r="O118">
        <v>1</v>
      </c>
      <c r="P118">
        <v>0</v>
      </c>
      <c r="Q118">
        <v>1</v>
      </c>
      <c r="R118">
        <v>33</v>
      </c>
      <c r="S118" t="s">
        <v>166</v>
      </c>
      <c r="T118" t="s">
        <v>152</v>
      </c>
      <c r="U118" t="s">
        <v>153</v>
      </c>
      <c r="V118" t="s">
        <v>177</v>
      </c>
      <c r="W118" t="s">
        <v>119</v>
      </c>
      <c r="X118" t="s">
        <v>112</v>
      </c>
      <c r="Y118" t="s">
        <v>166</v>
      </c>
      <c r="Z118" t="s">
        <v>152</v>
      </c>
      <c r="AA118" t="s">
        <v>153</v>
      </c>
      <c r="AB118" t="s">
        <v>177</v>
      </c>
      <c r="AC118" t="s">
        <v>119</v>
      </c>
      <c r="AD118" t="s">
        <v>112</v>
      </c>
      <c r="AE118" t="s">
        <v>121</v>
      </c>
      <c r="AF118" t="s">
        <v>122</v>
      </c>
      <c r="AG118">
        <v>3173731.37</v>
      </c>
      <c r="AH118" t="s">
        <v>166</v>
      </c>
      <c r="AI118" t="s">
        <v>152</v>
      </c>
      <c r="AJ118" t="s">
        <v>153</v>
      </c>
      <c r="AK118" t="s">
        <v>177</v>
      </c>
      <c r="AL118" t="s">
        <v>119</v>
      </c>
      <c r="AM118" t="s">
        <v>112</v>
      </c>
      <c r="AN118" t="s">
        <v>121</v>
      </c>
      <c r="AO118" t="s">
        <v>122</v>
      </c>
      <c r="AP118" t="s">
        <v>122</v>
      </c>
      <c r="AQ118" t="s">
        <v>124</v>
      </c>
      <c r="AR118" t="s">
        <v>125</v>
      </c>
      <c r="AS118">
        <v>2</v>
      </c>
      <c r="AT118" t="s">
        <v>106</v>
      </c>
      <c r="AU118" t="s">
        <v>155</v>
      </c>
      <c r="AV118" t="s">
        <v>156</v>
      </c>
      <c r="AW118">
        <v>1</v>
      </c>
      <c r="AX118" t="s">
        <v>129</v>
      </c>
      <c r="AY118">
        <v>38725.35</v>
      </c>
      <c r="AZ118">
        <v>2920131</v>
      </c>
      <c r="BA118">
        <v>45772.42</v>
      </c>
      <c r="BB118">
        <v>75.406199999999998</v>
      </c>
      <c r="BC118" t="s">
        <v>130</v>
      </c>
      <c r="BD118" t="s">
        <v>112</v>
      </c>
      <c r="BE118" t="s">
        <v>157</v>
      </c>
      <c r="BF118" t="s">
        <v>133</v>
      </c>
      <c r="BG118" t="s">
        <v>134</v>
      </c>
      <c r="BH118" t="s">
        <v>112</v>
      </c>
      <c r="BI118" t="s">
        <v>178</v>
      </c>
      <c r="BJ118" t="s">
        <v>112</v>
      </c>
      <c r="BK118" t="s">
        <v>125</v>
      </c>
      <c r="BL118" t="s">
        <v>179</v>
      </c>
      <c r="BM118" t="s">
        <v>180</v>
      </c>
      <c r="BN118" t="s">
        <v>181</v>
      </c>
      <c r="BO118">
        <v>1</v>
      </c>
      <c r="BP118" t="s">
        <v>413</v>
      </c>
      <c r="BR118" t="s">
        <v>150</v>
      </c>
      <c r="BS118">
        <v>33</v>
      </c>
      <c r="BT118">
        <v>1</v>
      </c>
      <c r="BU118">
        <v>0</v>
      </c>
      <c r="BW118">
        <v>0</v>
      </c>
      <c r="BY118" t="s">
        <v>106</v>
      </c>
      <c r="BZ118" t="s">
        <v>142</v>
      </c>
      <c r="CA118" t="s">
        <v>112</v>
      </c>
      <c r="CB118" t="s">
        <v>112</v>
      </c>
      <c r="CC118" t="s">
        <v>121</v>
      </c>
      <c r="CD118">
        <v>16512.8</v>
      </c>
      <c r="CE118" t="s">
        <v>144</v>
      </c>
      <c r="CF118">
        <v>4000000</v>
      </c>
      <c r="CG118">
        <v>16426.400000000001</v>
      </c>
      <c r="CH118">
        <v>0</v>
      </c>
      <c r="CI118" t="s">
        <v>112</v>
      </c>
      <c r="CJ118" t="s">
        <v>112</v>
      </c>
      <c r="CK118">
        <v>38725.35</v>
      </c>
      <c r="CL118">
        <v>2920131</v>
      </c>
      <c r="CM118">
        <v>0</v>
      </c>
      <c r="CN118">
        <v>1</v>
      </c>
      <c r="CO118">
        <v>3173731.37</v>
      </c>
      <c r="CP118">
        <v>45772.42</v>
      </c>
      <c r="CQ118" t="s">
        <v>145</v>
      </c>
      <c r="CR118">
        <v>45772.163600000007</v>
      </c>
      <c r="CS118">
        <v>2.7865000000000002</v>
      </c>
      <c r="CT118">
        <v>941</v>
      </c>
      <c r="CU118" t="s">
        <v>183</v>
      </c>
      <c r="CV118" t="s">
        <v>147</v>
      </c>
      <c r="CW118">
        <v>124</v>
      </c>
    </row>
    <row r="119" spans="1:101" x14ac:dyDescent="0.2">
      <c r="A119" t="s">
        <v>106</v>
      </c>
      <c r="B119" s="46">
        <v>44855</v>
      </c>
      <c r="C119" t="s">
        <v>284</v>
      </c>
      <c r="D119" t="s">
        <v>108</v>
      </c>
      <c r="E119" t="s">
        <v>285</v>
      </c>
      <c r="F119" t="s">
        <v>110</v>
      </c>
      <c r="G119" t="s">
        <v>111</v>
      </c>
      <c r="H119" t="s">
        <v>112</v>
      </c>
      <c r="I119" t="s">
        <v>112</v>
      </c>
      <c r="J119" t="s">
        <v>112</v>
      </c>
      <c r="K119" t="s">
        <v>150</v>
      </c>
      <c r="L119" t="s">
        <v>151</v>
      </c>
      <c r="M119" t="s">
        <v>112</v>
      </c>
      <c r="N119" t="s">
        <v>112</v>
      </c>
      <c r="O119">
        <v>1</v>
      </c>
      <c r="Q119">
        <v>1</v>
      </c>
      <c r="R119">
        <v>33</v>
      </c>
      <c r="S119" t="s">
        <v>112</v>
      </c>
      <c r="T119" t="s">
        <v>152</v>
      </c>
      <c r="U119" t="s">
        <v>153</v>
      </c>
      <c r="V119" t="s">
        <v>154</v>
      </c>
      <c r="W119" t="s">
        <v>119</v>
      </c>
      <c r="X119" t="s">
        <v>112</v>
      </c>
      <c r="Y119" t="s">
        <v>112</v>
      </c>
      <c r="Z119" t="s">
        <v>152</v>
      </c>
      <c r="AA119" t="s">
        <v>153</v>
      </c>
      <c r="AB119" t="s">
        <v>154</v>
      </c>
      <c r="AC119" t="s">
        <v>119</v>
      </c>
      <c r="AD119" t="s">
        <v>112</v>
      </c>
      <c r="AE119" t="s">
        <v>121</v>
      </c>
      <c r="AF119" t="s">
        <v>122</v>
      </c>
      <c r="AG119">
        <v>4452621.29</v>
      </c>
      <c r="AH119" t="s">
        <v>112</v>
      </c>
      <c r="AI119" t="s">
        <v>152</v>
      </c>
      <c r="AJ119" t="s">
        <v>153</v>
      </c>
      <c r="AK119" t="s">
        <v>154</v>
      </c>
      <c r="AL119" t="s">
        <v>119</v>
      </c>
      <c r="AM119" t="s">
        <v>112</v>
      </c>
      <c r="AN119" t="s">
        <v>121</v>
      </c>
      <c r="AO119" t="s">
        <v>122</v>
      </c>
      <c r="AP119" t="s">
        <v>122</v>
      </c>
      <c r="AQ119" t="s">
        <v>124</v>
      </c>
      <c r="AR119" t="s">
        <v>125</v>
      </c>
      <c r="AS119">
        <v>2</v>
      </c>
      <c r="AT119" t="s">
        <v>126</v>
      </c>
      <c r="AU119" t="s">
        <v>155</v>
      </c>
      <c r="AV119" t="s">
        <v>156</v>
      </c>
      <c r="AX119" t="s">
        <v>129</v>
      </c>
      <c r="AY119">
        <v>39945.24</v>
      </c>
      <c r="BB119">
        <v>101.3451</v>
      </c>
      <c r="BC119" t="s">
        <v>112</v>
      </c>
      <c r="BD119" t="s">
        <v>112</v>
      </c>
      <c r="BE119" t="s">
        <v>157</v>
      </c>
      <c r="BF119" t="s">
        <v>133</v>
      </c>
      <c r="BG119" t="s">
        <v>134</v>
      </c>
      <c r="BH119" t="s">
        <v>112</v>
      </c>
      <c r="BI119" t="s">
        <v>112</v>
      </c>
      <c r="BJ119" t="s">
        <v>112</v>
      </c>
      <c r="BK119" t="s">
        <v>158</v>
      </c>
      <c r="BL119" t="s">
        <v>159</v>
      </c>
      <c r="BM119" t="s">
        <v>212</v>
      </c>
      <c r="BN119" t="s">
        <v>161</v>
      </c>
      <c r="BP119" t="s">
        <v>281</v>
      </c>
      <c r="BR119" t="s">
        <v>150</v>
      </c>
      <c r="BS119">
        <v>33</v>
      </c>
      <c r="BT119">
        <v>0</v>
      </c>
      <c r="BU119">
        <v>0</v>
      </c>
      <c r="BW119">
        <v>0</v>
      </c>
      <c r="BY119" t="s">
        <v>106</v>
      </c>
      <c r="BZ119" t="s">
        <v>142</v>
      </c>
      <c r="CA119" t="s">
        <v>112</v>
      </c>
      <c r="CB119" t="s">
        <v>112</v>
      </c>
      <c r="CC119" t="s">
        <v>121</v>
      </c>
      <c r="CD119">
        <v>16163.71</v>
      </c>
      <c r="CE119" t="s">
        <v>144</v>
      </c>
      <c r="CF119">
        <v>4000000</v>
      </c>
      <c r="CG119">
        <v>15926.11</v>
      </c>
      <c r="CH119">
        <v>0</v>
      </c>
      <c r="CI119" t="s">
        <v>112</v>
      </c>
      <c r="CJ119" t="s">
        <v>112</v>
      </c>
      <c r="CK119">
        <v>39945.24</v>
      </c>
      <c r="CM119">
        <v>0</v>
      </c>
      <c r="CN119">
        <v>1</v>
      </c>
      <c r="CO119">
        <v>4452621.29</v>
      </c>
      <c r="CP119">
        <v>48553.69</v>
      </c>
      <c r="CQ119" t="s">
        <v>145</v>
      </c>
      <c r="CR119">
        <v>48574.635499999997</v>
      </c>
      <c r="CS119">
        <v>3.05</v>
      </c>
      <c r="CT119">
        <v>45</v>
      </c>
      <c r="CV119" t="s">
        <v>206</v>
      </c>
      <c r="CW119">
        <v>159</v>
      </c>
    </row>
    <row r="120" spans="1:101" x14ac:dyDescent="0.2">
      <c r="A120" t="s">
        <v>106</v>
      </c>
      <c r="B120" s="46">
        <v>44703</v>
      </c>
      <c r="C120" t="s">
        <v>261</v>
      </c>
      <c r="D120" t="s">
        <v>108</v>
      </c>
      <c r="E120" t="s">
        <v>262</v>
      </c>
      <c r="F120" t="s">
        <v>110</v>
      </c>
      <c r="G120" t="s">
        <v>111</v>
      </c>
      <c r="H120" t="s">
        <v>112</v>
      </c>
      <c r="I120" t="s">
        <v>112</v>
      </c>
      <c r="J120" t="s">
        <v>112</v>
      </c>
      <c r="K120" t="s">
        <v>150</v>
      </c>
      <c r="L120" t="s">
        <v>151</v>
      </c>
      <c r="M120" t="s">
        <v>112</v>
      </c>
      <c r="N120" t="s">
        <v>112</v>
      </c>
      <c r="O120">
        <v>1</v>
      </c>
      <c r="Q120">
        <v>1</v>
      </c>
      <c r="R120">
        <v>33</v>
      </c>
      <c r="S120" t="s">
        <v>112</v>
      </c>
      <c r="T120" t="s">
        <v>152</v>
      </c>
      <c r="U120" t="s">
        <v>153</v>
      </c>
      <c r="V120" t="s">
        <v>154</v>
      </c>
      <c r="W120" t="s">
        <v>119</v>
      </c>
      <c r="X120" t="s">
        <v>112</v>
      </c>
      <c r="Y120" t="s">
        <v>112</v>
      </c>
      <c r="Z120" t="s">
        <v>152</v>
      </c>
      <c r="AA120" t="s">
        <v>153</v>
      </c>
      <c r="AB120" t="s">
        <v>154</v>
      </c>
      <c r="AC120" t="s">
        <v>119</v>
      </c>
      <c r="AD120" t="s">
        <v>112</v>
      </c>
      <c r="AE120" t="s">
        <v>121</v>
      </c>
      <c r="AF120" t="s">
        <v>122</v>
      </c>
      <c r="AG120">
        <v>4779641.66</v>
      </c>
      <c r="AH120" t="s">
        <v>112</v>
      </c>
      <c r="AI120" t="s">
        <v>152</v>
      </c>
      <c r="AJ120" t="s">
        <v>153</v>
      </c>
      <c r="AK120" t="s">
        <v>154</v>
      </c>
      <c r="AL120" t="s">
        <v>119</v>
      </c>
      <c r="AM120" t="s">
        <v>112</v>
      </c>
      <c r="AN120" t="s">
        <v>121</v>
      </c>
      <c r="AO120" t="s">
        <v>122</v>
      </c>
      <c r="AP120" t="s">
        <v>122</v>
      </c>
      <c r="AQ120" t="s">
        <v>124</v>
      </c>
      <c r="AR120" t="s">
        <v>125</v>
      </c>
      <c r="AS120">
        <v>2</v>
      </c>
      <c r="AT120" t="s">
        <v>126</v>
      </c>
      <c r="AU120" t="s">
        <v>155</v>
      </c>
      <c r="AV120" t="s">
        <v>156</v>
      </c>
      <c r="AX120" t="s">
        <v>129</v>
      </c>
      <c r="AY120">
        <v>43172.04</v>
      </c>
      <c r="BB120">
        <v>101.3451</v>
      </c>
      <c r="BC120" t="s">
        <v>112</v>
      </c>
      <c r="BD120" t="s">
        <v>112</v>
      </c>
      <c r="BE120" t="s">
        <v>157</v>
      </c>
      <c r="BF120" t="s">
        <v>133</v>
      </c>
      <c r="BG120" t="s">
        <v>134</v>
      </c>
      <c r="BH120" t="s">
        <v>112</v>
      </c>
      <c r="BI120" t="s">
        <v>112</v>
      </c>
      <c r="BJ120" t="s">
        <v>112</v>
      </c>
      <c r="BK120" t="s">
        <v>158</v>
      </c>
      <c r="BL120" t="s">
        <v>159</v>
      </c>
      <c r="BM120" t="s">
        <v>212</v>
      </c>
      <c r="BN120" t="s">
        <v>161</v>
      </c>
      <c r="BP120" t="s">
        <v>232</v>
      </c>
      <c r="BR120" t="s">
        <v>150</v>
      </c>
      <c r="BS120">
        <v>33</v>
      </c>
      <c r="BT120">
        <v>0</v>
      </c>
      <c r="BU120">
        <v>0</v>
      </c>
      <c r="BW120">
        <v>0</v>
      </c>
      <c r="BY120" t="s">
        <v>106</v>
      </c>
      <c r="BZ120" t="s">
        <v>142</v>
      </c>
      <c r="CA120" t="s">
        <v>112</v>
      </c>
      <c r="CB120" t="s">
        <v>112</v>
      </c>
      <c r="CC120" t="s">
        <v>121</v>
      </c>
      <c r="CD120">
        <v>16601.95</v>
      </c>
      <c r="CE120" t="s">
        <v>144</v>
      </c>
      <c r="CF120">
        <v>4000000</v>
      </c>
      <c r="CG120">
        <v>16517.95</v>
      </c>
      <c r="CH120">
        <v>0</v>
      </c>
      <c r="CI120" t="s">
        <v>112</v>
      </c>
      <c r="CJ120" t="s">
        <v>112</v>
      </c>
      <c r="CK120">
        <v>43172.04</v>
      </c>
      <c r="CM120">
        <v>0</v>
      </c>
      <c r="CN120">
        <v>1</v>
      </c>
      <c r="CO120">
        <v>4779641.66</v>
      </c>
      <c r="CP120">
        <v>52119.69</v>
      </c>
      <c r="CQ120" t="s">
        <v>145</v>
      </c>
      <c r="CR120">
        <v>52196.722000000002</v>
      </c>
      <c r="CS120">
        <v>3.16</v>
      </c>
      <c r="CT120">
        <v>45</v>
      </c>
      <c r="CV120" t="s">
        <v>233</v>
      </c>
      <c r="CW120">
        <v>303</v>
      </c>
    </row>
    <row r="121" spans="1:101" x14ac:dyDescent="0.2">
      <c r="A121" t="s">
        <v>106</v>
      </c>
      <c r="B121" s="46">
        <v>44565</v>
      </c>
      <c r="C121" t="s">
        <v>279</v>
      </c>
      <c r="D121" t="s">
        <v>108</v>
      </c>
      <c r="E121" t="s">
        <v>280</v>
      </c>
      <c r="F121" t="s">
        <v>110</v>
      </c>
      <c r="G121" t="s">
        <v>111</v>
      </c>
      <c r="H121" t="s">
        <v>112</v>
      </c>
      <c r="I121" t="s">
        <v>112</v>
      </c>
      <c r="J121" t="s">
        <v>112</v>
      </c>
      <c r="K121" t="s">
        <v>150</v>
      </c>
      <c r="L121" t="s">
        <v>151</v>
      </c>
      <c r="M121" t="s">
        <v>112</v>
      </c>
      <c r="N121" t="s">
        <v>112</v>
      </c>
      <c r="O121">
        <v>1</v>
      </c>
      <c r="Q121">
        <v>1</v>
      </c>
      <c r="R121">
        <v>33</v>
      </c>
      <c r="S121" t="s">
        <v>112</v>
      </c>
      <c r="T121" t="s">
        <v>152</v>
      </c>
      <c r="U121" t="s">
        <v>153</v>
      </c>
      <c r="V121" t="s">
        <v>154</v>
      </c>
      <c r="W121" t="s">
        <v>119</v>
      </c>
      <c r="X121" t="s">
        <v>112</v>
      </c>
      <c r="Y121" t="s">
        <v>112</v>
      </c>
      <c r="Z121" t="s">
        <v>152</v>
      </c>
      <c r="AA121" t="s">
        <v>153</v>
      </c>
      <c r="AB121" t="s">
        <v>154</v>
      </c>
      <c r="AC121" t="s">
        <v>119</v>
      </c>
      <c r="AD121" t="s">
        <v>112</v>
      </c>
      <c r="AE121" t="s">
        <v>121</v>
      </c>
      <c r="AF121" t="s">
        <v>122</v>
      </c>
      <c r="AG121">
        <v>4935267.2</v>
      </c>
      <c r="AH121" t="s">
        <v>112</v>
      </c>
      <c r="AI121" t="s">
        <v>152</v>
      </c>
      <c r="AJ121" t="s">
        <v>153</v>
      </c>
      <c r="AK121" t="s">
        <v>154</v>
      </c>
      <c r="AL121" t="s">
        <v>119</v>
      </c>
      <c r="AM121" t="s">
        <v>112</v>
      </c>
      <c r="AN121" t="s">
        <v>121</v>
      </c>
      <c r="AO121" t="s">
        <v>122</v>
      </c>
      <c r="AP121" t="s">
        <v>122</v>
      </c>
      <c r="AQ121" t="s">
        <v>124</v>
      </c>
      <c r="AR121" t="s">
        <v>125</v>
      </c>
      <c r="AS121">
        <v>2</v>
      </c>
      <c r="AT121" t="s">
        <v>126</v>
      </c>
      <c r="AU121" t="s">
        <v>155</v>
      </c>
      <c r="AV121" t="s">
        <v>156</v>
      </c>
      <c r="AX121" t="s">
        <v>129</v>
      </c>
      <c r="AY121">
        <v>44707.64</v>
      </c>
      <c r="BB121">
        <v>101.3451</v>
      </c>
      <c r="BC121" t="s">
        <v>112</v>
      </c>
      <c r="BD121" t="s">
        <v>112</v>
      </c>
      <c r="BE121" t="s">
        <v>157</v>
      </c>
      <c r="BF121" t="s">
        <v>133</v>
      </c>
      <c r="BG121" t="s">
        <v>134</v>
      </c>
      <c r="BH121" t="s">
        <v>112</v>
      </c>
      <c r="BI121" t="s">
        <v>112</v>
      </c>
      <c r="BJ121" t="s">
        <v>112</v>
      </c>
      <c r="BK121" t="s">
        <v>158</v>
      </c>
      <c r="BL121" t="s">
        <v>159</v>
      </c>
      <c r="BM121" t="s">
        <v>212</v>
      </c>
      <c r="BN121" t="s">
        <v>161</v>
      </c>
      <c r="BP121" t="s">
        <v>281</v>
      </c>
      <c r="BR121" t="s">
        <v>150</v>
      </c>
      <c r="BS121">
        <v>33</v>
      </c>
      <c r="BT121">
        <v>0</v>
      </c>
      <c r="BU121">
        <v>0</v>
      </c>
      <c r="BW121">
        <v>0</v>
      </c>
      <c r="BY121" t="s">
        <v>106</v>
      </c>
      <c r="BZ121" t="s">
        <v>142</v>
      </c>
      <c r="CA121" t="s">
        <v>112</v>
      </c>
      <c r="CB121" t="s">
        <v>112</v>
      </c>
      <c r="CC121" t="s">
        <v>121</v>
      </c>
      <c r="CD121">
        <v>16579.45</v>
      </c>
      <c r="CE121" t="s">
        <v>144</v>
      </c>
      <c r="CF121">
        <v>4000000</v>
      </c>
      <c r="CG121">
        <v>16363.45</v>
      </c>
      <c r="CH121">
        <v>0</v>
      </c>
      <c r="CI121" t="s">
        <v>112</v>
      </c>
      <c r="CJ121" t="s">
        <v>112</v>
      </c>
      <c r="CK121">
        <v>44707.64</v>
      </c>
      <c r="CM121">
        <v>0</v>
      </c>
      <c r="CN121">
        <v>1</v>
      </c>
      <c r="CO121">
        <v>4935267.2</v>
      </c>
      <c r="CP121">
        <v>53816.71</v>
      </c>
      <c r="CQ121" t="s">
        <v>145</v>
      </c>
      <c r="CR121">
        <v>53835.750500000002</v>
      </c>
      <c r="CS121">
        <v>3.29</v>
      </c>
      <c r="CT121">
        <v>45</v>
      </c>
      <c r="CV121" t="s">
        <v>233</v>
      </c>
      <c r="CW121">
        <v>303</v>
      </c>
    </row>
    <row r="122" spans="1:101" x14ac:dyDescent="0.2">
      <c r="A122" t="s">
        <v>106</v>
      </c>
      <c r="B122" s="46">
        <v>45201</v>
      </c>
      <c r="C122" t="s">
        <v>446</v>
      </c>
      <c r="D122" t="s">
        <v>108</v>
      </c>
      <c r="E122" t="s">
        <v>447</v>
      </c>
      <c r="F122" t="s">
        <v>110</v>
      </c>
      <c r="G122" t="s">
        <v>111</v>
      </c>
      <c r="H122" t="s">
        <v>112</v>
      </c>
      <c r="I122" t="s">
        <v>112</v>
      </c>
      <c r="J122" t="s">
        <v>112</v>
      </c>
      <c r="K122" t="s">
        <v>175</v>
      </c>
      <c r="L122" t="s">
        <v>448</v>
      </c>
      <c r="M122" t="s">
        <v>112</v>
      </c>
      <c r="N122" t="s">
        <v>112</v>
      </c>
      <c r="O122">
        <v>1</v>
      </c>
      <c r="Q122">
        <v>1</v>
      </c>
      <c r="R122">
        <v>33</v>
      </c>
      <c r="S122" t="s">
        <v>112</v>
      </c>
      <c r="T122" t="s">
        <v>152</v>
      </c>
      <c r="U122" t="s">
        <v>153</v>
      </c>
      <c r="V122" t="s">
        <v>154</v>
      </c>
      <c r="W122" t="s">
        <v>119</v>
      </c>
      <c r="X122" t="s">
        <v>112</v>
      </c>
      <c r="Y122" t="s">
        <v>112</v>
      </c>
      <c r="Z122" t="s">
        <v>152</v>
      </c>
      <c r="AA122" t="s">
        <v>153</v>
      </c>
      <c r="AB122" t="s">
        <v>154</v>
      </c>
      <c r="AC122" t="s">
        <v>119</v>
      </c>
      <c r="AD122" t="s">
        <v>112</v>
      </c>
      <c r="AE122" t="s">
        <v>121</v>
      </c>
      <c r="AF122" t="s">
        <v>122</v>
      </c>
      <c r="AG122">
        <v>4773196.1100000003</v>
      </c>
      <c r="AH122" t="s">
        <v>112</v>
      </c>
      <c r="AI122" t="s">
        <v>152</v>
      </c>
      <c r="AJ122" t="s">
        <v>153</v>
      </c>
      <c r="AK122" t="s">
        <v>154</v>
      </c>
      <c r="AL122" t="s">
        <v>119</v>
      </c>
      <c r="AM122" t="s">
        <v>112</v>
      </c>
      <c r="AN122" t="s">
        <v>121</v>
      </c>
      <c r="AO122" t="s">
        <v>122</v>
      </c>
      <c r="AP122" t="s">
        <v>122</v>
      </c>
      <c r="AQ122" t="s">
        <v>124</v>
      </c>
      <c r="AR122" t="s">
        <v>125</v>
      </c>
      <c r="AS122">
        <v>2</v>
      </c>
      <c r="AT122" t="s">
        <v>126</v>
      </c>
      <c r="AU122" t="s">
        <v>155</v>
      </c>
      <c r="AV122" t="s">
        <v>156</v>
      </c>
      <c r="AX122" t="s">
        <v>129</v>
      </c>
      <c r="AY122">
        <v>43108.44</v>
      </c>
      <c r="BB122">
        <v>101.3451</v>
      </c>
      <c r="BC122" t="s">
        <v>112</v>
      </c>
      <c r="BD122" t="s">
        <v>112</v>
      </c>
      <c r="BE122" t="s">
        <v>157</v>
      </c>
      <c r="BF122" t="s">
        <v>133</v>
      </c>
      <c r="BG122" t="s">
        <v>134</v>
      </c>
      <c r="BH122" t="s">
        <v>112</v>
      </c>
      <c r="BI122" t="s">
        <v>112</v>
      </c>
      <c r="BJ122" t="s">
        <v>112</v>
      </c>
      <c r="BK122" t="s">
        <v>158</v>
      </c>
      <c r="BL122" t="s">
        <v>159</v>
      </c>
      <c r="BM122" t="s">
        <v>212</v>
      </c>
      <c r="BN122" t="s">
        <v>161</v>
      </c>
      <c r="BP122" t="s">
        <v>232</v>
      </c>
      <c r="BR122" t="s">
        <v>150</v>
      </c>
      <c r="BS122">
        <v>33</v>
      </c>
      <c r="BT122">
        <v>0</v>
      </c>
      <c r="BU122">
        <v>0</v>
      </c>
      <c r="BW122">
        <v>0</v>
      </c>
      <c r="BY122" t="s">
        <v>106</v>
      </c>
      <c r="BZ122" t="s">
        <v>142</v>
      </c>
      <c r="CA122" t="s">
        <v>112</v>
      </c>
      <c r="CB122" t="s">
        <v>112</v>
      </c>
      <c r="CC122" t="s">
        <v>121</v>
      </c>
      <c r="CD122">
        <v>16636.509999999998</v>
      </c>
      <c r="CE122" t="s">
        <v>144</v>
      </c>
      <c r="CF122">
        <v>4000000</v>
      </c>
      <c r="CG122">
        <v>16528.509999999998</v>
      </c>
      <c r="CH122">
        <v>0</v>
      </c>
      <c r="CI122" t="s">
        <v>112</v>
      </c>
      <c r="CJ122" t="s">
        <v>112</v>
      </c>
      <c r="CK122">
        <v>43108.44</v>
      </c>
      <c r="CM122">
        <v>0</v>
      </c>
      <c r="CN122">
        <v>1</v>
      </c>
      <c r="CO122">
        <v>4773196.1100000003</v>
      </c>
      <c r="CP122">
        <v>52049.41</v>
      </c>
      <c r="CQ122" t="s">
        <v>145</v>
      </c>
      <c r="CR122">
        <v>52064.806499999992</v>
      </c>
      <c r="CS122">
        <v>3.15</v>
      </c>
      <c r="CT122">
        <v>45</v>
      </c>
      <c r="CV122" t="s">
        <v>233</v>
      </c>
      <c r="CW122">
        <v>302</v>
      </c>
    </row>
    <row r="123" spans="1:101" x14ac:dyDescent="0.2">
      <c r="A123" t="s">
        <v>106</v>
      </c>
      <c r="B123" s="46">
        <v>45048</v>
      </c>
      <c r="C123" t="s">
        <v>210</v>
      </c>
      <c r="D123" t="s">
        <v>108</v>
      </c>
      <c r="E123" t="s">
        <v>211</v>
      </c>
      <c r="F123" t="s">
        <v>110</v>
      </c>
      <c r="G123" t="s">
        <v>111</v>
      </c>
      <c r="H123" t="s">
        <v>112</v>
      </c>
      <c r="I123" t="s">
        <v>112</v>
      </c>
      <c r="J123" t="s">
        <v>112</v>
      </c>
      <c r="K123" t="s">
        <v>150</v>
      </c>
      <c r="L123" t="s">
        <v>151</v>
      </c>
      <c r="M123" t="s">
        <v>112</v>
      </c>
      <c r="N123" t="s">
        <v>112</v>
      </c>
      <c r="O123">
        <v>1</v>
      </c>
      <c r="Q123">
        <v>1</v>
      </c>
      <c r="R123">
        <v>33</v>
      </c>
      <c r="S123" t="s">
        <v>112</v>
      </c>
      <c r="T123" t="s">
        <v>152</v>
      </c>
      <c r="U123" t="s">
        <v>153</v>
      </c>
      <c r="V123" t="s">
        <v>154</v>
      </c>
      <c r="W123" t="s">
        <v>119</v>
      </c>
      <c r="X123" t="s">
        <v>112</v>
      </c>
      <c r="Y123" t="s">
        <v>112</v>
      </c>
      <c r="Z123" t="s">
        <v>152</v>
      </c>
      <c r="AA123" t="s">
        <v>153</v>
      </c>
      <c r="AB123" t="s">
        <v>154</v>
      </c>
      <c r="AC123" t="s">
        <v>119</v>
      </c>
      <c r="AD123" t="s">
        <v>112</v>
      </c>
      <c r="AE123" t="s">
        <v>121</v>
      </c>
      <c r="AF123" t="s">
        <v>122</v>
      </c>
      <c r="AG123">
        <v>4237729.1399999997</v>
      </c>
      <c r="AH123" t="s">
        <v>112</v>
      </c>
      <c r="AI123" t="s">
        <v>152</v>
      </c>
      <c r="AJ123" t="s">
        <v>153</v>
      </c>
      <c r="AK123" t="s">
        <v>154</v>
      </c>
      <c r="AL123" t="s">
        <v>119</v>
      </c>
      <c r="AM123" t="s">
        <v>112</v>
      </c>
      <c r="AN123" t="s">
        <v>121</v>
      </c>
      <c r="AO123" t="s">
        <v>122</v>
      </c>
      <c r="AP123" t="s">
        <v>122</v>
      </c>
      <c r="AQ123" t="s">
        <v>124</v>
      </c>
      <c r="AR123" t="s">
        <v>125</v>
      </c>
      <c r="AS123">
        <v>2</v>
      </c>
      <c r="AT123" t="s">
        <v>126</v>
      </c>
      <c r="AU123" t="s">
        <v>155</v>
      </c>
      <c r="AV123" t="s">
        <v>156</v>
      </c>
      <c r="AX123" t="s">
        <v>129</v>
      </c>
      <c r="AY123">
        <v>37824.839999999997</v>
      </c>
      <c r="BB123">
        <v>101.3451</v>
      </c>
      <c r="BC123" t="s">
        <v>112</v>
      </c>
      <c r="BD123" t="s">
        <v>112</v>
      </c>
      <c r="BE123" t="s">
        <v>157</v>
      </c>
      <c r="BF123" t="s">
        <v>133</v>
      </c>
      <c r="BG123" t="s">
        <v>134</v>
      </c>
      <c r="BH123" t="s">
        <v>112</v>
      </c>
      <c r="BI123" t="s">
        <v>112</v>
      </c>
      <c r="BJ123" t="s">
        <v>112</v>
      </c>
      <c r="BK123" t="s">
        <v>158</v>
      </c>
      <c r="BL123" t="s">
        <v>159</v>
      </c>
      <c r="BM123" t="s">
        <v>212</v>
      </c>
      <c r="BN123" t="s">
        <v>161</v>
      </c>
      <c r="BP123" t="s">
        <v>213</v>
      </c>
      <c r="BR123" t="s">
        <v>150</v>
      </c>
      <c r="BS123">
        <v>33</v>
      </c>
      <c r="BT123">
        <v>0</v>
      </c>
      <c r="BU123">
        <v>0</v>
      </c>
      <c r="BW123">
        <v>0</v>
      </c>
      <c r="BY123" t="s">
        <v>106</v>
      </c>
      <c r="BZ123" t="s">
        <v>142</v>
      </c>
      <c r="CA123" t="s">
        <v>112</v>
      </c>
      <c r="CB123" t="s">
        <v>112</v>
      </c>
      <c r="CC123" t="s">
        <v>121</v>
      </c>
      <c r="CD123">
        <v>16163.71</v>
      </c>
      <c r="CE123" t="s">
        <v>144</v>
      </c>
      <c r="CF123">
        <v>4000000</v>
      </c>
      <c r="CG123">
        <v>15926.11</v>
      </c>
      <c r="CH123">
        <v>0</v>
      </c>
      <c r="CI123" t="s">
        <v>112</v>
      </c>
      <c r="CJ123" t="s">
        <v>112</v>
      </c>
      <c r="CK123">
        <v>37824.839999999997</v>
      </c>
      <c r="CM123">
        <v>0</v>
      </c>
      <c r="CN123">
        <v>1</v>
      </c>
      <c r="CO123">
        <v>4237729.1399999997</v>
      </c>
      <c r="CP123">
        <v>46210.400000000001</v>
      </c>
      <c r="CQ123" t="s">
        <v>145</v>
      </c>
      <c r="CR123">
        <v>46185.718999999997</v>
      </c>
      <c r="CS123">
        <v>2.9</v>
      </c>
      <c r="CT123">
        <v>45</v>
      </c>
      <c r="CV123" t="s">
        <v>206</v>
      </c>
      <c r="CW123">
        <v>93</v>
      </c>
    </row>
    <row r="124" spans="1:101" x14ac:dyDescent="0.2">
      <c r="A124" s="8" t="s">
        <v>106</v>
      </c>
      <c r="B124" s="46">
        <v>45232</v>
      </c>
      <c r="C124" s="8" t="s">
        <v>2387</v>
      </c>
      <c r="D124" s="8" t="s">
        <v>108</v>
      </c>
      <c r="E124" s="8" t="s">
        <v>2388</v>
      </c>
      <c r="F124" t="s">
        <v>110</v>
      </c>
      <c r="G124" s="8" t="s">
        <v>111</v>
      </c>
      <c r="H124" s="8" t="s">
        <v>112</v>
      </c>
      <c r="I124" s="8" t="s">
        <v>112</v>
      </c>
      <c r="J124" s="8" t="s">
        <v>112</v>
      </c>
      <c r="K124" s="8" t="s">
        <v>2389</v>
      </c>
      <c r="L124" s="8" t="s">
        <v>2390</v>
      </c>
      <c r="M124" s="8" t="s">
        <v>112</v>
      </c>
      <c r="N124" s="8" t="s">
        <v>112</v>
      </c>
      <c r="O124">
        <v>4</v>
      </c>
      <c r="P124">
        <v>0</v>
      </c>
      <c r="Q124">
        <v>9</v>
      </c>
      <c r="R124">
        <v>21</v>
      </c>
      <c r="S124" s="8" t="s">
        <v>2391</v>
      </c>
      <c r="T124" s="8" t="s">
        <v>2392</v>
      </c>
      <c r="U124" s="8" t="s">
        <v>2393</v>
      </c>
      <c r="V124" s="8" t="s">
        <v>2394</v>
      </c>
      <c r="W124" s="8" t="s">
        <v>119</v>
      </c>
      <c r="X124" s="8" t="s">
        <v>2395</v>
      </c>
      <c r="Y124" s="8" t="s">
        <v>2391</v>
      </c>
      <c r="Z124" s="8" t="s">
        <v>2392</v>
      </c>
      <c r="AA124" s="8" t="s">
        <v>2393</v>
      </c>
      <c r="AB124" s="8" t="s">
        <v>2394</v>
      </c>
      <c r="AC124" s="8" t="s">
        <v>119</v>
      </c>
      <c r="AD124" s="8" t="s">
        <v>2395</v>
      </c>
      <c r="AE124" s="8" t="s">
        <v>2396</v>
      </c>
      <c r="AF124" s="8" t="s">
        <v>2397</v>
      </c>
      <c r="AG124">
        <v>4394583.13</v>
      </c>
      <c r="AH124" s="8" t="s">
        <v>2391</v>
      </c>
      <c r="AI124" s="8" t="s">
        <v>2392</v>
      </c>
      <c r="AJ124" s="8" t="s">
        <v>2393</v>
      </c>
      <c r="AK124" s="8" t="s">
        <v>2394</v>
      </c>
      <c r="AL124" s="8" t="s">
        <v>119</v>
      </c>
      <c r="AM124" s="8" t="s">
        <v>2395</v>
      </c>
      <c r="AN124" s="8" t="s">
        <v>2398</v>
      </c>
      <c r="AO124" s="8" t="s">
        <v>2399</v>
      </c>
      <c r="AP124" s="8" t="s">
        <v>2186</v>
      </c>
      <c r="AQ124" s="8" t="s">
        <v>124</v>
      </c>
      <c r="AR124" s="8" t="s">
        <v>125</v>
      </c>
      <c r="AS124">
        <v>2</v>
      </c>
      <c r="AT124" s="8" t="s">
        <v>126</v>
      </c>
      <c r="AU124" s="8" t="s">
        <v>2400</v>
      </c>
      <c r="AV124" s="8" t="s">
        <v>2401</v>
      </c>
      <c r="AW124">
        <v>1</v>
      </c>
      <c r="AX124" s="8" t="s">
        <v>129</v>
      </c>
      <c r="AY124">
        <v>59239.839999999902</v>
      </c>
      <c r="AZ124">
        <v>4394583</v>
      </c>
      <c r="BA124">
        <v>62838.47</v>
      </c>
      <c r="BB124">
        <v>74.182900000000004</v>
      </c>
      <c r="BC124" s="8" t="s">
        <v>130</v>
      </c>
      <c r="BD124" s="8" t="s">
        <v>112</v>
      </c>
      <c r="BE124" s="8" t="s">
        <v>2402</v>
      </c>
      <c r="BF124" s="8" t="s">
        <v>133</v>
      </c>
      <c r="BG124" s="8" t="s">
        <v>134</v>
      </c>
      <c r="BH124" s="8" t="s">
        <v>112</v>
      </c>
      <c r="BI124" s="8" t="s">
        <v>2403</v>
      </c>
      <c r="BJ124" s="8" t="s">
        <v>112</v>
      </c>
      <c r="BK124" s="8" t="s">
        <v>2404</v>
      </c>
      <c r="BL124" s="8" t="s">
        <v>2405</v>
      </c>
      <c r="BM124" s="8" t="s">
        <v>2406</v>
      </c>
      <c r="BN124" s="8" t="s">
        <v>2407</v>
      </c>
      <c r="BO124">
        <v>3</v>
      </c>
      <c r="BP124" s="8" t="s">
        <v>2408</v>
      </c>
      <c r="BR124" s="8" t="s">
        <v>2409</v>
      </c>
      <c r="BS124">
        <v>20</v>
      </c>
      <c r="BT124">
        <v>0</v>
      </c>
      <c r="BU124">
        <v>200</v>
      </c>
      <c r="BV124" t="s">
        <v>2147</v>
      </c>
      <c r="BW124">
        <v>0</v>
      </c>
      <c r="BY124" s="8" t="s">
        <v>2410</v>
      </c>
      <c r="BZ124" s="8" t="s">
        <v>2148</v>
      </c>
      <c r="CA124" s="8" t="s">
        <v>112</v>
      </c>
      <c r="CB124" s="8" t="s">
        <v>112</v>
      </c>
      <c r="CC124" s="8" t="s">
        <v>2185</v>
      </c>
      <c r="CD124">
        <v>6700</v>
      </c>
      <c r="CE124" t="s">
        <v>144</v>
      </c>
      <c r="CF124">
        <v>4000000</v>
      </c>
      <c r="CG124">
        <v>6200</v>
      </c>
      <c r="CH124">
        <v>0</v>
      </c>
      <c r="CI124" s="8" t="s">
        <v>112</v>
      </c>
      <c r="CJ124" s="8" t="s">
        <v>112</v>
      </c>
      <c r="CK124">
        <v>52232</v>
      </c>
      <c r="CL124">
        <v>3874721</v>
      </c>
      <c r="CM124">
        <v>0</v>
      </c>
      <c r="CN124">
        <v>1</v>
      </c>
      <c r="CO124">
        <v>3874721.23</v>
      </c>
      <c r="CP124">
        <v>55404.92</v>
      </c>
      <c r="CQ124" s="8" t="s">
        <v>145</v>
      </c>
      <c r="CR124">
        <v>8.9362999999999992</v>
      </c>
      <c r="CS124">
        <v>538</v>
      </c>
      <c r="CT124">
        <v>4</v>
      </c>
      <c r="CV124" t="s">
        <v>2411</v>
      </c>
      <c r="CW124">
        <v>167</v>
      </c>
    </row>
    <row r="125" spans="1:101" x14ac:dyDescent="0.2">
      <c r="A125" s="8" t="s">
        <v>106</v>
      </c>
      <c r="B125" s="46">
        <v>45187</v>
      </c>
      <c r="C125" s="8" t="s">
        <v>2387</v>
      </c>
      <c r="D125" s="8" t="s">
        <v>108</v>
      </c>
      <c r="E125" s="8" t="s">
        <v>2388</v>
      </c>
      <c r="F125" t="s">
        <v>110</v>
      </c>
      <c r="G125" s="8" t="s">
        <v>111</v>
      </c>
      <c r="H125" s="8" t="s">
        <v>112</v>
      </c>
      <c r="I125" s="8" t="s">
        <v>112</v>
      </c>
      <c r="J125" s="8" t="s">
        <v>112</v>
      </c>
      <c r="K125" s="8" t="s">
        <v>2389</v>
      </c>
      <c r="L125" s="8" t="s">
        <v>2390</v>
      </c>
      <c r="M125" s="8" t="s">
        <v>112</v>
      </c>
      <c r="N125" s="8" t="s">
        <v>112</v>
      </c>
      <c r="O125">
        <v>4</v>
      </c>
      <c r="P125">
        <v>0</v>
      </c>
      <c r="Q125">
        <v>9</v>
      </c>
      <c r="R125">
        <v>21</v>
      </c>
      <c r="S125" s="8" t="s">
        <v>2391</v>
      </c>
      <c r="T125" s="8" t="s">
        <v>2392</v>
      </c>
      <c r="U125" s="8" t="s">
        <v>2393</v>
      </c>
      <c r="V125" s="8" t="s">
        <v>2394</v>
      </c>
      <c r="W125" s="8" t="s">
        <v>119</v>
      </c>
      <c r="X125" s="8" t="s">
        <v>2395</v>
      </c>
      <c r="Y125" s="8" t="s">
        <v>2391</v>
      </c>
      <c r="Z125" s="8" t="s">
        <v>2392</v>
      </c>
      <c r="AA125" s="8" t="s">
        <v>2393</v>
      </c>
      <c r="AB125" s="8" t="s">
        <v>2394</v>
      </c>
      <c r="AC125" s="8" t="s">
        <v>119</v>
      </c>
      <c r="AD125" s="8" t="s">
        <v>2395</v>
      </c>
      <c r="AE125" s="8" t="s">
        <v>2396</v>
      </c>
      <c r="AF125" s="8" t="s">
        <v>2397</v>
      </c>
      <c r="AG125">
        <v>4394583.13</v>
      </c>
      <c r="AH125" s="8" t="s">
        <v>2391</v>
      </c>
      <c r="AI125" s="8" t="s">
        <v>2392</v>
      </c>
      <c r="AJ125" s="8" t="s">
        <v>2393</v>
      </c>
      <c r="AK125" s="8" t="s">
        <v>2394</v>
      </c>
      <c r="AL125" s="8" t="s">
        <v>119</v>
      </c>
      <c r="AM125" s="8" t="s">
        <v>2395</v>
      </c>
      <c r="AN125" s="8" t="s">
        <v>2398</v>
      </c>
      <c r="AO125" s="8" t="s">
        <v>2399</v>
      </c>
      <c r="AP125" s="8" t="s">
        <v>2143</v>
      </c>
      <c r="AQ125" s="8" t="s">
        <v>124</v>
      </c>
      <c r="AR125" s="8" t="s">
        <v>125</v>
      </c>
      <c r="AS125">
        <v>2</v>
      </c>
      <c r="AT125" s="8" t="s">
        <v>126</v>
      </c>
      <c r="AU125" s="8" t="s">
        <v>2412</v>
      </c>
      <c r="AV125" s="8" t="s">
        <v>2401</v>
      </c>
      <c r="AW125">
        <v>1</v>
      </c>
      <c r="AX125" s="8" t="s">
        <v>129</v>
      </c>
      <c r="AY125">
        <v>59239.839999999902</v>
      </c>
      <c r="AZ125">
        <v>4394583</v>
      </c>
      <c r="BA125">
        <v>62838.47</v>
      </c>
      <c r="BB125">
        <v>74.182900000000004</v>
      </c>
      <c r="BC125" s="8" t="s">
        <v>130</v>
      </c>
      <c r="BD125" s="8" t="s">
        <v>112</v>
      </c>
      <c r="BE125" s="8" t="s">
        <v>2402</v>
      </c>
      <c r="BF125" s="8" t="s">
        <v>133</v>
      </c>
      <c r="BG125" s="8" t="s">
        <v>134</v>
      </c>
      <c r="BH125" s="8" t="s">
        <v>112</v>
      </c>
      <c r="BI125" s="8" t="s">
        <v>2403</v>
      </c>
      <c r="BJ125" s="8" t="s">
        <v>112</v>
      </c>
      <c r="BK125" s="8" t="s">
        <v>2404</v>
      </c>
      <c r="BL125" s="8" t="s">
        <v>2405</v>
      </c>
      <c r="BM125" s="8" t="s">
        <v>2406</v>
      </c>
      <c r="BN125" s="8" t="s">
        <v>2407</v>
      </c>
      <c r="BO125">
        <v>2</v>
      </c>
      <c r="BP125" s="8" t="s">
        <v>2408</v>
      </c>
      <c r="BR125" s="8" t="s">
        <v>2413</v>
      </c>
      <c r="BS125">
        <v>1</v>
      </c>
      <c r="BT125">
        <v>0</v>
      </c>
      <c r="BU125">
        <v>1</v>
      </c>
      <c r="BV125" t="s">
        <v>2147</v>
      </c>
      <c r="BW125">
        <v>0</v>
      </c>
      <c r="BY125" s="8" t="s">
        <v>2414</v>
      </c>
      <c r="BZ125" s="8" t="s">
        <v>2148</v>
      </c>
      <c r="CA125" s="8" t="s">
        <v>112</v>
      </c>
      <c r="CB125" s="8" t="s">
        <v>112</v>
      </c>
      <c r="CC125" s="8" t="s">
        <v>2142</v>
      </c>
      <c r="CD125">
        <v>30.25</v>
      </c>
      <c r="CE125" t="s">
        <v>144</v>
      </c>
      <c r="CF125">
        <v>4000000</v>
      </c>
      <c r="CG125">
        <v>25</v>
      </c>
      <c r="CH125">
        <v>0</v>
      </c>
      <c r="CI125" s="8" t="s">
        <v>112</v>
      </c>
      <c r="CJ125" s="8" t="s">
        <v>112</v>
      </c>
      <c r="CK125">
        <v>180.52</v>
      </c>
      <c r="CL125">
        <v>13391</v>
      </c>
      <c r="CM125">
        <v>0</v>
      </c>
      <c r="CN125">
        <v>1</v>
      </c>
      <c r="CO125">
        <v>13391.5</v>
      </c>
      <c r="CP125">
        <v>191.49</v>
      </c>
      <c r="CQ125" s="8" t="s">
        <v>145</v>
      </c>
      <c r="CR125">
        <v>7.6596000000000002</v>
      </c>
      <c r="CS125">
        <v>538</v>
      </c>
      <c r="CT125">
        <v>4</v>
      </c>
      <c r="CV125" t="s">
        <v>2411</v>
      </c>
      <c r="CW125">
        <v>167</v>
      </c>
    </row>
    <row r="126" spans="1:101" x14ac:dyDescent="0.2">
      <c r="A126" t="s">
        <v>106</v>
      </c>
      <c r="B126" s="46">
        <v>45201</v>
      </c>
      <c r="C126" t="s">
        <v>1211</v>
      </c>
      <c r="D126" t="s">
        <v>108</v>
      </c>
      <c r="E126" t="s">
        <v>1212</v>
      </c>
      <c r="F126" t="s">
        <v>110</v>
      </c>
      <c r="G126" t="s">
        <v>111</v>
      </c>
      <c r="H126" t="s">
        <v>112</v>
      </c>
      <c r="I126" t="s">
        <v>112</v>
      </c>
      <c r="J126" t="s">
        <v>112</v>
      </c>
      <c r="K126" t="s">
        <v>150</v>
      </c>
      <c r="L126" t="s">
        <v>151</v>
      </c>
      <c r="M126" t="s">
        <v>112</v>
      </c>
      <c r="N126" t="s">
        <v>112</v>
      </c>
      <c r="O126">
        <v>1</v>
      </c>
      <c r="Q126">
        <v>1</v>
      </c>
      <c r="R126">
        <v>33</v>
      </c>
      <c r="S126" t="s">
        <v>112</v>
      </c>
      <c r="T126" t="s">
        <v>152</v>
      </c>
      <c r="U126" t="s">
        <v>153</v>
      </c>
      <c r="V126" t="s">
        <v>154</v>
      </c>
      <c r="W126" t="s">
        <v>119</v>
      </c>
      <c r="X126" t="s">
        <v>112</v>
      </c>
      <c r="Y126" t="s">
        <v>112</v>
      </c>
      <c r="Z126" t="s">
        <v>152</v>
      </c>
      <c r="AA126" t="s">
        <v>153</v>
      </c>
      <c r="AB126" t="s">
        <v>154</v>
      </c>
      <c r="AC126" t="s">
        <v>119</v>
      </c>
      <c r="AD126" t="s">
        <v>112</v>
      </c>
      <c r="AE126" t="s">
        <v>121</v>
      </c>
      <c r="AF126" t="s">
        <v>122</v>
      </c>
      <c r="AG126">
        <v>4501241.49</v>
      </c>
      <c r="AH126" t="s">
        <v>112</v>
      </c>
      <c r="AI126" t="s">
        <v>152</v>
      </c>
      <c r="AJ126" t="s">
        <v>153</v>
      </c>
      <c r="AK126" t="s">
        <v>154</v>
      </c>
      <c r="AL126" t="s">
        <v>119</v>
      </c>
      <c r="AM126" t="s">
        <v>112</v>
      </c>
      <c r="AN126" t="s">
        <v>121</v>
      </c>
      <c r="AO126" t="s">
        <v>122</v>
      </c>
      <c r="AP126" t="s">
        <v>122</v>
      </c>
      <c r="AQ126" t="s">
        <v>124</v>
      </c>
      <c r="AR126" t="s">
        <v>125</v>
      </c>
      <c r="AS126">
        <v>2</v>
      </c>
      <c r="AT126" t="s">
        <v>126</v>
      </c>
      <c r="AU126" t="s">
        <v>155</v>
      </c>
      <c r="AV126" t="s">
        <v>156</v>
      </c>
      <c r="AX126" t="s">
        <v>129</v>
      </c>
      <c r="AY126">
        <v>42338.42</v>
      </c>
      <c r="BB126">
        <v>97.159400000000005</v>
      </c>
      <c r="BC126" t="s">
        <v>112</v>
      </c>
      <c r="BD126" t="s">
        <v>112</v>
      </c>
      <c r="BE126" t="s">
        <v>157</v>
      </c>
      <c r="BF126" t="s">
        <v>133</v>
      </c>
      <c r="BG126" t="s">
        <v>134</v>
      </c>
      <c r="BH126" t="s">
        <v>112</v>
      </c>
      <c r="BI126" t="s">
        <v>112</v>
      </c>
      <c r="BJ126" t="s">
        <v>112</v>
      </c>
      <c r="BK126" t="s">
        <v>158</v>
      </c>
      <c r="BL126" t="s">
        <v>159</v>
      </c>
      <c r="BM126" t="s">
        <v>212</v>
      </c>
      <c r="BN126" t="s">
        <v>161</v>
      </c>
      <c r="BP126" t="s">
        <v>232</v>
      </c>
      <c r="BR126" t="s">
        <v>150</v>
      </c>
      <c r="BS126">
        <v>33</v>
      </c>
      <c r="BT126">
        <v>0</v>
      </c>
      <c r="BU126">
        <v>0</v>
      </c>
      <c r="BW126">
        <v>0</v>
      </c>
      <c r="BY126" t="s">
        <v>106</v>
      </c>
      <c r="BZ126" t="s">
        <v>142</v>
      </c>
      <c r="CA126" t="s">
        <v>112</v>
      </c>
      <c r="CB126" t="s">
        <v>112</v>
      </c>
      <c r="CC126" t="s">
        <v>121</v>
      </c>
      <c r="CD126">
        <v>16883.400000000001</v>
      </c>
      <c r="CE126" t="s">
        <v>144</v>
      </c>
      <c r="CF126">
        <v>4000000</v>
      </c>
      <c r="CG126">
        <v>16883.400000000001</v>
      </c>
      <c r="CH126">
        <v>0</v>
      </c>
      <c r="CI126" t="s">
        <v>112</v>
      </c>
      <c r="CJ126" t="s">
        <v>112</v>
      </c>
      <c r="CK126">
        <v>42338.42</v>
      </c>
      <c r="CM126">
        <v>0</v>
      </c>
      <c r="CN126">
        <v>1</v>
      </c>
      <c r="CO126">
        <v>4501241.49</v>
      </c>
      <c r="CP126">
        <v>50744.23</v>
      </c>
      <c r="CQ126" t="s">
        <v>145</v>
      </c>
      <c r="CR126">
        <v>50819.034</v>
      </c>
      <c r="CS126">
        <v>3.01</v>
      </c>
      <c r="CT126">
        <v>45</v>
      </c>
      <c r="CV126" t="s">
        <v>233</v>
      </c>
      <c r="CW126">
        <v>166</v>
      </c>
    </row>
    <row r="127" spans="1:101" x14ac:dyDescent="0.2">
      <c r="A127" t="s">
        <v>106</v>
      </c>
      <c r="B127" s="46">
        <v>45013</v>
      </c>
      <c r="C127" t="s">
        <v>1258</v>
      </c>
      <c r="D127" t="s">
        <v>108</v>
      </c>
      <c r="E127" t="s">
        <v>1259</v>
      </c>
      <c r="F127" t="s">
        <v>110</v>
      </c>
      <c r="G127" t="s">
        <v>111</v>
      </c>
      <c r="H127" t="s">
        <v>112</v>
      </c>
      <c r="I127" t="s">
        <v>112</v>
      </c>
      <c r="J127" t="s">
        <v>112</v>
      </c>
      <c r="K127" t="s">
        <v>150</v>
      </c>
      <c r="L127" t="s">
        <v>151</v>
      </c>
      <c r="M127" t="s">
        <v>112</v>
      </c>
      <c r="N127" t="s">
        <v>112</v>
      </c>
      <c r="O127">
        <v>1</v>
      </c>
      <c r="Q127">
        <v>1</v>
      </c>
      <c r="R127">
        <v>33</v>
      </c>
      <c r="S127" t="s">
        <v>112</v>
      </c>
      <c r="T127" t="s">
        <v>152</v>
      </c>
      <c r="U127" t="s">
        <v>153</v>
      </c>
      <c r="V127" t="s">
        <v>154</v>
      </c>
      <c r="W127" t="s">
        <v>119</v>
      </c>
      <c r="X127" t="s">
        <v>112</v>
      </c>
      <c r="Y127" t="s">
        <v>112</v>
      </c>
      <c r="Z127" t="s">
        <v>152</v>
      </c>
      <c r="AA127" t="s">
        <v>153</v>
      </c>
      <c r="AB127" t="s">
        <v>154</v>
      </c>
      <c r="AC127" t="s">
        <v>119</v>
      </c>
      <c r="AD127" t="s">
        <v>112</v>
      </c>
      <c r="AE127" t="s">
        <v>121</v>
      </c>
      <c r="AF127" t="s">
        <v>122</v>
      </c>
      <c r="AG127">
        <v>4303403.58</v>
      </c>
      <c r="AH127" t="s">
        <v>112</v>
      </c>
      <c r="AI127" t="s">
        <v>152</v>
      </c>
      <c r="AJ127" t="s">
        <v>153</v>
      </c>
      <c r="AK127" t="s">
        <v>154</v>
      </c>
      <c r="AL127" t="s">
        <v>119</v>
      </c>
      <c r="AM127" t="s">
        <v>112</v>
      </c>
      <c r="AN127" t="s">
        <v>121</v>
      </c>
      <c r="AO127" t="s">
        <v>122</v>
      </c>
      <c r="AP127" t="s">
        <v>122</v>
      </c>
      <c r="AQ127" t="s">
        <v>124</v>
      </c>
      <c r="AR127" t="s">
        <v>125</v>
      </c>
      <c r="AS127">
        <v>2</v>
      </c>
      <c r="AT127" t="s">
        <v>126</v>
      </c>
      <c r="AU127" t="s">
        <v>155</v>
      </c>
      <c r="AV127" t="s">
        <v>156</v>
      </c>
      <c r="AX127" t="s">
        <v>129</v>
      </c>
      <c r="AY127">
        <v>39772.199999999997</v>
      </c>
      <c r="BB127">
        <v>97.159400000000005</v>
      </c>
      <c r="BC127" t="s">
        <v>112</v>
      </c>
      <c r="BD127" t="s">
        <v>112</v>
      </c>
      <c r="BE127" t="s">
        <v>157</v>
      </c>
      <c r="BF127" t="s">
        <v>133</v>
      </c>
      <c r="BG127" t="s">
        <v>134</v>
      </c>
      <c r="BH127" t="s">
        <v>112</v>
      </c>
      <c r="BI127" t="s">
        <v>112</v>
      </c>
      <c r="BJ127" t="s">
        <v>112</v>
      </c>
      <c r="BK127" t="s">
        <v>158</v>
      </c>
      <c r="BL127" t="s">
        <v>159</v>
      </c>
      <c r="BM127" t="s">
        <v>212</v>
      </c>
      <c r="BN127" t="s">
        <v>161</v>
      </c>
      <c r="BP127" t="s">
        <v>205</v>
      </c>
      <c r="BR127" t="s">
        <v>150</v>
      </c>
      <c r="BS127">
        <v>33</v>
      </c>
      <c r="BT127">
        <v>0</v>
      </c>
      <c r="BU127">
        <v>0</v>
      </c>
      <c r="BW127">
        <v>0</v>
      </c>
      <c r="BY127" t="s">
        <v>106</v>
      </c>
      <c r="BZ127" t="s">
        <v>142</v>
      </c>
      <c r="CA127" t="s">
        <v>112</v>
      </c>
      <c r="CB127" t="s">
        <v>112</v>
      </c>
      <c r="CC127" t="s">
        <v>121</v>
      </c>
      <c r="CD127">
        <v>17132.88</v>
      </c>
      <c r="CE127" t="s">
        <v>144</v>
      </c>
      <c r="CF127">
        <v>4000000</v>
      </c>
      <c r="CG127">
        <v>17132.88</v>
      </c>
      <c r="CH127">
        <v>0</v>
      </c>
      <c r="CI127" t="s">
        <v>112</v>
      </c>
      <c r="CJ127" t="s">
        <v>112</v>
      </c>
      <c r="CK127">
        <v>39772.199999999997</v>
      </c>
      <c r="CM127">
        <v>0</v>
      </c>
      <c r="CN127">
        <v>1</v>
      </c>
      <c r="CO127">
        <v>4303403.58</v>
      </c>
      <c r="CP127">
        <v>48513.93</v>
      </c>
      <c r="CQ127" t="s">
        <v>145</v>
      </c>
      <c r="CR127">
        <v>48486.050400000007</v>
      </c>
      <c r="CS127">
        <v>2.83</v>
      </c>
      <c r="CT127">
        <v>45</v>
      </c>
      <c r="CV127" t="s">
        <v>729</v>
      </c>
      <c r="CW127">
        <v>313</v>
      </c>
    </row>
    <row r="128" spans="1:101" x14ac:dyDescent="0.2">
      <c r="A128" t="s">
        <v>106</v>
      </c>
      <c r="B128" s="46">
        <v>45181</v>
      </c>
      <c r="C128" t="s">
        <v>1215</v>
      </c>
      <c r="D128" t="s">
        <v>108</v>
      </c>
      <c r="E128" t="s">
        <v>1216</v>
      </c>
      <c r="F128" t="s">
        <v>110</v>
      </c>
      <c r="G128" t="s">
        <v>111</v>
      </c>
      <c r="H128" t="s">
        <v>112</v>
      </c>
      <c r="I128" t="s">
        <v>112</v>
      </c>
      <c r="J128" t="s">
        <v>112</v>
      </c>
      <c r="K128" t="s">
        <v>150</v>
      </c>
      <c r="L128" t="s">
        <v>151</v>
      </c>
      <c r="M128" t="s">
        <v>112</v>
      </c>
      <c r="N128" t="s">
        <v>112</v>
      </c>
      <c r="O128">
        <v>1</v>
      </c>
      <c r="Q128">
        <v>1</v>
      </c>
      <c r="R128">
        <v>33</v>
      </c>
      <c r="S128" t="s">
        <v>112</v>
      </c>
      <c r="T128" t="s">
        <v>152</v>
      </c>
      <c r="U128" t="s">
        <v>153</v>
      </c>
      <c r="V128" t="s">
        <v>154</v>
      </c>
      <c r="W128" t="s">
        <v>119</v>
      </c>
      <c r="X128" t="s">
        <v>112</v>
      </c>
      <c r="Y128" t="s">
        <v>112</v>
      </c>
      <c r="Z128" t="s">
        <v>152</v>
      </c>
      <c r="AA128" t="s">
        <v>153</v>
      </c>
      <c r="AB128" t="s">
        <v>154</v>
      </c>
      <c r="AC128" t="s">
        <v>119</v>
      </c>
      <c r="AD128" t="s">
        <v>112</v>
      </c>
      <c r="AE128" t="s">
        <v>121</v>
      </c>
      <c r="AF128" t="s">
        <v>122</v>
      </c>
      <c r="AG128">
        <v>4346056.5599999996</v>
      </c>
      <c r="AH128" t="s">
        <v>112</v>
      </c>
      <c r="AI128" t="s">
        <v>152</v>
      </c>
      <c r="AJ128" t="s">
        <v>153</v>
      </c>
      <c r="AK128" t="s">
        <v>154</v>
      </c>
      <c r="AL128" t="s">
        <v>119</v>
      </c>
      <c r="AM128" t="s">
        <v>112</v>
      </c>
      <c r="AN128" t="s">
        <v>121</v>
      </c>
      <c r="AO128" t="s">
        <v>122</v>
      </c>
      <c r="AP128" t="s">
        <v>122</v>
      </c>
      <c r="AQ128" t="s">
        <v>124</v>
      </c>
      <c r="AR128" t="s">
        <v>125</v>
      </c>
      <c r="AS128">
        <v>2</v>
      </c>
      <c r="AT128" t="s">
        <v>126</v>
      </c>
      <c r="AU128" t="s">
        <v>155</v>
      </c>
      <c r="AV128" t="s">
        <v>156</v>
      </c>
      <c r="AX128" t="s">
        <v>129</v>
      </c>
      <c r="AY128">
        <v>40741.199999999997</v>
      </c>
      <c r="BB128">
        <v>97.159400000000005</v>
      </c>
      <c r="BC128" t="s">
        <v>112</v>
      </c>
      <c r="BD128" t="s">
        <v>112</v>
      </c>
      <c r="BE128" t="s">
        <v>157</v>
      </c>
      <c r="BF128" t="s">
        <v>133</v>
      </c>
      <c r="BG128" t="s">
        <v>134</v>
      </c>
      <c r="BH128" t="s">
        <v>112</v>
      </c>
      <c r="BI128" t="s">
        <v>112</v>
      </c>
      <c r="BJ128" t="s">
        <v>112</v>
      </c>
      <c r="BK128" t="s">
        <v>158</v>
      </c>
      <c r="BL128" t="s">
        <v>159</v>
      </c>
      <c r="BM128" t="s">
        <v>212</v>
      </c>
      <c r="BN128" t="s">
        <v>161</v>
      </c>
      <c r="BP128" t="s">
        <v>162</v>
      </c>
      <c r="BR128" t="s">
        <v>150</v>
      </c>
      <c r="BS128">
        <v>33</v>
      </c>
      <c r="BT128">
        <v>0</v>
      </c>
      <c r="BU128">
        <v>0</v>
      </c>
      <c r="BW128">
        <v>0</v>
      </c>
      <c r="BY128" t="s">
        <v>106</v>
      </c>
      <c r="BZ128" t="s">
        <v>142</v>
      </c>
      <c r="CA128" t="s">
        <v>112</v>
      </c>
      <c r="CB128" t="s">
        <v>112</v>
      </c>
      <c r="CC128" t="s">
        <v>121</v>
      </c>
      <c r="CD128">
        <v>17138.28</v>
      </c>
      <c r="CE128" t="s">
        <v>144</v>
      </c>
      <c r="CF128">
        <v>4000000</v>
      </c>
      <c r="CG128">
        <v>17138.28</v>
      </c>
      <c r="CH128">
        <v>0</v>
      </c>
      <c r="CI128" t="s">
        <v>112</v>
      </c>
      <c r="CJ128" t="s">
        <v>112</v>
      </c>
      <c r="CK128">
        <v>40741.199999999997</v>
      </c>
      <c r="CM128">
        <v>0</v>
      </c>
      <c r="CN128">
        <v>1</v>
      </c>
      <c r="CO128">
        <v>4346056.5599999996</v>
      </c>
      <c r="CP128">
        <v>48994.77</v>
      </c>
      <c r="CQ128" t="s">
        <v>145</v>
      </c>
      <c r="CR128">
        <v>49015.480799999998</v>
      </c>
      <c r="CS128">
        <v>2.86</v>
      </c>
      <c r="CT128">
        <v>45</v>
      </c>
      <c r="CV128" t="s">
        <v>1140</v>
      </c>
      <c r="CW128">
        <v>1</v>
      </c>
    </row>
    <row r="129" spans="1:101" x14ac:dyDescent="0.2">
      <c r="A129" t="s">
        <v>106</v>
      </c>
      <c r="B129" s="46">
        <v>45185</v>
      </c>
      <c r="C129" t="s">
        <v>2012</v>
      </c>
      <c r="D129" t="s">
        <v>108</v>
      </c>
      <c r="E129" t="s">
        <v>2013</v>
      </c>
      <c r="F129" t="s">
        <v>110</v>
      </c>
      <c r="G129" t="s">
        <v>111</v>
      </c>
      <c r="H129" t="s">
        <v>112</v>
      </c>
      <c r="I129" t="s">
        <v>112</v>
      </c>
      <c r="J129" t="s">
        <v>112</v>
      </c>
      <c r="K129" t="s">
        <v>150</v>
      </c>
      <c r="L129" t="s">
        <v>151</v>
      </c>
      <c r="M129" t="s">
        <v>112</v>
      </c>
      <c r="N129" t="s">
        <v>112</v>
      </c>
      <c r="O129">
        <v>1</v>
      </c>
      <c r="Q129">
        <v>1</v>
      </c>
      <c r="R129">
        <v>33</v>
      </c>
      <c r="S129" t="s">
        <v>112</v>
      </c>
      <c r="T129" t="s">
        <v>152</v>
      </c>
      <c r="U129" t="s">
        <v>153</v>
      </c>
      <c r="V129" t="s">
        <v>154</v>
      </c>
      <c r="W129" t="s">
        <v>119</v>
      </c>
      <c r="X129" t="s">
        <v>112</v>
      </c>
      <c r="Y129" t="s">
        <v>112</v>
      </c>
      <c r="Z129" t="s">
        <v>152</v>
      </c>
      <c r="AA129" t="s">
        <v>153</v>
      </c>
      <c r="AB129" t="s">
        <v>154</v>
      </c>
      <c r="AC129" t="s">
        <v>119</v>
      </c>
      <c r="AD129" t="s">
        <v>112</v>
      </c>
      <c r="AE129" t="s">
        <v>121</v>
      </c>
      <c r="AF129" t="s">
        <v>122</v>
      </c>
      <c r="AG129">
        <v>4533562.5199999996</v>
      </c>
      <c r="AH129" t="s">
        <v>112</v>
      </c>
      <c r="AI129" t="s">
        <v>152</v>
      </c>
      <c r="AJ129" t="s">
        <v>153</v>
      </c>
      <c r="AK129" t="s">
        <v>154</v>
      </c>
      <c r="AL129" t="s">
        <v>119</v>
      </c>
      <c r="AM129" t="s">
        <v>112</v>
      </c>
      <c r="AN129" t="s">
        <v>121</v>
      </c>
      <c r="AO129" t="s">
        <v>122</v>
      </c>
      <c r="AP129" t="s">
        <v>122</v>
      </c>
      <c r="AQ129" t="s">
        <v>124</v>
      </c>
      <c r="AR129" t="s">
        <v>125</v>
      </c>
      <c r="AS129">
        <v>2</v>
      </c>
      <c r="AT129" t="s">
        <v>126</v>
      </c>
      <c r="AU129" t="s">
        <v>155</v>
      </c>
      <c r="AV129" t="s">
        <v>156</v>
      </c>
      <c r="AX129" t="s">
        <v>129</v>
      </c>
      <c r="AY129">
        <v>40466.28</v>
      </c>
      <c r="BB129">
        <v>101.97799999999999</v>
      </c>
      <c r="BC129" t="s">
        <v>112</v>
      </c>
      <c r="BD129" t="s">
        <v>112</v>
      </c>
      <c r="BE129" t="s">
        <v>157</v>
      </c>
      <c r="BF129" t="s">
        <v>133</v>
      </c>
      <c r="BG129" t="s">
        <v>134</v>
      </c>
      <c r="BH129" t="s">
        <v>112</v>
      </c>
      <c r="BI129" t="s">
        <v>112</v>
      </c>
      <c r="BJ129" t="s">
        <v>112</v>
      </c>
      <c r="BK129" t="s">
        <v>169</v>
      </c>
      <c r="BL129" t="s">
        <v>159</v>
      </c>
      <c r="BM129" t="s">
        <v>212</v>
      </c>
      <c r="BN129" t="s">
        <v>161</v>
      </c>
      <c r="BP129" t="s">
        <v>232</v>
      </c>
      <c r="BR129" t="s">
        <v>150</v>
      </c>
      <c r="BS129">
        <v>33</v>
      </c>
      <c r="BY129" t="s">
        <v>106</v>
      </c>
      <c r="BZ129" t="s">
        <v>142</v>
      </c>
      <c r="CA129" t="s">
        <v>112</v>
      </c>
      <c r="CB129" t="s">
        <v>112</v>
      </c>
      <c r="CC129" t="s">
        <v>121</v>
      </c>
      <c r="CD129">
        <v>17186.48</v>
      </c>
      <c r="CE129" t="s">
        <v>144</v>
      </c>
      <c r="CF129">
        <v>4000000</v>
      </c>
      <c r="CG129">
        <v>17121.68</v>
      </c>
      <c r="CI129" t="s">
        <v>112</v>
      </c>
      <c r="CJ129" t="s">
        <v>112</v>
      </c>
      <c r="CK129">
        <v>40466.28</v>
      </c>
      <c r="CM129">
        <v>0</v>
      </c>
      <c r="CN129">
        <v>1</v>
      </c>
      <c r="CO129">
        <v>4533562.5199999996</v>
      </c>
      <c r="CP129">
        <v>46979.92</v>
      </c>
      <c r="CQ129" t="s">
        <v>145</v>
      </c>
      <c r="CR129">
        <v>46913.403200000008</v>
      </c>
      <c r="CS129">
        <v>2.74</v>
      </c>
      <c r="CT129">
        <v>45</v>
      </c>
      <c r="CV129" t="s">
        <v>1140</v>
      </c>
      <c r="CW129">
        <v>278</v>
      </c>
    </row>
    <row r="130" spans="1:101" x14ac:dyDescent="0.2">
      <c r="A130" t="s">
        <v>106</v>
      </c>
      <c r="B130" s="46">
        <v>44638</v>
      </c>
      <c r="C130" t="s">
        <v>2061</v>
      </c>
      <c r="D130" t="s">
        <v>108</v>
      </c>
      <c r="E130" t="s">
        <v>2062</v>
      </c>
      <c r="F130" t="s">
        <v>110</v>
      </c>
      <c r="G130" t="s">
        <v>111</v>
      </c>
      <c r="H130" t="s">
        <v>112</v>
      </c>
      <c r="I130" t="s">
        <v>112</v>
      </c>
      <c r="J130" t="s">
        <v>112</v>
      </c>
      <c r="K130" t="s">
        <v>150</v>
      </c>
      <c r="L130" t="s">
        <v>151</v>
      </c>
      <c r="M130" t="s">
        <v>112</v>
      </c>
      <c r="N130" t="s">
        <v>112</v>
      </c>
      <c r="O130">
        <v>1</v>
      </c>
      <c r="Q130">
        <v>1</v>
      </c>
      <c r="R130">
        <v>33</v>
      </c>
      <c r="S130" t="s">
        <v>112</v>
      </c>
      <c r="T130" t="s">
        <v>152</v>
      </c>
      <c r="U130" t="s">
        <v>153</v>
      </c>
      <c r="V130" t="s">
        <v>154</v>
      </c>
      <c r="W130" t="s">
        <v>119</v>
      </c>
      <c r="X130" t="s">
        <v>112</v>
      </c>
      <c r="Y130" t="s">
        <v>112</v>
      </c>
      <c r="Z130" t="s">
        <v>152</v>
      </c>
      <c r="AA130" t="s">
        <v>153</v>
      </c>
      <c r="AB130" t="s">
        <v>154</v>
      </c>
      <c r="AC130" t="s">
        <v>119</v>
      </c>
      <c r="AD130" t="s">
        <v>112</v>
      </c>
      <c r="AE130" t="s">
        <v>121</v>
      </c>
      <c r="AF130" t="s">
        <v>122</v>
      </c>
      <c r="AG130">
        <v>5385968.0700000003</v>
      </c>
      <c r="AH130" t="s">
        <v>112</v>
      </c>
      <c r="AI130" t="s">
        <v>152</v>
      </c>
      <c r="AJ130" t="s">
        <v>153</v>
      </c>
      <c r="AK130" t="s">
        <v>154</v>
      </c>
      <c r="AL130" t="s">
        <v>119</v>
      </c>
      <c r="AM130" t="s">
        <v>112</v>
      </c>
      <c r="AN130" t="s">
        <v>121</v>
      </c>
      <c r="AO130" t="s">
        <v>122</v>
      </c>
      <c r="AP130" t="s">
        <v>122</v>
      </c>
      <c r="AQ130" t="s">
        <v>124</v>
      </c>
      <c r="AR130" t="s">
        <v>125</v>
      </c>
      <c r="AS130">
        <v>2</v>
      </c>
      <c r="AT130" t="s">
        <v>126</v>
      </c>
      <c r="AU130" t="s">
        <v>155</v>
      </c>
      <c r="AV130" t="s">
        <v>156</v>
      </c>
      <c r="AX130" t="s">
        <v>129</v>
      </c>
      <c r="AY130">
        <v>48825</v>
      </c>
      <c r="BB130">
        <v>101.97799999999999</v>
      </c>
      <c r="BC130" t="s">
        <v>112</v>
      </c>
      <c r="BD130" t="s">
        <v>112</v>
      </c>
      <c r="BE130" t="s">
        <v>157</v>
      </c>
      <c r="BF130" t="s">
        <v>133</v>
      </c>
      <c r="BG130" t="s">
        <v>134</v>
      </c>
      <c r="BH130" t="s">
        <v>112</v>
      </c>
      <c r="BI130" t="s">
        <v>112</v>
      </c>
      <c r="BJ130" t="s">
        <v>112</v>
      </c>
      <c r="BK130" t="s">
        <v>169</v>
      </c>
      <c r="BL130" t="s">
        <v>159</v>
      </c>
      <c r="BM130" t="s">
        <v>212</v>
      </c>
      <c r="BN130" t="s">
        <v>161</v>
      </c>
      <c r="BP130" t="s">
        <v>232</v>
      </c>
      <c r="BR130" t="s">
        <v>150</v>
      </c>
      <c r="BS130">
        <v>33</v>
      </c>
      <c r="BY130" t="s">
        <v>106</v>
      </c>
      <c r="BZ130" t="s">
        <v>142</v>
      </c>
      <c r="CA130" t="s">
        <v>112</v>
      </c>
      <c r="CB130" t="s">
        <v>112</v>
      </c>
      <c r="CC130" t="s">
        <v>121</v>
      </c>
      <c r="CD130">
        <v>16907.04</v>
      </c>
      <c r="CE130" t="s">
        <v>144</v>
      </c>
      <c r="CF130">
        <v>4000000</v>
      </c>
      <c r="CG130">
        <v>16907.04</v>
      </c>
      <c r="CI130" t="s">
        <v>112</v>
      </c>
      <c r="CJ130" t="s">
        <v>112</v>
      </c>
      <c r="CK130">
        <v>48825</v>
      </c>
      <c r="CM130">
        <v>0</v>
      </c>
      <c r="CN130">
        <v>1</v>
      </c>
      <c r="CO130">
        <v>5385968.0700000003</v>
      </c>
      <c r="CP130">
        <v>55813.14</v>
      </c>
      <c r="CQ130" t="s">
        <v>145</v>
      </c>
      <c r="CR130">
        <v>55793.231999999996</v>
      </c>
      <c r="CS130">
        <v>3.3</v>
      </c>
      <c r="CT130">
        <v>45</v>
      </c>
      <c r="CV130" t="s">
        <v>233</v>
      </c>
      <c r="CW130">
        <v>144</v>
      </c>
    </row>
    <row r="131" spans="1:101" x14ac:dyDescent="0.2">
      <c r="A131" t="s">
        <v>106</v>
      </c>
      <c r="B131" s="46">
        <v>44616</v>
      </c>
      <c r="C131" t="s">
        <v>2063</v>
      </c>
      <c r="D131" t="s">
        <v>108</v>
      </c>
      <c r="E131" t="s">
        <v>2064</v>
      </c>
      <c r="F131" t="s">
        <v>110</v>
      </c>
      <c r="G131" t="s">
        <v>111</v>
      </c>
      <c r="H131" t="s">
        <v>112</v>
      </c>
      <c r="I131" t="s">
        <v>112</v>
      </c>
      <c r="J131" t="s">
        <v>112</v>
      </c>
      <c r="K131" t="s">
        <v>150</v>
      </c>
      <c r="L131" t="s">
        <v>151</v>
      </c>
      <c r="M131" t="s">
        <v>112</v>
      </c>
      <c r="N131" t="s">
        <v>112</v>
      </c>
      <c r="O131">
        <v>1</v>
      </c>
      <c r="Q131">
        <v>1</v>
      </c>
      <c r="R131">
        <v>33</v>
      </c>
      <c r="S131" t="s">
        <v>112</v>
      </c>
      <c r="T131" t="s">
        <v>152</v>
      </c>
      <c r="U131" t="s">
        <v>153</v>
      </c>
      <c r="V131" t="s">
        <v>154</v>
      </c>
      <c r="W131" t="s">
        <v>119</v>
      </c>
      <c r="X131" t="s">
        <v>112</v>
      </c>
      <c r="Y131" t="s">
        <v>112</v>
      </c>
      <c r="Z131" t="s">
        <v>152</v>
      </c>
      <c r="AA131" t="s">
        <v>153</v>
      </c>
      <c r="AB131" t="s">
        <v>154</v>
      </c>
      <c r="AC131" t="s">
        <v>119</v>
      </c>
      <c r="AD131" t="s">
        <v>112</v>
      </c>
      <c r="AE131" t="s">
        <v>121</v>
      </c>
      <c r="AF131" t="s">
        <v>122</v>
      </c>
      <c r="AG131">
        <v>4789667.01</v>
      </c>
      <c r="AH131" t="s">
        <v>112</v>
      </c>
      <c r="AI131" t="s">
        <v>152</v>
      </c>
      <c r="AJ131" t="s">
        <v>153</v>
      </c>
      <c r="AK131" t="s">
        <v>154</v>
      </c>
      <c r="AL131" t="s">
        <v>119</v>
      </c>
      <c r="AM131" t="s">
        <v>112</v>
      </c>
      <c r="AN131" t="s">
        <v>121</v>
      </c>
      <c r="AO131" t="s">
        <v>122</v>
      </c>
      <c r="AP131" t="s">
        <v>122</v>
      </c>
      <c r="AQ131" t="s">
        <v>124</v>
      </c>
      <c r="AR131" t="s">
        <v>125</v>
      </c>
      <c r="AS131">
        <v>2</v>
      </c>
      <c r="AT131" t="s">
        <v>126</v>
      </c>
      <c r="AU131" t="s">
        <v>155</v>
      </c>
      <c r="AV131" t="s">
        <v>156</v>
      </c>
      <c r="AX131" t="s">
        <v>129</v>
      </c>
      <c r="AY131">
        <v>42977.65</v>
      </c>
      <c r="BB131">
        <v>101.97799999999999</v>
      </c>
      <c r="BC131" t="s">
        <v>112</v>
      </c>
      <c r="BD131" t="s">
        <v>112</v>
      </c>
      <c r="BE131" t="s">
        <v>157</v>
      </c>
      <c r="BF131" t="s">
        <v>133</v>
      </c>
      <c r="BG131" t="s">
        <v>134</v>
      </c>
      <c r="BH131" t="s">
        <v>112</v>
      </c>
      <c r="BI131" t="s">
        <v>112</v>
      </c>
      <c r="BJ131" t="s">
        <v>112</v>
      </c>
      <c r="BK131" t="s">
        <v>169</v>
      </c>
      <c r="BL131" t="s">
        <v>159</v>
      </c>
      <c r="BM131" t="s">
        <v>212</v>
      </c>
      <c r="BN131" t="s">
        <v>161</v>
      </c>
      <c r="BP131" t="s">
        <v>205</v>
      </c>
      <c r="BR131" t="s">
        <v>150</v>
      </c>
      <c r="BS131">
        <v>33</v>
      </c>
      <c r="BT131">
        <v>0</v>
      </c>
      <c r="BU131">
        <v>0</v>
      </c>
      <c r="BW131">
        <v>0</v>
      </c>
      <c r="BY131" t="s">
        <v>106</v>
      </c>
      <c r="BZ131" t="s">
        <v>142</v>
      </c>
      <c r="CA131" t="s">
        <v>112</v>
      </c>
      <c r="CB131" t="s">
        <v>112</v>
      </c>
      <c r="CC131" t="s">
        <v>121</v>
      </c>
      <c r="CD131">
        <v>16294.34</v>
      </c>
      <c r="CE131" t="s">
        <v>144</v>
      </c>
      <c r="CF131">
        <v>4000000</v>
      </c>
      <c r="CG131">
        <v>16186.34</v>
      </c>
      <c r="CH131">
        <v>0</v>
      </c>
      <c r="CI131" t="s">
        <v>112</v>
      </c>
      <c r="CJ131" t="s">
        <v>112</v>
      </c>
      <c r="CK131">
        <v>42977.65</v>
      </c>
      <c r="CM131">
        <v>0</v>
      </c>
      <c r="CN131">
        <v>1</v>
      </c>
      <c r="CO131">
        <v>4789667.01</v>
      </c>
      <c r="CP131">
        <v>49633.86</v>
      </c>
      <c r="CQ131" t="s">
        <v>145</v>
      </c>
      <c r="CR131">
        <v>49692.063799999996</v>
      </c>
      <c r="CS131">
        <v>3.07</v>
      </c>
      <c r="CT131">
        <v>45</v>
      </c>
      <c r="CV131" t="s">
        <v>233</v>
      </c>
      <c r="CW131">
        <v>577</v>
      </c>
    </row>
    <row r="132" spans="1:101" x14ac:dyDescent="0.2">
      <c r="A132" t="s">
        <v>106</v>
      </c>
      <c r="B132" s="46">
        <v>44837</v>
      </c>
      <c r="C132" t="s">
        <v>2059</v>
      </c>
      <c r="D132" t="s">
        <v>108</v>
      </c>
      <c r="E132" t="s">
        <v>2060</v>
      </c>
      <c r="F132" t="s">
        <v>110</v>
      </c>
      <c r="G132" t="s">
        <v>111</v>
      </c>
      <c r="H132" t="s">
        <v>112</v>
      </c>
      <c r="I132" t="s">
        <v>112</v>
      </c>
      <c r="J132" t="s">
        <v>112</v>
      </c>
      <c r="K132" t="s">
        <v>150</v>
      </c>
      <c r="L132" t="s">
        <v>151</v>
      </c>
      <c r="M132" t="s">
        <v>112</v>
      </c>
      <c r="N132" t="s">
        <v>112</v>
      </c>
      <c r="O132">
        <v>1</v>
      </c>
      <c r="Q132">
        <v>1</v>
      </c>
      <c r="R132">
        <v>33</v>
      </c>
      <c r="S132" t="s">
        <v>112</v>
      </c>
      <c r="T132" t="s">
        <v>152</v>
      </c>
      <c r="U132" t="s">
        <v>153</v>
      </c>
      <c r="V132" t="s">
        <v>154</v>
      </c>
      <c r="W132" t="s">
        <v>119</v>
      </c>
      <c r="X132" t="s">
        <v>112</v>
      </c>
      <c r="Y132" t="s">
        <v>112</v>
      </c>
      <c r="Z132" t="s">
        <v>152</v>
      </c>
      <c r="AA132" t="s">
        <v>153</v>
      </c>
      <c r="AB132" t="s">
        <v>154</v>
      </c>
      <c r="AC132" t="s">
        <v>119</v>
      </c>
      <c r="AD132" t="s">
        <v>112</v>
      </c>
      <c r="AE132" t="s">
        <v>121</v>
      </c>
      <c r="AF132" t="s">
        <v>122</v>
      </c>
      <c r="AG132">
        <v>5079383.45</v>
      </c>
      <c r="AH132" t="s">
        <v>112</v>
      </c>
      <c r="AI132" t="s">
        <v>152</v>
      </c>
      <c r="AJ132" t="s">
        <v>153</v>
      </c>
      <c r="AK132" t="s">
        <v>154</v>
      </c>
      <c r="AL132" t="s">
        <v>119</v>
      </c>
      <c r="AM132" t="s">
        <v>112</v>
      </c>
      <c r="AN132" t="s">
        <v>121</v>
      </c>
      <c r="AO132" t="s">
        <v>122</v>
      </c>
      <c r="AP132" t="s">
        <v>122</v>
      </c>
      <c r="AQ132" t="s">
        <v>124</v>
      </c>
      <c r="AR132" t="s">
        <v>125</v>
      </c>
      <c r="AS132">
        <v>2</v>
      </c>
      <c r="AT132" t="s">
        <v>126</v>
      </c>
      <c r="AU132" t="s">
        <v>155</v>
      </c>
      <c r="AV132" t="s">
        <v>156</v>
      </c>
      <c r="AX132" t="s">
        <v>129</v>
      </c>
      <c r="AY132">
        <v>45678.62</v>
      </c>
      <c r="BB132">
        <v>101.97799999999999</v>
      </c>
      <c r="BC132" t="s">
        <v>112</v>
      </c>
      <c r="BD132" t="s">
        <v>112</v>
      </c>
      <c r="BE132" t="s">
        <v>157</v>
      </c>
      <c r="BF132" t="s">
        <v>133</v>
      </c>
      <c r="BG132" t="s">
        <v>134</v>
      </c>
      <c r="BH132" t="s">
        <v>112</v>
      </c>
      <c r="BI132" t="s">
        <v>112</v>
      </c>
      <c r="BJ132" t="s">
        <v>112</v>
      </c>
      <c r="BK132" t="s">
        <v>169</v>
      </c>
      <c r="BL132" t="s">
        <v>159</v>
      </c>
      <c r="BM132" t="s">
        <v>212</v>
      </c>
      <c r="BN132" t="s">
        <v>161</v>
      </c>
      <c r="BP132" t="s">
        <v>205</v>
      </c>
      <c r="BR132" t="s">
        <v>150</v>
      </c>
      <c r="BS132">
        <v>33</v>
      </c>
      <c r="BT132">
        <v>0</v>
      </c>
      <c r="BU132">
        <v>0</v>
      </c>
      <c r="BW132">
        <v>0</v>
      </c>
      <c r="BY132" t="s">
        <v>106</v>
      </c>
      <c r="BZ132" t="s">
        <v>142</v>
      </c>
      <c r="CA132" t="s">
        <v>112</v>
      </c>
      <c r="CB132" t="s">
        <v>112</v>
      </c>
      <c r="CC132" t="s">
        <v>121</v>
      </c>
      <c r="CD132">
        <v>16058.46</v>
      </c>
      <c r="CE132" t="s">
        <v>144</v>
      </c>
      <c r="CF132">
        <v>4000000</v>
      </c>
      <c r="CG132">
        <v>15968.47</v>
      </c>
      <c r="CH132">
        <v>0</v>
      </c>
      <c r="CI132" t="s">
        <v>112</v>
      </c>
      <c r="CJ132" t="s">
        <v>112</v>
      </c>
      <c r="CK132">
        <v>45678.62</v>
      </c>
      <c r="CM132">
        <v>0</v>
      </c>
      <c r="CN132">
        <v>1</v>
      </c>
      <c r="CO132">
        <v>5079383.45</v>
      </c>
      <c r="CP132">
        <v>52636.1</v>
      </c>
      <c r="CQ132" t="s">
        <v>145</v>
      </c>
      <c r="CR132">
        <v>52695.950999999994</v>
      </c>
      <c r="CS132">
        <v>3.3</v>
      </c>
      <c r="CT132">
        <v>45</v>
      </c>
      <c r="CV132" t="s">
        <v>729</v>
      </c>
      <c r="CW132">
        <v>586</v>
      </c>
    </row>
    <row r="133" spans="1:101" x14ac:dyDescent="0.2">
      <c r="A133" t="s">
        <v>106</v>
      </c>
      <c r="B133" s="46">
        <v>45148</v>
      </c>
      <c r="C133" t="s">
        <v>1802</v>
      </c>
      <c r="D133" t="s">
        <v>108</v>
      </c>
      <c r="E133" t="s">
        <v>1803</v>
      </c>
      <c r="F133" t="s">
        <v>110</v>
      </c>
      <c r="G133" t="s">
        <v>111</v>
      </c>
      <c r="H133" t="s">
        <v>112</v>
      </c>
      <c r="I133" t="s">
        <v>112</v>
      </c>
      <c r="J133" t="s">
        <v>112</v>
      </c>
      <c r="K133" t="s">
        <v>150</v>
      </c>
      <c r="L133" t="s">
        <v>151</v>
      </c>
      <c r="M133" t="s">
        <v>112</v>
      </c>
      <c r="N133" t="s">
        <v>112</v>
      </c>
      <c r="Q133">
        <v>1</v>
      </c>
      <c r="R133">
        <v>33</v>
      </c>
      <c r="S133" t="s">
        <v>166</v>
      </c>
      <c r="T133" t="s">
        <v>152</v>
      </c>
      <c r="U133" t="s">
        <v>153</v>
      </c>
      <c r="V133" t="s">
        <v>154</v>
      </c>
      <c r="W133" t="s">
        <v>119</v>
      </c>
      <c r="X133" t="s">
        <v>112</v>
      </c>
      <c r="Y133" t="s">
        <v>166</v>
      </c>
      <c r="Z133" t="s">
        <v>152</v>
      </c>
      <c r="AA133" t="s">
        <v>153</v>
      </c>
      <c r="AB133" t="s">
        <v>154</v>
      </c>
      <c r="AC133" t="s">
        <v>119</v>
      </c>
      <c r="AD133" t="s">
        <v>112</v>
      </c>
      <c r="AE133" t="s">
        <v>121</v>
      </c>
      <c r="AF133" t="s">
        <v>122</v>
      </c>
      <c r="AG133">
        <v>4716722.92</v>
      </c>
      <c r="AH133" t="s">
        <v>166</v>
      </c>
      <c r="AI133" t="s">
        <v>152</v>
      </c>
      <c r="AJ133" t="s">
        <v>153</v>
      </c>
      <c r="AK133" t="s">
        <v>154</v>
      </c>
      <c r="AL133" t="s">
        <v>119</v>
      </c>
      <c r="AM133" t="s">
        <v>112</v>
      </c>
      <c r="AN133" t="s">
        <v>121</v>
      </c>
      <c r="AO133" t="s">
        <v>122</v>
      </c>
      <c r="AP133" t="s">
        <v>122</v>
      </c>
      <c r="AQ133" t="s">
        <v>124</v>
      </c>
      <c r="AR133" t="s">
        <v>125</v>
      </c>
      <c r="AT133" t="s">
        <v>126</v>
      </c>
      <c r="AU133" t="s">
        <v>155</v>
      </c>
      <c r="AV133" t="s">
        <v>156</v>
      </c>
      <c r="AX133" t="s">
        <v>129</v>
      </c>
      <c r="AY133">
        <v>41995.44</v>
      </c>
      <c r="BB133">
        <v>102.2586</v>
      </c>
      <c r="BC133" t="s">
        <v>112</v>
      </c>
      <c r="BD133" t="s">
        <v>112</v>
      </c>
      <c r="BE133" t="s">
        <v>112</v>
      </c>
      <c r="BF133" t="s">
        <v>133</v>
      </c>
      <c r="BG133" t="s">
        <v>167</v>
      </c>
      <c r="BH133" t="s">
        <v>112</v>
      </c>
      <c r="BI133" t="s">
        <v>112</v>
      </c>
      <c r="BJ133" t="s">
        <v>112</v>
      </c>
      <c r="BK133" t="s">
        <v>112</v>
      </c>
      <c r="BL133" t="s">
        <v>112</v>
      </c>
      <c r="BM133" t="s">
        <v>112</v>
      </c>
      <c r="BN133" t="s">
        <v>161</v>
      </c>
      <c r="BP133" t="s">
        <v>466</v>
      </c>
      <c r="BR133" t="s">
        <v>150</v>
      </c>
      <c r="BS133">
        <v>33</v>
      </c>
      <c r="BY133" t="s">
        <v>106</v>
      </c>
      <c r="BZ133" t="s">
        <v>142</v>
      </c>
      <c r="CA133" t="s">
        <v>112</v>
      </c>
      <c r="CB133" t="s">
        <v>112</v>
      </c>
      <c r="CC133" t="s">
        <v>121</v>
      </c>
      <c r="CD133">
        <v>16091.94</v>
      </c>
      <c r="CE133" t="s">
        <v>144</v>
      </c>
      <c r="CF133">
        <v>4000000</v>
      </c>
      <c r="CG133">
        <v>16001.94</v>
      </c>
      <c r="CI133" t="s">
        <v>112</v>
      </c>
      <c r="CJ133" t="s">
        <v>112</v>
      </c>
      <c r="CK133">
        <v>41995.44</v>
      </c>
      <c r="CM133">
        <v>0</v>
      </c>
      <c r="CN133">
        <v>1</v>
      </c>
      <c r="CO133">
        <v>4716722.92</v>
      </c>
      <c r="CP133">
        <v>49800.85</v>
      </c>
      <c r="CQ133" t="s">
        <v>145</v>
      </c>
      <c r="CR133">
        <v>49766.0334</v>
      </c>
      <c r="CS133">
        <v>3.11</v>
      </c>
      <c r="CW133">
        <v>30</v>
      </c>
    </row>
    <row r="134" spans="1:101" x14ac:dyDescent="0.2">
      <c r="A134" t="s">
        <v>106</v>
      </c>
      <c r="B134" s="46">
        <v>45206</v>
      </c>
      <c r="C134" t="s">
        <v>1800</v>
      </c>
      <c r="D134" t="s">
        <v>108</v>
      </c>
      <c r="E134" t="s">
        <v>1801</v>
      </c>
      <c r="F134" t="s">
        <v>110</v>
      </c>
      <c r="G134" t="s">
        <v>111</v>
      </c>
      <c r="H134" t="s">
        <v>112</v>
      </c>
      <c r="I134" t="s">
        <v>112</v>
      </c>
      <c r="J134" t="s">
        <v>112</v>
      </c>
      <c r="K134" t="s">
        <v>150</v>
      </c>
      <c r="L134" t="s">
        <v>151</v>
      </c>
      <c r="M134" t="s">
        <v>112</v>
      </c>
      <c r="N134" t="s">
        <v>112</v>
      </c>
      <c r="Q134">
        <v>1</v>
      </c>
      <c r="R134">
        <v>33</v>
      </c>
      <c r="S134" t="s">
        <v>166</v>
      </c>
      <c r="T134" t="s">
        <v>152</v>
      </c>
      <c r="U134" t="s">
        <v>153</v>
      </c>
      <c r="V134" t="s">
        <v>154</v>
      </c>
      <c r="W134" t="s">
        <v>119</v>
      </c>
      <c r="X134" t="s">
        <v>112</v>
      </c>
      <c r="Y134" t="s">
        <v>166</v>
      </c>
      <c r="Z134" t="s">
        <v>152</v>
      </c>
      <c r="AA134" t="s">
        <v>153</v>
      </c>
      <c r="AB134" t="s">
        <v>154</v>
      </c>
      <c r="AC134" t="s">
        <v>119</v>
      </c>
      <c r="AD134" t="s">
        <v>112</v>
      </c>
      <c r="AE134" t="s">
        <v>121</v>
      </c>
      <c r="AF134" t="s">
        <v>122</v>
      </c>
      <c r="AG134">
        <v>4952026.09</v>
      </c>
      <c r="AH134" t="s">
        <v>166</v>
      </c>
      <c r="AI134" t="s">
        <v>152</v>
      </c>
      <c r="AJ134" t="s">
        <v>153</v>
      </c>
      <c r="AK134" t="s">
        <v>154</v>
      </c>
      <c r="AL134" t="s">
        <v>119</v>
      </c>
      <c r="AM134" t="s">
        <v>112</v>
      </c>
      <c r="AN134" t="s">
        <v>121</v>
      </c>
      <c r="AO134" t="s">
        <v>122</v>
      </c>
      <c r="AP134" t="s">
        <v>122</v>
      </c>
      <c r="AQ134" t="s">
        <v>124</v>
      </c>
      <c r="AR134" t="s">
        <v>125</v>
      </c>
      <c r="AT134" t="s">
        <v>126</v>
      </c>
      <c r="AU134" t="s">
        <v>155</v>
      </c>
      <c r="AV134" t="s">
        <v>156</v>
      </c>
      <c r="AX134" t="s">
        <v>129</v>
      </c>
      <c r="AY134">
        <v>44296.5</v>
      </c>
      <c r="BB134">
        <v>102.2586</v>
      </c>
      <c r="BC134" t="s">
        <v>112</v>
      </c>
      <c r="BD134" t="s">
        <v>112</v>
      </c>
      <c r="BE134" t="s">
        <v>112</v>
      </c>
      <c r="BF134" t="s">
        <v>133</v>
      </c>
      <c r="BG134" t="s">
        <v>167</v>
      </c>
      <c r="BH134" t="s">
        <v>112</v>
      </c>
      <c r="BI134" t="s">
        <v>112</v>
      </c>
      <c r="BJ134" t="s">
        <v>112</v>
      </c>
      <c r="BK134" t="s">
        <v>112</v>
      </c>
      <c r="BL134" t="s">
        <v>112</v>
      </c>
      <c r="BM134" t="s">
        <v>112</v>
      </c>
      <c r="BN134" t="s">
        <v>161</v>
      </c>
      <c r="BP134" t="s">
        <v>232</v>
      </c>
      <c r="BR134" t="s">
        <v>150</v>
      </c>
      <c r="BS134">
        <v>33</v>
      </c>
      <c r="BY134" t="s">
        <v>106</v>
      </c>
      <c r="BZ134" t="s">
        <v>142</v>
      </c>
      <c r="CA134" t="s">
        <v>112</v>
      </c>
      <c r="CB134" t="s">
        <v>112</v>
      </c>
      <c r="CC134" t="s">
        <v>121</v>
      </c>
      <c r="CD134">
        <v>16182.21</v>
      </c>
      <c r="CE134" t="s">
        <v>144</v>
      </c>
      <c r="CF134">
        <v>4000000</v>
      </c>
      <c r="CG134">
        <v>16074.21</v>
      </c>
      <c r="CI134" t="s">
        <v>112</v>
      </c>
      <c r="CJ134" t="s">
        <v>112</v>
      </c>
      <c r="CK134">
        <v>44296.5</v>
      </c>
      <c r="CM134">
        <v>0</v>
      </c>
      <c r="CN134">
        <v>1</v>
      </c>
      <c r="CO134">
        <v>4952026.09</v>
      </c>
      <c r="CP134">
        <v>52285.26</v>
      </c>
      <c r="CQ134" t="s">
        <v>145</v>
      </c>
      <c r="CR134">
        <v>52241.182499999995</v>
      </c>
      <c r="CS134">
        <v>3.25</v>
      </c>
      <c r="CW134">
        <v>342</v>
      </c>
    </row>
    <row r="135" spans="1:101" x14ac:dyDescent="0.2">
      <c r="A135" t="s">
        <v>106</v>
      </c>
      <c r="B135" s="46">
        <v>44987</v>
      </c>
      <c r="C135" t="s">
        <v>1798</v>
      </c>
      <c r="D135" t="s">
        <v>108</v>
      </c>
      <c r="E135" t="s">
        <v>1799</v>
      </c>
      <c r="F135" t="s">
        <v>110</v>
      </c>
      <c r="G135" t="s">
        <v>111</v>
      </c>
      <c r="H135" t="s">
        <v>112</v>
      </c>
      <c r="I135" t="s">
        <v>112</v>
      </c>
      <c r="J135" t="s">
        <v>112</v>
      </c>
      <c r="K135" t="s">
        <v>150</v>
      </c>
      <c r="L135" t="s">
        <v>151</v>
      </c>
      <c r="M135" t="s">
        <v>112</v>
      </c>
      <c r="N135" t="s">
        <v>112</v>
      </c>
      <c r="Q135">
        <v>1</v>
      </c>
      <c r="R135">
        <v>33</v>
      </c>
      <c r="S135" t="s">
        <v>166</v>
      </c>
      <c r="T135" t="s">
        <v>152</v>
      </c>
      <c r="U135" t="s">
        <v>153</v>
      </c>
      <c r="V135" t="s">
        <v>154</v>
      </c>
      <c r="W135" t="s">
        <v>119</v>
      </c>
      <c r="X135" t="s">
        <v>112</v>
      </c>
      <c r="Y135" t="s">
        <v>166</v>
      </c>
      <c r="Z135" t="s">
        <v>152</v>
      </c>
      <c r="AA135" t="s">
        <v>153</v>
      </c>
      <c r="AB135" t="s">
        <v>154</v>
      </c>
      <c r="AC135" t="s">
        <v>119</v>
      </c>
      <c r="AD135" t="s">
        <v>112</v>
      </c>
      <c r="AE135" t="s">
        <v>121</v>
      </c>
      <c r="AF135" t="s">
        <v>122</v>
      </c>
      <c r="AG135">
        <v>4795000.8600000003</v>
      </c>
      <c r="AH135" t="s">
        <v>166</v>
      </c>
      <c r="AI135" t="s">
        <v>152</v>
      </c>
      <c r="AJ135" t="s">
        <v>153</v>
      </c>
      <c r="AK135" t="s">
        <v>154</v>
      </c>
      <c r="AL135" t="s">
        <v>119</v>
      </c>
      <c r="AM135" t="s">
        <v>112</v>
      </c>
      <c r="AN135" t="s">
        <v>121</v>
      </c>
      <c r="AO135" t="s">
        <v>122</v>
      </c>
      <c r="AP135" t="s">
        <v>122</v>
      </c>
      <c r="AQ135" t="s">
        <v>124</v>
      </c>
      <c r="AR135" t="s">
        <v>125</v>
      </c>
      <c r="AT135" t="s">
        <v>126</v>
      </c>
      <c r="AU135" t="s">
        <v>155</v>
      </c>
      <c r="AV135" t="s">
        <v>156</v>
      </c>
      <c r="AX135" t="s">
        <v>129</v>
      </c>
      <c r="AY135">
        <v>42060.93</v>
      </c>
      <c r="BB135">
        <v>102.2586</v>
      </c>
      <c r="BC135" t="s">
        <v>112</v>
      </c>
      <c r="BD135" t="s">
        <v>112</v>
      </c>
      <c r="BE135" t="s">
        <v>112</v>
      </c>
      <c r="BF135" t="s">
        <v>133</v>
      </c>
      <c r="BG135" t="s">
        <v>134</v>
      </c>
      <c r="BH135" t="s">
        <v>112</v>
      </c>
      <c r="BI135" t="s">
        <v>112</v>
      </c>
      <c r="BJ135" t="s">
        <v>112</v>
      </c>
      <c r="BK135" t="s">
        <v>112</v>
      </c>
      <c r="BL135" t="s">
        <v>112</v>
      </c>
      <c r="BM135" t="s">
        <v>112</v>
      </c>
      <c r="BN135" t="s">
        <v>161</v>
      </c>
      <c r="BP135" t="s">
        <v>232</v>
      </c>
      <c r="BR135" t="s">
        <v>150</v>
      </c>
      <c r="BS135">
        <v>33</v>
      </c>
      <c r="BT135">
        <v>0</v>
      </c>
      <c r="BU135">
        <v>0</v>
      </c>
      <c r="BY135" t="s">
        <v>106</v>
      </c>
      <c r="BZ135" t="s">
        <v>142</v>
      </c>
      <c r="CA135" t="s">
        <v>112</v>
      </c>
      <c r="CB135" t="s">
        <v>112</v>
      </c>
      <c r="CC135" t="s">
        <v>121</v>
      </c>
      <c r="CD135">
        <v>16780.759999999998</v>
      </c>
      <c r="CE135" t="s">
        <v>144</v>
      </c>
      <c r="CF135">
        <v>4000000</v>
      </c>
      <c r="CG135">
        <v>16701.560000000001</v>
      </c>
      <c r="CH135">
        <v>0</v>
      </c>
      <c r="CI135" t="s">
        <v>112</v>
      </c>
      <c r="CJ135" t="s">
        <v>112</v>
      </c>
      <c r="CK135">
        <v>42060.93</v>
      </c>
      <c r="CM135">
        <v>0</v>
      </c>
      <c r="CN135">
        <v>1</v>
      </c>
      <c r="CO135">
        <v>4795000.8600000003</v>
      </c>
      <c r="CP135">
        <v>50627.33</v>
      </c>
      <c r="CQ135" t="s">
        <v>145</v>
      </c>
      <c r="CR135">
        <v>50605.726800000004</v>
      </c>
      <c r="CS135">
        <v>3.03</v>
      </c>
      <c r="CW135">
        <v>249</v>
      </c>
    </row>
    <row r="136" spans="1:101" x14ac:dyDescent="0.2">
      <c r="A136" t="s">
        <v>106</v>
      </c>
      <c r="B136" s="46">
        <v>45048</v>
      </c>
      <c r="C136" t="s">
        <v>1796</v>
      </c>
      <c r="D136" t="s">
        <v>108</v>
      </c>
      <c r="E136" t="s">
        <v>1797</v>
      </c>
      <c r="F136" t="s">
        <v>110</v>
      </c>
      <c r="G136" t="s">
        <v>111</v>
      </c>
      <c r="H136" t="s">
        <v>112</v>
      </c>
      <c r="I136" t="s">
        <v>112</v>
      </c>
      <c r="J136" t="s">
        <v>112</v>
      </c>
      <c r="K136" t="s">
        <v>150</v>
      </c>
      <c r="L136" t="s">
        <v>151</v>
      </c>
      <c r="M136" t="s">
        <v>112</v>
      </c>
      <c r="N136" t="s">
        <v>112</v>
      </c>
      <c r="Q136">
        <v>1</v>
      </c>
      <c r="R136">
        <v>33</v>
      </c>
      <c r="S136" t="s">
        <v>166</v>
      </c>
      <c r="T136" t="s">
        <v>152</v>
      </c>
      <c r="U136" t="s">
        <v>153</v>
      </c>
      <c r="V136" t="s">
        <v>154</v>
      </c>
      <c r="W136" t="s">
        <v>119</v>
      </c>
      <c r="X136" t="s">
        <v>112</v>
      </c>
      <c r="Y136" t="s">
        <v>166</v>
      </c>
      <c r="Z136" t="s">
        <v>152</v>
      </c>
      <c r="AA136" t="s">
        <v>153</v>
      </c>
      <c r="AB136" t="s">
        <v>154</v>
      </c>
      <c r="AC136" t="s">
        <v>119</v>
      </c>
      <c r="AD136" t="s">
        <v>112</v>
      </c>
      <c r="AE136" t="s">
        <v>121</v>
      </c>
      <c r="AF136" t="s">
        <v>122</v>
      </c>
      <c r="AG136">
        <v>4553334.13</v>
      </c>
      <c r="AH136" t="s">
        <v>166</v>
      </c>
      <c r="AI136" t="s">
        <v>152</v>
      </c>
      <c r="AJ136" t="s">
        <v>153</v>
      </c>
      <c r="AK136" t="s">
        <v>154</v>
      </c>
      <c r="AL136" t="s">
        <v>119</v>
      </c>
      <c r="AM136" t="s">
        <v>112</v>
      </c>
      <c r="AN136" t="s">
        <v>121</v>
      </c>
      <c r="AO136" t="s">
        <v>122</v>
      </c>
      <c r="AP136" t="s">
        <v>122</v>
      </c>
      <c r="AQ136" t="s">
        <v>124</v>
      </c>
      <c r="AR136" t="s">
        <v>125</v>
      </c>
      <c r="AT136" t="s">
        <v>126</v>
      </c>
      <c r="AU136" t="s">
        <v>155</v>
      </c>
      <c r="AV136" t="s">
        <v>156</v>
      </c>
      <c r="AX136" t="s">
        <v>129</v>
      </c>
      <c r="AY136">
        <v>40397.64</v>
      </c>
      <c r="BB136">
        <v>102.2586</v>
      </c>
      <c r="BC136" t="s">
        <v>112</v>
      </c>
      <c r="BD136" t="s">
        <v>112</v>
      </c>
      <c r="BE136" t="s">
        <v>112</v>
      </c>
      <c r="BF136" t="s">
        <v>133</v>
      </c>
      <c r="BG136" t="s">
        <v>134</v>
      </c>
      <c r="BH136" t="s">
        <v>112</v>
      </c>
      <c r="BI136" t="s">
        <v>112</v>
      </c>
      <c r="BJ136" t="s">
        <v>112</v>
      </c>
      <c r="BK136" t="s">
        <v>112</v>
      </c>
      <c r="BL136" t="s">
        <v>112</v>
      </c>
      <c r="BM136" t="s">
        <v>112</v>
      </c>
      <c r="BN136" t="s">
        <v>161</v>
      </c>
      <c r="BP136" t="s">
        <v>232</v>
      </c>
      <c r="BR136" t="s">
        <v>150</v>
      </c>
      <c r="BS136">
        <v>33</v>
      </c>
      <c r="BT136">
        <v>0</v>
      </c>
      <c r="BU136">
        <v>0</v>
      </c>
      <c r="BY136" t="s">
        <v>106</v>
      </c>
      <c r="BZ136" t="s">
        <v>142</v>
      </c>
      <c r="CA136" t="s">
        <v>112</v>
      </c>
      <c r="CB136" t="s">
        <v>112</v>
      </c>
      <c r="CC136" t="s">
        <v>121</v>
      </c>
      <c r="CD136">
        <v>16964.830000000002</v>
      </c>
      <c r="CE136" t="s">
        <v>144</v>
      </c>
      <c r="CF136">
        <v>4000000</v>
      </c>
      <c r="CG136">
        <v>16931.23</v>
      </c>
      <c r="CH136">
        <v>0</v>
      </c>
      <c r="CI136" t="s">
        <v>112</v>
      </c>
      <c r="CJ136" t="s">
        <v>112</v>
      </c>
      <c r="CK136">
        <v>40397.64</v>
      </c>
      <c r="CM136">
        <v>0</v>
      </c>
      <c r="CN136">
        <v>1</v>
      </c>
      <c r="CO136">
        <v>4553334.13</v>
      </c>
      <c r="CP136">
        <v>48075.73</v>
      </c>
      <c r="CQ136" t="s">
        <v>145</v>
      </c>
      <c r="CR136">
        <v>48084.693199999994</v>
      </c>
      <c r="CS136">
        <v>2.84</v>
      </c>
      <c r="CW136">
        <v>582</v>
      </c>
    </row>
    <row r="137" spans="1:101" x14ac:dyDescent="0.2">
      <c r="A137" t="s">
        <v>106</v>
      </c>
      <c r="B137" s="46">
        <v>45241</v>
      </c>
      <c r="C137" t="s">
        <v>1794</v>
      </c>
      <c r="D137" t="s">
        <v>108</v>
      </c>
      <c r="E137" t="s">
        <v>1795</v>
      </c>
      <c r="F137" t="s">
        <v>110</v>
      </c>
      <c r="G137" t="s">
        <v>111</v>
      </c>
      <c r="H137" t="s">
        <v>112</v>
      </c>
      <c r="I137" t="s">
        <v>112</v>
      </c>
      <c r="J137" t="s">
        <v>112</v>
      </c>
      <c r="K137" t="s">
        <v>150</v>
      </c>
      <c r="L137" t="s">
        <v>151</v>
      </c>
      <c r="M137" t="s">
        <v>112</v>
      </c>
      <c r="N137" t="s">
        <v>112</v>
      </c>
      <c r="Q137">
        <v>1</v>
      </c>
      <c r="R137">
        <v>33</v>
      </c>
      <c r="S137" t="s">
        <v>166</v>
      </c>
      <c r="T137" t="s">
        <v>152</v>
      </c>
      <c r="U137" t="s">
        <v>153</v>
      </c>
      <c r="V137" t="s">
        <v>154</v>
      </c>
      <c r="W137" t="s">
        <v>119</v>
      </c>
      <c r="X137" t="s">
        <v>112</v>
      </c>
      <c r="Y137" t="s">
        <v>166</v>
      </c>
      <c r="Z137" t="s">
        <v>152</v>
      </c>
      <c r="AA137" t="s">
        <v>153</v>
      </c>
      <c r="AB137" t="s">
        <v>154</v>
      </c>
      <c r="AC137" t="s">
        <v>119</v>
      </c>
      <c r="AD137" t="s">
        <v>112</v>
      </c>
      <c r="AE137" t="s">
        <v>121</v>
      </c>
      <c r="AF137" t="s">
        <v>122</v>
      </c>
      <c r="AG137">
        <v>4647686.09</v>
      </c>
      <c r="AH137" t="s">
        <v>166</v>
      </c>
      <c r="AI137" t="s">
        <v>152</v>
      </c>
      <c r="AJ137" t="s">
        <v>153</v>
      </c>
      <c r="AK137" t="s">
        <v>154</v>
      </c>
      <c r="AL137" t="s">
        <v>119</v>
      </c>
      <c r="AM137" t="s">
        <v>112</v>
      </c>
      <c r="AN137" t="s">
        <v>121</v>
      </c>
      <c r="AO137" t="s">
        <v>122</v>
      </c>
      <c r="AP137" t="s">
        <v>122</v>
      </c>
      <c r="AQ137" t="s">
        <v>124</v>
      </c>
      <c r="AR137" t="s">
        <v>125</v>
      </c>
      <c r="AT137" t="s">
        <v>126</v>
      </c>
      <c r="AU137" t="s">
        <v>155</v>
      </c>
      <c r="AV137" t="s">
        <v>156</v>
      </c>
      <c r="AX137" t="s">
        <v>129</v>
      </c>
      <c r="AY137">
        <v>41320.32</v>
      </c>
      <c r="BB137">
        <v>102.2586</v>
      </c>
      <c r="BC137" t="s">
        <v>112</v>
      </c>
      <c r="BD137" t="s">
        <v>112</v>
      </c>
      <c r="BE137" t="s">
        <v>112</v>
      </c>
      <c r="BF137" t="s">
        <v>133</v>
      </c>
      <c r="BG137" t="s">
        <v>167</v>
      </c>
      <c r="BH137" t="s">
        <v>112</v>
      </c>
      <c r="BI137" t="s">
        <v>112</v>
      </c>
      <c r="BJ137" t="s">
        <v>112</v>
      </c>
      <c r="BK137" t="s">
        <v>112</v>
      </c>
      <c r="BL137" t="s">
        <v>112</v>
      </c>
      <c r="BM137" t="s">
        <v>112</v>
      </c>
      <c r="BN137" t="s">
        <v>161</v>
      </c>
      <c r="BP137" t="s">
        <v>162</v>
      </c>
      <c r="BR137" t="s">
        <v>150</v>
      </c>
      <c r="BS137">
        <v>33</v>
      </c>
      <c r="BT137">
        <v>0</v>
      </c>
      <c r="BU137">
        <v>0</v>
      </c>
      <c r="BY137" t="s">
        <v>106</v>
      </c>
      <c r="BZ137" t="s">
        <v>142</v>
      </c>
      <c r="CA137" t="s">
        <v>112</v>
      </c>
      <c r="CB137" t="s">
        <v>112</v>
      </c>
      <c r="CC137" t="s">
        <v>121</v>
      </c>
      <c r="CD137">
        <v>16887.400000000001</v>
      </c>
      <c r="CE137" t="s">
        <v>144</v>
      </c>
      <c r="CF137">
        <v>4000000</v>
      </c>
      <c r="CG137">
        <v>16822.599999999999</v>
      </c>
      <c r="CH137">
        <v>0</v>
      </c>
      <c r="CI137" t="s">
        <v>112</v>
      </c>
      <c r="CJ137" t="s">
        <v>112</v>
      </c>
      <c r="CK137">
        <v>41320.32</v>
      </c>
      <c r="CM137">
        <v>0</v>
      </c>
      <c r="CN137">
        <v>1</v>
      </c>
      <c r="CO137">
        <v>4647686.09</v>
      </c>
      <c r="CP137">
        <v>49071.93</v>
      </c>
      <c r="CQ137" t="s">
        <v>145</v>
      </c>
      <c r="CR137">
        <v>49121.991999999991</v>
      </c>
      <c r="CS137">
        <v>2.92</v>
      </c>
      <c r="CW137">
        <v>205</v>
      </c>
    </row>
    <row r="138" spans="1:101" x14ac:dyDescent="0.2">
      <c r="A138" t="s">
        <v>106</v>
      </c>
      <c r="B138" s="46">
        <v>45156</v>
      </c>
      <c r="C138" t="s">
        <v>1386</v>
      </c>
      <c r="D138" t="s">
        <v>108</v>
      </c>
      <c r="E138" t="s">
        <v>1387</v>
      </c>
      <c r="F138" t="s">
        <v>110</v>
      </c>
      <c r="G138" t="s">
        <v>111</v>
      </c>
      <c r="H138" t="s">
        <v>112</v>
      </c>
      <c r="I138" t="s">
        <v>112</v>
      </c>
      <c r="J138" t="s">
        <v>112</v>
      </c>
      <c r="K138" t="s">
        <v>150</v>
      </c>
      <c r="L138" t="s">
        <v>151</v>
      </c>
      <c r="M138" t="s">
        <v>112</v>
      </c>
      <c r="N138" t="s">
        <v>112</v>
      </c>
      <c r="O138">
        <v>1</v>
      </c>
      <c r="P138">
        <v>0</v>
      </c>
      <c r="Q138">
        <v>1</v>
      </c>
      <c r="R138">
        <v>33</v>
      </c>
      <c r="S138" t="s">
        <v>166</v>
      </c>
      <c r="T138" t="s">
        <v>152</v>
      </c>
      <c r="U138" t="s">
        <v>153</v>
      </c>
      <c r="V138" t="s">
        <v>154</v>
      </c>
      <c r="W138" t="s">
        <v>119</v>
      </c>
      <c r="X138" t="s">
        <v>112</v>
      </c>
      <c r="Y138" t="s">
        <v>166</v>
      </c>
      <c r="Z138" t="s">
        <v>152</v>
      </c>
      <c r="AA138" t="s">
        <v>153</v>
      </c>
      <c r="AB138" t="s">
        <v>154</v>
      </c>
      <c r="AC138" t="s">
        <v>119</v>
      </c>
      <c r="AD138" t="s">
        <v>112</v>
      </c>
      <c r="AE138" t="s">
        <v>121</v>
      </c>
      <c r="AF138" t="s">
        <v>122</v>
      </c>
      <c r="AG138">
        <v>4430690.3899999997</v>
      </c>
      <c r="AH138" t="s">
        <v>166</v>
      </c>
      <c r="AI138" t="s">
        <v>152</v>
      </c>
      <c r="AJ138" t="s">
        <v>153</v>
      </c>
      <c r="AK138" t="s">
        <v>154</v>
      </c>
      <c r="AL138" t="s">
        <v>119</v>
      </c>
      <c r="AM138" t="s">
        <v>112</v>
      </c>
      <c r="AN138" t="s">
        <v>121</v>
      </c>
      <c r="AO138" t="s">
        <v>122</v>
      </c>
      <c r="AP138" t="s">
        <v>122</v>
      </c>
      <c r="AQ138" t="s">
        <v>124</v>
      </c>
      <c r="AR138" t="s">
        <v>125</v>
      </c>
      <c r="AS138">
        <v>2</v>
      </c>
      <c r="AT138" t="s">
        <v>126</v>
      </c>
      <c r="AU138" t="s">
        <v>155</v>
      </c>
      <c r="AV138" t="s">
        <v>156</v>
      </c>
      <c r="AW138">
        <v>1</v>
      </c>
      <c r="AX138" t="s">
        <v>129</v>
      </c>
      <c r="AY138">
        <v>42921.599999999999</v>
      </c>
      <c r="AZ138">
        <v>3997602</v>
      </c>
      <c r="BA138">
        <v>52094.879999999997</v>
      </c>
      <c r="BB138">
        <v>93.137299999999996</v>
      </c>
      <c r="BC138" t="s">
        <v>130</v>
      </c>
      <c r="BD138" t="s">
        <v>112</v>
      </c>
      <c r="BE138" t="s">
        <v>157</v>
      </c>
      <c r="BF138" t="s">
        <v>133</v>
      </c>
      <c r="BG138" t="s">
        <v>134</v>
      </c>
      <c r="BH138" t="s">
        <v>112</v>
      </c>
      <c r="BI138" t="s">
        <v>112</v>
      </c>
      <c r="BJ138" t="s">
        <v>112</v>
      </c>
      <c r="BK138" t="s">
        <v>169</v>
      </c>
      <c r="BL138" t="s">
        <v>159</v>
      </c>
      <c r="BM138" t="s">
        <v>722</v>
      </c>
      <c r="BN138" t="s">
        <v>161</v>
      </c>
      <c r="BO138">
        <v>1</v>
      </c>
      <c r="BP138" t="s">
        <v>1388</v>
      </c>
      <c r="BR138" t="s">
        <v>150</v>
      </c>
      <c r="BS138">
        <v>33</v>
      </c>
      <c r="BT138">
        <v>0</v>
      </c>
      <c r="BU138">
        <v>0</v>
      </c>
      <c r="BW138">
        <v>0</v>
      </c>
      <c r="BY138" t="s">
        <v>106</v>
      </c>
      <c r="BZ138" t="s">
        <v>142</v>
      </c>
      <c r="CA138" t="s">
        <v>112</v>
      </c>
      <c r="CB138" t="s">
        <v>112</v>
      </c>
      <c r="CC138" t="s">
        <v>121</v>
      </c>
      <c r="CD138">
        <v>16918.02</v>
      </c>
      <c r="CE138" t="s">
        <v>144</v>
      </c>
      <c r="CF138">
        <v>4000000</v>
      </c>
      <c r="CG138">
        <v>16900.02</v>
      </c>
      <c r="CH138">
        <v>0</v>
      </c>
      <c r="CI138" t="s">
        <v>112</v>
      </c>
      <c r="CJ138" t="s">
        <v>112</v>
      </c>
      <c r="CK138">
        <v>42921.599999999999</v>
      </c>
      <c r="CL138">
        <v>3997602</v>
      </c>
      <c r="CM138">
        <v>0</v>
      </c>
      <c r="CN138">
        <v>1</v>
      </c>
      <c r="CO138">
        <v>4430690.3899999997</v>
      </c>
      <c r="CP138">
        <v>52094.879999999997</v>
      </c>
      <c r="CQ138" t="s">
        <v>145</v>
      </c>
      <c r="CR138">
        <v>52052.061600000001</v>
      </c>
      <c r="CS138">
        <v>3.08</v>
      </c>
      <c r="CT138">
        <v>45</v>
      </c>
      <c r="CU138" t="s">
        <v>171</v>
      </c>
      <c r="CV138" t="s">
        <v>463</v>
      </c>
      <c r="CW138">
        <v>552</v>
      </c>
    </row>
    <row r="139" spans="1:101" x14ac:dyDescent="0.2">
      <c r="A139" t="s">
        <v>106</v>
      </c>
      <c r="B139" s="46">
        <v>44964</v>
      </c>
      <c r="C139" t="s">
        <v>1093</v>
      </c>
      <c r="D139" t="s">
        <v>108</v>
      </c>
      <c r="E139" t="s">
        <v>1094</v>
      </c>
      <c r="F139" t="s">
        <v>110</v>
      </c>
      <c r="G139" t="s">
        <v>111</v>
      </c>
      <c r="H139" t="s">
        <v>112</v>
      </c>
      <c r="I139" t="s">
        <v>112</v>
      </c>
      <c r="J139" t="s">
        <v>112</v>
      </c>
      <c r="K139" t="s">
        <v>150</v>
      </c>
      <c r="L139" t="s">
        <v>1020</v>
      </c>
      <c r="M139" t="s">
        <v>112</v>
      </c>
      <c r="N139" t="s">
        <v>112</v>
      </c>
      <c r="O139">
        <v>1</v>
      </c>
      <c r="P139">
        <v>0</v>
      </c>
      <c r="Q139">
        <v>1</v>
      </c>
      <c r="R139">
        <v>33</v>
      </c>
      <c r="S139" t="s">
        <v>166</v>
      </c>
      <c r="T139" t="s">
        <v>152</v>
      </c>
      <c r="U139" t="s">
        <v>153</v>
      </c>
      <c r="V139" t="s">
        <v>154</v>
      </c>
      <c r="W139" t="s">
        <v>119</v>
      </c>
      <c r="X139" t="s">
        <v>112</v>
      </c>
      <c r="Y139" t="s">
        <v>166</v>
      </c>
      <c r="Z139" t="s">
        <v>152</v>
      </c>
      <c r="AA139" t="s">
        <v>153</v>
      </c>
      <c r="AB139" t="s">
        <v>154</v>
      </c>
      <c r="AC139" t="s">
        <v>119</v>
      </c>
      <c r="AD139" t="s">
        <v>112</v>
      </c>
      <c r="AE139" t="s">
        <v>121</v>
      </c>
      <c r="AF139" t="s">
        <v>122</v>
      </c>
      <c r="AG139">
        <v>4228079.47</v>
      </c>
      <c r="AH139" t="s">
        <v>166</v>
      </c>
      <c r="AI139" t="s">
        <v>152</v>
      </c>
      <c r="AJ139" t="s">
        <v>153</v>
      </c>
      <c r="AK139" t="s">
        <v>154</v>
      </c>
      <c r="AL139" t="s">
        <v>119</v>
      </c>
      <c r="AM139" t="s">
        <v>112</v>
      </c>
      <c r="AN139" t="s">
        <v>121</v>
      </c>
      <c r="AO139" t="s">
        <v>122</v>
      </c>
      <c r="AP139" t="s">
        <v>122</v>
      </c>
      <c r="AQ139" t="s">
        <v>124</v>
      </c>
      <c r="AR139" t="s">
        <v>125</v>
      </c>
      <c r="AS139">
        <v>2</v>
      </c>
      <c r="AT139" t="s">
        <v>126</v>
      </c>
      <c r="AU139" t="s">
        <v>155</v>
      </c>
      <c r="AV139" t="s">
        <v>156</v>
      </c>
      <c r="AW139">
        <v>1</v>
      </c>
      <c r="AX139" t="s">
        <v>129</v>
      </c>
      <c r="AY139">
        <v>42523.3</v>
      </c>
      <c r="AZ139">
        <v>3835699</v>
      </c>
      <c r="BA139">
        <v>51840.05</v>
      </c>
      <c r="BB139">
        <v>90.202299999999994</v>
      </c>
      <c r="BC139" t="s">
        <v>130</v>
      </c>
      <c r="BD139" t="s">
        <v>112</v>
      </c>
      <c r="BE139" t="s">
        <v>157</v>
      </c>
      <c r="BF139" t="s">
        <v>133</v>
      </c>
      <c r="BG139" t="s">
        <v>134</v>
      </c>
      <c r="BH139" t="s">
        <v>112</v>
      </c>
      <c r="BI139" t="s">
        <v>112</v>
      </c>
      <c r="BJ139" t="s">
        <v>112</v>
      </c>
      <c r="BK139" t="s">
        <v>169</v>
      </c>
      <c r="BL139" t="s">
        <v>159</v>
      </c>
      <c r="BM139" t="s">
        <v>722</v>
      </c>
      <c r="BN139" t="s">
        <v>161</v>
      </c>
      <c r="BO139">
        <v>1</v>
      </c>
      <c r="BP139" t="s">
        <v>1088</v>
      </c>
      <c r="BR139" t="s">
        <v>150</v>
      </c>
      <c r="BS139">
        <v>33</v>
      </c>
      <c r="BT139">
        <v>0</v>
      </c>
      <c r="BU139">
        <v>0</v>
      </c>
      <c r="BW139">
        <v>0</v>
      </c>
      <c r="BY139" t="s">
        <v>106</v>
      </c>
      <c r="BZ139" t="s">
        <v>142</v>
      </c>
      <c r="CA139" t="s">
        <v>112</v>
      </c>
      <c r="CB139" t="s">
        <v>112</v>
      </c>
      <c r="CC139" t="s">
        <v>121</v>
      </c>
      <c r="CD139">
        <v>16565.77</v>
      </c>
      <c r="CE139" t="s">
        <v>144</v>
      </c>
      <c r="CF139">
        <v>4000000</v>
      </c>
      <c r="CG139">
        <v>16371.37</v>
      </c>
      <c r="CH139">
        <v>0</v>
      </c>
      <c r="CI139" t="s">
        <v>112</v>
      </c>
      <c r="CJ139" t="s">
        <v>112</v>
      </c>
      <c r="CK139">
        <v>42523.3</v>
      </c>
      <c r="CL139">
        <v>3835699</v>
      </c>
      <c r="CM139">
        <v>0</v>
      </c>
      <c r="CN139">
        <v>1</v>
      </c>
      <c r="CO139">
        <v>4228079.47</v>
      </c>
      <c r="CP139">
        <v>51840.05</v>
      </c>
      <c r="CQ139" t="s">
        <v>145</v>
      </c>
      <c r="CR139">
        <v>51839.943105000006</v>
      </c>
      <c r="CS139">
        <v>3.1665000000000001</v>
      </c>
      <c r="CT139">
        <v>45</v>
      </c>
      <c r="CU139" t="s">
        <v>171</v>
      </c>
      <c r="CV139" t="s">
        <v>369</v>
      </c>
      <c r="CW139">
        <v>13</v>
      </c>
    </row>
    <row r="140" spans="1:101" x14ac:dyDescent="0.2">
      <c r="A140" t="s">
        <v>106</v>
      </c>
      <c r="B140" s="46">
        <v>44949</v>
      </c>
      <c r="C140" t="s">
        <v>1097</v>
      </c>
      <c r="D140" t="s">
        <v>108</v>
      </c>
      <c r="E140" t="s">
        <v>1098</v>
      </c>
      <c r="F140" t="s">
        <v>110</v>
      </c>
      <c r="G140" t="s">
        <v>111</v>
      </c>
      <c r="H140" t="s">
        <v>112</v>
      </c>
      <c r="I140" t="s">
        <v>112</v>
      </c>
      <c r="J140" t="s">
        <v>112</v>
      </c>
      <c r="K140" t="s">
        <v>150</v>
      </c>
      <c r="L140" t="s">
        <v>1020</v>
      </c>
      <c r="M140" t="s">
        <v>112</v>
      </c>
      <c r="N140" t="s">
        <v>112</v>
      </c>
      <c r="O140">
        <v>1</v>
      </c>
      <c r="P140">
        <v>0</v>
      </c>
      <c r="Q140">
        <v>1</v>
      </c>
      <c r="R140">
        <v>33</v>
      </c>
      <c r="S140" t="s">
        <v>166</v>
      </c>
      <c r="T140" t="s">
        <v>152</v>
      </c>
      <c r="U140" t="s">
        <v>153</v>
      </c>
      <c r="V140" t="s">
        <v>154</v>
      </c>
      <c r="W140" t="s">
        <v>119</v>
      </c>
      <c r="X140" t="s">
        <v>112</v>
      </c>
      <c r="Y140" t="s">
        <v>166</v>
      </c>
      <c r="Z140" t="s">
        <v>152</v>
      </c>
      <c r="AA140" t="s">
        <v>153</v>
      </c>
      <c r="AB140" t="s">
        <v>154</v>
      </c>
      <c r="AC140" t="s">
        <v>119</v>
      </c>
      <c r="AD140" t="s">
        <v>112</v>
      </c>
      <c r="AE140" t="s">
        <v>121</v>
      </c>
      <c r="AF140" t="s">
        <v>122</v>
      </c>
      <c r="AG140">
        <v>4286819.21</v>
      </c>
      <c r="AH140" t="s">
        <v>166</v>
      </c>
      <c r="AI140" t="s">
        <v>152</v>
      </c>
      <c r="AJ140" t="s">
        <v>153</v>
      </c>
      <c r="AK140" t="s">
        <v>154</v>
      </c>
      <c r="AL140" t="s">
        <v>119</v>
      </c>
      <c r="AM140" t="s">
        <v>112</v>
      </c>
      <c r="AN140" t="s">
        <v>121</v>
      </c>
      <c r="AO140" t="s">
        <v>122</v>
      </c>
      <c r="AP140" t="s">
        <v>122</v>
      </c>
      <c r="AQ140" t="s">
        <v>124</v>
      </c>
      <c r="AR140" t="s">
        <v>125</v>
      </c>
      <c r="AS140">
        <v>2</v>
      </c>
      <c r="AT140" t="s">
        <v>126</v>
      </c>
      <c r="AU140" t="s">
        <v>155</v>
      </c>
      <c r="AV140" t="s">
        <v>156</v>
      </c>
      <c r="AW140">
        <v>1</v>
      </c>
      <c r="AX140" t="s">
        <v>129</v>
      </c>
      <c r="AY140">
        <v>42474.5</v>
      </c>
      <c r="AZ140">
        <v>3831298</v>
      </c>
      <c r="BA140">
        <v>52560.25</v>
      </c>
      <c r="BB140">
        <v>90.202299999999994</v>
      </c>
      <c r="BC140" t="s">
        <v>130</v>
      </c>
      <c r="BD140" t="s">
        <v>112</v>
      </c>
      <c r="BE140" t="s">
        <v>157</v>
      </c>
      <c r="BF140" t="s">
        <v>133</v>
      </c>
      <c r="BG140" t="s">
        <v>134</v>
      </c>
      <c r="BH140" t="s">
        <v>112</v>
      </c>
      <c r="BI140" t="s">
        <v>112</v>
      </c>
      <c r="BJ140" t="s">
        <v>112</v>
      </c>
      <c r="BK140" t="s">
        <v>169</v>
      </c>
      <c r="BL140" t="s">
        <v>159</v>
      </c>
      <c r="BM140" t="s">
        <v>722</v>
      </c>
      <c r="BN140" t="s">
        <v>161</v>
      </c>
      <c r="BO140">
        <v>1</v>
      </c>
      <c r="BP140" t="s">
        <v>162</v>
      </c>
      <c r="BR140" t="s">
        <v>150</v>
      </c>
      <c r="BS140">
        <v>33</v>
      </c>
      <c r="BT140">
        <v>0</v>
      </c>
      <c r="BU140">
        <v>0</v>
      </c>
      <c r="BW140">
        <v>0</v>
      </c>
      <c r="BY140" t="s">
        <v>106</v>
      </c>
      <c r="BZ140" t="s">
        <v>142</v>
      </c>
      <c r="CA140" t="s">
        <v>112</v>
      </c>
      <c r="CB140" t="s">
        <v>112</v>
      </c>
      <c r="CC140" t="s">
        <v>121</v>
      </c>
      <c r="CD140">
        <v>16800.91</v>
      </c>
      <c r="CE140" t="s">
        <v>144</v>
      </c>
      <c r="CF140">
        <v>4000000</v>
      </c>
      <c r="CG140">
        <v>16736.11</v>
      </c>
      <c r="CH140">
        <v>0</v>
      </c>
      <c r="CI140" t="s">
        <v>112</v>
      </c>
      <c r="CJ140" t="s">
        <v>112</v>
      </c>
      <c r="CK140">
        <v>42474.5</v>
      </c>
      <c r="CL140">
        <v>3831298</v>
      </c>
      <c r="CM140">
        <v>0</v>
      </c>
      <c r="CN140">
        <v>1</v>
      </c>
      <c r="CO140">
        <v>4286819.21</v>
      </c>
      <c r="CP140">
        <v>52560.25</v>
      </c>
      <c r="CQ140" t="s">
        <v>145</v>
      </c>
      <c r="CR140">
        <v>52559.753454999998</v>
      </c>
      <c r="CS140">
        <v>3.1404999999999998</v>
      </c>
      <c r="CT140">
        <v>45</v>
      </c>
      <c r="CU140" t="s">
        <v>171</v>
      </c>
      <c r="CV140" t="s">
        <v>372</v>
      </c>
      <c r="CW140">
        <v>163</v>
      </c>
    </row>
    <row r="141" spans="1:101" x14ac:dyDescent="0.2">
      <c r="A141" t="s">
        <v>106</v>
      </c>
      <c r="B141" s="46">
        <v>45266</v>
      </c>
      <c r="C141" t="s">
        <v>1099</v>
      </c>
      <c r="D141" t="s">
        <v>108</v>
      </c>
      <c r="E141" t="s">
        <v>1100</v>
      </c>
      <c r="F141" t="s">
        <v>110</v>
      </c>
      <c r="G141" t="s">
        <v>111</v>
      </c>
      <c r="H141" t="s">
        <v>112</v>
      </c>
      <c r="I141" t="s">
        <v>112</v>
      </c>
      <c r="J141" t="s">
        <v>112</v>
      </c>
      <c r="K141" t="s">
        <v>150</v>
      </c>
      <c r="L141" t="s">
        <v>1020</v>
      </c>
      <c r="M141" t="s">
        <v>112</v>
      </c>
      <c r="N141" t="s">
        <v>112</v>
      </c>
      <c r="O141">
        <v>1</v>
      </c>
      <c r="P141">
        <v>0</v>
      </c>
      <c r="Q141">
        <v>1</v>
      </c>
      <c r="R141">
        <v>33</v>
      </c>
      <c r="S141" t="s">
        <v>166</v>
      </c>
      <c r="T141" t="s">
        <v>152</v>
      </c>
      <c r="U141" t="s">
        <v>153</v>
      </c>
      <c r="V141" t="s">
        <v>154</v>
      </c>
      <c r="W141" t="s">
        <v>119</v>
      </c>
      <c r="X141" t="s">
        <v>112</v>
      </c>
      <c r="Y141" t="s">
        <v>166</v>
      </c>
      <c r="Z141" t="s">
        <v>152</v>
      </c>
      <c r="AA141" t="s">
        <v>153</v>
      </c>
      <c r="AB141" t="s">
        <v>154</v>
      </c>
      <c r="AC141" t="s">
        <v>119</v>
      </c>
      <c r="AD141" t="s">
        <v>112</v>
      </c>
      <c r="AE141" t="s">
        <v>121</v>
      </c>
      <c r="AF141" t="s">
        <v>122</v>
      </c>
      <c r="AG141">
        <v>4280477.99</v>
      </c>
      <c r="AH141" t="s">
        <v>166</v>
      </c>
      <c r="AI141" t="s">
        <v>152</v>
      </c>
      <c r="AJ141" t="s">
        <v>153</v>
      </c>
      <c r="AK141" t="s">
        <v>154</v>
      </c>
      <c r="AL141" t="s">
        <v>119</v>
      </c>
      <c r="AM141" t="s">
        <v>112</v>
      </c>
      <c r="AN141" t="s">
        <v>121</v>
      </c>
      <c r="AO141" t="s">
        <v>122</v>
      </c>
      <c r="AP141" t="s">
        <v>122</v>
      </c>
      <c r="AQ141" t="s">
        <v>124</v>
      </c>
      <c r="AR141" t="s">
        <v>125</v>
      </c>
      <c r="AS141">
        <v>2</v>
      </c>
      <c r="AT141" t="s">
        <v>126</v>
      </c>
      <c r="AU141" t="s">
        <v>155</v>
      </c>
      <c r="AV141" t="s">
        <v>156</v>
      </c>
      <c r="AW141">
        <v>1</v>
      </c>
      <c r="AX141" t="s">
        <v>129</v>
      </c>
      <c r="AY141">
        <v>42604.2</v>
      </c>
      <c r="AZ141">
        <v>3842997</v>
      </c>
      <c r="BA141">
        <v>52482.5</v>
      </c>
      <c r="BB141">
        <v>90.202299999999994</v>
      </c>
      <c r="BC141" t="s">
        <v>130</v>
      </c>
      <c r="BD141" t="s">
        <v>112</v>
      </c>
      <c r="BE141" t="s">
        <v>157</v>
      </c>
      <c r="BF141" t="s">
        <v>133</v>
      </c>
      <c r="BG141" t="s">
        <v>134</v>
      </c>
      <c r="BH141" t="s">
        <v>112</v>
      </c>
      <c r="BI141" t="s">
        <v>112</v>
      </c>
      <c r="BJ141" t="s">
        <v>112</v>
      </c>
      <c r="BK141" t="s">
        <v>169</v>
      </c>
      <c r="BL141" t="s">
        <v>159</v>
      </c>
      <c r="BM141" t="s">
        <v>722</v>
      </c>
      <c r="BN141" t="s">
        <v>161</v>
      </c>
      <c r="BO141">
        <v>1</v>
      </c>
      <c r="BP141" t="s">
        <v>205</v>
      </c>
      <c r="BR141" t="s">
        <v>150</v>
      </c>
      <c r="BS141">
        <v>33</v>
      </c>
      <c r="BT141">
        <v>0</v>
      </c>
      <c r="BU141">
        <v>0</v>
      </c>
      <c r="BW141">
        <v>0</v>
      </c>
      <c r="BY141" t="s">
        <v>106</v>
      </c>
      <c r="BZ141" t="s">
        <v>142</v>
      </c>
      <c r="CA141" t="s">
        <v>112</v>
      </c>
      <c r="CB141" t="s">
        <v>112</v>
      </c>
      <c r="CC141" t="s">
        <v>121</v>
      </c>
      <c r="CD141">
        <v>17728.580000000002</v>
      </c>
      <c r="CE141" t="s">
        <v>144</v>
      </c>
      <c r="CF141">
        <v>4000000</v>
      </c>
      <c r="CG141">
        <v>17728.580000000002</v>
      </c>
      <c r="CH141">
        <v>0</v>
      </c>
      <c r="CI141" t="s">
        <v>112</v>
      </c>
      <c r="CJ141" t="s">
        <v>112</v>
      </c>
      <c r="CK141">
        <v>42604.2</v>
      </c>
      <c r="CL141">
        <v>3842997</v>
      </c>
      <c r="CM141">
        <v>0</v>
      </c>
      <c r="CN141">
        <v>1</v>
      </c>
      <c r="CO141">
        <v>4280477.99</v>
      </c>
      <c r="CP141">
        <v>52482.5</v>
      </c>
      <c r="CQ141" t="s">
        <v>145</v>
      </c>
      <c r="CR141">
        <v>52481.915374000011</v>
      </c>
      <c r="CS141">
        <v>2.9603000000000002</v>
      </c>
      <c r="CT141">
        <v>45</v>
      </c>
      <c r="CU141" t="s">
        <v>171</v>
      </c>
      <c r="CV141" t="s">
        <v>172</v>
      </c>
      <c r="CW141">
        <v>163</v>
      </c>
    </row>
    <row r="142" spans="1:101" x14ac:dyDescent="0.2">
      <c r="A142" t="s">
        <v>106</v>
      </c>
      <c r="B142" s="46">
        <v>45131</v>
      </c>
      <c r="C142" t="s">
        <v>889</v>
      </c>
      <c r="D142" t="s">
        <v>108</v>
      </c>
      <c r="E142" t="s">
        <v>890</v>
      </c>
      <c r="F142" t="s">
        <v>110</v>
      </c>
      <c r="G142" t="s">
        <v>111</v>
      </c>
      <c r="H142" t="s">
        <v>112</v>
      </c>
      <c r="I142" t="s">
        <v>112</v>
      </c>
      <c r="J142" t="s">
        <v>112</v>
      </c>
      <c r="K142" t="s">
        <v>150</v>
      </c>
      <c r="L142" t="s">
        <v>151</v>
      </c>
      <c r="M142" t="s">
        <v>112</v>
      </c>
      <c r="N142" t="s">
        <v>112</v>
      </c>
      <c r="O142">
        <v>1</v>
      </c>
      <c r="P142">
        <v>0</v>
      </c>
      <c r="Q142">
        <v>1</v>
      </c>
      <c r="R142">
        <v>33</v>
      </c>
      <c r="S142" t="s">
        <v>166</v>
      </c>
      <c r="T142" t="s">
        <v>152</v>
      </c>
      <c r="U142" t="s">
        <v>153</v>
      </c>
      <c r="V142" t="s">
        <v>154</v>
      </c>
      <c r="W142" t="s">
        <v>119</v>
      </c>
      <c r="X142" t="s">
        <v>112</v>
      </c>
      <c r="Y142" t="s">
        <v>166</v>
      </c>
      <c r="Z142" t="s">
        <v>152</v>
      </c>
      <c r="AA142" t="s">
        <v>153</v>
      </c>
      <c r="AB142" t="s">
        <v>154</v>
      </c>
      <c r="AC142" t="s">
        <v>119</v>
      </c>
      <c r="AD142" t="s">
        <v>112</v>
      </c>
      <c r="AE142" t="s">
        <v>121</v>
      </c>
      <c r="AF142" t="s">
        <v>122</v>
      </c>
      <c r="AG142">
        <v>4093783.98</v>
      </c>
      <c r="AH142" t="s">
        <v>166</v>
      </c>
      <c r="AI142" t="s">
        <v>152</v>
      </c>
      <c r="AJ142" t="s">
        <v>153</v>
      </c>
      <c r="AK142" t="s">
        <v>154</v>
      </c>
      <c r="AL142" t="s">
        <v>119</v>
      </c>
      <c r="AM142" t="s">
        <v>112</v>
      </c>
      <c r="AN142" t="s">
        <v>121</v>
      </c>
      <c r="AO142" t="s">
        <v>122</v>
      </c>
      <c r="AP142" t="s">
        <v>122</v>
      </c>
      <c r="AQ142" t="s">
        <v>124</v>
      </c>
      <c r="AR142" t="s">
        <v>125</v>
      </c>
      <c r="AS142">
        <v>2</v>
      </c>
      <c r="AT142" t="s">
        <v>126</v>
      </c>
      <c r="AU142" t="s">
        <v>155</v>
      </c>
      <c r="AV142" t="s">
        <v>156</v>
      </c>
      <c r="AW142">
        <v>1</v>
      </c>
      <c r="AX142" t="s">
        <v>129</v>
      </c>
      <c r="AY142">
        <v>45397.47</v>
      </c>
      <c r="AZ142">
        <v>3735817</v>
      </c>
      <c r="BA142">
        <v>53467.25</v>
      </c>
      <c r="BB142">
        <v>82.291300000000007</v>
      </c>
      <c r="BC142" t="s">
        <v>130</v>
      </c>
      <c r="BD142" t="s">
        <v>112</v>
      </c>
      <c r="BE142" t="s">
        <v>157</v>
      </c>
      <c r="BF142" t="s">
        <v>133</v>
      </c>
      <c r="BG142" t="s">
        <v>134</v>
      </c>
      <c r="BH142" t="s">
        <v>112</v>
      </c>
      <c r="BI142" t="s">
        <v>112</v>
      </c>
      <c r="BJ142" t="s">
        <v>112</v>
      </c>
      <c r="BK142" t="s">
        <v>169</v>
      </c>
      <c r="BL142" t="s">
        <v>159</v>
      </c>
      <c r="BM142" t="s">
        <v>722</v>
      </c>
      <c r="BN142" t="s">
        <v>161</v>
      </c>
      <c r="BO142">
        <v>1</v>
      </c>
      <c r="BP142" t="s">
        <v>891</v>
      </c>
      <c r="BR142" t="s">
        <v>150</v>
      </c>
      <c r="BS142">
        <v>33</v>
      </c>
      <c r="BT142">
        <v>0</v>
      </c>
      <c r="BU142">
        <v>0</v>
      </c>
      <c r="BW142">
        <v>0</v>
      </c>
      <c r="BY142" t="s">
        <v>106</v>
      </c>
      <c r="BZ142" t="s">
        <v>142</v>
      </c>
      <c r="CA142" t="s">
        <v>112</v>
      </c>
      <c r="CB142" t="s">
        <v>112</v>
      </c>
      <c r="CC142" t="s">
        <v>121</v>
      </c>
      <c r="CD142">
        <v>16470.419999999998</v>
      </c>
      <c r="CE142" t="s">
        <v>144</v>
      </c>
      <c r="CF142">
        <v>4000000</v>
      </c>
      <c r="CG142">
        <v>16330.02</v>
      </c>
      <c r="CH142">
        <v>0</v>
      </c>
      <c r="CI142" t="s">
        <v>112</v>
      </c>
      <c r="CJ142" t="s">
        <v>112</v>
      </c>
      <c r="CK142">
        <v>45397.47</v>
      </c>
      <c r="CL142">
        <v>3735817</v>
      </c>
      <c r="CM142">
        <v>0</v>
      </c>
      <c r="CN142">
        <v>1</v>
      </c>
      <c r="CO142">
        <v>4093783.98</v>
      </c>
      <c r="CP142">
        <v>53467.25</v>
      </c>
      <c r="CQ142" t="s">
        <v>145</v>
      </c>
      <c r="CR142">
        <v>53467.751484</v>
      </c>
      <c r="CS142">
        <v>3.2742</v>
      </c>
      <c r="CT142">
        <v>45</v>
      </c>
      <c r="CU142" t="s">
        <v>171</v>
      </c>
      <c r="CV142" t="s">
        <v>369</v>
      </c>
      <c r="CW142">
        <v>221</v>
      </c>
    </row>
    <row r="143" spans="1:101" x14ac:dyDescent="0.2">
      <c r="A143" t="s">
        <v>106</v>
      </c>
      <c r="B143" s="46">
        <v>45265</v>
      </c>
      <c r="C143" t="s">
        <v>403</v>
      </c>
      <c r="D143" t="s">
        <v>108</v>
      </c>
      <c r="E143" t="s">
        <v>404</v>
      </c>
      <c r="F143" t="s">
        <v>110</v>
      </c>
      <c r="G143" t="s">
        <v>111</v>
      </c>
      <c r="H143" t="s">
        <v>112</v>
      </c>
      <c r="I143" t="s">
        <v>112</v>
      </c>
      <c r="J143" t="s">
        <v>112</v>
      </c>
      <c r="K143" t="s">
        <v>175</v>
      </c>
      <c r="L143" t="s">
        <v>176</v>
      </c>
      <c r="M143" t="s">
        <v>112</v>
      </c>
      <c r="N143" t="s">
        <v>112</v>
      </c>
      <c r="O143">
        <v>1</v>
      </c>
      <c r="P143">
        <v>0</v>
      </c>
      <c r="Q143">
        <v>1</v>
      </c>
      <c r="R143">
        <v>33</v>
      </c>
      <c r="S143" t="s">
        <v>166</v>
      </c>
      <c r="T143" t="s">
        <v>152</v>
      </c>
      <c r="U143" t="s">
        <v>153</v>
      </c>
      <c r="V143" t="s">
        <v>177</v>
      </c>
      <c r="W143" t="s">
        <v>119</v>
      </c>
      <c r="X143" t="s">
        <v>112</v>
      </c>
      <c r="Y143" t="s">
        <v>166</v>
      </c>
      <c r="Z143" t="s">
        <v>152</v>
      </c>
      <c r="AA143" t="s">
        <v>153</v>
      </c>
      <c r="AB143" t="s">
        <v>177</v>
      </c>
      <c r="AC143" t="s">
        <v>119</v>
      </c>
      <c r="AD143" t="s">
        <v>112</v>
      </c>
      <c r="AE143" t="s">
        <v>121</v>
      </c>
      <c r="AF143" t="s">
        <v>122</v>
      </c>
      <c r="AG143">
        <v>3184381.74</v>
      </c>
      <c r="AH143" t="s">
        <v>166</v>
      </c>
      <c r="AI143" t="s">
        <v>152</v>
      </c>
      <c r="AJ143" t="s">
        <v>153</v>
      </c>
      <c r="AK143" t="s">
        <v>177</v>
      </c>
      <c r="AL143" t="s">
        <v>119</v>
      </c>
      <c r="AM143" t="s">
        <v>112</v>
      </c>
      <c r="AN143" t="s">
        <v>121</v>
      </c>
      <c r="AO143" t="s">
        <v>122</v>
      </c>
      <c r="AP143" t="s">
        <v>122</v>
      </c>
      <c r="AQ143" t="s">
        <v>124</v>
      </c>
      <c r="AR143" t="s">
        <v>125</v>
      </c>
      <c r="AS143">
        <v>2</v>
      </c>
      <c r="AT143" t="s">
        <v>106</v>
      </c>
      <c r="AU143" t="s">
        <v>155</v>
      </c>
      <c r="AV143" t="s">
        <v>156</v>
      </c>
      <c r="AW143">
        <v>1</v>
      </c>
      <c r="AX143" t="s">
        <v>129</v>
      </c>
      <c r="AY143">
        <v>38866.589999999997</v>
      </c>
      <c r="AZ143">
        <v>2930782</v>
      </c>
      <c r="BA143">
        <v>45926.02</v>
      </c>
      <c r="BB143">
        <v>75.406199999999998</v>
      </c>
      <c r="BC143" t="s">
        <v>130</v>
      </c>
      <c r="BD143" t="s">
        <v>112</v>
      </c>
      <c r="BE143" t="s">
        <v>157</v>
      </c>
      <c r="BF143" t="s">
        <v>133</v>
      </c>
      <c r="BG143" t="s">
        <v>134</v>
      </c>
      <c r="BH143" t="s">
        <v>112</v>
      </c>
      <c r="BI143" t="s">
        <v>178</v>
      </c>
      <c r="BJ143" t="s">
        <v>112</v>
      </c>
      <c r="BK143" t="s">
        <v>125</v>
      </c>
      <c r="BL143" t="s">
        <v>179</v>
      </c>
      <c r="BM143" t="s">
        <v>180</v>
      </c>
      <c r="BN143" t="s">
        <v>181</v>
      </c>
      <c r="BO143">
        <v>1</v>
      </c>
      <c r="BP143" t="s">
        <v>405</v>
      </c>
      <c r="BR143" t="s">
        <v>150</v>
      </c>
      <c r="BS143">
        <v>33</v>
      </c>
      <c r="BT143">
        <v>1</v>
      </c>
      <c r="BU143">
        <v>0</v>
      </c>
      <c r="BW143">
        <v>0</v>
      </c>
      <c r="BY143" t="s">
        <v>106</v>
      </c>
      <c r="BZ143" t="s">
        <v>142</v>
      </c>
      <c r="CA143" t="s">
        <v>112</v>
      </c>
      <c r="CB143" t="s">
        <v>112</v>
      </c>
      <c r="CC143" t="s">
        <v>121</v>
      </c>
      <c r="CD143">
        <v>15864.91</v>
      </c>
      <c r="CE143" t="s">
        <v>144</v>
      </c>
      <c r="CF143">
        <v>4000000</v>
      </c>
      <c r="CG143">
        <v>15627.31</v>
      </c>
      <c r="CH143">
        <v>0</v>
      </c>
      <c r="CI143" t="s">
        <v>112</v>
      </c>
      <c r="CJ143" t="s">
        <v>112</v>
      </c>
      <c r="CK143">
        <v>38866.589999999997</v>
      </c>
      <c r="CL143">
        <v>2930782</v>
      </c>
      <c r="CM143">
        <v>0</v>
      </c>
      <c r="CN143">
        <v>1</v>
      </c>
      <c r="CO143">
        <v>3184381.74</v>
      </c>
      <c r="CP143">
        <v>45926.02</v>
      </c>
      <c r="CQ143" t="s">
        <v>145</v>
      </c>
      <c r="CR143">
        <v>45925.538628000002</v>
      </c>
      <c r="CS143">
        <v>2.9388000000000001</v>
      </c>
      <c r="CT143">
        <v>941</v>
      </c>
      <c r="CU143" t="s">
        <v>183</v>
      </c>
      <c r="CV143" t="s">
        <v>147</v>
      </c>
      <c r="CW143">
        <v>564</v>
      </c>
    </row>
    <row r="144" spans="1:101" x14ac:dyDescent="0.2">
      <c r="A144" t="s">
        <v>106</v>
      </c>
      <c r="B144" s="46">
        <v>45289</v>
      </c>
      <c r="C144" t="s">
        <v>400</v>
      </c>
      <c r="D144" t="s">
        <v>108</v>
      </c>
      <c r="E144" t="s">
        <v>401</v>
      </c>
      <c r="F144" t="s">
        <v>110</v>
      </c>
      <c r="G144" t="s">
        <v>111</v>
      </c>
      <c r="H144" t="s">
        <v>112</v>
      </c>
      <c r="I144" t="s">
        <v>112</v>
      </c>
      <c r="J144" t="s">
        <v>112</v>
      </c>
      <c r="K144" t="s">
        <v>175</v>
      </c>
      <c r="L144" t="s">
        <v>176</v>
      </c>
      <c r="M144" t="s">
        <v>112</v>
      </c>
      <c r="N144" t="s">
        <v>112</v>
      </c>
      <c r="O144">
        <v>1</v>
      </c>
      <c r="P144">
        <v>0</v>
      </c>
      <c r="Q144">
        <v>1</v>
      </c>
      <c r="R144">
        <v>33</v>
      </c>
      <c r="S144" t="s">
        <v>166</v>
      </c>
      <c r="T144" t="s">
        <v>152</v>
      </c>
      <c r="U144" t="s">
        <v>153</v>
      </c>
      <c r="V144" t="s">
        <v>177</v>
      </c>
      <c r="W144" t="s">
        <v>119</v>
      </c>
      <c r="X144" t="s">
        <v>112</v>
      </c>
      <c r="Y144" t="s">
        <v>166</v>
      </c>
      <c r="Z144" t="s">
        <v>152</v>
      </c>
      <c r="AA144" t="s">
        <v>153</v>
      </c>
      <c r="AB144" t="s">
        <v>177</v>
      </c>
      <c r="AC144" t="s">
        <v>119</v>
      </c>
      <c r="AD144" t="s">
        <v>112</v>
      </c>
      <c r="AE144" t="s">
        <v>121</v>
      </c>
      <c r="AF144" t="s">
        <v>122</v>
      </c>
      <c r="AG144">
        <v>3351014.36</v>
      </c>
      <c r="AH144" t="s">
        <v>166</v>
      </c>
      <c r="AI144" t="s">
        <v>152</v>
      </c>
      <c r="AJ144" t="s">
        <v>153</v>
      </c>
      <c r="AK144" t="s">
        <v>177</v>
      </c>
      <c r="AL144" t="s">
        <v>119</v>
      </c>
      <c r="AM144" t="s">
        <v>112</v>
      </c>
      <c r="AN144" t="s">
        <v>121</v>
      </c>
      <c r="AO144" t="s">
        <v>122</v>
      </c>
      <c r="AP144" t="s">
        <v>122</v>
      </c>
      <c r="AQ144" t="s">
        <v>124</v>
      </c>
      <c r="AR144" t="s">
        <v>125</v>
      </c>
      <c r="AS144">
        <v>2</v>
      </c>
      <c r="AT144" t="s">
        <v>106</v>
      </c>
      <c r="AU144" t="s">
        <v>155</v>
      </c>
      <c r="AV144" t="s">
        <v>156</v>
      </c>
      <c r="AW144">
        <v>1</v>
      </c>
      <c r="AX144" t="s">
        <v>129</v>
      </c>
      <c r="AY144">
        <v>41076.39</v>
      </c>
      <c r="AZ144">
        <v>3097414</v>
      </c>
      <c r="BA144">
        <v>48329.24</v>
      </c>
      <c r="BB144">
        <v>75.406199999999998</v>
      </c>
      <c r="BC144" t="s">
        <v>130</v>
      </c>
      <c r="BD144" t="s">
        <v>112</v>
      </c>
      <c r="BE144" t="s">
        <v>157</v>
      </c>
      <c r="BF144" t="s">
        <v>133</v>
      </c>
      <c r="BG144" t="s">
        <v>134</v>
      </c>
      <c r="BH144" t="s">
        <v>112</v>
      </c>
      <c r="BI144" t="s">
        <v>178</v>
      </c>
      <c r="BJ144" t="s">
        <v>112</v>
      </c>
      <c r="BK144" t="s">
        <v>125</v>
      </c>
      <c r="BL144" t="s">
        <v>179</v>
      </c>
      <c r="BM144" t="s">
        <v>180</v>
      </c>
      <c r="BN144" t="s">
        <v>181</v>
      </c>
      <c r="BO144">
        <v>1</v>
      </c>
      <c r="BP144" t="s">
        <v>402</v>
      </c>
      <c r="BR144" t="s">
        <v>150</v>
      </c>
      <c r="BS144">
        <v>33</v>
      </c>
      <c r="BT144">
        <v>1</v>
      </c>
      <c r="BU144">
        <v>0</v>
      </c>
      <c r="BW144">
        <v>0</v>
      </c>
      <c r="BY144" t="s">
        <v>106</v>
      </c>
      <c r="BZ144" t="s">
        <v>142</v>
      </c>
      <c r="CA144" t="s">
        <v>112</v>
      </c>
      <c r="CB144" t="s">
        <v>112</v>
      </c>
      <c r="CC144" t="s">
        <v>121</v>
      </c>
      <c r="CD144">
        <v>14943.33</v>
      </c>
      <c r="CE144" t="s">
        <v>144</v>
      </c>
      <c r="CF144">
        <v>4000000</v>
      </c>
      <c r="CG144">
        <v>14604.33</v>
      </c>
      <c r="CH144">
        <v>0</v>
      </c>
      <c r="CI144" t="s">
        <v>112</v>
      </c>
      <c r="CJ144" t="s">
        <v>112</v>
      </c>
      <c r="CK144">
        <v>41076.39</v>
      </c>
      <c r="CL144">
        <v>3097414</v>
      </c>
      <c r="CM144">
        <v>0</v>
      </c>
      <c r="CN144">
        <v>1</v>
      </c>
      <c r="CO144">
        <v>3351014.36</v>
      </c>
      <c r="CP144">
        <v>48329.24</v>
      </c>
      <c r="CQ144" t="s">
        <v>145</v>
      </c>
      <c r="CR144">
        <v>48328.648836</v>
      </c>
      <c r="CS144">
        <v>3.3092000000000001</v>
      </c>
      <c r="CT144">
        <v>941</v>
      </c>
      <c r="CU144" t="s">
        <v>183</v>
      </c>
      <c r="CV144" t="s">
        <v>147</v>
      </c>
      <c r="CW144">
        <v>544</v>
      </c>
    </row>
    <row r="145" spans="1:101" x14ac:dyDescent="0.2">
      <c r="A145" t="s">
        <v>106</v>
      </c>
      <c r="B145" s="46">
        <v>45088</v>
      </c>
      <c r="C145" t="s">
        <v>406</v>
      </c>
      <c r="D145" t="s">
        <v>108</v>
      </c>
      <c r="E145" t="s">
        <v>407</v>
      </c>
      <c r="F145" t="s">
        <v>110</v>
      </c>
      <c r="G145" t="s">
        <v>111</v>
      </c>
      <c r="H145" t="s">
        <v>112</v>
      </c>
      <c r="I145" t="s">
        <v>112</v>
      </c>
      <c r="J145" t="s">
        <v>112</v>
      </c>
      <c r="K145" t="s">
        <v>175</v>
      </c>
      <c r="L145" t="s">
        <v>176</v>
      </c>
      <c r="M145" t="s">
        <v>112</v>
      </c>
      <c r="N145" t="s">
        <v>112</v>
      </c>
      <c r="O145">
        <v>1</v>
      </c>
      <c r="P145">
        <v>0</v>
      </c>
      <c r="Q145">
        <v>1</v>
      </c>
      <c r="R145">
        <v>33</v>
      </c>
      <c r="S145" t="s">
        <v>166</v>
      </c>
      <c r="T145" t="s">
        <v>152</v>
      </c>
      <c r="U145" t="s">
        <v>153</v>
      </c>
      <c r="V145" t="s">
        <v>177</v>
      </c>
      <c r="W145" t="s">
        <v>119</v>
      </c>
      <c r="X145" t="s">
        <v>112</v>
      </c>
      <c r="Y145" t="s">
        <v>166</v>
      </c>
      <c r="Z145" t="s">
        <v>152</v>
      </c>
      <c r="AA145" t="s">
        <v>153</v>
      </c>
      <c r="AB145" t="s">
        <v>177</v>
      </c>
      <c r="AC145" t="s">
        <v>119</v>
      </c>
      <c r="AD145" t="s">
        <v>112</v>
      </c>
      <c r="AE145" t="s">
        <v>121</v>
      </c>
      <c r="AF145" t="s">
        <v>122</v>
      </c>
      <c r="AG145">
        <v>3798973.19</v>
      </c>
      <c r="AH145" t="s">
        <v>166</v>
      </c>
      <c r="AI145" t="s">
        <v>152</v>
      </c>
      <c r="AJ145" t="s">
        <v>153</v>
      </c>
      <c r="AK145" t="s">
        <v>177</v>
      </c>
      <c r="AL145" t="s">
        <v>119</v>
      </c>
      <c r="AM145" t="s">
        <v>112</v>
      </c>
      <c r="AN145" t="s">
        <v>121</v>
      </c>
      <c r="AO145" t="s">
        <v>122</v>
      </c>
      <c r="AP145" t="s">
        <v>122</v>
      </c>
      <c r="AQ145" t="s">
        <v>124</v>
      </c>
      <c r="AR145" t="s">
        <v>125</v>
      </c>
      <c r="AS145">
        <v>2</v>
      </c>
      <c r="AT145" t="s">
        <v>106</v>
      </c>
      <c r="AU145" t="s">
        <v>155</v>
      </c>
      <c r="AV145" t="s">
        <v>156</v>
      </c>
      <c r="AW145">
        <v>1</v>
      </c>
      <c r="AX145" t="s">
        <v>129</v>
      </c>
      <c r="AY145">
        <v>47017</v>
      </c>
      <c r="AZ145">
        <v>3545373</v>
      </c>
      <c r="BA145">
        <v>54789.83</v>
      </c>
      <c r="BB145">
        <v>75.406199999999998</v>
      </c>
      <c r="BC145" t="s">
        <v>130</v>
      </c>
      <c r="BD145" t="s">
        <v>112</v>
      </c>
      <c r="BE145" t="s">
        <v>157</v>
      </c>
      <c r="BF145" t="s">
        <v>133</v>
      </c>
      <c r="BG145" t="s">
        <v>134</v>
      </c>
      <c r="BH145" t="s">
        <v>112</v>
      </c>
      <c r="BI145" t="s">
        <v>178</v>
      </c>
      <c r="BJ145" t="s">
        <v>112</v>
      </c>
      <c r="BK145" t="s">
        <v>125</v>
      </c>
      <c r="BL145" t="s">
        <v>179</v>
      </c>
      <c r="BM145" t="s">
        <v>180</v>
      </c>
      <c r="BN145" t="s">
        <v>181</v>
      </c>
      <c r="BO145">
        <v>1</v>
      </c>
      <c r="BP145" t="s">
        <v>408</v>
      </c>
      <c r="BR145" t="s">
        <v>150</v>
      </c>
      <c r="BS145">
        <v>33</v>
      </c>
      <c r="BT145">
        <v>1</v>
      </c>
      <c r="BU145">
        <v>0</v>
      </c>
      <c r="BW145">
        <v>0</v>
      </c>
      <c r="BY145" t="s">
        <v>106</v>
      </c>
      <c r="BZ145" t="s">
        <v>142</v>
      </c>
      <c r="CA145" t="s">
        <v>112</v>
      </c>
      <c r="CB145" t="s">
        <v>112</v>
      </c>
      <c r="CC145" t="s">
        <v>121</v>
      </c>
      <c r="CD145">
        <v>16525.080000000002</v>
      </c>
      <c r="CE145" t="s">
        <v>144</v>
      </c>
      <c r="CF145">
        <v>4000000</v>
      </c>
      <c r="CG145">
        <v>16525.080000000002</v>
      </c>
      <c r="CH145">
        <v>0</v>
      </c>
      <c r="CI145" t="s">
        <v>112</v>
      </c>
      <c r="CJ145" t="s">
        <v>112</v>
      </c>
      <c r="CK145">
        <v>47017</v>
      </c>
      <c r="CL145">
        <v>3545373</v>
      </c>
      <c r="CM145">
        <v>0</v>
      </c>
      <c r="CN145">
        <v>1</v>
      </c>
      <c r="CO145">
        <v>3798973.19</v>
      </c>
      <c r="CP145">
        <v>54789.83</v>
      </c>
      <c r="CQ145" t="s">
        <v>145</v>
      </c>
      <c r="CR145">
        <v>54790.555248000004</v>
      </c>
      <c r="CS145">
        <v>3.3155999999999999</v>
      </c>
      <c r="CT145">
        <v>941</v>
      </c>
      <c r="CU145" t="s">
        <v>183</v>
      </c>
      <c r="CV145" t="s">
        <v>147</v>
      </c>
      <c r="CW145">
        <v>24</v>
      </c>
    </row>
    <row r="146" spans="1:101" x14ac:dyDescent="0.2">
      <c r="A146" t="s">
        <v>106</v>
      </c>
      <c r="B146" s="46">
        <v>44979</v>
      </c>
      <c r="C146" t="s">
        <v>398</v>
      </c>
      <c r="D146" t="s">
        <v>108</v>
      </c>
      <c r="E146" t="s">
        <v>399</v>
      </c>
      <c r="F146" t="s">
        <v>110</v>
      </c>
      <c r="G146" t="s">
        <v>111</v>
      </c>
      <c r="H146" t="s">
        <v>112</v>
      </c>
      <c r="I146" t="s">
        <v>112</v>
      </c>
      <c r="J146" t="s">
        <v>112</v>
      </c>
      <c r="K146" t="s">
        <v>175</v>
      </c>
      <c r="L146" t="s">
        <v>176</v>
      </c>
      <c r="M146" t="s">
        <v>112</v>
      </c>
      <c r="N146" t="s">
        <v>112</v>
      </c>
      <c r="O146">
        <v>1</v>
      </c>
      <c r="P146">
        <v>0</v>
      </c>
      <c r="Q146">
        <v>1</v>
      </c>
      <c r="R146">
        <v>33</v>
      </c>
      <c r="S146" t="s">
        <v>166</v>
      </c>
      <c r="T146" t="s">
        <v>152</v>
      </c>
      <c r="U146" t="s">
        <v>153</v>
      </c>
      <c r="V146" t="s">
        <v>177</v>
      </c>
      <c r="W146" t="s">
        <v>119</v>
      </c>
      <c r="X146" t="s">
        <v>112</v>
      </c>
      <c r="Y146" t="s">
        <v>166</v>
      </c>
      <c r="Z146" t="s">
        <v>152</v>
      </c>
      <c r="AA146" t="s">
        <v>153</v>
      </c>
      <c r="AB146" t="s">
        <v>177</v>
      </c>
      <c r="AC146" t="s">
        <v>119</v>
      </c>
      <c r="AD146" t="s">
        <v>112</v>
      </c>
      <c r="AE146" t="s">
        <v>121</v>
      </c>
      <c r="AF146" t="s">
        <v>122</v>
      </c>
      <c r="AG146">
        <v>3941686.96</v>
      </c>
      <c r="AH146" t="s">
        <v>166</v>
      </c>
      <c r="AI146" t="s">
        <v>152</v>
      </c>
      <c r="AJ146" t="s">
        <v>153</v>
      </c>
      <c r="AK146" t="s">
        <v>177</v>
      </c>
      <c r="AL146" t="s">
        <v>119</v>
      </c>
      <c r="AM146" t="s">
        <v>112</v>
      </c>
      <c r="AN146" t="s">
        <v>121</v>
      </c>
      <c r="AO146" t="s">
        <v>122</v>
      </c>
      <c r="AP146" t="s">
        <v>122</v>
      </c>
      <c r="AQ146" t="s">
        <v>124</v>
      </c>
      <c r="AR146" t="s">
        <v>125</v>
      </c>
      <c r="AS146">
        <v>2</v>
      </c>
      <c r="AT146" t="s">
        <v>106</v>
      </c>
      <c r="AU146" t="s">
        <v>155</v>
      </c>
      <c r="AV146" t="s">
        <v>156</v>
      </c>
      <c r="AW146">
        <v>1</v>
      </c>
      <c r="AX146" t="s">
        <v>129</v>
      </c>
      <c r="AY146">
        <v>48909.599999999999</v>
      </c>
      <c r="AZ146">
        <v>3688087</v>
      </c>
      <c r="BA146">
        <v>56848.08</v>
      </c>
      <c r="BB146">
        <v>75.406199999999998</v>
      </c>
      <c r="BC146" t="s">
        <v>130</v>
      </c>
      <c r="BD146" t="s">
        <v>112</v>
      </c>
      <c r="BE146" t="s">
        <v>157</v>
      </c>
      <c r="BF146" t="s">
        <v>133</v>
      </c>
      <c r="BG146" t="s">
        <v>134</v>
      </c>
      <c r="BH146" t="s">
        <v>112</v>
      </c>
      <c r="BI146" t="s">
        <v>178</v>
      </c>
      <c r="BJ146" t="s">
        <v>112</v>
      </c>
      <c r="BK146" t="s">
        <v>125</v>
      </c>
      <c r="BL146" t="s">
        <v>179</v>
      </c>
      <c r="BM146" t="s">
        <v>180</v>
      </c>
      <c r="BN146" t="s">
        <v>181</v>
      </c>
      <c r="BO146">
        <v>1</v>
      </c>
      <c r="BP146" t="s">
        <v>333</v>
      </c>
      <c r="BR146" t="s">
        <v>150</v>
      </c>
      <c r="BS146">
        <v>33</v>
      </c>
      <c r="BT146">
        <v>1</v>
      </c>
      <c r="BU146">
        <v>0</v>
      </c>
      <c r="BW146">
        <v>0</v>
      </c>
      <c r="BY146" t="s">
        <v>106</v>
      </c>
      <c r="BZ146" t="s">
        <v>142</v>
      </c>
      <c r="CA146" t="s">
        <v>112</v>
      </c>
      <c r="CB146" t="s">
        <v>112</v>
      </c>
      <c r="CC146" t="s">
        <v>121</v>
      </c>
      <c r="CD146">
        <v>15237.99</v>
      </c>
      <c r="CE146" t="s">
        <v>144</v>
      </c>
      <c r="CF146">
        <v>4000000</v>
      </c>
      <c r="CG146">
        <v>15122.19</v>
      </c>
      <c r="CH146">
        <v>0</v>
      </c>
      <c r="CI146" t="s">
        <v>112</v>
      </c>
      <c r="CJ146" t="s">
        <v>112</v>
      </c>
      <c r="CK146">
        <v>48909.599999999999</v>
      </c>
      <c r="CL146">
        <v>3688087</v>
      </c>
      <c r="CM146">
        <v>0</v>
      </c>
      <c r="CN146">
        <v>1</v>
      </c>
      <c r="CO146">
        <v>3941686.96</v>
      </c>
      <c r="CP146">
        <v>56848.08</v>
      </c>
      <c r="CQ146" t="s">
        <v>145</v>
      </c>
      <c r="CR146">
        <v>56847.336647999997</v>
      </c>
      <c r="CS146">
        <v>3.7591999999999999</v>
      </c>
      <c r="CT146">
        <v>941</v>
      </c>
      <c r="CU146" t="s">
        <v>183</v>
      </c>
      <c r="CV146" t="s">
        <v>147</v>
      </c>
      <c r="CW146">
        <v>201</v>
      </c>
    </row>
    <row r="147" spans="1:101" x14ac:dyDescent="0.2">
      <c r="A147" t="s">
        <v>106</v>
      </c>
      <c r="B147" s="46">
        <v>44942</v>
      </c>
      <c r="C147" t="s">
        <v>148</v>
      </c>
      <c r="D147" t="s">
        <v>108</v>
      </c>
      <c r="E147" t="s">
        <v>149</v>
      </c>
      <c r="F147" t="s">
        <v>110</v>
      </c>
      <c r="G147" t="s">
        <v>111</v>
      </c>
      <c r="H147" t="s">
        <v>112</v>
      </c>
      <c r="I147" t="s">
        <v>112</v>
      </c>
      <c r="J147" t="s">
        <v>112</v>
      </c>
      <c r="K147" t="s">
        <v>150</v>
      </c>
      <c r="L147" t="s">
        <v>151</v>
      </c>
      <c r="M147" t="s">
        <v>112</v>
      </c>
      <c r="N147" t="s">
        <v>112</v>
      </c>
      <c r="O147">
        <v>1</v>
      </c>
      <c r="Q147">
        <v>1</v>
      </c>
      <c r="R147">
        <v>33</v>
      </c>
      <c r="S147" t="s">
        <v>112</v>
      </c>
      <c r="T147" t="s">
        <v>152</v>
      </c>
      <c r="U147" t="s">
        <v>153</v>
      </c>
      <c r="V147" t="s">
        <v>154</v>
      </c>
      <c r="W147" t="s">
        <v>119</v>
      </c>
      <c r="X147" t="s">
        <v>112</v>
      </c>
      <c r="Y147" t="s">
        <v>112</v>
      </c>
      <c r="Z147" t="s">
        <v>152</v>
      </c>
      <c r="AA147" t="s">
        <v>153</v>
      </c>
      <c r="AB147" t="s">
        <v>154</v>
      </c>
      <c r="AC147" t="s">
        <v>119</v>
      </c>
      <c r="AD147" t="s">
        <v>112</v>
      </c>
      <c r="AE147" t="s">
        <v>121</v>
      </c>
      <c r="AF147" t="s">
        <v>122</v>
      </c>
      <c r="AG147">
        <v>4968139.97</v>
      </c>
      <c r="AH147" t="s">
        <v>112</v>
      </c>
      <c r="AI147" t="s">
        <v>152</v>
      </c>
      <c r="AJ147" t="s">
        <v>153</v>
      </c>
      <c r="AK147" t="s">
        <v>154</v>
      </c>
      <c r="AL147" t="s">
        <v>119</v>
      </c>
      <c r="AM147" t="s">
        <v>112</v>
      </c>
      <c r="AN147" t="s">
        <v>121</v>
      </c>
      <c r="AO147" t="s">
        <v>122</v>
      </c>
      <c r="AP147" t="s">
        <v>122</v>
      </c>
      <c r="AQ147" t="s">
        <v>124</v>
      </c>
      <c r="AR147" t="s">
        <v>125</v>
      </c>
      <c r="AS147">
        <v>2</v>
      </c>
      <c r="AT147" t="s">
        <v>126</v>
      </c>
      <c r="AU147" t="s">
        <v>155</v>
      </c>
      <c r="AV147" t="s">
        <v>156</v>
      </c>
      <c r="AX147" t="s">
        <v>129</v>
      </c>
      <c r="AY147">
        <v>45142.2</v>
      </c>
      <c r="BB147">
        <v>101.1178</v>
      </c>
      <c r="BC147" t="s">
        <v>112</v>
      </c>
      <c r="BD147" t="s">
        <v>112</v>
      </c>
      <c r="BE147" t="s">
        <v>157</v>
      </c>
      <c r="BF147" t="s">
        <v>133</v>
      </c>
      <c r="BG147" t="s">
        <v>134</v>
      </c>
      <c r="BH147" t="s">
        <v>112</v>
      </c>
      <c r="BI147" t="s">
        <v>112</v>
      </c>
      <c r="BJ147" t="s">
        <v>112</v>
      </c>
      <c r="BK147" t="s">
        <v>158</v>
      </c>
      <c r="BL147" t="s">
        <v>159</v>
      </c>
      <c r="BM147" t="s">
        <v>160</v>
      </c>
      <c r="BN147" t="s">
        <v>161</v>
      </c>
      <c r="BP147" t="s">
        <v>162</v>
      </c>
      <c r="BR147" t="s">
        <v>150</v>
      </c>
      <c r="BS147">
        <v>33</v>
      </c>
      <c r="BT147">
        <v>0</v>
      </c>
      <c r="BU147">
        <v>0</v>
      </c>
      <c r="BW147">
        <v>0</v>
      </c>
      <c r="BY147" t="s">
        <v>106</v>
      </c>
      <c r="BZ147" t="s">
        <v>142</v>
      </c>
      <c r="CA147" t="s">
        <v>112</v>
      </c>
      <c r="CB147" t="s">
        <v>112</v>
      </c>
      <c r="CC147" t="s">
        <v>121</v>
      </c>
      <c r="CD147">
        <v>16204.08</v>
      </c>
      <c r="CE147" t="s">
        <v>144</v>
      </c>
      <c r="CF147">
        <v>4000000</v>
      </c>
      <c r="CG147">
        <v>16096.08</v>
      </c>
      <c r="CH147">
        <v>0</v>
      </c>
      <c r="CI147" t="s">
        <v>112</v>
      </c>
      <c r="CJ147" t="s">
        <v>112</v>
      </c>
      <c r="CK147">
        <v>45142.2</v>
      </c>
      <c r="CM147">
        <v>0</v>
      </c>
      <c r="CN147">
        <v>1</v>
      </c>
      <c r="CO147">
        <v>4968139.97</v>
      </c>
      <c r="CP147">
        <v>54174.11</v>
      </c>
      <c r="CQ147" t="s">
        <v>145</v>
      </c>
      <c r="CR147">
        <v>54243.789600000004</v>
      </c>
      <c r="CS147">
        <v>3.37</v>
      </c>
      <c r="CT147">
        <v>45</v>
      </c>
      <c r="CV147" t="s">
        <v>163</v>
      </c>
      <c r="CW147">
        <v>94</v>
      </c>
    </row>
    <row r="148" spans="1:101" x14ac:dyDescent="0.2">
      <c r="A148" t="s">
        <v>106</v>
      </c>
      <c r="B148" s="46">
        <v>44701</v>
      </c>
      <c r="C148" t="s">
        <v>277</v>
      </c>
      <c r="D148" t="s">
        <v>108</v>
      </c>
      <c r="E148" t="s">
        <v>278</v>
      </c>
      <c r="F148" t="s">
        <v>110</v>
      </c>
      <c r="G148" t="s">
        <v>111</v>
      </c>
      <c r="H148" t="s">
        <v>112</v>
      </c>
      <c r="I148" t="s">
        <v>112</v>
      </c>
      <c r="J148" t="s">
        <v>112</v>
      </c>
      <c r="K148" t="s">
        <v>150</v>
      </c>
      <c r="L148" t="s">
        <v>151</v>
      </c>
      <c r="M148" t="s">
        <v>112</v>
      </c>
      <c r="N148" t="s">
        <v>112</v>
      </c>
      <c r="O148">
        <v>1</v>
      </c>
      <c r="Q148">
        <v>1</v>
      </c>
      <c r="R148">
        <v>33</v>
      </c>
      <c r="S148" t="s">
        <v>112</v>
      </c>
      <c r="T148" t="s">
        <v>152</v>
      </c>
      <c r="U148" t="s">
        <v>153</v>
      </c>
      <c r="V148" t="s">
        <v>154</v>
      </c>
      <c r="W148" t="s">
        <v>119</v>
      </c>
      <c r="X148" t="s">
        <v>112</v>
      </c>
      <c r="Y148" t="s">
        <v>112</v>
      </c>
      <c r="Z148" t="s">
        <v>152</v>
      </c>
      <c r="AA148" t="s">
        <v>153</v>
      </c>
      <c r="AB148" t="s">
        <v>154</v>
      </c>
      <c r="AC148" t="s">
        <v>119</v>
      </c>
      <c r="AD148" t="s">
        <v>112</v>
      </c>
      <c r="AE148" t="s">
        <v>121</v>
      </c>
      <c r="AF148" t="s">
        <v>122</v>
      </c>
      <c r="AG148">
        <v>4504332.8499999996</v>
      </c>
      <c r="AH148" t="s">
        <v>112</v>
      </c>
      <c r="AI148" t="s">
        <v>152</v>
      </c>
      <c r="AJ148" t="s">
        <v>153</v>
      </c>
      <c r="AK148" t="s">
        <v>154</v>
      </c>
      <c r="AL148" t="s">
        <v>119</v>
      </c>
      <c r="AM148" t="s">
        <v>112</v>
      </c>
      <c r="AN148" t="s">
        <v>121</v>
      </c>
      <c r="AO148" t="s">
        <v>122</v>
      </c>
      <c r="AP148" t="s">
        <v>122</v>
      </c>
      <c r="AQ148" t="s">
        <v>124</v>
      </c>
      <c r="AR148" t="s">
        <v>125</v>
      </c>
      <c r="AS148">
        <v>2</v>
      </c>
      <c r="AT148" t="s">
        <v>126</v>
      </c>
      <c r="AU148" t="s">
        <v>155</v>
      </c>
      <c r="AV148" t="s">
        <v>156</v>
      </c>
      <c r="AX148" t="s">
        <v>129</v>
      </c>
      <c r="AY148">
        <v>40025.4</v>
      </c>
      <c r="BB148">
        <v>101.1178</v>
      </c>
      <c r="BC148" t="s">
        <v>112</v>
      </c>
      <c r="BD148" t="s">
        <v>112</v>
      </c>
      <c r="BE148" t="s">
        <v>157</v>
      </c>
      <c r="BF148" t="s">
        <v>133</v>
      </c>
      <c r="BG148" t="s">
        <v>134</v>
      </c>
      <c r="BH148" t="s">
        <v>112</v>
      </c>
      <c r="BI148" t="s">
        <v>112</v>
      </c>
      <c r="BJ148" t="s">
        <v>112</v>
      </c>
      <c r="BK148" t="s">
        <v>158</v>
      </c>
      <c r="BL148" t="s">
        <v>159</v>
      </c>
      <c r="BM148" t="s">
        <v>212</v>
      </c>
      <c r="BN148" t="s">
        <v>161</v>
      </c>
      <c r="BP148" t="s">
        <v>205</v>
      </c>
      <c r="BR148" t="s">
        <v>150</v>
      </c>
      <c r="BS148">
        <v>33</v>
      </c>
      <c r="BT148">
        <v>0</v>
      </c>
      <c r="BU148">
        <v>0</v>
      </c>
      <c r="BW148">
        <v>0</v>
      </c>
      <c r="BY148" t="s">
        <v>106</v>
      </c>
      <c r="BZ148" t="s">
        <v>142</v>
      </c>
      <c r="CA148" t="s">
        <v>112</v>
      </c>
      <c r="CB148" t="s">
        <v>112</v>
      </c>
      <c r="CC148" t="s">
        <v>121</v>
      </c>
      <c r="CD148">
        <v>17323.86</v>
      </c>
      <c r="CE148" t="s">
        <v>144</v>
      </c>
      <c r="CF148">
        <v>4000000</v>
      </c>
      <c r="CG148">
        <v>17323.86</v>
      </c>
      <c r="CH148">
        <v>0</v>
      </c>
      <c r="CI148" t="s">
        <v>112</v>
      </c>
      <c r="CJ148" t="s">
        <v>112</v>
      </c>
      <c r="CK148">
        <v>40025.4</v>
      </c>
      <c r="CM148">
        <v>0</v>
      </c>
      <c r="CN148">
        <v>1</v>
      </c>
      <c r="CO148">
        <v>4504332.8499999996</v>
      </c>
      <c r="CP148">
        <v>49116.62</v>
      </c>
      <c r="CQ148" t="s">
        <v>145</v>
      </c>
      <c r="CR148">
        <v>49199.7624</v>
      </c>
      <c r="CS148">
        <v>2.84</v>
      </c>
      <c r="CT148">
        <v>45</v>
      </c>
      <c r="CV148" t="s">
        <v>233</v>
      </c>
      <c r="CW148">
        <v>302</v>
      </c>
    </row>
    <row r="149" spans="1:101" x14ac:dyDescent="0.2">
      <c r="A149" t="s">
        <v>106</v>
      </c>
      <c r="B149" s="46">
        <v>44755</v>
      </c>
      <c r="C149" t="s">
        <v>250</v>
      </c>
      <c r="D149" t="s">
        <v>108</v>
      </c>
      <c r="E149" t="s">
        <v>251</v>
      </c>
      <c r="F149" t="s">
        <v>110</v>
      </c>
      <c r="G149" t="s">
        <v>111</v>
      </c>
      <c r="H149" t="s">
        <v>112</v>
      </c>
      <c r="I149" t="s">
        <v>112</v>
      </c>
      <c r="J149" t="s">
        <v>112</v>
      </c>
      <c r="K149" t="s">
        <v>150</v>
      </c>
      <c r="L149" t="s">
        <v>151</v>
      </c>
      <c r="M149" t="s">
        <v>112</v>
      </c>
      <c r="N149" t="s">
        <v>112</v>
      </c>
      <c r="O149">
        <v>1</v>
      </c>
      <c r="Q149">
        <v>1</v>
      </c>
      <c r="R149">
        <v>33</v>
      </c>
      <c r="S149" t="s">
        <v>112</v>
      </c>
      <c r="T149" t="s">
        <v>152</v>
      </c>
      <c r="U149" t="s">
        <v>153</v>
      </c>
      <c r="V149" t="s">
        <v>154</v>
      </c>
      <c r="W149" t="s">
        <v>119</v>
      </c>
      <c r="X149" t="s">
        <v>112</v>
      </c>
      <c r="Y149" t="s">
        <v>112</v>
      </c>
      <c r="Z149" t="s">
        <v>152</v>
      </c>
      <c r="AA149" t="s">
        <v>153</v>
      </c>
      <c r="AB149" t="s">
        <v>154</v>
      </c>
      <c r="AC149" t="s">
        <v>119</v>
      </c>
      <c r="AD149" t="s">
        <v>112</v>
      </c>
      <c r="AE149" t="s">
        <v>121</v>
      </c>
      <c r="AF149" t="s">
        <v>122</v>
      </c>
      <c r="AG149">
        <v>4537171.8600000003</v>
      </c>
      <c r="AH149" t="s">
        <v>112</v>
      </c>
      <c r="AI149" t="s">
        <v>152</v>
      </c>
      <c r="AJ149" t="s">
        <v>153</v>
      </c>
      <c r="AK149" t="s">
        <v>154</v>
      </c>
      <c r="AL149" t="s">
        <v>119</v>
      </c>
      <c r="AM149" t="s">
        <v>112</v>
      </c>
      <c r="AN149" t="s">
        <v>121</v>
      </c>
      <c r="AO149" t="s">
        <v>122</v>
      </c>
      <c r="AP149" t="s">
        <v>122</v>
      </c>
      <c r="AQ149" t="s">
        <v>124</v>
      </c>
      <c r="AR149" t="s">
        <v>125</v>
      </c>
      <c r="AS149">
        <v>2</v>
      </c>
      <c r="AT149" t="s">
        <v>126</v>
      </c>
      <c r="AU149" t="s">
        <v>155</v>
      </c>
      <c r="AV149" t="s">
        <v>156</v>
      </c>
      <c r="AX149" t="s">
        <v>129</v>
      </c>
      <c r="AY149">
        <v>40880.160000000003</v>
      </c>
      <c r="BB149">
        <v>101.1178</v>
      </c>
      <c r="BC149" t="s">
        <v>112</v>
      </c>
      <c r="BD149" t="s">
        <v>112</v>
      </c>
      <c r="BE149" t="s">
        <v>157</v>
      </c>
      <c r="BF149" t="s">
        <v>133</v>
      </c>
      <c r="BG149" t="s">
        <v>167</v>
      </c>
      <c r="BH149" t="s">
        <v>112</v>
      </c>
      <c r="BI149" t="s">
        <v>112</v>
      </c>
      <c r="BJ149" t="s">
        <v>112</v>
      </c>
      <c r="BK149" t="s">
        <v>158</v>
      </c>
      <c r="BL149" t="s">
        <v>159</v>
      </c>
      <c r="BM149" t="s">
        <v>160</v>
      </c>
      <c r="BN149" t="s">
        <v>161</v>
      </c>
      <c r="BP149" t="s">
        <v>213</v>
      </c>
      <c r="BR149" t="s">
        <v>150</v>
      </c>
      <c r="BS149">
        <v>33</v>
      </c>
      <c r="BT149">
        <v>0</v>
      </c>
      <c r="BU149">
        <v>0</v>
      </c>
      <c r="BW149">
        <v>0</v>
      </c>
      <c r="BY149" t="s">
        <v>106</v>
      </c>
      <c r="BZ149" t="s">
        <v>142</v>
      </c>
      <c r="CA149" t="s">
        <v>112</v>
      </c>
      <c r="CB149" t="s">
        <v>112</v>
      </c>
      <c r="CC149" t="s">
        <v>121</v>
      </c>
      <c r="CD149">
        <v>17353.91</v>
      </c>
      <c r="CE149" t="s">
        <v>144</v>
      </c>
      <c r="CF149">
        <v>4000000</v>
      </c>
      <c r="CG149">
        <v>17353.91</v>
      </c>
      <c r="CH149">
        <v>0</v>
      </c>
      <c r="CI149" t="s">
        <v>112</v>
      </c>
      <c r="CJ149" t="s">
        <v>112</v>
      </c>
      <c r="CK149">
        <v>40880.160000000003</v>
      </c>
      <c r="CM149">
        <v>0</v>
      </c>
      <c r="CN149">
        <v>1</v>
      </c>
      <c r="CO149">
        <v>4537171.8600000003</v>
      </c>
      <c r="CP149">
        <v>49474.71</v>
      </c>
      <c r="CQ149" t="s">
        <v>145</v>
      </c>
      <c r="CR149">
        <v>49458.643499999998</v>
      </c>
      <c r="CS149">
        <v>2.85</v>
      </c>
      <c r="CT149">
        <v>45</v>
      </c>
      <c r="CV149" t="s">
        <v>163</v>
      </c>
      <c r="CW149">
        <v>249</v>
      </c>
    </row>
    <row r="150" spans="1:101" x14ac:dyDescent="0.2">
      <c r="A150" s="8" t="s">
        <v>106</v>
      </c>
      <c r="B150" s="46">
        <v>44735</v>
      </c>
      <c r="C150" s="8" t="s">
        <v>2489</v>
      </c>
      <c r="D150" s="8" t="s">
        <v>108</v>
      </c>
      <c r="E150" s="8" t="s">
        <v>2490</v>
      </c>
      <c r="F150" t="s">
        <v>110</v>
      </c>
      <c r="G150" s="8" t="s">
        <v>111</v>
      </c>
      <c r="H150" s="8" t="s">
        <v>112</v>
      </c>
      <c r="I150" s="8" t="s">
        <v>112</v>
      </c>
      <c r="J150" s="8" t="s">
        <v>112</v>
      </c>
      <c r="K150" s="8" t="s">
        <v>2237</v>
      </c>
      <c r="L150" s="8" t="s">
        <v>2238</v>
      </c>
      <c r="M150" s="8" t="s">
        <v>112</v>
      </c>
      <c r="N150" s="8" t="s">
        <v>112</v>
      </c>
      <c r="O150">
        <v>2</v>
      </c>
      <c r="P150">
        <v>0</v>
      </c>
      <c r="Q150">
        <v>2</v>
      </c>
      <c r="R150">
        <v>613</v>
      </c>
      <c r="S150" s="8" t="s">
        <v>2239</v>
      </c>
      <c r="T150" s="8" t="s">
        <v>2240</v>
      </c>
      <c r="U150" s="8" t="s">
        <v>2241</v>
      </c>
      <c r="V150" s="8" t="s">
        <v>2242</v>
      </c>
      <c r="W150" s="8" t="s">
        <v>2243</v>
      </c>
      <c r="X150" s="8" t="s">
        <v>2244</v>
      </c>
      <c r="Y150" s="8" t="s">
        <v>2245</v>
      </c>
      <c r="Z150" s="8" t="s">
        <v>2246</v>
      </c>
      <c r="AA150" s="8" t="s">
        <v>2247</v>
      </c>
      <c r="AB150" s="8" t="s">
        <v>2248</v>
      </c>
      <c r="AC150" s="8" t="s">
        <v>2249</v>
      </c>
      <c r="AD150" s="8" t="s">
        <v>2250</v>
      </c>
      <c r="AE150" s="8" t="s">
        <v>2142</v>
      </c>
      <c r="AF150" s="8" t="s">
        <v>2143</v>
      </c>
      <c r="AG150">
        <v>7685640.8200000003</v>
      </c>
      <c r="AH150" s="8" t="s">
        <v>2245</v>
      </c>
      <c r="AI150" s="8" t="s">
        <v>2246</v>
      </c>
      <c r="AJ150" s="8" t="s">
        <v>2247</v>
      </c>
      <c r="AK150" s="8" t="s">
        <v>2248</v>
      </c>
      <c r="AL150" s="8" t="s">
        <v>2249</v>
      </c>
      <c r="AM150" s="8" t="s">
        <v>2250</v>
      </c>
      <c r="AN150" s="8" t="s">
        <v>2142</v>
      </c>
      <c r="AO150" s="8" t="s">
        <v>2143</v>
      </c>
      <c r="AP150" s="8" t="s">
        <v>2143</v>
      </c>
      <c r="AQ150" s="8" t="s">
        <v>124</v>
      </c>
      <c r="AR150" s="8" t="s">
        <v>125</v>
      </c>
      <c r="AS150">
        <v>1</v>
      </c>
      <c r="AT150" s="8" t="s">
        <v>106</v>
      </c>
      <c r="AU150" s="8" t="s">
        <v>2251</v>
      </c>
      <c r="AV150" s="8" t="s">
        <v>2252</v>
      </c>
      <c r="AW150">
        <v>0</v>
      </c>
      <c r="AX150" s="8" t="s">
        <v>2253</v>
      </c>
      <c r="AY150">
        <v>750107.9</v>
      </c>
      <c r="AZ150">
        <v>7301055</v>
      </c>
      <c r="BA150">
        <v>112283.23</v>
      </c>
      <c r="BB150">
        <v>97.333399999999898</v>
      </c>
      <c r="BC150" s="8" t="s">
        <v>130</v>
      </c>
      <c r="BD150" s="8" t="s">
        <v>112</v>
      </c>
      <c r="BE150" s="8" t="s">
        <v>2254</v>
      </c>
      <c r="BF150" s="8" t="s">
        <v>133</v>
      </c>
      <c r="BG150" s="8" t="s">
        <v>167</v>
      </c>
      <c r="BH150" s="8" t="s">
        <v>2255</v>
      </c>
      <c r="BI150" s="8" t="s">
        <v>112</v>
      </c>
      <c r="BJ150" s="8" t="s">
        <v>2256</v>
      </c>
      <c r="BK150" s="8" t="s">
        <v>169</v>
      </c>
      <c r="BL150" s="8" t="s">
        <v>159</v>
      </c>
      <c r="BM150" s="8" t="s">
        <v>160</v>
      </c>
      <c r="BN150" s="8" t="s">
        <v>161</v>
      </c>
      <c r="BO150">
        <v>1</v>
      </c>
      <c r="BP150" s="8" t="s">
        <v>2257</v>
      </c>
      <c r="BR150" s="8" t="s">
        <v>2258</v>
      </c>
      <c r="BS150">
        <v>513</v>
      </c>
      <c r="BT150">
        <v>1</v>
      </c>
      <c r="BU150">
        <v>513</v>
      </c>
      <c r="BV150" t="s">
        <v>2147</v>
      </c>
      <c r="BW150">
        <v>0</v>
      </c>
      <c r="BY150" s="8" t="s">
        <v>106</v>
      </c>
      <c r="BZ150" s="8" t="s">
        <v>2148</v>
      </c>
      <c r="CA150" s="8" t="s">
        <v>112</v>
      </c>
      <c r="CB150" s="8" t="s">
        <v>112</v>
      </c>
      <c r="CC150" s="8" t="s">
        <v>2142</v>
      </c>
      <c r="CD150">
        <v>15394.85</v>
      </c>
      <c r="CE150" t="s">
        <v>144</v>
      </c>
      <c r="CF150">
        <v>4000000</v>
      </c>
      <c r="CG150">
        <v>15394.85</v>
      </c>
      <c r="CH150">
        <v>0</v>
      </c>
      <c r="CI150" s="8" t="s">
        <v>112</v>
      </c>
      <c r="CJ150" s="8" t="s">
        <v>112</v>
      </c>
      <c r="CK150">
        <v>742507.9</v>
      </c>
      <c r="CL150">
        <v>7227082</v>
      </c>
      <c r="CM150">
        <v>0</v>
      </c>
      <c r="CN150">
        <v>1</v>
      </c>
      <c r="CO150">
        <v>7604316.2599999905</v>
      </c>
      <c r="CP150">
        <v>111095.12</v>
      </c>
      <c r="CQ150" s="8" t="s">
        <v>145</v>
      </c>
      <c r="CR150">
        <v>7.2164000000000001</v>
      </c>
      <c r="CV150" t="s">
        <v>2259</v>
      </c>
      <c r="CW150">
        <v>146</v>
      </c>
    </row>
    <row r="151" spans="1:101" x14ac:dyDescent="0.2">
      <c r="A151" s="8" t="s">
        <v>106</v>
      </c>
      <c r="B151" s="46">
        <v>44702</v>
      </c>
      <c r="C151" s="8" t="s">
        <v>2491</v>
      </c>
      <c r="D151" s="8" t="s">
        <v>108</v>
      </c>
      <c r="E151" s="8" t="s">
        <v>2492</v>
      </c>
      <c r="F151" t="s">
        <v>110</v>
      </c>
      <c r="G151" s="8" t="s">
        <v>111</v>
      </c>
      <c r="H151" s="8" t="s">
        <v>112</v>
      </c>
      <c r="I151" s="8" t="s">
        <v>112</v>
      </c>
      <c r="J151" s="8" t="s">
        <v>112</v>
      </c>
      <c r="K151" s="8" t="s">
        <v>2161</v>
      </c>
      <c r="L151" s="8" t="s">
        <v>2162</v>
      </c>
      <c r="M151" s="8" t="s">
        <v>112</v>
      </c>
      <c r="N151" s="8" t="s">
        <v>112</v>
      </c>
      <c r="O151">
        <v>1</v>
      </c>
      <c r="P151">
        <v>0</v>
      </c>
      <c r="Q151">
        <v>1</v>
      </c>
      <c r="R151">
        <v>71</v>
      </c>
      <c r="S151" s="8" t="s">
        <v>2136</v>
      </c>
      <c r="T151" s="8" t="s">
        <v>2137</v>
      </c>
      <c r="U151" s="8" t="s">
        <v>2141</v>
      </c>
      <c r="V151" s="8" t="s">
        <v>2139</v>
      </c>
      <c r="W151" s="8" t="s">
        <v>119</v>
      </c>
      <c r="X151" s="8" t="s">
        <v>2140</v>
      </c>
      <c r="Y151" s="8" t="s">
        <v>2136</v>
      </c>
      <c r="Z151" s="8" t="s">
        <v>2137</v>
      </c>
      <c r="AA151" s="8" t="s">
        <v>2141</v>
      </c>
      <c r="AB151" s="8" t="s">
        <v>2139</v>
      </c>
      <c r="AC151" s="8" t="s">
        <v>119</v>
      </c>
      <c r="AD151" s="8" t="s">
        <v>2140</v>
      </c>
      <c r="AE151" s="8" t="s">
        <v>2163</v>
      </c>
      <c r="AF151" s="8" t="s">
        <v>2164</v>
      </c>
      <c r="AG151">
        <v>12765207.74</v>
      </c>
      <c r="AH151" s="8" t="s">
        <v>2136</v>
      </c>
      <c r="AI151" s="8" t="s">
        <v>2137</v>
      </c>
      <c r="AJ151" s="8" t="s">
        <v>2141</v>
      </c>
      <c r="AK151" s="8" t="s">
        <v>2139</v>
      </c>
      <c r="AL151" s="8" t="s">
        <v>119</v>
      </c>
      <c r="AM151" s="8" t="s">
        <v>2140</v>
      </c>
      <c r="AN151" s="8" t="s">
        <v>2163</v>
      </c>
      <c r="AO151" s="8" t="s">
        <v>2164</v>
      </c>
      <c r="AP151" s="8" t="s">
        <v>2164</v>
      </c>
      <c r="AQ151" s="8" t="s">
        <v>124</v>
      </c>
      <c r="AR151" s="8" t="s">
        <v>125</v>
      </c>
      <c r="AS151">
        <v>2</v>
      </c>
      <c r="AT151" s="8" t="s">
        <v>126</v>
      </c>
      <c r="AU151" s="8" t="s">
        <v>127</v>
      </c>
      <c r="AV151" s="8" t="s">
        <v>2493</v>
      </c>
      <c r="AW151">
        <v>1</v>
      </c>
      <c r="AX151" s="8" t="s">
        <v>129</v>
      </c>
      <c r="AY151">
        <v>169774.59</v>
      </c>
      <c r="AZ151">
        <v>12329472</v>
      </c>
      <c r="BA151">
        <v>186493.06</v>
      </c>
      <c r="BB151">
        <v>72.622600000000006</v>
      </c>
      <c r="BC151" s="8" t="s">
        <v>130</v>
      </c>
      <c r="BD151" s="8" t="s">
        <v>112</v>
      </c>
      <c r="BE151" s="8" t="s">
        <v>2166</v>
      </c>
      <c r="BF151" s="8" t="s">
        <v>133</v>
      </c>
      <c r="BG151" s="8" t="s">
        <v>134</v>
      </c>
      <c r="BH151" s="8" t="s">
        <v>112</v>
      </c>
      <c r="BI151" s="8" t="s">
        <v>112</v>
      </c>
      <c r="BJ151" s="8" t="s">
        <v>112</v>
      </c>
      <c r="BK151" s="8" t="s">
        <v>2494</v>
      </c>
      <c r="BL151" s="8" t="s">
        <v>2495</v>
      </c>
      <c r="BM151" s="8" t="s">
        <v>2496</v>
      </c>
      <c r="BN151" s="8" t="s">
        <v>2497</v>
      </c>
      <c r="BO151">
        <v>1</v>
      </c>
      <c r="BP151" s="8" t="s">
        <v>2146</v>
      </c>
      <c r="BR151" s="8" t="s">
        <v>2161</v>
      </c>
      <c r="BS151">
        <v>71</v>
      </c>
      <c r="BT151">
        <v>0</v>
      </c>
      <c r="BU151">
        <v>321</v>
      </c>
      <c r="BV151" t="s">
        <v>2147</v>
      </c>
      <c r="BW151">
        <v>0</v>
      </c>
      <c r="BY151" s="8" t="s">
        <v>106</v>
      </c>
      <c r="BZ151" s="8" t="s">
        <v>2148</v>
      </c>
      <c r="CA151" s="8" t="s">
        <v>112</v>
      </c>
      <c r="CB151" s="8" t="s">
        <v>112</v>
      </c>
      <c r="CC151" s="8" t="s">
        <v>2163</v>
      </c>
      <c r="CD151">
        <v>15104.6</v>
      </c>
      <c r="CE151" t="s">
        <v>144</v>
      </c>
      <c r="CF151">
        <v>4000000</v>
      </c>
      <c r="CG151">
        <v>15030</v>
      </c>
      <c r="CH151">
        <v>0</v>
      </c>
      <c r="CI151" s="8" t="s">
        <v>112</v>
      </c>
      <c r="CJ151" s="8" t="s">
        <v>112</v>
      </c>
      <c r="CK151">
        <v>169774.59</v>
      </c>
      <c r="CL151">
        <v>12329472</v>
      </c>
      <c r="CM151">
        <v>0</v>
      </c>
      <c r="CN151">
        <v>1</v>
      </c>
      <c r="CO151">
        <v>12765207.74</v>
      </c>
      <c r="CP151">
        <v>186493.06</v>
      </c>
      <c r="CQ151" s="8" t="s">
        <v>145</v>
      </c>
      <c r="CR151">
        <v>12.408099999999999</v>
      </c>
      <c r="CS151">
        <v>1053</v>
      </c>
      <c r="CT151" t="s">
        <v>2149</v>
      </c>
      <c r="CV151" t="s">
        <v>2150</v>
      </c>
      <c r="CW151">
        <v>0</v>
      </c>
    </row>
    <row r="152" spans="1:101" x14ac:dyDescent="0.2">
      <c r="A152" t="s">
        <v>106</v>
      </c>
      <c r="B152" s="46">
        <v>44993</v>
      </c>
      <c r="C152" t="s">
        <v>1164</v>
      </c>
      <c r="D152" t="s">
        <v>108</v>
      </c>
      <c r="E152" t="s">
        <v>1165</v>
      </c>
      <c r="F152" t="s">
        <v>110</v>
      </c>
      <c r="G152" t="s">
        <v>111</v>
      </c>
      <c r="H152" t="s">
        <v>112</v>
      </c>
      <c r="I152" t="s">
        <v>112</v>
      </c>
      <c r="J152" t="s">
        <v>112</v>
      </c>
      <c r="K152" t="s">
        <v>150</v>
      </c>
      <c r="L152" t="s">
        <v>151</v>
      </c>
      <c r="M152" t="s">
        <v>112</v>
      </c>
      <c r="N152" t="s">
        <v>112</v>
      </c>
      <c r="O152">
        <v>1</v>
      </c>
      <c r="Q152">
        <v>1</v>
      </c>
      <c r="R152">
        <v>33</v>
      </c>
      <c r="S152" t="s">
        <v>112</v>
      </c>
      <c r="T152" t="s">
        <v>152</v>
      </c>
      <c r="U152" t="s">
        <v>153</v>
      </c>
      <c r="V152" t="s">
        <v>154</v>
      </c>
      <c r="W152" t="s">
        <v>119</v>
      </c>
      <c r="X152" t="s">
        <v>112</v>
      </c>
      <c r="Y152" t="s">
        <v>112</v>
      </c>
      <c r="Z152" t="s">
        <v>152</v>
      </c>
      <c r="AA152" t="s">
        <v>153</v>
      </c>
      <c r="AB152" t="s">
        <v>154</v>
      </c>
      <c r="AC152" t="s">
        <v>119</v>
      </c>
      <c r="AD152" t="s">
        <v>112</v>
      </c>
      <c r="AE152" t="s">
        <v>121</v>
      </c>
      <c r="AF152" t="s">
        <v>122</v>
      </c>
      <c r="AG152">
        <v>4331393.62</v>
      </c>
      <c r="AH152" t="s">
        <v>112</v>
      </c>
      <c r="AI152" t="s">
        <v>152</v>
      </c>
      <c r="AJ152" t="s">
        <v>153</v>
      </c>
      <c r="AK152" t="s">
        <v>154</v>
      </c>
      <c r="AL152" t="s">
        <v>119</v>
      </c>
      <c r="AM152" t="s">
        <v>112</v>
      </c>
      <c r="AN152" t="s">
        <v>121</v>
      </c>
      <c r="AO152" t="s">
        <v>122</v>
      </c>
      <c r="AP152" t="s">
        <v>122</v>
      </c>
      <c r="AQ152" t="s">
        <v>124</v>
      </c>
      <c r="AR152" t="s">
        <v>125</v>
      </c>
      <c r="AS152">
        <v>2</v>
      </c>
      <c r="AT152" t="s">
        <v>126</v>
      </c>
      <c r="AU152" t="s">
        <v>155</v>
      </c>
      <c r="AV152" t="s">
        <v>156</v>
      </c>
      <c r="AX152" t="s">
        <v>129</v>
      </c>
      <c r="AY152">
        <v>40701</v>
      </c>
      <c r="BB152">
        <v>96.918700000000001</v>
      </c>
      <c r="BC152" t="s">
        <v>112</v>
      </c>
      <c r="BD152" t="s">
        <v>112</v>
      </c>
      <c r="BE152" t="s">
        <v>157</v>
      </c>
      <c r="BF152" t="s">
        <v>133</v>
      </c>
      <c r="BG152" t="s">
        <v>134</v>
      </c>
      <c r="BH152" t="s">
        <v>112</v>
      </c>
      <c r="BI152" t="s">
        <v>112</v>
      </c>
      <c r="BJ152" t="s">
        <v>112</v>
      </c>
      <c r="BK152" t="s">
        <v>158</v>
      </c>
      <c r="BL152" t="s">
        <v>159</v>
      </c>
      <c r="BM152" t="s">
        <v>212</v>
      </c>
      <c r="BN152" t="s">
        <v>161</v>
      </c>
      <c r="BP152" t="s">
        <v>232</v>
      </c>
      <c r="BR152" t="s">
        <v>150</v>
      </c>
      <c r="BS152">
        <v>33</v>
      </c>
      <c r="BT152">
        <v>0</v>
      </c>
      <c r="BU152">
        <v>0</v>
      </c>
      <c r="BW152">
        <v>0</v>
      </c>
      <c r="BY152" t="s">
        <v>106</v>
      </c>
      <c r="BZ152" t="s">
        <v>142</v>
      </c>
      <c r="CA152" t="s">
        <v>112</v>
      </c>
      <c r="CB152" t="s">
        <v>112</v>
      </c>
      <c r="CC152" t="s">
        <v>121</v>
      </c>
      <c r="CD152">
        <v>16383.09</v>
      </c>
      <c r="CE152" t="s">
        <v>144</v>
      </c>
      <c r="CF152">
        <v>4000000</v>
      </c>
      <c r="CG152">
        <v>16240.89</v>
      </c>
      <c r="CH152">
        <v>0</v>
      </c>
      <c r="CI152" t="s">
        <v>112</v>
      </c>
      <c r="CJ152" t="s">
        <v>112</v>
      </c>
      <c r="CK152">
        <v>40701</v>
      </c>
      <c r="CM152">
        <v>0</v>
      </c>
      <c r="CN152">
        <v>1</v>
      </c>
      <c r="CO152">
        <v>4331393.62</v>
      </c>
      <c r="CP152">
        <v>48769.65</v>
      </c>
      <c r="CQ152" t="s">
        <v>145</v>
      </c>
      <c r="CR152">
        <v>48722.67</v>
      </c>
      <c r="CS152">
        <v>3</v>
      </c>
      <c r="CT152">
        <v>45</v>
      </c>
      <c r="CV152" t="s">
        <v>233</v>
      </c>
      <c r="CW152">
        <v>551</v>
      </c>
    </row>
    <row r="153" spans="1:101" x14ac:dyDescent="0.2">
      <c r="A153" t="s">
        <v>106</v>
      </c>
      <c r="B153" s="46">
        <v>44939</v>
      </c>
      <c r="C153" t="s">
        <v>1254</v>
      </c>
      <c r="D153" t="s">
        <v>108</v>
      </c>
      <c r="E153" t="s">
        <v>1255</v>
      </c>
      <c r="F153" t="s">
        <v>110</v>
      </c>
      <c r="G153" t="s">
        <v>111</v>
      </c>
      <c r="H153" t="s">
        <v>112</v>
      </c>
      <c r="I153" t="s">
        <v>112</v>
      </c>
      <c r="J153" t="s">
        <v>112</v>
      </c>
      <c r="K153" t="s">
        <v>150</v>
      </c>
      <c r="L153" t="s">
        <v>151</v>
      </c>
      <c r="M153" t="s">
        <v>112</v>
      </c>
      <c r="N153" t="s">
        <v>112</v>
      </c>
      <c r="O153">
        <v>1</v>
      </c>
      <c r="Q153">
        <v>1</v>
      </c>
      <c r="R153">
        <v>33</v>
      </c>
      <c r="S153" t="s">
        <v>112</v>
      </c>
      <c r="T153" t="s">
        <v>152</v>
      </c>
      <c r="U153" t="s">
        <v>153</v>
      </c>
      <c r="V153" t="s">
        <v>154</v>
      </c>
      <c r="W153" t="s">
        <v>119</v>
      </c>
      <c r="X153" t="s">
        <v>112</v>
      </c>
      <c r="Y153" t="s">
        <v>112</v>
      </c>
      <c r="Z153" t="s">
        <v>152</v>
      </c>
      <c r="AA153" t="s">
        <v>153</v>
      </c>
      <c r="AB153" t="s">
        <v>154</v>
      </c>
      <c r="AC153" t="s">
        <v>119</v>
      </c>
      <c r="AD153" t="s">
        <v>112</v>
      </c>
      <c r="AE153" t="s">
        <v>121</v>
      </c>
      <c r="AF153" t="s">
        <v>122</v>
      </c>
      <c r="AG153">
        <v>4547286.8099999996</v>
      </c>
      <c r="AH153" t="s">
        <v>112</v>
      </c>
      <c r="AI153" t="s">
        <v>152</v>
      </c>
      <c r="AJ153" t="s">
        <v>153</v>
      </c>
      <c r="AK153" t="s">
        <v>154</v>
      </c>
      <c r="AL153" t="s">
        <v>119</v>
      </c>
      <c r="AM153" t="s">
        <v>112</v>
      </c>
      <c r="AN153" t="s">
        <v>121</v>
      </c>
      <c r="AO153" t="s">
        <v>122</v>
      </c>
      <c r="AP153" t="s">
        <v>122</v>
      </c>
      <c r="AQ153" t="s">
        <v>124</v>
      </c>
      <c r="AR153" t="s">
        <v>125</v>
      </c>
      <c r="AS153">
        <v>2</v>
      </c>
      <c r="AT153" t="s">
        <v>126</v>
      </c>
      <c r="AU153" t="s">
        <v>155</v>
      </c>
      <c r="AV153" t="s">
        <v>156</v>
      </c>
      <c r="AX153" t="s">
        <v>129</v>
      </c>
      <c r="AY153">
        <v>42928.57</v>
      </c>
      <c r="BB153">
        <v>96.918700000000001</v>
      </c>
      <c r="BC153" t="s">
        <v>112</v>
      </c>
      <c r="BD153" t="s">
        <v>112</v>
      </c>
      <c r="BE153" t="s">
        <v>157</v>
      </c>
      <c r="BF153" t="s">
        <v>133</v>
      </c>
      <c r="BG153" t="s">
        <v>167</v>
      </c>
      <c r="BH153" t="s">
        <v>112</v>
      </c>
      <c r="BI153" t="s">
        <v>112</v>
      </c>
      <c r="BJ153" t="s">
        <v>112</v>
      </c>
      <c r="BK153" t="s">
        <v>158</v>
      </c>
      <c r="BL153" t="s">
        <v>159</v>
      </c>
      <c r="BM153" t="s">
        <v>160</v>
      </c>
      <c r="BN153" t="s">
        <v>161</v>
      </c>
      <c r="BP153" t="s">
        <v>281</v>
      </c>
      <c r="BR153" t="s">
        <v>150</v>
      </c>
      <c r="BS153">
        <v>33</v>
      </c>
      <c r="BT153">
        <v>0</v>
      </c>
      <c r="BU153">
        <v>0</v>
      </c>
      <c r="BW153">
        <v>0</v>
      </c>
      <c r="BY153" t="s">
        <v>106</v>
      </c>
      <c r="BZ153" t="s">
        <v>142</v>
      </c>
      <c r="CA153" t="s">
        <v>112</v>
      </c>
      <c r="CB153" t="s">
        <v>112</v>
      </c>
      <c r="CC153" t="s">
        <v>121</v>
      </c>
      <c r="CD153">
        <v>16213.36</v>
      </c>
      <c r="CE153" t="s">
        <v>144</v>
      </c>
      <c r="CF153">
        <v>4000000</v>
      </c>
      <c r="CG153">
        <v>16018.96</v>
      </c>
      <c r="CH153">
        <v>0</v>
      </c>
      <c r="CI153" t="s">
        <v>112</v>
      </c>
      <c r="CJ153" t="s">
        <v>112</v>
      </c>
      <c r="CK153">
        <v>42928.57</v>
      </c>
      <c r="CM153">
        <v>0</v>
      </c>
      <c r="CN153">
        <v>1</v>
      </c>
      <c r="CO153">
        <v>4547286.8099999996</v>
      </c>
      <c r="CP153">
        <v>51200.52</v>
      </c>
      <c r="CQ153" t="s">
        <v>145</v>
      </c>
      <c r="CR153">
        <v>51260.671999999999</v>
      </c>
      <c r="CS153">
        <v>3.2</v>
      </c>
      <c r="CT153">
        <v>45</v>
      </c>
      <c r="CV153" t="s">
        <v>206</v>
      </c>
      <c r="CW153">
        <v>310</v>
      </c>
    </row>
    <row r="154" spans="1:101" x14ac:dyDescent="0.2">
      <c r="A154" t="s">
        <v>106</v>
      </c>
      <c r="B154" s="46">
        <v>45189</v>
      </c>
      <c r="C154" t="s">
        <v>1250</v>
      </c>
      <c r="D154" t="s">
        <v>108</v>
      </c>
      <c r="E154" t="s">
        <v>1251</v>
      </c>
      <c r="F154" t="s">
        <v>110</v>
      </c>
      <c r="G154" t="s">
        <v>111</v>
      </c>
      <c r="H154" t="s">
        <v>112</v>
      </c>
      <c r="I154" t="s">
        <v>112</v>
      </c>
      <c r="J154" t="s">
        <v>112</v>
      </c>
      <c r="K154" t="s">
        <v>150</v>
      </c>
      <c r="L154" t="s">
        <v>151</v>
      </c>
      <c r="M154" t="s">
        <v>112</v>
      </c>
      <c r="N154" t="s">
        <v>112</v>
      </c>
      <c r="O154">
        <v>1</v>
      </c>
      <c r="Q154">
        <v>1</v>
      </c>
      <c r="R154">
        <v>33</v>
      </c>
      <c r="S154" t="s">
        <v>112</v>
      </c>
      <c r="T154" t="s">
        <v>152</v>
      </c>
      <c r="U154" t="s">
        <v>153</v>
      </c>
      <c r="V154" t="s">
        <v>154</v>
      </c>
      <c r="W154" t="s">
        <v>119</v>
      </c>
      <c r="X154" t="s">
        <v>112</v>
      </c>
      <c r="Y154" t="s">
        <v>112</v>
      </c>
      <c r="Z154" t="s">
        <v>152</v>
      </c>
      <c r="AA154" t="s">
        <v>153</v>
      </c>
      <c r="AB154" t="s">
        <v>154</v>
      </c>
      <c r="AC154" t="s">
        <v>119</v>
      </c>
      <c r="AD154" t="s">
        <v>112</v>
      </c>
      <c r="AE154" t="s">
        <v>121</v>
      </c>
      <c r="AF154" t="s">
        <v>122</v>
      </c>
      <c r="AG154">
        <v>4076517.79</v>
      </c>
      <c r="AH154" t="s">
        <v>112</v>
      </c>
      <c r="AI154" t="s">
        <v>152</v>
      </c>
      <c r="AJ154" t="s">
        <v>153</v>
      </c>
      <c r="AK154" t="s">
        <v>154</v>
      </c>
      <c r="AL154" t="s">
        <v>119</v>
      </c>
      <c r="AM154" t="s">
        <v>112</v>
      </c>
      <c r="AN154" t="s">
        <v>121</v>
      </c>
      <c r="AO154" t="s">
        <v>122</v>
      </c>
      <c r="AP154" t="s">
        <v>122</v>
      </c>
      <c r="AQ154" t="s">
        <v>124</v>
      </c>
      <c r="AR154" t="s">
        <v>125</v>
      </c>
      <c r="AS154">
        <v>2</v>
      </c>
      <c r="AT154" t="s">
        <v>126</v>
      </c>
      <c r="AU154" t="s">
        <v>155</v>
      </c>
      <c r="AV154" t="s">
        <v>156</v>
      </c>
      <c r="AX154" t="s">
        <v>129</v>
      </c>
      <c r="AY154">
        <v>38071.21</v>
      </c>
      <c r="BB154">
        <v>96.918700000000001</v>
      </c>
      <c r="BC154" t="s">
        <v>112</v>
      </c>
      <c r="BD154" t="s">
        <v>112</v>
      </c>
      <c r="BE154" t="s">
        <v>157</v>
      </c>
      <c r="BF154" t="s">
        <v>133</v>
      </c>
      <c r="BG154" t="s">
        <v>167</v>
      </c>
      <c r="BH154" t="s">
        <v>112</v>
      </c>
      <c r="BI154" t="s">
        <v>112</v>
      </c>
      <c r="BJ154" t="s">
        <v>112</v>
      </c>
      <c r="BK154" t="s">
        <v>158</v>
      </c>
      <c r="BL154" t="s">
        <v>159</v>
      </c>
      <c r="BM154" t="s">
        <v>160</v>
      </c>
      <c r="BN154" t="s">
        <v>161</v>
      </c>
      <c r="BP154" t="s">
        <v>281</v>
      </c>
      <c r="BR154" t="s">
        <v>150</v>
      </c>
      <c r="BS154">
        <v>33</v>
      </c>
      <c r="BT154">
        <v>0</v>
      </c>
      <c r="BU154">
        <v>0</v>
      </c>
      <c r="BW154">
        <v>0</v>
      </c>
      <c r="BY154" t="s">
        <v>106</v>
      </c>
      <c r="BZ154" t="s">
        <v>142</v>
      </c>
      <c r="CA154" t="s">
        <v>112</v>
      </c>
      <c r="CB154" t="s">
        <v>112</v>
      </c>
      <c r="CC154" t="s">
        <v>121</v>
      </c>
      <c r="CD154">
        <v>16027.04</v>
      </c>
      <c r="CE154" t="s">
        <v>144</v>
      </c>
      <c r="CF154">
        <v>4000000</v>
      </c>
      <c r="CG154">
        <v>15811.04</v>
      </c>
      <c r="CH154">
        <v>0</v>
      </c>
      <c r="CI154" t="s">
        <v>112</v>
      </c>
      <c r="CJ154" t="s">
        <v>112</v>
      </c>
      <c r="CK154">
        <v>38071.21</v>
      </c>
      <c r="CM154">
        <v>0</v>
      </c>
      <c r="CN154">
        <v>1</v>
      </c>
      <c r="CO154">
        <v>4076517.79</v>
      </c>
      <c r="CP154">
        <v>45899.86</v>
      </c>
      <c r="CQ154" t="s">
        <v>145</v>
      </c>
      <c r="CR154">
        <v>45852.016000000003</v>
      </c>
      <c r="CS154">
        <v>2.9</v>
      </c>
      <c r="CT154">
        <v>45</v>
      </c>
      <c r="CV154" t="s">
        <v>233</v>
      </c>
      <c r="CW154">
        <v>590</v>
      </c>
    </row>
    <row r="155" spans="1:101" x14ac:dyDescent="0.2">
      <c r="A155" t="s">
        <v>106</v>
      </c>
      <c r="B155" s="46">
        <v>45218</v>
      </c>
      <c r="C155" t="s">
        <v>1138</v>
      </c>
      <c r="D155" t="s">
        <v>108</v>
      </c>
      <c r="E155" t="s">
        <v>1139</v>
      </c>
      <c r="F155" t="s">
        <v>110</v>
      </c>
      <c r="G155" t="s">
        <v>111</v>
      </c>
      <c r="H155" t="s">
        <v>112</v>
      </c>
      <c r="I155" t="s">
        <v>112</v>
      </c>
      <c r="J155" t="s">
        <v>112</v>
      </c>
      <c r="K155" t="s">
        <v>150</v>
      </c>
      <c r="L155" t="s">
        <v>151</v>
      </c>
      <c r="M155" t="s">
        <v>112</v>
      </c>
      <c r="N155" t="s">
        <v>112</v>
      </c>
      <c r="O155">
        <v>1</v>
      </c>
      <c r="Q155">
        <v>1</v>
      </c>
      <c r="R155">
        <v>33</v>
      </c>
      <c r="S155" t="s">
        <v>112</v>
      </c>
      <c r="T155" t="s">
        <v>152</v>
      </c>
      <c r="U155" t="s">
        <v>153</v>
      </c>
      <c r="V155" t="s">
        <v>154</v>
      </c>
      <c r="W155" t="s">
        <v>119</v>
      </c>
      <c r="X155" t="s">
        <v>112</v>
      </c>
      <c r="Y155" t="s">
        <v>112</v>
      </c>
      <c r="Z155" t="s">
        <v>152</v>
      </c>
      <c r="AA155" t="s">
        <v>153</v>
      </c>
      <c r="AB155" t="s">
        <v>154</v>
      </c>
      <c r="AC155" t="s">
        <v>119</v>
      </c>
      <c r="AD155" t="s">
        <v>112</v>
      </c>
      <c r="AE155" t="s">
        <v>121</v>
      </c>
      <c r="AF155" t="s">
        <v>122</v>
      </c>
      <c r="AG155">
        <v>4367028.6900000004</v>
      </c>
      <c r="AH155" t="s">
        <v>112</v>
      </c>
      <c r="AI155" t="s">
        <v>152</v>
      </c>
      <c r="AJ155" t="s">
        <v>153</v>
      </c>
      <c r="AK155" t="s">
        <v>154</v>
      </c>
      <c r="AL155" t="s">
        <v>119</v>
      </c>
      <c r="AM155" t="s">
        <v>112</v>
      </c>
      <c r="AN155" t="s">
        <v>121</v>
      </c>
      <c r="AO155" t="s">
        <v>122</v>
      </c>
      <c r="AP155" t="s">
        <v>122</v>
      </c>
      <c r="AQ155" t="s">
        <v>124</v>
      </c>
      <c r="AR155" t="s">
        <v>125</v>
      </c>
      <c r="AS155">
        <v>2</v>
      </c>
      <c r="AT155" t="s">
        <v>126</v>
      </c>
      <c r="AU155" t="s">
        <v>155</v>
      </c>
      <c r="AV155" t="s">
        <v>156</v>
      </c>
      <c r="AX155" t="s">
        <v>129</v>
      </c>
      <c r="AY155">
        <v>41068.68</v>
      </c>
      <c r="BB155">
        <v>96.918700000000001</v>
      </c>
      <c r="BC155" t="s">
        <v>112</v>
      </c>
      <c r="BD155" t="s">
        <v>112</v>
      </c>
      <c r="BE155" t="s">
        <v>157</v>
      </c>
      <c r="BF155" t="s">
        <v>133</v>
      </c>
      <c r="BG155" t="s">
        <v>167</v>
      </c>
      <c r="BH155" t="s">
        <v>112</v>
      </c>
      <c r="BI155" t="s">
        <v>112</v>
      </c>
      <c r="BJ155" t="s">
        <v>112</v>
      </c>
      <c r="BK155" t="s">
        <v>158</v>
      </c>
      <c r="BL155" t="s">
        <v>159</v>
      </c>
      <c r="BM155" t="s">
        <v>160</v>
      </c>
      <c r="BN155" t="s">
        <v>161</v>
      </c>
      <c r="BP155" t="s">
        <v>616</v>
      </c>
      <c r="BR155" t="s">
        <v>150</v>
      </c>
      <c r="BS155">
        <v>33</v>
      </c>
      <c r="BT155">
        <v>0</v>
      </c>
      <c r="BU155">
        <v>0</v>
      </c>
      <c r="BW155">
        <v>0</v>
      </c>
      <c r="BY155" t="s">
        <v>106</v>
      </c>
      <c r="BZ155" t="s">
        <v>142</v>
      </c>
      <c r="CA155" t="s">
        <v>112</v>
      </c>
      <c r="CB155" t="s">
        <v>112</v>
      </c>
      <c r="CC155" t="s">
        <v>121</v>
      </c>
      <c r="CD155">
        <v>16168.82</v>
      </c>
      <c r="CE155" t="s">
        <v>144</v>
      </c>
      <c r="CF155">
        <v>4000000</v>
      </c>
      <c r="CG155">
        <v>15974.42</v>
      </c>
      <c r="CH155">
        <v>0</v>
      </c>
      <c r="CI155" t="s">
        <v>112</v>
      </c>
      <c r="CJ155" t="s">
        <v>112</v>
      </c>
      <c r="CK155">
        <v>41068.68</v>
      </c>
      <c r="CM155">
        <v>0</v>
      </c>
      <c r="CN155">
        <v>1</v>
      </c>
      <c r="CO155">
        <v>4367028.6900000004</v>
      </c>
      <c r="CP155">
        <v>49170.89</v>
      </c>
      <c r="CQ155" t="s">
        <v>145</v>
      </c>
      <c r="CR155">
        <v>49201.213600000003</v>
      </c>
      <c r="CS155">
        <v>3.08</v>
      </c>
      <c r="CT155">
        <v>45</v>
      </c>
      <c r="CV155" t="s">
        <v>1140</v>
      </c>
      <c r="CW155">
        <v>589</v>
      </c>
    </row>
    <row r="156" spans="1:101" x14ac:dyDescent="0.2">
      <c r="A156" t="s">
        <v>106</v>
      </c>
      <c r="B156" s="46">
        <v>45187</v>
      </c>
      <c r="C156" t="s">
        <v>1293</v>
      </c>
      <c r="D156" t="s">
        <v>108</v>
      </c>
      <c r="E156" t="s">
        <v>1294</v>
      </c>
      <c r="F156" t="s">
        <v>110</v>
      </c>
      <c r="G156" t="s">
        <v>111</v>
      </c>
      <c r="H156" t="s">
        <v>112</v>
      </c>
      <c r="I156" t="s">
        <v>112</v>
      </c>
      <c r="J156" t="s">
        <v>112</v>
      </c>
      <c r="K156" t="s">
        <v>150</v>
      </c>
      <c r="L156" t="s">
        <v>151</v>
      </c>
      <c r="M156" t="s">
        <v>112</v>
      </c>
      <c r="N156" t="s">
        <v>112</v>
      </c>
      <c r="O156">
        <v>1</v>
      </c>
      <c r="Q156">
        <v>1</v>
      </c>
      <c r="R156">
        <v>33</v>
      </c>
      <c r="S156" t="s">
        <v>112</v>
      </c>
      <c r="T156" t="s">
        <v>152</v>
      </c>
      <c r="U156" t="s">
        <v>153</v>
      </c>
      <c r="V156" t="s">
        <v>154</v>
      </c>
      <c r="W156" t="s">
        <v>119</v>
      </c>
      <c r="X156" t="s">
        <v>112</v>
      </c>
      <c r="Y156" t="s">
        <v>112</v>
      </c>
      <c r="Z156" t="s">
        <v>152</v>
      </c>
      <c r="AA156" t="s">
        <v>153</v>
      </c>
      <c r="AB156" t="s">
        <v>154</v>
      </c>
      <c r="AC156" t="s">
        <v>119</v>
      </c>
      <c r="AD156" t="s">
        <v>112</v>
      </c>
      <c r="AE156" t="s">
        <v>121</v>
      </c>
      <c r="AF156" t="s">
        <v>122</v>
      </c>
      <c r="AG156">
        <v>3952301.94</v>
      </c>
      <c r="AH156" t="s">
        <v>112</v>
      </c>
      <c r="AI156" t="s">
        <v>152</v>
      </c>
      <c r="AJ156" t="s">
        <v>153</v>
      </c>
      <c r="AK156" t="s">
        <v>154</v>
      </c>
      <c r="AL156" t="s">
        <v>119</v>
      </c>
      <c r="AM156" t="s">
        <v>112</v>
      </c>
      <c r="AN156" t="s">
        <v>121</v>
      </c>
      <c r="AO156" t="s">
        <v>122</v>
      </c>
      <c r="AP156" t="s">
        <v>122</v>
      </c>
      <c r="AQ156" t="s">
        <v>124</v>
      </c>
      <c r="AR156" t="s">
        <v>125</v>
      </c>
      <c r="AS156">
        <v>2</v>
      </c>
      <c r="AT156" t="s">
        <v>126</v>
      </c>
      <c r="AU156" t="s">
        <v>155</v>
      </c>
      <c r="AV156" t="s">
        <v>156</v>
      </c>
      <c r="AX156" t="s">
        <v>129</v>
      </c>
      <c r="AY156">
        <v>36789.56</v>
      </c>
      <c r="BB156">
        <v>96.918700000000001</v>
      </c>
      <c r="BC156" t="s">
        <v>112</v>
      </c>
      <c r="BD156" t="s">
        <v>112</v>
      </c>
      <c r="BE156" t="s">
        <v>157</v>
      </c>
      <c r="BF156" t="s">
        <v>133</v>
      </c>
      <c r="BG156" t="s">
        <v>167</v>
      </c>
      <c r="BH156" t="s">
        <v>112</v>
      </c>
      <c r="BI156" t="s">
        <v>112</v>
      </c>
      <c r="BJ156" t="s">
        <v>112</v>
      </c>
      <c r="BK156" t="s">
        <v>158</v>
      </c>
      <c r="BL156" t="s">
        <v>159</v>
      </c>
      <c r="BM156" t="s">
        <v>160</v>
      </c>
      <c r="BN156" t="s">
        <v>161</v>
      </c>
      <c r="BP156" t="s">
        <v>213</v>
      </c>
      <c r="BR156" t="s">
        <v>150</v>
      </c>
      <c r="BS156">
        <v>33</v>
      </c>
      <c r="BT156">
        <v>0</v>
      </c>
      <c r="BU156">
        <v>0</v>
      </c>
      <c r="BW156">
        <v>0</v>
      </c>
      <c r="BY156" t="s">
        <v>106</v>
      </c>
      <c r="BZ156" t="s">
        <v>142</v>
      </c>
      <c r="CA156" t="s">
        <v>112</v>
      </c>
      <c r="CB156" t="s">
        <v>112</v>
      </c>
      <c r="CC156" t="s">
        <v>121</v>
      </c>
      <c r="CD156">
        <v>15807.2</v>
      </c>
      <c r="CE156" t="s">
        <v>144</v>
      </c>
      <c r="CF156">
        <v>4000000</v>
      </c>
      <c r="CG156">
        <v>15603.8</v>
      </c>
      <c r="CH156">
        <v>0</v>
      </c>
      <c r="CI156" t="s">
        <v>112</v>
      </c>
      <c r="CJ156" t="s">
        <v>112</v>
      </c>
      <c r="CK156">
        <v>36789.56</v>
      </c>
      <c r="CM156">
        <v>0</v>
      </c>
      <c r="CN156">
        <v>1</v>
      </c>
      <c r="CO156">
        <v>3952301.94</v>
      </c>
      <c r="CP156">
        <v>44501.24</v>
      </c>
      <c r="CQ156" t="s">
        <v>145</v>
      </c>
      <c r="CR156">
        <v>44470.83</v>
      </c>
      <c r="CS156">
        <v>2.85</v>
      </c>
      <c r="CT156">
        <v>45</v>
      </c>
      <c r="CV156" t="s">
        <v>206</v>
      </c>
      <c r="CW156">
        <v>80</v>
      </c>
    </row>
    <row r="157" spans="1:101" x14ac:dyDescent="0.2">
      <c r="A157" t="s">
        <v>106</v>
      </c>
      <c r="B157" s="46">
        <v>45025</v>
      </c>
      <c r="C157" t="s">
        <v>1284</v>
      </c>
      <c r="D157" t="s">
        <v>108</v>
      </c>
      <c r="E157" t="s">
        <v>1285</v>
      </c>
      <c r="F157" t="s">
        <v>110</v>
      </c>
      <c r="G157" t="s">
        <v>111</v>
      </c>
      <c r="H157" t="s">
        <v>112</v>
      </c>
      <c r="I157" t="s">
        <v>112</v>
      </c>
      <c r="J157" t="s">
        <v>112</v>
      </c>
      <c r="K157" t="s">
        <v>150</v>
      </c>
      <c r="L157" t="s">
        <v>151</v>
      </c>
      <c r="M157" t="s">
        <v>112</v>
      </c>
      <c r="N157" t="s">
        <v>112</v>
      </c>
      <c r="O157">
        <v>1</v>
      </c>
      <c r="Q157">
        <v>1</v>
      </c>
      <c r="R157">
        <v>33</v>
      </c>
      <c r="S157" t="s">
        <v>112</v>
      </c>
      <c r="T157" t="s">
        <v>152</v>
      </c>
      <c r="U157" t="s">
        <v>153</v>
      </c>
      <c r="V157" t="s">
        <v>154</v>
      </c>
      <c r="W157" t="s">
        <v>119</v>
      </c>
      <c r="X157" t="s">
        <v>112</v>
      </c>
      <c r="Y157" t="s">
        <v>112</v>
      </c>
      <c r="Z157" t="s">
        <v>152</v>
      </c>
      <c r="AA157" t="s">
        <v>153</v>
      </c>
      <c r="AB157" t="s">
        <v>154</v>
      </c>
      <c r="AC157" t="s">
        <v>119</v>
      </c>
      <c r="AD157" t="s">
        <v>112</v>
      </c>
      <c r="AE157" t="s">
        <v>121</v>
      </c>
      <c r="AF157" t="s">
        <v>122</v>
      </c>
      <c r="AG157">
        <v>3999283.28</v>
      </c>
      <c r="AH157" t="s">
        <v>112</v>
      </c>
      <c r="AI157" t="s">
        <v>152</v>
      </c>
      <c r="AJ157" t="s">
        <v>153</v>
      </c>
      <c r="AK157" t="s">
        <v>154</v>
      </c>
      <c r="AL157" t="s">
        <v>119</v>
      </c>
      <c r="AM157" t="s">
        <v>112</v>
      </c>
      <c r="AN157" t="s">
        <v>121</v>
      </c>
      <c r="AO157" t="s">
        <v>122</v>
      </c>
      <c r="AP157" t="s">
        <v>122</v>
      </c>
      <c r="AQ157" t="s">
        <v>124</v>
      </c>
      <c r="AR157" t="s">
        <v>125</v>
      </c>
      <c r="AS157">
        <v>2</v>
      </c>
      <c r="AT157" t="s">
        <v>126</v>
      </c>
      <c r="AU157" t="s">
        <v>155</v>
      </c>
      <c r="AV157" t="s">
        <v>156</v>
      </c>
      <c r="AX157" t="s">
        <v>129</v>
      </c>
      <c r="AY157">
        <v>37274.31</v>
      </c>
      <c r="BB157">
        <v>96.918700000000001</v>
      </c>
      <c r="BC157" t="s">
        <v>112</v>
      </c>
      <c r="BD157" t="s">
        <v>112</v>
      </c>
      <c r="BE157" t="s">
        <v>157</v>
      </c>
      <c r="BF157" t="s">
        <v>133</v>
      </c>
      <c r="BG157" t="s">
        <v>167</v>
      </c>
      <c r="BH157" t="s">
        <v>112</v>
      </c>
      <c r="BI157" t="s">
        <v>112</v>
      </c>
      <c r="BJ157" t="s">
        <v>112</v>
      </c>
      <c r="BK157" t="s">
        <v>158</v>
      </c>
      <c r="BL157" t="s">
        <v>159</v>
      </c>
      <c r="BM157" t="s">
        <v>160</v>
      </c>
      <c r="BN157" t="s">
        <v>161</v>
      </c>
      <c r="BP157" t="s">
        <v>213</v>
      </c>
      <c r="BR157" t="s">
        <v>150</v>
      </c>
      <c r="BS157">
        <v>33</v>
      </c>
      <c r="BT157">
        <v>0</v>
      </c>
      <c r="BU157">
        <v>0</v>
      </c>
      <c r="BW157">
        <v>0</v>
      </c>
      <c r="BY157" t="s">
        <v>106</v>
      </c>
      <c r="BZ157" t="s">
        <v>142</v>
      </c>
      <c r="CA157" t="s">
        <v>112</v>
      </c>
      <c r="CB157" t="s">
        <v>112</v>
      </c>
      <c r="CC157" t="s">
        <v>121</v>
      </c>
      <c r="CD157">
        <v>15453.24</v>
      </c>
      <c r="CE157" t="s">
        <v>144</v>
      </c>
      <c r="CF157">
        <v>4000000</v>
      </c>
      <c r="CG157">
        <v>15249.84</v>
      </c>
      <c r="CH157">
        <v>0</v>
      </c>
      <c r="CI157" t="s">
        <v>112</v>
      </c>
      <c r="CJ157" t="s">
        <v>112</v>
      </c>
      <c r="CK157">
        <v>37274.31</v>
      </c>
      <c r="CM157">
        <v>0</v>
      </c>
      <c r="CN157">
        <v>1</v>
      </c>
      <c r="CO157">
        <v>3999283.28</v>
      </c>
      <c r="CP157">
        <v>45030.23</v>
      </c>
      <c r="CQ157" t="s">
        <v>145</v>
      </c>
      <c r="CR157">
        <v>44987.028000000006</v>
      </c>
      <c r="CS157">
        <v>2.95</v>
      </c>
      <c r="CT157">
        <v>45</v>
      </c>
      <c r="CV157" t="s">
        <v>1140</v>
      </c>
      <c r="CW157">
        <v>96</v>
      </c>
    </row>
    <row r="158" spans="1:101" x14ac:dyDescent="0.2">
      <c r="A158" t="s">
        <v>106</v>
      </c>
      <c r="B158" s="46">
        <v>45150</v>
      </c>
      <c r="C158" t="s">
        <v>1126</v>
      </c>
      <c r="D158" t="s">
        <v>108</v>
      </c>
      <c r="E158" t="s">
        <v>1127</v>
      </c>
      <c r="F158" t="s">
        <v>110</v>
      </c>
      <c r="G158" t="s">
        <v>111</v>
      </c>
      <c r="H158" t="s">
        <v>112</v>
      </c>
      <c r="I158" t="s">
        <v>112</v>
      </c>
      <c r="J158" t="s">
        <v>112</v>
      </c>
      <c r="K158" t="s">
        <v>150</v>
      </c>
      <c r="L158" t="s">
        <v>151</v>
      </c>
      <c r="M158" t="s">
        <v>112</v>
      </c>
      <c r="N158" t="s">
        <v>112</v>
      </c>
      <c r="O158">
        <v>1</v>
      </c>
      <c r="Q158">
        <v>1</v>
      </c>
      <c r="R158">
        <v>33</v>
      </c>
      <c r="S158" t="s">
        <v>112</v>
      </c>
      <c r="T158" t="s">
        <v>152</v>
      </c>
      <c r="U158" t="s">
        <v>153</v>
      </c>
      <c r="V158" t="s">
        <v>154</v>
      </c>
      <c r="W158" t="s">
        <v>119</v>
      </c>
      <c r="X158" t="s">
        <v>112</v>
      </c>
      <c r="Y158" t="s">
        <v>112</v>
      </c>
      <c r="Z158" t="s">
        <v>152</v>
      </c>
      <c r="AA158" t="s">
        <v>153</v>
      </c>
      <c r="AB158" t="s">
        <v>154</v>
      </c>
      <c r="AC158" t="s">
        <v>119</v>
      </c>
      <c r="AD158" t="s">
        <v>112</v>
      </c>
      <c r="AE158" t="s">
        <v>121</v>
      </c>
      <c r="AF158" t="s">
        <v>122</v>
      </c>
      <c r="AG158">
        <v>4675705.05</v>
      </c>
      <c r="AH158" t="s">
        <v>112</v>
      </c>
      <c r="AI158" t="s">
        <v>152</v>
      </c>
      <c r="AJ158" t="s">
        <v>153</v>
      </c>
      <c r="AK158" t="s">
        <v>154</v>
      </c>
      <c r="AL158" t="s">
        <v>119</v>
      </c>
      <c r="AM158" t="s">
        <v>112</v>
      </c>
      <c r="AN158" t="s">
        <v>121</v>
      </c>
      <c r="AO158" t="s">
        <v>122</v>
      </c>
      <c r="AP158" t="s">
        <v>122</v>
      </c>
      <c r="AQ158" t="s">
        <v>124</v>
      </c>
      <c r="AR158" t="s">
        <v>125</v>
      </c>
      <c r="AS158">
        <v>2</v>
      </c>
      <c r="AT158" t="s">
        <v>126</v>
      </c>
      <c r="AU158" t="s">
        <v>155</v>
      </c>
      <c r="AV158" t="s">
        <v>156</v>
      </c>
      <c r="AX158" t="s">
        <v>129</v>
      </c>
      <c r="AY158">
        <v>43723.58</v>
      </c>
      <c r="BB158">
        <v>96.918700000000001</v>
      </c>
      <c r="BC158" t="s">
        <v>112</v>
      </c>
      <c r="BD158" t="s">
        <v>112</v>
      </c>
      <c r="BE158" t="s">
        <v>157</v>
      </c>
      <c r="BF158" t="s">
        <v>133</v>
      </c>
      <c r="BG158" t="s">
        <v>167</v>
      </c>
      <c r="BH158" t="s">
        <v>112</v>
      </c>
      <c r="BI158" t="s">
        <v>112</v>
      </c>
      <c r="BJ158" t="s">
        <v>112</v>
      </c>
      <c r="BK158" t="s">
        <v>158</v>
      </c>
      <c r="BL158" t="s">
        <v>159</v>
      </c>
      <c r="BM158" t="s">
        <v>160</v>
      </c>
      <c r="BN158" t="s">
        <v>161</v>
      </c>
      <c r="BP158" t="s">
        <v>1088</v>
      </c>
      <c r="BR158" t="s">
        <v>150</v>
      </c>
      <c r="BS158">
        <v>33</v>
      </c>
      <c r="BT158">
        <v>0</v>
      </c>
      <c r="BU158">
        <v>0</v>
      </c>
      <c r="BW158">
        <v>0</v>
      </c>
      <c r="BY158" t="s">
        <v>106</v>
      </c>
      <c r="BZ158" t="s">
        <v>142</v>
      </c>
      <c r="CA158" t="s">
        <v>112</v>
      </c>
      <c r="CB158" t="s">
        <v>112</v>
      </c>
      <c r="CC158" t="s">
        <v>121</v>
      </c>
      <c r="CD158">
        <v>16315.08</v>
      </c>
      <c r="CE158" t="s">
        <v>144</v>
      </c>
      <c r="CF158">
        <v>4000000</v>
      </c>
      <c r="CG158">
        <v>16099.08</v>
      </c>
      <c r="CH158">
        <v>0</v>
      </c>
      <c r="CI158" t="s">
        <v>112</v>
      </c>
      <c r="CJ158" t="s">
        <v>112</v>
      </c>
      <c r="CK158">
        <v>43723.58</v>
      </c>
      <c r="CM158">
        <v>0</v>
      </c>
      <c r="CN158">
        <v>1</v>
      </c>
      <c r="CO158">
        <v>4675705.05</v>
      </c>
      <c r="CP158">
        <v>52646.45</v>
      </c>
      <c r="CQ158" t="s">
        <v>145</v>
      </c>
      <c r="CR158">
        <v>52643.991600000001</v>
      </c>
      <c r="CS158">
        <v>3.27</v>
      </c>
      <c r="CT158">
        <v>45</v>
      </c>
      <c r="CV158" t="s">
        <v>729</v>
      </c>
      <c r="CW158">
        <v>602</v>
      </c>
    </row>
    <row r="159" spans="1:101" x14ac:dyDescent="0.2">
      <c r="A159" t="s">
        <v>106</v>
      </c>
      <c r="B159" s="46">
        <v>44975</v>
      </c>
      <c r="C159" t="s">
        <v>1880</v>
      </c>
      <c r="D159" t="s">
        <v>108</v>
      </c>
      <c r="E159" t="s">
        <v>1881</v>
      </c>
      <c r="F159" t="s">
        <v>110</v>
      </c>
      <c r="G159" t="s">
        <v>111</v>
      </c>
      <c r="H159" t="s">
        <v>112</v>
      </c>
      <c r="I159" t="s">
        <v>112</v>
      </c>
      <c r="J159" t="s">
        <v>112</v>
      </c>
      <c r="K159" t="s">
        <v>150</v>
      </c>
      <c r="L159" t="s">
        <v>151</v>
      </c>
      <c r="M159" t="s">
        <v>112</v>
      </c>
      <c r="N159" t="s">
        <v>112</v>
      </c>
      <c r="O159">
        <v>1</v>
      </c>
      <c r="Q159">
        <v>1</v>
      </c>
      <c r="R159">
        <v>33</v>
      </c>
      <c r="S159" t="s">
        <v>112</v>
      </c>
      <c r="T159" t="s">
        <v>152</v>
      </c>
      <c r="U159" t="s">
        <v>153</v>
      </c>
      <c r="V159" t="s">
        <v>154</v>
      </c>
      <c r="W159" t="s">
        <v>119</v>
      </c>
      <c r="X159" t="s">
        <v>112</v>
      </c>
      <c r="Y159" t="s">
        <v>112</v>
      </c>
      <c r="Z159" t="s">
        <v>152</v>
      </c>
      <c r="AA159" t="s">
        <v>153</v>
      </c>
      <c r="AB159" t="s">
        <v>154</v>
      </c>
      <c r="AC159" t="s">
        <v>119</v>
      </c>
      <c r="AD159" t="s">
        <v>112</v>
      </c>
      <c r="AE159" t="s">
        <v>121</v>
      </c>
      <c r="AF159" t="s">
        <v>122</v>
      </c>
      <c r="AG159">
        <v>4328320.67</v>
      </c>
      <c r="AH159" t="s">
        <v>112</v>
      </c>
      <c r="AI159" t="s">
        <v>152</v>
      </c>
      <c r="AJ159" t="s">
        <v>153</v>
      </c>
      <c r="AK159" t="s">
        <v>154</v>
      </c>
      <c r="AL159" t="s">
        <v>119</v>
      </c>
      <c r="AM159" t="s">
        <v>112</v>
      </c>
      <c r="AN159" t="s">
        <v>121</v>
      </c>
      <c r="AO159" t="s">
        <v>122</v>
      </c>
      <c r="AP159" t="s">
        <v>122</v>
      </c>
      <c r="AQ159" t="s">
        <v>124</v>
      </c>
      <c r="AR159" t="s">
        <v>125</v>
      </c>
      <c r="AS159">
        <v>2</v>
      </c>
      <c r="AT159" t="s">
        <v>126</v>
      </c>
      <c r="AU159" t="s">
        <v>155</v>
      </c>
      <c r="AV159" t="s">
        <v>156</v>
      </c>
      <c r="AX159" t="s">
        <v>129</v>
      </c>
      <c r="AY159">
        <v>39846.6</v>
      </c>
      <c r="BB159">
        <v>98.7376</v>
      </c>
      <c r="BC159" t="s">
        <v>112</v>
      </c>
      <c r="BD159" t="s">
        <v>112</v>
      </c>
      <c r="BE159" t="s">
        <v>157</v>
      </c>
      <c r="BF159" t="s">
        <v>133</v>
      </c>
      <c r="BG159" t="s">
        <v>134</v>
      </c>
      <c r="BH159" t="s">
        <v>112</v>
      </c>
      <c r="BI159" t="s">
        <v>112</v>
      </c>
      <c r="BJ159" t="s">
        <v>112</v>
      </c>
      <c r="BK159" t="s">
        <v>158</v>
      </c>
      <c r="BL159" t="s">
        <v>159</v>
      </c>
      <c r="BM159" t="s">
        <v>212</v>
      </c>
      <c r="BN159" t="s">
        <v>161</v>
      </c>
      <c r="BP159" t="s">
        <v>213</v>
      </c>
      <c r="BR159" t="s">
        <v>150</v>
      </c>
      <c r="BS159">
        <v>33</v>
      </c>
      <c r="BT159">
        <v>0</v>
      </c>
      <c r="BU159">
        <v>0</v>
      </c>
      <c r="BW159">
        <v>0</v>
      </c>
      <c r="BY159" t="s">
        <v>106</v>
      </c>
      <c r="BZ159" t="s">
        <v>142</v>
      </c>
      <c r="CA159" t="s">
        <v>112</v>
      </c>
      <c r="CB159" t="s">
        <v>112</v>
      </c>
      <c r="CC159" t="s">
        <v>121</v>
      </c>
      <c r="CD159">
        <v>14268.6</v>
      </c>
      <c r="CE159" t="s">
        <v>144</v>
      </c>
      <c r="CF159">
        <v>4000000</v>
      </c>
      <c r="CG159">
        <v>13728.6</v>
      </c>
      <c r="CH159">
        <v>0</v>
      </c>
      <c r="CI159" t="s">
        <v>112</v>
      </c>
      <c r="CJ159" t="s">
        <v>112</v>
      </c>
      <c r="CK159">
        <v>39846.6</v>
      </c>
      <c r="CM159">
        <v>0</v>
      </c>
      <c r="CN159">
        <v>1</v>
      </c>
      <c r="CO159">
        <v>4328320.67</v>
      </c>
      <c r="CP159">
        <v>46261.72</v>
      </c>
      <c r="CQ159" t="s">
        <v>145</v>
      </c>
      <c r="CR159">
        <v>46265.382000000005</v>
      </c>
      <c r="CS159">
        <v>3.37</v>
      </c>
      <c r="CT159">
        <v>45</v>
      </c>
      <c r="CV159" t="s">
        <v>233</v>
      </c>
      <c r="CW159">
        <v>205</v>
      </c>
    </row>
    <row r="160" spans="1:101" x14ac:dyDescent="0.2">
      <c r="A160" t="s">
        <v>126</v>
      </c>
      <c r="B160" s="46">
        <v>44928</v>
      </c>
      <c r="C160" t="s">
        <v>1870</v>
      </c>
      <c r="D160" t="s">
        <v>108</v>
      </c>
      <c r="E160" t="s">
        <v>1871</v>
      </c>
      <c r="F160" t="s">
        <v>110</v>
      </c>
      <c r="G160" t="s">
        <v>111</v>
      </c>
      <c r="H160" t="s">
        <v>112</v>
      </c>
      <c r="I160" t="s">
        <v>112</v>
      </c>
      <c r="J160" t="s">
        <v>112</v>
      </c>
      <c r="K160" t="s">
        <v>150</v>
      </c>
      <c r="L160" t="s">
        <v>151</v>
      </c>
      <c r="M160" t="s">
        <v>112</v>
      </c>
      <c r="N160" t="s">
        <v>112</v>
      </c>
      <c r="O160">
        <v>1</v>
      </c>
      <c r="Q160">
        <v>1</v>
      </c>
      <c r="R160">
        <v>33</v>
      </c>
      <c r="S160" t="s">
        <v>112</v>
      </c>
      <c r="T160" t="s">
        <v>152</v>
      </c>
      <c r="U160" t="s">
        <v>153</v>
      </c>
      <c r="V160" t="s">
        <v>154</v>
      </c>
      <c r="W160" t="s">
        <v>112</v>
      </c>
      <c r="X160" t="s">
        <v>112</v>
      </c>
      <c r="Y160" t="s">
        <v>112</v>
      </c>
      <c r="Z160" t="s">
        <v>152</v>
      </c>
      <c r="AA160" t="s">
        <v>153</v>
      </c>
      <c r="AB160" t="s">
        <v>154</v>
      </c>
      <c r="AC160" t="s">
        <v>112</v>
      </c>
      <c r="AD160" t="s">
        <v>112</v>
      </c>
      <c r="AE160" t="s">
        <v>121</v>
      </c>
      <c r="AF160" t="s">
        <v>122</v>
      </c>
      <c r="AG160">
        <v>5187377.29</v>
      </c>
      <c r="AH160" t="s">
        <v>112</v>
      </c>
      <c r="AI160" t="s">
        <v>152</v>
      </c>
      <c r="AJ160" t="s">
        <v>153</v>
      </c>
      <c r="AK160" t="s">
        <v>154</v>
      </c>
      <c r="AL160" t="s">
        <v>112</v>
      </c>
      <c r="AM160" t="s">
        <v>112</v>
      </c>
      <c r="AN160" t="s">
        <v>121</v>
      </c>
      <c r="AO160" t="s">
        <v>122</v>
      </c>
      <c r="AP160" t="s">
        <v>122</v>
      </c>
      <c r="AQ160" t="s">
        <v>124</v>
      </c>
      <c r="AR160" t="s">
        <v>125</v>
      </c>
      <c r="AS160">
        <v>2</v>
      </c>
      <c r="AT160" t="s">
        <v>126</v>
      </c>
      <c r="AU160" t="s">
        <v>155</v>
      </c>
      <c r="AV160" t="s">
        <v>156</v>
      </c>
      <c r="AX160" t="s">
        <v>129</v>
      </c>
      <c r="AY160">
        <v>48547</v>
      </c>
      <c r="BB160">
        <v>98.7376</v>
      </c>
      <c r="BC160" t="s">
        <v>112</v>
      </c>
      <c r="BD160" t="s">
        <v>112</v>
      </c>
      <c r="BE160" t="s">
        <v>157</v>
      </c>
      <c r="BF160" t="s">
        <v>133</v>
      </c>
      <c r="BG160" t="s">
        <v>134</v>
      </c>
      <c r="BH160" t="s">
        <v>112</v>
      </c>
      <c r="BI160" t="s">
        <v>112</v>
      </c>
      <c r="BJ160" t="s">
        <v>112</v>
      </c>
      <c r="BK160" t="s">
        <v>158</v>
      </c>
      <c r="BL160" t="s">
        <v>159</v>
      </c>
      <c r="BM160" t="s">
        <v>212</v>
      </c>
      <c r="BN160" t="s">
        <v>161</v>
      </c>
      <c r="BP160" t="s">
        <v>232</v>
      </c>
      <c r="BR160" t="s">
        <v>150</v>
      </c>
      <c r="BS160">
        <v>33</v>
      </c>
      <c r="BT160">
        <v>0</v>
      </c>
      <c r="BU160">
        <v>0</v>
      </c>
      <c r="BW160">
        <v>0</v>
      </c>
      <c r="BY160" t="s">
        <v>106</v>
      </c>
      <c r="BZ160" t="s">
        <v>142</v>
      </c>
      <c r="CA160" t="s">
        <v>112</v>
      </c>
      <c r="CB160" t="s">
        <v>112</v>
      </c>
      <c r="CC160" t="s">
        <v>121</v>
      </c>
      <c r="CD160">
        <v>16525.080000000002</v>
      </c>
      <c r="CE160" t="s">
        <v>144</v>
      </c>
      <c r="CF160">
        <v>4000000</v>
      </c>
      <c r="CG160">
        <v>16525.080000000002</v>
      </c>
      <c r="CH160">
        <v>0</v>
      </c>
      <c r="CI160" t="s">
        <v>112</v>
      </c>
      <c r="CJ160" t="s">
        <v>112</v>
      </c>
      <c r="CK160">
        <v>48547</v>
      </c>
      <c r="CN160">
        <v>1</v>
      </c>
      <c r="CO160">
        <v>5187377.29</v>
      </c>
      <c r="CP160">
        <v>55443.44</v>
      </c>
      <c r="CQ160" t="s">
        <v>112</v>
      </c>
      <c r="CR160">
        <v>55524.268800000005</v>
      </c>
      <c r="CS160">
        <v>3.36</v>
      </c>
      <c r="CT160">
        <v>45</v>
      </c>
      <c r="CV160" t="s">
        <v>163</v>
      </c>
    </row>
    <row r="161" spans="1:101" x14ac:dyDescent="0.2">
      <c r="A161" t="s">
        <v>106</v>
      </c>
      <c r="B161" s="46">
        <v>45268</v>
      </c>
      <c r="C161" t="s">
        <v>1864</v>
      </c>
      <c r="D161" t="s">
        <v>108</v>
      </c>
      <c r="E161" t="s">
        <v>1865</v>
      </c>
      <c r="F161" t="s">
        <v>110</v>
      </c>
      <c r="G161" t="s">
        <v>111</v>
      </c>
      <c r="H161" t="s">
        <v>112</v>
      </c>
      <c r="I161" t="s">
        <v>112</v>
      </c>
      <c r="J161" t="s">
        <v>112</v>
      </c>
      <c r="K161" t="s">
        <v>150</v>
      </c>
      <c r="L161" t="s">
        <v>151</v>
      </c>
      <c r="M161" t="s">
        <v>112</v>
      </c>
      <c r="N161" t="s">
        <v>112</v>
      </c>
      <c r="O161">
        <v>1</v>
      </c>
      <c r="Q161">
        <v>1</v>
      </c>
      <c r="R161">
        <v>33</v>
      </c>
      <c r="S161" t="s">
        <v>112</v>
      </c>
      <c r="T161" t="s">
        <v>152</v>
      </c>
      <c r="U161" t="s">
        <v>153</v>
      </c>
      <c r="V161" t="s">
        <v>154</v>
      </c>
      <c r="W161" t="s">
        <v>119</v>
      </c>
      <c r="X161" t="s">
        <v>112</v>
      </c>
      <c r="Y161" t="s">
        <v>112</v>
      </c>
      <c r="Z161" t="s">
        <v>152</v>
      </c>
      <c r="AA161" t="s">
        <v>153</v>
      </c>
      <c r="AB161" t="s">
        <v>154</v>
      </c>
      <c r="AC161" t="s">
        <v>119</v>
      </c>
      <c r="AD161" t="s">
        <v>112</v>
      </c>
      <c r="AE161" t="s">
        <v>121</v>
      </c>
      <c r="AF161" t="s">
        <v>122</v>
      </c>
      <c r="AG161">
        <v>4964309.3</v>
      </c>
      <c r="AH161" t="s">
        <v>112</v>
      </c>
      <c r="AI161" t="s">
        <v>152</v>
      </c>
      <c r="AJ161" t="s">
        <v>153</v>
      </c>
      <c r="AK161" t="s">
        <v>154</v>
      </c>
      <c r="AL161" t="s">
        <v>119</v>
      </c>
      <c r="AM161" t="s">
        <v>112</v>
      </c>
      <c r="AN161" t="s">
        <v>121</v>
      </c>
      <c r="AO161" t="s">
        <v>122</v>
      </c>
      <c r="AP161" t="s">
        <v>122</v>
      </c>
      <c r="AQ161" t="s">
        <v>124</v>
      </c>
      <c r="AR161" t="s">
        <v>125</v>
      </c>
      <c r="AS161">
        <v>2</v>
      </c>
      <c r="AT161" t="s">
        <v>126</v>
      </c>
      <c r="AU161" t="s">
        <v>155</v>
      </c>
      <c r="AV161" t="s">
        <v>156</v>
      </c>
      <c r="AX161" t="s">
        <v>129</v>
      </c>
      <c r="AY161">
        <v>45757.8</v>
      </c>
      <c r="BB161">
        <v>98.7376</v>
      </c>
      <c r="BC161" t="s">
        <v>112</v>
      </c>
      <c r="BD161" t="s">
        <v>112</v>
      </c>
      <c r="BE161" t="s">
        <v>157</v>
      </c>
      <c r="BF161" t="s">
        <v>133</v>
      </c>
      <c r="BG161" t="s">
        <v>134</v>
      </c>
      <c r="BH161" t="s">
        <v>112</v>
      </c>
      <c r="BI161" t="s">
        <v>112</v>
      </c>
      <c r="BJ161" t="s">
        <v>112</v>
      </c>
      <c r="BK161" t="s">
        <v>158</v>
      </c>
      <c r="BL161" t="s">
        <v>159</v>
      </c>
      <c r="BM161" t="s">
        <v>212</v>
      </c>
      <c r="BN161" t="s">
        <v>161</v>
      </c>
      <c r="BP161" t="s">
        <v>162</v>
      </c>
      <c r="BR161" t="s">
        <v>150</v>
      </c>
      <c r="BS161">
        <v>33</v>
      </c>
      <c r="BT161">
        <v>0</v>
      </c>
      <c r="BU161">
        <v>0</v>
      </c>
      <c r="BW161">
        <v>0</v>
      </c>
      <c r="BY161" t="s">
        <v>106</v>
      </c>
      <c r="BZ161" t="s">
        <v>142</v>
      </c>
      <c r="CA161" t="s">
        <v>112</v>
      </c>
      <c r="CB161" t="s">
        <v>112</v>
      </c>
      <c r="CC161" t="s">
        <v>121</v>
      </c>
      <c r="CD161">
        <v>16415.64</v>
      </c>
      <c r="CE161" t="s">
        <v>144</v>
      </c>
      <c r="CF161">
        <v>4000000</v>
      </c>
      <c r="CG161">
        <v>16361.64</v>
      </c>
      <c r="CH161">
        <v>0</v>
      </c>
      <c r="CI161" t="s">
        <v>112</v>
      </c>
      <c r="CJ161" t="s">
        <v>112</v>
      </c>
      <c r="CK161">
        <v>45757.8</v>
      </c>
      <c r="CM161">
        <v>0</v>
      </c>
      <c r="CN161">
        <v>1</v>
      </c>
      <c r="CO161">
        <v>4964309.3</v>
      </c>
      <c r="CP161">
        <v>53059.26</v>
      </c>
      <c r="CQ161" t="s">
        <v>145</v>
      </c>
      <c r="CR161">
        <v>53011.713600000003</v>
      </c>
      <c r="CS161">
        <v>3.24</v>
      </c>
      <c r="CT161">
        <v>45</v>
      </c>
      <c r="CV161" t="s">
        <v>1140</v>
      </c>
      <c r="CW161">
        <v>155</v>
      </c>
    </row>
    <row r="162" spans="1:101" x14ac:dyDescent="0.2">
      <c r="A162" t="s">
        <v>106</v>
      </c>
      <c r="B162" s="46">
        <v>44952</v>
      </c>
      <c r="C162" t="s">
        <v>1876</v>
      </c>
      <c r="D162" t="s">
        <v>108</v>
      </c>
      <c r="E162" t="s">
        <v>1877</v>
      </c>
      <c r="F162" t="s">
        <v>110</v>
      </c>
      <c r="G162" t="s">
        <v>111</v>
      </c>
      <c r="H162" t="s">
        <v>112</v>
      </c>
      <c r="I162" t="s">
        <v>112</v>
      </c>
      <c r="J162" t="s">
        <v>112</v>
      </c>
      <c r="K162" t="s">
        <v>150</v>
      </c>
      <c r="L162" t="s">
        <v>151</v>
      </c>
      <c r="M162" t="s">
        <v>112</v>
      </c>
      <c r="N162" t="s">
        <v>112</v>
      </c>
      <c r="O162">
        <v>1</v>
      </c>
      <c r="Q162">
        <v>1</v>
      </c>
      <c r="R162">
        <v>33</v>
      </c>
      <c r="S162" t="s">
        <v>112</v>
      </c>
      <c r="T162" t="s">
        <v>152</v>
      </c>
      <c r="U162" t="s">
        <v>153</v>
      </c>
      <c r="V162" t="s">
        <v>154</v>
      </c>
      <c r="W162" t="s">
        <v>119</v>
      </c>
      <c r="X162" t="s">
        <v>112</v>
      </c>
      <c r="Y162" t="s">
        <v>112</v>
      </c>
      <c r="Z162" t="s">
        <v>152</v>
      </c>
      <c r="AA162" t="s">
        <v>153</v>
      </c>
      <c r="AB162" t="s">
        <v>154</v>
      </c>
      <c r="AC162" t="s">
        <v>119</v>
      </c>
      <c r="AD162" t="s">
        <v>112</v>
      </c>
      <c r="AE162" t="s">
        <v>121</v>
      </c>
      <c r="AF162" t="s">
        <v>122</v>
      </c>
      <c r="AG162">
        <v>4853920.66</v>
      </c>
      <c r="AH162" t="s">
        <v>112</v>
      </c>
      <c r="AI162" t="s">
        <v>152</v>
      </c>
      <c r="AJ162" t="s">
        <v>153</v>
      </c>
      <c r="AK162" t="s">
        <v>154</v>
      </c>
      <c r="AL162" t="s">
        <v>119</v>
      </c>
      <c r="AM162" t="s">
        <v>112</v>
      </c>
      <c r="AN162" t="s">
        <v>121</v>
      </c>
      <c r="AO162" t="s">
        <v>122</v>
      </c>
      <c r="AP162" t="s">
        <v>122</v>
      </c>
      <c r="AQ162" t="s">
        <v>124</v>
      </c>
      <c r="AR162" t="s">
        <v>125</v>
      </c>
      <c r="AS162">
        <v>2</v>
      </c>
      <c r="AT162" t="s">
        <v>126</v>
      </c>
      <c r="AU162" t="s">
        <v>155</v>
      </c>
      <c r="AV162" t="s">
        <v>156</v>
      </c>
      <c r="AX162" t="s">
        <v>129</v>
      </c>
      <c r="AY162">
        <v>45169.8</v>
      </c>
      <c r="BB162">
        <v>98.7376</v>
      </c>
      <c r="BC162" t="s">
        <v>112</v>
      </c>
      <c r="BD162" t="s">
        <v>112</v>
      </c>
      <c r="BE162" t="s">
        <v>157</v>
      </c>
      <c r="BF162" t="s">
        <v>133</v>
      </c>
      <c r="BG162" t="s">
        <v>134</v>
      </c>
      <c r="BH162" t="s">
        <v>112</v>
      </c>
      <c r="BI162" t="s">
        <v>112</v>
      </c>
      <c r="BJ162" t="s">
        <v>112</v>
      </c>
      <c r="BK162" t="s">
        <v>158</v>
      </c>
      <c r="BL162" t="s">
        <v>159</v>
      </c>
      <c r="BM162" t="s">
        <v>212</v>
      </c>
      <c r="BN162" t="s">
        <v>161</v>
      </c>
      <c r="BP162" t="s">
        <v>466</v>
      </c>
      <c r="BR162" t="s">
        <v>150</v>
      </c>
      <c r="BS162">
        <v>33</v>
      </c>
      <c r="BT162">
        <v>0</v>
      </c>
      <c r="BU162">
        <v>0</v>
      </c>
      <c r="BW162">
        <v>0</v>
      </c>
      <c r="BY162" t="s">
        <v>106</v>
      </c>
      <c r="BZ162" t="s">
        <v>142</v>
      </c>
      <c r="CA162" t="s">
        <v>112</v>
      </c>
      <c r="CB162" t="s">
        <v>112</v>
      </c>
      <c r="CC162" t="s">
        <v>121</v>
      </c>
      <c r="CD162">
        <v>15594.99</v>
      </c>
      <c r="CE162" t="s">
        <v>144</v>
      </c>
      <c r="CF162">
        <v>4000000</v>
      </c>
      <c r="CG162">
        <v>15440.19</v>
      </c>
      <c r="CH162">
        <v>0</v>
      </c>
      <c r="CI162" t="s">
        <v>112</v>
      </c>
      <c r="CJ162" t="s">
        <v>112</v>
      </c>
      <c r="CK162">
        <v>45169.8</v>
      </c>
      <c r="CM162">
        <v>0</v>
      </c>
      <c r="CN162">
        <v>1</v>
      </c>
      <c r="CO162">
        <v>4853920.66</v>
      </c>
      <c r="CP162">
        <v>51879.41</v>
      </c>
      <c r="CQ162" t="s">
        <v>145</v>
      </c>
      <c r="CR162">
        <v>51879.038399999998</v>
      </c>
      <c r="CS162">
        <v>3.36</v>
      </c>
      <c r="CT162">
        <v>45</v>
      </c>
      <c r="CV162" t="s">
        <v>729</v>
      </c>
      <c r="CW162">
        <v>552</v>
      </c>
    </row>
    <row r="163" spans="1:101" x14ac:dyDescent="0.2">
      <c r="A163" t="s">
        <v>106</v>
      </c>
      <c r="B163" s="46">
        <v>45138</v>
      </c>
      <c r="C163" t="s">
        <v>1595</v>
      </c>
      <c r="D163" t="s">
        <v>108</v>
      </c>
      <c r="E163" t="s">
        <v>1596</v>
      </c>
      <c r="F163" t="s">
        <v>110</v>
      </c>
      <c r="G163" t="s">
        <v>111</v>
      </c>
      <c r="H163" t="s">
        <v>112</v>
      </c>
      <c r="I163" t="s">
        <v>112</v>
      </c>
      <c r="J163" t="s">
        <v>112</v>
      </c>
      <c r="K163" t="s">
        <v>150</v>
      </c>
      <c r="L163" t="s">
        <v>1143</v>
      </c>
      <c r="M163" t="s">
        <v>112</v>
      </c>
      <c r="N163" t="s">
        <v>112</v>
      </c>
      <c r="O163">
        <v>1</v>
      </c>
      <c r="P163">
        <v>0</v>
      </c>
      <c r="Q163">
        <v>1</v>
      </c>
      <c r="R163">
        <v>33</v>
      </c>
      <c r="S163" t="s">
        <v>166</v>
      </c>
      <c r="T163" t="s">
        <v>152</v>
      </c>
      <c r="U163" t="s">
        <v>153</v>
      </c>
      <c r="V163" t="s">
        <v>154</v>
      </c>
      <c r="W163" t="s">
        <v>119</v>
      </c>
      <c r="X163" t="s">
        <v>112</v>
      </c>
      <c r="Y163" t="s">
        <v>166</v>
      </c>
      <c r="Z163" t="s">
        <v>152</v>
      </c>
      <c r="AA163" t="s">
        <v>153</v>
      </c>
      <c r="AB163" t="s">
        <v>154</v>
      </c>
      <c r="AC163" t="s">
        <v>119</v>
      </c>
      <c r="AD163" t="s">
        <v>112</v>
      </c>
      <c r="AE163" t="s">
        <v>121</v>
      </c>
      <c r="AF163" t="s">
        <v>122</v>
      </c>
      <c r="AG163">
        <v>4761360.07</v>
      </c>
      <c r="AH163" t="s">
        <v>166</v>
      </c>
      <c r="AI163" t="s">
        <v>152</v>
      </c>
      <c r="AJ163" t="s">
        <v>153</v>
      </c>
      <c r="AK163" t="s">
        <v>154</v>
      </c>
      <c r="AL163" t="s">
        <v>119</v>
      </c>
      <c r="AM163" t="s">
        <v>112</v>
      </c>
      <c r="AN163" t="s">
        <v>121</v>
      </c>
      <c r="AO163" t="s">
        <v>122</v>
      </c>
      <c r="AP163" t="s">
        <v>122</v>
      </c>
      <c r="AQ163" t="s">
        <v>124</v>
      </c>
      <c r="AR163" t="s">
        <v>125</v>
      </c>
      <c r="AS163">
        <v>2</v>
      </c>
      <c r="AT163" t="s">
        <v>126</v>
      </c>
      <c r="AU163" t="s">
        <v>155</v>
      </c>
      <c r="AV163" t="s">
        <v>156</v>
      </c>
      <c r="AW163">
        <v>1</v>
      </c>
      <c r="AX163" t="s">
        <v>129</v>
      </c>
      <c r="AY163">
        <v>43619.4</v>
      </c>
      <c r="AZ163">
        <v>4349535</v>
      </c>
      <c r="BA163">
        <v>52876.5</v>
      </c>
      <c r="BB163">
        <v>99.715599999999995</v>
      </c>
      <c r="BC163" t="s">
        <v>130</v>
      </c>
      <c r="BD163" t="s">
        <v>112</v>
      </c>
      <c r="BE163" t="s">
        <v>157</v>
      </c>
      <c r="BF163" t="s">
        <v>133</v>
      </c>
      <c r="BG163" t="s">
        <v>134</v>
      </c>
      <c r="BH163" t="s">
        <v>112</v>
      </c>
      <c r="BI163" t="s">
        <v>112</v>
      </c>
      <c r="BJ163" t="s">
        <v>112</v>
      </c>
      <c r="BK163" t="s">
        <v>169</v>
      </c>
      <c r="BL163" t="s">
        <v>159</v>
      </c>
      <c r="BM163" t="s">
        <v>722</v>
      </c>
      <c r="BN163" t="s">
        <v>161</v>
      </c>
      <c r="BO163">
        <v>1</v>
      </c>
      <c r="BP163" t="s">
        <v>528</v>
      </c>
      <c r="BR163" t="s">
        <v>150</v>
      </c>
      <c r="BS163">
        <v>33</v>
      </c>
      <c r="BT163">
        <v>0</v>
      </c>
      <c r="BU163">
        <v>0</v>
      </c>
      <c r="BW163">
        <v>0</v>
      </c>
      <c r="BY163" t="s">
        <v>106</v>
      </c>
      <c r="BZ163" t="s">
        <v>142</v>
      </c>
      <c r="CA163" t="s">
        <v>112</v>
      </c>
      <c r="CB163" t="s">
        <v>112</v>
      </c>
      <c r="CC163" t="s">
        <v>121</v>
      </c>
      <c r="CD163">
        <v>16536.36</v>
      </c>
      <c r="CE163" t="s">
        <v>144</v>
      </c>
      <c r="CF163">
        <v>4000000</v>
      </c>
      <c r="CG163">
        <v>16428.36</v>
      </c>
      <c r="CH163">
        <v>0</v>
      </c>
      <c r="CI163" t="s">
        <v>112</v>
      </c>
      <c r="CJ163" t="s">
        <v>112</v>
      </c>
      <c r="CK163">
        <v>43619.4</v>
      </c>
      <c r="CL163">
        <v>4349535</v>
      </c>
      <c r="CM163">
        <v>0</v>
      </c>
      <c r="CN163">
        <v>1</v>
      </c>
      <c r="CO163">
        <v>4761360.07</v>
      </c>
      <c r="CP163">
        <v>52876.5</v>
      </c>
      <c r="CQ163" t="s">
        <v>145</v>
      </c>
      <c r="CR163">
        <v>52899.319200000005</v>
      </c>
      <c r="CS163">
        <v>3.22</v>
      </c>
      <c r="CT163">
        <v>45</v>
      </c>
      <c r="CU163" t="s">
        <v>171</v>
      </c>
      <c r="CV163" t="s">
        <v>350</v>
      </c>
      <c r="CW163">
        <v>324</v>
      </c>
    </row>
    <row r="164" spans="1:101" x14ac:dyDescent="0.2">
      <c r="A164" t="s">
        <v>106</v>
      </c>
      <c r="B164" s="46">
        <v>45175</v>
      </c>
      <c r="C164" t="s">
        <v>1593</v>
      </c>
      <c r="D164" t="s">
        <v>108</v>
      </c>
      <c r="E164" t="s">
        <v>1594</v>
      </c>
      <c r="F164" t="s">
        <v>110</v>
      </c>
      <c r="G164" t="s">
        <v>111</v>
      </c>
      <c r="H164" t="s">
        <v>112</v>
      </c>
      <c r="I164" t="s">
        <v>112</v>
      </c>
      <c r="J164" t="s">
        <v>112</v>
      </c>
      <c r="K164" t="s">
        <v>150</v>
      </c>
      <c r="L164" t="s">
        <v>1143</v>
      </c>
      <c r="M164" t="s">
        <v>112</v>
      </c>
      <c r="N164" t="s">
        <v>112</v>
      </c>
      <c r="O164">
        <v>1</v>
      </c>
      <c r="P164">
        <v>0</v>
      </c>
      <c r="Q164">
        <v>1</v>
      </c>
      <c r="R164">
        <v>33</v>
      </c>
      <c r="S164" t="s">
        <v>166</v>
      </c>
      <c r="T164" t="s">
        <v>152</v>
      </c>
      <c r="U164" t="s">
        <v>153</v>
      </c>
      <c r="V164" t="s">
        <v>154</v>
      </c>
      <c r="W164" t="s">
        <v>119</v>
      </c>
      <c r="X164" t="s">
        <v>112</v>
      </c>
      <c r="Y164" t="s">
        <v>166</v>
      </c>
      <c r="Z164" t="s">
        <v>152</v>
      </c>
      <c r="AA164" t="s">
        <v>153</v>
      </c>
      <c r="AB164" t="s">
        <v>154</v>
      </c>
      <c r="AC164" t="s">
        <v>119</v>
      </c>
      <c r="AD164" t="s">
        <v>112</v>
      </c>
      <c r="AE164" t="s">
        <v>121</v>
      </c>
      <c r="AF164" t="s">
        <v>122</v>
      </c>
      <c r="AG164">
        <v>4618908.3600000003</v>
      </c>
      <c r="AH164" t="s">
        <v>166</v>
      </c>
      <c r="AI164" t="s">
        <v>152</v>
      </c>
      <c r="AJ164" t="s">
        <v>153</v>
      </c>
      <c r="AK164" t="s">
        <v>154</v>
      </c>
      <c r="AL164" t="s">
        <v>119</v>
      </c>
      <c r="AM164" t="s">
        <v>112</v>
      </c>
      <c r="AN164" t="s">
        <v>121</v>
      </c>
      <c r="AO164" t="s">
        <v>122</v>
      </c>
      <c r="AP164" t="s">
        <v>122</v>
      </c>
      <c r="AQ164" t="s">
        <v>124</v>
      </c>
      <c r="AR164" t="s">
        <v>125</v>
      </c>
      <c r="AS164">
        <v>2</v>
      </c>
      <c r="AT164" t="s">
        <v>126</v>
      </c>
      <c r="AU164" t="s">
        <v>155</v>
      </c>
      <c r="AV164" t="s">
        <v>156</v>
      </c>
      <c r="AW164">
        <v>1</v>
      </c>
      <c r="AX164" t="s">
        <v>129</v>
      </c>
      <c r="AY164">
        <v>42190.82</v>
      </c>
      <c r="AZ164">
        <v>4207083</v>
      </c>
      <c r="BA164">
        <v>51294.53</v>
      </c>
      <c r="BB164">
        <v>99.715599999999995</v>
      </c>
      <c r="BC164" t="s">
        <v>130</v>
      </c>
      <c r="BD164" t="s">
        <v>112</v>
      </c>
      <c r="BE164" t="s">
        <v>157</v>
      </c>
      <c r="BF164" t="s">
        <v>133</v>
      </c>
      <c r="BG164" t="s">
        <v>134</v>
      </c>
      <c r="BH164" t="s">
        <v>112</v>
      </c>
      <c r="BI164" t="s">
        <v>112</v>
      </c>
      <c r="BJ164" t="s">
        <v>112</v>
      </c>
      <c r="BK164" t="s">
        <v>169</v>
      </c>
      <c r="BL164" t="s">
        <v>159</v>
      </c>
      <c r="BM164" t="s">
        <v>722</v>
      </c>
      <c r="BN164" t="s">
        <v>161</v>
      </c>
      <c r="BO164">
        <v>1</v>
      </c>
      <c r="BP164" t="s">
        <v>650</v>
      </c>
      <c r="BR164" t="s">
        <v>150</v>
      </c>
      <c r="BS164">
        <v>33</v>
      </c>
      <c r="BT164">
        <v>0</v>
      </c>
      <c r="BU164">
        <v>0</v>
      </c>
      <c r="BW164">
        <v>0</v>
      </c>
      <c r="BY164" t="s">
        <v>106</v>
      </c>
      <c r="BZ164" t="s">
        <v>142</v>
      </c>
      <c r="CA164" t="s">
        <v>112</v>
      </c>
      <c r="CB164" t="s">
        <v>112</v>
      </c>
      <c r="CC164" t="s">
        <v>121</v>
      </c>
      <c r="CD164">
        <v>16583.77</v>
      </c>
      <c r="CE164" t="s">
        <v>144</v>
      </c>
      <c r="CF164">
        <v>4000000</v>
      </c>
      <c r="CG164">
        <v>16497.37</v>
      </c>
      <c r="CH164">
        <v>0</v>
      </c>
      <c r="CI164" t="s">
        <v>112</v>
      </c>
      <c r="CJ164" t="s">
        <v>112</v>
      </c>
      <c r="CK164">
        <v>42190.82</v>
      </c>
      <c r="CL164">
        <v>4207083</v>
      </c>
      <c r="CM164">
        <v>0</v>
      </c>
      <c r="CN164">
        <v>1</v>
      </c>
      <c r="CO164">
        <v>4618908.3600000003</v>
      </c>
      <c r="CP164">
        <v>51294.53</v>
      </c>
      <c r="CQ164" t="s">
        <v>145</v>
      </c>
      <c r="CR164">
        <v>51306.820699999997</v>
      </c>
      <c r="CS164">
        <v>3.11</v>
      </c>
      <c r="CT164">
        <v>45</v>
      </c>
      <c r="CU164" t="s">
        <v>171</v>
      </c>
      <c r="CV164" t="s">
        <v>463</v>
      </c>
      <c r="CW164">
        <v>68</v>
      </c>
    </row>
    <row r="165" spans="1:101" x14ac:dyDescent="0.2">
      <c r="A165" t="s">
        <v>106</v>
      </c>
      <c r="B165" s="46">
        <v>45085</v>
      </c>
      <c r="C165" t="s">
        <v>1589</v>
      </c>
      <c r="D165" t="s">
        <v>108</v>
      </c>
      <c r="E165" t="s">
        <v>1590</v>
      </c>
      <c r="F165" t="s">
        <v>110</v>
      </c>
      <c r="G165" t="s">
        <v>111</v>
      </c>
      <c r="H165" t="s">
        <v>112</v>
      </c>
      <c r="I165" t="s">
        <v>112</v>
      </c>
      <c r="J165" t="s">
        <v>112</v>
      </c>
      <c r="K165" t="s">
        <v>150</v>
      </c>
      <c r="L165" t="s">
        <v>1143</v>
      </c>
      <c r="M165" t="s">
        <v>112</v>
      </c>
      <c r="N165" t="s">
        <v>112</v>
      </c>
      <c r="O165">
        <v>1</v>
      </c>
      <c r="P165">
        <v>0</v>
      </c>
      <c r="Q165">
        <v>1</v>
      </c>
      <c r="R165">
        <v>33</v>
      </c>
      <c r="S165" t="s">
        <v>166</v>
      </c>
      <c r="T165" t="s">
        <v>152</v>
      </c>
      <c r="U165" t="s">
        <v>153</v>
      </c>
      <c r="V165" t="s">
        <v>154</v>
      </c>
      <c r="W165" t="s">
        <v>119</v>
      </c>
      <c r="X165" t="s">
        <v>112</v>
      </c>
      <c r="Y165" t="s">
        <v>166</v>
      </c>
      <c r="Z165" t="s">
        <v>152</v>
      </c>
      <c r="AA165" t="s">
        <v>153</v>
      </c>
      <c r="AB165" t="s">
        <v>154</v>
      </c>
      <c r="AC165" t="s">
        <v>119</v>
      </c>
      <c r="AD165" t="s">
        <v>112</v>
      </c>
      <c r="AE165" t="s">
        <v>121</v>
      </c>
      <c r="AF165" t="s">
        <v>122</v>
      </c>
      <c r="AG165">
        <v>4810819.01</v>
      </c>
      <c r="AH165" t="s">
        <v>166</v>
      </c>
      <c r="AI165" t="s">
        <v>152</v>
      </c>
      <c r="AJ165" t="s">
        <v>153</v>
      </c>
      <c r="AK165" t="s">
        <v>154</v>
      </c>
      <c r="AL165" t="s">
        <v>119</v>
      </c>
      <c r="AM165" t="s">
        <v>112</v>
      </c>
      <c r="AN165" t="s">
        <v>121</v>
      </c>
      <c r="AO165" t="s">
        <v>122</v>
      </c>
      <c r="AP165" t="s">
        <v>122</v>
      </c>
      <c r="AQ165" t="s">
        <v>124</v>
      </c>
      <c r="AR165" t="s">
        <v>125</v>
      </c>
      <c r="AS165">
        <v>2</v>
      </c>
      <c r="AT165" t="s">
        <v>126</v>
      </c>
      <c r="AU165" t="s">
        <v>155</v>
      </c>
      <c r="AV165" t="s">
        <v>156</v>
      </c>
      <c r="AW165">
        <v>1</v>
      </c>
      <c r="AX165" t="s">
        <v>129</v>
      </c>
      <c r="AY165">
        <v>43595.4</v>
      </c>
      <c r="AZ165">
        <v>4347141</v>
      </c>
      <c r="BA165">
        <v>53425.760000000002</v>
      </c>
      <c r="BB165">
        <v>99.715599999999995</v>
      </c>
      <c r="BC165" t="s">
        <v>130</v>
      </c>
      <c r="BD165" t="s">
        <v>112</v>
      </c>
      <c r="BE165" t="s">
        <v>157</v>
      </c>
      <c r="BF165" t="s">
        <v>133</v>
      </c>
      <c r="BG165" t="s">
        <v>134</v>
      </c>
      <c r="BH165" t="s">
        <v>112</v>
      </c>
      <c r="BI165" t="s">
        <v>112</v>
      </c>
      <c r="BJ165" t="s">
        <v>112</v>
      </c>
      <c r="BK165" t="s">
        <v>169</v>
      </c>
      <c r="BL165" t="s">
        <v>159</v>
      </c>
      <c r="BM165" t="s">
        <v>722</v>
      </c>
      <c r="BN165" t="s">
        <v>161</v>
      </c>
      <c r="BO165">
        <v>1</v>
      </c>
      <c r="BP165" t="s">
        <v>205</v>
      </c>
      <c r="BR165" t="s">
        <v>150</v>
      </c>
      <c r="BS165">
        <v>33</v>
      </c>
      <c r="BT165">
        <v>0</v>
      </c>
      <c r="BU165">
        <v>0</v>
      </c>
      <c r="BW165">
        <v>0</v>
      </c>
      <c r="BY165" t="s">
        <v>106</v>
      </c>
      <c r="BZ165" t="s">
        <v>142</v>
      </c>
      <c r="CA165" t="s">
        <v>112</v>
      </c>
      <c r="CB165" t="s">
        <v>112</v>
      </c>
      <c r="CC165" t="s">
        <v>121</v>
      </c>
      <c r="CD165">
        <v>16704.96</v>
      </c>
      <c r="CE165" t="s">
        <v>144</v>
      </c>
      <c r="CF165">
        <v>4000000</v>
      </c>
      <c r="CG165">
        <v>16661.759999999998</v>
      </c>
      <c r="CH165">
        <v>0</v>
      </c>
      <c r="CI165" t="s">
        <v>112</v>
      </c>
      <c r="CJ165" t="s">
        <v>112</v>
      </c>
      <c r="CK165">
        <v>43595.4</v>
      </c>
      <c r="CL165">
        <v>4347141</v>
      </c>
      <c r="CM165">
        <v>0</v>
      </c>
      <c r="CN165">
        <v>1</v>
      </c>
      <c r="CO165">
        <v>4810819.01</v>
      </c>
      <c r="CP165">
        <v>53425.760000000002</v>
      </c>
      <c r="CQ165" t="s">
        <v>145</v>
      </c>
      <c r="CR165">
        <v>53484.249599999996</v>
      </c>
      <c r="CS165">
        <v>3.21</v>
      </c>
      <c r="CT165">
        <v>45</v>
      </c>
      <c r="CU165" t="s">
        <v>171</v>
      </c>
      <c r="CV165" t="s">
        <v>369</v>
      </c>
      <c r="CW165">
        <v>112</v>
      </c>
    </row>
    <row r="166" spans="1:101" x14ac:dyDescent="0.2">
      <c r="A166" t="s">
        <v>106</v>
      </c>
      <c r="B166" s="46">
        <v>45221</v>
      </c>
      <c r="C166" t="s">
        <v>1591</v>
      </c>
      <c r="D166" t="s">
        <v>108</v>
      </c>
      <c r="E166" t="s">
        <v>1592</v>
      </c>
      <c r="F166" t="s">
        <v>110</v>
      </c>
      <c r="G166" t="s">
        <v>111</v>
      </c>
      <c r="H166" t="s">
        <v>112</v>
      </c>
      <c r="I166" t="s">
        <v>112</v>
      </c>
      <c r="J166" t="s">
        <v>112</v>
      </c>
      <c r="K166" t="s">
        <v>150</v>
      </c>
      <c r="L166" t="s">
        <v>1143</v>
      </c>
      <c r="M166" t="s">
        <v>112</v>
      </c>
      <c r="N166" t="s">
        <v>112</v>
      </c>
      <c r="O166">
        <v>1</v>
      </c>
      <c r="P166">
        <v>0</v>
      </c>
      <c r="Q166">
        <v>1</v>
      </c>
      <c r="R166">
        <v>33</v>
      </c>
      <c r="S166" t="s">
        <v>166</v>
      </c>
      <c r="T166" t="s">
        <v>152</v>
      </c>
      <c r="U166" t="s">
        <v>153</v>
      </c>
      <c r="V166" t="s">
        <v>154</v>
      </c>
      <c r="W166" t="s">
        <v>119</v>
      </c>
      <c r="X166" t="s">
        <v>112</v>
      </c>
      <c r="Y166" t="s">
        <v>166</v>
      </c>
      <c r="Z166" t="s">
        <v>152</v>
      </c>
      <c r="AA166" t="s">
        <v>153</v>
      </c>
      <c r="AB166" t="s">
        <v>154</v>
      </c>
      <c r="AC166" t="s">
        <v>119</v>
      </c>
      <c r="AD166" t="s">
        <v>112</v>
      </c>
      <c r="AE166" t="s">
        <v>121</v>
      </c>
      <c r="AF166" t="s">
        <v>122</v>
      </c>
      <c r="AG166">
        <v>4689215.84</v>
      </c>
      <c r="AH166" t="s">
        <v>166</v>
      </c>
      <c r="AI166" t="s">
        <v>152</v>
      </c>
      <c r="AJ166" t="s">
        <v>153</v>
      </c>
      <c r="AK166" t="s">
        <v>154</v>
      </c>
      <c r="AL166" t="s">
        <v>119</v>
      </c>
      <c r="AM166" t="s">
        <v>112</v>
      </c>
      <c r="AN166" t="s">
        <v>121</v>
      </c>
      <c r="AO166" t="s">
        <v>122</v>
      </c>
      <c r="AP166" t="s">
        <v>122</v>
      </c>
      <c r="AQ166" t="s">
        <v>124</v>
      </c>
      <c r="AR166" t="s">
        <v>125</v>
      </c>
      <c r="AS166">
        <v>2</v>
      </c>
      <c r="AT166" t="s">
        <v>126</v>
      </c>
      <c r="AU166" t="s">
        <v>155</v>
      </c>
      <c r="AV166" t="s">
        <v>156</v>
      </c>
      <c r="AW166">
        <v>1</v>
      </c>
      <c r="AX166" t="s">
        <v>129</v>
      </c>
      <c r="AY166">
        <v>42895.9</v>
      </c>
      <c r="AZ166">
        <v>4277390</v>
      </c>
      <c r="BA166">
        <v>52075.32</v>
      </c>
      <c r="BB166">
        <v>99.715599999999995</v>
      </c>
      <c r="BC166" t="s">
        <v>130</v>
      </c>
      <c r="BD166" t="s">
        <v>112</v>
      </c>
      <c r="BE166" t="s">
        <v>157</v>
      </c>
      <c r="BF166" t="s">
        <v>133</v>
      </c>
      <c r="BG166" t="s">
        <v>134</v>
      </c>
      <c r="BH166" t="s">
        <v>112</v>
      </c>
      <c r="BI166" t="s">
        <v>112</v>
      </c>
      <c r="BJ166" t="s">
        <v>112</v>
      </c>
      <c r="BK166" t="s">
        <v>169</v>
      </c>
      <c r="BL166" t="s">
        <v>159</v>
      </c>
      <c r="BM166" t="s">
        <v>722</v>
      </c>
      <c r="BN166" t="s">
        <v>161</v>
      </c>
      <c r="BO166">
        <v>1</v>
      </c>
      <c r="BP166" t="s">
        <v>927</v>
      </c>
      <c r="BR166" t="s">
        <v>150</v>
      </c>
      <c r="BS166">
        <v>33</v>
      </c>
      <c r="BT166">
        <v>0</v>
      </c>
      <c r="BU166">
        <v>0</v>
      </c>
      <c r="BW166">
        <v>0</v>
      </c>
      <c r="BY166" t="s">
        <v>106</v>
      </c>
      <c r="BZ166" t="s">
        <v>142</v>
      </c>
      <c r="CA166" t="s">
        <v>112</v>
      </c>
      <c r="CB166" t="s">
        <v>112</v>
      </c>
      <c r="CC166" t="s">
        <v>121</v>
      </c>
      <c r="CD166">
        <v>16467.05</v>
      </c>
      <c r="CE166" t="s">
        <v>144</v>
      </c>
      <c r="CF166">
        <v>4000000</v>
      </c>
      <c r="CG166">
        <v>16467.05</v>
      </c>
      <c r="CH166">
        <v>0</v>
      </c>
      <c r="CI166" t="s">
        <v>112</v>
      </c>
      <c r="CJ166" t="s">
        <v>112</v>
      </c>
      <c r="CK166">
        <v>42895.9</v>
      </c>
      <c r="CL166">
        <v>4277390</v>
      </c>
      <c r="CM166">
        <v>0</v>
      </c>
      <c r="CN166">
        <v>1</v>
      </c>
      <c r="CO166">
        <v>4689215.84</v>
      </c>
      <c r="CP166">
        <v>52075.32</v>
      </c>
      <c r="CQ166" t="s">
        <v>145</v>
      </c>
      <c r="CR166">
        <v>52035.877999999997</v>
      </c>
      <c r="CS166">
        <v>3.16</v>
      </c>
      <c r="CT166">
        <v>45</v>
      </c>
      <c r="CU166" t="s">
        <v>171</v>
      </c>
      <c r="CV166" t="s">
        <v>350</v>
      </c>
      <c r="CW166">
        <v>172</v>
      </c>
    </row>
    <row r="167" spans="1:101" x14ac:dyDescent="0.2">
      <c r="A167" t="s">
        <v>106</v>
      </c>
      <c r="B167" s="46">
        <v>45087</v>
      </c>
      <c r="C167" t="s">
        <v>1384</v>
      </c>
      <c r="D167" t="s">
        <v>108</v>
      </c>
      <c r="E167" t="s">
        <v>1385</v>
      </c>
      <c r="F167" t="s">
        <v>110</v>
      </c>
      <c r="G167" t="s">
        <v>111</v>
      </c>
      <c r="H167" t="s">
        <v>112</v>
      </c>
      <c r="I167" t="s">
        <v>112</v>
      </c>
      <c r="J167" t="s">
        <v>112</v>
      </c>
      <c r="K167" t="s">
        <v>150</v>
      </c>
      <c r="L167" t="s">
        <v>151</v>
      </c>
      <c r="M167" t="s">
        <v>112</v>
      </c>
      <c r="N167" t="s">
        <v>112</v>
      </c>
      <c r="O167">
        <v>1</v>
      </c>
      <c r="P167">
        <v>0</v>
      </c>
      <c r="Q167">
        <v>1</v>
      </c>
      <c r="R167">
        <v>33</v>
      </c>
      <c r="S167" t="s">
        <v>166</v>
      </c>
      <c r="T167" t="s">
        <v>152</v>
      </c>
      <c r="U167" t="s">
        <v>153</v>
      </c>
      <c r="V167" t="s">
        <v>154</v>
      </c>
      <c r="W167" t="s">
        <v>119</v>
      </c>
      <c r="X167" t="s">
        <v>112</v>
      </c>
      <c r="Y167" t="s">
        <v>166</v>
      </c>
      <c r="Z167" t="s">
        <v>152</v>
      </c>
      <c r="AA167" t="s">
        <v>153</v>
      </c>
      <c r="AB167" t="s">
        <v>154</v>
      </c>
      <c r="AC167" t="s">
        <v>119</v>
      </c>
      <c r="AD167" t="s">
        <v>112</v>
      </c>
      <c r="AE167" t="s">
        <v>121</v>
      </c>
      <c r="AF167" t="s">
        <v>122</v>
      </c>
      <c r="AG167">
        <v>4473178.49</v>
      </c>
      <c r="AH167" t="s">
        <v>166</v>
      </c>
      <c r="AI167" t="s">
        <v>152</v>
      </c>
      <c r="AJ167" t="s">
        <v>153</v>
      </c>
      <c r="AK167" t="s">
        <v>154</v>
      </c>
      <c r="AL167" t="s">
        <v>119</v>
      </c>
      <c r="AM167" t="s">
        <v>112</v>
      </c>
      <c r="AN167" t="s">
        <v>121</v>
      </c>
      <c r="AO167" t="s">
        <v>122</v>
      </c>
      <c r="AP167" t="s">
        <v>122</v>
      </c>
      <c r="AQ167" t="s">
        <v>124</v>
      </c>
      <c r="AR167" t="s">
        <v>125</v>
      </c>
      <c r="AS167">
        <v>2</v>
      </c>
      <c r="AT167" t="s">
        <v>126</v>
      </c>
      <c r="AU167" t="s">
        <v>155</v>
      </c>
      <c r="AV167" t="s">
        <v>156</v>
      </c>
      <c r="AW167">
        <v>1</v>
      </c>
      <c r="AX167" t="s">
        <v>129</v>
      </c>
      <c r="AY167">
        <v>44335.1</v>
      </c>
      <c r="AZ167">
        <v>4091992</v>
      </c>
      <c r="BA167">
        <v>52834.36</v>
      </c>
      <c r="BB167">
        <v>92.296899999999994</v>
      </c>
      <c r="BC167" t="s">
        <v>130</v>
      </c>
      <c r="BD167" t="s">
        <v>112</v>
      </c>
      <c r="BE167" t="s">
        <v>157</v>
      </c>
      <c r="BF167" t="s">
        <v>133</v>
      </c>
      <c r="BG167" t="s">
        <v>134</v>
      </c>
      <c r="BH167" t="s">
        <v>112</v>
      </c>
      <c r="BI167" t="s">
        <v>112</v>
      </c>
      <c r="BJ167" t="s">
        <v>112</v>
      </c>
      <c r="BK167" t="s">
        <v>169</v>
      </c>
      <c r="BL167" t="s">
        <v>159</v>
      </c>
      <c r="BM167" t="s">
        <v>722</v>
      </c>
      <c r="BN167" t="s">
        <v>161</v>
      </c>
      <c r="BO167">
        <v>1</v>
      </c>
      <c r="BP167" t="s">
        <v>1361</v>
      </c>
      <c r="BR167" t="s">
        <v>150</v>
      </c>
      <c r="BS167">
        <v>33</v>
      </c>
      <c r="BT167">
        <v>0</v>
      </c>
      <c r="BU167">
        <v>0</v>
      </c>
      <c r="BW167">
        <v>0</v>
      </c>
      <c r="BY167" t="s">
        <v>106</v>
      </c>
      <c r="BZ167" t="s">
        <v>142</v>
      </c>
      <c r="CA167" t="s">
        <v>112</v>
      </c>
      <c r="CB167" t="s">
        <v>112</v>
      </c>
      <c r="CC167" t="s">
        <v>121</v>
      </c>
      <c r="CD167">
        <v>17154.09</v>
      </c>
      <c r="CE167" t="s">
        <v>144</v>
      </c>
      <c r="CF167">
        <v>4000000</v>
      </c>
      <c r="CG167">
        <v>17154.09</v>
      </c>
      <c r="CH167">
        <v>0</v>
      </c>
      <c r="CI167" t="s">
        <v>112</v>
      </c>
      <c r="CJ167" t="s">
        <v>112</v>
      </c>
      <c r="CK167">
        <v>44335.1</v>
      </c>
      <c r="CL167">
        <v>4091992</v>
      </c>
      <c r="CM167">
        <v>0</v>
      </c>
      <c r="CN167">
        <v>1</v>
      </c>
      <c r="CO167">
        <v>4473178.49</v>
      </c>
      <c r="CP167">
        <v>52834.36</v>
      </c>
      <c r="CQ167" t="s">
        <v>145</v>
      </c>
      <c r="CR167">
        <v>52834.597200000004</v>
      </c>
      <c r="CS167">
        <v>3.08</v>
      </c>
      <c r="CT167">
        <v>45</v>
      </c>
      <c r="CU167" t="s">
        <v>171</v>
      </c>
      <c r="CV167" t="s">
        <v>172</v>
      </c>
      <c r="CW167">
        <v>116</v>
      </c>
    </row>
    <row r="168" spans="1:101" x14ac:dyDescent="0.2">
      <c r="A168" t="s">
        <v>106</v>
      </c>
      <c r="B168" s="46">
        <v>45185</v>
      </c>
      <c r="C168" t="s">
        <v>1381</v>
      </c>
      <c r="D168" t="s">
        <v>108</v>
      </c>
      <c r="E168" t="s">
        <v>1382</v>
      </c>
      <c r="F168" t="s">
        <v>110</v>
      </c>
      <c r="G168" t="s">
        <v>111</v>
      </c>
      <c r="H168" t="s">
        <v>112</v>
      </c>
      <c r="I168" t="s">
        <v>112</v>
      </c>
      <c r="J168" t="s">
        <v>112</v>
      </c>
      <c r="K168" t="s">
        <v>150</v>
      </c>
      <c r="L168" t="s">
        <v>151</v>
      </c>
      <c r="M168" t="s">
        <v>112</v>
      </c>
      <c r="N168" t="s">
        <v>112</v>
      </c>
      <c r="O168">
        <v>1</v>
      </c>
      <c r="P168">
        <v>0</v>
      </c>
      <c r="Q168">
        <v>1</v>
      </c>
      <c r="R168">
        <v>33</v>
      </c>
      <c r="S168" t="s">
        <v>166</v>
      </c>
      <c r="T168" t="s">
        <v>152</v>
      </c>
      <c r="U168" t="s">
        <v>153</v>
      </c>
      <c r="V168" t="s">
        <v>154</v>
      </c>
      <c r="W168" t="s">
        <v>119</v>
      </c>
      <c r="X168" t="s">
        <v>112</v>
      </c>
      <c r="Y168" t="s">
        <v>166</v>
      </c>
      <c r="Z168" t="s">
        <v>152</v>
      </c>
      <c r="AA168" t="s">
        <v>153</v>
      </c>
      <c r="AB168" t="s">
        <v>154</v>
      </c>
      <c r="AC168" t="s">
        <v>119</v>
      </c>
      <c r="AD168" t="s">
        <v>112</v>
      </c>
      <c r="AE168" t="s">
        <v>121</v>
      </c>
      <c r="AF168" t="s">
        <v>122</v>
      </c>
      <c r="AG168">
        <v>4088320.72</v>
      </c>
      <c r="AH168" t="s">
        <v>166</v>
      </c>
      <c r="AI168" t="s">
        <v>152</v>
      </c>
      <c r="AJ168" t="s">
        <v>153</v>
      </c>
      <c r="AK168" t="s">
        <v>154</v>
      </c>
      <c r="AL168" t="s">
        <v>119</v>
      </c>
      <c r="AM168" t="s">
        <v>112</v>
      </c>
      <c r="AN168" t="s">
        <v>121</v>
      </c>
      <c r="AO168" t="s">
        <v>122</v>
      </c>
      <c r="AP168" t="s">
        <v>122</v>
      </c>
      <c r="AQ168" t="s">
        <v>124</v>
      </c>
      <c r="AR168" t="s">
        <v>125</v>
      </c>
      <c r="AS168">
        <v>2</v>
      </c>
      <c r="AT168" t="s">
        <v>126</v>
      </c>
      <c r="AU168" t="s">
        <v>155</v>
      </c>
      <c r="AV168" t="s">
        <v>156</v>
      </c>
      <c r="AW168">
        <v>1</v>
      </c>
      <c r="AX168" t="s">
        <v>129</v>
      </c>
      <c r="AY168">
        <v>40165.32</v>
      </c>
      <c r="AZ168">
        <v>3707135</v>
      </c>
      <c r="BA168">
        <v>48288.66</v>
      </c>
      <c r="BB168">
        <v>92.296899999999994</v>
      </c>
      <c r="BC168" t="s">
        <v>130</v>
      </c>
      <c r="BD168" t="s">
        <v>112</v>
      </c>
      <c r="BE168" t="s">
        <v>157</v>
      </c>
      <c r="BF168" t="s">
        <v>133</v>
      </c>
      <c r="BG168" t="s">
        <v>134</v>
      </c>
      <c r="BH168" t="s">
        <v>112</v>
      </c>
      <c r="BI168" t="s">
        <v>112</v>
      </c>
      <c r="BJ168" t="s">
        <v>112</v>
      </c>
      <c r="BK168" t="s">
        <v>169</v>
      </c>
      <c r="BL168" t="s">
        <v>159</v>
      </c>
      <c r="BM168" t="s">
        <v>722</v>
      </c>
      <c r="BN168" t="s">
        <v>161</v>
      </c>
      <c r="BO168">
        <v>1</v>
      </c>
      <c r="BP168" t="s">
        <v>1383</v>
      </c>
      <c r="BR168" t="s">
        <v>150</v>
      </c>
      <c r="BS168">
        <v>33</v>
      </c>
      <c r="BT168">
        <v>0</v>
      </c>
      <c r="BU168">
        <v>0</v>
      </c>
      <c r="BW168">
        <v>0</v>
      </c>
      <c r="BY168" t="s">
        <v>106</v>
      </c>
      <c r="BZ168" t="s">
        <v>142</v>
      </c>
      <c r="CA168" t="s">
        <v>112</v>
      </c>
      <c r="CB168" t="s">
        <v>112</v>
      </c>
      <c r="CC168" t="s">
        <v>121</v>
      </c>
      <c r="CD168">
        <v>17044.900000000001</v>
      </c>
      <c r="CE168" t="s">
        <v>144</v>
      </c>
      <c r="CF168">
        <v>4000000</v>
      </c>
      <c r="CG168">
        <v>17001.7</v>
      </c>
      <c r="CH168">
        <v>0</v>
      </c>
      <c r="CI168" t="s">
        <v>112</v>
      </c>
      <c r="CJ168" t="s">
        <v>112</v>
      </c>
      <c r="CK168">
        <v>40165.32</v>
      </c>
      <c r="CL168">
        <v>3707135</v>
      </c>
      <c r="CM168">
        <v>0</v>
      </c>
      <c r="CN168">
        <v>1</v>
      </c>
      <c r="CO168">
        <v>4088320.72</v>
      </c>
      <c r="CP168">
        <v>48288.66</v>
      </c>
      <c r="CQ168" t="s">
        <v>145</v>
      </c>
      <c r="CR168">
        <v>48284.828000000001</v>
      </c>
      <c r="CS168">
        <v>2.84</v>
      </c>
      <c r="CT168">
        <v>45</v>
      </c>
      <c r="CU168" t="s">
        <v>171</v>
      </c>
      <c r="CV168" t="s">
        <v>463</v>
      </c>
      <c r="CW168">
        <v>361</v>
      </c>
    </row>
    <row r="169" spans="1:101" x14ac:dyDescent="0.2">
      <c r="A169" t="s">
        <v>106</v>
      </c>
      <c r="B169" s="46">
        <v>44938</v>
      </c>
      <c r="C169" t="s">
        <v>1091</v>
      </c>
      <c r="D169" t="s">
        <v>108</v>
      </c>
      <c r="E169" t="s">
        <v>1092</v>
      </c>
      <c r="F169" t="s">
        <v>110</v>
      </c>
      <c r="G169" t="s">
        <v>111</v>
      </c>
      <c r="H169" t="s">
        <v>112</v>
      </c>
      <c r="I169" t="s">
        <v>112</v>
      </c>
      <c r="J169" t="s">
        <v>112</v>
      </c>
      <c r="K169" t="s">
        <v>150</v>
      </c>
      <c r="L169" t="s">
        <v>1020</v>
      </c>
      <c r="M169" t="s">
        <v>112</v>
      </c>
      <c r="N169" t="s">
        <v>112</v>
      </c>
      <c r="O169">
        <v>1</v>
      </c>
      <c r="Q169">
        <v>1</v>
      </c>
      <c r="R169">
        <v>33</v>
      </c>
      <c r="S169" t="s">
        <v>166</v>
      </c>
      <c r="T169" t="s">
        <v>152</v>
      </c>
      <c r="U169" t="s">
        <v>153</v>
      </c>
      <c r="V169" t="s">
        <v>154</v>
      </c>
      <c r="W169" t="s">
        <v>119</v>
      </c>
      <c r="X169" t="s">
        <v>112</v>
      </c>
      <c r="Y169" t="s">
        <v>166</v>
      </c>
      <c r="Z169" t="s">
        <v>152</v>
      </c>
      <c r="AA169" t="s">
        <v>153</v>
      </c>
      <c r="AB169" t="s">
        <v>154</v>
      </c>
      <c r="AC169" t="s">
        <v>119</v>
      </c>
      <c r="AD169" t="s">
        <v>112</v>
      </c>
      <c r="AE169" t="s">
        <v>121</v>
      </c>
      <c r="AF169" t="s">
        <v>122</v>
      </c>
      <c r="AG169">
        <v>4296117.7699999996</v>
      </c>
      <c r="AH169" t="s">
        <v>166</v>
      </c>
      <c r="AI169" t="s">
        <v>152</v>
      </c>
      <c r="AJ169" t="s">
        <v>153</v>
      </c>
      <c r="AK169" t="s">
        <v>154</v>
      </c>
      <c r="AL169" t="s">
        <v>119</v>
      </c>
      <c r="AM169" t="s">
        <v>112</v>
      </c>
      <c r="AN169" t="s">
        <v>121</v>
      </c>
      <c r="AO169" t="s">
        <v>122</v>
      </c>
      <c r="AP169" t="s">
        <v>122</v>
      </c>
      <c r="AQ169" t="s">
        <v>124</v>
      </c>
      <c r="AR169" t="s">
        <v>125</v>
      </c>
      <c r="AS169">
        <v>2</v>
      </c>
      <c r="AT169" t="s">
        <v>126</v>
      </c>
      <c r="AU169" t="s">
        <v>155</v>
      </c>
      <c r="AV169" t="s">
        <v>156</v>
      </c>
      <c r="AW169">
        <v>1</v>
      </c>
      <c r="AX169" t="s">
        <v>129</v>
      </c>
      <c r="AY169">
        <v>43308.6</v>
      </c>
      <c r="AZ169">
        <v>3903993</v>
      </c>
      <c r="BA169">
        <v>52630.83</v>
      </c>
      <c r="BB169">
        <v>90.143600000000006</v>
      </c>
      <c r="BC169" t="s">
        <v>130</v>
      </c>
      <c r="BD169" t="s">
        <v>112</v>
      </c>
      <c r="BE169" t="s">
        <v>157</v>
      </c>
      <c r="BF169" t="s">
        <v>133</v>
      </c>
      <c r="BG169" t="s">
        <v>134</v>
      </c>
      <c r="BH169" t="s">
        <v>112</v>
      </c>
      <c r="BI169" t="s">
        <v>112</v>
      </c>
      <c r="BJ169" t="s">
        <v>112</v>
      </c>
      <c r="BK169" t="s">
        <v>169</v>
      </c>
      <c r="BL169" t="s">
        <v>159</v>
      </c>
      <c r="BM169" t="s">
        <v>722</v>
      </c>
      <c r="BN169" t="s">
        <v>161</v>
      </c>
      <c r="BO169">
        <v>1</v>
      </c>
      <c r="BP169" t="s">
        <v>232</v>
      </c>
      <c r="BR169" t="s">
        <v>150</v>
      </c>
      <c r="BS169">
        <v>33</v>
      </c>
      <c r="BY169" t="s">
        <v>106</v>
      </c>
      <c r="BZ169" t="s">
        <v>142</v>
      </c>
      <c r="CA169" t="s">
        <v>112</v>
      </c>
      <c r="CB169" t="s">
        <v>112</v>
      </c>
      <c r="CC169" t="s">
        <v>121</v>
      </c>
      <c r="CD169">
        <v>17232.330000000002</v>
      </c>
      <c r="CE169" t="s">
        <v>144</v>
      </c>
      <c r="CF169">
        <v>4000000</v>
      </c>
      <c r="CG169">
        <v>17181.330000000002</v>
      </c>
      <c r="CI169" t="s">
        <v>112</v>
      </c>
      <c r="CJ169" t="s">
        <v>112</v>
      </c>
      <c r="CK169">
        <v>43308.6</v>
      </c>
      <c r="CL169">
        <v>3903993</v>
      </c>
      <c r="CM169">
        <v>0</v>
      </c>
      <c r="CN169">
        <v>1</v>
      </c>
      <c r="CO169">
        <v>4296117.7699999996</v>
      </c>
      <c r="CP169">
        <v>52630.83</v>
      </c>
      <c r="CQ169" t="s">
        <v>145</v>
      </c>
      <c r="CR169">
        <v>52631.568189000005</v>
      </c>
      <c r="CS169">
        <v>3.0632999999999999</v>
      </c>
      <c r="CT169">
        <v>45</v>
      </c>
      <c r="CU169" t="s">
        <v>171</v>
      </c>
      <c r="CV169" t="s">
        <v>372</v>
      </c>
      <c r="CW169">
        <v>146</v>
      </c>
    </row>
    <row r="170" spans="1:101" x14ac:dyDescent="0.2">
      <c r="A170" t="s">
        <v>106</v>
      </c>
      <c r="B170" s="46">
        <v>44959</v>
      </c>
      <c r="C170" t="s">
        <v>1030</v>
      </c>
      <c r="D170" t="s">
        <v>108</v>
      </c>
      <c r="E170" t="s">
        <v>1031</v>
      </c>
      <c r="F170" t="s">
        <v>110</v>
      </c>
      <c r="G170" t="s">
        <v>111</v>
      </c>
      <c r="H170" t="s">
        <v>112</v>
      </c>
      <c r="I170" t="s">
        <v>112</v>
      </c>
      <c r="J170" t="s">
        <v>112</v>
      </c>
      <c r="K170" t="s">
        <v>150</v>
      </c>
      <c r="L170" t="s">
        <v>1020</v>
      </c>
      <c r="M170" t="s">
        <v>112</v>
      </c>
      <c r="N170" t="s">
        <v>112</v>
      </c>
      <c r="O170">
        <v>1</v>
      </c>
      <c r="P170">
        <v>0</v>
      </c>
      <c r="Q170">
        <v>1</v>
      </c>
      <c r="R170">
        <v>33</v>
      </c>
      <c r="S170" t="s">
        <v>166</v>
      </c>
      <c r="T170" t="s">
        <v>152</v>
      </c>
      <c r="U170" t="s">
        <v>153</v>
      </c>
      <c r="V170" t="s">
        <v>154</v>
      </c>
      <c r="W170" t="s">
        <v>119</v>
      </c>
      <c r="X170" t="s">
        <v>112</v>
      </c>
      <c r="Y170" t="s">
        <v>166</v>
      </c>
      <c r="Z170" t="s">
        <v>152</v>
      </c>
      <c r="AA170" t="s">
        <v>153</v>
      </c>
      <c r="AB170" t="s">
        <v>154</v>
      </c>
      <c r="AC170" t="s">
        <v>119</v>
      </c>
      <c r="AD170" t="s">
        <v>112</v>
      </c>
      <c r="AE170" t="s">
        <v>121</v>
      </c>
      <c r="AF170" t="s">
        <v>122</v>
      </c>
      <c r="AG170">
        <v>4174207.57</v>
      </c>
      <c r="AH170" t="s">
        <v>166</v>
      </c>
      <c r="AI170" t="s">
        <v>152</v>
      </c>
      <c r="AJ170" t="s">
        <v>153</v>
      </c>
      <c r="AK170" t="s">
        <v>154</v>
      </c>
      <c r="AL170" t="s">
        <v>119</v>
      </c>
      <c r="AM170" t="s">
        <v>112</v>
      </c>
      <c r="AN170" t="s">
        <v>121</v>
      </c>
      <c r="AO170" t="s">
        <v>122</v>
      </c>
      <c r="AP170" t="s">
        <v>122</v>
      </c>
      <c r="AQ170" t="s">
        <v>124</v>
      </c>
      <c r="AR170" t="s">
        <v>125</v>
      </c>
      <c r="AS170">
        <v>2</v>
      </c>
      <c r="AT170" t="s">
        <v>126</v>
      </c>
      <c r="AU170" t="s">
        <v>155</v>
      </c>
      <c r="AV170" t="s">
        <v>156</v>
      </c>
      <c r="AW170">
        <v>1</v>
      </c>
      <c r="AX170" t="s">
        <v>129</v>
      </c>
      <c r="AY170">
        <v>41956.2</v>
      </c>
      <c r="AZ170">
        <v>3782083</v>
      </c>
      <c r="BA170">
        <v>51137.33</v>
      </c>
      <c r="BB170">
        <v>90.143600000000006</v>
      </c>
      <c r="BC170" t="s">
        <v>130</v>
      </c>
      <c r="BD170" t="s">
        <v>112</v>
      </c>
      <c r="BE170" t="s">
        <v>157</v>
      </c>
      <c r="BF170" t="s">
        <v>133</v>
      </c>
      <c r="BG170" t="s">
        <v>134</v>
      </c>
      <c r="BH170" t="s">
        <v>112</v>
      </c>
      <c r="BI170" t="s">
        <v>112</v>
      </c>
      <c r="BJ170" t="s">
        <v>112</v>
      </c>
      <c r="BK170" t="s">
        <v>169</v>
      </c>
      <c r="BL170" t="s">
        <v>159</v>
      </c>
      <c r="BM170" t="s">
        <v>722</v>
      </c>
      <c r="BN170" t="s">
        <v>161</v>
      </c>
      <c r="BO170">
        <v>1</v>
      </c>
      <c r="BP170" t="s">
        <v>466</v>
      </c>
      <c r="BR170" t="s">
        <v>150</v>
      </c>
      <c r="BS170">
        <v>33</v>
      </c>
      <c r="BT170">
        <v>0</v>
      </c>
      <c r="BU170">
        <v>0</v>
      </c>
      <c r="BW170">
        <v>0</v>
      </c>
      <c r="BY170" t="s">
        <v>106</v>
      </c>
      <c r="BZ170" t="s">
        <v>142</v>
      </c>
      <c r="CA170" t="s">
        <v>112</v>
      </c>
      <c r="CB170" t="s">
        <v>112</v>
      </c>
      <c r="CC170" t="s">
        <v>121</v>
      </c>
      <c r="CD170">
        <v>16642.5</v>
      </c>
      <c r="CE170" t="s">
        <v>144</v>
      </c>
      <c r="CF170">
        <v>4000000</v>
      </c>
      <c r="CG170">
        <v>16512.900000000001</v>
      </c>
      <c r="CH170">
        <v>0</v>
      </c>
      <c r="CI170" t="s">
        <v>112</v>
      </c>
      <c r="CJ170" t="s">
        <v>112</v>
      </c>
      <c r="CK170">
        <v>41956.2</v>
      </c>
      <c r="CL170">
        <v>3782083</v>
      </c>
      <c r="CM170">
        <v>0</v>
      </c>
      <c r="CN170">
        <v>1</v>
      </c>
      <c r="CO170">
        <v>4174207.57</v>
      </c>
      <c r="CP170">
        <v>51137.33</v>
      </c>
      <c r="CQ170" t="s">
        <v>145</v>
      </c>
      <c r="CR170">
        <v>51137.148720000005</v>
      </c>
      <c r="CS170">
        <v>3.0968</v>
      </c>
      <c r="CT170">
        <v>45</v>
      </c>
      <c r="CU170" t="s">
        <v>171</v>
      </c>
      <c r="CV170" t="s">
        <v>369</v>
      </c>
      <c r="CW170">
        <v>325</v>
      </c>
    </row>
    <row r="171" spans="1:101" x14ac:dyDescent="0.2">
      <c r="A171" t="s">
        <v>106</v>
      </c>
      <c r="B171" s="46">
        <v>45280</v>
      </c>
      <c r="C171" t="s">
        <v>1032</v>
      </c>
      <c r="D171" t="s">
        <v>108</v>
      </c>
      <c r="E171" t="s">
        <v>1033</v>
      </c>
      <c r="F171" t="s">
        <v>110</v>
      </c>
      <c r="G171" t="s">
        <v>111</v>
      </c>
      <c r="H171" t="s">
        <v>112</v>
      </c>
      <c r="I171" t="s">
        <v>112</v>
      </c>
      <c r="J171" t="s">
        <v>112</v>
      </c>
      <c r="K171" t="s">
        <v>150</v>
      </c>
      <c r="L171" t="s">
        <v>1020</v>
      </c>
      <c r="M171" t="s">
        <v>112</v>
      </c>
      <c r="N171" t="s">
        <v>112</v>
      </c>
      <c r="O171">
        <v>1</v>
      </c>
      <c r="P171">
        <v>0</v>
      </c>
      <c r="Q171">
        <v>1</v>
      </c>
      <c r="R171">
        <v>33</v>
      </c>
      <c r="S171" t="s">
        <v>166</v>
      </c>
      <c r="T171" t="s">
        <v>152</v>
      </c>
      <c r="U171" t="s">
        <v>153</v>
      </c>
      <c r="V171" t="s">
        <v>154</v>
      </c>
      <c r="W171" t="s">
        <v>119</v>
      </c>
      <c r="X171" t="s">
        <v>112</v>
      </c>
      <c r="Y171" t="s">
        <v>166</v>
      </c>
      <c r="Z171" t="s">
        <v>152</v>
      </c>
      <c r="AA171" t="s">
        <v>153</v>
      </c>
      <c r="AB171" t="s">
        <v>154</v>
      </c>
      <c r="AC171" t="s">
        <v>119</v>
      </c>
      <c r="AD171" t="s">
        <v>112</v>
      </c>
      <c r="AE171" t="s">
        <v>121</v>
      </c>
      <c r="AF171" t="s">
        <v>122</v>
      </c>
      <c r="AG171">
        <v>4398924.75</v>
      </c>
      <c r="AH171" t="s">
        <v>166</v>
      </c>
      <c r="AI171" t="s">
        <v>152</v>
      </c>
      <c r="AJ171" t="s">
        <v>153</v>
      </c>
      <c r="AK171" t="s">
        <v>154</v>
      </c>
      <c r="AL171" t="s">
        <v>119</v>
      </c>
      <c r="AM171" t="s">
        <v>112</v>
      </c>
      <c r="AN171" t="s">
        <v>121</v>
      </c>
      <c r="AO171" t="s">
        <v>122</v>
      </c>
      <c r="AP171" t="s">
        <v>122</v>
      </c>
      <c r="AQ171" t="s">
        <v>124</v>
      </c>
      <c r="AR171" t="s">
        <v>125</v>
      </c>
      <c r="AS171">
        <v>2</v>
      </c>
      <c r="AT171" t="s">
        <v>126</v>
      </c>
      <c r="AU171" t="s">
        <v>155</v>
      </c>
      <c r="AV171" t="s">
        <v>156</v>
      </c>
      <c r="AW171">
        <v>1</v>
      </c>
      <c r="AX171" t="s">
        <v>129</v>
      </c>
      <c r="AY171">
        <v>44449.08</v>
      </c>
      <c r="AZ171">
        <v>4006800</v>
      </c>
      <c r="BA171">
        <v>53890.3</v>
      </c>
      <c r="BB171">
        <v>90.143600000000006</v>
      </c>
      <c r="BC171" t="s">
        <v>130</v>
      </c>
      <c r="BD171" t="s">
        <v>112</v>
      </c>
      <c r="BE171" t="s">
        <v>157</v>
      </c>
      <c r="BF171" t="s">
        <v>133</v>
      </c>
      <c r="BG171" t="s">
        <v>134</v>
      </c>
      <c r="BH171" t="s">
        <v>112</v>
      </c>
      <c r="BI171" t="s">
        <v>112</v>
      </c>
      <c r="BJ171" t="s">
        <v>112</v>
      </c>
      <c r="BK171" t="s">
        <v>169</v>
      </c>
      <c r="BL171" t="s">
        <v>159</v>
      </c>
      <c r="BM171" t="s">
        <v>722</v>
      </c>
      <c r="BN171" t="s">
        <v>161</v>
      </c>
      <c r="BO171">
        <v>1</v>
      </c>
      <c r="BP171" t="s">
        <v>232</v>
      </c>
      <c r="BR171" t="s">
        <v>150</v>
      </c>
      <c r="BS171">
        <v>33</v>
      </c>
      <c r="BT171">
        <v>0</v>
      </c>
      <c r="BU171">
        <v>0</v>
      </c>
      <c r="BW171">
        <v>0</v>
      </c>
      <c r="BY171" t="s">
        <v>106</v>
      </c>
      <c r="BZ171" t="s">
        <v>142</v>
      </c>
      <c r="CA171" t="s">
        <v>112</v>
      </c>
      <c r="CB171" t="s">
        <v>112</v>
      </c>
      <c r="CC171" t="s">
        <v>121</v>
      </c>
      <c r="CD171">
        <v>17034.38</v>
      </c>
      <c r="CE171" t="s">
        <v>144</v>
      </c>
      <c r="CF171">
        <v>4000000</v>
      </c>
      <c r="CG171">
        <v>16947.98</v>
      </c>
      <c r="CH171">
        <v>0</v>
      </c>
      <c r="CI171" t="s">
        <v>112</v>
      </c>
      <c r="CJ171" t="s">
        <v>112</v>
      </c>
      <c r="CK171">
        <v>44449.08</v>
      </c>
      <c r="CL171">
        <v>4006800</v>
      </c>
      <c r="CM171">
        <v>0</v>
      </c>
      <c r="CN171">
        <v>1</v>
      </c>
      <c r="CO171">
        <v>4398924.75</v>
      </c>
      <c r="CP171">
        <v>53890.3</v>
      </c>
      <c r="CQ171" t="s">
        <v>145</v>
      </c>
      <c r="CR171">
        <v>53889.492006</v>
      </c>
      <c r="CS171">
        <v>3.1797</v>
      </c>
      <c r="CT171">
        <v>45</v>
      </c>
      <c r="CU171" t="s">
        <v>171</v>
      </c>
      <c r="CV171" t="s">
        <v>350</v>
      </c>
      <c r="CW171">
        <v>544</v>
      </c>
    </row>
    <row r="172" spans="1:101" x14ac:dyDescent="0.2">
      <c r="A172" t="s">
        <v>106</v>
      </c>
      <c r="B172" s="46">
        <v>45180</v>
      </c>
      <c r="C172" t="s">
        <v>720</v>
      </c>
      <c r="D172" t="s">
        <v>108</v>
      </c>
      <c r="E172" t="s">
        <v>721</v>
      </c>
      <c r="F172" t="s">
        <v>110</v>
      </c>
      <c r="G172" t="s">
        <v>111</v>
      </c>
      <c r="H172" t="s">
        <v>112</v>
      </c>
      <c r="I172" t="s">
        <v>112</v>
      </c>
      <c r="J172" t="s">
        <v>112</v>
      </c>
      <c r="K172" t="s">
        <v>150</v>
      </c>
      <c r="L172" t="s">
        <v>151</v>
      </c>
      <c r="M172" t="s">
        <v>112</v>
      </c>
      <c r="N172" t="s">
        <v>112</v>
      </c>
      <c r="O172">
        <v>1</v>
      </c>
      <c r="P172">
        <v>0</v>
      </c>
      <c r="Q172">
        <v>1</v>
      </c>
      <c r="R172">
        <v>33</v>
      </c>
      <c r="S172" t="s">
        <v>166</v>
      </c>
      <c r="T172" t="s">
        <v>152</v>
      </c>
      <c r="U172" t="s">
        <v>153</v>
      </c>
      <c r="V172" t="s">
        <v>154</v>
      </c>
      <c r="W172" t="s">
        <v>119</v>
      </c>
      <c r="X172" t="s">
        <v>112</v>
      </c>
      <c r="Y172" t="s">
        <v>166</v>
      </c>
      <c r="Z172" t="s">
        <v>152</v>
      </c>
      <c r="AA172" t="s">
        <v>153</v>
      </c>
      <c r="AB172" t="s">
        <v>154</v>
      </c>
      <c r="AC172" t="s">
        <v>119</v>
      </c>
      <c r="AD172" t="s">
        <v>112</v>
      </c>
      <c r="AE172" t="s">
        <v>121</v>
      </c>
      <c r="AF172" t="s">
        <v>122</v>
      </c>
      <c r="AG172">
        <v>3890475.43</v>
      </c>
      <c r="AH172" t="s">
        <v>166</v>
      </c>
      <c r="AI172" t="s">
        <v>152</v>
      </c>
      <c r="AJ172" t="s">
        <v>153</v>
      </c>
      <c r="AK172" t="s">
        <v>154</v>
      </c>
      <c r="AL172" t="s">
        <v>119</v>
      </c>
      <c r="AM172" t="s">
        <v>112</v>
      </c>
      <c r="AN172" t="s">
        <v>121</v>
      </c>
      <c r="AO172" t="s">
        <v>122</v>
      </c>
      <c r="AP172" t="s">
        <v>122</v>
      </c>
      <c r="AQ172" t="s">
        <v>124</v>
      </c>
      <c r="AR172" t="s">
        <v>125</v>
      </c>
      <c r="AS172">
        <v>2</v>
      </c>
      <c r="AT172" t="s">
        <v>126</v>
      </c>
      <c r="AU172" t="s">
        <v>155</v>
      </c>
      <c r="AV172" t="s">
        <v>156</v>
      </c>
      <c r="AW172">
        <v>1</v>
      </c>
      <c r="AX172" t="s">
        <v>129</v>
      </c>
      <c r="AY172">
        <v>42168.92</v>
      </c>
      <c r="AZ172">
        <v>3474394</v>
      </c>
      <c r="BA172">
        <v>50890.55</v>
      </c>
      <c r="BB172">
        <v>82.392300000000006</v>
      </c>
      <c r="BC172" t="s">
        <v>130</v>
      </c>
      <c r="BD172" t="s">
        <v>112</v>
      </c>
      <c r="BE172" t="s">
        <v>157</v>
      </c>
      <c r="BF172" t="s">
        <v>133</v>
      </c>
      <c r="BG172" t="s">
        <v>134</v>
      </c>
      <c r="BH172" t="s">
        <v>112</v>
      </c>
      <c r="BI172" t="s">
        <v>112</v>
      </c>
      <c r="BJ172" t="s">
        <v>112</v>
      </c>
      <c r="BK172" t="s">
        <v>169</v>
      </c>
      <c r="BL172" t="s">
        <v>159</v>
      </c>
      <c r="BM172" t="s">
        <v>722</v>
      </c>
      <c r="BN172" t="s">
        <v>161</v>
      </c>
      <c r="BO172">
        <v>1</v>
      </c>
      <c r="BP172" t="s">
        <v>723</v>
      </c>
      <c r="BR172" t="s">
        <v>150</v>
      </c>
      <c r="BS172">
        <v>33</v>
      </c>
      <c r="BT172">
        <v>0</v>
      </c>
      <c r="BU172">
        <v>0</v>
      </c>
      <c r="BW172">
        <v>0</v>
      </c>
      <c r="BY172" t="s">
        <v>106</v>
      </c>
      <c r="BZ172" t="s">
        <v>142</v>
      </c>
      <c r="CA172" t="s">
        <v>112</v>
      </c>
      <c r="CB172" t="s">
        <v>112</v>
      </c>
      <c r="CC172" t="s">
        <v>121</v>
      </c>
      <c r="CD172">
        <v>16253.74</v>
      </c>
      <c r="CE172" t="s">
        <v>144</v>
      </c>
      <c r="CF172">
        <v>4000000</v>
      </c>
      <c r="CG172">
        <v>16223.14</v>
      </c>
      <c r="CH172">
        <v>0</v>
      </c>
      <c r="CI172" t="s">
        <v>112</v>
      </c>
      <c r="CJ172" t="s">
        <v>112</v>
      </c>
      <c r="CK172">
        <v>42168.92</v>
      </c>
      <c r="CL172">
        <v>3474394</v>
      </c>
      <c r="CM172">
        <v>0</v>
      </c>
      <c r="CN172">
        <v>1</v>
      </c>
      <c r="CO172">
        <v>3890475.43</v>
      </c>
      <c r="CP172">
        <v>50890.55</v>
      </c>
      <c r="CQ172" t="s">
        <v>145</v>
      </c>
      <c r="CR172">
        <v>50890.367865999993</v>
      </c>
      <c r="CS172">
        <v>3.1368999999999998</v>
      </c>
      <c r="CT172">
        <v>45</v>
      </c>
      <c r="CU172" t="s">
        <v>171</v>
      </c>
      <c r="CV172" t="s">
        <v>372</v>
      </c>
      <c r="CW172">
        <v>314</v>
      </c>
    </row>
    <row r="173" spans="1:101" x14ac:dyDescent="0.2">
      <c r="A173" t="s">
        <v>106</v>
      </c>
      <c r="B173" s="46">
        <v>45044</v>
      </c>
      <c r="C173" t="s">
        <v>759</v>
      </c>
      <c r="D173" t="s">
        <v>108</v>
      </c>
      <c r="E173" t="s">
        <v>760</v>
      </c>
      <c r="F173" t="s">
        <v>110</v>
      </c>
      <c r="G173" t="s">
        <v>111</v>
      </c>
      <c r="H173" t="s">
        <v>112</v>
      </c>
      <c r="I173" t="s">
        <v>112</v>
      </c>
      <c r="J173" t="s">
        <v>112</v>
      </c>
      <c r="K173" t="s">
        <v>150</v>
      </c>
      <c r="L173" t="s">
        <v>151</v>
      </c>
      <c r="M173" t="s">
        <v>112</v>
      </c>
      <c r="N173" t="s">
        <v>112</v>
      </c>
      <c r="O173">
        <v>1</v>
      </c>
      <c r="P173">
        <v>0</v>
      </c>
      <c r="Q173">
        <v>1</v>
      </c>
      <c r="R173">
        <v>33</v>
      </c>
      <c r="S173" t="s">
        <v>166</v>
      </c>
      <c r="T173" t="s">
        <v>152</v>
      </c>
      <c r="U173" t="s">
        <v>153</v>
      </c>
      <c r="V173" t="s">
        <v>154</v>
      </c>
      <c r="W173" t="s">
        <v>119</v>
      </c>
      <c r="X173" t="s">
        <v>112</v>
      </c>
      <c r="Y173" t="s">
        <v>166</v>
      </c>
      <c r="Z173" t="s">
        <v>152</v>
      </c>
      <c r="AA173" t="s">
        <v>153</v>
      </c>
      <c r="AB173" t="s">
        <v>154</v>
      </c>
      <c r="AC173" t="s">
        <v>119</v>
      </c>
      <c r="AD173" t="s">
        <v>112</v>
      </c>
      <c r="AE173" t="s">
        <v>121</v>
      </c>
      <c r="AF173" t="s">
        <v>122</v>
      </c>
      <c r="AG173">
        <v>3970129.83</v>
      </c>
      <c r="AH173" t="s">
        <v>166</v>
      </c>
      <c r="AI173" t="s">
        <v>152</v>
      </c>
      <c r="AJ173" t="s">
        <v>153</v>
      </c>
      <c r="AK173" t="s">
        <v>154</v>
      </c>
      <c r="AL173" t="s">
        <v>119</v>
      </c>
      <c r="AM173" t="s">
        <v>112</v>
      </c>
      <c r="AN173" t="s">
        <v>121</v>
      </c>
      <c r="AO173" t="s">
        <v>122</v>
      </c>
      <c r="AP173" t="s">
        <v>122</v>
      </c>
      <c r="AQ173" t="s">
        <v>124</v>
      </c>
      <c r="AR173" t="s">
        <v>125</v>
      </c>
      <c r="AS173">
        <v>2</v>
      </c>
      <c r="AT173" t="s">
        <v>126</v>
      </c>
      <c r="AU173" t="s">
        <v>155</v>
      </c>
      <c r="AV173" t="s">
        <v>156</v>
      </c>
      <c r="AW173">
        <v>1</v>
      </c>
      <c r="AX173" t="s">
        <v>129</v>
      </c>
      <c r="AY173">
        <v>43835.69</v>
      </c>
      <c r="AZ173">
        <v>3611723</v>
      </c>
      <c r="BA173">
        <v>51932.49</v>
      </c>
      <c r="BB173">
        <v>82.392300000000006</v>
      </c>
      <c r="BC173" t="s">
        <v>130</v>
      </c>
      <c r="BD173" t="s">
        <v>112</v>
      </c>
      <c r="BE173" t="s">
        <v>157</v>
      </c>
      <c r="BF173" t="s">
        <v>133</v>
      </c>
      <c r="BG173" t="s">
        <v>134</v>
      </c>
      <c r="BH173" t="s">
        <v>112</v>
      </c>
      <c r="BI173" t="s">
        <v>112</v>
      </c>
      <c r="BJ173" t="s">
        <v>112</v>
      </c>
      <c r="BK173" t="s">
        <v>169</v>
      </c>
      <c r="BL173" t="s">
        <v>159</v>
      </c>
      <c r="BM173" t="s">
        <v>722</v>
      </c>
      <c r="BN173" t="s">
        <v>161</v>
      </c>
      <c r="BO173">
        <v>1</v>
      </c>
      <c r="BP173" t="s">
        <v>761</v>
      </c>
      <c r="BR173" t="s">
        <v>150</v>
      </c>
      <c r="BS173">
        <v>33</v>
      </c>
      <c r="BT173">
        <v>0</v>
      </c>
      <c r="BU173">
        <v>0</v>
      </c>
      <c r="BW173">
        <v>0</v>
      </c>
      <c r="BY173" t="s">
        <v>106</v>
      </c>
      <c r="BZ173" t="s">
        <v>142</v>
      </c>
      <c r="CA173" t="s">
        <v>112</v>
      </c>
      <c r="CB173" t="s">
        <v>112</v>
      </c>
      <c r="CC173" t="s">
        <v>121</v>
      </c>
      <c r="CD173">
        <v>16430.41</v>
      </c>
      <c r="CE173" t="s">
        <v>144</v>
      </c>
      <c r="CF173">
        <v>4000000</v>
      </c>
      <c r="CG173">
        <v>16430.41</v>
      </c>
      <c r="CH173">
        <v>0</v>
      </c>
      <c r="CI173" t="s">
        <v>112</v>
      </c>
      <c r="CJ173" t="s">
        <v>112</v>
      </c>
      <c r="CK173">
        <v>43835.69</v>
      </c>
      <c r="CL173">
        <v>3611723</v>
      </c>
      <c r="CM173">
        <v>0</v>
      </c>
      <c r="CN173">
        <v>1</v>
      </c>
      <c r="CO173">
        <v>3970129.83</v>
      </c>
      <c r="CP173">
        <v>51932.49</v>
      </c>
      <c r="CQ173" t="s">
        <v>145</v>
      </c>
      <c r="CR173">
        <v>51933.239928000003</v>
      </c>
      <c r="CS173">
        <v>3.1608000000000001</v>
      </c>
      <c r="CT173">
        <v>45</v>
      </c>
      <c r="CU173" t="s">
        <v>171</v>
      </c>
      <c r="CV173" t="s">
        <v>369</v>
      </c>
      <c r="CW173">
        <v>178</v>
      </c>
    </row>
    <row r="174" spans="1:101" x14ac:dyDescent="0.2">
      <c r="A174" t="s">
        <v>106</v>
      </c>
      <c r="B174" s="46">
        <v>45219</v>
      </c>
      <c r="C174" t="s">
        <v>724</v>
      </c>
      <c r="D174" t="s">
        <v>108</v>
      </c>
      <c r="E174" t="s">
        <v>725</v>
      </c>
      <c r="F174" t="s">
        <v>110</v>
      </c>
      <c r="G174" t="s">
        <v>111</v>
      </c>
      <c r="H174" t="s">
        <v>112</v>
      </c>
      <c r="I174" t="s">
        <v>112</v>
      </c>
      <c r="J174" t="s">
        <v>112</v>
      </c>
      <c r="K174" t="s">
        <v>150</v>
      </c>
      <c r="L174" t="s">
        <v>151</v>
      </c>
      <c r="M174" t="s">
        <v>112</v>
      </c>
      <c r="N174" t="s">
        <v>112</v>
      </c>
      <c r="O174">
        <v>1</v>
      </c>
      <c r="P174">
        <v>0</v>
      </c>
      <c r="Q174">
        <v>1</v>
      </c>
      <c r="R174">
        <v>33</v>
      </c>
      <c r="S174" t="s">
        <v>166</v>
      </c>
      <c r="T174" t="s">
        <v>152</v>
      </c>
      <c r="U174" t="s">
        <v>153</v>
      </c>
      <c r="V174" t="s">
        <v>154</v>
      </c>
      <c r="W174" t="s">
        <v>119</v>
      </c>
      <c r="X174" t="s">
        <v>112</v>
      </c>
      <c r="Y174" t="s">
        <v>166</v>
      </c>
      <c r="Z174" t="s">
        <v>152</v>
      </c>
      <c r="AA174" t="s">
        <v>153</v>
      </c>
      <c r="AB174" t="s">
        <v>154</v>
      </c>
      <c r="AC174" t="s">
        <v>119</v>
      </c>
      <c r="AD174" t="s">
        <v>112</v>
      </c>
      <c r="AE174" t="s">
        <v>121</v>
      </c>
      <c r="AF174" t="s">
        <v>122</v>
      </c>
      <c r="AG174">
        <v>3887568.63</v>
      </c>
      <c r="AH174" t="s">
        <v>166</v>
      </c>
      <c r="AI174" t="s">
        <v>152</v>
      </c>
      <c r="AJ174" t="s">
        <v>153</v>
      </c>
      <c r="AK174" t="s">
        <v>154</v>
      </c>
      <c r="AL174" t="s">
        <v>119</v>
      </c>
      <c r="AM174" t="s">
        <v>112</v>
      </c>
      <c r="AN174" t="s">
        <v>121</v>
      </c>
      <c r="AO174" t="s">
        <v>122</v>
      </c>
      <c r="AP174" t="s">
        <v>122</v>
      </c>
      <c r="AQ174" t="s">
        <v>124</v>
      </c>
      <c r="AR174" t="s">
        <v>125</v>
      </c>
      <c r="AS174">
        <v>2</v>
      </c>
      <c r="AT174" t="s">
        <v>126</v>
      </c>
      <c r="AU174" t="s">
        <v>155</v>
      </c>
      <c r="AV174" t="s">
        <v>156</v>
      </c>
      <c r="AW174">
        <v>1</v>
      </c>
      <c r="AX174" t="s">
        <v>129</v>
      </c>
      <c r="AY174">
        <v>42833.64</v>
      </c>
      <c r="AZ174">
        <v>3529162</v>
      </c>
      <c r="BA174">
        <v>50852.52</v>
      </c>
      <c r="BB174">
        <v>82.392300000000006</v>
      </c>
      <c r="BC174" t="s">
        <v>130</v>
      </c>
      <c r="BD174" t="s">
        <v>112</v>
      </c>
      <c r="BE174" t="s">
        <v>157</v>
      </c>
      <c r="BF174" t="s">
        <v>133</v>
      </c>
      <c r="BG174" t="s">
        <v>167</v>
      </c>
      <c r="BH174" t="s">
        <v>168</v>
      </c>
      <c r="BI174" t="s">
        <v>112</v>
      </c>
      <c r="BJ174" t="s">
        <v>112</v>
      </c>
      <c r="BK174" t="s">
        <v>169</v>
      </c>
      <c r="BL174" t="s">
        <v>159</v>
      </c>
      <c r="BM174" t="s">
        <v>726</v>
      </c>
      <c r="BN174" t="s">
        <v>161</v>
      </c>
      <c r="BO174">
        <v>1</v>
      </c>
      <c r="BP174" t="s">
        <v>650</v>
      </c>
      <c r="BR174" t="s">
        <v>150</v>
      </c>
      <c r="BS174">
        <v>33</v>
      </c>
      <c r="BT174">
        <v>0</v>
      </c>
      <c r="BU174">
        <v>0</v>
      </c>
      <c r="BW174">
        <v>0</v>
      </c>
      <c r="BY174" t="s">
        <v>106</v>
      </c>
      <c r="BZ174" t="s">
        <v>142</v>
      </c>
      <c r="CA174" t="s">
        <v>112</v>
      </c>
      <c r="CB174" t="s">
        <v>112</v>
      </c>
      <c r="CC174" t="s">
        <v>121</v>
      </c>
      <c r="CD174">
        <v>16419.419999999998</v>
      </c>
      <c r="CE174" t="s">
        <v>144</v>
      </c>
      <c r="CF174">
        <v>4000000</v>
      </c>
      <c r="CG174">
        <v>16419.419999999998</v>
      </c>
      <c r="CH174">
        <v>0</v>
      </c>
      <c r="CI174" t="s">
        <v>112</v>
      </c>
      <c r="CJ174" t="s">
        <v>112</v>
      </c>
      <c r="CK174">
        <v>42833.64</v>
      </c>
      <c r="CL174">
        <v>3529162</v>
      </c>
      <c r="CM174">
        <v>0</v>
      </c>
      <c r="CN174">
        <v>1</v>
      </c>
      <c r="CO174">
        <v>3887568.63</v>
      </c>
      <c r="CP174">
        <v>50852.52</v>
      </c>
      <c r="CQ174" t="s">
        <v>145</v>
      </c>
      <c r="CR174">
        <v>50852.585681999997</v>
      </c>
      <c r="CS174">
        <v>3.0971000000000002</v>
      </c>
      <c r="CT174">
        <v>45</v>
      </c>
      <c r="CU174" t="s">
        <v>171</v>
      </c>
      <c r="CV174" t="s">
        <v>172</v>
      </c>
      <c r="CW174">
        <v>229</v>
      </c>
    </row>
    <row r="175" spans="1:101" x14ac:dyDescent="0.2">
      <c r="A175" t="s">
        <v>106</v>
      </c>
      <c r="B175" s="46">
        <v>44954</v>
      </c>
      <c r="C175" t="s">
        <v>683</v>
      </c>
      <c r="D175" t="s">
        <v>108</v>
      </c>
      <c r="E175" t="s">
        <v>684</v>
      </c>
      <c r="F175" t="s">
        <v>110</v>
      </c>
      <c r="G175" t="s">
        <v>111</v>
      </c>
      <c r="H175" t="s">
        <v>112</v>
      </c>
      <c r="I175" t="s">
        <v>112</v>
      </c>
      <c r="J175" t="s">
        <v>112</v>
      </c>
      <c r="K175" t="s">
        <v>150</v>
      </c>
      <c r="L175" t="s">
        <v>151</v>
      </c>
      <c r="M175" t="s">
        <v>112</v>
      </c>
      <c r="N175" t="s">
        <v>112</v>
      </c>
      <c r="O175">
        <v>1</v>
      </c>
      <c r="P175">
        <v>0</v>
      </c>
      <c r="Q175">
        <v>1</v>
      </c>
      <c r="R175">
        <v>33</v>
      </c>
      <c r="S175" t="s">
        <v>166</v>
      </c>
      <c r="T175" t="s">
        <v>152</v>
      </c>
      <c r="U175" t="s">
        <v>153</v>
      </c>
      <c r="V175" t="s">
        <v>154</v>
      </c>
      <c r="W175" t="s">
        <v>119</v>
      </c>
      <c r="X175" t="s">
        <v>112</v>
      </c>
      <c r="Y175" t="s">
        <v>166</v>
      </c>
      <c r="Z175" t="s">
        <v>152</v>
      </c>
      <c r="AA175" t="s">
        <v>153</v>
      </c>
      <c r="AB175" t="s">
        <v>154</v>
      </c>
      <c r="AC175" t="s">
        <v>119</v>
      </c>
      <c r="AD175" t="s">
        <v>112</v>
      </c>
      <c r="AE175" t="s">
        <v>121</v>
      </c>
      <c r="AF175" t="s">
        <v>122</v>
      </c>
      <c r="AG175">
        <v>3772489.56</v>
      </c>
      <c r="AH175" t="s">
        <v>166</v>
      </c>
      <c r="AI175" t="s">
        <v>152</v>
      </c>
      <c r="AJ175" t="s">
        <v>153</v>
      </c>
      <c r="AK175" t="s">
        <v>154</v>
      </c>
      <c r="AL175" t="s">
        <v>119</v>
      </c>
      <c r="AM175" t="s">
        <v>112</v>
      </c>
      <c r="AN175" t="s">
        <v>121</v>
      </c>
      <c r="AO175" t="s">
        <v>122</v>
      </c>
      <c r="AP175" t="s">
        <v>122</v>
      </c>
      <c r="AQ175" t="s">
        <v>124</v>
      </c>
      <c r="AR175" t="s">
        <v>125</v>
      </c>
      <c r="AS175">
        <v>2</v>
      </c>
      <c r="AT175" t="s">
        <v>126</v>
      </c>
      <c r="AU175" t="s">
        <v>155</v>
      </c>
      <c r="AV175" t="s">
        <v>156</v>
      </c>
      <c r="AW175">
        <v>1</v>
      </c>
      <c r="AX175" t="s">
        <v>129</v>
      </c>
      <c r="AY175">
        <v>42560</v>
      </c>
      <c r="AZ175">
        <v>3386567</v>
      </c>
      <c r="BA175">
        <v>50495.99</v>
      </c>
      <c r="BB175">
        <v>79.571600000000004</v>
      </c>
      <c r="BC175" t="s">
        <v>130</v>
      </c>
      <c r="BD175" t="s">
        <v>112</v>
      </c>
      <c r="BE175" t="s">
        <v>157</v>
      </c>
      <c r="BF175" t="s">
        <v>133</v>
      </c>
      <c r="BG175" t="s">
        <v>134</v>
      </c>
      <c r="BH175" t="s">
        <v>112</v>
      </c>
      <c r="BI175" t="s">
        <v>112</v>
      </c>
      <c r="BJ175" t="s">
        <v>112</v>
      </c>
      <c r="BK175" t="s">
        <v>169</v>
      </c>
      <c r="BL175" t="s">
        <v>159</v>
      </c>
      <c r="BM175" t="s">
        <v>212</v>
      </c>
      <c r="BN175" t="s">
        <v>161</v>
      </c>
      <c r="BO175">
        <v>1</v>
      </c>
      <c r="BP175" t="s">
        <v>685</v>
      </c>
      <c r="BR175" t="s">
        <v>150</v>
      </c>
      <c r="BS175">
        <v>33</v>
      </c>
      <c r="BT175">
        <v>0</v>
      </c>
      <c r="BU175">
        <v>0</v>
      </c>
      <c r="BW175">
        <v>0</v>
      </c>
      <c r="BY175" t="s">
        <v>106</v>
      </c>
      <c r="BZ175" t="s">
        <v>142</v>
      </c>
      <c r="CA175" t="s">
        <v>112</v>
      </c>
      <c r="CB175" t="s">
        <v>112</v>
      </c>
      <c r="CC175" t="s">
        <v>121</v>
      </c>
      <c r="CD175">
        <v>16680.939999999999</v>
      </c>
      <c r="CE175" t="s">
        <v>144</v>
      </c>
      <c r="CF175">
        <v>4000000</v>
      </c>
      <c r="CG175">
        <v>16645</v>
      </c>
      <c r="CH175">
        <v>0</v>
      </c>
      <c r="CI175" t="s">
        <v>112</v>
      </c>
      <c r="CJ175" t="s">
        <v>112</v>
      </c>
      <c r="CK175">
        <v>42560</v>
      </c>
      <c r="CL175">
        <v>3386567</v>
      </c>
      <c r="CM175">
        <v>0</v>
      </c>
      <c r="CN175">
        <v>1</v>
      </c>
      <c r="CO175">
        <v>3772489.56</v>
      </c>
      <c r="CP175">
        <v>50495.99</v>
      </c>
      <c r="CQ175" t="s">
        <v>145</v>
      </c>
      <c r="CR175">
        <v>50495.936500000003</v>
      </c>
      <c r="CS175">
        <v>3.0337000000000001</v>
      </c>
      <c r="CT175">
        <v>45</v>
      </c>
      <c r="CU175" t="s">
        <v>171</v>
      </c>
      <c r="CV175" t="s">
        <v>463</v>
      </c>
      <c r="CW175">
        <v>293</v>
      </c>
    </row>
    <row r="176" spans="1:101" x14ac:dyDescent="0.2">
      <c r="A176" t="s">
        <v>106</v>
      </c>
      <c r="B176" s="46">
        <v>45200</v>
      </c>
      <c r="C176" t="s">
        <v>661</v>
      </c>
      <c r="D176" t="s">
        <v>108</v>
      </c>
      <c r="E176" t="s">
        <v>662</v>
      </c>
      <c r="F176" t="s">
        <v>110</v>
      </c>
      <c r="G176" t="s">
        <v>111</v>
      </c>
      <c r="H176" t="s">
        <v>112</v>
      </c>
      <c r="I176" t="s">
        <v>112</v>
      </c>
      <c r="J176" t="s">
        <v>112</v>
      </c>
      <c r="K176" t="s">
        <v>150</v>
      </c>
      <c r="L176" t="s">
        <v>151</v>
      </c>
      <c r="M176" t="s">
        <v>112</v>
      </c>
      <c r="N176" t="s">
        <v>112</v>
      </c>
      <c r="O176">
        <v>1</v>
      </c>
      <c r="P176">
        <v>0</v>
      </c>
      <c r="Q176">
        <v>1</v>
      </c>
      <c r="R176">
        <v>32</v>
      </c>
      <c r="S176" t="s">
        <v>166</v>
      </c>
      <c r="T176" t="s">
        <v>152</v>
      </c>
      <c r="U176" t="s">
        <v>153</v>
      </c>
      <c r="V176" t="s">
        <v>154</v>
      </c>
      <c r="W176" t="s">
        <v>119</v>
      </c>
      <c r="X176" t="s">
        <v>112</v>
      </c>
      <c r="Y176" t="s">
        <v>166</v>
      </c>
      <c r="Z176" t="s">
        <v>152</v>
      </c>
      <c r="AA176" t="s">
        <v>153</v>
      </c>
      <c r="AB176" t="s">
        <v>154</v>
      </c>
      <c r="AC176" t="s">
        <v>119</v>
      </c>
      <c r="AD176" t="s">
        <v>112</v>
      </c>
      <c r="AE176" t="s">
        <v>121</v>
      </c>
      <c r="AF176" t="s">
        <v>122</v>
      </c>
      <c r="AG176">
        <v>3452638.78</v>
      </c>
      <c r="AH176" t="s">
        <v>166</v>
      </c>
      <c r="AI176" t="s">
        <v>152</v>
      </c>
      <c r="AJ176" t="s">
        <v>153</v>
      </c>
      <c r="AK176" t="s">
        <v>154</v>
      </c>
      <c r="AL176" t="s">
        <v>119</v>
      </c>
      <c r="AM176" t="s">
        <v>112</v>
      </c>
      <c r="AN176" t="s">
        <v>121</v>
      </c>
      <c r="AO176" t="s">
        <v>122</v>
      </c>
      <c r="AP176" t="s">
        <v>122</v>
      </c>
      <c r="AQ176" t="s">
        <v>124</v>
      </c>
      <c r="AR176" t="s">
        <v>125</v>
      </c>
      <c r="AS176">
        <v>2</v>
      </c>
      <c r="AT176" t="s">
        <v>126</v>
      </c>
      <c r="AU176" t="s">
        <v>155</v>
      </c>
      <c r="AV176" t="s">
        <v>156</v>
      </c>
      <c r="AW176">
        <v>1</v>
      </c>
      <c r="AX176" t="s">
        <v>129</v>
      </c>
      <c r="AY176">
        <v>38540.339999999997</v>
      </c>
      <c r="AZ176">
        <v>3066717</v>
      </c>
      <c r="BA176">
        <v>46214.68</v>
      </c>
      <c r="BB176">
        <v>79.571600000000004</v>
      </c>
      <c r="BC176" t="s">
        <v>130</v>
      </c>
      <c r="BD176" t="s">
        <v>112</v>
      </c>
      <c r="BE176" t="s">
        <v>157</v>
      </c>
      <c r="BF176" t="s">
        <v>133</v>
      </c>
      <c r="BG176" t="s">
        <v>134</v>
      </c>
      <c r="BH176" t="s">
        <v>112</v>
      </c>
      <c r="BI176" t="s">
        <v>112</v>
      </c>
      <c r="BJ176" t="s">
        <v>112</v>
      </c>
      <c r="BK176" t="s">
        <v>169</v>
      </c>
      <c r="BL176" t="s">
        <v>159</v>
      </c>
      <c r="BM176" t="s">
        <v>212</v>
      </c>
      <c r="BN176" t="s">
        <v>161</v>
      </c>
      <c r="BO176">
        <v>1</v>
      </c>
      <c r="BP176" t="s">
        <v>663</v>
      </c>
      <c r="BR176" t="s">
        <v>150</v>
      </c>
      <c r="BS176">
        <v>32</v>
      </c>
      <c r="BT176">
        <v>0</v>
      </c>
      <c r="BU176">
        <v>0</v>
      </c>
      <c r="BW176">
        <v>0</v>
      </c>
      <c r="BY176" t="s">
        <v>106</v>
      </c>
      <c r="BZ176" t="s">
        <v>142</v>
      </c>
      <c r="CA176" t="s">
        <v>112</v>
      </c>
      <c r="CB176" t="s">
        <v>112</v>
      </c>
      <c r="CC176" t="s">
        <v>121</v>
      </c>
      <c r="CD176">
        <v>16105.42</v>
      </c>
      <c r="CE176" t="s">
        <v>144</v>
      </c>
      <c r="CF176">
        <v>4000000</v>
      </c>
      <c r="CG176">
        <v>16022.62</v>
      </c>
      <c r="CH176">
        <v>0</v>
      </c>
      <c r="CI176" t="s">
        <v>112</v>
      </c>
      <c r="CJ176" t="s">
        <v>112</v>
      </c>
      <c r="CK176">
        <v>38540.339999999997</v>
      </c>
      <c r="CL176">
        <v>3066717</v>
      </c>
      <c r="CM176">
        <v>0</v>
      </c>
      <c r="CN176">
        <v>1</v>
      </c>
      <c r="CO176">
        <v>3452638.78</v>
      </c>
      <c r="CP176">
        <v>46214.68</v>
      </c>
      <c r="CQ176" t="s">
        <v>145</v>
      </c>
      <c r="CR176">
        <v>46214.042866000003</v>
      </c>
      <c r="CS176">
        <v>2.8843000000000001</v>
      </c>
      <c r="CT176">
        <v>45</v>
      </c>
      <c r="CU176" t="s">
        <v>171</v>
      </c>
      <c r="CV176" t="s">
        <v>463</v>
      </c>
      <c r="CW176">
        <v>317</v>
      </c>
    </row>
    <row r="177" spans="1:101" x14ac:dyDescent="0.2">
      <c r="A177" t="s">
        <v>106</v>
      </c>
      <c r="B177" s="46">
        <v>44978</v>
      </c>
      <c r="C177" t="s">
        <v>669</v>
      </c>
      <c r="D177" t="s">
        <v>108</v>
      </c>
      <c r="E177" t="s">
        <v>670</v>
      </c>
      <c r="F177" t="s">
        <v>110</v>
      </c>
      <c r="G177" t="s">
        <v>111</v>
      </c>
      <c r="H177" t="s">
        <v>112</v>
      </c>
      <c r="I177" t="s">
        <v>112</v>
      </c>
      <c r="J177" t="s">
        <v>112</v>
      </c>
      <c r="K177" t="s">
        <v>150</v>
      </c>
      <c r="L177" t="s">
        <v>151</v>
      </c>
      <c r="M177" t="s">
        <v>112</v>
      </c>
      <c r="N177" t="s">
        <v>112</v>
      </c>
      <c r="O177">
        <v>1</v>
      </c>
      <c r="P177">
        <v>0</v>
      </c>
      <c r="Q177">
        <v>1</v>
      </c>
      <c r="R177">
        <v>33</v>
      </c>
      <c r="S177" t="s">
        <v>166</v>
      </c>
      <c r="T177" t="s">
        <v>152</v>
      </c>
      <c r="U177" t="s">
        <v>153</v>
      </c>
      <c r="V177" t="s">
        <v>154</v>
      </c>
      <c r="W177" t="s">
        <v>119</v>
      </c>
      <c r="X177" t="s">
        <v>112</v>
      </c>
      <c r="Y177" t="s">
        <v>166</v>
      </c>
      <c r="Z177" t="s">
        <v>152</v>
      </c>
      <c r="AA177" t="s">
        <v>153</v>
      </c>
      <c r="AB177" t="s">
        <v>154</v>
      </c>
      <c r="AC177" t="s">
        <v>119</v>
      </c>
      <c r="AD177" t="s">
        <v>112</v>
      </c>
      <c r="AE177" t="s">
        <v>121</v>
      </c>
      <c r="AF177" t="s">
        <v>122</v>
      </c>
      <c r="AG177">
        <v>3685952.26</v>
      </c>
      <c r="AH177" t="s">
        <v>166</v>
      </c>
      <c r="AI177" t="s">
        <v>152</v>
      </c>
      <c r="AJ177" t="s">
        <v>153</v>
      </c>
      <c r="AK177" t="s">
        <v>154</v>
      </c>
      <c r="AL177" t="s">
        <v>119</v>
      </c>
      <c r="AM177" t="s">
        <v>112</v>
      </c>
      <c r="AN177" t="s">
        <v>121</v>
      </c>
      <c r="AO177" t="s">
        <v>122</v>
      </c>
      <c r="AP177" t="s">
        <v>122</v>
      </c>
      <c r="AQ177" t="s">
        <v>124</v>
      </c>
      <c r="AR177" t="s">
        <v>125</v>
      </c>
      <c r="AS177">
        <v>2</v>
      </c>
      <c r="AT177" t="s">
        <v>126</v>
      </c>
      <c r="AU177" t="s">
        <v>155</v>
      </c>
      <c r="AV177" t="s">
        <v>156</v>
      </c>
      <c r="AW177">
        <v>1</v>
      </c>
      <c r="AX177" t="s">
        <v>129</v>
      </c>
      <c r="AY177">
        <v>41972.46</v>
      </c>
      <c r="AZ177">
        <v>3339816</v>
      </c>
      <c r="BA177">
        <v>49337.66</v>
      </c>
      <c r="BB177">
        <v>79.571600000000004</v>
      </c>
      <c r="BC177" t="s">
        <v>130</v>
      </c>
      <c r="BD177" t="s">
        <v>112</v>
      </c>
      <c r="BE177" t="s">
        <v>157</v>
      </c>
      <c r="BF177" t="s">
        <v>133</v>
      </c>
      <c r="BG177" t="s">
        <v>167</v>
      </c>
      <c r="BH177" t="s">
        <v>168</v>
      </c>
      <c r="BI177" t="s">
        <v>112</v>
      </c>
      <c r="BJ177" t="s">
        <v>112</v>
      </c>
      <c r="BK177" t="s">
        <v>169</v>
      </c>
      <c r="BL177" t="s">
        <v>159</v>
      </c>
      <c r="BM177" t="s">
        <v>160</v>
      </c>
      <c r="BN177" t="s">
        <v>161</v>
      </c>
      <c r="BO177">
        <v>1</v>
      </c>
      <c r="BP177" t="s">
        <v>232</v>
      </c>
      <c r="BR177" t="s">
        <v>150</v>
      </c>
      <c r="BS177">
        <v>33</v>
      </c>
      <c r="BT177">
        <v>0</v>
      </c>
      <c r="BU177">
        <v>0</v>
      </c>
      <c r="BW177">
        <v>0</v>
      </c>
      <c r="BY177" t="s">
        <v>106</v>
      </c>
      <c r="BZ177" t="s">
        <v>142</v>
      </c>
      <c r="CA177" t="s">
        <v>112</v>
      </c>
      <c r="CB177" t="s">
        <v>112</v>
      </c>
      <c r="CC177" t="s">
        <v>121</v>
      </c>
      <c r="CD177">
        <v>15730.33</v>
      </c>
      <c r="CE177" t="s">
        <v>144</v>
      </c>
      <c r="CF177">
        <v>4000000</v>
      </c>
      <c r="CG177">
        <v>15503.53</v>
      </c>
      <c r="CH177">
        <v>0</v>
      </c>
      <c r="CI177" t="s">
        <v>112</v>
      </c>
      <c r="CJ177" t="s">
        <v>112</v>
      </c>
      <c r="CK177">
        <v>41972.46</v>
      </c>
      <c r="CL177">
        <v>3339816</v>
      </c>
      <c r="CM177">
        <v>0</v>
      </c>
      <c r="CN177">
        <v>1</v>
      </c>
      <c r="CO177">
        <v>3685952.26</v>
      </c>
      <c r="CP177">
        <v>49337.66</v>
      </c>
      <c r="CQ177" t="s">
        <v>145</v>
      </c>
      <c r="CR177">
        <v>49338.433872000001</v>
      </c>
      <c r="CS177">
        <v>3.1823999999999999</v>
      </c>
      <c r="CT177">
        <v>45</v>
      </c>
      <c r="CU177" t="s">
        <v>171</v>
      </c>
      <c r="CV177" t="s">
        <v>463</v>
      </c>
      <c r="CW177">
        <v>286</v>
      </c>
    </row>
    <row r="178" spans="1:101" x14ac:dyDescent="0.2">
      <c r="A178" t="s">
        <v>106</v>
      </c>
      <c r="B178" s="46">
        <v>45097</v>
      </c>
      <c r="C178" t="s">
        <v>673</v>
      </c>
      <c r="D178" t="s">
        <v>108</v>
      </c>
      <c r="E178" t="s">
        <v>674</v>
      </c>
      <c r="F178" t="s">
        <v>110</v>
      </c>
      <c r="G178" t="s">
        <v>111</v>
      </c>
      <c r="H178" t="s">
        <v>112</v>
      </c>
      <c r="I178" t="s">
        <v>112</v>
      </c>
      <c r="J178" t="s">
        <v>112</v>
      </c>
      <c r="K178" t="s">
        <v>150</v>
      </c>
      <c r="L178" t="s">
        <v>151</v>
      </c>
      <c r="M178" t="s">
        <v>112</v>
      </c>
      <c r="N178" t="s">
        <v>112</v>
      </c>
      <c r="O178">
        <v>1</v>
      </c>
      <c r="P178">
        <v>0</v>
      </c>
      <c r="Q178">
        <v>1</v>
      </c>
      <c r="R178">
        <v>33</v>
      </c>
      <c r="S178" t="s">
        <v>166</v>
      </c>
      <c r="T178" t="s">
        <v>152</v>
      </c>
      <c r="U178" t="s">
        <v>153</v>
      </c>
      <c r="V178" t="s">
        <v>154</v>
      </c>
      <c r="W178" t="s">
        <v>119</v>
      </c>
      <c r="X178" t="s">
        <v>112</v>
      </c>
      <c r="Y178" t="s">
        <v>166</v>
      </c>
      <c r="Z178" t="s">
        <v>152</v>
      </c>
      <c r="AA178" t="s">
        <v>153</v>
      </c>
      <c r="AB178" t="s">
        <v>154</v>
      </c>
      <c r="AC178" t="s">
        <v>119</v>
      </c>
      <c r="AD178" t="s">
        <v>112</v>
      </c>
      <c r="AE178" t="s">
        <v>121</v>
      </c>
      <c r="AF178" t="s">
        <v>122</v>
      </c>
      <c r="AG178">
        <v>3711461.32</v>
      </c>
      <c r="AH178" t="s">
        <v>166</v>
      </c>
      <c r="AI178" t="s">
        <v>152</v>
      </c>
      <c r="AJ178" t="s">
        <v>153</v>
      </c>
      <c r="AK178" t="s">
        <v>154</v>
      </c>
      <c r="AL178" t="s">
        <v>119</v>
      </c>
      <c r="AM178" t="s">
        <v>112</v>
      </c>
      <c r="AN178" t="s">
        <v>121</v>
      </c>
      <c r="AO178" t="s">
        <v>122</v>
      </c>
      <c r="AP178" t="s">
        <v>122</v>
      </c>
      <c r="AQ178" t="s">
        <v>124</v>
      </c>
      <c r="AR178" t="s">
        <v>125</v>
      </c>
      <c r="AS178">
        <v>2</v>
      </c>
      <c r="AT178" t="s">
        <v>126</v>
      </c>
      <c r="AU178" t="s">
        <v>155</v>
      </c>
      <c r="AV178" t="s">
        <v>156</v>
      </c>
      <c r="AW178">
        <v>1</v>
      </c>
      <c r="AX178" t="s">
        <v>129</v>
      </c>
      <c r="AY178">
        <v>42293.04</v>
      </c>
      <c r="AZ178">
        <v>3365325</v>
      </c>
      <c r="BA178">
        <v>49679.1</v>
      </c>
      <c r="BB178">
        <v>79.571600000000004</v>
      </c>
      <c r="BC178" t="s">
        <v>130</v>
      </c>
      <c r="BD178" t="s">
        <v>112</v>
      </c>
      <c r="BE178" t="s">
        <v>157</v>
      </c>
      <c r="BF178" t="s">
        <v>133</v>
      </c>
      <c r="BG178" t="s">
        <v>167</v>
      </c>
      <c r="BH178" t="s">
        <v>168</v>
      </c>
      <c r="BI178" t="s">
        <v>112</v>
      </c>
      <c r="BJ178" t="s">
        <v>112</v>
      </c>
      <c r="BK178" t="s">
        <v>169</v>
      </c>
      <c r="BL178" t="s">
        <v>159</v>
      </c>
      <c r="BM178" t="s">
        <v>160</v>
      </c>
      <c r="BN178" t="s">
        <v>161</v>
      </c>
      <c r="BO178">
        <v>1</v>
      </c>
      <c r="BP178" t="s">
        <v>675</v>
      </c>
      <c r="BR178" t="s">
        <v>150</v>
      </c>
      <c r="BS178">
        <v>33</v>
      </c>
      <c r="BT178">
        <v>0</v>
      </c>
      <c r="BU178">
        <v>0</v>
      </c>
      <c r="BW178">
        <v>0</v>
      </c>
      <c r="BY178" t="s">
        <v>106</v>
      </c>
      <c r="BZ178" t="s">
        <v>142</v>
      </c>
      <c r="CA178" t="s">
        <v>112</v>
      </c>
      <c r="CB178" t="s">
        <v>112</v>
      </c>
      <c r="CC178" t="s">
        <v>121</v>
      </c>
      <c r="CD178">
        <v>15123.97</v>
      </c>
      <c r="CE178" t="s">
        <v>144</v>
      </c>
      <c r="CF178">
        <v>4000000</v>
      </c>
      <c r="CG178">
        <v>14753.17</v>
      </c>
      <c r="CH178">
        <v>0</v>
      </c>
      <c r="CI178" t="s">
        <v>112</v>
      </c>
      <c r="CJ178" t="s">
        <v>112</v>
      </c>
      <c r="CK178">
        <v>42293.04</v>
      </c>
      <c r="CL178">
        <v>3365325</v>
      </c>
      <c r="CM178">
        <v>0</v>
      </c>
      <c r="CN178">
        <v>1</v>
      </c>
      <c r="CO178">
        <v>3711461.32</v>
      </c>
      <c r="CP178">
        <v>49679.1</v>
      </c>
      <c r="CQ178" t="s">
        <v>145</v>
      </c>
      <c r="CR178">
        <v>49679.824657999998</v>
      </c>
      <c r="CS178">
        <v>3.3673999999999999</v>
      </c>
      <c r="CT178">
        <v>45</v>
      </c>
      <c r="CU178" t="s">
        <v>171</v>
      </c>
      <c r="CV178" t="s">
        <v>372</v>
      </c>
      <c r="CW178">
        <v>337</v>
      </c>
    </row>
    <row r="179" spans="1:101" x14ac:dyDescent="0.2">
      <c r="A179" t="s">
        <v>106</v>
      </c>
      <c r="B179" s="46">
        <v>44993</v>
      </c>
      <c r="C179" t="s">
        <v>659</v>
      </c>
      <c r="D179" t="s">
        <v>108</v>
      </c>
      <c r="E179" t="s">
        <v>660</v>
      </c>
      <c r="F179" t="s">
        <v>110</v>
      </c>
      <c r="G179" t="s">
        <v>111</v>
      </c>
      <c r="H179" t="s">
        <v>112</v>
      </c>
      <c r="I179" t="s">
        <v>112</v>
      </c>
      <c r="J179" t="s">
        <v>112</v>
      </c>
      <c r="K179" t="s">
        <v>150</v>
      </c>
      <c r="L179" t="s">
        <v>151</v>
      </c>
      <c r="M179" t="s">
        <v>112</v>
      </c>
      <c r="N179" t="s">
        <v>112</v>
      </c>
      <c r="O179">
        <v>1</v>
      </c>
      <c r="P179">
        <v>0</v>
      </c>
      <c r="Q179">
        <v>1</v>
      </c>
      <c r="R179">
        <v>33</v>
      </c>
      <c r="S179" t="s">
        <v>166</v>
      </c>
      <c r="T179" t="s">
        <v>152</v>
      </c>
      <c r="U179" t="s">
        <v>153</v>
      </c>
      <c r="V179" t="s">
        <v>154</v>
      </c>
      <c r="W179" t="s">
        <v>119</v>
      </c>
      <c r="X179" t="s">
        <v>112</v>
      </c>
      <c r="Y179" t="s">
        <v>166</v>
      </c>
      <c r="Z179" t="s">
        <v>152</v>
      </c>
      <c r="AA179" t="s">
        <v>153</v>
      </c>
      <c r="AB179" t="s">
        <v>154</v>
      </c>
      <c r="AC179" t="s">
        <v>119</v>
      </c>
      <c r="AD179" t="s">
        <v>112</v>
      </c>
      <c r="AE179" t="s">
        <v>121</v>
      </c>
      <c r="AF179" t="s">
        <v>122</v>
      </c>
      <c r="AG179">
        <v>3966289.37</v>
      </c>
      <c r="AH179" t="s">
        <v>166</v>
      </c>
      <c r="AI179" t="s">
        <v>152</v>
      </c>
      <c r="AJ179" t="s">
        <v>153</v>
      </c>
      <c r="AK179" t="s">
        <v>154</v>
      </c>
      <c r="AL179" t="s">
        <v>119</v>
      </c>
      <c r="AM179" t="s">
        <v>112</v>
      </c>
      <c r="AN179" t="s">
        <v>121</v>
      </c>
      <c r="AO179" t="s">
        <v>122</v>
      </c>
      <c r="AP179" t="s">
        <v>122</v>
      </c>
      <c r="AQ179" t="s">
        <v>124</v>
      </c>
      <c r="AR179" t="s">
        <v>125</v>
      </c>
      <c r="AS179">
        <v>2</v>
      </c>
      <c r="AT179" t="s">
        <v>126</v>
      </c>
      <c r="AU179" t="s">
        <v>155</v>
      </c>
      <c r="AV179" t="s">
        <v>156</v>
      </c>
      <c r="AW179">
        <v>1</v>
      </c>
      <c r="AX179" t="s">
        <v>129</v>
      </c>
      <c r="AY179">
        <v>45495.54</v>
      </c>
      <c r="AZ179">
        <v>3620153</v>
      </c>
      <c r="BA179">
        <v>53090.06</v>
      </c>
      <c r="BB179">
        <v>79.571600000000004</v>
      </c>
      <c r="BC179" t="s">
        <v>130</v>
      </c>
      <c r="BD179" t="s">
        <v>112</v>
      </c>
      <c r="BE179" t="s">
        <v>157</v>
      </c>
      <c r="BF179" t="s">
        <v>133</v>
      </c>
      <c r="BG179" t="s">
        <v>134</v>
      </c>
      <c r="BH179" t="s">
        <v>112</v>
      </c>
      <c r="BI179" t="s">
        <v>112</v>
      </c>
      <c r="BJ179" t="s">
        <v>112</v>
      </c>
      <c r="BK179" t="s">
        <v>169</v>
      </c>
      <c r="BL179" t="s">
        <v>159</v>
      </c>
      <c r="BM179" t="s">
        <v>212</v>
      </c>
      <c r="BN179" t="s">
        <v>161</v>
      </c>
      <c r="BO179">
        <v>1</v>
      </c>
      <c r="BP179" t="s">
        <v>205</v>
      </c>
      <c r="BR179" t="s">
        <v>150</v>
      </c>
      <c r="BS179">
        <v>33</v>
      </c>
      <c r="BT179">
        <v>0</v>
      </c>
      <c r="BU179">
        <v>0</v>
      </c>
      <c r="BW179">
        <v>0</v>
      </c>
      <c r="BY179" t="s">
        <v>106</v>
      </c>
      <c r="BZ179" t="s">
        <v>142</v>
      </c>
      <c r="CA179" t="s">
        <v>112</v>
      </c>
      <c r="CB179" t="s">
        <v>112</v>
      </c>
      <c r="CC179" t="s">
        <v>121</v>
      </c>
      <c r="CD179">
        <v>15820.55</v>
      </c>
      <c r="CE179" t="s">
        <v>144</v>
      </c>
      <c r="CF179">
        <v>4000000</v>
      </c>
      <c r="CG179">
        <v>15640.65</v>
      </c>
      <c r="CH179">
        <v>0</v>
      </c>
      <c r="CI179" t="s">
        <v>112</v>
      </c>
      <c r="CJ179" t="s">
        <v>112</v>
      </c>
      <c r="CK179">
        <v>45495.54</v>
      </c>
      <c r="CL179">
        <v>3620153</v>
      </c>
      <c r="CM179">
        <v>0</v>
      </c>
      <c r="CN179">
        <v>1</v>
      </c>
      <c r="CO179">
        <v>3966289.37</v>
      </c>
      <c r="CP179">
        <v>53090.06</v>
      </c>
      <c r="CQ179" t="s">
        <v>145</v>
      </c>
      <c r="CR179">
        <v>53090.622360000001</v>
      </c>
      <c r="CS179">
        <v>3.3944000000000001</v>
      </c>
      <c r="CT179">
        <v>45</v>
      </c>
      <c r="CU179" t="s">
        <v>171</v>
      </c>
      <c r="CV179" t="s">
        <v>372</v>
      </c>
      <c r="CW179">
        <v>108</v>
      </c>
    </row>
    <row r="180" spans="1:101" x14ac:dyDescent="0.2">
      <c r="A180" t="s">
        <v>106</v>
      </c>
      <c r="B180" s="46">
        <v>45228</v>
      </c>
      <c r="C180" t="s">
        <v>693</v>
      </c>
      <c r="D180" t="s">
        <v>108</v>
      </c>
      <c r="E180" t="s">
        <v>694</v>
      </c>
      <c r="F180" t="s">
        <v>110</v>
      </c>
      <c r="G180" t="s">
        <v>111</v>
      </c>
      <c r="H180" t="s">
        <v>112</v>
      </c>
      <c r="I180" t="s">
        <v>112</v>
      </c>
      <c r="J180" t="s">
        <v>112</v>
      </c>
      <c r="K180" t="s">
        <v>150</v>
      </c>
      <c r="L180" t="s">
        <v>151</v>
      </c>
      <c r="M180" t="s">
        <v>112</v>
      </c>
      <c r="N180" t="s">
        <v>112</v>
      </c>
      <c r="O180">
        <v>1</v>
      </c>
      <c r="P180">
        <v>0</v>
      </c>
      <c r="Q180">
        <v>1</v>
      </c>
      <c r="R180">
        <v>33</v>
      </c>
      <c r="S180" t="s">
        <v>166</v>
      </c>
      <c r="T180" t="s">
        <v>152</v>
      </c>
      <c r="U180" t="s">
        <v>153</v>
      </c>
      <c r="V180" t="s">
        <v>154</v>
      </c>
      <c r="W180" t="s">
        <v>119</v>
      </c>
      <c r="X180" t="s">
        <v>112</v>
      </c>
      <c r="Y180" t="s">
        <v>166</v>
      </c>
      <c r="Z180" t="s">
        <v>152</v>
      </c>
      <c r="AA180" t="s">
        <v>153</v>
      </c>
      <c r="AB180" t="s">
        <v>154</v>
      </c>
      <c r="AC180" t="s">
        <v>119</v>
      </c>
      <c r="AD180" t="s">
        <v>112</v>
      </c>
      <c r="AE180" t="s">
        <v>121</v>
      </c>
      <c r="AF180" t="s">
        <v>122</v>
      </c>
      <c r="AG180">
        <v>3307673.65</v>
      </c>
      <c r="AH180" t="s">
        <v>166</v>
      </c>
      <c r="AI180" t="s">
        <v>152</v>
      </c>
      <c r="AJ180" t="s">
        <v>153</v>
      </c>
      <c r="AK180" t="s">
        <v>154</v>
      </c>
      <c r="AL180" t="s">
        <v>119</v>
      </c>
      <c r="AM180" t="s">
        <v>112</v>
      </c>
      <c r="AN180" t="s">
        <v>121</v>
      </c>
      <c r="AO180" t="s">
        <v>122</v>
      </c>
      <c r="AP180" t="s">
        <v>122</v>
      </c>
      <c r="AQ180" t="s">
        <v>124</v>
      </c>
      <c r="AR180" t="s">
        <v>125</v>
      </c>
      <c r="AS180">
        <v>2</v>
      </c>
      <c r="AT180" t="s">
        <v>126</v>
      </c>
      <c r="AU180" t="s">
        <v>155</v>
      </c>
      <c r="AV180" t="s">
        <v>156</v>
      </c>
      <c r="AW180">
        <v>1</v>
      </c>
      <c r="AX180" t="s">
        <v>129</v>
      </c>
      <c r="AY180">
        <v>36518.519999999997</v>
      </c>
      <c r="AZ180">
        <v>2905837</v>
      </c>
      <c r="BA180">
        <v>44274.28</v>
      </c>
      <c r="BB180">
        <v>79.571600000000004</v>
      </c>
      <c r="BC180" t="s">
        <v>130</v>
      </c>
      <c r="BD180" t="s">
        <v>112</v>
      </c>
      <c r="BE180" t="s">
        <v>157</v>
      </c>
      <c r="BF180" t="s">
        <v>133</v>
      </c>
      <c r="BG180" t="s">
        <v>134</v>
      </c>
      <c r="BH180" t="s">
        <v>112</v>
      </c>
      <c r="BI180" t="s">
        <v>112</v>
      </c>
      <c r="BJ180" t="s">
        <v>112</v>
      </c>
      <c r="BK180" t="s">
        <v>169</v>
      </c>
      <c r="BL180" t="s">
        <v>159</v>
      </c>
      <c r="BM180" t="s">
        <v>212</v>
      </c>
      <c r="BN180" t="s">
        <v>161</v>
      </c>
      <c r="BO180">
        <v>1</v>
      </c>
      <c r="BP180" t="s">
        <v>695</v>
      </c>
      <c r="BR180" t="s">
        <v>150</v>
      </c>
      <c r="BS180">
        <v>33</v>
      </c>
      <c r="BT180">
        <v>0</v>
      </c>
      <c r="BU180">
        <v>0</v>
      </c>
      <c r="BW180">
        <v>0</v>
      </c>
      <c r="BY180" t="s">
        <v>106</v>
      </c>
      <c r="BZ180" t="s">
        <v>142</v>
      </c>
      <c r="CA180" t="s">
        <v>112</v>
      </c>
      <c r="CB180" t="s">
        <v>112</v>
      </c>
      <c r="CC180" t="s">
        <v>121</v>
      </c>
      <c r="CD180">
        <v>16646.46</v>
      </c>
      <c r="CE180" t="s">
        <v>144</v>
      </c>
      <c r="CF180">
        <v>4000000</v>
      </c>
      <c r="CG180">
        <v>16624.86</v>
      </c>
      <c r="CH180">
        <v>0</v>
      </c>
      <c r="CI180" t="s">
        <v>112</v>
      </c>
      <c r="CJ180" t="s">
        <v>112</v>
      </c>
      <c r="CK180">
        <v>36518.519999999997</v>
      </c>
      <c r="CL180">
        <v>2905837</v>
      </c>
      <c r="CM180">
        <v>0</v>
      </c>
      <c r="CN180">
        <v>1</v>
      </c>
      <c r="CO180">
        <v>3307673.65</v>
      </c>
      <c r="CP180">
        <v>44274.28</v>
      </c>
      <c r="CQ180" t="s">
        <v>145</v>
      </c>
      <c r="CR180">
        <v>44273.664666000004</v>
      </c>
      <c r="CS180">
        <v>2.6631</v>
      </c>
      <c r="CT180">
        <v>45</v>
      </c>
      <c r="CU180" t="s">
        <v>171</v>
      </c>
      <c r="CV180" t="s">
        <v>369</v>
      </c>
      <c r="CW180">
        <v>368</v>
      </c>
    </row>
    <row r="181" spans="1:101" x14ac:dyDescent="0.2">
      <c r="A181" t="s">
        <v>106</v>
      </c>
      <c r="B181" s="46">
        <v>45195</v>
      </c>
      <c r="C181" t="s">
        <v>664</v>
      </c>
      <c r="D181" t="s">
        <v>108</v>
      </c>
      <c r="E181" t="s">
        <v>665</v>
      </c>
      <c r="F181" t="s">
        <v>110</v>
      </c>
      <c r="G181" t="s">
        <v>111</v>
      </c>
      <c r="H181" t="s">
        <v>112</v>
      </c>
      <c r="I181" t="s">
        <v>112</v>
      </c>
      <c r="J181" t="s">
        <v>112</v>
      </c>
      <c r="K181" t="s">
        <v>150</v>
      </c>
      <c r="L181" t="s">
        <v>151</v>
      </c>
      <c r="M181" t="s">
        <v>112</v>
      </c>
      <c r="N181" t="s">
        <v>112</v>
      </c>
      <c r="O181">
        <v>1</v>
      </c>
      <c r="P181">
        <v>0</v>
      </c>
      <c r="Q181">
        <v>1</v>
      </c>
      <c r="R181">
        <v>33</v>
      </c>
      <c r="S181" t="s">
        <v>166</v>
      </c>
      <c r="T181" t="s">
        <v>152</v>
      </c>
      <c r="U181" t="s">
        <v>153</v>
      </c>
      <c r="V181" t="s">
        <v>154</v>
      </c>
      <c r="W181" t="s">
        <v>119</v>
      </c>
      <c r="X181" t="s">
        <v>112</v>
      </c>
      <c r="Y181" t="s">
        <v>166</v>
      </c>
      <c r="Z181" t="s">
        <v>152</v>
      </c>
      <c r="AA181" t="s">
        <v>153</v>
      </c>
      <c r="AB181" t="s">
        <v>154</v>
      </c>
      <c r="AC181" t="s">
        <v>119</v>
      </c>
      <c r="AD181" t="s">
        <v>112</v>
      </c>
      <c r="AE181" t="s">
        <v>121</v>
      </c>
      <c r="AF181" t="s">
        <v>122</v>
      </c>
      <c r="AG181">
        <v>3685928.39</v>
      </c>
      <c r="AH181" t="s">
        <v>166</v>
      </c>
      <c r="AI181" t="s">
        <v>152</v>
      </c>
      <c r="AJ181" t="s">
        <v>153</v>
      </c>
      <c r="AK181" t="s">
        <v>154</v>
      </c>
      <c r="AL181" t="s">
        <v>119</v>
      </c>
      <c r="AM181" t="s">
        <v>112</v>
      </c>
      <c r="AN181" t="s">
        <v>121</v>
      </c>
      <c r="AO181" t="s">
        <v>122</v>
      </c>
      <c r="AP181" t="s">
        <v>122</v>
      </c>
      <c r="AQ181" t="s">
        <v>124</v>
      </c>
      <c r="AR181" t="s">
        <v>125</v>
      </c>
      <c r="AS181">
        <v>2</v>
      </c>
      <c r="AT181" t="s">
        <v>126</v>
      </c>
      <c r="AU181" t="s">
        <v>155</v>
      </c>
      <c r="AV181" t="s">
        <v>156</v>
      </c>
      <c r="AW181">
        <v>1</v>
      </c>
      <c r="AX181" t="s">
        <v>129</v>
      </c>
      <c r="AY181">
        <v>41972.160000000003</v>
      </c>
      <c r="AZ181">
        <v>3339792</v>
      </c>
      <c r="BA181">
        <v>49337.34</v>
      </c>
      <c r="BB181">
        <v>79.571600000000004</v>
      </c>
      <c r="BC181" t="s">
        <v>130</v>
      </c>
      <c r="BD181" t="s">
        <v>112</v>
      </c>
      <c r="BE181" t="s">
        <v>157</v>
      </c>
      <c r="BF181" t="s">
        <v>133</v>
      </c>
      <c r="BG181" t="s">
        <v>134</v>
      </c>
      <c r="BH181" t="s">
        <v>112</v>
      </c>
      <c r="BI181" t="s">
        <v>112</v>
      </c>
      <c r="BJ181" t="s">
        <v>112</v>
      </c>
      <c r="BK181" t="s">
        <v>169</v>
      </c>
      <c r="BL181" t="s">
        <v>159</v>
      </c>
      <c r="BM181" t="s">
        <v>212</v>
      </c>
      <c r="BN181" t="s">
        <v>161</v>
      </c>
      <c r="BO181">
        <v>1</v>
      </c>
      <c r="BP181" t="s">
        <v>666</v>
      </c>
      <c r="BR181" t="s">
        <v>150</v>
      </c>
      <c r="BS181">
        <v>33</v>
      </c>
      <c r="BT181">
        <v>0</v>
      </c>
      <c r="BU181">
        <v>0</v>
      </c>
      <c r="BW181">
        <v>0</v>
      </c>
      <c r="BY181" t="s">
        <v>106</v>
      </c>
      <c r="BZ181" t="s">
        <v>142</v>
      </c>
      <c r="CA181" t="s">
        <v>112</v>
      </c>
      <c r="CB181" t="s">
        <v>112</v>
      </c>
      <c r="CC181" t="s">
        <v>121</v>
      </c>
      <c r="CD181">
        <v>15597.9</v>
      </c>
      <c r="CE181" t="s">
        <v>144</v>
      </c>
      <c r="CF181">
        <v>4000000</v>
      </c>
      <c r="CG181">
        <v>15390.3</v>
      </c>
      <c r="CH181">
        <v>0</v>
      </c>
      <c r="CI181" t="s">
        <v>112</v>
      </c>
      <c r="CJ181" t="s">
        <v>112</v>
      </c>
      <c r="CK181">
        <v>41972.160000000003</v>
      </c>
      <c r="CL181">
        <v>3339792</v>
      </c>
      <c r="CM181">
        <v>0</v>
      </c>
      <c r="CN181">
        <v>1</v>
      </c>
      <c r="CO181">
        <v>3685928.39</v>
      </c>
      <c r="CP181">
        <v>49337.34</v>
      </c>
      <c r="CQ181" t="s">
        <v>145</v>
      </c>
      <c r="CR181">
        <v>49336.684710000001</v>
      </c>
      <c r="CS181">
        <v>3.2057000000000002</v>
      </c>
      <c r="CT181">
        <v>45</v>
      </c>
      <c r="CU181" t="s">
        <v>171</v>
      </c>
      <c r="CV181" t="s">
        <v>172</v>
      </c>
      <c r="CW181">
        <v>546</v>
      </c>
    </row>
    <row r="182" spans="1:101" x14ac:dyDescent="0.2">
      <c r="A182" t="s">
        <v>106</v>
      </c>
      <c r="B182" s="46">
        <v>44959</v>
      </c>
      <c r="C182" t="s">
        <v>690</v>
      </c>
      <c r="D182" t="s">
        <v>108</v>
      </c>
      <c r="E182" t="s">
        <v>691</v>
      </c>
      <c r="F182" t="s">
        <v>110</v>
      </c>
      <c r="G182" t="s">
        <v>111</v>
      </c>
      <c r="H182" t="s">
        <v>112</v>
      </c>
      <c r="I182" t="s">
        <v>112</v>
      </c>
      <c r="J182" t="s">
        <v>112</v>
      </c>
      <c r="K182" t="s">
        <v>150</v>
      </c>
      <c r="L182" t="s">
        <v>151</v>
      </c>
      <c r="M182" t="s">
        <v>112</v>
      </c>
      <c r="N182" t="s">
        <v>112</v>
      </c>
      <c r="O182">
        <v>1</v>
      </c>
      <c r="P182">
        <v>0</v>
      </c>
      <c r="Q182">
        <v>1</v>
      </c>
      <c r="R182">
        <v>33</v>
      </c>
      <c r="S182" t="s">
        <v>166</v>
      </c>
      <c r="T182" t="s">
        <v>152</v>
      </c>
      <c r="U182" t="s">
        <v>153</v>
      </c>
      <c r="V182" t="s">
        <v>154</v>
      </c>
      <c r="W182" t="s">
        <v>119</v>
      </c>
      <c r="X182" t="s">
        <v>112</v>
      </c>
      <c r="Y182" t="s">
        <v>166</v>
      </c>
      <c r="Z182" t="s">
        <v>152</v>
      </c>
      <c r="AA182" t="s">
        <v>153</v>
      </c>
      <c r="AB182" t="s">
        <v>154</v>
      </c>
      <c r="AC182" t="s">
        <v>119</v>
      </c>
      <c r="AD182" t="s">
        <v>112</v>
      </c>
      <c r="AE182" t="s">
        <v>121</v>
      </c>
      <c r="AF182" t="s">
        <v>122</v>
      </c>
      <c r="AG182">
        <v>3600349.13</v>
      </c>
      <c r="AH182" t="s">
        <v>166</v>
      </c>
      <c r="AI182" t="s">
        <v>152</v>
      </c>
      <c r="AJ182" t="s">
        <v>153</v>
      </c>
      <c r="AK182" t="s">
        <v>154</v>
      </c>
      <c r="AL182" t="s">
        <v>119</v>
      </c>
      <c r="AM182" t="s">
        <v>112</v>
      </c>
      <c r="AN182" t="s">
        <v>121</v>
      </c>
      <c r="AO182" t="s">
        <v>122</v>
      </c>
      <c r="AP182" t="s">
        <v>122</v>
      </c>
      <c r="AQ182" t="s">
        <v>124</v>
      </c>
      <c r="AR182" t="s">
        <v>125</v>
      </c>
      <c r="AS182">
        <v>2</v>
      </c>
      <c r="AT182" t="s">
        <v>126</v>
      </c>
      <c r="AU182" t="s">
        <v>155</v>
      </c>
      <c r="AV182" t="s">
        <v>156</v>
      </c>
      <c r="AW182">
        <v>1</v>
      </c>
      <c r="AX182" t="s">
        <v>129</v>
      </c>
      <c r="AY182">
        <v>40896.660000000003</v>
      </c>
      <c r="AZ182">
        <v>3254213</v>
      </c>
      <c r="BA182">
        <v>48191.83</v>
      </c>
      <c r="BB182">
        <v>79.571600000000004</v>
      </c>
      <c r="BC182" t="s">
        <v>130</v>
      </c>
      <c r="BD182" t="s">
        <v>112</v>
      </c>
      <c r="BE182" t="s">
        <v>157</v>
      </c>
      <c r="BF182" t="s">
        <v>133</v>
      </c>
      <c r="BG182" t="s">
        <v>167</v>
      </c>
      <c r="BH182" t="s">
        <v>168</v>
      </c>
      <c r="BI182" t="s">
        <v>112</v>
      </c>
      <c r="BJ182" t="s">
        <v>112</v>
      </c>
      <c r="BK182" t="s">
        <v>169</v>
      </c>
      <c r="BL182" t="s">
        <v>159</v>
      </c>
      <c r="BM182" t="s">
        <v>160</v>
      </c>
      <c r="BN182" t="s">
        <v>161</v>
      </c>
      <c r="BO182">
        <v>1</v>
      </c>
      <c r="BP182" t="s">
        <v>692</v>
      </c>
      <c r="BR182" t="s">
        <v>150</v>
      </c>
      <c r="BS182">
        <v>33</v>
      </c>
      <c r="BT182">
        <v>0</v>
      </c>
      <c r="BU182">
        <v>0</v>
      </c>
      <c r="BW182">
        <v>0</v>
      </c>
      <c r="BY182" t="s">
        <v>106</v>
      </c>
      <c r="BZ182" t="s">
        <v>142</v>
      </c>
      <c r="CA182" t="s">
        <v>112</v>
      </c>
      <c r="CB182" t="s">
        <v>112</v>
      </c>
      <c r="CC182" t="s">
        <v>121</v>
      </c>
      <c r="CD182">
        <v>16633.150000000001</v>
      </c>
      <c r="CE182" t="s">
        <v>144</v>
      </c>
      <c r="CF182">
        <v>4000000</v>
      </c>
      <c r="CG182">
        <v>16460.349999999999</v>
      </c>
      <c r="CH182">
        <v>0</v>
      </c>
      <c r="CI182" t="s">
        <v>112</v>
      </c>
      <c r="CJ182" t="s">
        <v>112</v>
      </c>
      <c r="CK182">
        <v>40896.660000000003</v>
      </c>
      <c r="CL182">
        <v>3254213</v>
      </c>
      <c r="CM182">
        <v>0</v>
      </c>
      <c r="CN182">
        <v>1</v>
      </c>
      <c r="CO182">
        <v>3600349.13</v>
      </c>
      <c r="CP182">
        <v>48191.83</v>
      </c>
      <c r="CQ182" t="s">
        <v>145</v>
      </c>
      <c r="CR182">
        <v>48192.612729999993</v>
      </c>
      <c r="CS182">
        <v>2.9278</v>
      </c>
      <c r="CT182">
        <v>45</v>
      </c>
      <c r="CU182" t="s">
        <v>171</v>
      </c>
      <c r="CV182" t="s">
        <v>369</v>
      </c>
      <c r="CW182">
        <v>343</v>
      </c>
    </row>
    <row r="183" spans="1:101" x14ac:dyDescent="0.2">
      <c r="A183" t="s">
        <v>106</v>
      </c>
      <c r="B183" s="46">
        <v>45245</v>
      </c>
      <c r="C183" t="s">
        <v>671</v>
      </c>
      <c r="D183" t="s">
        <v>108</v>
      </c>
      <c r="E183" t="s">
        <v>672</v>
      </c>
      <c r="F183" t="s">
        <v>110</v>
      </c>
      <c r="G183" t="s">
        <v>111</v>
      </c>
      <c r="H183" t="s">
        <v>112</v>
      </c>
      <c r="I183" t="s">
        <v>112</v>
      </c>
      <c r="J183" t="s">
        <v>112</v>
      </c>
      <c r="K183" t="s">
        <v>150</v>
      </c>
      <c r="L183" t="s">
        <v>151</v>
      </c>
      <c r="M183" t="s">
        <v>112</v>
      </c>
      <c r="N183" t="s">
        <v>112</v>
      </c>
      <c r="O183">
        <v>1</v>
      </c>
      <c r="P183">
        <v>0</v>
      </c>
      <c r="Q183">
        <v>1</v>
      </c>
      <c r="R183">
        <v>33</v>
      </c>
      <c r="S183" t="s">
        <v>166</v>
      </c>
      <c r="T183" t="s">
        <v>152</v>
      </c>
      <c r="U183" t="s">
        <v>153</v>
      </c>
      <c r="V183" t="s">
        <v>154</v>
      </c>
      <c r="W183" t="s">
        <v>119</v>
      </c>
      <c r="X183" t="s">
        <v>112</v>
      </c>
      <c r="Y183" t="s">
        <v>166</v>
      </c>
      <c r="Z183" t="s">
        <v>152</v>
      </c>
      <c r="AA183" t="s">
        <v>153</v>
      </c>
      <c r="AB183" t="s">
        <v>154</v>
      </c>
      <c r="AC183" t="s">
        <v>119</v>
      </c>
      <c r="AD183" t="s">
        <v>112</v>
      </c>
      <c r="AE183" t="s">
        <v>121</v>
      </c>
      <c r="AF183" t="s">
        <v>122</v>
      </c>
      <c r="AG183">
        <v>3879688.42</v>
      </c>
      <c r="AH183" t="s">
        <v>166</v>
      </c>
      <c r="AI183" t="s">
        <v>152</v>
      </c>
      <c r="AJ183" t="s">
        <v>153</v>
      </c>
      <c r="AK183" t="s">
        <v>154</v>
      </c>
      <c r="AL183" t="s">
        <v>119</v>
      </c>
      <c r="AM183" t="s">
        <v>112</v>
      </c>
      <c r="AN183" t="s">
        <v>121</v>
      </c>
      <c r="AO183" t="s">
        <v>122</v>
      </c>
      <c r="AP183" t="s">
        <v>122</v>
      </c>
      <c r="AQ183" t="s">
        <v>124</v>
      </c>
      <c r="AR183" t="s">
        <v>125</v>
      </c>
      <c r="AS183">
        <v>2</v>
      </c>
      <c r="AT183" t="s">
        <v>126</v>
      </c>
      <c r="AU183" t="s">
        <v>155</v>
      </c>
      <c r="AV183" t="s">
        <v>156</v>
      </c>
      <c r="AW183">
        <v>1</v>
      </c>
      <c r="AX183" t="s">
        <v>129</v>
      </c>
      <c r="AY183">
        <v>44407.199999999997</v>
      </c>
      <c r="AZ183">
        <v>3533552</v>
      </c>
      <c r="BA183">
        <v>51930.879999999997</v>
      </c>
      <c r="BB183">
        <v>79.571600000000004</v>
      </c>
      <c r="BC183" t="s">
        <v>130</v>
      </c>
      <c r="BD183" t="s">
        <v>112</v>
      </c>
      <c r="BE183" t="s">
        <v>157</v>
      </c>
      <c r="BF183" t="s">
        <v>133</v>
      </c>
      <c r="BG183" t="s">
        <v>167</v>
      </c>
      <c r="BH183" t="s">
        <v>168</v>
      </c>
      <c r="BI183" t="s">
        <v>112</v>
      </c>
      <c r="BJ183" t="s">
        <v>112</v>
      </c>
      <c r="BK183" t="s">
        <v>169</v>
      </c>
      <c r="BL183" t="s">
        <v>159</v>
      </c>
      <c r="BM183" t="s">
        <v>160</v>
      </c>
      <c r="BN183" t="s">
        <v>161</v>
      </c>
      <c r="BO183">
        <v>1</v>
      </c>
      <c r="BP183" t="s">
        <v>466</v>
      </c>
      <c r="BR183" t="s">
        <v>150</v>
      </c>
      <c r="BS183">
        <v>33</v>
      </c>
      <c r="BT183">
        <v>0</v>
      </c>
      <c r="BU183">
        <v>0</v>
      </c>
      <c r="BW183">
        <v>0</v>
      </c>
      <c r="BY183" t="s">
        <v>106</v>
      </c>
      <c r="BZ183" t="s">
        <v>142</v>
      </c>
      <c r="CA183" t="s">
        <v>112</v>
      </c>
      <c r="CB183" t="s">
        <v>112</v>
      </c>
      <c r="CC183" t="s">
        <v>121</v>
      </c>
      <c r="CD183">
        <v>16136.82</v>
      </c>
      <c r="CE183" t="s">
        <v>144</v>
      </c>
      <c r="CF183">
        <v>4000000</v>
      </c>
      <c r="CG183">
        <v>16028.82</v>
      </c>
      <c r="CH183">
        <v>0</v>
      </c>
      <c r="CI183" t="s">
        <v>112</v>
      </c>
      <c r="CJ183" t="s">
        <v>112</v>
      </c>
      <c r="CK183">
        <v>44407.199999999997</v>
      </c>
      <c r="CL183">
        <v>3533552</v>
      </c>
      <c r="CM183">
        <v>0</v>
      </c>
      <c r="CN183">
        <v>1</v>
      </c>
      <c r="CO183">
        <v>3879688.42</v>
      </c>
      <c r="CP183">
        <v>51930.879999999997</v>
      </c>
      <c r="CQ183" t="s">
        <v>145</v>
      </c>
      <c r="CR183">
        <v>51930.171035999992</v>
      </c>
      <c r="CS183">
        <v>3.2397999999999998</v>
      </c>
      <c r="CT183">
        <v>45</v>
      </c>
      <c r="CU183" t="s">
        <v>171</v>
      </c>
      <c r="CV183" t="s">
        <v>369</v>
      </c>
      <c r="CW183">
        <v>558</v>
      </c>
    </row>
    <row r="184" spans="1:101" x14ac:dyDescent="0.2">
      <c r="A184" t="s">
        <v>106</v>
      </c>
      <c r="B184" s="46">
        <v>44989</v>
      </c>
      <c r="C184" t="s">
        <v>696</v>
      </c>
      <c r="D184" t="s">
        <v>108</v>
      </c>
      <c r="E184" t="s">
        <v>697</v>
      </c>
      <c r="F184" t="s">
        <v>110</v>
      </c>
      <c r="G184" t="s">
        <v>111</v>
      </c>
      <c r="H184" t="s">
        <v>112</v>
      </c>
      <c r="I184" t="s">
        <v>112</v>
      </c>
      <c r="J184" t="s">
        <v>112</v>
      </c>
      <c r="K184" t="s">
        <v>150</v>
      </c>
      <c r="L184" t="s">
        <v>151</v>
      </c>
      <c r="M184" t="s">
        <v>112</v>
      </c>
      <c r="N184" t="s">
        <v>112</v>
      </c>
      <c r="O184">
        <v>1</v>
      </c>
      <c r="P184">
        <v>0</v>
      </c>
      <c r="Q184">
        <v>1</v>
      </c>
      <c r="R184">
        <v>33</v>
      </c>
      <c r="S184" t="s">
        <v>166</v>
      </c>
      <c r="T184" t="s">
        <v>152</v>
      </c>
      <c r="U184" t="s">
        <v>153</v>
      </c>
      <c r="V184" t="s">
        <v>154</v>
      </c>
      <c r="W184" t="s">
        <v>119</v>
      </c>
      <c r="X184" t="s">
        <v>112</v>
      </c>
      <c r="Y184" t="s">
        <v>166</v>
      </c>
      <c r="Z184" t="s">
        <v>152</v>
      </c>
      <c r="AA184" t="s">
        <v>153</v>
      </c>
      <c r="AB184" t="s">
        <v>154</v>
      </c>
      <c r="AC184" t="s">
        <v>119</v>
      </c>
      <c r="AD184" t="s">
        <v>112</v>
      </c>
      <c r="AE184" t="s">
        <v>121</v>
      </c>
      <c r="AF184" t="s">
        <v>122</v>
      </c>
      <c r="AG184">
        <v>3747383.12</v>
      </c>
      <c r="AH184" t="s">
        <v>166</v>
      </c>
      <c r="AI184" t="s">
        <v>152</v>
      </c>
      <c r="AJ184" t="s">
        <v>153</v>
      </c>
      <c r="AK184" t="s">
        <v>154</v>
      </c>
      <c r="AL184" t="s">
        <v>119</v>
      </c>
      <c r="AM184" t="s">
        <v>112</v>
      </c>
      <c r="AN184" t="s">
        <v>121</v>
      </c>
      <c r="AO184" t="s">
        <v>122</v>
      </c>
      <c r="AP184" t="s">
        <v>122</v>
      </c>
      <c r="AQ184" t="s">
        <v>124</v>
      </c>
      <c r="AR184" t="s">
        <v>125</v>
      </c>
      <c r="AS184">
        <v>2</v>
      </c>
      <c r="AT184" t="s">
        <v>126</v>
      </c>
      <c r="AU184" t="s">
        <v>155</v>
      </c>
      <c r="AV184" t="s">
        <v>156</v>
      </c>
      <c r="AW184">
        <v>1</v>
      </c>
      <c r="AX184" t="s">
        <v>129</v>
      </c>
      <c r="AY184">
        <v>42744.480000000003</v>
      </c>
      <c r="AZ184">
        <v>3401247</v>
      </c>
      <c r="BA184">
        <v>50159.93</v>
      </c>
      <c r="BB184">
        <v>79.571600000000004</v>
      </c>
      <c r="BC184" t="s">
        <v>130</v>
      </c>
      <c r="BD184" t="s">
        <v>112</v>
      </c>
      <c r="BE184" t="s">
        <v>157</v>
      </c>
      <c r="BF184" t="s">
        <v>133</v>
      </c>
      <c r="BG184" t="s">
        <v>167</v>
      </c>
      <c r="BH184" t="s">
        <v>168</v>
      </c>
      <c r="BI184" t="s">
        <v>112</v>
      </c>
      <c r="BJ184" t="s">
        <v>112</v>
      </c>
      <c r="BK184" t="s">
        <v>169</v>
      </c>
      <c r="BL184" t="s">
        <v>159</v>
      </c>
      <c r="BM184" t="s">
        <v>160</v>
      </c>
      <c r="BN184" t="s">
        <v>161</v>
      </c>
      <c r="BO184">
        <v>1</v>
      </c>
      <c r="BP184" t="s">
        <v>232</v>
      </c>
      <c r="BR184" t="s">
        <v>150</v>
      </c>
      <c r="BS184">
        <v>33</v>
      </c>
      <c r="BT184">
        <v>0</v>
      </c>
      <c r="BU184">
        <v>0</v>
      </c>
      <c r="BW184">
        <v>0</v>
      </c>
      <c r="BY184" t="s">
        <v>106</v>
      </c>
      <c r="BZ184" t="s">
        <v>142</v>
      </c>
      <c r="CA184" t="s">
        <v>112</v>
      </c>
      <c r="CB184" t="s">
        <v>112</v>
      </c>
      <c r="CC184" t="s">
        <v>121</v>
      </c>
      <c r="CD184">
        <v>16824.37</v>
      </c>
      <c r="CE184" t="s">
        <v>144</v>
      </c>
      <c r="CF184">
        <v>4000000</v>
      </c>
      <c r="CG184">
        <v>16759.57</v>
      </c>
      <c r="CH184">
        <v>0</v>
      </c>
      <c r="CI184" t="s">
        <v>112</v>
      </c>
      <c r="CJ184" t="s">
        <v>112</v>
      </c>
      <c r="CK184">
        <v>42744.480000000003</v>
      </c>
      <c r="CL184">
        <v>3401247</v>
      </c>
      <c r="CM184">
        <v>0</v>
      </c>
      <c r="CN184">
        <v>1</v>
      </c>
      <c r="CO184">
        <v>3747383.12</v>
      </c>
      <c r="CP184">
        <v>50159.93</v>
      </c>
      <c r="CQ184" t="s">
        <v>145</v>
      </c>
      <c r="CR184">
        <v>50159.717053</v>
      </c>
      <c r="CS184">
        <v>2.9929000000000001</v>
      </c>
      <c r="CT184">
        <v>45</v>
      </c>
      <c r="CU184" t="s">
        <v>171</v>
      </c>
      <c r="CV184" t="s">
        <v>372</v>
      </c>
      <c r="CW184">
        <v>93</v>
      </c>
    </row>
    <row r="185" spans="1:101" x14ac:dyDescent="0.2">
      <c r="A185" t="s">
        <v>106</v>
      </c>
      <c r="B185" s="46">
        <v>45078</v>
      </c>
      <c r="C185" t="s">
        <v>656</v>
      </c>
      <c r="D185" t="s">
        <v>108</v>
      </c>
      <c r="E185" t="s">
        <v>657</v>
      </c>
      <c r="F185" t="s">
        <v>110</v>
      </c>
      <c r="G185" t="s">
        <v>111</v>
      </c>
      <c r="H185" t="s">
        <v>112</v>
      </c>
      <c r="I185" t="s">
        <v>112</v>
      </c>
      <c r="J185" t="s">
        <v>112</v>
      </c>
      <c r="K185" t="s">
        <v>150</v>
      </c>
      <c r="L185" t="s">
        <v>151</v>
      </c>
      <c r="M185" t="s">
        <v>112</v>
      </c>
      <c r="N185" t="s">
        <v>112</v>
      </c>
      <c r="O185">
        <v>1</v>
      </c>
      <c r="P185">
        <v>0</v>
      </c>
      <c r="Q185">
        <v>1</v>
      </c>
      <c r="R185">
        <v>33</v>
      </c>
      <c r="S185" t="s">
        <v>166</v>
      </c>
      <c r="T185" t="s">
        <v>152</v>
      </c>
      <c r="U185" t="s">
        <v>153</v>
      </c>
      <c r="V185" t="s">
        <v>154</v>
      </c>
      <c r="W185" t="s">
        <v>119</v>
      </c>
      <c r="X185" t="s">
        <v>112</v>
      </c>
      <c r="Y185" t="s">
        <v>166</v>
      </c>
      <c r="Z185" t="s">
        <v>152</v>
      </c>
      <c r="AA185" t="s">
        <v>153</v>
      </c>
      <c r="AB185" t="s">
        <v>154</v>
      </c>
      <c r="AC185" t="s">
        <v>119</v>
      </c>
      <c r="AD185" t="s">
        <v>112</v>
      </c>
      <c r="AE185" t="s">
        <v>121</v>
      </c>
      <c r="AF185" t="s">
        <v>122</v>
      </c>
      <c r="AG185">
        <v>3816168</v>
      </c>
      <c r="AH185" t="s">
        <v>166</v>
      </c>
      <c r="AI185" t="s">
        <v>152</v>
      </c>
      <c r="AJ185" t="s">
        <v>153</v>
      </c>
      <c r="AK185" t="s">
        <v>154</v>
      </c>
      <c r="AL185" t="s">
        <v>119</v>
      </c>
      <c r="AM185" t="s">
        <v>112</v>
      </c>
      <c r="AN185" t="s">
        <v>121</v>
      </c>
      <c r="AO185" t="s">
        <v>122</v>
      </c>
      <c r="AP185" t="s">
        <v>122</v>
      </c>
      <c r="AQ185" t="s">
        <v>124</v>
      </c>
      <c r="AR185" t="s">
        <v>125</v>
      </c>
      <c r="AS185">
        <v>2</v>
      </c>
      <c r="AT185" t="s">
        <v>126</v>
      </c>
      <c r="AU185" t="s">
        <v>155</v>
      </c>
      <c r="AV185" t="s">
        <v>156</v>
      </c>
      <c r="AW185">
        <v>1</v>
      </c>
      <c r="AX185" t="s">
        <v>129</v>
      </c>
      <c r="AY185">
        <v>43608.92</v>
      </c>
      <c r="AZ185">
        <v>3470032</v>
      </c>
      <c r="BA185">
        <v>51080.639999999999</v>
      </c>
      <c r="BB185">
        <v>79.571600000000004</v>
      </c>
      <c r="BC185" t="s">
        <v>130</v>
      </c>
      <c r="BD185" t="s">
        <v>112</v>
      </c>
      <c r="BE185" t="s">
        <v>157</v>
      </c>
      <c r="BF185" t="s">
        <v>133</v>
      </c>
      <c r="BG185" t="s">
        <v>167</v>
      </c>
      <c r="BH185" t="s">
        <v>168</v>
      </c>
      <c r="BI185" t="s">
        <v>112</v>
      </c>
      <c r="BJ185" t="s">
        <v>112</v>
      </c>
      <c r="BK185" t="s">
        <v>169</v>
      </c>
      <c r="BL185" t="s">
        <v>159</v>
      </c>
      <c r="BM185" t="s">
        <v>160</v>
      </c>
      <c r="BN185" t="s">
        <v>161</v>
      </c>
      <c r="BO185">
        <v>1</v>
      </c>
      <c r="BP185" t="s">
        <v>658</v>
      </c>
      <c r="BR185" t="s">
        <v>150</v>
      </c>
      <c r="BS185">
        <v>33</v>
      </c>
      <c r="BT185">
        <v>0</v>
      </c>
      <c r="BU185">
        <v>0</v>
      </c>
      <c r="BW185">
        <v>0</v>
      </c>
      <c r="BY185" t="s">
        <v>106</v>
      </c>
      <c r="BZ185" t="s">
        <v>142</v>
      </c>
      <c r="CA185" t="s">
        <v>112</v>
      </c>
      <c r="CB185" t="s">
        <v>112</v>
      </c>
      <c r="CC185" t="s">
        <v>121</v>
      </c>
      <c r="CD185">
        <v>16704.53</v>
      </c>
      <c r="CE185" t="s">
        <v>144</v>
      </c>
      <c r="CF185">
        <v>4000000</v>
      </c>
      <c r="CG185">
        <v>16704.53</v>
      </c>
      <c r="CH185">
        <v>0</v>
      </c>
      <c r="CI185" t="s">
        <v>112</v>
      </c>
      <c r="CJ185" t="s">
        <v>112</v>
      </c>
      <c r="CK185">
        <v>43608.92</v>
      </c>
      <c r="CL185">
        <v>3470032</v>
      </c>
      <c r="CM185">
        <v>0</v>
      </c>
      <c r="CN185">
        <v>1</v>
      </c>
      <c r="CO185">
        <v>3816168</v>
      </c>
      <c r="CP185">
        <v>51080.639999999999</v>
      </c>
      <c r="CQ185" t="s">
        <v>145</v>
      </c>
      <c r="CR185">
        <v>51080.782286999995</v>
      </c>
      <c r="CS185">
        <v>3.0579000000000001</v>
      </c>
      <c r="CT185">
        <v>45</v>
      </c>
      <c r="CU185" t="s">
        <v>171</v>
      </c>
      <c r="CV185" t="s">
        <v>172</v>
      </c>
      <c r="CW185">
        <v>196</v>
      </c>
    </row>
    <row r="186" spans="1:101" x14ac:dyDescent="0.2">
      <c r="A186" t="s">
        <v>106</v>
      </c>
      <c r="B186" s="46">
        <v>45021</v>
      </c>
      <c r="C186" t="s">
        <v>681</v>
      </c>
      <c r="D186" t="s">
        <v>108</v>
      </c>
      <c r="E186" t="s">
        <v>682</v>
      </c>
      <c r="F186" t="s">
        <v>110</v>
      </c>
      <c r="G186" t="s">
        <v>111</v>
      </c>
      <c r="H186" t="s">
        <v>112</v>
      </c>
      <c r="I186" t="s">
        <v>112</v>
      </c>
      <c r="J186" t="s">
        <v>112</v>
      </c>
      <c r="K186" t="s">
        <v>150</v>
      </c>
      <c r="L186" t="s">
        <v>151</v>
      </c>
      <c r="M186" t="s">
        <v>112</v>
      </c>
      <c r="N186" t="s">
        <v>112</v>
      </c>
      <c r="O186">
        <v>1</v>
      </c>
      <c r="P186">
        <v>0</v>
      </c>
      <c r="Q186">
        <v>1</v>
      </c>
      <c r="R186">
        <v>33</v>
      </c>
      <c r="S186" t="s">
        <v>166</v>
      </c>
      <c r="T186" t="s">
        <v>152</v>
      </c>
      <c r="U186" t="s">
        <v>153</v>
      </c>
      <c r="V186" t="s">
        <v>154</v>
      </c>
      <c r="W186" t="s">
        <v>119</v>
      </c>
      <c r="X186" t="s">
        <v>112</v>
      </c>
      <c r="Y186" t="s">
        <v>166</v>
      </c>
      <c r="Z186" t="s">
        <v>152</v>
      </c>
      <c r="AA186" t="s">
        <v>153</v>
      </c>
      <c r="AB186" t="s">
        <v>154</v>
      </c>
      <c r="AC186" t="s">
        <v>119</v>
      </c>
      <c r="AD186" t="s">
        <v>112</v>
      </c>
      <c r="AE186" t="s">
        <v>121</v>
      </c>
      <c r="AF186" t="s">
        <v>122</v>
      </c>
      <c r="AG186">
        <v>3817779.32</v>
      </c>
      <c r="AH186" t="s">
        <v>166</v>
      </c>
      <c r="AI186" t="s">
        <v>152</v>
      </c>
      <c r="AJ186" t="s">
        <v>153</v>
      </c>
      <c r="AK186" t="s">
        <v>154</v>
      </c>
      <c r="AL186" t="s">
        <v>119</v>
      </c>
      <c r="AM186" t="s">
        <v>112</v>
      </c>
      <c r="AN186" t="s">
        <v>121</v>
      </c>
      <c r="AO186" t="s">
        <v>122</v>
      </c>
      <c r="AP186" t="s">
        <v>122</v>
      </c>
      <c r="AQ186" t="s">
        <v>124</v>
      </c>
      <c r="AR186" t="s">
        <v>125</v>
      </c>
      <c r="AS186">
        <v>2</v>
      </c>
      <c r="AT186" t="s">
        <v>126</v>
      </c>
      <c r="AU186" t="s">
        <v>155</v>
      </c>
      <c r="AV186" t="s">
        <v>156</v>
      </c>
      <c r="AW186">
        <v>1</v>
      </c>
      <c r="AX186" t="s">
        <v>129</v>
      </c>
      <c r="AY186">
        <v>43129.17</v>
      </c>
      <c r="AZ186">
        <v>3431857</v>
      </c>
      <c r="BA186">
        <v>51102.21</v>
      </c>
      <c r="BB186">
        <v>79.571600000000004</v>
      </c>
      <c r="BC186" t="s">
        <v>130</v>
      </c>
      <c r="BD186" t="s">
        <v>112</v>
      </c>
      <c r="BE186" t="s">
        <v>157</v>
      </c>
      <c r="BF186" t="s">
        <v>133</v>
      </c>
      <c r="BG186" t="s">
        <v>134</v>
      </c>
      <c r="BH186" t="s">
        <v>112</v>
      </c>
      <c r="BI186" t="s">
        <v>112</v>
      </c>
      <c r="BJ186" t="s">
        <v>112</v>
      </c>
      <c r="BK186" t="s">
        <v>169</v>
      </c>
      <c r="BL186" t="s">
        <v>159</v>
      </c>
      <c r="BM186" t="s">
        <v>212</v>
      </c>
      <c r="BN186" t="s">
        <v>161</v>
      </c>
      <c r="BO186">
        <v>1</v>
      </c>
      <c r="BP186" t="s">
        <v>466</v>
      </c>
      <c r="BR186" t="s">
        <v>150</v>
      </c>
      <c r="BS186">
        <v>33</v>
      </c>
      <c r="BT186">
        <v>0</v>
      </c>
      <c r="BU186">
        <v>0</v>
      </c>
      <c r="BW186">
        <v>0</v>
      </c>
      <c r="BY186" t="s">
        <v>106</v>
      </c>
      <c r="BZ186" t="s">
        <v>142</v>
      </c>
      <c r="CA186" t="s">
        <v>112</v>
      </c>
      <c r="CB186" t="s">
        <v>112</v>
      </c>
      <c r="CC186" t="s">
        <v>121</v>
      </c>
      <c r="CD186">
        <v>16758.03</v>
      </c>
      <c r="CE186" t="s">
        <v>144</v>
      </c>
      <c r="CF186">
        <v>4000000</v>
      </c>
      <c r="CG186">
        <v>16693.23</v>
      </c>
      <c r="CH186">
        <v>0</v>
      </c>
      <c r="CI186" t="s">
        <v>112</v>
      </c>
      <c r="CJ186" t="s">
        <v>112</v>
      </c>
      <c r="CK186">
        <v>43129.17</v>
      </c>
      <c r="CL186">
        <v>3431857</v>
      </c>
      <c r="CM186">
        <v>0</v>
      </c>
      <c r="CN186">
        <v>1</v>
      </c>
      <c r="CO186">
        <v>3817779.32</v>
      </c>
      <c r="CP186">
        <v>51102.21</v>
      </c>
      <c r="CQ186" t="s">
        <v>145</v>
      </c>
      <c r="CR186">
        <v>51102.984999</v>
      </c>
      <c r="CS186">
        <v>3.0613000000000001</v>
      </c>
      <c r="CT186">
        <v>45</v>
      </c>
      <c r="CU186" t="s">
        <v>171</v>
      </c>
      <c r="CV186" t="s">
        <v>172</v>
      </c>
      <c r="CW186">
        <v>69</v>
      </c>
    </row>
    <row r="187" spans="1:101" x14ac:dyDescent="0.2">
      <c r="A187" t="s">
        <v>106</v>
      </c>
      <c r="B187" s="46">
        <v>45273</v>
      </c>
      <c r="C187" t="s">
        <v>389</v>
      </c>
      <c r="D187" t="s">
        <v>108</v>
      </c>
      <c r="E187" t="s">
        <v>390</v>
      </c>
      <c r="F187" t="s">
        <v>110</v>
      </c>
      <c r="G187" t="s">
        <v>111</v>
      </c>
      <c r="H187" t="s">
        <v>112</v>
      </c>
      <c r="I187" t="s">
        <v>112</v>
      </c>
      <c r="J187" t="s">
        <v>112</v>
      </c>
      <c r="K187" t="s">
        <v>175</v>
      </c>
      <c r="L187" t="s">
        <v>176</v>
      </c>
      <c r="M187" t="s">
        <v>112</v>
      </c>
      <c r="N187" t="s">
        <v>112</v>
      </c>
      <c r="O187">
        <v>1</v>
      </c>
      <c r="P187">
        <v>0</v>
      </c>
      <c r="Q187">
        <v>1</v>
      </c>
      <c r="R187">
        <v>33</v>
      </c>
      <c r="S187" t="s">
        <v>166</v>
      </c>
      <c r="T187" t="s">
        <v>152</v>
      </c>
      <c r="U187" t="s">
        <v>153</v>
      </c>
      <c r="V187" t="s">
        <v>177</v>
      </c>
      <c r="W187" t="s">
        <v>119</v>
      </c>
      <c r="X187" t="s">
        <v>112</v>
      </c>
      <c r="Y187" t="s">
        <v>166</v>
      </c>
      <c r="Z187" t="s">
        <v>152</v>
      </c>
      <c r="AA187" t="s">
        <v>153</v>
      </c>
      <c r="AB187" t="s">
        <v>177</v>
      </c>
      <c r="AC187" t="s">
        <v>119</v>
      </c>
      <c r="AD187" t="s">
        <v>112</v>
      </c>
      <c r="AE187" t="s">
        <v>121</v>
      </c>
      <c r="AF187" t="s">
        <v>122</v>
      </c>
      <c r="AG187">
        <v>3581410.71</v>
      </c>
      <c r="AH187" t="s">
        <v>166</v>
      </c>
      <c r="AI187" t="s">
        <v>152</v>
      </c>
      <c r="AJ187" t="s">
        <v>153</v>
      </c>
      <c r="AK187" t="s">
        <v>177</v>
      </c>
      <c r="AL187" t="s">
        <v>119</v>
      </c>
      <c r="AM187" t="s">
        <v>112</v>
      </c>
      <c r="AN187" t="s">
        <v>121</v>
      </c>
      <c r="AO187" t="s">
        <v>122</v>
      </c>
      <c r="AP187" t="s">
        <v>122</v>
      </c>
      <c r="AQ187" t="s">
        <v>124</v>
      </c>
      <c r="AR187" t="s">
        <v>125</v>
      </c>
      <c r="AS187">
        <v>2</v>
      </c>
      <c r="AT187" t="s">
        <v>106</v>
      </c>
      <c r="AU187" t="s">
        <v>155</v>
      </c>
      <c r="AV187" t="s">
        <v>156</v>
      </c>
      <c r="AW187">
        <v>1</v>
      </c>
      <c r="AX187" t="s">
        <v>129</v>
      </c>
      <c r="AY187">
        <v>44173.62</v>
      </c>
      <c r="AZ187">
        <v>3327811</v>
      </c>
      <c r="BA187">
        <v>51809.67</v>
      </c>
      <c r="BB187">
        <v>75.334800000000001</v>
      </c>
      <c r="BC187" t="s">
        <v>130</v>
      </c>
      <c r="BD187" t="s">
        <v>112</v>
      </c>
      <c r="BE187" t="s">
        <v>157</v>
      </c>
      <c r="BF187" t="s">
        <v>133</v>
      </c>
      <c r="BG187" t="s">
        <v>134</v>
      </c>
      <c r="BH187" t="s">
        <v>112</v>
      </c>
      <c r="BI187" t="s">
        <v>178</v>
      </c>
      <c r="BJ187" t="s">
        <v>112</v>
      </c>
      <c r="BK187" t="s">
        <v>125</v>
      </c>
      <c r="BL187" t="s">
        <v>179</v>
      </c>
      <c r="BM187" t="s">
        <v>180</v>
      </c>
      <c r="BN187" t="s">
        <v>181</v>
      </c>
      <c r="BO187">
        <v>1</v>
      </c>
      <c r="BP187" t="s">
        <v>391</v>
      </c>
      <c r="BR187" t="s">
        <v>150</v>
      </c>
      <c r="BS187">
        <v>33</v>
      </c>
      <c r="BT187">
        <v>1</v>
      </c>
      <c r="BU187">
        <v>0</v>
      </c>
      <c r="BW187">
        <v>0</v>
      </c>
      <c r="BY187" t="s">
        <v>106</v>
      </c>
      <c r="BZ187" t="s">
        <v>142</v>
      </c>
      <c r="CA187" t="s">
        <v>112</v>
      </c>
      <c r="CB187" t="s">
        <v>112</v>
      </c>
      <c r="CC187" t="s">
        <v>121</v>
      </c>
      <c r="CD187">
        <v>16402.38</v>
      </c>
      <c r="CE187" t="s">
        <v>144</v>
      </c>
      <c r="CF187">
        <v>4000000</v>
      </c>
      <c r="CG187">
        <v>16294.38</v>
      </c>
      <c r="CH187">
        <v>0</v>
      </c>
      <c r="CI187" t="s">
        <v>112</v>
      </c>
      <c r="CJ187" t="s">
        <v>112</v>
      </c>
      <c r="CK187">
        <v>44173.62</v>
      </c>
      <c r="CL187">
        <v>3327811</v>
      </c>
      <c r="CM187">
        <v>0</v>
      </c>
      <c r="CN187">
        <v>1</v>
      </c>
      <c r="CO187">
        <v>3581410.71</v>
      </c>
      <c r="CP187">
        <v>51809.67</v>
      </c>
      <c r="CQ187" t="s">
        <v>145</v>
      </c>
      <c r="CR187">
        <v>51809.610648000002</v>
      </c>
      <c r="CS187">
        <v>3.1796000000000002</v>
      </c>
      <c r="CT187">
        <v>941</v>
      </c>
      <c r="CU187" t="s">
        <v>183</v>
      </c>
      <c r="CV187" t="s">
        <v>147</v>
      </c>
      <c r="CW187">
        <v>65</v>
      </c>
    </row>
    <row r="188" spans="1:101" x14ac:dyDescent="0.2">
      <c r="A188" t="s">
        <v>106</v>
      </c>
      <c r="B188" s="46">
        <v>45187</v>
      </c>
      <c r="C188" t="s">
        <v>392</v>
      </c>
      <c r="D188" t="s">
        <v>108</v>
      </c>
      <c r="E188" t="s">
        <v>393</v>
      </c>
      <c r="F188" t="s">
        <v>110</v>
      </c>
      <c r="G188" t="s">
        <v>111</v>
      </c>
      <c r="H188" t="s">
        <v>112</v>
      </c>
      <c r="I188" t="s">
        <v>112</v>
      </c>
      <c r="J188" t="s">
        <v>112</v>
      </c>
      <c r="K188" t="s">
        <v>175</v>
      </c>
      <c r="L188" t="s">
        <v>176</v>
      </c>
      <c r="M188" t="s">
        <v>112</v>
      </c>
      <c r="N188" t="s">
        <v>112</v>
      </c>
      <c r="O188">
        <v>1</v>
      </c>
      <c r="P188">
        <v>0</v>
      </c>
      <c r="Q188">
        <v>1</v>
      </c>
      <c r="R188">
        <v>33</v>
      </c>
      <c r="S188" t="s">
        <v>166</v>
      </c>
      <c r="T188" t="s">
        <v>152</v>
      </c>
      <c r="U188" t="s">
        <v>153</v>
      </c>
      <c r="V188" t="s">
        <v>177</v>
      </c>
      <c r="W188" t="s">
        <v>119</v>
      </c>
      <c r="X188" t="s">
        <v>112</v>
      </c>
      <c r="Y188" t="s">
        <v>166</v>
      </c>
      <c r="Z188" t="s">
        <v>152</v>
      </c>
      <c r="AA188" t="s">
        <v>153</v>
      </c>
      <c r="AB188" t="s">
        <v>177</v>
      </c>
      <c r="AC188" t="s">
        <v>119</v>
      </c>
      <c r="AD188" t="s">
        <v>112</v>
      </c>
      <c r="AE188" t="s">
        <v>121</v>
      </c>
      <c r="AF188" t="s">
        <v>122</v>
      </c>
      <c r="AG188">
        <v>3265212.47</v>
      </c>
      <c r="AH188" t="s">
        <v>166</v>
      </c>
      <c r="AI188" t="s">
        <v>152</v>
      </c>
      <c r="AJ188" t="s">
        <v>153</v>
      </c>
      <c r="AK188" t="s">
        <v>177</v>
      </c>
      <c r="AL188" t="s">
        <v>119</v>
      </c>
      <c r="AM188" t="s">
        <v>112</v>
      </c>
      <c r="AN188" t="s">
        <v>121</v>
      </c>
      <c r="AO188" t="s">
        <v>122</v>
      </c>
      <c r="AP188" t="s">
        <v>122</v>
      </c>
      <c r="AQ188" t="s">
        <v>124</v>
      </c>
      <c r="AR188" t="s">
        <v>125</v>
      </c>
      <c r="AS188">
        <v>2</v>
      </c>
      <c r="AT188" t="s">
        <v>106</v>
      </c>
      <c r="AU188" t="s">
        <v>155</v>
      </c>
      <c r="AV188" t="s">
        <v>156</v>
      </c>
      <c r="AW188">
        <v>1</v>
      </c>
      <c r="AX188" t="s">
        <v>129</v>
      </c>
      <c r="AY188">
        <v>39976.379999999997</v>
      </c>
      <c r="AZ188">
        <v>3011613</v>
      </c>
      <c r="BA188">
        <v>47235.46</v>
      </c>
      <c r="BB188">
        <v>75.334800000000001</v>
      </c>
      <c r="BC188" t="s">
        <v>130</v>
      </c>
      <c r="BD188" t="s">
        <v>112</v>
      </c>
      <c r="BE188" t="s">
        <v>157</v>
      </c>
      <c r="BF188" t="s">
        <v>133</v>
      </c>
      <c r="BG188" t="s">
        <v>134</v>
      </c>
      <c r="BH188" t="s">
        <v>112</v>
      </c>
      <c r="BI188" t="s">
        <v>178</v>
      </c>
      <c r="BJ188" t="s">
        <v>112</v>
      </c>
      <c r="BK188" t="s">
        <v>125</v>
      </c>
      <c r="BL188" t="s">
        <v>179</v>
      </c>
      <c r="BM188" t="s">
        <v>180</v>
      </c>
      <c r="BN188" t="s">
        <v>181</v>
      </c>
      <c r="BO188">
        <v>1</v>
      </c>
      <c r="BP188" t="s">
        <v>394</v>
      </c>
      <c r="BR188" t="s">
        <v>150</v>
      </c>
      <c r="BS188">
        <v>33</v>
      </c>
      <c r="BT188">
        <v>1</v>
      </c>
      <c r="BU188">
        <v>0</v>
      </c>
      <c r="BW188">
        <v>0</v>
      </c>
      <c r="BY188" t="s">
        <v>106</v>
      </c>
      <c r="BZ188" t="s">
        <v>142</v>
      </c>
      <c r="CA188" t="s">
        <v>112</v>
      </c>
      <c r="CB188" t="s">
        <v>112</v>
      </c>
      <c r="CC188" t="s">
        <v>121</v>
      </c>
      <c r="CD188">
        <v>17074.84</v>
      </c>
      <c r="CE188" t="s">
        <v>144</v>
      </c>
      <c r="CF188">
        <v>4000000</v>
      </c>
      <c r="CG188">
        <v>16858.84</v>
      </c>
      <c r="CH188">
        <v>0</v>
      </c>
      <c r="CI188" t="s">
        <v>112</v>
      </c>
      <c r="CJ188" t="s">
        <v>112</v>
      </c>
      <c r="CK188">
        <v>39976.379999999997</v>
      </c>
      <c r="CL188">
        <v>3011613</v>
      </c>
      <c r="CM188">
        <v>0</v>
      </c>
      <c r="CN188">
        <v>1</v>
      </c>
      <c r="CO188">
        <v>3265212.47</v>
      </c>
      <c r="CP188">
        <v>47235.46</v>
      </c>
      <c r="CQ188" t="s">
        <v>145</v>
      </c>
      <c r="CR188">
        <v>47235.097912000005</v>
      </c>
      <c r="CS188">
        <v>2.8018000000000001</v>
      </c>
      <c r="CT188">
        <v>941</v>
      </c>
      <c r="CU188" t="s">
        <v>183</v>
      </c>
      <c r="CV188" t="s">
        <v>147</v>
      </c>
      <c r="CW188">
        <v>340</v>
      </c>
    </row>
    <row r="189" spans="1:101" x14ac:dyDescent="0.2">
      <c r="A189" t="s">
        <v>106</v>
      </c>
      <c r="B189" s="46">
        <v>44973</v>
      </c>
      <c r="C189" t="s">
        <v>395</v>
      </c>
      <c r="D189" t="s">
        <v>108</v>
      </c>
      <c r="E189" t="s">
        <v>396</v>
      </c>
      <c r="F189" t="s">
        <v>110</v>
      </c>
      <c r="G189" t="s">
        <v>111</v>
      </c>
      <c r="H189" t="s">
        <v>112</v>
      </c>
      <c r="I189" t="s">
        <v>112</v>
      </c>
      <c r="J189" t="s">
        <v>112</v>
      </c>
      <c r="K189" t="s">
        <v>175</v>
      </c>
      <c r="L189" t="s">
        <v>176</v>
      </c>
      <c r="M189" t="s">
        <v>112</v>
      </c>
      <c r="N189" t="s">
        <v>112</v>
      </c>
      <c r="O189">
        <v>1</v>
      </c>
      <c r="P189">
        <v>0</v>
      </c>
      <c r="Q189">
        <v>1</v>
      </c>
      <c r="R189">
        <v>33</v>
      </c>
      <c r="S189" t="s">
        <v>166</v>
      </c>
      <c r="T189" t="s">
        <v>152</v>
      </c>
      <c r="U189" t="s">
        <v>153</v>
      </c>
      <c r="V189" t="s">
        <v>177</v>
      </c>
      <c r="W189" t="s">
        <v>119</v>
      </c>
      <c r="X189" t="s">
        <v>112</v>
      </c>
      <c r="Y189" t="s">
        <v>166</v>
      </c>
      <c r="Z189" t="s">
        <v>152</v>
      </c>
      <c r="AA189" t="s">
        <v>153</v>
      </c>
      <c r="AB189" t="s">
        <v>177</v>
      </c>
      <c r="AC189" t="s">
        <v>119</v>
      </c>
      <c r="AD189" t="s">
        <v>112</v>
      </c>
      <c r="AE189" t="s">
        <v>121</v>
      </c>
      <c r="AF189" t="s">
        <v>122</v>
      </c>
      <c r="AG189">
        <v>3393379.57</v>
      </c>
      <c r="AH189" t="s">
        <v>166</v>
      </c>
      <c r="AI189" t="s">
        <v>152</v>
      </c>
      <c r="AJ189" t="s">
        <v>153</v>
      </c>
      <c r="AK189" t="s">
        <v>177</v>
      </c>
      <c r="AL189" t="s">
        <v>119</v>
      </c>
      <c r="AM189" t="s">
        <v>112</v>
      </c>
      <c r="AN189" t="s">
        <v>121</v>
      </c>
      <c r="AO189" t="s">
        <v>122</v>
      </c>
      <c r="AP189" t="s">
        <v>122</v>
      </c>
      <c r="AQ189" t="s">
        <v>124</v>
      </c>
      <c r="AR189" t="s">
        <v>125</v>
      </c>
      <c r="AS189">
        <v>2</v>
      </c>
      <c r="AT189" t="s">
        <v>106</v>
      </c>
      <c r="AU189" t="s">
        <v>155</v>
      </c>
      <c r="AV189" t="s">
        <v>156</v>
      </c>
      <c r="AW189">
        <v>1</v>
      </c>
      <c r="AX189" t="s">
        <v>129</v>
      </c>
      <c r="AY189">
        <v>41677.68</v>
      </c>
      <c r="AZ189">
        <v>3139780</v>
      </c>
      <c r="BA189">
        <v>49089.56</v>
      </c>
      <c r="BB189">
        <v>75.334800000000001</v>
      </c>
      <c r="BC189" t="s">
        <v>130</v>
      </c>
      <c r="BD189" t="s">
        <v>112</v>
      </c>
      <c r="BE189" t="s">
        <v>157</v>
      </c>
      <c r="BF189" t="s">
        <v>133</v>
      </c>
      <c r="BG189" t="s">
        <v>134</v>
      </c>
      <c r="BH189" t="s">
        <v>112</v>
      </c>
      <c r="BI189" t="s">
        <v>178</v>
      </c>
      <c r="BJ189" t="s">
        <v>112</v>
      </c>
      <c r="BK189" t="s">
        <v>125</v>
      </c>
      <c r="BL189" t="s">
        <v>179</v>
      </c>
      <c r="BM189" t="s">
        <v>180</v>
      </c>
      <c r="BN189" t="s">
        <v>181</v>
      </c>
      <c r="BO189">
        <v>1</v>
      </c>
      <c r="BP189" t="s">
        <v>397</v>
      </c>
      <c r="BR189" t="s">
        <v>150</v>
      </c>
      <c r="BS189">
        <v>33</v>
      </c>
      <c r="BT189">
        <v>1</v>
      </c>
      <c r="BU189">
        <v>0</v>
      </c>
      <c r="BW189">
        <v>0</v>
      </c>
      <c r="BY189" t="s">
        <v>106</v>
      </c>
      <c r="BZ189" t="s">
        <v>142</v>
      </c>
      <c r="CA189" t="s">
        <v>112</v>
      </c>
      <c r="CB189" t="s">
        <v>112</v>
      </c>
      <c r="CC189" t="s">
        <v>121</v>
      </c>
      <c r="CD189">
        <v>17049.740000000002</v>
      </c>
      <c r="CE189" t="s">
        <v>144</v>
      </c>
      <c r="CF189">
        <v>4000000</v>
      </c>
      <c r="CG189">
        <v>17049.740000000002</v>
      </c>
      <c r="CH189">
        <v>0</v>
      </c>
      <c r="CI189" t="s">
        <v>112</v>
      </c>
      <c r="CJ189" t="s">
        <v>112</v>
      </c>
      <c r="CK189">
        <v>41677.68</v>
      </c>
      <c r="CL189">
        <v>3139780</v>
      </c>
      <c r="CM189">
        <v>0</v>
      </c>
      <c r="CN189">
        <v>1</v>
      </c>
      <c r="CO189">
        <v>3393379.57</v>
      </c>
      <c r="CP189">
        <v>49089.56</v>
      </c>
      <c r="CQ189" t="s">
        <v>145</v>
      </c>
      <c r="CR189">
        <v>49089.611408000004</v>
      </c>
      <c r="CS189">
        <v>2.8792</v>
      </c>
      <c r="CT189">
        <v>941</v>
      </c>
      <c r="CU189" t="s">
        <v>183</v>
      </c>
      <c r="CV189" t="s">
        <v>147</v>
      </c>
      <c r="CW189">
        <v>210</v>
      </c>
    </row>
    <row r="190" spans="1:101" x14ac:dyDescent="0.2">
      <c r="A190" t="s">
        <v>106</v>
      </c>
      <c r="B190" s="46">
        <v>45178</v>
      </c>
      <c r="C190" t="s">
        <v>383</v>
      </c>
      <c r="D190" t="s">
        <v>108</v>
      </c>
      <c r="E190" t="s">
        <v>384</v>
      </c>
      <c r="F190" t="s">
        <v>110</v>
      </c>
      <c r="G190" t="s">
        <v>111</v>
      </c>
      <c r="H190" t="s">
        <v>112</v>
      </c>
      <c r="I190" t="s">
        <v>112</v>
      </c>
      <c r="J190" t="s">
        <v>112</v>
      </c>
      <c r="K190" t="s">
        <v>150</v>
      </c>
      <c r="L190" t="s">
        <v>151</v>
      </c>
      <c r="M190" t="s">
        <v>112</v>
      </c>
      <c r="N190" t="s">
        <v>112</v>
      </c>
      <c r="O190">
        <v>1</v>
      </c>
      <c r="Q190">
        <v>1</v>
      </c>
      <c r="R190">
        <v>33</v>
      </c>
      <c r="S190" t="s">
        <v>112</v>
      </c>
      <c r="T190" t="s">
        <v>152</v>
      </c>
      <c r="U190" t="s">
        <v>153</v>
      </c>
      <c r="V190" t="s">
        <v>154</v>
      </c>
      <c r="W190" t="s">
        <v>119</v>
      </c>
      <c r="X190" t="s">
        <v>112</v>
      </c>
      <c r="Y190" t="s">
        <v>112</v>
      </c>
      <c r="Z190" t="s">
        <v>152</v>
      </c>
      <c r="AA190" t="s">
        <v>153</v>
      </c>
      <c r="AB190" t="s">
        <v>154</v>
      </c>
      <c r="AC190" t="s">
        <v>119</v>
      </c>
      <c r="AD190" t="s">
        <v>112</v>
      </c>
      <c r="AE190" t="s">
        <v>121</v>
      </c>
      <c r="AF190" t="s">
        <v>122</v>
      </c>
      <c r="AG190">
        <v>4224470.66</v>
      </c>
      <c r="AH190" t="s">
        <v>112</v>
      </c>
      <c r="AI190" t="s">
        <v>152</v>
      </c>
      <c r="AJ190" t="s">
        <v>153</v>
      </c>
      <c r="AK190" t="s">
        <v>154</v>
      </c>
      <c r="AL190" t="s">
        <v>119</v>
      </c>
      <c r="AM190" t="s">
        <v>112</v>
      </c>
      <c r="AN190" t="s">
        <v>121</v>
      </c>
      <c r="AO190" t="s">
        <v>122</v>
      </c>
      <c r="AP190" t="s">
        <v>122</v>
      </c>
      <c r="AQ190" t="s">
        <v>124</v>
      </c>
      <c r="AR190" t="s">
        <v>125</v>
      </c>
      <c r="AS190">
        <v>2</v>
      </c>
      <c r="AT190" t="s">
        <v>126</v>
      </c>
      <c r="AU190" t="s">
        <v>155</v>
      </c>
      <c r="AV190" t="s">
        <v>156</v>
      </c>
      <c r="AX190" t="s">
        <v>129</v>
      </c>
      <c r="AY190">
        <v>37598.400000000001</v>
      </c>
      <c r="BB190">
        <v>101.57810000000001</v>
      </c>
      <c r="BC190" t="s">
        <v>112</v>
      </c>
      <c r="BD190" t="s">
        <v>112</v>
      </c>
      <c r="BE190" t="s">
        <v>157</v>
      </c>
      <c r="BF190" t="s">
        <v>133</v>
      </c>
      <c r="BG190" t="s">
        <v>167</v>
      </c>
      <c r="BH190" t="s">
        <v>112</v>
      </c>
      <c r="BI190" t="s">
        <v>112</v>
      </c>
      <c r="BJ190" t="s">
        <v>112</v>
      </c>
      <c r="BK190" t="s">
        <v>158</v>
      </c>
      <c r="BL190" t="s">
        <v>159</v>
      </c>
      <c r="BM190" t="s">
        <v>160</v>
      </c>
      <c r="BN190" t="s">
        <v>161</v>
      </c>
      <c r="BP190" t="s">
        <v>232</v>
      </c>
      <c r="BR190" t="s">
        <v>150</v>
      </c>
      <c r="BS190">
        <v>33</v>
      </c>
      <c r="BT190">
        <v>0</v>
      </c>
      <c r="BU190">
        <v>0</v>
      </c>
      <c r="BW190">
        <v>0</v>
      </c>
      <c r="BY190" t="s">
        <v>106</v>
      </c>
      <c r="BZ190" t="s">
        <v>142</v>
      </c>
      <c r="CA190" t="s">
        <v>112</v>
      </c>
      <c r="CB190" t="s">
        <v>112</v>
      </c>
      <c r="CC190" t="s">
        <v>121</v>
      </c>
      <c r="CD190">
        <v>17565.900000000001</v>
      </c>
      <c r="CE190" t="s">
        <v>144</v>
      </c>
      <c r="CF190">
        <v>4000000</v>
      </c>
      <c r="CG190">
        <v>17565.900000000001</v>
      </c>
      <c r="CH190">
        <v>0</v>
      </c>
      <c r="CI190" t="s">
        <v>112</v>
      </c>
      <c r="CJ190" t="s">
        <v>112</v>
      </c>
      <c r="CK190">
        <v>37598.400000000001</v>
      </c>
      <c r="CM190">
        <v>0</v>
      </c>
      <c r="CN190">
        <v>1</v>
      </c>
      <c r="CO190">
        <v>4224470.66</v>
      </c>
      <c r="CP190">
        <v>45933.64</v>
      </c>
      <c r="CQ190" t="s">
        <v>145</v>
      </c>
      <c r="CR190">
        <v>45846.999000000003</v>
      </c>
      <c r="CS190">
        <v>2.61</v>
      </c>
      <c r="CT190">
        <v>45</v>
      </c>
      <c r="CV190" t="s">
        <v>163</v>
      </c>
      <c r="CW190">
        <v>544</v>
      </c>
    </row>
    <row r="191" spans="1:101" x14ac:dyDescent="0.2">
      <c r="A191" t="s">
        <v>106</v>
      </c>
      <c r="B191" s="46">
        <v>44845</v>
      </c>
      <c r="C191" t="s">
        <v>263</v>
      </c>
      <c r="D191" t="s">
        <v>108</v>
      </c>
      <c r="E191" t="s">
        <v>264</v>
      </c>
      <c r="F191" t="s">
        <v>110</v>
      </c>
      <c r="G191" t="s">
        <v>111</v>
      </c>
      <c r="H191" t="s">
        <v>112</v>
      </c>
      <c r="I191" t="s">
        <v>112</v>
      </c>
      <c r="J191" t="s">
        <v>112</v>
      </c>
      <c r="K191" t="s">
        <v>150</v>
      </c>
      <c r="L191" t="s">
        <v>151</v>
      </c>
      <c r="M191" t="s">
        <v>112</v>
      </c>
      <c r="N191" t="s">
        <v>112</v>
      </c>
      <c r="O191">
        <v>1</v>
      </c>
      <c r="Q191">
        <v>1</v>
      </c>
      <c r="R191">
        <v>33</v>
      </c>
      <c r="S191" t="s">
        <v>112</v>
      </c>
      <c r="T191" t="s">
        <v>152</v>
      </c>
      <c r="U191" t="s">
        <v>153</v>
      </c>
      <c r="V191" t="s">
        <v>154</v>
      </c>
      <c r="W191" t="s">
        <v>119</v>
      </c>
      <c r="X191" t="s">
        <v>112</v>
      </c>
      <c r="Y191" t="s">
        <v>112</v>
      </c>
      <c r="Z191" t="s">
        <v>152</v>
      </c>
      <c r="AA191" t="s">
        <v>153</v>
      </c>
      <c r="AB191" t="s">
        <v>154</v>
      </c>
      <c r="AC191" t="s">
        <v>119</v>
      </c>
      <c r="AD191" t="s">
        <v>112</v>
      </c>
      <c r="AE191" t="s">
        <v>121</v>
      </c>
      <c r="AF191" t="s">
        <v>122</v>
      </c>
      <c r="AG191">
        <v>4741791.67</v>
      </c>
      <c r="AH191" t="s">
        <v>112</v>
      </c>
      <c r="AI191" t="s">
        <v>152</v>
      </c>
      <c r="AJ191" t="s">
        <v>153</v>
      </c>
      <c r="AK191" t="s">
        <v>154</v>
      </c>
      <c r="AL191" t="s">
        <v>119</v>
      </c>
      <c r="AM191" t="s">
        <v>112</v>
      </c>
      <c r="AN191" t="s">
        <v>121</v>
      </c>
      <c r="AO191" t="s">
        <v>122</v>
      </c>
      <c r="AP191" t="s">
        <v>122</v>
      </c>
      <c r="AQ191" t="s">
        <v>124</v>
      </c>
      <c r="AR191" t="s">
        <v>125</v>
      </c>
      <c r="AS191">
        <v>2</v>
      </c>
      <c r="AT191" t="s">
        <v>126</v>
      </c>
      <c r="AU191" t="s">
        <v>155</v>
      </c>
      <c r="AV191" t="s">
        <v>156</v>
      </c>
      <c r="AX191" t="s">
        <v>129</v>
      </c>
      <c r="AY191">
        <v>42691.24</v>
      </c>
      <c r="BB191">
        <v>101.57810000000001</v>
      </c>
      <c r="BC191" t="s">
        <v>112</v>
      </c>
      <c r="BD191" t="s">
        <v>112</v>
      </c>
      <c r="BE191" t="s">
        <v>157</v>
      </c>
      <c r="BF191" t="s">
        <v>133</v>
      </c>
      <c r="BG191" t="s">
        <v>134</v>
      </c>
      <c r="BH191" t="s">
        <v>112</v>
      </c>
      <c r="BI191" t="s">
        <v>112</v>
      </c>
      <c r="BJ191" t="s">
        <v>112</v>
      </c>
      <c r="BK191" t="s">
        <v>158</v>
      </c>
      <c r="BL191" t="s">
        <v>159</v>
      </c>
      <c r="BM191" t="s">
        <v>212</v>
      </c>
      <c r="BN191" t="s">
        <v>161</v>
      </c>
      <c r="BP191" t="s">
        <v>162</v>
      </c>
      <c r="BR191" t="s">
        <v>150</v>
      </c>
      <c r="BS191">
        <v>33</v>
      </c>
      <c r="BT191">
        <v>0</v>
      </c>
      <c r="BU191">
        <v>0</v>
      </c>
      <c r="BW191">
        <v>0</v>
      </c>
      <c r="BY191" t="s">
        <v>106</v>
      </c>
      <c r="BZ191" t="s">
        <v>142</v>
      </c>
      <c r="CA191" t="s">
        <v>112</v>
      </c>
      <c r="CB191" t="s">
        <v>112</v>
      </c>
      <c r="CC191" t="s">
        <v>121</v>
      </c>
      <c r="CD191">
        <v>16490.939999999999</v>
      </c>
      <c r="CE191" t="s">
        <v>144</v>
      </c>
      <c r="CF191">
        <v>4000000</v>
      </c>
      <c r="CG191">
        <v>16411.740000000002</v>
      </c>
      <c r="CH191">
        <v>0</v>
      </c>
      <c r="CI191" t="s">
        <v>112</v>
      </c>
      <c r="CJ191" t="s">
        <v>112</v>
      </c>
      <c r="CK191">
        <v>42691.24</v>
      </c>
      <c r="CM191">
        <v>0</v>
      </c>
      <c r="CN191">
        <v>1</v>
      </c>
      <c r="CO191">
        <v>4741791.67</v>
      </c>
      <c r="CP191">
        <v>51558.59</v>
      </c>
      <c r="CQ191" t="s">
        <v>145</v>
      </c>
      <c r="CR191">
        <v>51532.863600000004</v>
      </c>
      <c r="CS191">
        <v>3.14</v>
      </c>
      <c r="CT191">
        <v>45</v>
      </c>
      <c r="CV191" t="s">
        <v>163</v>
      </c>
      <c r="CW191">
        <v>121</v>
      </c>
    </row>
    <row r="192" spans="1:101" x14ac:dyDescent="0.2">
      <c r="A192" t="s">
        <v>106</v>
      </c>
      <c r="B192" s="46">
        <v>44900</v>
      </c>
      <c r="C192" t="s">
        <v>319</v>
      </c>
      <c r="D192" t="s">
        <v>108</v>
      </c>
      <c r="E192" t="s">
        <v>320</v>
      </c>
      <c r="F192" t="s">
        <v>110</v>
      </c>
      <c r="G192" t="s">
        <v>111</v>
      </c>
      <c r="H192" t="s">
        <v>112</v>
      </c>
      <c r="I192" t="s">
        <v>112</v>
      </c>
      <c r="J192" t="s">
        <v>112</v>
      </c>
      <c r="K192" t="s">
        <v>150</v>
      </c>
      <c r="L192" t="s">
        <v>151</v>
      </c>
      <c r="M192" t="s">
        <v>112</v>
      </c>
      <c r="N192" t="s">
        <v>112</v>
      </c>
      <c r="O192">
        <v>1</v>
      </c>
      <c r="Q192">
        <v>1</v>
      </c>
      <c r="R192">
        <v>33</v>
      </c>
      <c r="S192" t="s">
        <v>112</v>
      </c>
      <c r="T192" t="s">
        <v>152</v>
      </c>
      <c r="U192" t="s">
        <v>153</v>
      </c>
      <c r="V192" t="s">
        <v>154</v>
      </c>
      <c r="W192" t="s">
        <v>119</v>
      </c>
      <c r="X192" t="s">
        <v>112</v>
      </c>
      <c r="Y192" t="s">
        <v>112</v>
      </c>
      <c r="Z192" t="s">
        <v>152</v>
      </c>
      <c r="AA192" t="s">
        <v>153</v>
      </c>
      <c r="AB192" t="s">
        <v>154</v>
      </c>
      <c r="AC192" t="s">
        <v>119</v>
      </c>
      <c r="AD192" t="s">
        <v>112</v>
      </c>
      <c r="AE192" t="s">
        <v>121</v>
      </c>
      <c r="AF192" t="s">
        <v>122</v>
      </c>
      <c r="AG192">
        <v>4603645.45</v>
      </c>
      <c r="AH192" t="s">
        <v>112</v>
      </c>
      <c r="AI192" t="s">
        <v>152</v>
      </c>
      <c r="AJ192" t="s">
        <v>153</v>
      </c>
      <c r="AK192" t="s">
        <v>154</v>
      </c>
      <c r="AL192" t="s">
        <v>119</v>
      </c>
      <c r="AM192" t="s">
        <v>112</v>
      </c>
      <c r="AN192" t="s">
        <v>121</v>
      </c>
      <c r="AO192" t="s">
        <v>122</v>
      </c>
      <c r="AP192" t="s">
        <v>122</v>
      </c>
      <c r="AQ192" t="s">
        <v>124</v>
      </c>
      <c r="AR192" t="s">
        <v>125</v>
      </c>
      <c r="AS192">
        <v>2</v>
      </c>
      <c r="AT192" t="s">
        <v>126</v>
      </c>
      <c r="AU192" t="s">
        <v>155</v>
      </c>
      <c r="AV192" t="s">
        <v>156</v>
      </c>
      <c r="AX192" t="s">
        <v>129</v>
      </c>
      <c r="AY192">
        <v>41331.24</v>
      </c>
      <c r="BB192">
        <v>101.57810000000001</v>
      </c>
      <c r="BC192" t="s">
        <v>112</v>
      </c>
      <c r="BD192" t="s">
        <v>112</v>
      </c>
      <c r="BE192" t="s">
        <v>157</v>
      </c>
      <c r="BF192" t="s">
        <v>133</v>
      </c>
      <c r="BG192" t="s">
        <v>134</v>
      </c>
      <c r="BH192" t="s">
        <v>112</v>
      </c>
      <c r="BI192" t="s">
        <v>112</v>
      </c>
      <c r="BJ192" t="s">
        <v>112</v>
      </c>
      <c r="BK192" t="s">
        <v>158</v>
      </c>
      <c r="BL192" t="s">
        <v>159</v>
      </c>
      <c r="BM192" t="s">
        <v>212</v>
      </c>
      <c r="BN192" t="s">
        <v>161</v>
      </c>
      <c r="BP192" t="s">
        <v>281</v>
      </c>
      <c r="BR192" t="s">
        <v>150</v>
      </c>
      <c r="BS192">
        <v>33</v>
      </c>
      <c r="BT192">
        <v>0</v>
      </c>
      <c r="BU192">
        <v>0</v>
      </c>
      <c r="BW192">
        <v>0</v>
      </c>
      <c r="BY192" t="s">
        <v>106</v>
      </c>
      <c r="BZ192" t="s">
        <v>142</v>
      </c>
      <c r="CA192" t="s">
        <v>112</v>
      </c>
      <c r="CB192" t="s">
        <v>112</v>
      </c>
      <c r="CC192" t="s">
        <v>121</v>
      </c>
      <c r="CD192">
        <v>16163.71</v>
      </c>
      <c r="CE192" t="s">
        <v>144</v>
      </c>
      <c r="CF192">
        <v>4000000</v>
      </c>
      <c r="CG192">
        <v>15926.11</v>
      </c>
      <c r="CH192">
        <v>0</v>
      </c>
      <c r="CI192" t="s">
        <v>112</v>
      </c>
      <c r="CJ192" t="s">
        <v>112</v>
      </c>
      <c r="CK192">
        <v>41331.24</v>
      </c>
      <c r="CM192">
        <v>0</v>
      </c>
      <c r="CN192">
        <v>1</v>
      </c>
      <c r="CO192">
        <v>4603645.45</v>
      </c>
      <c r="CP192">
        <v>50056.49</v>
      </c>
      <c r="CQ192" t="s">
        <v>145</v>
      </c>
      <c r="CR192">
        <v>50007.985400000005</v>
      </c>
      <c r="CS192">
        <v>3.14</v>
      </c>
      <c r="CT192">
        <v>45</v>
      </c>
      <c r="CV192" t="s">
        <v>233</v>
      </c>
      <c r="CW192">
        <v>80</v>
      </c>
    </row>
    <row r="193" spans="1:101" x14ac:dyDescent="0.2">
      <c r="A193" t="s">
        <v>106</v>
      </c>
      <c r="B193" s="46">
        <v>45060</v>
      </c>
      <c r="C193" t="s">
        <v>342</v>
      </c>
      <c r="D193" t="s">
        <v>108</v>
      </c>
      <c r="E193" t="s">
        <v>343</v>
      </c>
      <c r="F193" t="s">
        <v>110</v>
      </c>
      <c r="G193" t="s">
        <v>111</v>
      </c>
      <c r="H193" t="s">
        <v>112</v>
      </c>
      <c r="I193" t="s">
        <v>112</v>
      </c>
      <c r="J193" t="s">
        <v>112</v>
      </c>
      <c r="K193" t="s">
        <v>150</v>
      </c>
      <c r="L193" t="s">
        <v>151</v>
      </c>
      <c r="M193" t="s">
        <v>112</v>
      </c>
      <c r="N193" t="s">
        <v>112</v>
      </c>
      <c r="O193">
        <v>1</v>
      </c>
      <c r="Q193">
        <v>1</v>
      </c>
      <c r="R193">
        <v>33</v>
      </c>
      <c r="S193" t="s">
        <v>112</v>
      </c>
      <c r="T193" t="s">
        <v>152</v>
      </c>
      <c r="U193" t="s">
        <v>153</v>
      </c>
      <c r="V193" t="s">
        <v>154</v>
      </c>
      <c r="W193" t="s">
        <v>119</v>
      </c>
      <c r="X193" t="s">
        <v>112</v>
      </c>
      <c r="Y193" t="s">
        <v>112</v>
      </c>
      <c r="Z193" t="s">
        <v>152</v>
      </c>
      <c r="AA193" t="s">
        <v>153</v>
      </c>
      <c r="AB193" t="s">
        <v>154</v>
      </c>
      <c r="AC193" t="s">
        <v>119</v>
      </c>
      <c r="AD193" t="s">
        <v>112</v>
      </c>
      <c r="AE193" t="s">
        <v>121</v>
      </c>
      <c r="AF193" t="s">
        <v>122</v>
      </c>
      <c r="AG193">
        <v>4557228.32</v>
      </c>
      <c r="AH193" t="s">
        <v>112</v>
      </c>
      <c r="AI193" t="s">
        <v>152</v>
      </c>
      <c r="AJ193" t="s">
        <v>153</v>
      </c>
      <c r="AK193" t="s">
        <v>154</v>
      </c>
      <c r="AL193" t="s">
        <v>119</v>
      </c>
      <c r="AM193" t="s">
        <v>112</v>
      </c>
      <c r="AN193" t="s">
        <v>121</v>
      </c>
      <c r="AO193" t="s">
        <v>122</v>
      </c>
      <c r="AP193" t="s">
        <v>122</v>
      </c>
      <c r="AQ193" t="s">
        <v>124</v>
      </c>
      <c r="AR193" t="s">
        <v>125</v>
      </c>
      <c r="AS193">
        <v>2</v>
      </c>
      <c r="AT193" t="s">
        <v>126</v>
      </c>
      <c r="AU193" t="s">
        <v>155</v>
      </c>
      <c r="AV193" t="s">
        <v>156</v>
      </c>
      <c r="AX193" t="s">
        <v>129</v>
      </c>
      <c r="AY193">
        <v>40874.28</v>
      </c>
      <c r="BB193">
        <v>101.57810000000001</v>
      </c>
      <c r="BC193" t="s">
        <v>112</v>
      </c>
      <c r="BD193" t="s">
        <v>112</v>
      </c>
      <c r="BE193" t="s">
        <v>157</v>
      </c>
      <c r="BF193" t="s">
        <v>133</v>
      </c>
      <c r="BG193" t="s">
        <v>134</v>
      </c>
      <c r="BH193" t="s">
        <v>112</v>
      </c>
      <c r="BI193" t="s">
        <v>112</v>
      </c>
      <c r="BJ193" t="s">
        <v>112</v>
      </c>
      <c r="BK193" t="s">
        <v>158</v>
      </c>
      <c r="BL193" t="s">
        <v>159</v>
      </c>
      <c r="BM193" t="s">
        <v>212</v>
      </c>
      <c r="BN193" t="s">
        <v>161</v>
      </c>
      <c r="BP193" t="s">
        <v>162</v>
      </c>
      <c r="BR193" t="s">
        <v>150</v>
      </c>
      <c r="BS193">
        <v>33</v>
      </c>
      <c r="BT193">
        <v>0</v>
      </c>
      <c r="BU193">
        <v>0</v>
      </c>
      <c r="BW193">
        <v>0</v>
      </c>
      <c r="BY193" t="s">
        <v>106</v>
      </c>
      <c r="BZ193" t="s">
        <v>142</v>
      </c>
      <c r="CA193" t="s">
        <v>112</v>
      </c>
      <c r="CB193" t="s">
        <v>112</v>
      </c>
      <c r="CC193" t="s">
        <v>121</v>
      </c>
      <c r="CD193">
        <v>16289.84</v>
      </c>
      <c r="CE193" t="s">
        <v>144</v>
      </c>
      <c r="CF193">
        <v>4000000</v>
      </c>
      <c r="CG193">
        <v>16127.84</v>
      </c>
      <c r="CH193">
        <v>0</v>
      </c>
      <c r="CI193" t="s">
        <v>112</v>
      </c>
      <c r="CJ193" t="s">
        <v>112</v>
      </c>
      <c r="CK193">
        <v>40874.28</v>
      </c>
      <c r="CM193">
        <v>0</v>
      </c>
      <c r="CN193">
        <v>1</v>
      </c>
      <c r="CO193">
        <v>4557228.32</v>
      </c>
      <c r="CP193">
        <v>49551.79</v>
      </c>
      <c r="CQ193" t="s">
        <v>145</v>
      </c>
      <c r="CR193">
        <v>49512.468799999995</v>
      </c>
      <c r="CS193">
        <v>3.07</v>
      </c>
      <c r="CT193">
        <v>45</v>
      </c>
      <c r="CV193" t="s">
        <v>163</v>
      </c>
      <c r="CW193">
        <v>121</v>
      </c>
    </row>
    <row r="194" spans="1:101" x14ac:dyDescent="0.2">
      <c r="A194" t="s">
        <v>106</v>
      </c>
      <c r="B194" s="46">
        <v>45001</v>
      </c>
      <c r="C194" t="s">
        <v>230</v>
      </c>
      <c r="D194" t="s">
        <v>108</v>
      </c>
      <c r="E194" t="s">
        <v>231</v>
      </c>
      <c r="F194" t="s">
        <v>110</v>
      </c>
      <c r="G194" t="s">
        <v>111</v>
      </c>
      <c r="H194" t="s">
        <v>112</v>
      </c>
      <c r="I194" t="s">
        <v>112</v>
      </c>
      <c r="J194" t="s">
        <v>112</v>
      </c>
      <c r="K194" t="s">
        <v>150</v>
      </c>
      <c r="L194" t="s">
        <v>151</v>
      </c>
      <c r="M194" t="s">
        <v>112</v>
      </c>
      <c r="N194" t="s">
        <v>112</v>
      </c>
      <c r="O194">
        <v>1</v>
      </c>
      <c r="Q194">
        <v>1</v>
      </c>
      <c r="R194">
        <v>33</v>
      </c>
      <c r="S194" t="s">
        <v>112</v>
      </c>
      <c r="T194" t="s">
        <v>152</v>
      </c>
      <c r="U194" t="s">
        <v>153</v>
      </c>
      <c r="V194" t="s">
        <v>154</v>
      </c>
      <c r="W194" t="s">
        <v>119</v>
      </c>
      <c r="X194" t="s">
        <v>112</v>
      </c>
      <c r="Y194" t="s">
        <v>112</v>
      </c>
      <c r="Z194" t="s">
        <v>152</v>
      </c>
      <c r="AA194" t="s">
        <v>153</v>
      </c>
      <c r="AB194" t="s">
        <v>154</v>
      </c>
      <c r="AC194" t="s">
        <v>119</v>
      </c>
      <c r="AD194" t="s">
        <v>112</v>
      </c>
      <c r="AE194" t="s">
        <v>121</v>
      </c>
      <c r="AF194" t="s">
        <v>122</v>
      </c>
      <c r="AG194">
        <v>5084308.96</v>
      </c>
      <c r="AH194" t="s">
        <v>112</v>
      </c>
      <c r="AI194" t="s">
        <v>152</v>
      </c>
      <c r="AJ194" t="s">
        <v>153</v>
      </c>
      <c r="AK194" t="s">
        <v>154</v>
      </c>
      <c r="AL194" t="s">
        <v>119</v>
      </c>
      <c r="AM194" t="s">
        <v>112</v>
      </c>
      <c r="AN194" t="s">
        <v>121</v>
      </c>
      <c r="AO194" t="s">
        <v>122</v>
      </c>
      <c r="AP194" t="s">
        <v>122</v>
      </c>
      <c r="AQ194" t="s">
        <v>124</v>
      </c>
      <c r="AR194" t="s">
        <v>125</v>
      </c>
      <c r="AS194">
        <v>2</v>
      </c>
      <c r="AT194" t="s">
        <v>126</v>
      </c>
      <c r="AU194" t="s">
        <v>155</v>
      </c>
      <c r="AV194" t="s">
        <v>156</v>
      </c>
      <c r="AX194" t="s">
        <v>129</v>
      </c>
      <c r="AY194">
        <v>46063.199999999997</v>
      </c>
      <c r="BB194">
        <v>101.57810000000001</v>
      </c>
      <c r="BC194" t="s">
        <v>112</v>
      </c>
      <c r="BD194" t="s">
        <v>112</v>
      </c>
      <c r="BE194" t="s">
        <v>157</v>
      </c>
      <c r="BF194" t="s">
        <v>133</v>
      </c>
      <c r="BG194" t="s">
        <v>167</v>
      </c>
      <c r="BH194" t="s">
        <v>112</v>
      </c>
      <c r="BI194" t="s">
        <v>112</v>
      </c>
      <c r="BJ194" t="s">
        <v>112</v>
      </c>
      <c r="BK194" t="s">
        <v>158</v>
      </c>
      <c r="BL194" t="s">
        <v>159</v>
      </c>
      <c r="BM194" t="s">
        <v>160</v>
      </c>
      <c r="BN194" t="s">
        <v>161</v>
      </c>
      <c r="BP194" t="s">
        <v>232</v>
      </c>
      <c r="BR194" t="s">
        <v>150</v>
      </c>
      <c r="BS194">
        <v>33</v>
      </c>
      <c r="BT194">
        <v>0</v>
      </c>
      <c r="BU194">
        <v>0</v>
      </c>
      <c r="BW194">
        <v>0</v>
      </c>
      <c r="BY194" t="s">
        <v>106</v>
      </c>
      <c r="BZ194" t="s">
        <v>142</v>
      </c>
      <c r="CA194" t="s">
        <v>112</v>
      </c>
      <c r="CB194" t="s">
        <v>112</v>
      </c>
      <c r="CC194" t="s">
        <v>121</v>
      </c>
      <c r="CD194">
        <v>17010.810000000001</v>
      </c>
      <c r="CE194" t="s">
        <v>144</v>
      </c>
      <c r="CF194">
        <v>4000000</v>
      </c>
      <c r="CG194">
        <v>17010.810000000001</v>
      </c>
      <c r="CH194">
        <v>0</v>
      </c>
      <c r="CI194" t="s">
        <v>112</v>
      </c>
      <c r="CJ194" t="s">
        <v>112</v>
      </c>
      <c r="CK194">
        <v>46063.199999999997</v>
      </c>
      <c r="CM194">
        <v>0</v>
      </c>
      <c r="CN194">
        <v>1</v>
      </c>
      <c r="CO194">
        <v>5084308.96</v>
      </c>
      <c r="CP194">
        <v>55282.86</v>
      </c>
      <c r="CQ194" t="s">
        <v>145</v>
      </c>
      <c r="CR194">
        <v>55285.132500000007</v>
      </c>
      <c r="CS194">
        <v>3.25</v>
      </c>
      <c r="CT194">
        <v>45</v>
      </c>
      <c r="CV194" t="s">
        <v>233</v>
      </c>
      <c r="CW194">
        <v>551</v>
      </c>
    </row>
    <row r="195" spans="1:101" x14ac:dyDescent="0.2">
      <c r="A195" s="8" t="s">
        <v>106</v>
      </c>
      <c r="B195" s="46">
        <v>45102</v>
      </c>
      <c r="C195" s="8" t="s">
        <v>2658</v>
      </c>
      <c r="D195" s="8" t="s">
        <v>108</v>
      </c>
      <c r="E195" s="8" t="s">
        <v>2659</v>
      </c>
      <c r="F195" t="s">
        <v>110</v>
      </c>
      <c r="G195" s="8" t="s">
        <v>111</v>
      </c>
      <c r="H195" s="8" t="s">
        <v>112</v>
      </c>
      <c r="I195" s="8" t="s">
        <v>112</v>
      </c>
      <c r="J195" s="8" t="s">
        <v>112</v>
      </c>
      <c r="K195" s="8" t="s">
        <v>2161</v>
      </c>
      <c r="L195" s="8" t="s">
        <v>2162</v>
      </c>
      <c r="M195" s="8" t="s">
        <v>112</v>
      </c>
      <c r="N195" s="8" t="s">
        <v>112</v>
      </c>
      <c r="O195">
        <v>2</v>
      </c>
      <c r="P195">
        <v>0</v>
      </c>
      <c r="Q195">
        <v>3</v>
      </c>
      <c r="R195">
        <v>92</v>
      </c>
      <c r="S195" s="8" t="s">
        <v>2136</v>
      </c>
      <c r="T195" s="8" t="s">
        <v>2137</v>
      </c>
      <c r="U195" s="8" t="s">
        <v>2141</v>
      </c>
      <c r="V195" s="8" t="s">
        <v>2139</v>
      </c>
      <c r="W195" s="8" t="s">
        <v>119</v>
      </c>
      <c r="X195" s="8" t="s">
        <v>2140</v>
      </c>
      <c r="Y195" s="8" t="s">
        <v>2136</v>
      </c>
      <c r="Z195" s="8" t="s">
        <v>2137</v>
      </c>
      <c r="AA195" s="8" t="s">
        <v>2141</v>
      </c>
      <c r="AB195" s="8" t="s">
        <v>2139</v>
      </c>
      <c r="AC195" s="8" t="s">
        <v>119</v>
      </c>
      <c r="AD195" s="8" t="s">
        <v>2140</v>
      </c>
      <c r="AE195" s="8" t="s">
        <v>2163</v>
      </c>
      <c r="AF195" s="8" t="s">
        <v>2164</v>
      </c>
      <c r="AG195">
        <v>11001353.710000001</v>
      </c>
      <c r="AH195" s="8" t="s">
        <v>2136</v>
      </c>
      <c r="AI195" s="8" t="s">
        <v>2137</v>
      </c>
      <c r="AJ195" s="8" t="s">
        <v>2141</v>
      </c>
      <c r="AK195" s="8" t="s">
        <v>2139</v>
      </c>
      <c r="AL195" s="8" t="s">
        <v>119</v>
      </c>
      <c r="AM195" s="8" t="s">
        <v>2140</v>
      </c>
      <c r="AN195" s="8" t="s">
        <v>2163</v>
      </c>
      <c r="AO195" s="8" t="s">
        <v>2164</v>
      </c>
      <c r="AP195" s="8" t="s">
        <v>2164</v>
      </c>
      <c r="AQ195" s="8" t="s">
        <v>124</v>
      </c>
      <c r="AR195" s="8" t="s">
        <v>125</v>
      </c>
      <c r="AS195">
        <v>2</v>
      </c>
      <c r="AT195" s="8" t="s">
        <v>126</v>
      </c>
      <c r="AU195" s="8" t="s">
        <v>127</v>
      </c>
      <c r="AV195" s="8" t="s">
        <v>2165</v>
      </c>
      <c r="AW195">
        <v>1</v>
      </c>
      <c r="AX195" s="8" t="s">
        <v>129</v>
      </c>
      <c r="AY195">
        <v>144859.5</v>
      </c>
      <c r="AZ195">
        <v>10580639</v>
      </c>
      <c r="BA195">
        <v>160192.109999999</v>
      </c>
      <c r="BB195">
        <v>73.040700000000001</v>
      </c>
      <c r="BC195" s="8" t="s">
        <v>130</v>
      </c>
      <c r="BD195" s="8" t="s">
        <v>131</v>
      </c>
      <c r="BE195" s="8" t="s">
        <v>2166</v>
      </c>
      <c r="BF195" s="8" t="s">
        <v>133</v>
      </c>
      <c r="BG195" s="8" t="s">
        <v>134</v>
      </c>
      <c r="BH195" s="8" t="s">
        <v>112</v>
      </c>
      <c r="BI195" s="8" t="s">
        <v>112</v>
      </c>
      <c r="BJ195" s="8" t="s">
        <v>112</v>
      </c>
      <c r="BK195" s="8" t="s">
        <v>2655</v>
      </c>
      <c r="BL195" s="8" t="s">
        <v>2656</v>
      </c>
      <c r="BM195" s="8" t="s">
        <v>2496</v>
      </c>
      <c r="BN195" s="8" t="s">
        <v>2497</v>
      </c>
      <c r="BO195">
        <v>1</v>
      </c>
      <c r="BP195" s="8" t="s">
        <v>2660</v>
      </c>
      <c r="BR195" s="8" t="s">
        <v>2161</v>
      </c>
      <c r="BS195">
        <v>88</v>
      </c>
      <c r="BT195">
        <v>0</v>
      </c>
      <c r="BU195">
        <v>328</v>
      </c>
      <c r="BV195" t="s">
        <v>2147</v>
      </c>
      <c r="BW195">
        <v>0</v>
      </c>
      <c r="BY195" s="8" t="s">
        <v>106</v>
      </c>
      <c r="BZ195" s="8" t="s">
        <v>2148</v>
      </c>
      <c r="CA195" s="8" t="s">
        <v>112</v>
      </c>
      <c r="CB195" s="8" t="s">
        <v>112</v>
      </c>
      <c r="CC195" s="8" t="s">
        <v>2163</v>
      </c>
      <c r="CD195">
        <v>16660</v>
      </c>
      <c r="CE195" t="s">
        <v>144</v>
      </c>
      <c r="CF195">
        <v>4000000</v>
      </c>
      <c r="CG195">
        <v>16586</v>
      </c>
      <c r="CH195">
        <v>0</v>
      </c>
      <c r="CI195" s="8" t="s">
        <v>112</v>
      </c>
      <c r="CJ195" s="8" t="s">
        <v>112</v>
      </c>
      <c r="CK195">
        <v>128219.34</v>
      </c>
      <c r="CL195">
        <v>9365230</v>
      </c>
      <c r="CM195">
        <v>0</v>
      </c>
      <c r="CN195">
        <v>1</v>
      </c>
      <c r="CO195">
        <v>9764722.8100000005</v>
      </c>
      <c r="CP195">
        <v>142185.37</v>
      </c>
      <c r="CQ195" s="8" t="s">
        <v>145</v>
      </c>
      <c r="CR195">
        <v>8.5725999999999996</v>
      </c>
      <c r="CS195">
        <v>1053</v>
      </c>
      <c r="CT195" t="s">
        <v>2149</v>
      </c>
      <c r="CV195" t="s">
        <v>2150</v>
      </c>
      <c r="CW195">
        <v>0</v>
      </c>
    </row>
    <row r="196" spans="1:101" x14ac:dyDescent="0.2">
      <c r="A196" s="8" t="s">
        <v>106</v>
      </c>
      <c r="B196" s="46">
        <v>45194</v>
      </c>
      <c r="C196" s="8" t="s">
        <v>2594</v>
      </c>
      <c r="D196" s="8" t="s">
        <v>108</v>
      </c>
      <c r="E196" s="8" t="s">
        <v>2595</v>
      </c>
      <c r="F196" t="s">
        <v>110</v>
      </c>
      <c r="G196" s="8" t="s">
        <v>111</v>
      </c>
      <c r="H196" s="8" t="s">
        <v>112</v>
      </c>
      <c r="I196" s="8" t="s">
        <v>112</v>
      </c>
      <c r="J196" s="8" t="s">
        <v>112</v>
      </c>
      <c r="K196" s="8" t="s">
        <v>2161</v>
      </c>
      <c r="L196" s="8" t="s">
        <v>2162</v>
      </c>
      <c r="M196" s="8" t="s">
        <v>112</v>
      </c>
      <c r="N196" s="8" t="s">
        <v>112</v>
      </c>
      <c r="O196">
        <v>2</v>
      </c>
      <c r="P196">
        <v>0</v>
      </c>
      <c r="Q196">
        <v>4</v>
      </c>
      <c r="R196">
        <v>103</v>
      </c>
      <c r="S196" s="8" t="s">
        <v>2136</v>
      </c>
      <c r="T196" s="8" t="s">
        <v>2137</v>
      </c>
      <c r="U196" s="8" t="s">
        <v>2141</v>
      </c>
      <c r="V196" s="8" t="s">
        <v>2139</v>
      </c>
      <c r="W196" s="8" t="s">
        <v>119</v>
      </c>
      <c r="X196" s="8" t="s">
        <v>2140</v>
      </c>
      <c r="Y196" s="8" t="s">
        <v>2136</v>
      </c>
      <c r="Z196" s="8" t="s">
        <v>2137</v>
      </c>
      <c r="AA196" s="8" t="s">
        <v>2141</v>
      </c>
      <c r="AB196" s="8" t="s">
        <v>2139</v>
      </c>
      <c r="AC196" s="8" t="s">
        <v>119</v>
      </c>
      <c r="AD196" s="8" t="s">
        <v>2140</v>
      </c>
      <c r="AE196" s="8" t="s">
        <v>2163</v>
      </c>
      <c r="AF196" s="8" t="s">
        <v>2164</v>
      </c>
      <c r="AG196">
        <v>9373743.9800000004</v>
      </c>
      <c r="AH196" s="8" t="s">
        <v>2136</v>
      </c>
      <c r="AI196" s="8" t="s">
        <v>2137</v>
      </c>
      <c r="AJ196" s="8" t="s">
        <v>2141</v>
      </c>
      <c r="AK196" s="8" t="s">
        <v>2139</v>
      </c>
      <c r="AL196" s="8" t="s">
        <v>119</v>
      </c>
      <c r="AM196" s="8" t="s">
        <v>2140</v>
      </c>
      <c r="AN196" s="8" t="s">
        <v>2163</v>
      </c>
      <c r="AO196" s="8" t="s">
        <v>2164</v>
      </c>
      <c r="AP196" s="8" t="s">
        <v>2164</v>
      </c>
      <c r="AQ196" s="8" t="s">
        <v>124</v>
      </c>
      <c r="AR196" s="8" t="s">
        <v>125</v>
      </c>
      <c r="AS196">
        <v>2</v>
      </c>
      <c r="AT196" s="8" t="s">
        <v>126</v>
      </c>
      <c r="AU196" s="8" t="s">
        <v>127</v>
      </c>
      <c r="AV196" s="8" t="s">
        <v>2493</v>
      </c>
      <c r="AW196">
        <v>1</v>
      </c>
      <c r="AX196" s="8" t="s">
        <v>129</v>
      </c>
      <c r="AY196">
        <v>121349.9</v>
      </c>
      <c r="AZ196">
        <v>8863482</v>
      </c>
      <c r="BA196">
        <v>136492.29</v>
      </c>
      <c r="BB196">
        <v>73.040700000000001</v>
      </c>
      <c r="BC196" s="8" t="s">
        <v>130</v>
      </c>
      <c r="BD196" s="8" t="s">
        <v>112</v>
      </c>
      <c r="BE196" s="8" t="s">
        <v>2166</v>
      </c>
      <c r="BF196" s="8" t="s">
        <v>133</v>
      </c>
      <c r="BG196" s="8" t="s">
        <v>134</v>
      </c>
      <c r="BH196" s="8" t="s">
        <v>112</v>
      </c>
      <c r="BI196" s="8" t="s">
        <v>2167</v>
      </c>
      <c r="BJ196" s="8" t="s">
        <v>112</v>
      </c>
      <c r="BK196" s="8" t="s">
        <v>2168</v>
      </c>
      <c r="BL196" s="8" t="s">
        <v>2169</v>
      </c>
      <c r="BM196" s="8" t="s">
        <v>2170</v>
      </c>
      <c r="BN196" s="8" t="s">
        <v>2171</v>
      </c>
      <c r="BO196">
        <v>1</v>
      </c>
      <c r="BP196" s="8" t="s">
        <v>2596</v>
      </c>
      <c r="BR196" s="8" t="s">
        <v>2161</v>
      </c>
      <c r="BS196">
        <v>82</v>
      </c>
      <c r="BT196">
        <v>0</v>
      </c>
      <c r="BU196">
        <v>219</v>
      </c>
      <c r="BV196" t="s">
        <v>2147</v>
      </c>
      <c r="BW196">
        <v>0</v>
      </c>
      <c r="BY196" s="8" t="s">
        <v>106</v>
      </c>
      <c r="BZ196" s="8" t="s">
        <v>2148</v>
      </c>
      <c r="CA196" s="8" t="s">
        <v>112</v>
      </c>
      <c r="CB196" s="8" t="s">
        <v>112</v>
      </c>
      <c r="CC196" s="8" t="s">
        <v>2163</v>
      </c>
      <c r="CD196">
        <v>14824.6</v>
      </c>
      <c r="CE196" t="s">
        <v>144</v>
      </c>
      <c r="CF196">
        <v>4000000</v>
      </c>
      <c r="CG196">
        <v>14768.76</v>
      </c>
      <c r="CH196">
        <v>0</v>
      </c>
      <c r="CI196" s="8" t="s">
        <v>112</v>
      </c>
      <c r="CJ196" s="8" t="s">
        <v>112</v>
      </c>
      <c r="CK196">
        <v>116731.8</v>
      </c>
      <c r="CL196">
        <v>8526172</v>
      </c>
      <c r="CM196">
        <v>0</v>
      </c>
      <c r="CN196">
        <v>1</v>
      </c>
      <c r="CO196">
        <v>9001847.75</v>
      </c>
      <c r="CP196">
        <v>131077.049999999</v>
      </c>
      <c r="CQ196" s="8" t="s">
        <v>145</v>
      </c>
      <c r="CR196">
        <v>8.8752999999999993</v>
      </c>
      <c r="CS196">
        <v>1053</v>
      </c>
      <c r="CT196" t="s">
        <v>2149</v>
      </c>
      <c r="CV196" t="s">
        <v>2150</v>
      </c>
      <c r="CW196">
        <v>0</v>
      </c>
    </row>
    <row r="197" spans="1:101" x14ac:dyDescent="0.2">
      <c r="A197" s="8" t="s">
        <v>106</v>
      </c>
      <c r="B197" s="46">
        <v>44995</v>
      </c>
      <c r="C197" s="8" t="s">
        <v>2653</v>
      </c>
      <c r="D197" s="8" t="s">
        <v>108</v>
      </c>
      <c r="E197" s="8" t="s">
        <v>2654</v>
      </c>
      <c r="F197" t="s">
        <v>110</v>
      </c>
      <c r="G197" s="8" t="s">
        <v>111</v>
      </c>
      <c r="H197" s="8" t="s">
        <v>112</v>
      </c>
      <c r="I197" s="8" t="s">
        <v>112</v>
      </c>
      <c r="J197" s="8" t="s">
        <v>112</v>
      </c>
      <c r="K197" s="8" t="s">
        <v>2161</v>
      </c>
      <c r="L197" s="8" t="s">
        <v>2162</v>
      </c>
      <c r="M197" s="8" t="s">
        <v>112</v>
      </c>
      <c r="N197" s="8" t="s">
        <v>112</v>
      </c>
      <c r="O197">
        <v>2</v>
      </c>
      <c r="P197">
        <v>0</v>
      </c>
      <c r="Q197">
        <v>3</v>
      </c>
      <c r="R197">
        <v>99</v>
      </c>
      <c r="S197" s="8" t="s">
        <v>2136</v>
      </c>
      <c r="T197" s="8" t="s">
        <v>2137</v>
      </c>
      <c r="U197" s="8" t="s">
        <v>2141</v>
      </c>
      <c r="V197" s="8" t="s">
        <v>2139</v>
      </c>
      <c r="W197" s="8" t="s">
        <v>119</v>
      </c>
      <c r="X197" s="8" t="s">
        <v>2140</v>
      </c>
      <c r="Y197" s="8" t="s">
        <v>2136</v>
      </c>
      <c r="Z197" s="8" t="s">
        <v>2137</v>
      </c>
      <c r="AA197" s="8" t="s">
        <v>2141</v>
      </c>
      <c r="AB197" s="8" t="s">
        <v>2139</v>
      </c>
      <c r="AC197" s="8" t="s">
        <v>119</v>
      </c>
      <c r="AD197" s="8" t="s">
        <v>2140</v>
      </c>
      <c r="AE197" s="8" t="s">
        <v>2163</v>
      </c>
      <c r="AF197" s="8" t="s">
        <v>2164</v>
      </c>
      <c r="AG197">
        <v>9535327.52999999</v>
      </c>
      <c r="AH197" s="8" t="s">
        <v>2136</v>
      </c>
      <c r="AI197" s="8" t="s">
        <v>2137</v>
      </c>
      <c r="AJ197" s="8" t="s">
        <v>2141</v>
      </c>
      <c r="AK197" s="8" t="s">
        <v>2139</v>
      </c>
      <c r="AL197" s="8" t="s">
        <v>119</v>
      </c>
      <c r="AM197" s="8" t="s">
        <v>2140</v>
      </c>
      <c r="AN197" s="8" t="s">
        <v>2163</v>
      </c>
      <c r="AO197" s="8" t="s">
        <v>2164</v>
      </c>
      <c r="AP197" s="8" t="s">
        <v>2164</v>
      </c>
      <c r="AQ197" s="8" t="s">
        <v>124</v>
      </c>
      <c r="AR197" s="8" t="s">
        <v>125</v>
      </c>
      <c r="AS197">
        <v>2</v>
      </c>
      <c r="AT197" s="8" t="s">
        <v>126</v>
      </c>
      <c r="AU197" s="8" t="s">
        <v>127</v>
      </c>
      <c r="AV197" s="8" t="s">
        <v>2165</v>
      </c>
      <c r="AW197">
        <v>1</v>
      </c>
      <c r="AX197" s="8" t="s">
        <v>129</v>
      </c>
      <c r="AY197">
        <v>124788.14</v>
      </c>
      <c r="AZ197">
        <v>9114613</v>
      </c>
      <c r="BA197">
        <v>138845.12</v>
      </c>
      <c r="BB197">
        <v>73.040700000000001</v>
      </c>
      <c r="BC197" s="8" t="s">
        <v>130</v>
      </c>
      <c r="BD197" s="8" t="s">
        <v>131</v>
      </c>
      <c r="BE197" s="8" t="s">
        <v>2166</v>
      </c>
      <c r="BF197" s="8" t="s">
        <v>133</v>
      </c>
      <c r="BG197" s="8" t="s">
        <v>134</v>
      </c>
      <c r="BH197" s="8" t="s">
        <v>112</v>
      </c>
      <c r="BI197" s="8" t="s">
        <v>112</v>
      </c>
      <c r="BJ197" s="8" t="s">
        <v>112</v>
      </c>
      <c r="BK197" s="8" t="s">
        <v>2655</v>
      </c>
      <c r="BL197" s="8" t="s">
        <v>2656</v>
      </c>
      <c r="BM197" s="8" t="s">
        <v>2496</v>
      </c>
      <c r="BN197" s="8" t="s">
        <v>2497</v>
      </c>
      <c r="BO197">
        <v>1</v>
      </c>
      <c r="BP197" s="8" t="s">
        <v>2657</v>
      </c>
      <c r="BR197" s="8" t="s">
        <v>2161</v>
      </c>
      <c r="BS197">
        <v>82</v>
      </c>
      <c r="BT197">
        <v>0</v>
      </c>
      <c r="BU197">
        <v>270</v>
      </c>
      <c r="BV197" t="s">
        <v>2147</v>
      </c>
      <c r="BW197">
        <v>0</v>
      </c>
      <c r="BY197" s="8" t="s">
        <v>106</v>
      </c>
      <c r="BZ197" s="8" t="s">
        <v>2148</v>
      </c>
      <c r="CA197" s="8" t="s">
        <v>112</v>
      </c>
      <c r="CB197" s="8" t="s">
        <v>112</v>
      </c>
      <c r="CC197" s="8" t="s">
        <v>2163</v>
      </c>
      <c r="CD197">
        <v>14577.4</v>
      </c>
      <c r="CE197" t="s">
        <v>144</v>
      </c>
      <c r="CF197">
        <v>4000000</v>
      </c>
      <c r="CG197">
        <v>14517</v>
      </c>
      <c r="CH197">
        <v>0</v>
      </c>
      <c r="CI197" s="8" t="s">
        <v>112</v>
      </c>
      <c r="CJ197" s="8" t="s">
        <v>112</v>
      </c>
      <c r="CK197">
        <v>117854.04</v>
      </c>
      <c r="CL197">
        <v>8608142</v>
      </c>
      <c r="CM197">
        <v>0</v>
      </c>
      <c r="CN197">
        <v>1</v>
      </c>
      <c r="CO197">
        <v>8986320.02999999</v>
      </c>
      <c r="CP197">
        <v>130850.95</v>
      </c>
      <c r="CQ197" s="8" t="s">
        <v>145</v>
      </c>
      <c r="CR197">
        <v>9.0136000000000003</v>
      </c>
      <c r="CS197">
        <v>1053</v>
      </c>
      <c r="CT197" t="s">
        <v>2149</v>
      </c>
      <c r="CV197" t="s">
        <v>2150</v>
      </c>
      <c r="CW197">
        <v>0</v>
      </c>
    </row>
    <row r="198" spans="1:101" x14ac:dyDescent="0.2">
      <c r="A198" s="8" t="s">
        <v>106</v>
      </c>
      <c r="B198" s="46">
        <v>45058</v>
      </c>
      <c r="C198" s="8" t="s">
        <v>2573</v>
      </c>
      <c r="D198" s="8" t="s">
        <v>108</v>
      </c>
      <c r="E198" s="8" t="s">
        <v>2574</v>
      </c>
      <c r="F198" t="s">
        <v>110</v>
      </c>
      <c r="G198" s="8" t="s">
        <v>111</v>
      </c>
      <c r="H198" s="8" t="s">
        <v>112</v>
      </c>
      <c r="I198" s="8" t="s">
        <v>112</v>
      </c>
      <c r="J198" s="8" t="s">
        <v>112</v>
      </c>
      <c r="K198" s="8" t="s">
        <v>2161</v>
      </c>
      <c r="L198" s="8" t="s">
        <v>2162</v>
      </c>
      <c r="M198" s="8" t="s">
        <v>112</v>
      </c>
      <c r="N198" s="8" t="s">
        <v>112</v>
      </c>
      <c r="O198">
        <v>2</v>
      </c>
      <c r="P198">
        <v>0</v>
      </c>
      <c r="Q198">
        <v>2</v>
      </c>
      <c r="R198">
        <v>124</v>
      </c>
      <c r="S198" s="8" t="s">
        <v>2136</v>
      </c>
      <c r="T198" s="8" t="s">
        <v>2137</v>
      </c>
      <c r="U198" s="8" t="s">
        <v>2141</v>
      </c>
      <c r="V198" s="8" t="s">
        <v>2139</v>
      </c>
      <c r="W198" s="8" t="s">
        <v>119</v>
      </c>
      <c r="X198" s="8" t="s">
        <v>2140</v>
      </c>
      <c r="Y198" s="8" t="s">
        <v>2136</v>
      </c>
      <c r="Z198" s="8" t="s">
        <v>2137</v>
      </c>
      <c r="AA198" s="8" t="s">
        <v>2141</v>
      </c>
      <c r="AB198" s="8" t="s">
        <v>2139</v>
      </c>
      <c r="AC198" s="8" t="s">
        <v>119</v>
      </c>
      <c r="AD198" s="8" t="s">
        <v>2140</v>
      </c>
      <c r="AE198" s="8" t="s">
        <v>2163</v>
      </c>
      <c r="AF198" s="8" t="s">
        <v>2164</v>
      </c>
      <c r="AG198">
        <v>10832303.93</v>
      </c>
      <c r="AH198" s="8" t="s">
        <v>2136</v>
      </c>
      <c r="AI198" s="8" t="s">
        <v>2137</v>
      </c>
      <c r="AJ198" s="8" t="s">
        <v>2141</v>
      </c>
      <c r="AK198" s="8" t="s">
        <v>2139</v>
      </c>
      <c r="AL198" s="8" t="s">
        <v>119</v>
      </c>
      <c r="AM198" s="8" t="s">
        <v>2140</v>
      </c>
      <c r="AN198" s="8" t="s">
        <v>2163</v>
      </c>
      <c r="AO198" s="8" t="s">
        <v>2164</v>
      </c>
      <c r="AP198" s="8" t="s">
        <v>2164</v>
      </c>
      <c r="AQ198" s="8" t="s">
        <v>124</v>
      </c>
      <c r="AR198" s="8" t="s">
        <v>125</v>
      </c>
      <c r="AS198">
        <v>2</v>
      </c>
      <c r="AT198" s="8" t="s">
        <v>126</v>
      </c>
      <c r="AU198" s="8" t="s">
        <v>127</v>
      </c>
      <c r="AV198" s="8" t="s">
        <v>2493</v>
      </c>
      <c r="AW198">
        <v>1</v>
      </c>
      <c r="AX198" s="8" t="s">
        <v>129</v>
      </c>
      <c r="AY198">
        <v>142805.04</v>
      </c>
      <c r="AZ198">
        <v>10430580</v>
      </c>
      <c r="BA198">
        <v>157730.56</v>
      </c>
      <c r="BB198">
        <v>73.040700000000001</v>
      </c>
      <c r="BC198" s="8" t="s">
        <v>130</v>
      </c>
      <c r="BD198" s="8" t="s">
        <v>112</v>
      </c>
      <c r="BE198" s="8" t="s">
        <v>2166</v>
      </c>
      <c r="BF198" s="8" t="s">
        <v>133</v>
      </c>
      <c r="BG198" s="8" t="s">
        <v>167</v>
      </c>
      <c r="BH198" s="8" t="s">
        <v>2190</v>
      </c>
      <c r="BI198" s="8" t="s">
        <v>112</v>
      </c>
      <c r="BJ198" s="8" t="s">
        <v>112</v>
      </c>
      <c r="BK198" s="8" t="s">
        <v>2556</v>
      </c>
      <c r="BL198" s="8" t="s">
        <v>2192</v>
      </c>
      <c r="BM198" s="8" t="s">
        <v>2575</v>
      </c>
      <c r="BN198" s="8" t="s">
        <v>2497</v>
      </c>
      <c r="BO198">
        <v>1</v>
      </c>
      <c r="BP198" s="8" t="s">
        <v>2146</v>
      </c>
      <c r="BR198" s="8" t="s">
        <v>2210</v>
      </c>
      <c r="BS198">
        <v>94</v>
      </c>
      <c r="BT198">
        <v>0</v>
      </c>
      <c r="BU198">
        <v>354</v>
      </c>
      <c r="BV198" t="s">
        <v>2147</v>
      </c>
      <c r="BW198">
        <v>0</v>
      </c>
      <c r="BY198" s="8" t="s">
        <v>106</v>
      </c>
      <c r="BZ198" s="8" t="s">
        <v>2148</v>
      </c>
      <c r="CA198" s="8" t="s">
        <v>112</v>
      </c>
      <c r="CB198" s="8" t="s">
        <v>112</v>
      </c>
      <c r="CC198" s="8" t="s">
        <v>2163</v>
      </c>
      <c r="CD198">
        <v>19798</v>
      </c>
      <c r="CE198" t="s">
        <v>144</v>
      </c>
      <c r="CF198">
        <v>4000000</v>
      </c>
      <c r="CG198">
        <v>18636</v>
      </c>
      <c r="CH198">
        <v>0</v>
      </c>
      <c r="CI198" s="8" t="s">
        <v>112</v>
      </c>
      <c r="CJ198" s="8" t="s">
        <v>112</v>
      </c>
      <c r="CK198">
        <v>141144.84</v>
      </c>
      <c r="CL198">
        <v>10309318</v>
      </c>
      <c r="CM198">
        <v>0</v>
      </c>
      <c r="CN198">
        <v>1</v>
      </c>
      <c r="CO198">
        <v>10709042.640000001</v>
      </c>
      <c r="CP198">
        <v>155935.74</v>
      </c>
      <c r="CQ198" s="8" t="s">
        <v>145</v>
      </c>
      <c r="CR198">
        <v>8.3673999999999999</v>
      </c>
      <c r="CS198">
        <v>1053</v>
      </c>
      <c r="CT198" t="s">
        <v>2149</v>
      </c>
      <c r="CV198" t="s">
        <v>2150</v>
      </c>
      <c r="CW198">
        <v>0</v>
      </c>
    </row>
    <row r="199" spans="1:101" x14ac:dyDescent="0.2">
      <c r="A199" s="8" t="s">
        <v>106</v>
      </c>
      <c r="B199" s="46">
        <v>45060</v>
      </c>
      <c r="C199" s="8" t="s">
        <v>2614</v>
      </c>
      <c r="D199" s="8" t="s">
        <v>108</v>
      </c>
      <c r="E199" s="8" t="s">
        <v>2615</v>
      </c>
      <c r="F199" t="s">
        <v>110</v>
      </c>
      <c r="G199" s="8" t="s">
        <v>111</v>
      </c>
      <c r="H199" s="8" t="s">
        <v>112</v>
      </c>
      <c r="I199" s="8" t="s">
        <v>112</v>
      </c>
      <c r="J199" s="8" t="s">
        <v>112</v>
      </c>
      <c r="K199" s="8" t="s">
        <v>2237</v>
      </c>
      <c r="L199" s="8" t="s">
        <v>2238</v>
      </c>
      <c r="M199" s="8" t="s">
        <v>112</v>
      </c>
      <c r="N199" s="8" t="s">
        <v>112</v>
      </c>
      <c r="O199">
        <v>1</v>
      </c>
      <c r="P199">
        <v>0</v>
      </c>
      <c r="Q199">
        <v>1</v>
      </c>
      <c r="R199">
        <v>552</v>
      </c>
      <c r="S199" s="8" t="s">
        <v>2239</v>
      </c>
      <c r="T199" s="8" t="s">
        <v>2240</v>
      </c>
      <c r="U199" s="8" t="s">
        <v>2241</v>
      </c>
      <c r="V199" s="8" t="s">
        <v>2242</v>
      </c>
      <c r="W199" s="8" t="s">
        <v>2243</v>
      </c>
      <c r="X199" s="8" t="s">
        <v>2244</v>
      </c>
      <c r="Y199" s="8" t="s">
        <v>2245</v>
      </c>
      <c r="Z199" s="8" t="s">
        <v>2246</v>
      </c>
      <c r="AA199" s="8" t="s">
        <v>2247</v>
      </c>
      <c r="AB199" s="8" t="s">
        <v>2248</v>
      </c>
      <c r="AC199" s="8" t="s">
        <v>2249</v>
      </c>
      <c r="AD199" s="8" t="s">
        <v>2250</v>
      </c>
      <c r="AE199" s="8" t="s">
        <v>2142</v>
      </c>
      <c r="AF199" s="8" t="s">
        <v>2143</v>
      </c>
      <c r="AG199">
        <v>7612454.6699999897</v>
      </c>
      <c r="AH199" s="8" t="s">
        <v>2245</v>
      </c>
      <c r="AI199" s="8" t="s">
        <v>2246</v>
      </c>
      <c r="AJ199" s="8" t="s">
        <v>2247</v>
      </c>
      <c r="AK199" s="8" t="s">
        <v>2248</v>
      </c>
      <c r="AL199" s="8" t="s">
        <v>2249</v>
      </c>
      <c r="AM199" s="8" t="s">
        <v>2250</v>
      </c>
      <c r="AN199" s="8" t="s">
        <v>2142</v>
      </c>
      <c r="AO199" s="8" t="s">
        <v>2143</v>
      </c>
      <c r="AP199" s="8" t="s">
        <v>2143</v>
      </c>
      <c r="AQ199" s="8" t="s">
        <v>124</v>
      </c>
      <c r="AR199" s="8" t="s">
        <v>125</v>
      </c>
      <c r="AS199">
        <v>1</v>
      </c>
      <c r="AT199" s="8" t="s">
        <v>106</v>
      </c>
      <c r="AU199" s="8" t="s">
        <v>2251</v>
      </c>
      <c r="AV199" s="8" t="s">
        <v>2252</v>
      </c>
      <c r="AW199">
        <v>0</v>
      </c>
      <c r="AX199" s="8" t="s">
        <v>2253</v>
      </c>
      <c r="AY199">
        <v>738666</v>
      </c>
      <c r="AZ199">
        <v>7189687</v>
      </c>
      <c r="BA199">
        <v>110845.92</v>
      </c>
      <c r="BB199">
        <v>97.588399999999893</v>
      </c>
      <c r="BC199" s="8" t="s">
        <v>130</v>
      </c>
      <c r="BD199" s="8" t="s">
        <v>112</v>
      </c>
      <c r="BE199" s="8" t="s">
        <v>2254</v>
      </c>
      <c r="BF199" s="8" t="s">
        <v>133</v>
      </c>
      <c r="BG199" s="8" t="s">
        <v>167</v>
      </c>
      <c r="BH199" s="8" t="s">
        <v>2255</v>
      </c>
      <c r="BI199" s="8" t="s">
        <v>112</v>
      </c>
      <c r="BJ199" s="8" t="s">
        <v>2256</v>
      </c>
      <c r="BK199" s="8" t="s">
        <v>169</v>
      </c>
      <c r="BL199" s="8" t="s">
        <v>159</v>
      </c>
      <c r="BM199" s="8" t="s">
        <v>160</v>
      </c>
      <c r="BN199" s="8" t="s">
        <v>161</v>
      </c>
      <c r="BO199">
        <v>1</v>
      </c>
      <c r="BP199" s="8" t="s">
        <v>2257</v>
      </c>
      <c r="BR199" s="8" t="s">
        <v>2258</v>
      </c>
      <c r="BS199">
        <v>552</v>
      </c>
      <c r="BT199">
        <v>1</v>
      </c>
      <c r="BU199">
        <v>552</v>
      </c>
      <c r="BV199" t="s">
        <v>2147</v>
      </c>
      <c r="BW199">
        <v>0</v>
      </c>
      <c r="BY199" s="8" t="s">
        <v>106</v>
      </c>
      <c r="BZ199" s="8" t="s">
        <v>2148</v>
      </c>
      <c r="CA199" s="8" t="s">
        <v>112</v>
      </c>
      <c r="CB199" s="8" t="s">
        <v>112</v>
      </c>
      <c r="CC199" s="8" t="s">
        <v>2142</v>
      </c>
      <c r="CD199">
        <v>15460.4</v>
      </c>
      <c r="CE199" t="s">
        <v>144</v>
      </c>
      <c r="CF199">
        <v>4000000</v>
      </c>
      <c r="CG199">
        <v>15460.4</v>
      </c>
      <c r="CH199">
        <v>0</v>
      </c>
      <c r="CI199" s="8" t="s">
        <v>112</v>
      </c>
      <c r="CJ199" s="8" t="s">
        <v>112</v>
      </c>
      <c r="CK199">
        <v>738666</v>
      </c>
      <c r="CL199">
        <v>7189687</v>
      </c>
      <c r="CM199">
        <v>0</v>
      </c>
      <c r="CN199">
        <v>1</v>
      </c>
      <c r="CO199">
        <v>7612454.6699999897</v>
      </c>
      <c r="CP199">
        <v>110845.92</v>
      </c>
      <c r="CQ199" s="8" t="s">
        <v>145</v>
      </c>
      <c r="CR199">
        <v>7.1696999999999997</v>
      </c>
      <c r="CV199" t="s">
        <v>2259</v>
      </c>
      <c r="CW199">
        <v>0</v>
      </c>
    </row>
    <row r="200" spans="1:101" x14ac:dyDescent="0.2">
      <c r="A200" t="s">
        <v>106</v>
      </c>
      <c r="B200" s="46">
        <v>45120</v>
      </c>
      <c r="C200" t="s">
        <v>1922</v>
      </c>
      <c r="D200" t="s">
        <v>108</v>
      </c>
      <c r="E200" t="s">
        <v>1923</v>
      </c>
      <c r="F200" t="s">
        <v>110</v>
      </c>
      <c r="G200" t="s">
        <v>111</v>
      </c>
      <c r="H200" t="s">
        <v>112</v>
      </c>
      <c r="I200" t="s">
        <v>112</v>
      </c>
      <c r="J200" t="s">
        <v>112</v>
      </c>
      <c r="K200" t="s">
        <v>150</v>
      </c>
      <c r="L200" t="s">
        <v>151</v>
      </c>
      <c r="M200" t="s">
        <v>112</v>
      </c>
      <c r="N200" t="s">
        <v>112</v>
      </c>
      <c r="O200">
        <v>1</v>
      </c>
      <c r="Q200">
        <v>1</v>
      </c>
      <c r="R200">
        <v>33</v>
      </c>
      <c r="S200" t="s">
        <v>112</v>
      </c>
      <c r="T200" t="s">
        <v>152</v>
      </c>
      <c r="U200" t="s">
        <v>153</v>
      </c>
      <c r="V200" t="s">
        <v>154</v>
      </c>
      <c r="W200" t="s">
        <v>119</v>
      </c>
      <c r="X200" t="s">
        <v>112</v>
      </c>
      <c r="Y200" t="s">
        <v>112</v>
      </c>
      <c r="Z200" t="s">
        <v>152</v>
      </c>
      <c r="AA200" t="s">
        <v>153</v>
      </c>
      <c r="AB200" t="s">
        <v>154</v>
      </c>
      <c r="AC200" t="s">
        <v>119</v>
      </c>
      <c r="AD200" t="s">
        <v>112</v>
      </c>
      <c r="AE200" t="s">
        <v>121</v>
      </c>
      <c r="AF200" t="s">
        <v>122</v>
      </c>
      <c r="AG200">
        <v>5320327.75</v>
      </c>
      <c r="AH200" t="s">
        <v>112</v>
      </c>
      <c r="AI200" t="s">
        <v>152</v>
      </c>
      <c r="AJ200" t="s">
        <v>153</v>
      </c>
      <c r="AK200" t="s">
        <v>154</v>
      </c>
      <c r="AL200" t="s">
        <v>119</v>
      </c>
      <c r="AM200" t="s">
        <v>112</v>
      </c>
      <c r="AN200" t="s">
        <v>121</v>
      </c>
      <c r="AO200" t="s">
        <v>122</v>
      </c>
      <c r="AP200" t="s">
        <v>122</v>
      </c>
      <c r="AQ200" t="s">
        <v>124</v>
      </c>
      <c r="AR200" t="s">
        <v>125</v>
      </c>
      <c r="AS200">
        <v>2</v>
      </c>
      <c r="AT200" t="s">
        <v>126</v>
      </c>
      <c r="AU200" t="s">
        <v>155</v>
      </c>
      <c r="AV200" t="s">
        <v>156</v>
      </c>
      <c r="AX200" t="s">
        <v>129</v>
      </c>
      <c r="AY200">
        <v>49939</v>
      </c>
      <c r="BB200">
        <v>98.654300000000006</v>
      </c>
      <c r="BC200" t="s">
        <v>112</v>
      </c>
      <c r="BD200" t="s">
        <v>112</v>
      </c>
      <c r="BE200" t="s">
        <v>157</v>
      </c>
      <c r="BF200" t="s">
        <v>133</v>
      </c>
      <c r="BG200" t="s">
        <v>134</v>
      </c>
      <c r="BH200" t="s">
        <v>112</v>
      </c>
      <c r="BI200" t="s">
        <v>112</v>
      </c>
      <c r="BJ200" t="s">
        <v>112</v>
      </c>
      <c r="BK200" t="s">
        <v>158</v>
      </c>
      <c r="BL200" t="s">
        <v>159</v>
      </c>
      <c r="BM200" t="s">
        <v>212</v>
      </c>
      <c r="BN200" t="s">
        <v>161</v>
      </c>
      <c r="BP200" t="s">
        <v>232</v>
      </c>
      <c r="BR200" t="s">
        <v>150</v>
      </c>
      <c r="BS200">
        <v>33</v>
      </c>
      <c r="BT200">
        <v>0</v>
      </c>
      <c r="BU200">
        <v>0</v>
      </c>
      <c r="BW200">
        <v>0</v>
      </c>
      <c r="BY200" t="s">
        <v>106</v>
      </c>
      <c r="BZ200" t="s">
        <v>142</v>
      </c>
      <c r="CA200" t="s">
        <v>112</v>
      </c>
      <c r="CB200" t="s">
        <v>112</v>
      </c>
      <c r="CC200" t="s">
        <v>121</v>
      </c>
      <c r="CD200">
        <v>15752.76</v>
      </c>
      <c r="CE200" t="s">
        <v>144</v>
      </c>
      <c r="CF200">
        <v>4000000</v>
      </c>
      <c r="CG200">
        <v>15608.76</v>
      </c>
      <c r="CH200">
        <v>0</v>
      </c>
      <c r="CI200" t="s">
        <v>112</v>
      </c>
      <c r="CJ200" t="s">
        <v>112</v>
      </c>
      <c r="CK200">
        <v>49939</v>
      </c>
      <c r="CM200">
        <v>0</v>
      </c>
      <c r="CN200">
        <v>1</v>
      </c>
      <c r="CO200">
        <v>5320327.75</v>
      </c>
      <c r="CP200">
        <v>57115.27</v>
      </c>
      <c r="CQ200" t="s">
        <v>145</v>
      </c>
      <c r="CR200">
        <v>57128.061600000001</v>
      </c>
      <c r="CS200">
        <v>3.66</v>
      </c>
      <c r="CT200">
        <v>45</v>
      </c>
      <c r="CV200" t="s">
        <v>233</v>
      </c>
      <c r="CW200">
        <v>288</v>
      </c>
    </row>
    <row r="201" spans="1:101" x14ac:dyDescent="0.2">
      <c r="A201" t="s">
        <v>106</v>
      </c>
      <c r="B201" s="46">
        <v>45145</v>
      </c>
      <c r="C201" t="s">
        <v>1926</v>
      </c>
      <c r="D201" t="s">
        <v>108</v>
      </c>
      <c r="E201" t="s">
        <v>1927</v>
      </c>
      <c r="F201" t="s">
        <v>110</v>
      </c>
      <c r="G201" t="s">
        <v>111</v>
      </c>
      <c r="H201" t="s">
        <v>112</v>
      </c>
      <c r="I201" t="s">
        <v>112</v>
      </c>
      <c r="J201" t="s">
        <v>112</v>
      </c>
      <c r="K201" t="s">
        <v>150</v>
      </c>
      <c r="L201" t="s">
        <v>151</v>
      </c>
      <c r="M201" t="s">
        <v>112</v>
      </c>
      <c r="N201" t="s">
        <v>112</v>
      </c>
      <c r="O201">
        <v>1</v>
      </c>
      <c r="Q201">
        <v>1</v>
      </c>
      <c r="R201">
        <v>33</v>
      </c>
      <c r="S201" t="s">
        <v>112</v>
      </c>
      <c r="T201" t="s">
        <v>152</v>
      </c>
      <c r="U201" t="s">
        <v>153</v>
      </c>
      <c r="V201" t="s">
        <v>154</v>
      </c>
      <c r="W201" t="s">
        <v>119</v>
      </c>
      <c r="X201" t="s">
        <v>112</v>
      </c>
      <c r="Y201" t="s">
        <v>112</v>
      </c>
      <c r="Z201" t="s">
        <v>152</v>
      </c>
      <c r="AA201" t="s">
        <v>153</v>
      </c>
      <c r="AB201" t="s">
        <v>154</v>
      </c>
      <c r="AC201" t="s">
        <v>119</v>
      </c>
      <c r="AD201" t="s">
        <v>112</v>
      </c>
      <c r="AE201" t="s">
        <v>121</v>
      </c>
      <c r="AF201" t="s">
        <v>122</v>
      </c>
      <c r="AG201">
        <v>4696435.9800000004</v>
      </c>
      <c r="AH201" t="s">
        <v>112</v>
      </c>
      <c r="AI201" t="s">
        <v>152</v>
      </c>
      <c r="AJ201" t="s">
        <v>153</v>
      </c>
      <c r="AK201" t="s">
        <v>154</v>
      </c>
      <c r="AL201" t="s">
        <v>119</v>
      </c>
      <c r="AM201" t="s">
        <v>112</v>
      </c>
      <c r="AN201" t="s">
        <v>121</v>
      </c>
      <c r="AO201" t="s">
        <v>122</v>
      </c>
      <c r="AP201" t="s">
        <v>122</v>
      </c>
      <c r="AQ201" t="s">
        <v>124</v>
      </c>
      <c r="AR201" t="s">
        <v>125</v>
      </c>
      <c r="AS201">
        <v>2</v>
      </c>
      <c r="AT201" t="s">
        <v>126</v>
      </c>
      <c r="AU201" t="s">
        <v>155</v>
      </c>
      <c r="AV201" t="s">
        <v>156</v>
      </c>
      <c r="AX201" t="s">
        <v>129</v>
      </c>
      <c r="AY201">
        <v>43084.98</v>
      </c>
      <c r="BB201">
        <v>98.654300000000006</v>
      </c>
      <c r="BC201" t="s">
        <v>112</v>
      </c>
      <c r="BD201" t="s">
        <v>112</v>
      </c>
      <c r="BE201" t="s">
        <v>157</v>
      </c>
      <c r="BF201" t="s">
        <v>133</v>
      </c>
      <c r="BG201" t="s">
        <v>134</v>
      </c>
      <c r="BH201" t="s">
        <v>112</v>
      </c>
      <c r="BI201" t="s">
        <v>112</v>
      </c>
      <c r="BJ201" t="s">
        <v>112</v>
      </c>
      <c r="BK201" t="s">
        <v>158</v>
      </c>
      <c r="BL201" t="s">
        <v>159</v>
      </c>
      <c r="BM201" t="s">
        <v>212</v>
      </c>
      <c r="BN201" t="s">
        <v>161</v>
      </c>
      <c r="BP201" t="s">
        <v>466</v>
      </c>
      <c r="BR201" t="s">
        <v>150</v>
      </c>
      <c r="BS201">
        <v>33</v>
      </c>
      <c r="BT201">
        <v>0</v>
      </c>
      <c r="BU201">
        <v>0</v>
      </c>
      <c r="BW201">
        <v>0</v>
      </c>
      <c r="BY201" t="s">
        <v>106</v>
      </c>
      <c r="BZ201" t="s">
        <v>142</v>
      </c>
      <c r="CA201" t="s">
        <v>112</v>
      </c>
      <c r="CB201" t="s">
        <v>112</v>
      </c>
      <c r="CC201" t="s">
        <v>121</v>
      </c>
      <c r="CD201">
        <v>16395.41</v>
      </c>
      <c r="CE201" t="s">
        <v>144</v>
      </c>
      <c r="CF201">
        <v>4000000</v>
      </c>
      <c r="CG201">
        <v>16341.41</v>
      </c>
      <c r="CH201">
        <v>0</v>
      </c>
      <c r="CI201" t="s">
        <v>112</v>
      </c>
      <c r="CJ201" t="s">
        <v>112</v>
      </c>
      <c r="CK201">
        <v>43084.98</v>
      </c>
      <c r="CM201">
        <v>0</v>
      </c>
      <c r="CN201">
        <v>1</v>
      </c>
      <c r="CO201">
        <v>4696435.9800000004</v>
      </c>
      <c r="CP201">
        <v>50417.61</v>
      </c>
      <c r="CQ201" t="s">
        <v>145</v>
      </c>
      <c r="CR201">
        <v>50494.956899999997</v>
      </c>
      <c r="CS201">
        <v>3.09</v>
      </c>
      <c r="CT201">
        <v>45</v>
      </c>
      <c r="CV201" t="s">
        <v>729</v>
      </c>
      <c r="CW201">
        <v>340</v>
      </c>
    </row>
    <row r="202" spans="1:101" x14ac:dyDescent="0.2">
      <c r="A202" t="s">
        <v>106</v>
      </c>
      <c r="B202" s="46">
        <v>45112</v>
      </c>
      <c r="C202" t="s">
        <v>1931</v>
      </c>
      <c r="D202" t="s">
        <v>108</v>
      </c>
      <c r="E202" t="s">
        <v>1932</v>
      </c>
      <c r="F202" t="s">
        <v>110</v>
      </c>
      <c r="G202" t="s">
        <v>111</v>
      </c>
      <c r="H202" t="s">
        <v>112</v>
      </c>
      <c r="I202" t="s">
        <v>112</v>
      </c>
      <c r="J202" t="s">
        <v>112</v>
      </c>
      <c r="K202" t="s">
        <v>150</v>
      </c>
      <c r="L202" t="s">
        <v>151</v>
      </c>
      <c r="M202" t="s">
        <v>112</v>
      </c>
      <c r="N202" t="s">
        <v>112</v>
      </c>
      <c r="O202">
        <v>1</v>
      </c>
      <c r="Q202">
        <v>1</v>
      </c>
      <c r="R202">
        <v>33</v>
      </c>
      <c r="S202" t="s">
        <v>112</v>
      </c>
      <c r="T202" t="s">
        <v>152</v>
      </c>
      <c r="U202" t="s">
        <v>153</v>
      </c>
      <c r="V202" t="s">
        <v>154</v>
      </c>
      <c r="W202" t="s">
        <v>119</v>
      </c>
      <c r="X202" t="s">
        <v>112</v>
      </c>
      <c r="Y202" t="s">
        <v>112</v>
      </c>
      <c r="Z202" t="s">
        <v>152</v>
      </c>
      <c r="AA202" t="s">
        <v>153</v>
      </c>
      <c r="AB202" t="s">
        <v>154</v>
      </c>
      <c r="AC202" t="s">
        <v>119</v>
      </c>
      <c r="AD202" t="s">
        <v>112</v>
      </c>
      <c r="AE202" t="s">
        <v>121</v>
      </c>
      <c r="AF202" t="s">
        <v>122</v>
      </c>
      <c r="AG202">
        <v>4785187.3600000003</v>
      </c>
      <c r="AH202" t="s">
        <v>112</v>
      </c>
      <c r="AI202" t="s">
        <v>152</v>
      </c>
      <c r="AJ202" t="s">
        <v>153</v>
      </c>
      <c r="AK202" t="s">
        <v>154</v>
      </c>
      <c r="AL202" t="s">
        <v>119</v>
      </c>
      <c r="AM202" t="s">
        <v>112</v>
      </c>
      <c r="AN202" t="s">
        <v>121</v>
      </c>
      <c r="AO202" t="s">
        <v>122</v>
      </c>
      <c r="AP202" t="s">
        <v>122</v>
      </c>
      <c r="AQ202" t="s">
        <v>124</v>
      </c>
      <c r="AR202" t="s">
        <v>125</v>
      </c>
      <c r="AS202">
        <v>2</v>
      </c>
      <c r="AT202" t="s">
        <v>126</v>
      </c>
      <c r="AU202" t="s">
        <v>155</v>
      </c>
      <c r="AV202" t="s">
        <v>156</v>
      </c>
      <c r="AX202" t="s">
        <v>129</v>
      </c>
      <c r="AY202">
        <v>44514.6</v>
      </c>
      <c r="BB202">
        <v>98.654300000000006</v>
      </c>
      <c r="BC202" t="s">
        <v>112</v>
      </c>
      <c r="BD202" t="s">
        <v>112</v>
      </c>
      <c r="BE202" t="s">
        <v>157</v>
      </c>
      <c r="BF202" t="s">
        <v>133</v>
      </c>
      <c r="BG202" t="s">
        <v>134</v>
      </c>
      <c r="BH202" t="s">
        <v>112</v>
      </c>
      <c r="BI202" t="s">
        <v>112</v>
      </c>
      <c r="BJ202" t="s">
        <v>112</v>
      </c>
      <c r="BK202" t="s">
        <v>158</v>
      </c>
      <c r="BL202" t="s">
        <v>159</v>
      </c>
      <c r="BM202" t="s">
        <v>212</v>
      </c>
      <c r="BN202" t="s">
        <v>161</v>
      </c>
      <c r="BP202" t="s">
        <v>162</v>
      </c>
      <c r="BR202" t="s">
        <v>150</v>
      </c>
      <c r="BS202">
        <v>33</v>
      </c>
      <c r="BT202">
        <v>0</v>
      </c>
      <c r="BU202">
        <v>0</v>
      </c>
      <c r="BW202">
        <v>0</v>
      </c>
      <c r="BY202" t="s">
        <v>106</v>
      </c>
      <c r="BZ202" t="s">
        <v>142</v>
      </c>
      <c r="CA202" t="s">
        <v>112</v>
      </c>
      <c r="CB202" t="s">
        <v>112</v>
      </c>
      <c r="CC202" t="s">
        <v>121</v>
      </c>
      <c r="CD202">
        <v>16783.32</v>
      </c>
      <c r="CE202" t="s">
        <v>144</v>
      </c>
      <c r="CF202">
        <v>4000000</v>
      </c>
      <c r="CG202">
        <v>16783.32</v>
      </c>
      <c r="CH202">
        <v>0</v>
      </c>
      <c r="CI202" t="s">
        <v>112</v>
      </c>
      <c r="CJ202" t="s">
        <v>112</v>
      </c>
      <c r="CK202">
        <v>44514.6</v>
      </c>
      <c r="CM202">
        <v>0</v>
      </c>
      <c r="CN202">
        <v>1</v>
      </c>
      <c r="CO202">
        <v>4785187.3600000003</v>
      </c>
      <c r="CP202">
        <v>51370.39</v>
      </c>
      <c r="CQ202" t="s">
        <v>145</v>
      </c>
      <c r="CR202">
        <v>51356.959199999998</v>
      </c>
      <c r="CS202">
        <v>3.06</v>
      </c>
      <c r="CT202">
        <v>45</v>
      </c>
      <c r="CV202" t="s">
        <v>1140</v>
      </c>
      <c r="CW202">
        <v>236</v>
      </c>
    </row>
    <row r="203" spans="1:101" x14ac:dyDescent="0.2">
      <c r="A203" t="s">
        <v>106</v>
      </c>
      <c r="B203" s="46">
        <v>44627</v>
      </c>
      <c r="C203" t="s">
        <v>2055</v>
      </c>
      <c r="D203" t="s">
        <v>108</v>
      </c>
      <c r="E203" t="s">
        <v>2056</v>
      </c>
      <c r="F203" t="s">
        <v>110</v>
      </c>
      <c r="G203" t="s">
        <v>111</v>
      </c>
      <c r="H203" t="s">
        <v>112</v>
      </c>
      <c r="I203" t="s">
        <v>112</v>
      </c>
      <c r="J203" t="s">
        <v>112</v>
      </c>
      <c r="K203" t="s">
        <v>150</v>
      </c>
      <c r="L203" t="s">
        <v>151</v>
      </c>
      <c r="M203" t="s">
        <v>112</v>
      </c>
      <c r="N203" t="s">
        <v>112</v>
      </c>
      <c r="O203">
        <v>1</v>
      </c>
      <c r="Q203">
        <v>1</v>
      </c>
      <c r="R203">
        <v>33</v>
      </c>
      <c r="S203" t="s">
        <v>112</v>
      </c>
      <c r="T203" t="s">
        <v>152</v>
      </c>
      <c r="U203" t="s">
        <v>153</v>
      </c>
      <c r="V203" t="s">
        <v>154</v>
      </c>
      <c r="W203" t="s">
        <v>119</v>
      </c>
      <c r="X203" t="s">
        <v>112</v>
      </c>
      <c r="Y203" t="s">
        <v>112</v>
      </c>
      <c r="Z203" t="s">
        <v>152</v>
      </c>
      <c r="AA203" t="s">
        <v>153</v>
      </c>
      <c r="AB203" t="s">
        <v>154</v>
      </c>
      <c r="AC203" t="s">
        <v>119</v>
      </c>
      <c r="AD203" t="s">
        <v>112</v>
      </c>
      <c r="AE203" t="s">
        <v>121</v>
      </c>
      <c r="AF203" t="s">
        <v>122</v>
      </c>
      <c r="AG203">
        <v>4901410.66</v>
      </c>
      <c r="AH203" t="s">
        <v>112</v>
      </c>
      <c r="AI203" t="s">
        <v>152</v>
      </c>
      <c r="AJ203" t="s">
        <v>153</v>
      </c>
      <c r="AK203" t="s">
        <v>154</v>
      </c>
      <c r="AL203" t="s">
        <v>119</v>
      </c>
      <c r="AM203" t="s">
        <v>112</v>
      </c>
      <c r="AN203" t="s">
        <v>121</v>
      </c>
      <c r="AO203" t="s">
        <v>122</v>
      </c>
      <c r="AP203" t="s">
        <v>122</v>
      </c>
      <c r="AQ203" t="s">
        <v>124</v>
      </c>
      <c r="AR203" t="s">
        <v>125</v>
      </c>
      <c r="AS203">
        <v>2</v>
      </c>
      <c r="AT203" t="s">
        <v>126</v>
      </c>
      <c r="AU203" t="s">
        <v>155</v>
      </c>
      <c r="AV203" t="s">
        <v>156</v>
      </c>
      <c r="AX203" t="s">
        <v>129</v>
      </c>
      <c r="AY203">
        <v>43947.76</v>
      </c>
      <c r="BB203">
        <v>102.2453</v>
      </c>
      <c r="BC203" t="s">
        <v>112</v>
      </c>
      <c r="BD203" t="s">
        <v>112</v>
      </c>
      <c r="BE203" t="s">
        <v>157</v>
      </c>
      <c r="BF203" t="s">
        <v>133</v>
      </c>
      <c r="BG203" t="s">
        <v>167</v>
      </c>
      <c r="BH203" t="s">
        <v>112</v>
      </c>
      <c r="BI203" t="s">
        <v>112</v>
      </c>
      <c r="BJ203" t="s">
        <v>112</v>
      </c>
      <c r="BK203" t="s">
        <v>169</v>
      </c>
      <c r="BL203" t="s">
        <v>159</v>
      </c>
      <c r="BM203" t="s">
        <v>160</v>
      </c>
      <c r="BN203" t="s">
        <v>161</v>
      </c>
      <c r="BP203" t="s">
        <v>232</v>
      </c>
      <c r="BR203" t="s">
        <v>150</v>
      </c>
      <c r="BS203">
        <v>33</v>
      </c>
      <c r="BY203" t="s">
        <v>106</v>
      </c>
      <c r="BZ203" t="s">
        <v>142</v>
      </c>
      <c r="CA203" t="s">
        <v>112</v>
      </c>
      <c r="CB203" t="s">
        <v>112</v>
      </c>
      <c r="CC203" t="s">
        <v>121</v>
      </c>
      <c r="CD203">
        <v>17147.75</v>
      </c>
      <c r="CE203" t="s">
        <v>144</v>
      </c>
      <c r="CF203">
        <v>4000000</v>
      </c>
      <c r="CG203">
        <v>17093.75</v>
      </c>
      <c r="CI203" t="s">
        <v>112</v>
      </c>
      <c r="CJ203" t="s">
        <v>112</v>
      </c>
      <c r="CK203">
        <v>43947.76</v>
      </c>
      <c r="CM203">
        <v>0</v>
      </c>
      <c r="CN203">
        <v>1</v>
      </c>
      <c r="CO203">
        <v>4901410.66</v>
      </c>
      <c r="CP203">
        <v>50979.040000000001</v>
      </c>
      <c r="CQ203" t="s">
        <v>145</v>
      </c>
      <c r="CR203">
        <v>50939.375</v>
      </c>
      <c r="CS203">
        <v>2.98</v>
      </c>
      <c r="CT203">
        <v>45</v>
      </c>
      <c r="CV203" t="s">
        <v>163</v>
      </c>
      <c r="CW203">
        <v>330</v>
      </c>
    </row>
    <row r="204" spans="1:101" x14ac:dyDescent="0.2">
      <c r="A204" t="s">
        <v>106</v>
      </c>
      <c r="B204" s="46">
        <v>45180</v>
      </c>
      <c r="C204" t="s">
        <v>2031</v>
      </c>
      <c r="D204" t="s">
        <v>108</v>
      </c>
      <c r="E204" t="s">
        <v>2032</v>
      </c>
      <c r="F204" t="s">
        <v>110</v>
      </c>
      <c r="G204" t="s">
        <v>111</v>
      </c>
      <c r="H204" t="s">
        <v>112</v>
      </c>
      <c r="I204" t="s">
        <v>112</v>
      </c>
      <c r="J204" t="s">
        <v>112</v>
      </c>
      <c r="K204" t="s">
        <v>150</v>
      </c>
      <c r="L204" t="s">
        <v>151</v>
      </c>
      <c r="M204" t="s">
        <v>112</v>
      </c>
      <c r="N204" t="s">
        <v>112</v>
      </c>
      <c r="O204">
        <v>1</v>
      </c>
      <c r="Q204">
        <v>1</v>
      </c>
      <c r="R204">
        <v>33</v>
      </c>
      <c r="S204" t="s">
        <v>112</v>
      </c>
      <c r="T204" t="s">
        <v>152</v>
      </c>
      <c r="U204" t="s">
        <v>153</v>
      </c>
      <c r="V204" t="s">
        <v>154</v>
      </c>
      <c r="W204" t="s">
        <v>119</v>
      </c>
      <c r="X204" t="s">
        <v>112</v>
      </c>
      <c r="Y204" t="s">
        <v>112</v>
      </c>
      <c r="Z204" t="s">
        <v>152</v>
      </c>
      <c r="AA204" t="s">
        <v>153</v>
      </c>
      <c r="AB204" t="s">
        <v>154</v>
      </c>
      <c r="AC204" t="s">
        <v>119</v>
      </c>
      <c r="AD204" t="s">
        <v>112</v>
      </c>
      <c r="AE204" t="s">
        <v>121</v>
      </c>
      <c r="AF204" t="s">
        <v>122</v>
      </c>
      <c r="AG204">
        <v>4899713.38</v>
      </c>
      <c r="AH204" t="s">
        <v>112</v>
      </c>
      <c r="AI204" t="s">
        <v>152</v>
      </c>
      <c r="AJ204" t="s">
        <v>153</v>
      </c>
      <c r="AK204" t="s">
        <v>154</v>
      </c>
      <c r="AL204" t="s">
        <v>119</v>
      </c>
      <c r="AM204" t="s">
        <v>112</v>
      </c>
      <c r="AN204" t="s">
        <v>121</v>
      </c>
      <c r="AO204" t="s">
        <v>122</v>
      </c>
      <c r="AP204" t="s">
        <v>122</v>
      </c>
      <c r="AQ204" t="s">
        <v>124</v>
      </c>
      <c r="AR204" t="s">
        <v>125</v>
      </c>
      <c r="AS204">
        <v>2</v>
      </c>
      <c r="AT204" t="s">
        <v>126</v>
      </c>
      <c r="AU204" t="s">
        <v>155</v>
      </c>
      <c r="AV204" t="s">
        <v>156</v>
      </c>
      <c r="AX204" t="s">
        <v>129</v>
      </c>
      <c r="AY204">
        <v>43791.16</v>
      </c>
      <c r="BB204">
        <v>102.2453</v>
      </c>
      <c r="BC204" t="s">
        <v>112</v>
      </c>
      <c r="BD204" t="s">
        <v>112</v>
      </c>
      <c r="BE204" t="s">
        <v>157</v>
      </c>
      <c r="BF204" t="s">
        <v>133</v>
      </c>
      <c r="BG204" t="s">
        <v>167</v>
      </c>
      <c r="BH204" t="s">
        <v>112</v>
      </c>
      <c r="BI204" t="s">
        <v>112</v>
      </c>
      <c r="BJ204" t="s">
        <v>112</v>
      </c>
      <c r="BK204" t="s">
        <v>169</v>
      </c>
      <c r="BL204" t="s">
        <v>159</v>
      </c>
      <c r="BM204" t="s">
        <v>160</v>
      </c>
      <c r="BN204" t="s">
        <v>161</v>
      </c>
      <c r="BP204" t="s">
        <v>232</v>
      </c>
      <c r="BR204" t="s">
        <v>150</v>
      </c>
      <c r="BS204">
        <v>33</v>
      </c>
      <c r="BY204" t="s">
        <v>106</v>
      </c>
      <c r="BZ204" t="s">
        <v>142</v>
      </c>
      <c r="CA204" t="s">
        <v>112</v>
      </c>
      <c r="CB204" t="s">
        <v>112</v>
      </c>
      <c r="CC204" t="s">
        <v>121</v>
      </c>
      <c r="CD204">
        <v>17127.349999999999</v>
      </c>
      <c r="CE204" t="s">
        <v>144</v>
      </c>
      <c r="CF204">
        <v>4000000</v>
      </c>
      <c r="CG204">
        <v>17127.349999999999</v>
      </c>
      <c r="CI204" t="s">
        <v>112</v>
      </c>
      <c r="CJ204" t="s">
        <v>112</v>
      </c>
      <c r="CK204">
        <v>43791.16</v>
      </c>
      <c r="CM204">
        <v>0</v>
      </c>
      <c r="CN204">
        <v>1</v>
      </c>
      <c r="CO204">
        <v>4899713.38</v>
      </c>
      <c r="CP204">
        <v>50961.39</v>
      </c>
      <c r="CQ204" t="s">
        <v>145</v>
      </c>
      <c r="CR204">
        <v>51039.502999999997</v>
      </c>
      <c r="CS204">
        <v>2.98</v>
      </c>
      <c r="CT204">
        <v>45</v>
      </c>
      <c r="CV204" t="s">
        <v>233</v>
      </c>
      <c r="CW204">
        <v>42</v>
      </c>
    </row>
    <row r="205" spans="1:101" x14ac:dyDescent="0.2">
      <c r="A205" t="s">
        <v>106</v>
      </c>
      <c r="B205" s="46">
        <v>44794</v>
      </c>
      <c r="C205" t="s">
        <v>2057</v>
      </c>
      <c r="D205" t="s">
        <v>108</v>
      </c>
      <c r="E205" t="s">
        <v>2058</v>
      </c>
      <c r="F205" t="s">
        <v>110</v>
      </c>
      <c r="G205" t="s">
        <v>111</v>
      </c>
      <c r="H205" t="s">
        <v>112</v>
      </c>
      <c r="I205" t="s">
        <v>112</v>
      </c>
      <c r="J205" t="s">
        <v>112</v>
      </c>
      <c r="K205" t="s">
        <v>150</v>
      </c>
      <c r="L205" t="s">
        <v>151</v>
      </c>
      <c r="M205" t="s">
        <v>112</v>
      </c>
      <c r="N205" t="s">
        <v>112</v>
      </c>
      <c r="O205">
        <v>1</v>
      </c>
      <c r="Q205">
        <v>1</v>
      </c>
      <c r="R205">
        <v>33</v>
      </c>
      <c r="S205" t="s">
        <v>112</v>
      </c>
      <c r="T205" t="s">
        <v>152</v>
      </c>
      <c r="U205" t="s">
        <v>153</v>
      </c>
      <c r="V205" t="s">
        <v>154</v>
      </c>
      <c r="W205" t="s">
        <v>119</v>
      </c>
      <c r="X205" t="s">
        <v>112</v>
      </c>
      <c r="Y205" t="s">
        <v>112</v>
      </c>
      <c r="Z205" t="s">
        <v>152</v>
      </c>
      <c r="AA205" t="s">
        <v>153</v>
      </c>
      <c r="AB205" t="s">
        <v>154</v>
      </c>
      <c r="AC205" t="s">
        <v>119</v>
      </c>
      <c r="AD205" t="s">
        <v>112</v>
      </c>
      <c r="AE205" t="s">
        <v>121</v>
      </c>
      <c r="AF205" t="s">
        <v>122</v>
      </c>
      <c r="AG205">
        <v>4893772.93</v>
      </c>
      <c r="AH205" t="s">
        <v>112</v>
      </c>
      <c r="AI205" t="s">
        <v>152</v>
      </c>
      <c r="AJ205" t="s">
        <v>153</v>
      </c>
      <c r="AK205" t="s">
        <v>154</v>
      </c>
      <c r="AL205" t="s">
        <v>119</v>
      </c>
      <c r="AM205" t="s">
        <v>112</v>
      </c>
      <c r="AN205" t="s">
        <v>121</v>
      </c>
      <c r="AO205" t="s">
        <v>122</v>
      </c>
      <c r="AP205" t="s">
        <v>122</v>
      </c>
      <c r="AQ205" t="s">
        <v>124</v>
      </c>
      <c r="AR205" t="s">
        <v>125</v>
      </c>
      <c r="AS205">
        <v>2</v>
      </c>
      <c r="AT205" t="s">
        <v>126</v>
      </c>
      <c r="AU205" t="s">
        <v>155</v>
      </c>
      <c r="AV205" t="s">
        <v>156</v>
      </c>
      <c r="AX205" t="s">
        <v>129</v>
      </c>
      <c r="AY205">
        <v>43873.06</v>
      </c>
      <c r="BB205">
        <v>102.2453</v>
      </c>
      <c r="BC205" t="s">
        <v>112</v>
      </c>
      <c r="BD205" t="s">
        <v>112</v>
      </c>
      <c r="BE205" t="s">
        <v>157</v>
      </c>
      <c r="BF205" t="s">
        <v>133</v>
      </c>
      <c r="BG205" t="s">
        <v>134</v>
      </c>
      <c r="BH205" t="s">
        <v>112</v>
      </c>
      <c r="BI205" t="s">
        <v>112</v>
      </c>
      <c r="BJ205" t="s">
        <v>112</v>
      </c>
      <c r="BK205" t="s">
        <v>169</v>
      </c>
      <c r="BL205" t="s">
        <v>159</v>
      </c>
      <c r="BM205" t="s">
        <v>212</v>
      </c>
      <c r="BN205" t="s">
        <v>161</v>
      </c>
      <c r="BP205" t="s">
        <v>162</v>
      </c>
      <c r="BR205" t="s">
        <v>150</v>
      </c>
      <c r="BS205">
        <v>33</v>
      </c>
      <c r="BT205">
        <v>0</v>
      </c>
      <c r="BU205">
        <v>0</v>
      </c>
      <c r="BW205">
        <v>0</v>
      </c>
      <c r="BY205" t="s">
        <v>106</v>
      </c>
      <c r="BZ205" t="s">
        <v>142</v>
      </c>
      <c r="CA205" t="s">
        <v>112</v>
      </c>
      <c r="CB205" t="s">
        <v>112</v>
      </c>
      <c r="CC205" t="s">
        <v>121</v>
      </c>
      <c r="CD205">
        <v>17241.22</v>
      </c>
      <c r="CE205" t="s">
        <v>144</v>
      </c>
      <c r="CF205">
        <v>4000000</v>
      </c>
      <c r="CG205">
        <v>17205.22</v>
      </c>
      <c r="CH205">
        <v>0</v>
      </c>
      <c r="CI205" t="s">
        <v>112</v>
      </c>
      <c r="CJ205" t="s">
        <v>112</v>
      </c>
      <c r="CK205">
        <v>43873.06</v>
      </c>
      <c r="CM205">
        <v>0</v>
      </c>
      <c r="CN205">
        <v>1</v>
      </c>
      <c r="CO205">
        <v>4893772.93</v>
      </c>
      <c r="CP205">
        <v>50899.6</v>
      </c>
      <c r="CQ205" t="s">
        <v>145</v>
      </c>
      <c r="CR205">
        <v>50927.451200000003</v>
      </c>
      <c r="CS205">
        <v>2.96</v>
      </c>
      <c r="CT205">
        <v>45</v>
      </c>
      <c r="CV205" t="s">
        <v>1140</v>
      </c>
      <c r="CW205">
        <v>293</v>
      </c>
    </row>
    <row r="206" spans="1:101" x14ac:dyDescent="0.2">
      <c r="A206" t="s">
        <v>106</v>
      </c>
      <c r="B206" s="46">
        <v>44986</v>
      </c>
      <c r="C206" t="s">
        <v>1586</v>
      </c>
      <c r="D206" t="s">
        <v>108</v>
      </c>
      <c r="E206" t="s">
        <v>1587</v>
      </c>
      <c r="F206" t="s">
        <v>110</v>
      </c>
      <c r="G206" t="s">
        <v>111</v>
      </c>
      <c r="H206" t="s">
        <v>112</v>
      </c>
      <c r="I206" t="s">
        <v>112</v>
      </c>
      <c r="J206" t="s">
        <v>112</v>
      </c>
      <c r="K206" t="s">
        <v>150</v>
      </c>
      <c r="L206" t="s">
        <v>1143</v>
      </c>
      <c r="M206" t="s">
        <v>112</v>
      </c>
      <c r="N206" t="s">
        <v>112</v>
      </c>
      <c r="O206">
        <v>1</v>
      </c>
      <c r="P206">
        <v>0</v>
      </c>
      <c r="Q206">
        <v>1</v>
      </c>
      <c r="R206">
        <v>33</v>
      </c>
      <c r="S206" t="s">
        <v>166</v>
      </c>
      <c r="T206" t="s">
        <v>152</v>
      </c>
      <c r="U206" t="s">
        <v>153</v>
      </c>
      <c r="V206" t="s">
        <v>154</v>
      </c>
      <c r="W206" t="s">
        <v>119</v>
      </c>
      <c r="X206" t="s">
        <v>112</v>
      </c>
      <c r="Y206" t="s">
        <v>166</v>
      </c>
      <c r="Z206" t="s">
        <v>152</v>
      </c>
      <c r="AA206" t="s">
        <v>153</v>
      </c>
      <c r="AB206" t="s">
        <v>154</v>
      </c>
      <c r="AC206" t="s">
        <v>119</v>
      </c>
      <c r="AD206" t="s">
        <v>112</v>
      </c>
      <c r="AE206" t="s">
        <v>121</v>
      </c>
      <c r="AF206" t="s">
        <v>122</v>
      </c>
      <c r="AG206">
        <v>4771061.13</v>
      </c>
      <c r="AH206" t="s">
        <v>166</v>
      </c>
      <c r="AI206" t="s">
        <v>152</v>
      </c>
      <c r="AJ206" t="s">
        <v>153</v>
      </c>
      <c r="AK206" t="s">
        <v>154</v>
      </c>
      <c r="AL206" t="s">
        <v>119</v>
      </c>
      <c r="AM206" t="s">
        <v>112</v>
      </c>
      <c r="AN206" t="s">
        <v>121</v>
      </c>
      <c r="AO206" t="s">
        <v>122</v>
      </c>
      <c r="AP206" t="s">
        <v>122</v>
      </c>
      <c r="AQ206" t="s">
        <v>124</v>
      </c>
      <c r="AR206" t="s">
        <v>125</v>
      </c>
      <c r="AS206">
        <v>2</v>
      </c>
      <c r="AT206" t="s">
        <v>126</v>
      </c>
      <c r="AU206" t="s">
        <v>155</v>
      </c>
      <c r="AV206" t="s">
        <v>156</v>
      </c>
      <c r="AW206">
        <v>1</v>
      </c>
      <c r="AX206" t="s">
        <v>129</v>
      </c>
      <c r="AY206">
        <v>43728.11</v>
      </c>
      <c r="AZ206">
        <v>4359334</v>
      </c>
      <c r="BA206">
        <v>52956.19</v>
      </c>
      <c r="BB206">
        <v>99.691800000000001</v>
      </c>
      <c r="BC206" t="s">
        <v>130</v>
      </c>
      <c r="BD206" t="s">
        <v>112</v>
      </c>
      <c r="BE206" t="s">
        <v>157</v>
      </c>
      <c r="BF206" t="s">
        <v>133</v>
      </c>
      <c r="BG206" t="s">
        <v>134</v>
      </c>
      <c r="BH206" t="s">
        <v>112</v>
      </c>
      <c r="BI206" t="s">
        <v>112</v>
      </c>
      <c r="BJ206" t="s">
        <v>112</v>
      </c>
      <c r="BK206" t="s">
        <v>169</v>
      </c>
      <c r="BL206" t="s">
        <v>159</v>
      </c>
      <c r="BM206" t="s">
        <v>722</v>
      </c>
      <c r="BN206" t="s">
        <v>161</v>
      </c>
      <c r="BO206">
        <v>1</v>
      </c>
      <c r="BP206" t="s">
        <v>1588</v>
      </c>
      <c r="BR206" t="s">
        <v>150</v>
      </c>
      <c r="BS206">
        <v>33</v>
      </c>
      <c r="BT206">
        <v>0</v>
      </c>
      <c r="BU206">
        <v>0</v>
      </c>
      <c r="BW206">
        <v>0</v>
      </c>
      <c r="BY206" t="s">
        <v>106</v>
      </c>
      <c r="BZ206" t="s">
        <v>142</v>
      </c>
      <c r="CA206" t="s">
        <v>112</v>
      </c>
      <c r="CB206" t="s">
        <v>112</v>
      </c>
      <c r="CC206" t="s">
        <v>121</v>
      </c>
      <c r="CD206">
        <v>16162.82</v>
      </c>
      <c r="CE206" t="s">
        <v>144</v>
      </c>
      <c r="CF206">
        <v>4000000</v>
      </c>
      <c r="CG206">
        <v>16072.82</v>
      </c>
      <c r="CH206">
        <v>0</v>
      </c>
      <c r="CI206" t="s">
        <v>112</v>
      </c>
      <c r="CJ206" t="s">
        <v>112</v>
      </c>
      <c r="CK206">
        <v>43728.11</v>
      </c>
      <c r="CL206">
        <v>4359334</v>
      </c>
      <c r="CM206">
        <v>0</v>
      </c>
      <c r="CN206">
        <v>1</v>
      </c>
      <c r="CO206">
        <v>4771061.13</v>
      </c>
      <c r="CP206">
        <v>52956.19</v>
      </c>
      <c r="CQ206" t="s">
        <v>145</v>
      </c>
      <c r="CR206">
        <v>52879.577799999999</v>
      </c>
      <c r="CS206">
        <v>3.29</v>
      </c>
      <c r="CT206">
        <v>45</v>
      </c>
      <c r="CU206" t="s">
        <v>171</v>
      </c>
      <c r="CV206" t="s">
        <v>463</v>
      </c>
      <c r="CW206">
        <v>368</v>
      </c>
    </row>
    <row r="207" spans="1:101" x14ac:dyDescent="0.2">
      <c r="A207" t="s">
        <v>106</v>
      </c>
      <c r="B207" s="46">
        <v>44960</v>
      </c>
      <c r="C207" t="s">
        <v>1583</v>
      </c>
      <c r="D207" t="s">
        <v>108</v>
      </c>
      <c r="E207" t="s">
        <v>1584</v>
      </c>
      <c r="F207" t="s">
        <v>110</v>
      </c>
      <c r="G207" t="s">
        <v>111</v>
      </c>
      <c r="H207" t="s">
        <v>112</v>
      </c>
      <c r="I207" t="s">
        <v>112</v>
      </c>
      <c r="J207" t="s">
        <v>112</v>
      </c>
      <c r="K207" t="s">
        <v>150</v>
      </c>
      <c r="L207" t="s">
        <v>1143</v>
      </c>
      <c r="M207" t="s">
        <v>112</v>
      </c>
      <c r="N207" t="s">
        <v>112</v>
      </c>
      <c r="O207">
        <v>1</v>
      </c>
      <c r="P207">
        <v>0</v>
      </c>
      <c r="Q207">
        <v>1</v>
      </c>
      <c r="R207">
        <v>33</v>
      </c>
      <c r="S207" t="s">
        <v>166</v>
      </c>
      <c r="T207" t="s">
        <v>152</v>
      </c>
      <c r="U207" t="s">
        <v>153</v>
      </c>
      <c r="V207" t="s">
        <v>154</v>
      </c>
      <c r="W207" t="s">
        <v>119</v>
      </c>
      <c r="X207" t="s">
        <v>112</v>
      </c>
      <c r="Y207" t="s">
        <v>166</v>
      </c>
      <c r="Z207" t="s">
        <v>152</v>
      </c>
      <c r="AA207" t="s">
        <v>153</v>
      </c>
      <c r="AB207" t="s">
        <v>154</v>
      </c>
      <c r="AC207" t="s">
        <v>119</v>
      </c>
      <c r="AD207" t="s">
        <v>112</v>
      </c>
      <c r="AE207" t="s">
        <v>121</v>
      </c>
      <c r="AF207" t="s">
        <v>122</v>
      </c>
      <c r="AG207">
        <v>4590627.9400000004</v>
      </c>
      <c r="AH207" t="s">
        <v>166</v>
      </c>
      <c r="AI207" t="s">
        <v>152</v>
      </c>
      <c r="AJ207" t="s">
        <v>153</v>
      </c>
      <c r="AK207" t="s">
        <v>154</v>
      </c>
      <c r="AL207" t="s">
        <v>119</v>
      </c>
      <c r="AM207" t="s">
        <v>112</v>
      </c>
      <c r="AN207" t="s">
        <v>121</v>
      </c>
      <c r="AO207" t="s">
        <v>122</v>
      </c>
      <c r="AP207" t="s">
        <v>122</v>
      </c>
      <c r="AQ207" t="s">
        <v>124</v>
      </c>
      <c r="AR207" t="s">
        <v>125</v>
      </c>
      <c r="AS207">
        <v>2</v>
      </c>
      <c r="AT207" t="s">
        <v>126</v>
      </c>
      <c r="AU207" t="s">
        <v>155</v>
      </c>
      <c r="AV207" t="s">
        <v>156</v>
      </c>
      <c r="AW207">
        <v>1</v>
      </c>
      <c r="AX207" t="s">
        <v>129</v>
      </c>
      <c r="AY207">
        <v>41398.199999999997</v>
      </c>
      <c r="AZ207">
        <v>4127061</v>
      </c>
      <c r="BA207">
        <v>50953.48</v>
      </c>
      <c r="BB207">
        <v>99.691800000000001</v>
      </c>
      <c r="BC207" t="s">
        <v>130</v>
      </c>
      <c r="BD207" t="s">
        <v>112</v>
      </c>
      <c r="BE207" t="s">
        <v>157</v>
      </c>
      <c r="BF207" t="s">
        <v>133</v>
      </c>
      <c r="BG207" t="s">
        <v>167</v>
      </c>
      <c r="BH207" t="s">
        <v>168</v>
      </c>
      <c r="BI207" t="s">
        <v>112</v>
      </c>
      <c r="BJ207" t="s">
        <v>112</v>
      </c>
      <c r="BK207" t="s">
        <v>169</v>
      </c>
      <c r="BL207" t="s">
        <v>159</v>
      </c>
      <c r="BM207" t="s">
        <v>726</v>
      </c>
      <c r="BN207" t="s">
        <v>161</v>
      </c>
      <c r="BO207">
        <v>1</v>
      </c>
      <c r="BP207" t="s">
        <v>1585</v>
      </c>
      <c r="BR207" t="s">
        <v>150</v>
      </c>
      <c r="BS207">
        <v>33</v>
      </c>
      <c r="BT207">
        <v>0</v>
      </c>
      <c r="BU207">
        <v>0</v>
      </c>
      <c r="BW207">
        <v>0</v>
      </c>
      <c r="BY207" t="s">
        <v>106</v>
      </c>
      <c r="BZ207" t="s">
        <v>142</v>
      </c>
      <c r="CA207" t="s">
        <v>112</v>
      </c>
      <c r="CB207" t="s">
        <v>112</v>
      </c>
      <c r="CC207" t="s">
        <v>121</v>
      </c>
      <c r="CD207">
        <v>16041.54</v>
      </c>
      <c r="CE207" t="s">
        <v>144</v>
      </c>
      <c r="CF207">
        <v>4000000</v>
      </c>
      <c r="CG207">
        <v>15923.94</v>
      </c>
      <c r="CH207">
        <v>0</v>
      </c>
      <c r="CI207" t="s">
        <v>112</v>
      </c>
      <c r="CJ207" t="s">
        <v>112</v>
      </c>
      <c r="CK207">
        <v>41398.199999999997</v>
      </c>
      <c r="CL207">
        <v>4127061</v>
      </c>
      <c r="CM207">
        <v>0</v>
      </c>
      <c r="CN207">
        <v>1</v>
      </c>
      <c r="CO207">
        <v>4590627.9400000004</v>
      </c>
      <c r="CP207">
        <v>50953.48</v>
      </c>
      <c r="CQ207" t="s">
        <v>145</v>
      </c>
      <c r="CR207">
        <v>50956.608000000007</v>
      </c>
      <c r="CS207">
        <v>3.2</v>
      </c>
      <c r="CT207">
        <v>45</v>
      </c>
      <c r="CU207" t="s">
        <v>171</v>
      </c>
      <c r="CV207" t="s">
        <v>369</v>
      </c>
      <c r="CW207">
        <v>324</v>
      </c>
    </row>
    <row r="208" spans="1:101" x14ac:dyDescent="0.2">
      <c r="A208" t="s">
        <v>106</v>
      </c>
      <c r="B208" s="46">
        <v>45042</v>
      </c>
      <c r="C208" t="s">
        <v>1379</v>
      </c>
      <c r="D208" t="s">
        <v>108</v>
      </c>
      <c r="E208" t="s">
        <v>1380</v>
      </c>
      <c r="F208" t="s">
        <v>110</v>
      </c>
      <c r="G208" t="s">
        <v>111</v>
      </c>
      <c r="H208" t="s">
        <v>112</v>
      </c>
      <c r="I208" t="s">
        <v>112</v>
      </c>
      <c r="J208" t="s">
        <v>112</v>
      </c>
      <c r="K208" t="s">
        <v>150</v>
      </c>
      <c r="L208" t="s">
        <v>151</v>
      </c>
      <c r="M208" t="s">
        <v>112</v>
      </c>
      <c r="N208" t="s">
        <v>112</v>
      </c>
      <c r="O208">
        <v>1</v>
      </c>
      <c r="P208">
        <v>0</v>
      </c>
      <c r="Q208">
        <v>1</v>
      </c>
      <c r="R208">
        <v>33</v>
      </c>
      <c r="S208" t="s">
        <v>166</v>
      </c>
      <c r="T208" t="s">
        <v>152</v>
      </c>
      <c r="U208" t="s">
        <v>153</v>
      </c>
      <c r="V208" t="s">
        <v>154</v>
      </c>
      <c r="W208" t="s">
        <v>119</v>
      </c>
      <c r="X208" t="s">
        <v>112</v>
      </c>
      <c r="Y208" t="s">
        <v>166</v>
      </c>
      <c r="Z208" t="s">
        <v>152</v>
      </c>
      <c r="AA208" t="s">
        <v>153</v>
      </c>
      <c r="AB208" t="s">
        <v>154</v>
      </c>
      <c r="AC208" t="s">
        <v>119</v>
      </c>
      <c r="AD208" t="s">
        <v>112</v>
      </c>
      <c r="AE208" t="s">
        <v>121</v>
      </c>
      <c r="AF208" t="s">
        <v>122</v>
      </c>
      <c r="AG208">
        <v>4671315.78</v>
      </c>
      <c r="AH208" t="s">
        <v>166</v>
      </c>
      <c r="AI208" t="s">
        <v>152</v>
      </c>
      <c r="AJ208" t="s">
        <v>153</v>
      </c>
      <c r="AK208" t="s">
        <v>154</v>
      </c>
      <c r="AL208" t="s">
        <v>119</v>
      </c>
      <c r="AM208" t="s">
        <v>112</v>
      </c>
      <c r="AN208" t="s">
        <v>121</v>
      </c>
      <c r="AO208" t="s">
        <v>122</v>
      </c>
      <c r="AP208" t="s">
        <v>122</v>
      </c>
      <c r="AQ208" t="s">
        <v>124</v>
      </c>
      <c r="AR208" t="s">
        <v>125</v>
      </c>
      <c r="AS208">
        <v>2</v>
      </c>
      <c r="AT208" t="s">
        <v>126</v>
      </c>
      <c r="AU208" t="s">
        <v>155</v>
      </c>
      <c r="AV208" t="s">
        <v>156</v>
      </c>
      <c r="AW208">
        <v>1</v>
      </c>
      <c r="AX208" t="s">
        <v>129</v>
      </c>
      <c r="AY208">
        <v>46926.37</v>
      </c>
      <c r="AZ208">
        <v>4293448</v>
      </c>
      <c r="BA208">
        <v>55558.45</v>
      </c>
      <c r="BB208">
        <v>91.493300000000005</v>
      </c>
      <c r="BC208" t="s">
        <v>130</v>
      </c>
      <c r="BD208" t="s">
        <v>112</v>
      </c>
      <c r="BE208" t="s">
        <v>157</v>
      </c>
      <c r="BF208" t="s">
        <v>133</v>
      </c>
      <c r="BG208" t="s">
        <v>134</v>
      </c>
      <c r="BH208" t="s">
        <v>112</v>
      </c>
      <c r="BI208" t="s">
        <v>112</v>
      </c>
      <c r="BJ208" t="s">
        <v>112</v>
      </c>
      <c r="BK208" t="s">
        <v>169</v>
      </c>
      <c r="BL208" t="s">
        <v>159</v>
      </c>
      <c r="BM208" t="s">
        <v>722</v>
      </c>
      <c r="BN208" t="s">
        <v>161</v>
      </c>
      <c r="BO208">
        <v>1</v>
      </c>
      <c r="BP208" t="s">
        <v>487</v>
      </c>
      <c r="BR208" t="s">
        <v>150</v>
      </c>
      <c r="BS208">
        <v>33</v>
      </c>
      <c r="BT208">
        <v>0</v>
      </c>
      <c r="BU208">
        <v>0</v>
      </c>
      <c r="BW208">
        <v>0</v>
      </c>
      <c r="BY208" t="s">
        <v>106</v>
      </c>
      <c r="BZ208" t="s">
        <v>142</v>
      </c>
      <c r="CA208" t="s">
        <v>112</v>
      </c>
      <c r="CB208" t="s">
        <v>112</v>
      </c>
      <c r="CC208" t="s">
        <v>121</v>
      </c>
      <c r="CD208">
        <v>16934.41</v>
      </c>
      <c r="CE208" t="s">
        <v>144</v>
      </c>
      <c r="CF208">
        <v>4000000</v>
      </c>
      <c r="CG208">
        <v>16934.41</v>
      </c>
      <c r="CH208">
        <v>0</v>
      </c>
      <c r="CI208" t="s">
        <v>112</v>
      </c>
      <c r="CJ208" t="s">
        <v>112</v>
      </c>
      <c r="CK208">
        <v>46926.37</v>
      </c>
      <c r="CL208">
        <v>4293448</v>
      </c>
      <c r="CM208">
        <v>0</v>
      </c>
      <c r="CN208">
        <v>1</v>
      </c>
      <c r="CO208">
        <v>4671315.78</v>
      </c>
      <c r="CP208">
        <v>55558.45</v>
      </c>
      <c r="CQ208" t="s">
        <v>145</v>
      </c>
      <c r="CR208">
        <v>55544.864799999996</v>
      </c>
      <c r="CS208">
        <v>3.28</v>
      </c>
      <c r="CT208">
        <v>45</v>
      </c>
      <c r="CU208" t="s">
        <v>171</v>
      </c>
      <c r="CV208" t="s">
        <v>369</v>
      </c>
      <c r="CW208">
        <v>144</v>
      </c>
    </row>
    <row r="209" spans="1:101" x14ac:dyDescent="0.2">
      <c r="A209" t="s">
        <v>106</v>
      </c>
      <c r="B209" s="46">
        <v>45101</v>
      </c>
      <c r="C209" t="s">
        <v>1231</v>
      </c>
      <c r="D209" t="s">
        <v>108</v>
      </c>
      <c r="E209" t="s">
        <v>1232</v>
      </c>
      <c r="F209" t="s">
        <v>110</v>
      </c>
      <c r="G209" t="s">
        <v>111</v>
      </c>
      <c r="H209" t="s">
        <v>112</v>
      </c>
      <c r="I209" t="s">
        <v>112</v>
      </c>
      <c r="J209" t="s">
        <v>112</v>
      </c>
      <c r="K209" t="s">
        <v>150</v>
      </c>
      <c r="L209" t="s">
        <v>1060</v>
      </c>
      <c r="M209" t="s">
        <v>112</v>
      </c>
      <c r="N209" t="s">
        <v>112</v>
      </c>
      <c r="O209">
        <v>1</v>
      </c>
      <c r="P209">
        <v>0</v>
      </c>
      <c r="Q209">
        <v>1</v>
      </c>
      <c r="R209">
        <v>33</v>
      </c>
      <c r="S209" t="s">
        <v>166</v>
      </c>
      <c r="T209" t="s">
        <v>152</v>
      </c>
      <c r="U209" t="s">
        <v>153</v>
      </c>
      <c r="V209" t="s">
        <v>154</v>
      </c>
      <c r="W209" t="s">
        <v>119</v>
      </c>
      <c r="X209" t="s">
        <v>112</v>
      </c>
      <c r="Y209" t="s">
        <v>166</v>
      </c>
      <c r="Z209" t="s">
        <v>152</v>
      </c>
      <c r="AA209" t="s">
        <v>153</v>
      </c>
      <c r="AB209" t="s">
        <v>154</v>
      </c>
      <c r="AC209" t="s">
        <v>119</v>
      </c>
      <c r="AD209" t="s">
        <v>112</v>
      </c>
      <c r="AE209" t="s">
        <v>121</v>
      </c>
      <c r="AF209" t="s">
        <v>122</v>
      </c>
      <c r="AG209">
        <v>3882434.94</v>
      </c>
      <c r="AH209" t="s">
        <v>166</v>
      </c>
      <c r="AI209" t="s">
        <v>152</v>
      </c>
      <c r="AJ209" t="s">
        <v>153</v>
      </c>
      <c r="AK209" t="s">
        <v>154</v>
      </c>
      <c r="AL209" t="s">
        <v>119</v>
      </c>
      <c r="AM209" t="s">
        <v>112</v>
      </c>
      <c r="AN209" t="s">
        <v>121</v>
      </c>
      <c r="AO209" t="s">
        <v>122</v>
      </c>
      <c r="AP209" t="s">
        <v>122</v>
      </c>
      <c r="AQ209" t="s">
        <v>124</v>
      </c>
      <c r="AR209" t="s">
        <v>125</v>
      </c>
      <c r="AS209">
        <v>2</v>
      </c>
      <c r="AT209" t="s">
        <v>126</v>
      </c>
      <c r="AU209" t="s">
        <v>155</v>
      </c>
      <c r="AV209" t="s">
        <v>156</v>
      </c>
      <c r="AW209">
        <v>1</v>
      </c>
      <c r="AX209" t="s">
        <v>129</v>
      </c>
      <c r="AY209">
        <v>41079.410000000003</v>
      </c>
      <c r="AZ209">
        <v>3527764</v>
      </c>
      <c r="BA209">
        <v>48540.08</v>
      </c>
      <c r="BB209">
        <v>85.8767</v>
      </c>
      <c r="BC209" t="s">
        <v>130</v>
      </c>
      <c r="BD209" t="s">
        <v>112</v>
      </c>
      <c r="BE209" t="s">
        <v>157</v>
      </c>
      <c r="BF209" t="s">
        <v>133</v>
      </c>
      <c r="BG209" t="s">
        <v>167</v>
      </c>
      <c r="BH209" t="s">
        <v>168</v>
      </c>
      <c r="BI209" t="s">
        <v>112</v>
      </c>
      <c r="BJ209" t="s">
        <v>112</v>
      </c>
      <c r="BK209" t="s">
        <v>169</v>
      </c>
      <c r="BL209" t="s">
        <v>159</v>
      </c>
      <c r="BM209" t="s">
        <v>726</v>
      </c>
      <c r="BN209" t="s">
        <v>161</v>
      </c>
      <c r="BO209">
        <v>1</v>
      </c>
      <c r="BP209" t="s">
        <v>205</v>
      </c>
      <c r="BR209" t="s">
        <v>150</v>
      </c>
      <c r="BS209">
        <v>33</v>
      </c>
      <c r="BT209">
        <v>0</v>
      </c>
      <c r="BU209">
        <v>0</v>
      </c>
      <c r="BW209">
        <v>0</v>
      </c>
      <c r="BY209" t="s">
        <v>106</v>
      </c>
      <c r="BZ209" t="s">
        <v>142</v>
      </c>
      <c r="CA209" t="s">
        <v>112</v>
      </c>
      <c r="CB209" t="s">
        <v>112</v>
      </c>
      <c r="CC209" t="s">
        <v>121</v>
      </c>
      <c r="CD209">
        <v>16867.93</v>
      </c>
      <c r="CE209" t="s">
        <v>144</v>
      </c>
      <c r="CF209">
        <v>4000000</v>
      </c>
      <c r="CG209">
        <v>16824.73</v>
      </c>
      <c r="CH209">
        <v>0</v>
      </c>
      <c r="CI209" t="s">
        <v>112</v>
      </c>
      <c r="CJ209" t="s">
        <v>112</v>
      </c>
      <c r="CK209">
        <v>41079.410000000003</v>
      </c>
      <c r="CL209">
        <v>3527764</v>
      </c>
      <c r="CM209">
        <v>0</v>
      </c>
      <c r="CN209">
        <v>1</v>
      </c>
      <c r="CO209">
        <v>3882434.94</v>
      </c>
      <c r="CP209">
        <v>48540.08</v>
      </c>
      <c r="CQ209" t="s">
        <v>145</v>
      </c>
      <c r="CR209">
        <v>48539.346049999993</v>
      </c>
      <c r="CS209">
        <v>2.8849999999999998</v>
      </c>
      <c r="CT209">
        <v>45</v>
      </c>
      <c r="CU209" t="s">
        <v>171</v>
      </c>
      <c r="CV209" t="s">
        <v>463</v>
      </c>
      <c r="CW209">
        <v>211</v>
      </c>
    </row>
    <row r="210" spans="1:101" x14ac:dyDescent="0.2">
      <c r="A210" t="s">
        <v>106</v>
      </c>
      <c r="B210" s="46">
        <v>45219</v>
      </c>
      <c r="C210" t="s">
        <v>378</v>
      </c>
      <c r="D210" t="s">
        <v>108</v>
      </c>
      <c r="E210" t="s">
        <v>379</v>
      </c>
      <c r="F210" t="s">
        <v>110</v>
      </c>
      <c r="G210" t="s">
        <v>111</v>
      </c>
      <c r="H210" t="s">
        <v>112</v>
      </c>
      <c r="I210" t="s">
        <v>112</v>
      </c>
      <c r="J210" t="s">
        <v>112</v>
      </c>
      <c r="K210" t="s">
        <v>113</v>
      </c>
      <c r="L210" t="s">
        <v>114</v>
      </c>
      <c r="M210" t="s">
        <v>112</v>
      </c>
      <c r="N210" t="s">
        <v>112</v>
      </c>
      <c r="O210">
        <v>1</v>
      </c>
      <c r="P210">
        <v>0</v>
      </c>
      <c r="Q210">
        <v>1</v>
      </c>
      <c r="R210">
        <v>33</v>
      </c>
      <c r="S210" t="s">
        <v>115</v>
      </c>
      <c r="T210" t="s">
        <v>116</v>
      </c>
      <c r="U210" t="s">
        <v>117</v>
      </c>
      <c r="V210" t="s">
        <v>118</v>
      </c>
      <c r="W210" t="s">
        <v>119</v>
      </c>
      <c r="X210" t="s">
        <v>120</v>
      </c>
      <c r="Y210" t="s">
        <v>115</v>
      </c>
      <c r="Z210" t="s">
        <v>116</v>
      </c>
      <c r="AA210" t="s">
        <v>117</v>
      </c>
      <c r="AB210" t="s">
        <v>118</v>
      </c>
      <c r="AC210" t="s">
        <v>119</v>
      </c>
      <c r="AD210" t="s">
        <v>120</v>
      </c>
      <c r="AE210" t="s">
        <v>121</v>
      </c>
      <c r="AF210" t="s">
        <v>122</v>
      </c>
      <c r="AG210">
        <v>4041544.9</v>
      </c>
      <c r="AH210" t="s">
        <v>115</v>
      </c>
      <c r="AI210" t="s">
        <v>116</v>
      </c>
      <c r="AJ210" t="s">
        <v>117</v>
      </c>
      <c r="AK210" t="s">
        <v>118</v>
      </c>
      <c r="AL210" t="s">
        <v>119</v>
      </c>
      <c r="AM210" t="s">
        <v>120</v>
      </c>
      <c r="AN210" t="s">
        <v>121</v>
      </c>
      <c r="AO210" t="s">
        <v>122</v>
      </c>
      <c r="AP210" t="s">
        <v>123</v>
      </c>
      <c r="AQ210" t="s">
        <v>124</v>
      </c>
      <c r="AR210" t="s">
        <v>125</v>
      </c>
      <c r="AS210">
        <v>2</v>
      </c>
      <c r="AT210" t="s">
        <v>126</v>
      </c>
      <c r="AU210" t="s">
        <v>127</v>
      </c>
      <c r="AV210" t="s">
        <v>128</v>
      </c>
      <c r="AW210">
        <v>1</v>
      </c>
      <c r="AX210" t="s">
        <v>129</v>
      </c>
      <c r="AY210">
        <v>50670.61</v>
      </c>
      <c r="AZ210">
        <v>3798087</v>
      </c>
      <c r="BA210">
        <v>58609.38</v>
      </c>
      <c r="BB210">
        <v>74.956400000000002</v>
      </c>
      <c r="BC210" t="s">
        <v>130</v>
      </c>
      <c r="BD210" t="s">
        <v>131</v>
      </c>
      <c r="BE210" t="s">
        <v>132</v>
      </c>
      <c r="BF210" t="s">
        <v>133</v>
      </c>
      <c r="BG210" t="s">
        <v>134</v>
      </c>
      <c r="BH210" t="s">
        <v>112</v>
      </c>
      <c r="BI210" t="s">
        <v>135</v>
      </c>
      <c r="BJ210" t="s">
        <v>112</v>
      </c>
      <c r="BK210" t="s">
        <v>136</v>
      </c>
      <c r="BL210" t="s">
        <v>137</v>
      </c>
      <c r="BM210" t="s">
        <v>138</v>
      </c>
      <c r="BN210" t="s">
        <v>139</v>
      </c>
      <c r="BO210">
        <v>1</v>
      </c>
      <c r="BP210" t="s">
        <v>267</v>
      </c>
      <c r="BR210" t="s">
        <v>141</v>
      </c>
      <c r="BS210">
        <v>33</v>
      </c>
      <c r="BT210">
        <v>0</v>
      </c>
      <c r="BU210">
        <v>0</v>
      </c>
      <c r="BW210">
        <v>0</v>
      </c>
      <c r="BY210" t="s">
        <v>106</v>
      </c>
      <c r="BZ210" t="s">
        <v>142</v>
      </c>
      <c r="CA210" t="s">
        <v>112</v>
      </c>
      <c r="CB210" t="s">
        <v>112</v>
      </c>
      <c r="CC210" t="s">
        <v>143</v>
      </c>
      <c r="CD210">
        <v>14186.96</v>
      </c>
      <c r="CE210" t="s">
        <v>144</v>
      </c>
      <c r="CF210">
        <v>4000000</v>
      </c>
      <c r="CG210">
        <v>13964.12</v>
      </c>
      <c r="CH210">
        <v>0</v>
      </c>
      <c r="CI210" t="s">
        <v>112</v>
      </c>
      <c r="CJ210" t="s">
        <v>112</v>
      </c>
      <c r="CK210">
        <v>50670.61</v>
      </c>
      <c r="CL210">
        <v>3798087</v>
      </c>
      <c r="CM210">
        <v>0</v>
      </c>
      <c r="CN210">
        <v>1</v>
      </c>
      <c r="CO210">
        <v>4041544.9</v>
      </c>
      <c r="CP210">
        <v>58609.38</v>
      </c>
      <c r="CQ210" t="s">
        <v>145</v>
      </c>
      <c r="CR210">
        <v>58608.808052</v>
      </c>
      <c r="CS210">
        <v>4.1970999999999998</v>
      </c>
      <c r="CT210">
        <v>941</v>
      </c>
      <c r="CU210" t="s">
        <v>146</v>
      </c>
      <c r="CV210" t="s">
        <v>147</v>
      </c>
      <c r="CW210">
        <v>94</v>
      </c>
    </row>
    <row r="211" spans="1:101" x14ac:dyDescent="0.2">
      <c r="A211" t="s">
        <v>106</v>
      </c>
      <c r="B211" s="46">
        <v>45033</v>
      </c>
      <c r="C211" t="s">
        <v>387</v>
      </c>
      <c r="D211" t="s">
        <v>108</v>
      </c>
      <c r="E211" t="s">
        <v>388</v>
      </c>
      <c r="F211" t="s">
        <v>110</v>
      </c>
      <c r="G211" t="s">
        <v>111</v>
      </c>
      <c r="H211" t="s">
        <v>112</v>
      </c>
      <c r="I211" t="s">
        <v>112</v>
      </c>
      <c r="J211" t="s">
        <v>112</v>
      </c>
      <c r="K211" t="s">
        <v>175</v>
      </c>
      <c r="L211" t="s">
        <v>176</v>
      </c>
      <c r="M211" t="s">
        <v>112</v>
      </c>
      <c r="N211" t="s">
        <v>112</v>
      </c>
      <c r="O211">
        <v>1</v>
      </c>
      <c r="P211">
        <v>0</v>
      </c>
      <c r="Q211">
        <v>1</v>
      </c>
      <c r="R211">
        <v>33</v>
      </c>
      <c r="S211" t="s">
        <v>166</v>
      </c>
      <c r="T211" t="s">
        <v>152</v>
      </c>
      <c r="U211" t="s">
        <v>153</v>
      </c>
      <c r="V211" t="s">
        <v>177</v>
      </c>
      <c r="W211" t="s">
        <v>119</v>
      </c>
      <c r="X211" t="s">
        <v>112</v>
      </c>
      <c r="Y211" t="s">
        <v>166</v>
      </c>
      <c r="Z211" t="s">
        <v>152</v>
      </c>
      <c r="AA211" t="s">
        <v>153</v>
      </c>
      <c r="AB211" t="s">
        <v>177</v>
      </c>
      <c r="AC211" t="s">
        <v>119</v>
      </c>
      <c r="AD211" t="s">
        <v>112</v>
      </c>
      <c r="AE211" t="s">
        <v>121</v>
      </c>
      <c r="AF211" t="s">
        <v>122</v>
      </c>
      <c r="AG211">
        <v>3190797.15</v>
      </c>
      <c r="AH211" t="s">
        <v>166</v>
      </c>
      <c r="AI211" t="s">
        <v>152</v>
      </c>
      <c r="AJ211" t="s">
        <v>153</v>
      </c>
      <c r="AK211" t="s">
        <v>177</v>
      </c>
      <c r="AL211" t="s">
        <v>119</v>
      </c>
      <c r="AM211" t="s">
        <v>112</v>
      </c>
      <c r="AN211" t="s">
        <v>121</v>
      </c>
      <c r="AO211" t="s">
        <v>122</v>
      </c>
      <c r="AP211" t="s">
        <v>122</v>
      </c>
      <c r="AQ211" t="s">
        <v>124</v>
      </c>
      <c r="AR211" t="s">
        <v>125</v>
      </c>
      <c r="AS211">
        <v>2</v>
      </c>
      <c r="AT211" t="s">
        <v>106</v>
      </c>
      <c r="AU211" t="s">
        <v>155</v>
      </c>
      <c r="AV211" t="s">
        <v>156</v>
      </c>
      <c r="AW211">
        <v>1</v>
      </c>
      <c r="AX211" t="s">
        <v>129</v>
      </c>
      <c r="AY211">
        <v>39185.410000000003</v>
      </c>
      <c r="AZ211">
        <v>2937197</v>
      </c>
      <c r="BA211">
        <v>46272.07</v>
      </c>
      <c r="BB211">
        <v>74.956400000000002</v>
      </c>
      <c r="BC211" t="s">
        <v>130</v>
      </c>
      <c r="BD211" t="s">
        <v>112</v>
      </c>
      <c r="BE211" t="s">
        <v>157</v>
      </c>
      <c r="BF211" t="s">
        <v>133</v>
      </c>
      <c r="BG211" t="s">
        <v>134</v>
      </c>
      <c r="BH211" t="s">
        <v>112</v>
      </c>
      <c r="BI211" t="s">
        <v>178</v>
      </c>
      <c r="BJ211" t="s">
        <v>112</v>
      </c>
      <c r="BK211" t="s">
        <v>125</v>
      </c>
      <c r="BL211" t="s">
        <v>179</v>
      </c>
      <c r="BM211" t="s">
        <v>180</v>
      </c>
      <c r="BN211" t="s">
        <v>181</v>
      </c>
      <c r="BO211">
        <v>1</v>
      </c>
      <c r="BP211" t="s">
        <v>199</v>
      </c>
      <c r="BR211" t="s">
        <v>150</v>
      </c>
      <c r="BS211">
        <v>33</v>
      </c>
      <c r="BT211">
        <v>1</v>
      </c>
      <c r="BU211">
        <v>0</v>
      </c>
      <c r="BW211">
        <v>0</v>
      </c>
      <c r="BY211" t="s">
        <v>106</v>
      </c>
      <c r="BZ211" t="s">
        <v>142</v>
      </c>
      <c r="CA211" t="s">
        <v>112</v>
      </c>
      <c r="CB211" t="s">
        <v>112</v>
      </c>
      <c r="CC211" t="s">
        <v>121</v>
      </c>
      <c r="CD211">
        <v>16163.73</v>
      </c>
      <c r="CE211" t="s">
        <v>144</v>
      </c>
      <c r="CF211">
        <v>4000000</v>
      </c>
      <c r="CG211">
        <v>16037.73</v>
      </c>
      <c r="CH211">
        <v>0</v>
      </c>
      <c r="CI211" t="s">
        <v>112</v>
      </c>
      <c r="CJ211" t="s">
        <v>112</v>
      </c>
      <c r="CK211">
        <v>39185.410000000003</v>
      </c>
      <c r="CL211">
        <v>2937197</v>
      </c>
      <c r="CM211">
        <v>0</v>
      </c>
      <c r="CN211">
        <v>1</v>
      </c>
      <c r="CO211">
        <v>3190797.15</v>
      </c>
      <c r="CP211">
        <v>46272.07</v>
      </c>
      <c r="CQ211" t="s">
        <v>145</v>
      </c>
      <c r="CR211">
        <v>46272.058596000003</v>
      </c>
      <c r="CS211">
        <v>2.8852000000000002</v>
      </c>
      <c r="CT211">
        <v>941</v>
      </c>
      <c r="CU211" t="s">
        <v>183</v>
      </c>
      <c r="CV211" t="s">
        <v>147</v>
      </c>
      <c r="CW211">
        <v>32</v>
      </c>
    </row>
    <row r="212" spans="1:101" x14ac:dyDescent="0.2">
      <c r="A212" t="s">
        <v>106</v>
      </c>
      <c r="B212" s="46">
        <v>44928</v>
      </c>
      <c r="C212" t="s">
        <v>380</v>
      </c>
      <c r="D212" t="s">
        <v>108</v>
      </c>
      <c r="E212" t="s">
        <v>381</v>
      </c>
      <c r="F212" t="s">
        <v>110</v>
      </c>
      <c r="G212" t="s">
        <v>111</v>
      </c>
      <c r="H212" t="s">
        <v>112</v>
      </c>
      <c r="I212" t="s">
        <v>112</v>
      </c>
      <c r="J212" t="s">
        <v>112</v>
      </c>
      <c r="K212" t="s">
        <v>150</v>
      </c>
      <c r="L212" t="s">
        <v>151</v>
      </c>
      <c r="M212" t="s">
        <v>112</v>
      </c>
      <c r="N212" t="s">
        <v>112</v>
      </c>
      <c r="O212">
        <v>1</v>
      </c>
      <c r="P212">
        <v>0</v>
      </c>
      <c r="Q212">
        <v>1</v>
      </c>
      <c r="R212">
        <v>33</v>
      </c>
      <c r="S212" t="s">
        <v>166</v>
      </c>
      <c r="T212" t="s">
        <v>152</v>
      </c>
      <c r="U212" t="s">
        <v>153</v>
      </c>
      <c r="V212" t="s">
        <v>154</v>
      </c>
      <c r="W212" t="s">
        <v>119</v>
      </c>
      <c r="X212" t="s">
        <v>112</v>
      </c>
      <c r="Y212" t="s">
        <v>166</v>
      </c>
      <c r="Z212" t="s">
        <v>152</v>
      </c>
      <c r="AA212" t="s">
        <v>153</v>
      </c>
      <c r="AB212" t="s">
        <v>154</v>
      </c>
      <c r="AC212" t="s">
        <v>119</v>
      </c>
      <c r="AD212" t="s">
        <v>112</v>
      </c>
      <c r="AE212" t="s">
        <v>121</v>
      </c>
      <c r="AF212" t="s">
        <v>122</v>
      </c>
      <c r="AG212">
        <v>3136084.33</v>
      </c>
      <c r="AH212" t="s">
        <v>166</v>
      </c>
      <c r="AI212" t="s">
        <v>152</v>
      </c>
      <c r="AJ212" t="s">
        <v>153</v>
      </c>
      <c r="AK212" t="s">
        <v>154</v>
      </c>
      <c r="AL212" t="s">
        <v>119</v>
      </c>
      <c r="AM212" t="s">
        <v>112</v>
      </c>
      <c r="AN212" t="s">
        <v>121</v>
      </c>
      <c r="AO212" t="s">
        <v>122</v>
      </c>
      <c r="AP212" t="s">
        <v>122</v>
      </c>
      <c r="AQ212" t="s">
        <v>124</v>
      </c>
      <c r="AR212" t="s">
        <v>125</v>
      </c>
      <c r="AS212">
        <v>2</v>
      </c>
      <c r="AT212" t="s">
        <v>126</v>
      </c>
      <c r="AU212" t="s">
        <v>155</v>
      </c>
      <c r="AV212" t="s">
        <v>156</v>
      </c>
      <c r="AW212">
        <v>1</v>
      </c>
      <c r="AX212" t="s">
        <v>129</v>
      </c>
      <c r="AY212">
        <v>37488.78</v>
      </c>
      <c r="AZ212">
        <v>2810024</v>
      </c>
      <c r="BA212">
        <v>45478.64</v>
      </c>
      <c r="BB212">
        <v>74.956400000000002</v>
      </c>
      <c r="BC212" t="s">
        <v>130</v>
      </c>
      <c r="BD212" t="s">
        <v>112</v>
      </c>
      <c r="BE212" t="s">
        <v>157</v>
      </c>
      <c r="BF212" t="s">
        <v>133</v>
      </c>
      <c r="BG212" t="s">
        <v>134</v>
      </c>
      <c r="BH212" t="s">
        <v>112</v>
      </c>
      <c r="BI212" t="s">
        <v>112</v>
      </c>
      <c r="BJ212" t="s">
        <v>112</v>
      </c>
      <c r="BK212" t="s">
        <v>169</v>
      </c>
      <c r="BL212" t="s">
        <v>159</v>
      </c>
      <c r="BM212" t="s">
        <v>212</v>
      </c>
      <c r="BN212" t="s">
        <v>161</v>
      </c>
      <c r="BO212">
        <v>1</v>
      </c>
      <c r="BP212" t="s">
        <v>382</v>
      </c>
      <c r="BR212" t="s">
        <v>150</v>
      </c>
      <c r="BS212">
        <v>33</v>
      </c>
      <c r="BT212">
        <v>0</v>
      </c>
      <c r="BU212">
        <v>0</v>
      </c>
      <c r="BW212">
        <v>0</v>
      </c>
      <c r="BY212" t="s">
        <v>106</v>
      </c>
      <c r="BZ212" t="s">
        <v>142</v>
      </c>
      <c r="CA212" t="s">
        <v>112</v>
      </c>
      <c r="CB212" t="s">
        <v>112</v>
      </c>
      <c r="CC212" t="s">
        <v>121</v>
      </c>
      <c r="CD212">
        <v>16344.14</v>
      </c>
      <c r="CE212" t="s">
        <v>144</v>
      </c>
      <c r="CF212">
        <v>4000000</v>
      </c>
      <c r="CG212">
        <v>16072.34</v>
      </c>
      <c r="CH212">
        <v>0</v>
      </c>
      <c r="CI212" t="s">
        <v>112</v>
      </c>
      <c r="CJ212" t="s">
        <v>112</v>
      </c>
      <c r="CK212">
        <v>37488.78</v>
      </c>
      <c r="CL212">
        <v>2810024</v>
      </c>
      <c r="CM212">
        <v>0</v>
      </c>
      <c r="CN212">
        <v>1</v>
      </c>
      <c r="CO212">
        <v>3136084.33</v>
      </c>
      <c r="CP212">
        <v>45478.64</v>
      </c>
      <c r="CQ212" t="s">
        <v>145</v>
      </c>
      <c r="CR212">
        <v>45478.293264</v>
      </c>
      <c r="CS212">
        <v>2.8296000000000001</v>
      </c>
      <c r="CT212">
        <v>45</v>
      </c>
      <c r="CU212" t="s">
        <v>171</v>
      </c>
      <c r="CV212" t="s">
        <v>172</v>
      </c>
      <c r="CW212">
        <v>42</v>
      </c>
    </row>
    <row r="213" spans="1:101" x14ac:dyDescent="0.2">
      <c r="A213" t="s">
        <v>106</v>
      </c>
      <c r="B213" s="46">
        <v>44989</v>
      </c>
      <c r="C213" t="s">
        <v>376</v>
      </c>
      <c r="D213" t="s">
        <v>108</v>
      </c>
      <c r="E213" t="s">
        <v>377</v>
      </c>
      <c r="F213" t="s">
        <v>110</v>
      </c>
      <c r="G213" t="s">
        <v>111</v>
      </c>
      <c r="H213" t="s">
        <v>112</v>
      </c>
      <c r="I213" t="s">
        <v>112</v>
      </c>
      <c r="J213" t="s">
        <v>112</v>
      </c>
      <c r="K213" t="s">
        <v>150</v>
      </c>
      <c r="L213" t="s">
        <v>151</v>
      </c>
      <c r="M213" t="s">
        <v>112</v>
      </c>
      <c r="N213" t="s">
        <v>112</v>
      </c>
      <c r="O213">
        <v>1</v>
      </c>
      <c r="P213">
        <v>0</v>
      </c>
      <c r="Q213">
        <v>1</v>
      </c>
      <c r="R213">
        <v>38</v>
      </c>
      <c r="S213" t="s">
        <v>166</v>
      </c>
      <c r="T213" t="s">
        <v>152</v>
      </c>
      <c r="U213" t="s">
        <v>153</v>
      </c>
      <c r="V213" t="s">
        <v>154</v>
      </c>
      <c r="W213" t="s">
        <v>119</v>
      </c>
      <c r="X213" t="s">
        <v>112</v>
      </c>
      <c r="Y213" t="s">
        <v>166</v>
      </c>
      <c r="Z213" t="s">
        <v>152</v>
      </c>
      <c r="AA213" t="s">
        <v>153</v>
      </c>
      <c r="AB213" t="s">
        <v>154</v>
      </c>
      <c r="AC213" t="s">
        <v>119</v>
      </c>
      <c r="AD213" t="s">
        <v>112</v>
      </c>
      <c r="AE213" t="s">
        <v>121</v>
      </c>
      <c r="AF213" t="s">
        <v>122</v>
      </c>
      <c r="AG213">
        <v>3582113.89</v>
      </c>
      <c r="AH213" t="s">
        <v>166</v>
      </c>
      <c r="AI213" t="s">
        <v>152</v>
      </c>
      <c r="AJ213" t="s">
        <v>153</v>
      </c>
      <c r="AK213" t="s">
        <v>154</v>
      </c>
      <c r="AL213" t="s">
        <v>119</v>
      </c>
      <c r="AM213" t="s">
        <v>112</v>
      </c>
      <c r="AN213" t="s">
        <v>121</v>
      </c>
      <c r="AO213" t="s">
        <v>122</v>
      </c>
      <c r="AP213" t="s">
        <v>122</v>
      </c>
      <c r="AQ213" t="s">
        <v>124</v>
      </c>
      <c r="AR213" t="s">
        <v>125</v>
      </c>
      <c r="AS213">
        <v>2</v>
      </c>
      <c r="AT213" t="s">
        <v>126</v>
      </c>
      <c r="AU213" t="s">
        <v>155</v>
      </c>
      <c r="AV213" t="s">
        <v>156</v>
      </c>
      <c r="AW213">
        <v>1</v>
      </c>
      <c r="AX213" t="s">
        <v>129</v>
      </c>
      <c r="AY213">
        <v>43439.3</v>
      </c>
      <c r="AZ213">
        <v>3256054</v>
      </c>
      <c r="BA213">
        <v>51946.84</v>
      </c>
      <c r="BB213">
        <v>74.956400000000002</v>
      </c>
      <c r="BC213" t="s">
        <v>130</v>
      </c>
      <c r="BD213" t="s">
        <v>112</v>
      </c>
      <c r="BE213" t="s">
        <v>157</v>
      </c>
      <c r="BF213" t="s">
        <v>133</v>
      </c>
      <c r="BG213" t="s">
        <v>134</v>
      </c>
      <c r="BH213" t="s">
        <v>112</v>
      </c>
      <c r="BI213" t="s">
        <v>112</v>
      </c>
      <c r="BJ213" t="s">
        <v>112</v>
      </c>
      <c r="BK213" t="s">
        <v>169</v>
      </c>
      <c r="BL213" t="s">
        <v>159</v>
      </c>
      <c r="BM213" t="s">
        <v>212</v>
      </c>
      <c r="BN213" t="s">
        <v>161</v>
      </c>
      <c r="BO213">
        <v>1</v>
      </c>
      <c r="BP213" t="s">
        <v>281</v>
      </c>
      <c r="BR213" t="s">
        <v>150</v>
      </c>
      <c r="BS213">
        <v>38</v>
      </c>
      <c r="BT213">
        <v>0</v>
      </c>
      <c r="BU213">
        <v>0</v>
      </c>
      <c r="BW213">
        <v>0</v>
      </c>
      <c r="BY213" t="s">
        <v>106</v>
      </c>
      <c r="BZ213" t="s">
        <v>142</v>
      </c>
      <c r="CA213" t="s">
        <v>112</v>
      </c>
      <c r="CB213" t="s">
        <v>112</v>
      </c>
      <c r="CC213" t="s">
        <v>121</v>
      </c>
      <c r="CD213">
        <v>18752</v>
      </c>
      <c r="CE213" t="s">
        <v>144</v>
      </c>
      <c r="CF213">
        <v>4000000</v>
      </c>
      <c r="CG213">
        <v>18546.2</v>
      </c>
      <c r="CH213">
        <v>0</v>
      </c>
      <c r="CI213" t="s">
        <v>112</v>
      </c>
      <c r="CJ213" t="s">
        <v>112</v>
      </c>
      <c r="CK213">
        <v>43439.3</v>
      </c>
      <c r="CL213">
        <v>3256054</v>
      </c>
      <c r="CM213">
        <v>0</v>
      </c>
      <c r="CN213">
        <v>1</v>
      </c>
      <c r="CO213">
        <v>3582113.89</v>
      </c>
      <c r="CP213">
        <v>51946.84</v>
      </c>
      <c r="CQ213" t="s">
        <v>145</v>
      </c>
      <c r="CR213">
        <v>51946.051579999999</v>
      </c>
      <c r="CS213">
        <v>2.8008999999999999</v>
      </c>
      <c r="CT213">
        <v>45</v>
      </c>
      <c r="CU213" t="s">
        <v>171</v>
      </c>
      <c r="CV213" t="s">
        <v>172</v>
      </c>
      <c r="CW213">
        <v>257</v>
      </c>
    </row>
    <row r="214" spans="1:101" x14ac:dyDescent="0.2">
      <c r="A214" t="s">
        <v>106</v>
      </c>
      <c r="B214" s="46">
        <v>44647</v>
      </c>
      <c r="C214" t="s">
        <v>254</v>
      </c>
      <c r="D214" t="s">
        <v>108</v>
      </c>
      <c r="E214" t="s">
        <v>255</v>
      </c>
      <c r="F214" t="s">
        <v>110</v>
      </c>
      <c r="G214" t="s">
        <v>111</v>
      </c>
      <c r="H214" t="s">
        <v>112</v>
      </c>
      <c r="I214" t="s">
        <v>112</v>
      </c>
      <c r="J214" t="s">
        <v>112</v>
      </c>
      <c r="K214" t="s">
        <v>150</v>
      </c>
      <c r="L214" t="s">
        <v>151</v>
      </c>
      <c r="M214" t="s">
        <v>112</v>
      </c>
      <c r="N214" t="s">
        <v>112</v>
      </c>
      <c r="O214">
        <v>1</v>
      </c>
      <c r="Q214">
        <v>1</v>
      </c>
      <c r="R214">
        <v>33</v>
      </c>
      <c r="S214" t="s">
        <v>112</v>
      </c>
      <c r="T214" t="s">
        <v>152</v>
      </c>
      <c r="U214" t="s">
        <v>153</v>
      </c>
      <c r="V214" t="s">
        <v>154</v>
      </c>
      <c r="W214" t="s">
        <v>119</v>
      </c>
      <c r="X214" t="s">
        <v>112</v>
      </c>
      <c r="Y214" t="s">
        <v>112</v>
      </c>
      <c r="Z214" t="s">
        <v>152</v>
      </c>
      <c r="AA214" t="s">
        <v>153</v>
      </c>
      <c r="AB214" t="s">
        <v>154</v>
      </c>
      <c r="AC214" t="s">
        <v>119</v>
      </c>
      <c r="AD214" t="s">
        <v>112</v>
      </c>
      <c r="AE214" t="s">
        <v>121</v>
      </c>
      <c r="AF214" t="s">
        <v>122</v>
      </c>
      <c r="AG214">
        <v>4539299.49</v>
      </c>
      <c r="AH214" t="s">
        <v>112</v>
      </c>
      <c r="AI214" t="s">
        <v>152</v>
      </c>
      <c r="AJ214" t="s">
        <v>153</v>
      </c>
      <c r="AK214" t="s">
        <v>154</v>
      </c>
      <c r="AL214" t="s">
        <v>119</v>
      </c>
      <c r="AM214" t="s">
        <v>112</v>
      </c>
      <c r="AN214" t="s">
        <v>121</v>
      </c>
      <c r="AO214" t="s">
        <v>122</v>
      </c>
      <c r="AP214" t="s">
        <v>122</v>
      </c>
      <c r="AQ214" t="s">
        <v>124</v>
      </c>
      <c r="AR214" t="s">
        <v>125</v>
      </c>
      <c r="AS214">
        <v>2</v>
      </c>
      <c r="AT214" t="s">
        <v>126</v>
      </c>
      <c r="AU214" t="s">
        <v>155</v>
      </c>
      <c r="AV214" t="s">
        <v>156</v>
      </c>
      <c r="AX214" t="s">
        <v>129</v>
      </c>
      <c r="AY214">
        <v>40826.519999999997</v>
      </c>
      <c r="BB214">
        <v>101.2863</v>
      </c>
      <c r="BC214" t="s">
        <v>112</v>
      </c>
      <c r="BD214" t="s">
        <v>112</v>
      </c>
      <c r="BE214" t="s">
        <v>157</v>
      </c>
      <c r="BF214" t="s">
        <v>133</v>
      </c>
      <c r="BG214" t="s">
        <v>167</v>
      </c>
      <c r="BH214" t="s">
        <v>112</v>
      </c>
      <c r="BI214" t="s">
        <v>112</v>
      </c>
      <c r="BJ214" t="s">
        <v>112</v>
      </c>
      <c r="BK214" t="s">
        <v>158</v>
      </c>
      <c r="BL214" t="s">
        <v>159</v>
      </c>
      <c r="BM214" t="s">
        <v>160</v>
      </c>
      <c r="BN214" t="s">
        <v>161</v>
      </c>
      <c r="BP214" t="s">
        <v>232</v>
      </c>
      <c r="BR214" t="s">
        <v>150</v>
      </c>
      <c r="BS214">
        <v>33</v>
      </c>
      <c r="BT214">
        <v>0</v>
      </c>
      <c r="BU214">
        <v>0</v>
      </c>
      <c r="BW214">
        <v>0</v>
      </c>
      <c r="BY214" t="s">
        <v>106</v>
      </c>
      <c r="BZ214" t="s">
        <v>142</v>
      </c>
      <c r="CA214" t="s">
        <v>112</v>
      </c>
      <c r="CB214" t="s">
        <v>112</v>
      </c>
      <c r="CC214" t="s">
        <v>121</v>
      </c>
      <c r="CD214">
        <v>16373.9</v>
      </c>
      <c r="CE214" t="s">
        <v>144</v>
      </c>
      <c r="CF214">
        <v>4000000</v>
      </c>
      <c r="CG214">
        <v>16244.3</v>
      </c>
      <c r="CH214">
        <v>0</v>
      </c>
      <c r="CI214" t="s">
        <v>112</v>
      </c>
      <c r="CJ214" t="s">
        <v>112</v>
      </c>
      <c r="CK214">
        <v>40826.519999999997</v>
      </c>
      <c r="CM214">
        <v>0</v>
      </c>
      <c r="CN214">
        <v>1</v>
      </c>
      <c r="CO214">
        <v>4539299.49</v>
      </c>
      <c r="CP214">
        <v>49373</v>
      </c>
      <c r="CQ214" t="s">
        <v>145</v>
      </c>
      <c r="CR214">
        <v>49382.671999999999</v>
      </c>
      <c r="CS214">
        <v>3.04</v>
      </c>
      <c r="CT214">
        <v>45</v>
      </c>
      <c r="CV214" t="s">
        <v>206</v>
      </c>
      <c r="CW214">
        <v>585</v>
      </c>
    </row>
    <row r="215" spans="1:101" x14ac:dyDescent="0.2">
      <c r="A215" t="s">
        <v>106</v>
      </c>
      <c r="B215" s="46">
        <v>44858</v>
      </c>
      <c r="C215" t="s">
        <v>494</v>
      </c>
      <c r="D215" t="s">
        <v>108</v>
      </c>
      <c r="E215" t="s">
        <v>495</v>
      </c>
      <c r="F215" t="s">
        <v>110</v>
      </c>
      <c r="G215" t="s">
        <v>111</v>
      </c>
      <c r="H215" t="s">
        <v>112</v>
      </c>
      <c r="I215" t="s">
        <v>112</v>
      </c>
      <c r="J215" t="s">
        <v>112</v>
      </c>
      <c r="K215" t="s">
        <v>150</v>
      </c>
      <c r="L215" t="s">
        <v>151</v>
      </c>
      <c r="M215" t="s">
        <v>112</v>
      </c>
      <c r="N215" t="s">
        <v>112</v>
      </c>
      <c r="O215">
        <v>1</v>
      </c>
      <c r="Q215">
        <v>1</v>
      </c>
      <c r="R215">
        <v>33</v>
      </c>
      <c r="S215" t="s">
        <v>112</v>
      </c>
      <c r="T215" t="s">
        <v>152</v>
      </c>
      <c r="U215" t="s">
        <v>153</v>
      </c>
      <c r="V215" t="s">
        <v>154</v>
      </c>
      <c r="W215" t="s">
        <v>119</v>
      </c>
      <c r="X215" t="s">
        <v>112</v>
      </c>
      <c r="Y215" t="s">
        <v>112</v>
      </c>
      <c r="Z215" t="s">
        <v>152</v>
      </c>
      <c r="AA215" t="s">
        <v>153</v>
      </c>
      <c r="AB215" t="s">
        <v>154</v>
      </c>
      <c r="AC215" t="s">
        <v>119</v>
      </c>
      <c r="AD215" t="s">
        <v>112</v>
      </c>
      <c r="AE215" t="s">
        <v>121</v>
      </c>
      <c r="AF215" t="s">
        <v>122</v>
      </c>
      <c r="AG215">
        <v>4361694.9800000004</v>
      </c>
      <c r="AH215" t="s">
        <v>112</v>
      </c>
      <c r="AI215" t="s">
        <v>152</v>
      </c>
      <c r="AJ215" t="s">
        <v>153</v>
      </c>
      <c r="AK215" t="s">
        <v>154</v>
      </c>
      <c r="AL215" t="s">
        <v>119</v>
      </c>
      <c r="AM215" t="s">
        <v>112</v>
      </c>
      <c r="AN215" t="s">
        <v>121</v>
      </c>
      <c r="AO215" t="s">
        <v>122</v>
      </c>
      <c r="AP215" t="s">
        <v>122</v>
      </c>
      <c r="AQ215" t="s">
        <v>124</v>
      </c>
      <c r="AR215" t="s">
        <v>125</v>
      </c>
      <c r="AS215">
        <v>2</v>
      </c>
      <c r="AT215" t="s">
        <v>126</v>
      </c>
      <c r="AU215" t="s">
        <v>155</v>
      </c>
      <c r="AV215" t="s">
        <v>156</v>
      </c>
      <c r="AX215" t="s">
        <v>129</v>
      </c>
      <c r="AY215">
        <v>38543.03</v>
      </c>
      <c r="BB215">
        <v>101.2863</v>
      </c>
      <c r="BC215" t="s">
        <v>112</v>
      </c>
      <c r="BD215" t="s">
        <v>112</v>
      </c>
      <c r="BE215" t="s">
        <v>157</v>
      </c>
      <c r="BF215" t="s">
        <v>133</v>
      </c>
      <c r="BG215" t="s">
        <v>167</v>
      </c>
      <c r="BH215" t="s">
        <v>112</v>
      </c>
      <c r="BI215" t="s">
        <v>112</v>
      </c>
      <c r="BJ215" t="s">
        <v>112</v>
      </c>
      <c r="BK215" t="s">
        <v>158</v>
      </c>
      <c r="BL215" t="s">
        <v>159</v>
      </c>
      <c r="BM215" t="s">
        <v>160</v>
      </c>
      <c r="BN215" t="s">
        <v>161</v>
      </c>
      <c r="BP215" t="s">
        <v>232</v>
      </c>
      <c r="BR215" t="s">
        <v>150</v>
      </c>
      <c r="BS215">
        <v>33</v>
      </c>
      <c r="BT215">
        <v>0</v>
      </c>
      <c r="BU215">
        <v>0</v>
      </c>
      <c r="BW215">
        <v>0</v>
      </c>
      <c r="BY215" t="s">
        <v>106</v>
      </c>
      <c r="BZ215" t="s">
        <v>142</v>
      </c>
      <c r="CA215" t="s">
        <v>112</v>
      </c>
      <c r="CB215" t="s">
        <v>112</v>
      </c>
      <c r="CC215" t="s">
        <v>121</v>
      </c>
      <c r="CD215">
        <v>16542.12</v>
      </c>
      <c r="CE215" t="s">
        <v>144</v>
      </c>
      <c r="CF215">
        <v>4000000</v>
      </c>
      <c r="CG215">
        <v>16424.52</v>
      </c>
      <c r="CH215">
        <v>0</v>
      </c>
      <c r="CI215" t="s">
        <v>112</v>
      </c>
      <c r="CJ215" t="s">
        <v>112</v>
      </c>
      <c r="CK215">
        <v>38543.03</v>
      </c>
      <c r="CM215">
        <v>0</v>
      </c>
      <c r="CN215">
        <v>1</v>
      </c>
      <c r="CO215">
        <v>4361694.9800000004</v>
      </c>
      <c r="CP215">
        <v>47441.24</v>
      </c>
      <c r="CQ215" t="s">
        <v>145</v>
      </c>
      <c r="CR215">
        <v>47466.862800000003</v>
      </c>
      <c r="CS215">
        <v>2.89</v>
      </c>
      <c r="CT215">
        <v>45</v>
      </c>
      <c r="CV215" t="s">
        <v>206</v>
      </c>
      <c r="CW215">
        <v>547</v>
      </c>
    </row>
    <row r="216" spans="1:101" x14ac:dyDescent="0.2">
      <c r="A216" t="s">
        <v>106</v>
      </c>
      <c r="B216" s="46">
        <v>45050</v>
      </c>
      <c r="C216" t="s">
        <v>385</v>
      </c>
      <c r="D216" t="s">
        <v>108</v>
      </c>
      <c r="E216" t="s">
        <v>386</v>
      </c>
      <c r="F216" t="s">
        <v>110</v>
      </c>
      <c r="G216" t="s">
        <v>111</v>
      </c>
      <c r="H216" t="s">
        <v>112</v>
      </c>
      <c r="I216" t="s">
        <v>112</v>
      </c>
      <c r="J216" t="s">
        <v>112</v>
      </c>
      <c r="K216" t="s">
        <v>150</v>
      </c>
      <c r="L216" t="s">
        <v>151</v>
      </c>
      <c r="M216" t="s">
        <v>112</v>
      </c>
      <c r="N216" t="s">
        <v>112</v>
      </c>
      <c r="O216">
        <v>1</v>
      </c>
      <c r="Q216">
        <v>1</v>
      </c>
      <c r="R216">
        <v>33</v>
      </c>
      <c r="S216" t="s">
        <v>112</v>
      </c>
      <c r="T216" t="s">
        <v>152</v>
      </c>
      <c r="U216" t="s">
        <v>153</v>
      </c>
      <c r="V216" t="s">
        <v>154</v>
      </c>
      <c r="W216" t="s">
        <v>119</v>
      </c>
      <c r="X216" t="s">
        <v>112</v>
      </c>
      <c r="Y216" t="s">
        <v>112</v>
      </c>
      <c r="Z216" t="s">
        <v>152</v>
      </c>
      <c r="AA216" t="s">
        <v>153</v>
      </c>
      <c r="AB216" t="s">
        <v>154</v>
      </c>
      <c r="AC216" t="s">
        <v>119</v>
      </c>
      <c r="AD216" t="s">
        <v>112</v>
      </c>
      <c r="AE216" t="s">
        <v>121</v>
      </c>
      <c r="AF216" t="s">
        <v>122</v>
      </c>
      <c r="AG216">
        <v>4595624.8</v>
      </c>
      <c r="AH216" t="s">
        <v>112</v>
      </c>
      <c r="AI216" t="s">
        <v>152</v>
      </c>
      <c r="AJ216" t="s">
        <v>153</v>
      </c>
      <c r="AK216" t="s">
        <v>154</v>
      </c>
      <c r="AL216" t="s">
        <v>119</v>
      </c>
      <c r="AM216" t="s">
        <v>112</v>
      </c>
      <c r="AN216" t="s">
        <v>121</v>
      </c>
      <c r="AO216" t="s">
        <v>122</v>
      </c>
      <c r="AP216" t="s">
        <v>122</v>
      </c>
      <c r="AQ216" t="s">
        <v>124</v>
      </c>
      <c r="AR216" t="s">
        <v>125</v>
      </c>
      <c r="AS216">
        <v>2</v>
      </c>
      <c r="AT216" t="s">
        <v>126</v>
      </c>
      <c r="AU216" t="s">
        <v>155</v>
      </c>
      <c r="AV216" t="s">
        <v>156</v>
      </c>
      <c r="AX216" t="s">
        <v>129</v>
      </c>
      <c r="AY216">
        <v>41382.620000000003</v>
      </c>
      <c r="BB216">
        <v>101.2863</v>
      </c>
      <c r="BC216" t="s">
        <v>112</v>
      </c>
      <c r="BD216" t="s">
        <v>112</v>
      </c>
      <c r="BE216" t="s">
        <v>157</v>
      </c>
      <c r="BF216" t="s">
        <v>133</v>
      </c>
      <c r="BG216" t="s">
        <v>167</v>
      </c>
      <c r="BH216" t="s">
        <v>112</v>
      </c>
      <c r="BI216" t="s">
        <v>112</v>
      </c>
      <c r="BJ216" t="s">
        <v>112</v>
      </c>
      <c r="BK216" t="s">
        <v>158</v>
      </c>
      <c r="BL216" t="s">
        <v>159</v>
      </c>
      <c r="BM216" t="s">
        <v>160</v>
      </c>
      <c r="BN216" t="s">
        <v>161</v>
      </c>
      <c r="BP216" t="s">
        <v>232</v>
      </c>
      <c r="BR216" t="s">
        <v>150</v>
      </c>
      <c r="BS216">
        <v>33</v>
      </c>
      <c r="BT216">
        <v>0</v>
      </c>
      <c r="BU216">
        <v>0</v>
      </c>
      <c r="BW216">
        <v>0</v>
      </c>
      <c r="BY216" t="s">
        <v>106</v>
      </c>
      <c r="BZ216" t="s">
        <v>142</v>
      </c>
      <c r="CA216" t="s">
        <v>112</v>
      </c>
      <c r="CB216" t="s">
        <v>112</v>
      </c>
      <c r="CC216" t="s">
        <v>121</v>
      </c>
      <c r="CD216">
        <v>15496.27</v>
      </c>
      <c r="CE216" t="s">
        <v>144</v>
      </c>
      <c r="CF216">
        <v>4000000</v>
      </c>
      <c r="CG216">
        <v>15212.47</v>
      </c>
      <c r="CH216">
        <v>0</v>
      </c>
      <c r="CI216" t="s">
        <v>112</v>
      </c>
      <c r="CJ216" t="s">
        <v>112</v>
      </c>
      <c r="CK216">
        <v>41382.620000000003</v>
      </c>
      <c r="CM216">
        <v>0</v>
      </c>
      <c r="CN216">
        <v>1</v>
      </c>
      <c r="CO216">
        <v>4595624.8</v>
      </c>
      <c r="CP216">
        <v>49985.64</v>
      </c>
      <c r="CQ216" t="s">
        <v>145</v>
      </c>
      <c r="CR216">
        <v>50049.026299999998</v>
      </c>
      <c r="CS216">
        <v>3.29</v>
      </c>
      <c r="CT216">
        <v>45</v>
      </c>
      <c r="CV216" t="s">
        <v>206</v>
      </c>
      <c r="CW216">
        <v>182</v>
      </c>
    </row>
    <row r="217" spans="1:101" x14ac:dyDescent="0.2">
      <c r="A217" t="s">
        <v>106</v>
      </c>
      <c r="B217" s="46">
        <v>45210</v>
      </c>
      <c r="C217" t="s">
        <v>409</v>
      </c>
      <c r="D217" t="s">
        <v>108</v>
      </c>
      <c r="E217" t="s">
        <v>410</v>
      </c>
      <c r="F217" t="s">
        <v>110</v>
      </c>
      <c r="G217" t="s">
        <v>111</v>
      </c>
      <c r="H217" t="s">
        <v>112</v>
      </c>
      <c r="I217" t="s">
        <v>112</v>
      </c>
      <c r="J217" t="s">
        <v>112</v>
      </c>
      <c r="K217" t="s">
        <v>150</v>
      </c>
      <c r="L217" t="s">
        <v>151</v>
      </c>
      <c r="M217" t="s">
        <v>112</v>
      </c>
      <c r="N217" t="s">
        <v>112</v>
      </c>
      <c r="O217">
        <v>1</v>
      </c>
      <c r="Q217">
        <v>1</v>
      </c>
      <c r="R217">
        <v>33</v>
      </c>
      <c r="S217" t="s">
        <v>112</v>
      </c>
      <c r="T217" t="s">
        <v>152</v>
      </c>
      <c r="U217" t="s">
        <v>153</v>
      </c>
      <c r="V217" t="s">
        <v>154</v>
      </c>
      <c r="W217" t="s">
        <v>119</v>
      </c>
      <c r="X217" t="s">
        <v>112</v>
      </c>
      <c r="Y217" t="s">
        <v>112</v>
      </c>
      <c r="Z217" t="s">
        <v>152</v>
      </c>
      <c r="AA217" t="s">
        <v>153</v>
      </c>
      <c r="AB217" t="s">
        <v>154</v>
      </c>
      <c r="AC217" t="s">
        <v>119</v>
      </c>
      <c r="AD217" t="s">
        <v>112</v>
      </c>
      <c r="AE217" t="s">
        <v>121</v>
      </c>
      <c r="AF217" t="s">
        <v>122</v>
      </c>
      <c r="AG217">
        <v>4004349.82</v>
      </c>
      <c r="AH217" t="s">
        <v>112</v>
      </c>
      <c r="AI217" t="s">
        <v>152</v>
      </c>
      <c r="AJ217" t="s">
        <v>153</v>
      </c>
      <c r="AK217" t="s">
        <v>154</v>
      </c>
      <c r="AL217" t="s">
        <v>119</v>
      </c>
      <c r="AM217" t="s">
        <v>112</v>
      </c>
      <c r="AN217" t="s">
        <v>121</v>
      </c>
      <c r="AO217" t="s">
        <v>122</v>
      </c>
      <c r="AP217" t="s">
        <v>122</v>
      </c>
      <c r="AQ217" t="s">
        <v>124</v>
      </c>
      <c r="AR217" t="s">
        <v>125</v>
      </c>
      <c r="AS217">
        <v>2</v>
      </c>
      <c r="AT217" t="s">
        <v>126</v>
      </c>
      <c r="AU217" t="s">
        <v>155</v>
      </c>
      <c r="AV217" t="s">
        <v>156</v>
      </c>
      <c r="AX217" t="s">
        <v>129</v>
      </c>
      <c r="AY217">
        <v>35544.959999999999</v>
      </c>
      <c r="BB217">
        <v>101.2863</v>
      </c>
      <c r="BC217" t="s">
        <v>112</v>
      </c>
      <c r="BD217" t="s">
        <v>112</v>
      </c>
      <c r="BE217" t="s">
        <v>157</v>
      </c>
      <c r="BF217" t="s">
        <v>133</v>
      </c>
      <c r="BG217" t="s">
        <v>167</v>
      </c>
      <c r="BH217" t="s">
        <v>112</v>
      </c>
      <c r="BI217" t="s">
        <v>112</v>
      </c>
      <c r="BJ217" t="s">
        <v>112</v>
      </c>
      <c r="BK217" t="s">
        <v>158</v>
      </c>
      <c r="BL217" t="s">
        <v>159</v>
      </c>
      <c r="BM217" t="s">
        <v>160</v>
      </c>
      <c r="BN217" t="s">
        <v>161</v>
      </c>
      <c r="BP217" t="s">
        <v>281</v>
      </c>
      <c r="BR217" t="s">
        <v>150</v>
      </c>
      <c r="BS217">
        <v>33</v>
      </c>
      <c r="BT217">
        <v>0</v>
      </c>
      <c r="BU217">
        <v>0</v>
      </c>
      <c r="BW217">
        <v>0</v>
      </c>
      <c r="BY217" t="s">
        <v>106</v>
      </c>
      <c r="BZ217" t="s">
        <v>142</v>
      </c>
      <c r="CA217" t="s">
        <v>112</v>
      </c>
      <c r="CB217" t="s">
        <v>112</v>
      </c>
      <c r="CC217" t="s">
        <v>121</v>
      </c>
      <c r="CD217">
        <v>17353.91</v>
      </c>
      <c r="CE217" t="s">
        <v>144</v>
      </c>
      <c r="CF217">
        <v>4000000</v>
      </c>
      <c r="CG217">
        <v>17353.91</v>
      </c>
      <c r="CH217">
        <v>0</v>
      </c>
      <c r="CI217" t="s">
        <v>112</v>
      </c>
      <c r="CJ217" t="s">
        <v>112</v>
      </c>
      <c r="CK217">
        <v>35544.959999999999</v>
      </c>
      <c r="CM217">
        <v>0</v>
      </c>
      <c r="CN217">
        <v>1</v>
      </c>
      <c r="CO217">
        <v>4004349.82</v>
      </c>
      <c r="CP217">
        <v>43554.47</v>
      </c>
      <c r="CQ217" t="s">
        <v>145</v>
      </c>
      <c r="CR217">
        <v>43558.314099999996</v>
      </c>
      <c r="CS217">
        <v>2.5099999999999998</v>
      </c>
      <c r="CT217">
        <v>45</v>
      </c>
      <c r="CV217" t="s">
        <v>233</v>
      </c>
      <c r="CW217">
        <v>180</v>
      </c>
    </row>
    <row r="218" spans="1:101" x14ac:dyDescent="0.2">
      <c r="A218" t="s">
        <v>106</v>
      </c>
      <c r="B218" s="46">
        <v>44617</v>
      </c>
      <c r="C218" t="s">
        <v>321</v>
      </c>
      <c r="D218" t="s">
        <v>108</v>
      </c>
      <c r="E218" t="s">
        <v>322</v>
      </c>
      <c r="F218" t="s">
        <v>110</v>
      </c>
      <c r="G218" t="s">
        <v>111</v>
      </c>
      <c r="H218" t="s">
        <v>112</v>
      </c>
      <c r="I218" t="s">
        <v>112</v>
      </c>
      <c r="J218" t="s">
        <v>112</v>
      </c>
      <c r="K218" t="s">
        <v>150</v>
      </c>
      <c r="L218" t="s">
        <v>151</v>
      </c>
      <c r="M218" t="s">
        <v>112</v>
      </c>
      <c r="N218" t="s">
        <v>112</v>
      </c>
      <c r="O218">
        <v>1</v>
      </c>
      <c r="Q218">
        <v>1</v>
      </c>
      <c r="R218">
        <v>33</v>
      </c>
      <c r="S218" t="s">
        <v>112</v>
      </c>
      <c r="T218" t="s">
        <v>152</v>
      </c>
      <c r="U218" t="s">
        <v>153</v>
      </c>
      <c r="V218" t="s">
        <v>154</v>
      </c>
      <c r="W218" t="s">
        <v>119</v>
      </c>
      <c r="X218" t="s">
        <v>112</v>
      </c>
      <c r="Y218" t="s">
        <v>112</v>
      </c>
      <c r="Z218" t="s">
        <v>152</v>
      </c>
      <c r="AA218" t="s">
        <v>153</v>
      </c>
      <c r="AB218" t="s">
        <v>154</v>
      </c>
      <c r="AC218" t="s">
        <v>119</v>
      </c>
      <c r="AD218" t="s">
        <v>112</v>
      </c>
      <c r="AE218" t="s">
        <v>121</v>
      </c>
      <c r="AF218" t="s">
        <v>122</v>
      </c>
      <c r="AG218">
        <v>4852055.38</v>
      </c>
      <c r="AH218" t="s">
        <v>112</v>
      </c>
      <c r="AI218" t="s">
        <v>152</v>
      </c>
      <c r="AJ218" t="s">
        <v>153</v>
      </c>
      <c r="AK218" t="s">
        <v>154</v>
      </c>
      <c r="AL218" t="s">
        <v>119</v>
      </c>
      <c r="AM218" t="s">
        <v>112</v>
      </c>
      <c r="AN218" t="s">
        <v>121</v>
      </c>
      <c r="AO218" t="s">
        <v>122</v>
      </c>
      <c r="AP218" t="s">
        <v>122</v>
      </c>
      <c r="AQ218" t="s">
        <v>124</v>
      </c>
      <c r="AR218" t="s">
        <v>125</v>
      </c>
      <c r="AS218">
        <v>2</v>
      </c>
      <c r="AT218" t="s">
        <v>126</v>
      </c>
      <c r="AU218" t="s">
        <v>155</v>
      </c>
      <c r="AV218" t="s">
        <v>156</v>
      </c>
      <c r="AX218" t="s">
        <v>129</v>
      </c>
      <c r="AY218">
        <v>43384.36</v>
      </c>
      <c r="BB218">
        <v>101.2863</v>
      </c>
      <c r="BC218" t="s">
        <v>112</v>
      </c>
      <c r="BD218" t="s">
        <v>112</v>
      </c>
      <c r="BE218" t="s">
        <v>157</v>
      </c>
      <c r="BF218" t="s">
        <v>133</v>
      </c>
      <c r="BG218" t="s">
        <v>167</v>
      </c>
      <c r="BH218" t="s">
        <v>112</v>
      </c>
      <c r="BI218" t="s">
        <v>112</v>
      </c>
      <c r="BJ218" t="s">
        <v>112</v>
      </c>
      <c r="BK218" t="s">
        <v>158</v>
      </c>
      <c r="BL218" t="s">
        <v>159</v>
      </c>
      <c r="BM218" t="s">
        <v>160</v>
      </c>
      <c r="BN218" t="s">
        <v>161</v>
      </c>
      <c r="BP218" t="s">
        <v>232</v>
      </c>
      <c r="BR218" t="s">
        <v>150</v>
      </c>
      <c r="BS218">
        <v>33</v>
      </c>
      <c r="BT218">
        <v>0</v>
      </c>
      <c r="BU218">
        <v>0</v>
      </c>
      <c r="BW218">
        <v>0</v>
      </c>
      <c r="BY218" t="s">
        <v>106</v>
      </c>
      <c r="BZ218" t="s">
        <v>142</v>
      </c>
      <c r="CA218" t="s">
        <v>112</v>
      </c>
      <c r="CB218" t="s">
        <v>112</v>
      </c>
      <c r="CC218" t="s">
        <v>121</v>
      </c>
      <c r="CD218">
        <v>17173.73</v>
      </c>
      <c r="CE218" t="s">
        <v>144</v>
      </c>
      <c r="CF218">
        <v>4000000</v>
      </c>
      <c r="CG218">
        <v>17173.73</v>
      </c>
      <c r="CH218">
        <v>0</v>
      </c>
      <c r="CI218" t="s">
        <v>112</v>
      </c>
      <c r="CJ218" t="s">
        <v>112</v>
      </c>
      <c r="CK218">
        <v>43384.36</v>
      </c>
      <c r="CM218">
        <v>0</v>
      </c>
      <c r="CN218">
        <v>1</v>
      </c>
      <c r="CO218">
        <v>4852055.38</v>
      </c>
      <c r="CP218">
        <v>52774.78</v>
      </c>
      <c r="CQ218" t="s">
        <v>145</v>
      </c>
      <c r="CR218">
        <v>52723.351099999993</v>
      </c>
      <c r="CS218">
        <v>3.07</v>
      </c>
      <c r="CT218">
        <v>45</v>
      </c>
      <c r="CV218" t="s">
        <v>233</v>
      </c>
      <c r="CW218">
        <v>586</v>
      </c>
    </row>
    <row r="219" spans="1:101" x14ac:dyDescent="0.2">
      <c r="A219" t="s">
        <v>106</v>
      </c>
      <c r="B219" s="46">
        <v>44666</v>
      </c>
      <c r="C219" t="s">
        <v>500</v>
      </c>
      <c r="D219" t="s">
        <v>108</v>
      </c>
      <c r="E219" t="s">
        <v>501</v>
      </c>
      <c r="F219" t="s">
        <v>110</v>
      </c>
      <c r="G219" t="s">
        <v>111</v>
      </c>
      <c r="H219" t="s">
        <v>112</v>
      </c>
      <c r="I219" t="s">
        <v>112</v>
      </c>
      <c r="J219" t="s">
        <v>112</v>
      </c>
      <c r="K219" t="s">
        <v>150</v>
      </c>
      <c r="L219" t="s">
        <v>151</v>
      </c>
      <c r="M219" t="s">
        <v>112</v>
      </c>
      <c r="N219" t="s">
        <v>112</v>
      </c>
      <c r="O219">
        <v>1</v>
      </c>
      <c r="Q219">
        <v>1</v>
      </c>
      <c r="R219">
        <v>33</v>
      </c>
      <c r="S219" t="s">
        <v>112</v>
      </c>
      <c r="T219" t="s">
        <v>152</v>
      </c>
      <c r="U219" t="s">
        <v>153</v>
      </c>
      <c r="V219" t="s">
        <v>154</v>
      </c>
      <c r="W219" t="s">
        <v>119</v>
      </c>
      <c r="X219" t="s">
        <v>112</v>
      </c>
      <c r="Y219" t="s">
        <v>112</v>
      </c>
      <c r="Z219" t="s">
        <v>152</v>
      </c>
      <c r="AA219" t="s">
        <v>153</v>
      </c>
      <c r="AB219" t="s">
        <v>154</v>
      </c>
      <c r="AC219" t="s">
        <v>119</v>
      </c>
      <c r="AD219" t="s">
        <v>112</v>
      </c>
      <c r="AE219" t="s">
        <v>121</v>
      </c>
      <c r="AF219" t="s">
        <v>122</v>
      </c>
      <c r="AG219">
        <v>4306456.47</v>
      </c>
      <c r="AH219" t="s">
        <v>112</v>
      </c>
      <c r="AI219" t="s">
        <v>152</v>
      </c>
      <c r="AJ219" t="s">
        <v>153</v>
      </c>
      <c r="AK219" t="s">
        <v>154</v>
      </c>
      <c r="AL219" t="s">
        <v>119</v>
      </c>
      <c r="AM219" t="s">
        <v>112</v>
      </c>
      <c r="AN219" t="s">
        <v>121</v>
      </c>
      <c r="AO219" t="s">
        <v>122</v>
      </c>
      <c r="AP219" t="s">
        <v>122</v>
      </c>
      <c r="AQ219" t="s">
        <v>124</v>
      </c>
      <c r="AR219" t="s">
        <v>125</v>
      </c>
      <c r="AS219">
        <v>2</v>
      </c>
      <c r="AT219" t="s">
        <v>126</v>
      </c>
      <c r="AU219" t="s">
        <v>155</v>
      </c>
      <c r="AV219" t="s">
        <v>156</v>
      </c>
      <c r="AX219" t="s">
        <v>129</v>
      </c>
      <c r="AY219">
        <v>38527.660000000003</v>
      </c>
      <c r="BB219">
        <v>101.2863</v>
      </c>
      <c r="BC219" t="s">
        <v>112</v>
      </c>
      <c r="BD219" t="s">
        <v>112</v>
      </c>
      <c r="BE219" t="s">
        <v>157</v>
      </c>
      <c r="BF219" t="s">
        <v>133</v>
      </c>
      <c r="BG219" t="s">
        <v>167</v>
      </c>
      <c r="BH219" t="s">
        <v>112</v>
      </c>
      <c r="BI219" t="s">
        <v>112</v>
      </c>
      <c r="BJ219" t="s">
        <v>112</v>
      </c>
      <c r="BK219" t="s">
        <v>158</v>
      </c>
      <c r="BL219" t="s">
        <v>159</v>
      </c>
      <c r="BM219" t="s">
        <v>160</v>
      </c>
      <c r="BN219" t="s">
        <v>161</v>
      </c>
      <c r="BP219" t="s">
        <v>232</v>
      </c>
      <c r="BR219" t="s">
        <v>150</v>
      </c>
      <c r="BS219">
        <v>33</v>
      </c>
      <c r="BT219">
        <v>0</v>
      </c>
      <c r="BU219">
        <v>0</v>
      </c>
      <c r="BW219">
        <v>0</v>
      </c>
      <c r="BY219" t="s">
        <v>106</v>
      </c>
      <c r="BZ219" t="s">
        <v>142</v>
      </c>
      <c r="CA219" t="s">
        <v>112</v>
      </c>
      <c r="CB219" t="s">
        <v>112</v>
      </c>
      <c r="CC219" t="s">
        <v>121</v>
      </c>
      <c r="CD219">
        <v>16307.33</v>
      </c>
      <c r="CE219" t="s">
        <v>144</v>
      </c>
      <c r="CF219">
        <v>4000000</v>
      </c>
      <c r="CG219">
        <v>16203.52</v>
      </c>
      <c r="CH219">
        <v>0</v>
      </c>
      <c r="CI219" t="s">
        <v>112</v>
      </c>
      <c r="CJ219" t="s">
        <v>112</v>
      </c>
      <c r="CK219">
        <v>38527.660000000003</v>
      </c>
      <c r="CM219">
        <v>0</v>
      </c>
      <c r="CN219">
        <v>1</v>
      </c>
      <c r="CO219">
        <v>4306456.47</v>
      </c>
      <c r="CP219">
        <v>46840.42</v>
      </c>
      <c r="CQ219" t="s">
        <v>145</v>
      </c>
      <c r="CR219">
        <v>46828.1728</v>
      </c>
      <c r="CS219">
        <v>2.89</v>
      </c>
      <c r="CT219">
        <v>45</v>
      </c>
      <c r="CV219" t="s">
        <v>233</v>
      </c>
      <c r="CW219">
        <v>278</v>
      </c>
    </row>
    <row r="220" spans="1:101" x14ac:dyDescent="0.2">
      <c r="A220" t="s">
        <v>106</v>
      </c>
      <c r="B220" s="46">
        <v>44764</v>
      </c>
      <c r="C220" t="s">
        <v>323</v>
      </c>
      <c r="D220" t="s">
        <v>108</v>
      </c>
      <c r="E220" t="s">
        <v>324</v>
      </c>
      <c r="F220" t="s">
        <v>110</v>
      </c>
      <c r="G220" t="s">
        <v>111</v>
      </c>
      <c r="H220" t="s">
        <v>112</v>
      </c>
      <c r="I220" t="s">
        <v>112</v>
      </c>
      <c r="J220" t="s">
        <v>112</v>
      </c>
      <c r="K220" t="s">
        <v>150</v>
      </c>
      <c r="L220" t="s">
        <v>151</v>
      </c>
      <c r="M220" t="s">
        <v>112</v>
      </c>
      <c r="N220" t="s">
        <v>112</v>
      </c>
      <c r="O220">
        <v>1</v>
      </c>
      <c r="Q220">
        <v>1</v>
      </c>
      <c r="R220">
        <v>33</v>
      </c>
      <c r="S220" t="s">
        <v>112</v>
      </c>
      <c r="T220" t="s">
        <v>152</v>
      </c>
      <c r="U220" t="s">
        <v>153</v>
      </c>
      <c r="V220" t="s">
        <v>154</v>
      </c>
      <c r="W220" t="s">
        <v>119</v>
      </c>
      <c r="X220" t="s">
        <v>112</v>
      </c>
      <c r="Y220" t="s">
        <v>112</v>
      </c>
      <c r="Z220" t="s">
        <v>152</v>
      </c>
      <c r="AA220" t="s">
        <v>153</v>
      </c>
      <c r="AB220" t="s">
        <v>154</v>
      </c>
      <c r="AC220" t="s">
        <v>119</v>
      </c>
      <c r="AD220" t="s">
        <v>112</v>
      </c>
      <c r="AE220" t="s">
        <v>121</v>
      </c>
      <c r="AF220" t="s">
        <v>122</v>
      </c>
      <c r="AG220">
        <v>4317920.05</v>
      </c>
      <c r="AH220" t="s">
        <v>112</v>
      </c>
      <c r="AI220" t="s">
        <v>152</v>
      </c>
      <c r="AJ220" t="s">
        <v>153</v>
      </c>
      <c r="AK220" t="s">
        <v>154</v>
      </c>
      <c r="AL220" t="s">
        <v>119</v>
      </c>
      <c r="AM220" t="s">
        <v>112</v>
      </c>
      <c r="AN220" t="s">
        <v>121</v>
      </c>
      <c r="AO220" t="s">
        <v>122</v>
      </c>
      <c r="AP220" t="s">
        <v>122</v>
      </c>
      <c r="AQ220" t="s">
        <v>124</v>
      </c>
      <c r="AR220" t="s">
        <v>125</v>
      </c>
      <c r="AS220">
        <v>2</v>
      </c>
      <c r="AT220" t="s">
        <v>126</v>
      </c>
      <c r="AU220" t="s">
        <v>155</v>
      </c>
      <c r="AV220" t="s">
        <v>156</v>
      </c>
      <c r="AX220" t="s">
        <v>129</v>
      </c>
      <c r="AY220">
        <v>38640.839999999997</v>
      </c>
      <c r="BB220">
        <v>101.2863</v>
      </c>
      <c r="BC220" t="s">
        <v>112</v>
      </c>
      <c r="BD220" t="s">
        <v>112</v>
      </c>
      <c r="BE220" t="s">
        <v>157</v>
      </c>
      <c r="BF220" t="s">
        <v>133</v>
      </c>
      <c r="BG220" t="s">
        <v>167</v>
      </c>
      <c r="BH220" t="s">
        <v>112</v>
      </c>
      <c r="BI220" t="s">
        <v>112</v>
      </c>
      <c r="BJ220" t="s">
        <v>112</v>
      </c>
      <c r="BK220" t="s">
        <v>158</v>
      </c>
      <c r="BL220" t="s">
        <v>159</v>
      </c>
      <c r="BM220" t="s">
        <v>160</v>
      </c>
      <c r="BN220" t="s">
        <v>161</v>
      </c>
      <c r="BP220" t="s">
        <v>205</v>
      </c>
      <c r="BR220" t="s">
        <v>150</v>
      </c>
      <c r="BS220">
        <v>33</v>
      </c>
      <c r="BT220">
        <v>0</v>
      </c>
      <c r="BU220">
        <v>0</v>
      </c>
      <c r="BW220">
        <v>0</v>
      </c>
      <c r="BY220" t="s">
        <v>106</v>
      </c>
      <c r="BZ220" t="s">
        <v>142</v>
      </c>
      <c r="CA220" t="s">
        <v>112</v>
      </c>
      <c r="CB220" t="s">
        <v>112</v>
      </c>
      <c r="CC220" t="s">
        <v>121</v>
      </c>
      <c r="CD220">
        <v>17051.810000000001</v>
      </c>
      <c r="CE220" t="s">
        <v>144</v>
      </c>
      <c r="CF220">
        <v>4000000</v>
      </c>
      <c r="CG220">
        <v>17051.810000000001</v>
      </c>
      <c r="CH220">
        <v>0</v>
      </c>
      <c r="CI220" t="s">
        <v>112</v>
      </c>
      <c r="CJ220" t="s">
        <v>112</v>
      </c>
      <c r="CK220">
        <v>38640.839999999997</v>
      </c>
      <c r="CM220">
        <v>0</v>
      </c>
      <c r="CN220">
        <v>1</v>
      </c>
      <c r="CO220">
        <v>4317920.05</v>
      </c>
      <c r="CP220">
        <v>46965.1</v>
      </c>
      <c r="CQ220" t="s">
        <v>145</v>
      </c>
      <c r="CR220">
        <v>46892.477500000001</v>
      </c>
      <c r="CS220">
        <v>2.75</v>
      </c>
      <c r="CT220">
        <v>45</v>
      </c>
      <c r="CV220" t="s">
        <v>206</v>
      </c>
      <c r="CW220">
        <v>589</v>
      </c>
    </row>
    <row r="221" spans="1:101" x14ac:dyDescent="0.2">
      <c r="A221" t="s">
        <v>106</v>
      </c>
      <c r="B221" s="46">
        <v>45067</v>
      </c>
      <c r="C221" t="s">
        <v>1941</v>
      </c>
      <c r="D221" t="s">
        <v>108</v>
      </c>
      <c r="E221" t="s">
        <v>1942</v>
      </c>
      <c r="F221" t="s">
        <v>110</v>
      </c>
      <c r="G221" t="s">
        <v>111</v>
      </c>
      <c r="H221" t="s">
        <v>112</v>
      </c>
      <c r="I221" t="s">
        <v>112</v>
      </c>
      <c r="J221" t="s">
        <v>112</v>
      </c>
      <c r="K221" t="s">
        <v>150</v>
      </c>
      <c r="L221" t="s">
        <v>151</v>
      </c>
      <c r="M221" t="s">
        <v>112</v>
      </c>
      <c r="N221" t="s">
        <v>112</v>
      </c>
      <c r="O221">
        <v>1</v>
      </c>
      <c r="Q221">
        <v>1</v>
      </c>
      <c r="R221">
        <v>33</v>
      </c>
      <c r="S221" t="s">
        <v>112</v>
      </c>
      <c r="T221" t="s">
        <v>152</v>
      </c>
      <c r="U221" t="s">
        <v>153</v>
      </c>
      <c r="V221" t="s">
        <v>154</v>
      </c>
      <c r="W221" t="s">
        <v>119</v>
      </c>
      <c r="X221" t="s">
        <v>112</v>
      </c>
      <c r="Y221" t="s">
        <v>112</v>
      </c>
      <c r="Z221" t="s">
        <v>152</v>
      </c>
      <c r="AA221" t="s">
        <v>153</v>
      </c>
      <c r="AB221" t="s">
        <v>154</v>
      </c>
      <c r="AC221" t="s">
        <v>119</v>
      </c>
      <c r="AD221" t="s">
        <v>112</v>
      </c>
      <c r="AE221" t="s">
        <v>121</v>
      </c>
      <c r="AF221" t="s">
        <v>122</v>
      </c>
      <c r="AG221">
        <v>4916723.41</v>
      </c>
      <c r="AH221" t="s">
        <v>112</v>
      </c>
      <c r="AI221" t="s">
        <v>152</v>
      </c>
      <c r="AJ221" t="s">
        <v>153</v>
      </c>
      <c r="AK221" t="s">
        <v>154</v>
      </c>
      <c r="AL221" t="s">
        <v>119</v>
      </c>
      <c r="AM221" t="s">
        <v>112</v>
      </c>
      <c r="AN221" t="s">
        <v>121</v>
      </c>
      <c r="AO221" t="s">
        <v>122</v>
      </c>
      <c r="AP221" t="s">
        <v>122</v>
      </c>
      <c r="AQ221" t="s">
        <v>124</v>
      </c>
      <c r="AR221" t="s">
        <v>125</v>
      </c>
      <c r="AS221">
        <v>2</v>
      </c>
      <c r="AT221" t="s">
        <v>126</v>
      </c>
      <c r="AU221" t="s">
        <v>155</v>
      </c>
      <c r="AV221" t="s">
        <v>156</v>
      </c>
      <c r="AX221" t="s">
        <v>129</v>
      </c>
      <c r="AY221">
        <v>45397.8</v>
      </c>
      <c r="BB221">
        <v>99.553399999999996</v>
      </c>
      <c r="BC221" t="s">
        <v>112</v>
      </c>
      <c r="BD221" t="s">
        <v>112</v>
      </c>
      <c r="BE221" t="s">
        <v>157</v>
      </c>
      <c r="BF221" t="s">
        <v>133</v>
      </c>
      <c r="BG221" t="s">
        <v>134</v>
      </c>
      <c r="BH221" t="s">
        <v>112</v>
      </c>
      <c r="BI221" t="s">
        <v>112</v>
      </c>
      <c r="BJ221" t="s">
        <v>112</v>
      </c>
      <c r="BK221" t="s">
        <v>158</v>
      </c>
      <c r="BL221" t="s">
        <v>159</v>
      </c>
      <c r="BM221" t="s">
        <v>212</v>
      </c>
      <c r="BN221" t="s">
        <v>161</v>
      </c>
      <c r="BP221" t="s">
        <v>205</v>
      </c>
      <c r="BR221" t="s">
        <v>150</v>
      </c>
      <c r="BS221">
        <v>33</v>
      </c>
      <c r="BT221">
        <v>0</v>
      </c>
      <c r="BU221">
        <v>0</v>
      </c>
      <c r="BW221">
        <v>0</v>
      </c>
      <c r="BY221" t="s">
        <v>106</v>
      </c>
      <c r="BZ221" t="s">
        <v>142</v>
      </c>
      <c r="CA221" t="s">
        <v>112</v>
      </c>
      <c r="CB221" t="s">
        <v>112</v>
      </c>
      <c r="CC221" t="s">
        <v>121</v>
      </c>
      <c r="CD221">
        <v>16783.32</v>
      </c>
      <c r="CE221" t="s">
        <v>144</v>
      </c>
      <c r="CF221">
        <v>4000000</v>
      </c>
      <c r="CG221">
        <v>16783.32</v>
      </c>
      <c r="CH221">
        <v>0</v>
      </c>
      <c r="CI221" t="s">
        <v>112</v>
      </c>
      <c r="CJ221" t="s">
        <v>112</v>
      </c>
      <c r="CK221">
        <v>45397.8</v>
      </c>
      <c r="CM221">
        <v>0</v>
      </c>
      <c r="CN221">
        <v>1</v>
      </c>
      <c r="CO221">
        <v>4916723.41</v>
      </c>
      <c r="CP221">
        <v>52572.68</v>
      </c>
      <c r="CQ221" t="s">
        <v>145</v>
      </c>
      <c r="CR221">
        <v>52531.791599999997</v>
      </c>
      <c r="CS221">
        <v>3.13</v>
      </c>
      <c r="CT221">
        <v>45</v>
      </c>
      <c r="CV221" t="s">
        <v>206</v>
      </c>
      <c r="CW221">
        <v>596</v>
      </c>
    </row>
    <row r="222" spans="1:101" x14ac:dyDescent="0.2">
      <c r="A222" t="s">
        <v>106</v>
      </c>
      <c r="B222" s="46">
        <v>45204</v>
      </c>
      <c r="C222" t="s">
        <v>2008</v>
      </c>
      <c r="D222" t="s">
        <v>108</v>
      </c>
      <c r="E222" t="s">
        <v>2009</v>
      </c>
      <c r="F222" t="s">
        <v>110</v>
      </c>
      <c r="G222" t="s">
        <v>111</v>
      </c>
      <c r="H222" t="s">
        <v>112</v>
      </c>
      <c r="I222" t="s">
        <v>112</v>
      </c>
      <c r="J222" t="s">
        <v>112</v>
      </c>
      <c r="K222" t="s">
        <v>150</v>
      </c>
      <c r="L222" t="s">
        <v>151</v>
      </c>
      <c r="M222" t="s">
        <v>112</v>
      </c>
      <c r="N222" t="s">
        <v>112</v>
      </c>
      <c r="O222">
        <v>1</v>
      </c>
      <c r="Q222">
        <v>1</v>
      </c>
      <c r="R222">
        <v>33</v>
      </c>
      <c r="S222" t="s">
        <v>112</v>
      </c>
      <c r="T222" t="s">
        <v>152</v>
      </c>
      <c r="U222" t="s">
        <v>153</v>
      </c>
      <c r="V222" t="s">
        <v>154</v>
      </c>
      <c r="W222" t="s">
        <v>119</v>
      </c>
      <c r="X222" t="s">
        <v>112</v>
      </c>
      <c r="Y222" t="s">
        <v>112</v>
      </c>
      <c r="Z222" t="s">
        <v>152</v>
      </c>
      <c r="AA222" t="s">
        <v>153</v>
      </c>
      <c r="AB222" t="s">
        <v>154</v>
      </c>
      <c r="AC222" t="s">
        <v>119</v>
      </c>
      <c r="AD222" t="s">
        <v>112</v>
      </c>
      <c r="AE222" t="s">
        <v>121</v>
      </c>
      <c r="AF222" t="s">
        <v>122</v>
      </c>
      <c r="AG222">
        <v>4651506.1399999997</v>
      </c>
      <c r="AH222" t="s">
        <v>112</v>
      </c>
      <c r="AI222" t="s">
        <v>152</v>
      </c>
      <c r="AJ222" t="s">
        <v>153</v>
      </c>
      <c r="AK222" t="s">
        <v>154</v>
      </c>
      <c r="AL222" t="s">
        <v>119</v>
      </c>
      <c r="AM222" t="s">
        <v>112</v>
      </c>
      <c r="AN222" t="s">
        <v>121</v>
      </c>
      <c r="AO222" t="s">
        <v>122</v>
      </c>
      <c r="AP222" t="s">
        <v>122</v>
      </c>
      <c r="AQ222" t="s">
        <v>124</v>
      </c>
      <c r="AR222" t="s">
        <v>125</v>
      </c>
      <c r="AS222">
        <v>2</v>
      </c>
      <c r="AT222" t="s">
        <v>126</v>
      </c>
      <c r="AU222" t="s">
        <v>155</v>
      </c>
      <c r="AV222" t="s">
        <v>156</v>
      </c>
      <c r="AX222" t="s">
        <v>129</v>
      </c>
      <c r="AY222">
        <v>40972.17</v>
      </c>
      <c r="BB222">
        <v>102.24850000000001</v>
      </c>
      <c r="BC222" t="s">
        <v>112</v>
      </c>
      <c r="BD222" t="s">
        <v>112</v>
      </c>
      <c r="BE222" t="s">
        <v>157</v>
      </c>
      <c r="BF222" t="s">
        <v>133</v>
      </c>
      <c r="BG222" t="s">
        <v>134</v>
      </c>
      <c r="BH222" t="s">
        <v>112</v>
      </c>
      <c r="BI222" t="s">
        <v>112</v>
      </c>
      <c r="BJ222" t="s">
        <v>112</v>
      </c>
      <c r="BK222" t="s">
        <v>169</v>
      </c>
      <c r="BL222" t="s">
        <v>159</v>
      </c>
      <c r="BM222" t="s">
        <v>212</v>
      </c>
      <c r="BN222" t="s">
        <v>161</v>
      </c>
      <c r="BP222" t="s">
        <v>232</v>
      </c>
      <c r="BR222" t="s">
        <v>150</v>
      </c>
      <c r="BS222">
        <v>33</v>
      </c>
      <c r="BT222">
        <v>0</v>
      </c>
      <c r="BU222">
        <v>0</v>
      </c>
      <c r="BW222">
        <v>0</v>
      </c>
      <c r="BY222" t="s">
        <v>106</v>
      </c>
      <c r="BZ222" t="s">
        <v>142</v>
      </c>
      <c r="CA222" t="s">
        <v>112</v>
      </c>
      <c r="CB222" t="s">
        <v>112</v>
      </c>
      <c r="CC222" t="s">
        <v>121</v>
      </c>
      <c r="CD222">
        <v>17210.150000000001</v>
      </c>
      <c r="CE222" t="s">
        <v>144</v>
      </c>
      <c r="CF222">
        <v>4000000</v>
      </c>
      <c r="CG222">
        <v>17166.95</v>
      </c>
      <c r="CH222">
        <v>0</v>
      </c>
      <c r="CI222" t="s">
        <v>112</v>
      </c>
      <c r="CJ222" t="s">
        <v>112</v>
      </c>
      <c r="CK222">
        <v>40972.17</v>
      </c>
      <c r="CM222">
        <v>0</v>
      </c>
      <c r="CN222">
        <v>1</v>
      </c>
      <c r="CO222">
        <v>4651506.1399999997</v>
      </c>
      <c r="CP222">
        <v>48432.05</v>
      </c>
      <c r="CQ222" t="s">
        <v>145</v>
      </c>
      <c r="CR222">
        <v>48410.798999999999</v>
      </c>
      <c r="CS222">
        <v>2.82</v>
      </c>
      <c r="CT222">
        <v>45</v>
      </c>
      <c r="CV222" t="s">
        <v>1140</v>
      </c>
      <c r="CW222">
        <v>212</v>
      </c>
    </row>
    <row r="223" spans="1:101" x14ac:dyDescent="0.2">
      <c r="A223" t="s">
        <v>106</v>
      </c>
      <c r="B223" s="46">
        <v>45212</v>
      </c>
      <c r="C223" t="s">
        <v>2020</v>
      </c>
      <c r="D223" t="s">
        <v>108</v>
      </c>
      <c r="E223" t="s">
        <v>2021</v>
      </c>
      <c r="F223" t="s">
        <v>110</v>
      </c>
      <c r="G223" t="s">
        <v>111</v>
      </c>
      <c r="H223" t="s">
        <v>112</v>
      </c>
      <c r="I223" t="s">
        <v>112</v>
      </c>
      <c r="J223" t="s">
        <v>112</v>
      </c>
      <c r="K223" t="s">
        <v>150</v>
      </c>
      <c r="L223" t="s">
        <v>151</v>
      </c>
      <c r="M223" t="s">
        <v>112</v>
      </c>
      <c r="N223" t="s">
        <v>112</v>
      </c>
      <c r="O223">
        <v>1</v>
      </c>
      <c r="Q223">
        <v>1</v>
      </c>
      <c r="R223">
        <v>33</v>
      </c>
      <c r="S223" t="s">
        <v>112</v>
      </c>
      <c r="T223" t="s">
        <v>152</v>
      </c>
      <c r="U223" t="s">
        <v>153</v>
      </c>
      <c r="V223" t="s">
        <v>154</v>
      </c>
      <c r="W223" t="s">
        <v>119</v>
      </c>
      <c r="X223" t="s">
        <v>112</v>
      </c>
      <c r="Y223" t="s">
        <v>112</v>
      </c>
      <c r="Z223" t="s">
        <v>152</v>
      </c>
      <c r="AA223" t="s">
        <v>153</v>
      </c>
      <c r="AB223" t="s">
        <v>154</v>
      </c>
      <c r="AC223" t="s">
        <v>119</v>
      </c>
      <c r="AD223" t="s">
        <v>112</v>
      </c>
      <c r="AE223" t="s">
        <v>121</v>
      </c>
      <c r="AF223" t="s">
        <v>122</v>
      </c>
      <c r="AG223">
        <v>4301301.97</v>
      </c>
      <c r="AH223" t="s">
        <v>112</v>
      </c>
      <c r="AI223" t="s">
        <v>152</v>
      </c>
      <c r="AJ223" t="s">
        <v>153</v>
      </c>
      <c r="AK223" t="s">
        <v>154</v>
      </c>
      <c r="AL223" t="s">
        <v>119</v>
      </c>
      <c r="AM223" t="s">
        <v>112</v>
      </c>
      <c r="AN223" t="s">
        <v>121</v>
      </c>
      <c r="AO223" t="s">
        <v>122</v>
      </c>
      <c r="AP223" t="s">
        <v>122</v>
      </c>
      <c r="AQ223" t="s">
        <v>124</v>
      </c>
      <c r="AR223" t="s">
        <v>125</v>
      </c>
      <c r="AS223">
        <v>2</v>
      </c>
      <c r="AT223" t="s">
        <v>126</v>
      </c>
      <c r="AU223" t="s">
        <v>155</v>
      </c>
      <c r="AV223" t="s">
        <v>156</v>
      </c>
      <c r="AX223" t="s">
        <v>129</v>
      </c>
      <c r="AY223">
        <v>37417.14</v>
      </c>
      <c r="BB223">
        <v>102.24850000000001</v>
      </c>
      <c r="BC223" t="s">
        <v>112</v>
      </c>
      <c r="BD223" t="s">
        <v>112</v>
      </c>
      <c r="BE223" t="s">
        <v>157</v>
      </c>
      <c r="BF223" t="s">
        <v>133</v>
      </c>
      <c r="BG223" t="s">
        <v>167</v>
      </c>
      <c r="BH223" t="s">
        <v>112</v>
      </c>
      <c r="BI223" t="s">
        <v>112</v>
      </c>
      <c r="BJ223" t="s">
        <v>112</v>
      </c>
      <c r="BK223" t="s">
        <v>169</v>
      </c>
      <c r="BL223" t="s">
        <v>159</v>
      </c>
      <c r="BM223" t="s">
        <v>160</v>
      </c>
      <c r="BN223" t="s">
        <v>161</v>
      </c>
      <c r="BP223" t="s">
        <v>281</v>
      </c>
      <c r="BR223" t="s">
        <v>150</v>
      </c>
      <c r="BS223">
        <v>33</v>
      </c>
      <c r="BT223">
        <v>0</v>
      </c>
      <c r="BU223">
        <v>0</v>
      </c>
      <c r="BW223">
        <v>0</v>
      </c>
      <c r="BY223" t="s">
        <v>106</v>
      </c>
      <c r="BZ223" t="s">
        <v>142</v>
      </c>
      <c r="CA223" t="s">
        <v>112</v>
      </c>
      <c r="CB223" t="s">
        <v>112</v>
      </c>
      <c r="CC223" t="s">
        <v>121</v>
      </c>
      <c r="CD223">
        <v>17591.919999999998</v>
      </c>
      <c r="CE223" t="s">
        <v>144</v>
      </c>
      <c r="CF223">
        <v>4000000</v>
      </c>
      <c r="CG223">
        <v>17591.919999999998</v>
      </c>
      <c r="CH223">
        <v>0</v>
      </c>
      <c r="CI223" t="s">
        <v>112</v>
      </c>
      <c r="CJ223" t="s">
        <v>112</v>
      </c>
      <c r="CK223">
        <v>37417.14</v>
      </c>
      <c r="CM223">
        <v>0</v>
      </c>
      <c r="CN223">
        <v>1</v>
      </c>
      <c r="CO223">
        <v>4301301.97</v>
      </c>
      <c r="CP223">
        <v>44785.68</v>
      </c>
      <c r="CQ223" t="s">
        <v>145</v>
      </c>
      <c r="CR223">
        <v>44859.395999999993</v>
      </c>
      <c r="CS223">
        <v>2.5499999999999998</v>
      </c>
      <c r="CT223">
        <v>45</v>
      </c>
      <c r="CV223" t="s">
        <v>729</v>
      </c>
      <c r="CW223">
        <v>212</v>
      </c>
    </row>
    <row r="224" spans="1:101" x14ac:dyDescent="0.2">
      <c r="A224" t="s">
        <v>106</v>
      </c>
      <c r="B224" s="46">
        <v>45278</v>
      </c>
      <c r="C224" t="s">
        <v>2045</v>
      </c>
      <c r="D224" t="s">
        <v>108</v>
      </c>
      <c r="E224" t="s">
        <v>2046</v>
      </c>
      <c r="F224" t="s">
        <v>110</v>
      </c>
      <c r="G224" t="s">
        <v>111</v>
      </c>
      <c r="H224" t="s">
        <v>112</v>
      </c>
      <c r="I224" t="s">
        <v>112</v>
      </c>
      <c r="J224" t="s">
        <v>112</v>
      </c>
      <c r="K224" t="s">
        <v>150</v>
      </c>
      <c r="L224" t="s">
        <v>151</v>
      </c>
      <c r="M224" t="s">
        <v>112</v>
      </c>
      <c r="N224" t="s">
        <v>112</v>
      </c>
      <c r="O224">
        <v>1</v>
      </c>
      <c r="Q224">
        <v>1</v>
      </c>
      <c r="R224">
        <v>33</v>
      </c>
      <c r="S224" t="s">
        <v>112</v>
      </c>
      <c r="T224" t="s">
        <v>152</v>
      </c>
      <c r="U224" t="s">
        <v>153</v>
      </c>
      <c r="V224" t="s">
        <v>154</v>
      </c>
      <c r="W224" t="s">
        <v>119</v>
      </c>
      <c r="X224" t="s">
        <v>112</v>
      </c>
      <c r="Y224" t="s">
        <v>112</v>
      </c>
      <c r="Z224" t="s">
        <v>152</v>
      </c>
      <c r="AA224" t="s">
        <v>153</v>
      </c>
      <c r="AB224" t="s">
        <v>154</v>
      </c>
      <c r="AC224" t="s">
        <v>119</v>
      </c>
      <c r="AD224" t="s">
        <v>112</v>
      </c>
      <c r="AE224" t="s">
        <v>121</v>
      </c>
      <c r="AF224" t="s">
        <v>122</v>
      </c>
      <c r="AG224">
        <v>4934410.37</v>
      </c>
      <c r="AH224" t="s">
        <v>112</v>
      </c>
      <c r="AI224" t="s">
        <v>152</v>
      </c>
      <c r="AJ224" t="s">
        <v>153</v>
      </c>
      <c r="AK224" t="s">
        <v>154</v>
      </c>
      <c r="AL224" t="s">
        <v>119</v>
      </c>
      <c r="AM224" t="s">
        <v>112</v>
      </c>
      <c r="AN224" t="s">
        <v>121</v>
      </c>
      <c r="AO224" t="s">
        <v>122</v>
      </c>
      <c r="AP224" t="s">
        <v>122</v>
      </c>
      <c r="AQ224" t="s">
        <v>124</v>
      </c>
      <c r="AR224" t="s">
        <v>125</v>
      </c>
      <c r="AS224">
        <v>2</v>
      </c>
      <c r="AT224" t="s">
        <v>126</v>
      </c>
      <c r="AU224" t="s">
        <v>155</v>
      </c>
      <c r="AV224" t="s">
        <v>156</v>
      </c>
      <c r="AX224" t="s">
        <v>129</v>
      </c>
      <c r="AY224">
        <v>44129</v>
      </c>
      <c r="BB224">
        <v>102.24850000000001</v>
      </c>
      <c r="BC224" t="s">
        <v>112</v>
      </c>
      <c r="BD224" t="s">
        <v>112</v>
      </c>
      <c r="BE224" t="s">
        <v>157</v>
      </c>
      <c r="BF224" t="s">
        <v>133</v>
      </c>
      <c r="BG224" t="s">
        <v>167</v>
      </c>
      <c r="BH224" t="s">
        <v>112</v>
      </c>
      <c r="BI224" t="s">
        <v>112</v>
      </c>
      <c r="BJ224" t="s">
        <v>112</v>
      </c>
      <c r="BK224" t="s">
        <v>169</v>
      </c>
      <c r="BL224" t="s">
        <v>159</v>
      </c>
      <c r="BM224" t="s">
        <v>160</v>
      </c>
      <c r="BN224" t="s">
        <v>161</v>
      </c>
      <c r="BP224" t="s">
        <v>205</v>
      </c>
      <c r="BR224" t="s">
        <v>150</v>
      </c>
      <c r="BS224">
        <v>33</v>
      </c>
      <c r="BT224">
        <v>0</v>
      </c>
      <c r="BU224">
        <v>0</v>
      </c>
      <c r="BW224">
        <v>0</v>
      </c>
      <c r="BY224" t="s">
        <v>106</v>
      </c>
      <c r="BZ224" t="s">
        <v>142</v>
      </c>
      <c r="CA224" t="s">
        <v>112</v>
      </c>
      <c r="CB224" t="s">
        <v>112</v>
      </c>
      <c r="CC224" t="s">
        <v>121</v>
      </c>
      <c r="CD224">
        <v>16794.900000000001</v>
      </c>
      <c r="CE224" t="s">
        <v>144</v>
      </c>
      <c r="CF224">
        <v>4000000</v>
      </c>
      <c r="CG224">
        <v>16730.099999999999</v>
      </c>
      <c r="CH224">
        <v>0</v>
      </c>
      <c r="CI224" t="s">
        <v>112</v>
      </c>
      <c r="CJ224" t="s">
        <v>112</v>
      </c>
      <c r="CK224">
        <v>44129</v>
      </c>
      <c r="CM224">
        <v>0</v>
      </c>
      <c r="CN224">
        <v>1</v>
      </c>
      <c r="CO224">
        <v>4934410.37</v>
      </c>
      <c r="CP224">
        <v>51377.68</v>
      </c>
      <c r="CQ224" t="s">
        <v>145</v>
      </c>
      <c r="CR224">
        <v>51361.406999999992</v>
      </c>
      <c r="CS224">
        <v>3.07</v>
      </c>
      <c r="CT224">
        <v>45</v>
      </c>
      <c r="CV224" t="s">
        <v>729</v>
      </c>
      <c r="CW224">
        <v>587</v>
      </c>
    </row>
    <row r="225" spans="1:101" x14ac:dyDescent="0.2">
      <c r="A225" t="s">
        <v>106</v>
      </c>
      <c r="B225" s="46">
        <v>44701</v>
      </c>
      <c r="C225" t="s">
        <v>2053</v>
      </c>
      <c r="D225" t="s">
        <v>108</v>
      </c>
      <c r="E225" t="s">
        <v>2054</v>
      </c>
      <c r="F225" t="s">
        <v>110</v>
      </c>
      <c r="G225" t="s">
        <v>111</v>
      </c>
      <c r="H225" t="s">
        <v>112</v>
      </c>
      <c r="I225" t="s">
        <v>112</v>
      </c>
      <c r="J225" t="s">
        <v>112</v>
      </c>
      <c r="K225" t="s">
        <v>150</v>
      </c>
      <c r="L225" t="s">
        <v>151</v>
      </c>
      <c r="M225" t="s">
        <v>112</v>
      </c>
      <c r="N225" t="s">
        <v>112</v>
      </c>
      <c r="O225">
        <v>1</v>
      </c>
      <c r="Q225">
        <v>1</v>
      </c>
      <c r="R225">
        <v>33</v>
      </c>
      <c r="S225" t="s">
        <v>112</v>
      </c>
      <c r="T225" t="s">
        <v>152</v>
      </c>
      <c r="U225" t="s">
        <v>153</v>
      </c>
      <c r="V225" t="s">
        <v>154</v>
      </c>
      <c r="W225" t="s">
        <v>119</v>
      </c>
      <c r="X225" t="s">
        <v>112</v>
      </c>
      <c r="Y225" t="s">
        <v>112</v>
      </c>
      <c r="Z225" t="s">
        <v>152</v>
      </c>
      <c r="AA225" t="s">
        <v>153</v>
      </c>
      <c r="AB225" t="s">
        <v>154</v>
      </c>
      <c r="AC225" t="s">
        <v>119</v>
      </c>
      <c r="AD225" t="s">
        <v>112</v>
      </c>
      <c r="AE225" t="s">
        <v>121</v>
      </c>
      <c r="AF225" t="s">
        <v>122</v>
      </c>
      <c r="AG225">
        <v>4056705.15</v>
      </c>
      <c r="AH225" t="s">
        <v>112</v>
      </c>
      <c r="AI225" t="s">
        <v>152</v>
      </c>
      <c r="AJ225" t="s">
        <v>153</v>
      </c>
      <c r="AK225" t="s">
        <v>154</v>
      </c>
      <c r="AL225" t="s">
        <v>119</v>
      </c>
      <c r="AM225" t="s">
        <v>112</v>
      </c>
      <c r="AN225" t="s">
        <v>121</v>
      </c>
      <c r="AO225" t="s">
        <v>122</v>
      </c>
      <c r="AP225" t="s">
        <v>122</v>
      </c>
      <c r="AQ225" t="s">
        <v>124</v>
      </c>
      <c r="AR225" t="s">
        <v>125</v>
      </c>
      <c r="AS225">
        <v>2</v>
      </c>
      <c r="AT225" t="s">
        <v>126</v>
      </c>
      <c r="AU225" t="s">
        <v>155</v>
      </c>
      <c r="AV225" t="s">
        <v>156</v>
      </c>
      <c r="AX225" t="s">
        <v>129</v>
      </c>
      <c r="AY225">
        <v>35544.959999999999</v>
      </c>
      <c r="BB225">
        <v>102.24850000000001</v>
      </c>
      <c r="BC225" t="s">
        <v>112</v>
      </c>
      <c r="BD225" t="s">
        <v>112</v>
      </c>
      <c r="BE225" t="s">
        <v>157</v>
      </c>
      <c r="BF225" t="s">
        <v>133</v>
      </c>
      <c r="BG225" t="s">
        <v>134</v>
      </c>
      <c r="BH225" t="s">
        <v>112</v>
      </c>
      <c r="BI225" t="s">
        <v>112</v>
      </c>
      <c r="BJ225" t="s">
        <v>112</v>
      </c>
      <c r="BK225" t="s">
        <v>169</v>
      </c>
      <c r="BL225" t="s">
        <v>159</v>
      </c>
      <c r="BM225" t="s">
        <v>212</v>
      </c>
      <c r="BN225" t="s">
        <v>161</v>
      </c>
      <c r="BP225" t="s">
        <v>616</v>
      </c>
      <c r="BR225" t="s">
        <v>150</v>
      </c>
      <c r="BS225">
        <v>33</v>
      </c>
      <c r="BT225">
        <v>0</v>
      </c>
      <c r="BU225">
        <v>0</v>
      </c>
      <c r="BW225">
        <v>0</v>
      </c>
      <c r="BY225" t="s">
        <v>106</v>
      </c>
      <c r="BZ225" t="s">
        <v>142</v>
      </c>
      <c r="CA225" t="s">
        <v>112</v>
      </c>
      <c r="CB225" t="s">
        <v>112</v>
      </c>
      <c r="CC225" t="s">
        <v>121</v>
      </c>
      <c r="CD225">
        <v>17353.91</v>
      </c>
      <c r="CE225" t="s">
        <v>144</v>
      </c>
      <c r="CF225">
        <v>4000000</v>
      </c>
      <c r="CG225">
        <v>17353.91</v>
      </c>
      <c r="CH225">
        <v>0</v>
      </c>
      <c r="CI225" t="s">
        <v>112</v>
      </c>
      <c r="CJ225" t="s">
        <v>112</v>
      </c>
      <c r="CK225">
        <v>35544.959999999999</v>
      </c>
      <c r="CM225">
        <v>0</v>
      </c>
      <c r="CN225">
        <v>1</v>
      </c>
      <c r="CO225">
        <v>4056705.15</v>
      </c>
      <c r="CP225">
        <v>42238.91</v>
      </c>
      <c r="CQ225" t="s">
        <v>145</v>
      </c>
      <c r="CR225">
        <v>42170.001300000004</v>
      </c>
      <c r="CS225">
        <v>2.4300000000000002</v>
      </c>
      <c r="CT225">
        <v>45</v>
      </c>
      <c r="CV225" t="s">
        <v>163</v>
      </c>
      <c r="CW225">
        <v>245</v>
      </c>
    </row>
    <row r="226" spans="1:101" x14ac:dyDescent="0.2">
      <c r="A226" t="s">
        <v>106</v>
      </c>
      <c r="B226" s="46">
        <v>44800</v>
      </c>
      <c r="C226" t="s">
        <v>2047</v>
      </c>
      <c r="D226" t="s">
        <v>108</v>
      </c>
      <c r="E226" t="s">
        <v>2048</v>
      </c>
      <c r="F226" t="s">
        <v>110</v>
      </c>
      <c r="G226" t="s">
        <v>111</v>
      </c>
      <c r="H226" t="s">
        <v>112</v>
      </c>
      <c r="I226" t="s">
        <v>112</v>
      </c>
      <c r="J226" t="s">
        <v>112</v>
      </c>
      <c r="K226" t="s">
        <v>150</v>
      </c>
      <c r="L226" t="s">
        <v>151</v>
      </c>
      <c r="M226" t="s">
        <v>112</v>
      </c>
      <c r="N226" t="s">
        <v>112</v>
      </c>
      <c r="O226">
        <v>1</v>
      </c>
      <c r="Q226">
        <v>1</v>
      </c>
      <c r="R226">
        <v>33</v>
      </c>
      <c r="S226" t="s">
        <v>112</v>
      </c>
      <c r="T226" t="s">
        <v>152</v>
      </c>
      <c r="U226" t="s">
        <v>153</v>
      </c>
      <c r="V226" t="s">
        <v>154</v>
      </c>
      <c r="W226" t="s">
        <v>119</v>
      </c>
      <c r="X226" t="s">
        <v>112</v>
      </c>
      <c r="Y226" t="s">
        <v>112</v>
      </c>
      <c r="Z226" t="s">
        <v>152</v>
      </c>
      <c r="AA226" t="s">
        <v>153</v>
      </c>
      <c r="AB226" t="s">
        <v>154</v>
      </c>
      <c r="AC226" t="s">
        <v>119</v>
      </c>
      <c r="AD226" t="s">
        <v>112</v>
      </c>
      <c r="AE226" t="s">
        <v>121</v>
      </c>
      <c r="AF226" t="s">
        <v>122</v>
      </c>
      <c r="AG226">
        <v>4056705.15</v>
      </c>
      <c r="AH226" t="s">
        <v>112</v>
      </c>
      <c r="AI226" t="s">
        <v>152</v>
      </c>
      <c r="AJ226" t="s">
        <v>153</v>
      </c>
      <c r="AK226" t="s">
        <v>154</v>
      </c>
      <c r="AL226" t="s">
        <v>119</v>
      </c>
      <c r="AM226" t="s">
        <v>112</v>
      </c>
      <c r="AN226" t="s">
        <v>121</v>
      </c>
      <c r="AO226" t="s">
        <v>122</v>
      </c>
      <c r="AP226" t="s">
        <v>122</v>
      </c>
      <c r="AQ226" t="s">
        <v>124</v>
      </c>
      <c r="AR226" t="s">
        <v>125</v>
      </c>
      <c r="AS226">
        <v>2</v>
      </c>
      <c r="AT226" t="s">
        <v>126</v>
      </c>
      <c r="AU226" t="s">
        <v>155</v>
      </c>
      <c r="AV226" t="s">
        <v>156</v>
      </c>
      <c r="AX226" t="s">
        <v>129</v>
      </c>
      <c r="AY226">
        <v>35544.959999999999</v>
      </c>
      <c r="BB226">
        <v>102.24850000000001</v>
      </c>
      <c r="BC226" t="s">
        <v>112</v>
      </c>
      <c r="BD226" t="s">
        <v>112</v>
      </c>
      <c r="BE226" t="s">
        <v>157</v>
      </c>
      <c r="BF226" t="s">
        <v>133</v>
      </c>
      <c r="BG226" t="s">
        <v>167</v>
      </c>
      <c r="BH226" t="s">
        <v>112</v>
      </c>
      <c r="BI226" t="s">
        <v>112</v>
      </c>
      <c r="BJ226" t="s">
        <v>112</v>
      </c>
      <c r="BK226" t="s">
        <v>169</v>
      </c>
      <c r="BL226" t="s">
        <v>159</v>
      </c>
      <c r="BM226" t="s">
        <v>160</v>
      </c>
      <c r="BN226" t="s">
        <v>161</v>
      </c>
      <c r="BP226" t="s">
        <v>281</v>
      </c>
      <c r="BR226" t="s">
        <v>150</v>
      </c>
      <c r="BS226">
        <v>33</v>
      </c>
      <c r="BT226">
        <v>0</v>
      </c>
      <c r="BU226">
        <v>0</v>
      </c>
      <c r="BW226">
        <v>0</v>
      </c>
      <c r="BY226" t="s">
        <v>106</v>
      </c>
      <c r="BZ226" t="s">
        <v>142</v>
      </c>
      <c r="CA226" t="s">
        <v>112</v>
      </c>
      <c r="CB226" t="s">
        <v>112</v>
      </c>
      <c r="CC226" t="s">
        <v>121</v>
      </c>
      <c r="CD226">
        <v>17353.91</v>
      </c>
      <c r="CE226" t="s">
        <v>144</v>
      </c>
      <c r="CF226">
        <v>4000000</v>
      </c>
      <c r="CG226">
        <v>17353.91</v>
      </c>
      <c r="CH226">
        <v>0</v>
      </c>
      <c r="CI226" t="s">
        <v>112</v>
      </c>
      <c r="CJ226" t="s">
        <v>112</v>
      </c>
      <c r="CK226">
        <v>35544.959999999999</v>
      </c>
      <c r="CM226">
        <v>0</v>
      </c>
      <c r="CN226">
        <v>1</v>
      </c>
      <c r="CO226">
        <v>4056705.15</v>
      </c>
      <c r="CP226">
        <v>42238.91</v>
      </c>
      <c r="CQ226" t="s">
        <v>145</v>
      </c>
      <c r="CR226">
        <v>42170.001300000004</v>
      </c>
      <c r="CS226">
        <v>2.4300000000000002</v>
      </c>
      <c r="CT226">
        <v>45</v>
      </c>
      <c r="CV226" t="s">
        <v>233</v>
      </c>
      <c r="CW226">
        <v>229</v>
      </c>
    </row>
    <row r="227" spans="1:101" x14ac:dyDescent="0.2">
      <c r="A227" t="s">
        <v>106</v>
      </c>
      <c r="B227" s="46">
        <v>45227</v>
      </c>
      <c r="C227" t="s">
        <v>2022</v>
      </c>
      <c r="D227" t="s">
        <v>108</v>
      </c>
      <c r="E227" t="s">
        <v>2023</v>
      </c>
      <c r="F227" t="s">
        <v>110</v>
      </c>
      <c r="G227" t="s">
        <v>111</v>
      </c>
      <c r="H227" t="s">
        <v>112</v>
      </c>
      <c r="I227" t="s">
        <v>112</v>
      </c>
      <c r="J227" t="s">
        <v>112</v>
      </c>
      <c r="K227" t="s">
        <v>150</v>
      </c>
      <c r="L227" t="s">
        <v>151</v>
      </c>
      <c r="M227" t="s">
        <v>112</v>
      </c>
      <c r="N227" t="s">
        <v>112</v>
      </c>
      <c r="O227">
        <v>1</v>
      </c>
      <c r="Q227">
        <v>1</v>
      </c>
      <c r="R227">
        <v>33</v>
      </c>
      <c r="S227" t="s">
        <v>112</v>
      </c>
      <c r="T227" t="s">
        <v>152</v>
      </c>
      <c r="U227" t="s">
        <v>153</v>
      </c>
      <c r="V227" t="s">
        <v>154</v>
      </c>
      <c r="W227" t="s">
        <v>119</v>
      </c>
      <c r="X227" t="s">
        <v>112</v>
      </c>
      <c r="Y227" t="s">
        <v>112</v>
      </c>
      <c r="Z227" t="s">
        <v>152</v>
      </c>
      <c r="AA227" t="s">
        <v>153</v>
      </c>
      <c r="AB227" t="s">
        <v>154</v>
      </c>
      <c r="AC227" t="s">
        <v>119</v>
      </c>
      <c r="AD227" t="s">
        <v>112</v>
      </c>
      <c r="AE227" t="s">
        <v>121</v>
      </c>
      <c r="AF227" t="s">
        <v>122</v>
      </c>
      <c r="AG227">
        <v>5500485.6699999999</v>
      </c>
      <c r="AH227" t="s">
        <v>112</v>
      </c>
      <c r="AI227" t="s">
        <v>152</v>
      </c>
      <c r="AJ227" t="s">
        <v>153</v>
      </c>
      <c r="AK227" t="s">
        <v>154</v>
      </c>
      <c r="AL227" t="s">
        <v>119</v>
      </c>
      <c r="AM227" t="s">
        <v>112</v>
      </c>
      <c r="AN227" t="s">
        <v>121</v>
      </c>
      <c r="AO227" t="s">
        <v>122</v>
      </c>
      <c r="AP227" t="s">
        <v>122</v>
      </c>
      <c r="AQ227" t="s">
        <v>124</v>
      </c>
      <c r="AR227" t="s">
        <v>125</v>
      </c>
      <c r="AS227">
        <v>2</v>
      </c>
      <c r="AT227" t="s">
        <v>126</v>
      </c>
      <c r="AU227" t="s">
        <v>155</v>
      </c>
      <c r="AV227" t="s">
        <v>156</v>
      </c>
      <c r="AX227" t="s">
        <v>129</v>
      </c>
      <c r="AY227">
        <v>49665.27</v>
      </c>
      <c r="BB227">
        <v>102.24850000000001</v>
      </c>
      <c r="BC227" t="s">
        <v>112</v>
      </c>
      <c r="BD227" t="s">
        <v>112</v>
      </c>
      <c r="BE227" t="s">
        <v>157</v>
      </c>
      <c r="BF227" t="s">
        <v>133</v>
      </c>
      <c r="BG227" t="s">
        <v>167</v>
      </c>
      <c r="BH227" t="s">
        <v>112</v>
      </c>
      <c r="BI227" t="s">
        <v>112</v>
      </c>
      <c r="BJ227" t="s">
        <v>112</v>
      </c>
      <c r="BK227" t="s">
        <v>169</v>
      </c>
      <c r="BL227" t="s">
        <v>159</v>
      </c>
      <c r="BM227" t="s">
        <v>160</v>
      </c>
      <c r="BN227" t="s">
        <v>161</v>
      </c>
      <c r="BP227" t="s">
        <v>205</v>
      </c>
      <c r="BR227" t="s">
        <v>150</v>
      </c>
      <c r="BS227">
        <v>33</v>
      </c>
      <c r="BT227">
        <v>0</v>
      </c>
      <c r="BU227">
        <v>0</v>
      </c>
      <c r="BW227">
        <v>0</v>
      </c>
      <c r="BY227" t="s">
        <v>106</v>
      </c>
      <c r="BZ227" t="s">
        <v>142</v>
      </c>
      <c r="CA227" t="s">
        <v>112</v>
      </c>
      <c r="CB227" t="s">
        <v>112</v>
      </c>
      <c r="CC227" t="s">
        <v>121</v>
      </c>
      <c r="CD227">
        <v>17027.7</v>
      </c>
      <c r="CE227" t="s">
        <v>144</v>
      </c>
      <c r="CF227">
        <v>4000000</v>
      </c>
      <c r="CG227">
        <v>17027.7</v>
      </c>
      <c r="CH227">
        <v>0</v>
      </c>
      <c r="CI227" t="s">
        <v>112</v>
      </c>
      <c r="CJ227" t="s">
        <v>112</v>
      </c>
      <c r="CK227">
        <v>49665.27</v>
      </c>
      <c r="CM227">
        <v>0</v>
      </c>
      <c r="CN227">
        <v>1</v>
      </c>
      <c r="CO227">
        <v>5500485.6699999999</v>
      </c>
      <c r="CP227">
        <v>57271.73</v>
      </c>
      <c r="CQ227" t="s">
        <v>145</v>
      </c>
      <c r="CR227">
        <v>57213.072</v>
      </c>
      <c r="CS227">
        <v>3.36</v>
      </c>
      <c r="CT227">
        <v>45</v>
      </c>
      <c r="CV227" t="s">
        <v>233</v>
      </c>
      <c r="CW227">
        <v>130</v>
      </c>
    </row>
    <row r="228" spans="1:101" x14ac:dyDescent="0.2">
      <c r="A228" t="s">
        <v>106</v>
      </c>
      <c r="B228" s="46">
        <v>44885</v>
      </c>
      <c r="C228" t="s">
        <v>2051</v>
      </c>
      <c r="D228" t="s">
        <v>108</v>
      </c>
      <c r="E228" t="s">
        <v>2052</v>
      </c>
      <c r="F228" t="s">
        <v>110</v>
      </c>
      <c r="G228" t="s">
        <v>111</v>
      </c>
      <c r="H228" t="s">
        <v>112</v>
      </c>
      <c r="I228" t="s">
        <v>112</v>
      </c>
      <c r="J228" t="s">
        <v>112</v>
      </c>
      <c r="K228" t="s">
        <v>150</v>
      </c>
      <c r="L228" t="s">
        <v>151</v>
      </c>
      <c r="M228" t="s">
        <v>112</v>
      </c>
      <c r="N228" t="s">
        <v>112</v>
      </c>
      <c r="O228">
        <v>1</v>
      </c>
      <c r="Q228">
        <v>1</v>
      </c>
      <c r="R228">
        <v>33</v>
      </c>
      <c r="S228" t="s">
        <v>112</v>
      </c>
      <c r="T228" t="s">
        <v>152</v>
      </c>
      <c r="U228" t="s">
        <v>153</v>
      </c>
      <c r="V228" t="s">
        <v>154</v>
      </c>
      <c r="W228" t="s">
        <v>119</v>
      </c>
      <c r="X228" t="s">
        <v>112</v>
      </c>
      <c r="Y228" t="s">
        <v>112</v>
      </c>
      <c r="Z228" t="s">
        <v>152</v>
      </c>
      <c r="AA228" t="s">
        <v>153</v>
      </c>
      <c r="AB228" t="s">
        <v>154</v>
      </c>
      <c r="AC228" t="s">
        <v>119</v>
      </c>
      <c r="AD228" t="s">
        <v>112</v>
      </c>
      <c r="AE228" t="s">
        <v>121</v>
      </c>
      <c r="AF228" t="s">
        <v>122</v>
      </c>
      <c r="AG228">
        <v>5278865.1100000003</v>
      </c>
      <c r="AH228" t="s">
        <v>112</v>
      </c>
      <c r="AI228" t="s">
        <v>152</v>
      </c>
      <c r="AJ228" t="s">
        <v>153</v>
      </c>
      <c r="AK228" t="s">
        <v>154</v>
      </c>
      <c r="AL228" t="s">
        <v>119</v>
      </c>
      <c r="AM228" t="s">
        <v>112</v>
      </c>
      <c r="AN228" t="s">
        <v>121</v>
      </c>
      <c r="AO228" t="s">
        <v>122</v>
      </c>
      <c r="AP228" t="s">
        <v>122</v>
      </c>
      <c r="AQ228" t="s">
        <v>124</v>
      </c>
      <c r="AR228" t="s">
        <v>125</v>
      </c>
      <c r="AS228">
        <v>2</v>
      </c>
      <c r="AT228" t="s">
        <v>126</v>
      </c>
      <c r="AU228" t="s">
        <v>155</v>
      </c>
      <c r="AV228" t="s">
        <v>156</v>
      </c>
      <c r="AX228" t="s">
        <v>129</v>
      </c>
      <c r="AY228">
        <v>47497.8</v>
      </c>
      <c r="BB228">
        <v>102.24850000000001</v>
      </c>
      <c r="BC228" t="s">
        <v>112</v>
      </c>
      <c r="BD228" t="s">
        <v>112</v>
      </c>
      <c r="BE228" t="s">
        <v>157</v>
      </c>
      <c r="BF228" t="s">
        <v>133</v>
      </c>
      <c r="BG228" t="s">
        <v>167</v>
      </c>
      <c r="BH228" t="s">
        <v>112</v>
      </c>
      <c r="BI228" t="s">
        <v>112</v>
      </c>
      <c r="BJ228" t="s">
        <v>112</v>
      </c>
      <c r="BK228" t="s">
        <v>169</v>
      </c>
      <c r="BL228" t="s">
        <v>159</v>
      </c>
      <c r="BM228" t="s">
        <v>160</v>
      </c>
      <c r="BN228" t="s">
        <v>161</v>
      </c>
      <c r="BP228" t="s">
        <v>162</v>
      </c>
      <c r="BR228" t="s">
        <v>150</v>
      </c>
      <c r="BS228">
        <v>33</v>
      </c>
      <c r="BT228">
        <v>0</v>
      </c>
      <c r="BU228">
        <v>0</v>
      </c>
      <c r="BW228">
        <v>0</v>
      </c>
      <c r="BY228" t="s">
        <v>106</v>
      </c>
      <c r="BZ228" t="s">
        <v>142</v>
      </c>
      <c r="CA228" t="s">
        <v>112</v>
      </c>
      <c r="CB228" t="s">
        <v>112</v>
      </c>
      <c r="CC228" t="s">
        <v>121</v>
      </c>
      <c r="CD228">
        <v>16525.080000000002</v>
      </c>
      <c r="CE228" t="s">
        <v>144</v>
      </c>
      <c r="CF228">
        <v>4000000</v>
      </c>
      <c r="CG228">
        <v>16525.080000000002</v>
      </c>
      <c r="CH228">
        <v>0</v>
      </c>
      <c r="CI228" t="s">
        <v>112</v>
      </c>
      <c r="CJ228" t="s">
        <v>112</v>
      </c>
      <c r="CK228">
        <v>47497.8</v>
      </c>
      <c r="CM228">
        <v>0</v>
      </c>
      <c r="CN228">
        <v>1</v>
      </c>
      <c r="CO228">
        <v>5278865.1100000003</v>
      </c>
      <c r="CP228">
        <v>54964.19</v>
      </c>
      <c r="CQ228" t="s">
        <v>145</v>
      </c>
      <c r="CR228">
        <v>55028.516400000008</v>
      </c>
      <c r="CS228">
        <v>3.33</v>
      </c>
      <c r="CT228">
        <v>45</v>
      </c>
      <c r="CV228" t="s">
        <v>1140</v>
      </c>
      <c r="CW228">
        <v>130</v>
      </c>
    </row>
    <row r="229" spans="1:101" x14ac:dyDescent="0.2">
      <c r="A229" t="s">
        <v>106</v>
      </c>
      <c r="B229" s="46">
        <v>44994</v>
      </c>
      <c r="C229" t="s">
        <v>2010</v>
      </c>
      <c r="D229" t="s">
        <v>108</v>
      </c>
      <c r="E229" t="s">
        <v>2011</v>
      </c>
      <c r="F229" t="s">
        <v>110</v>
      </c>
      <c r="G229" t="s">
        <v>111</v>
      </c>
      <c r="H229" t="s">
        <v>112</v>
      </c>
      <c r="I229" t="s">
        <v>112</v>
      </c>
      <c r="J229" t="s">
        <v>112</v>
      </c>
      <c r="K229" t="s">
        <v>150</v>
      </c>
      <c r="L229" t="s">
        <v>151</v>
      </c>
      <c r="M229" t="s">
        <v>112</v>
      </c>
      <c r="N229" t="s">
        <v>112</v>
      </c>
      <c r="O229">
        <v>1</v>
      </c>
      <c r="Q229">
        <v>1</v>
      </c>
      <c r="R229">
        <v>33</v>
      </c>
      <c r="S229" t="s">
        <v>112</v>
      </c>
      <c r="T229" t="s">
        <v>152</v>
      </c>
      <c r="U229" t="s">
        <v>153</v>
      </c>
      <c r="V229" t="s">
        <v>154</v>
      </c>
      <c r="W229" t="s">
        <v>119</v>
      </c>
      <c r="X229" t="s">
        <v>112</v>
      </c>
      <c r="Y229" t="s">
        <v>112</v>
      </c>
      <c r="Z229" t="s">
        <v>152</v>
      </c>
      <c r="AA229" t="s">
        <v>153</v>
      </c>
      <c r="AB229" t="s">
        <v>154</v>
      </c>
      <c r="AC229" t="s">
        <v>119</v>
      </c>
      <c r="AD229" t="s">
        <v>112</v>
      </c>
      <c r="AE229" t="s">
        <v>121</v>
      </c>
      <c r="AF229" t="s">
        <v>122</v>
      </c>
      <c r="AG229">
        <v>4959563.5</v>
      </c>
      <c r="AH229" t="s">
        <v>112</v>
      </c>
      <c r="AI229" t="s">
        <v>152</v>
      </c>
      <c r="AJ229" t="s">
        <v>153</v>
      </c>
      <c r="AK229" t="s">
        <v>154</v>
      </c>
      <c r="AL229" t="s">
        <v>119</v>
      </c>
      <c r="AM229" t="s">
        <v>112</v>
      </c>
      <c r="AN229" t="s">
        <v>121</v>
      </c>
      <c r="AO229" t="s">
        <v>122</v>
      </c>
      <c r="AP229" t="s">
        <v>122</v>
      </c>
      <c r="AQ229" t="s">
        <v>124</v>
      </c>
      <c r="AR229" t="s">
        <v>125</v>
      </c>
      <c r="AS229">
        <v>2</v>
      </c>
      <c r="AT229" t="s">
        <v>126</v>
      </c>
      <c r="AU229" t="s">
        <v>155</v>
      </c>
      <c r="AV229" t="s">
        <v>156</v>
      </c>
      <c r="AX229" t="s">
        <v>129</v>
      </c>
      <c r="AY229">
        <v>44375</v>
      </c>
      <c r="BB229">
        <v>102.24850000000001</v>
      </c>
      <c r="BC229" t="s">
        <v>112</v>
      </c>
      <c r="BD229" t="s">
        <v>112</v>
      </c>
      <c r="BE229" t="s">
        <v>157</v>
      </c>
      <c r="BF229" t="s">
        <v>133</v>
      </c>
      <c r="BG229" t="s">
        <v>167</v>
      </c>
      <c r="BH229" t="s">
        <v>112</v>
      </c>
      <c r="BI229" t="s">
        <v>112</v>
      </c>
      <c r="BJ229" t="s">
        <v>112</v>
      </c>
      <c r="BK229" t="s">
        <v>169</v>
      </c>
      <c r="BL229" t="s">
        <v>159</v>
      </c>
      <c r="BM229" t="s">
        <v>160</v>
      </c>
      <c r="BN229" t="s">
        <v>161</v>
      </c>
      <c r="BP229" t="s">
        <v>162</v>
      </c>
      <c r="BR229" t="s">
        <v>150</v>
      </c>
      <c r="BS229">
        <v>33</v>
      </c>
      <c r="BT229">
        <v>0</v>
      </c>
      <c r="BU229">
        <v>0</v>
      </c>
      <c r="BW229">
        <v>0</v>
      </c>
      <c r="BY229" t="s">
        <v>106</v>
      </c>
      <c r="BZ229" t="s">
        <v>142</v>
      </c>
      <c r="CA229" t="s">
        <v>112</v>
      </c>
      <c r="CB229" t="s">
        <v>112</v>
      </c>
      <c r="CC229" t="s">
        <v>121</v>
      </c>
      <c r="CD229">
        <v>16915.919999999998</v>
      </c>
      <c r="CE229" t="s">
        <v>144</v>
      </c>
      <c r="CF229">
        <v>4000000</v>
      </c>
      <c r="CG229">
        <v>16861.919999999998</v>
      </c>
      <c r="CH229">
        <v>0</v>
      </c>
      <c r="CI229" t="s">
        <v>112</v>
      </c>
      <c r="CJ229" t="s">
        <v>112</v>
      </c>
      <c r="CK229">
        <v>44375</v>
      </c>
      <c r="CM229">
        <v>0</v>
      </c>
      <c r="CN229">
        <v>1</v>
      </c>
      <c r="CO229">
        <v>4959563.5</v>
      </c>
      <c r="CP229">
        <v>51639.58</v>
      </c>
      <c r="CQ229" t="s">
        <v>145</v>
      </c>
      <c r="CR229">
        <v>51597.475199999993</v>
      </c>
      <c r="CS229">
        <v>3.06</v>
      </c>
      <c r="CT229">
        <v>45</v>
      </c>
      <c r="CV229" t="s">
        <v>163</v>
      </c>
      <c r="CW229">
        <v>353</v>
      </c>
    </row>
    <row r="230" spans="1:101" x14ac:dyDescent="0.2">
      <c r="A230" t="s">
        <v>106</v>
      </c>
      <c r="B230" s="46">
        <v>44874</v>
      </c>
      <c r="C230" t="s">
        <v>2049</v>
      </c>
      <c r="D230" t="s">
        <v>108</v>
      </c>
      <c r="E230" t="s">
        <v>2050</v>
      </c>
      <c r="F230" t="s">
        <v>110</v>
      </c>
      <c r="G230" t="s">
        <v>111</v>
      </c>
      <c r="H230" t="s">
        <v>112</v>
      </c>
      <c r="I230" t="s">
        <v>112</v>
      </c>
      <c r="J230" t="s">
        <v>112</v>
      </c>
      <c r="K230" t="s">
        <v>175</v>
      </c>
      <c r="L230" t="s">
        <v>448</v>
      </c>
      <c r="M230" t="s">
        <v>112</v>
      </c>
      <c r="N230" t="s">
        <v>112</v>
      </c>
      <c r="O230">
        <v>1</v>
      </c>
      <c r="Q230">
        <v>1</v>
      </c>
      <c r="R230">
        <v>33</v>
      </c>
      <c r="S230" t="s">
        <v>112</v>
      </c>
      <c r="T230" t="s">
        <v>152</v>
      </c>
      <c r="U230" t="s">
        <v>153</v>
      </c>
      <c r="V230" t="s">
        <v>154</v>
      </c>
      <c r="W230" t="s">
        <v>119</v>
      </c>
      <c r="X230" t="s">
        <v>112</v>
      </c>
      <c r="Y230" t="s">
        <v>112</v>
      </c>
      <c r="Z230" t="s">
        <v>152</v>
      </c>
      <c r="AA230" t="s">
        <v>153</v>
      </c>
      <c r="AB230" t="s">
        <v>154</v>
      </c>
      <c r="AC230" t="s">
        <v>119</v>
      </c>
      <c r="AD230" t="s">
        <v>112</v>
      </c>
      <c r="AE230" t="s">
        <v>121</v>
      </c>
      <c r="AF230" t="s">
        <v>122</v>
      </c>
      <c r="AG230">
        <v>4996659.25</v>
      </c>
      <c r="AH230" t="s">
        <v>112</v>
      </c>
      <c r="AI230" t="s">
        <v>152</v>
      </c>
      <c r="AJ230" t="s">
        <v>153</v>
      </c>
      <c r="AK230" t="s">
        <v>154</v>
      </c>
      <c r="AL230" t="s">
        <v>119</v>
      </c>
      <c r="AM230" t="s">
        <v>112</v>
      </c>
      <c r="AN230" t="s">
        <v>121</v>
      </c>
      <c r="AO230" t="s">
        <v>122</v>
      </c>
      <c r="AP230" t="s">
        <v>122</v>
      </c>
      <c r="AQ230" t="s">
        <v>124</v>
      </c>
      <c r="AR230" t="s">
        <v>125</v>
      </c>
      <c r="AS230">
        <v>2</v>
      </c>
      <c r="AT230" t="s">
        <v>126</v>
      </c>
      <c r="AU230" t="s">
        <v>155</v>
      </c>
      <c r="AV230" t="s">
        <v>156</v>
      </c>
      <c r="AX230" t="s">
        <v>129</v>
      </c>
      <c r="AY230">
        <v>44737.8</v>
      </c>
      <c r="BB230">
        <v>102.24850000000001</v>
      </c>
      <c r="BC230" t="s">
        <v>112</v>
      </c>
      <c r="BD230" t="s">
        <v>112</v>
      </c>
      <c r="BE230" t="s">
        <v>157</v>
      </c>
      <c r="BF230" t="s">
        <v>133</v>
      </c>
      <c r="BG230" t="s">
        <v>167</v>
      </c>
      <c r="BH230" t="s">
        <v>112</v>
      </c>
      <c r="BI230" t="s">
        <v>112</v>
      </c>
      <c r="BJ230" t="s">
        <v>112</v>
      </c>
      <c r="BK230" t="s">
        <v>169</v>
      </c>
      <c r="BL230" t="s">
        <v>159</v>
      </c>
      <c r="BM230" t="s">
        <v>160</v>
      </c>
      <c r="BN230" t="s">
        <v>161</v>
      </c>
      <c r="BP230" t="s">
        <v>466</v>
      </c>
      <c r="BR230" t="s">
        <v>150</v>
      </c>
      <c r="BS230">
        <v>33</v>
      </c>
      <c r="BT230">
        <v>0</v>
      </c>
      <c r="BU230">
        <v>0</v>
      </c>
      <c r="BW230">
        <v>0</v>
      </c>
      <c r="BY230" t="s">
        <v>106</v>
      </c>
      <c r="BZ230" t="s">
        <v>142</v>
      </c>
      <c r="CA230" t="s">
        <v>112</v>
      </c>
      <c r="CB230" t="s">
        <v>112</v>
      </c>
      <c r="CC230" t="s">
        <v>121</v>
      </c>
      <c r="CD230">
        <v>16525.080000000002</v>
      </c>
      <c r="CE230" t="s">
        <v>144</v>
      </c>
      <c r="CF230">
        <v>4000000</v>
      </c>
      <c r="CG230">
        <v>16525.080000000002</v>
      </c>
      <c r="CH230">
        <v>0</v>
      </c>
      <c r="CI230" t="s">
        <v>112</v>
      </c>
      <c r="CJ230" t="s">
        <v>112</v>
      </c>
      <c r="CK230">
        <v>44737.8</v>
      </c>
      <c r="CM230">
        <v>0</v>
      </c>
      <c r="CN230">
        <v>1</v>
      </c>
      <c r="CO230">
        <v>4996659.25</v>
      </c>
      <c r="CP230">
        <v>52025.83</v>
      </c>
      <c r="CQ230" t="s">
        <v>145</v>
      </c>
      <c r="CR230">
        <v>52054.002</v>
      </c>
      <c r="CS230">
        <v>3.15</v>
      </c>
      <c r="CT230">
        <v>45</v>
      </c>
      <c r="CV230" t="s">
        <v>729</v>
      </c>
      <c r="CW230">
        <v>224</v>
      </c>
    </row>
    <row r="231" spans="1:101" x14ac:dyDescent="0.2">
      <c r="A231" t="s">
        <v>106</v>
      </c>
      <c r="B231" s="46">
        <v>45131</v>
      </c>
      <c r="C231" t="s">
        <v>2029</v>
      </c>
      <c r="D231" t="s">
        <v>108</v>
      </c>
      <c r="E231" t="s">
        <v>2030</v>
      </c>
      <c r="F231" t="s">
        <v>110</v>
      </c>
      <c r="G231" t="s">
        <v>111</v>
      </c>
      <c r="H231" t="s">
        <v>112</v>
      </c>
      <c r="I231" t="s">
        <v>112</v>
      </c>
      <c r="J231" t="s">
        <v>112</v>
      </c>
      <c r="K231" t="s">
        <v>150</v>
      </c>
      <c r="L231" t="s">
        <v>151</v>
      </c>
      <c r="M231" t="s">
        <v>112</v>
      </c>
      <c r="N231" t="s">
        <v>112</v>
      </c>
      <c r="O231">
        <v>1</v>
      </c>
      <c r="Q231">
        <v>1</v>
      </c>
      <c r="R231">
        <v>33</v>
      </c>
      <c r="S231" t="s">
        <v>112</v>
      </c>
      <c r="T231" t="s">
        <v>152</v>
      </c>
      <c r="U231" t="s">
        <v>153</v>
      </c>
      <c r="V231" t="s">
        <v>154</v>
      </c>
      <c r="W231" t="s">
        <v>119</v>
      </c>
      <c r="X231" t="s">
        <v>112</v>
      </c>
      <c r="Y231" t="s">
        <v>112</v>
      </c>
      <c r="Z231" t="s">
        <v>152</v>
      </c>
      <c r="AA231" t="s">
        <v>153</v>
      </c>
      <c r="AB231" t="s">
        <v>154</v>
      </c>
      <c r="AC231" t="s">
        <v>119</v>
      </c>
      <c r="AD231" t="s">
        <v>112</v>
      </c>
      <c r="AE231" t="s">
        <v>121</v>
      </c>
      <c r="AF231" t="s">
        <v>122</v>
      </c>
      <c r="AG231">
        <v>4971618.5999999996</v>
      </c>
      <c r="AH231" t="s">
        <v>112</v>
      </c>
      <c r="AI231" t="s">
        <v>152</v>
      </c>
      <c r="AJ231" t="s">
        <v>153</v>
      </c>
      <c r="AK231" t="s">
        <v>154</v>
      </c>
      <c r="AL231" t="s">
        <v>119</v>
      </c>
      <c r="AM231" t="s">
        <v>112</v>
      </c>
      <c r="AN231" t="s">
        <v>121</v>
      </c>
      <c r="AO231" t="s">
        <v>122</v>
      </c>
      <c r="AP231" t="s">
        <v>122</v>
      </c>
      <c r="AQ231" t="s">
        <v>124</v>
      </c>
      <c r="AR231" t="s">
        <v>125</v>
      </c>
      <c r="AS231">
        <v>2</v>
      </c>
      <c r="AT231" t="s">
        <v>126</v>
      </c>
      <c r="AU231" t="s">
        <v>155</v>
      </c>
      <c r="AV231" t="s">
        <v>156</v>
      </c>
      <c r="AX231" t="s">
        <v>129</v>
      </c>
      <c r="AY231">
        <v>44492.9</v>
      </c>
      <c r="BB231">
        <v>102.24850000000001</v>
      </c>
      <c r="BC231" t="s">
        <v>112</v>
      </c>
      <c r="BD231" t="s">
        <v>112</v>
      </c>
      <c r="BE231" t="s">
        <v>157</v>
      </c>
      <c r="BF231" t="s">
        <v>133</v>
      </c>
      <c r="BG231" t="s">
        <v>167</v>
      </c>
      <c r="BH231" t="s">
        <v>112</v>
      </c>
      <c r="BI231" t="s">
        <v>112</v>
      </c>
      <c r="BJ231" t="s">
        <v>112</v>
      </c>
      <c r="BK231" t="s">
        <v>169</v>
      </c>
      <c r="BL231" t="s">
        <v>159</v>
      </c>
      <c r="BM231" t="s">
        <v>160</v>
      </c>
      <c r="BN231" t="s">
        <v>161</v>
      </c>
      <c r="BP231" t="s">
        <v>232</v>
      </c>
      <c r="BR231" t="s">
        <v>150</v>
      </c>
      <c r="BS231">
        <v>33</v>
      </c>
      <c r="BT231">
        <v>0</v>
      </c>
      <c r="BU231">
        <v>0</v>
      </c>
      <c r="BW231">
        <v>0</v>
      </c>
      <c r="BY231" t="s">
        <v>106</v>
      </c>
      <c r="BZ231" t="s">
        <v>142</v>
      </c>
      <c r="CA231" t="s">
        <v>112</v>
      </c>
      <c r="CB231" t="s">
        <v>112</v>
      </c>
      <c r="CC231" t="s">
        <v>121</v>
      </c>
      <c r="CD231">
        <v>16348.28</v>
      </c>
      <c r="CE231" t="s">
        <v>144</v>
      </c>
      <c r="CF231">
        <v>4000000</v>
      </c>
      <c r="CG231">
        <v>16294.28</v>
      </c>
      <c r="CH231">
        <v>0</v>
      </c>
      <c r="CI231" t="s">
        <v>112</v>
      </c>
      <c r="CJ231" t="s">
        <v>112</v>
      </c>
      <c r="CK231">
        <v>44492.9</v>
      </c>
      <c r="CM231">
        <v>0</v>
      </c>
      <c r="CN231">
        <v>1</v>
      </c>
      <c r="CO231">
        <v>4971618.5999999996</v>
      </c>
      <c r="CP231">
        <v>51765.1</v>
      </c>
      <c r="CQ231" t="s">
        <v>145</v>
      </c>
      <c r="CR231">
        <v>51815.810400000002</v>
      </c>
      <c r="CS231">
        <v>3.18</v>
      </c>
      <c r="CT231">
        <v>45</v>
      </c>
      <c r="CV231" t="s">
        <v>163</v>
      </c>
      <c r="CW231">
        <v>224</v>
      </c>
    </row>
    <row r="232" spans="1:101" x14ac:dyDescent="0.2">
      <c r="A232" t="s">
        <v>106</v>
      </c>
      <c r="B232" s="46">
        <v>45206</v>
      </c>
      <c r="C232" t="s">
        <v>2018</v>
      </c>
      <c r="D232" t="s">
        <v>108</v>
      </c>
      <c r="E232" t="s">
        <v>2019</v>
      </c>
      <c r="F232" t="s">
        <v>110</v>
      </c>
      <c r="G232" t="s">
        <v>111</v>
      </c>
      <c r="H232" t="s">
        <v>112</v>
      </c>
      <c r="I232" t="s">
        <v>112</v>
      </c>
      <c r="J232" t="s">
        <v>112</v>
      </c>
      <c r="K232" t="s">
        <v>150</v>
      </c>
      <c r="L232" t="s">
        <v>151</v>
      </c>
      <c r="M232" t="s">
        <v>112</v>
      </c>
      <c r="N232" t="s">
        <v>112</v>
      </c>
      <c r="O232">
        <v>1</v>
      </c>
      <c r="Q232">
        <v>1</v>
      </c>
      <c r="R232">
        <v>33</v>
      </c>
      <c r="S232" t="s">
        <v>112</v>
      </c>
      <c r="T232" t="s">
        <v>152</v>
      </c>
      <c r="U232" t="s">
        <v>153</v>
      </c>
      <c r="V232" t="s">
        <v>154</v>
      </c>
      <c r="W232" t="s">
        <v>119</v>
      </c>
      <c r="X232" t="s">
        <v>112</v>
      </c>
      <c r="Y232" t="s">
        <v>112</v>
      </c>
      <c r="Z232" t="s">
        <v>152</v>
      </c>
      <c r="AA232" t="s">
        <v>153</v>
      </c>
      <c r="AB232" t="s">
        <v>154</v>
      </c>
      <c r="AC232" t="s">
        <v>119</v>
      </c>
      <c r="AD232" t="s">
        <v>112</v>
      </c>
      <c r="AE232" t="s">
        <v>121</v>
      </c>
      <c r="AF232" t="s">
        <v>122</v>
      </c>
      <c r="AG232">
        <v>4056705.15</v>
      </c>
      <c r="AH232" t="s">
        <v>112</v>
      </c>
      <c r="AI232" t="s">
        <v>152</v>
      </c>
      <c r="AJ232" t="s">
        <v>153</v>
      </c>
      <c r="AK232" t="s">
        <v>154</v>
      </c>
      <c r="AL232" t="s">
        <v>119</v>
      </c>
      <c r="AM232" t="s">
        <v>112</v>
      </c>
      <c r="AN232" t="s">
        <v>121</v>
      </c>
      <c r="AO232" t="s">
        <v>122</v>
      </c>
      <c r="AP232" t="s">
        <v>122</v>
      </c>
      <c r="AQ232" t="s">
        <v>124</v>
      </c>
      <c r="AR232" t="s">
        <v>125</v>
      </c>
      <c r="AS232">
        <v>2</v>
      </c>
      <c r="AT232" t="s">
        <v>126</v>
      </c>
      <c r="AU232" t="s">
        <v>155</v>
      </c>
      <c r="AV232" t="s">
        <v>156</v>
      </c>
      <c r="AX232" t="s">
        <v>129</v>
      </c>
      <c r="AY232">
        <v>35544.959999999999</v>
      </c>
      <c r="BB232">
        <v>102.24850000000001</v>
      </c>
      <c r="BC232" t="s">
        <v>112</v>
      </c>
      <c r="BD232" t="s">
        <v>112</v>
      </c>
      <c r="BE232" t="s">
        <v>157</v>
      </c>
      <c r="BF232" t="s">
        <v>133</v>
      </c>
      <c r="BG232" t="s">
        <v>167</v>
      </c>
      <c r="BH232" t="s">
        <v>112</v>
      </c>
      <c r="BI232" t="s">
        <v>112</v>
      </c>
      <c r="BJ232" t="s">
        <v>112</v>
      </c>
      <c r="BK232" t="s">
        <v>169</v>
      </c>
      <c r="BL232" t="s">
        <v>159</v>
      </c>
      <c r="BM232" t="s">
        <v>160</v>
      </c>
      <c r="BN232" t="s">
        <v>161</v>
      </c>
      <c r="BP232" t="s">
        <v>213</v>
      </c>
      <c r="BR232" t="s">
        <v>150</v>
      </c>
      <c r="BS232">
        <v>33</v>
      </c>
      <c r="BT232">
        <v>0</v>
      </c>
      <c r="BU232">
        <v>0</v>
      </c>
      <c r="BW232">
        <v>0</v>
      </c>
      <c r="BY232" t="s">
        <v>106</v>
      </c>
      <c r="BZ232" t="s">
        <v>142</v>
      </c>
      <c r="CA232" t="s">
        <v>112</v>
      </c>
      <c r="CB232" t="s">
        <v>112</v>
      </c>
      <c r="CC232" t="s">
        <v>121</v>
      </c>
      <c r="CD232">
        <v>17353.91</v>
      </c>
      <c r="CE232" t="s">
        <v>144</v>
      </c>
      <c r="CF232">
        <v>4000000</v>
      </c>
      <c r="CG232">
        <v>17353.91</v>
      </c>
      <c r="CH232">
        <v>0</v>
      </c>
      <c r="CI232" t="s">
        <v>112</v>
      </c>
      <c r="CJ232" t="s">
        <v>112</v>
      </c>
      <c r="CK232">
        <v>35544.959999999999</v>
      </c>
      <c r="CM232">
        <v>0</v>
      </c>
      <c r="CN232">
        <v>1</v>
      </c>
      <c r="CO232">
        <v>4056705.15</v>
      </c>
      <c r="CP232">
        <v>42238.91</v>
      </c>
      <c r="CQ232" t="s">
        <v>145</v>
      </c>
      <c r="CR232">
        <v>42170.001300000004</v>
      </c>
      <c r="CS232">
        <v>2.4300000000000002</v>
      </c>
      <c r="CT232">
        <v>45</v>
      </c>
      <c r="CV232" t="s">
        <v>1140</v>
      </c>
      <c r="CW232">
        <v>559</v>
      </c>
    </row>
    <row r="233" spans="1:101" x14ac:dyDescent="0.2">
      <c r="A233" t="s">
        <v>106</v>
      </c>
      <c r="B233" s="46">
        <v>45248</v>
      </c>
      <c r="C233" t="s">
        <v>1792</v>
      </c>
      <c r="D233" t="s">
        <v>108</v>
      </c>
      <c r="E233" t="s">
        <v>1793</v>
      </c>
      <c r="F233" t="s">
        <v>110</v>
      </c>
      <c r="G233" t="s">
        <v>111</v>
      </c>
      <c r="H233" t="s">
        <v>112</v>
      </c>
      <c r="I233" t="s">
        <v>112</v>
      </c>
      <c r="J233" t="s">
        <v>112</v>
      </c>
      <c r="K233" t="s">
        <v>150</v>
      </c>
      <c r="L233" t="s">
        <v>151</v>
      </c>
      <c r="M233" t="s">
        <v>112</v>
      </c>
      <c r="N233" t="s">
        <v>112</v>
      </c>
      <c r="Q233">
        <v>1</v>
      </c>
      <c r="R233">
        <v>33</v>
      </c>
      <c r="S233" t="s">
        <v>112</v>
      </c>
      <c r="T233" t="s">
        <v>1704</v>
      </c>
      <c r="U233" t="s">
        <v>153</v>
      </c>
      <c r="V233" t="s">
        <v>154</v>
      </c>
      <c r="W233" t="s">
        <v>112</v>
      </c>
      <c r="X233" t="s">
        <v>112</v>
      </c>
      <c r="Y233" t="s">
        <v>166</v>
      </c>
      <c r="Z233" t="s">
        <v>152</v>
      </c>
      <c r="AA233" t="s">
        <v>153</v>
      </c>
      <c r="AB233" t="s">
        <v>154</v>
      </c>
      <c r="AC233" t="s">
        <v>119</v>
      </c>
      <c r="AD233" t="s">
        <v>112</v>
      </c>
      <c r="AE233" t="s">
        <v>121</v>
      </c>
      <c r="AF233" t="s">
        <v>122</v>
      </c>
      <c r="AG233">
        <v>4536652.3600000003</v>
      </c>
      <c r="AH233" t="s">
        <v>166</v>
      </c>
      <c r="AI233" t="s">
        <v>152</v>
      </c>
      <c r="AJ233" t="s">
        <v>153</v>
      </c>
      <c r="AK233" t="s">
        <v>154</v>
      </c>
      <c r="AL233" t="s">
        <v>119</v>
      </c>
      <c r="AM233" t="s">
        <v>112</v>
      </c>
      <c r="AN233" t="s">
        <v>121</v>
      </c>
      <c r="AO233" t="s">
        <v>122</v>
      </c>
      <c r="AP233" t="s">
        <v>122</v>
      </c>
      <c r="AQ233" t="s">
        <v>124</v>
      </c>
      <c r="AR233" t="s">
        <v>125</v>
      </c>
      <c r="AT233" t="s">
        <v>126</v>
      </c>
      <c r="AU233" t="s">
        <v>155</v>
      </c>
      <c r="AV233" t="s">
        <v>156</v>
      </c>
      <c r="AX233" t="s">
        <v>129</v>
      </c>
      <c r="AY233">
        <v>39622.160000000003</v>
      </c>
      <c r="BB233">
        <v>102.47190000000001</v>
      </c>
      <c r="BC233" t="s">
        <v>112</v>
      </c>
      <c r="BD233" t="s">
        <v>112</v>
      </c>
      <c r="BE233" t="s">
        <v>112</v>
      </c>
      <c r="BF233" t="s">
        <v>133</v>
      </c>
      <c r="BG233" t="s">
        <v>134</v>
      </c>
      <c r="BH233" t="s">
        <v>112</v>
      </c>
      <c r="BI233" t="s">
        <v>112</v>
      </c>
      <c r="BJ233" t="s">
        <v>112</v>
      </c>
      <c r="BK233" t="s">
        <v>112</v>
      </c>
      <c r="BL233" t="s">
        <v>112</v>
      </c>
      <c r="BM233" t="s">
        <v>112</v>
      </c>
      <c r="BN233" t="s">
        <v>161</v>
      </c>
      <c r="BP233" t="s">
        <v>205</v>
      </c>
      <c r="BR233" t="s">
        <v>150</v>
      </c>
      <c r="BS233">
        <v>33</v>
      </c>
      <c r="BT233">
        <v>0</v>
      </c>
      <c r="BU233">
        <v>0</v>
      </c>
      <c r="BY233" t="s">
        <v>106</v>
      </c>
      <c r="BZ233" t="s">
        <v>142</v>
      </c>
      <c r="CA233" t="s">
        <v>112</v>
      </c>
      <c r="CB233" t="s">
        <v>112</v>
      </c>
      <c r="CC233" t="s">
        <v>121</v>
      </c>
      <c r="CD233">
        <v>17136.95</v>
      </c>
      <c r="CE233" t="s">
        <v>144</v>
      </c>
      <c r="CF233">
        <v>4000000</v>
      </c>
      <c r="CG233">
        <v>17082.95</v>
      </c>
      <c r="CH233">
        <v>0</v>
      </c>
      <c r="CI233" t="s">
        <v>112</v>
      </c>
      <c r="CJ233" t="s">
        <v>112</v>
      </c>
      <c r="CK233">
        <v>39622.160000000003</v>
      </c>
      <c r="CM233">
        <v>0</v>
      </c>
      <c r="CN233">
        <v>1</v>
      </c>
      <c r="CO233">
        <v>4536652.3600000003</v>
      </c>
      <c r="CP233">
        <v>48057.4</v>
      </c>
      <c r="CQ233" t="s">
        <v>145</v>
      </c>
      <c r="CR233">
        <v>48003.089500000002</v>
      </c>
      <c r="CS233">
        <v>2.81</v>
      </c>
      <c r="CW233">
        <v>174</v>
      </c>
    </row>
    <row r="234" spans="1:101" x14ac:dyDescent="0.2">
      <c r="A234" t="s">
        <v>106</v>
      </c>
      <c r="B234" s="46">
        <v>45174</v>
      </c>
      <c r="C234" t="s">
        <v>1788</v>
      </c>
      <c r="D234" t="s">
        <v>108</v>
      </c>
      <c r="E234" t="s">
        <v>1789</v>
      </c>
      <c r="F234" t="s">
        <v>110</v>
      </c>
      <c r="G234" t="s">
        <v>111</v>
      </c>
      <c r="H234" t="s">
        <v>112</v>
      </c>
      <c r="I234" t="s">
        <v>112</v>
      </c>
      <c r="J234" t="s">
        <v>112</v>
      </c>
      <c r="K234" t="s">
        <v>150</v>
      </c>
      <c r="L234" t="s">
        <v>151</v>
      </c>
      <c r="M234" t="s">
        <v>112</v>
      </c>
      <c r="N234" t="s">
        <v>112</v>
      </c>
      <c r="Q234">
        <v>1</v>
      </c>
      <c r="R234">
        <v>33</v>
      </c>
      <c r="S234" t="s">
        <v>112</v>
      </c>
      <c r="T234" t="s">
        <v>1704</v>
      </c>
      <c r="U234" t="s">
        <v>153</v>
      </c>
      <c r="V234" t="s">
        <v>154</v>
      </c>
      <c r="W234" t="s">
        <v>112</v>
      </c>
      <c r="X234" t="s">
        <v>112</v>
      </c>
      <c r="Y234" t="s">
        <v>166</v>
      </c>
      <c r="Z234" t="s">
        <v>152</v>
      </c>
      <c r="AA234" t="s">
        <v>153</v>
      </c>
      <c r="AB234" t="s">
        <v>154</v>
      </c>
      <c r="AC234" t="s">
        <v>119</v>
      </c>
      <c r="AD234" t="s">
        <v>112</v>
      </c>
      <c r="AE234" t="s">
        <v>121</v>
      </c>
      <c r="AF234" t="s">
        <v>122</v>
      </c>
      <c r="AG234">
        <v>4801536.07</v>
      </c>
      <c r="AH234" t="s">
        <v>166</v>
      </c>
      <c r="AI234" t="s">
        <v>152</v>
      </c>
      <c r="AJ234" t="s">
        <v>153</v>
      </c>
      <c r="AK234" t="s">
        <v>154</v>
      </c>
      <c r="AL234" t="s">
        <v>119</v>
      </c>
      <c r="AM234" t="s">
        <v>112</v>
      </c>
      <c r="AN234" t="s">
        <v>121</v>
      </c>
      <c r="AO234" t="s">
        <v>122</v>
      </c>
      <c r="AP234" t="s">
        <v>122</v>
      </c>
      <c r="AQ234" t="s">
        <v>124</v>
      </c>
      <c r="AR234" t="s">
        <v>125</v>
      </c>
      <c r="AT234" t="s">
        <v>126</v>
      </c>
      <c r="AU234" t="s">
        <v>155</v>
      </c>
      <c r="AV234" t="s">
        <v>156</v>
      </c>
      <c r="AX234" t="s">
        <v>129</v>
      </c>
      <c r="AY234">
        <v>42207.1</v>
      </c>
      <c r="BB234">
        <v>102.47190000000001</v>
      </c>
      <c r="BC234" t="s">
        <v>112</v>
      </c>
      <c r="BD234" t="s">
        <v>112</v>
      </c>
      <c r="BE234" t="s">
        <v>112</v>
      </c>
      <c r="BF234" t="s">
        <v>133</v>
      </c>
      <c r="BG234" t="s">
        <v>134</v>
      </c>
      <c r="BH234" t="s">
        <v>112</v>
      </c>
      <c r="BI234" t="s">
        <v>112</v>
      </c>
      <c r="BJ234" t="s">
        <v>112</v>
      </c>
      <c r="BK234" t="s">
        <v>112</v>
      </c>
      <c r="BL234" t="s">
        <v>112</v>
      </c>
      <c r="BM234" t="s">
        <v>112</v>
      </c>
      <c r="BN234" t="s">
        <v>161</v>
      </c>
      <c r="BP234" t="s">
        <v>232</v>
      </c>
      <c r="BR234" t="s">
        <v>150</v>
      </c>
      <c r="BS234">
        <v>33</v>
      </c>
      <c r="BT234">
        <v>0</v>
      </c>
      <c r="BU234">
        <v>0</v>
      </c>
      <c r="BY234" t="s">
        <v>106</v>
      </c>
      <c r="BZ234" t="s">
        <v>142</v>
      </c>
      <c r="CA234" t="s">
        <v>112</v>
      </c>
      <c r="CB234" t="s">
        <v>112</v>
      </c>
      <c r="CC234" t="s">
        <v>121</v>
      </c>
      <c r="CD234">
        <v>15969.62</v>
      </c>
      <c r="CE234" t="s">
        <v>144</v>
      </c>
      <c r="CF234">
        <v>4000000</v>
      </c>
      <c r="CG234">
        <v>15873.62</v>
      </c>
      <c r="CH234">
        <v>0</v>
      </c>
      <c r="CI234" t="s">
        <v>112</v>
      </c>
      <c r="CJ234" t="s">
        <v>112</v>
      </c>
      <c r="CK234">
        <v>42207.1</v>
      </c>
      <c r="CM234">
        <v>0</v>
      </c>
      <c r="CN234">
        <v>1</v>
      </c>
      <c r="CO234">
        <v>4801536.07</v>
      </c>
      <c r="CP234">
        <v>50863.35</v>
      </c>
      <c r="CQ234" t="s">
        <v>145</v>
      </c>
      <c r="CR234">
        <v>50795.584000000003</v>
      </c>
      <c r="CS234">
        <v>3.2</v>
      </c>
      <c r="CW234">
        <v>124</v>
      </c>
    </row>
    <row r="235" spans="1:101" x14ac:dyDescent="0.2">
      <c r="A235" t="s">
        <v>106</v>
      </c>
      <c r="B235" s="46">
        <v>45137</v>
      </c>
      <c r="C235" t="s">
        <v>1581</v>
      </c>
      <c r="D235" t="s">
        <v>108</v>
      </c>
      <c r="E235" t="s">
        <v>1582</v>
      </c>
      <c r="F235" t="s">
        <v>110</v>
      </c>
      <c r="G235" t="s">
        <v>111</v>
      </c>
      <c r="H235" t="s">
        <v>112</v>
      </c>
      <c r="I235" t="s">
        <v>112</v>
      </c>
      <c r="J235" t="s">
        <v>112</v>
      </c>
      <c r="K235" t="s">
        <v>150</v>
      </c>
      <c r="L235" t="s">
        <v>1143</v>
      </c>
      <c r="M235" t="s">
        <v>112</v>
      </c>
      <c r="N235" t="s">
        <v>112</v>
      </c>
      <c r="O235">
        <v>1</v>
      </c>
      <c r="P235">
        <v>0</v>
      </c>
      <c r="Q235">
        <v>1</v>
      </c>
      <c r="R235">
        <v>33</v>
      </c>
      <c r="S235" t="s">
        <v>166</v>
      </c>
      <c r="T235" t="s">
        <v>152</v>
      </c>
      <c r="U235" t="s">
        <v>153</v>
      </c>
      <c r="V235" t="s">
        <v>154</v>
      </c>
      <c r="W235" t="s">
        <v>119</v>
      </c>
      <c r="X235" t="s">
        <v>112</v>
      </c>
      <c r="Y235" t="s">
        <v>166</v>
      </c>
      <c r="Z235" t="s">
        <v>152</v>
      </c>
      <c r="AA235" t="s">
        <v>153</v>
      </c>
      <c r="AB235" t="s">
        <v>154</v>
      </c>
      <c r="AC235" t="s">
        <v>119</v>
      </c>
      <c r="AD235" t="s">
        <v>112</v>
      </c>
      <c r="AE235" t="s">
        <v>121</v>
      </c>
      <c r="AF235" t="s">
        <v>122</v>
      </c>
      <c r="AG235">
        <v>4638860.47</v>
      </c>
      <c r="AH235" t="s">
        <v>166</v>
      </c>
      <c r="AI235" t="s">
        <v>152</v>
      </c>
      <c r="AJ235" t="s">
        <v>153</v>
      </c>
      <c r="AK235" t="s">
        <v>154</v>
      </c>
      <c r="AL235" t="s">
        <v>119</v>
      </c>
      <c r="AM235" t="s">
        <v>112</v>
      </c>
      <c r="AN235" t="s">
        <v>121</v>
      </c>
      <c r="AO235" t="s">
        <v>122</v>
      </c>
      <c r="AP235" t="s">
        <v>122</v>
      </c>
      <c r="AQ235" t="s">
        <v>124</v>
      </c>
      <c r="AR235" t="s">
        <v>125</v>
      </c>
      <c r="AS235">
        <v>2</v>
      </c>
      <c r="AT235" t="s">
        <v>126</v>
      </c>
      <c r="AU235" t="s">
        <v>155</v>
      </c>
      <c r="AV235" t="s">
        <v>156</v>
      </c>
      <c r="AW235">
        <v>1</v>
      </c>
      <c r="AX235" t="s">
        <v>129</v>
      </c>
      <c r="AY235">
        <v>42091.56</v>
      </c>
      <c r="AZ235">
        <v>4224368</v>
      </c>
      <c r="BA235">
        <v>51264.36</v>
      </c>
      <c r="BB235">
        <v>100.3614</v>
      </c>
      <c r="BC235" t="s">
        <v>130</v>
      </c>
      <c r="BD235" t="s">
        <v>112</v>
      </c>
      <c r="BE235" t="s">
        <v>157</v>
      </c>
      <c r="BF235" t="s">
        <v>133</v>
      </c>
      <c r="BG235" t="s">
        <v>134</v>
      </c>
      <c r="BH235" t="s">
        <v>112</v>
      </c>
      <c r="BI235" t="s">
        <v>112</v>
      </c>
      <c r="BJ235" t="s">
        <v>112</v>
      </c>
      <c r="BK235" t="s">
        <v>169</v>
      </c>
      <c r="BL235" t="s">
        <v>159</v>
      </c>
      <c r="BM235" t="s">
        <v>722</v>
      </c>
      <c r="BN235" t="s">
        <v>161</v>
      </c>
      <c r="BO235">
        <v>1</v>
      </c>
      <c r="BP235" t="s">
        <v>1281</v>
      </c>
      <c r="BR235" t="s">
        <v>150</v>
      </c>
      <c r="BS235">
        <v>33</v>
      </c>
      <c r="BT235">
        <v>0</v>
      </c>
      <c r="BU235">
        <v>0</v>
      </c>
      <c r="BW235">
        <v>0</v>
      </c>
      <c r="BY235" t="s">
        <v>106</v>
      </c>
      <c r="BZ235" t="s">
        <v>142</v>
      </c>
      <c r="CA235" t="s">
        <v>112</v>
      </c>
      <c r="CB235" t="s">
        <v>112</v>
      </c>
      <c r="CC235" t="s">
        <v>121</v>
      </c>
      <c r="CD235">
        <v>17071.61</v>
      </c>
      <c r="CE235" t="s">
        <v>144</v>
      </c>
      <c r="CF235">
        <v>4000000</v>
      </c>
      <c r="CG235">
        <v>17071.61</v>
      </c>
      <c r="CH235">
        <v>0</v>
      </c>
      <c r="CI235" t="s">
        <v>112</v>
      </c>
      <c r="CJ235" t="s">
        <v>112</v>
      </c>
      <c r="CK235">
        <v>42091.56</v>
      </c>
      <c r="CL235">
        <v>4224368</v>
      </c>
      <c r="CM235">
        <v>0</v>
      </c>
      <c r="CN235">
        <v>1</v>
      </c>
      <c r="CO235">
        <v>4638860.47</v>
      </c>
      <c r="CP235">
        <v>51264.36</v>
      </c>
      <c r="CQ235" t="s">
        <v>145</v>
      </c>
      <c r="CR235">
        <v>51214.83</v>
      </c>
      <c r="CS235">
        <v>3</v>
      </c>
      <c r="CT235">
        <v>45</v>
      </c>
      <c r="CU235" t="s">
        <v>171</v>
      </c>
      <c r="CV235" t="s">
        <v>172</v>
      </c>
      <c r="CW235">
        <v>577</v>
      </c>
    </row>
    <row r="236" spans="1:101" x14ac:dyDescent="0.2">
      <c r="A236" t="s">
        <v>106</v>
      </c>
      <c r="B236" s="46">
        <v>45162</v>
      </c>
      <c r="C236" t="s">
        <v>1229</v>
      </c>
      <c r="D236" t="s">
        <v>108</v>
      </c>
      <c r="E236" t="s">
        <v>1230</v>
      </c>
      <c r="F236" t="s">
        <v>110</v>
      </c>
      <c r="G236" t="s">
        <v>111</v>
      </c>
      <c r="H236" t="s">
        <v>112</v>
      </c>
      <c r="I236" t="s">
        <v>112</v>
      </c>
      <c r="J236" t="s">
        <v>112</v>
      </c>
      <c r="K236" t="s">
        <v>150</v>
      </c>
      <c r="L236" t="s">
        <v>1060</v>
      </c>
      <c r="M236" t="s">
        <v>112</v>
      </c>
      <c r="N236" t="s">
        <v>112</v>
      </c>
      <c r="O236">
        <v>1</v>
      </c>
      <c r="P236">
        <v>0</v>
      </c>
      <c r="Q236">
        <v>1</v>
      </c>
      <c r="R236">
        <v>33</v>
      </c>
      <c r="S236" t="s">
        <v>166</v>
      </c>
      <c r="T236" t="s">
        <v>152</v>
      </c>
      <c r="U236" t="s">
        <v>153</v>
      </c>
      <c r="V236" t="s">
        <v>154</v>
      </c>
      <c r="W236" t="s">
        <v>119</v>
      </c>
      <c r="X236" t="s">
        <v>112</v>
      </c>
      <c r="Y236" t="s">
        <v>166</v>
      </c>
      <c r="Z236" t="s">
        <v>152</v>
      </c>
      <c r="AA236" t="s">
        <v>153</v>
      </c>
      <c r="AB236" t="s">
        <v>154</v>
      </c>
      <c r="AC236" t="s">
        <v>119</v>
      </c>
      <c r="AD236" t="s">
        <v>112</v>
      </c>
      <c r="AE236" t="s">
        <v>121</v>
      </c>
      <c r="AF236" t="s">
        <v>122</v>
      </c>
      <c r="AG236">
        <v>3639229.11</v>
      </c>
      <c r="AH236" t="s">
        <v>166</v>
      </c>
      <c r="AI236" t="s">
        <v>152</v>
      </c>
      <c r="AJ236" t="s">
        <v>153</v>
      </c>
      <c r="AK236" t="s">
        <v>154</v>
      </c>
      <c r="AL236" t="s">
        <v>119</v>
      </c>
      <c r="AM236" t="s">
        <v>112</v>
      </c>
      <c r="AN236" t="s">
        <v>121</v>
      </c>
      <c r="AO236" t="s">
        <v>122</v>
      </c>
      <c r="AP236" t="s">
        <v>122</v>
      </c>
      <c r="AQ236" t="s">
        <v>124</v>
      </c>
      <c r="AR236" t="s">
        <v>125</v>
      </c>
      <c r="AS236">
        <v>2</v>
      </c>
      <c r="AT236" t="s">
        <v>126</v>
      </c>
      <c r="AU236" t="s">
        <v>155</v>
      </c>
      <c r="AV236" t="s">
        <v>156</v>
      </c>
      <c r="AW236">
        <v>1</v>
      </c>
      <c r="AX236" t="s">
        <v>129</v>
      </c>
      <c r="AY236">
        <v>38088.68</v>
      </c>
      <c r="AZ236">
        <v>3283225</v>
      </c>
      <c r="BA236">
        <v>45509.19</v>
      </c>
      <c r="BB236">
        <v>86.1995</v>
      </c>
      <c r="BC236" t="s">
        <v>130</v>
      </c>
      <c r="BD236" t="s">
        <v>112</v>
      </c>
      <c r="BE236" t="s">
        <v>157</v>
      </c>
      <c r="BF236" t="s">
        <v>133</v>
      </c>
      <c r="BG236" t="s">
        <v>134</v>
      </c>
      <c r="BH236" t="s">
        <v>112</v>
      </c>
      <c r="BI236" t="s">
        <v>112</v>
      </c>
      <c r="BJ236" t="s">
        <v>112</v>
      </c>
      <c r="BK236" t="s">
        <v>169</v>
      </c>
      <c r="BL236" t="s">
        <v>159</v>
      </c>
      <c r="BM236" t="s">
        <v>722</v>
      </c>
      <c r="BN236" t="s">
        <v>161</v>
      </c>
      <c r="BO236">
        <v>1</v>
      </c>
      <c r="BP236" t="s">
        <v>232</v>
      </c>
      <c r="BR236" t="s">
        <v>150</v>
      </c>
      <c r="BS236">
        <v>33</v>
      </c>
      <c r="BT236">
        <v>0</v>
      </c>
      <c r="BU236">
        <v>0</v>
      </c>
      <c r="BW236">
        <v>0</v>
      </c>
      <c r="BY236" t="s">
        <v>106</v>
      </c>
      <c r="BZ236" t="s">
        <v>142</v>
      </c>
      <c r="CA236" t="s">
        <v>112</v>
      </c>
      <c r="CB236" t="s">
        <v>112</v>
      </c>
      <c r="CC236" t="s">
        <v>121</v>
      </c>
      <c r="CD236">
        <v>16872</v>
      </c>
      <c r="CE236" t="s">
        <v>144</v>
      </c>
      <c r="CF236">
        <v>4000000</v>
      </c>
      <c r="CG236">
        <v>16662</v>
      </c>
      <c r="CH236">
        <v>0</v>
      </c>
      <c r="CI236" t="s">
        <v>112</v>
      </c>
      <c r="CJ236" t="s">
        <v>112</v>
      </c>
      <c r="CK236">
        <v>38088.68</v>
      </c>
      <c r="CL236">
        <v>3283225</v>
      </c>
      <c r="CM236">
        <v>0</v>
      </c>
      <c r="CN236">
        <v>1</v>
      </c>
      <c r="CO236">
        <v>3639229.11</v>
      </c>
      <c r="CP236">
        <v>45509.19</v>
      </c>
      <c r="CQ236" t="s">
        <v>145</v>
      </c>
      <c r="CR236">
        <v>45508.920599999998</v>
      </c>
      <c r="CS236">
        <v>2.7313000000000001</v>
      </c>
      <c r="CT236">
        <v>45</v>
      </c>
      <c r="CU236" t="s">
        <v>171</v>
      </c>
      <c r="CV236" t="s">
        <v>350</v>
      </c>
      <c r="CW236">
        <v>317</v>
      </c>
    </row>
    <row r="237" spans="1:101" x14ac:dyDescent="0.2">
      <c r="A237" t="s">
        <v>106</v>
      </c>
      <c r="B237" s="46">
        <v>45256</v>
      </c>
      <c r="C237" t="s">
        <v>1025</v>
      </c>
      <c r="D237" t="s">
        <v>108</v>
      </c>
      <c r="E237" t="s">
        <v>1026</v>
      </c>
      <c r="F237" t="s">
        <v>110</v>
      </c>
      <c r="G237" t="s">
        <v>111</v>
      </c>
      <c r="H237" t="s">
        <v>112</v>
      </c>
      <c r="I237" t="s">
        <v>112</v>
      </c>
      <c r="J237" t="s">
        <v>112</v>
      </c>
      <c r="K237" t="s">
        <v>150</v>
      </c>
      <c r="L237" t="s">
        <v>1020</v>
      </c>
      <c r="M237" t="s">
        <v>112</v>
      </c>
      <c r="N237" t="s">
        <v>112</v>
      </c>
      <c r="O237">
        <v>1</v>
      </c>
      <c r="P237">
        <v>0</v>
      </c>
      <c r="Q237">
        <v>1</v>
      </c>
      <c r="R237">
        <v>33</v>
      </c>
      <c r="S237" t="s">
        <v>166</v>
      </c>
      <c r="T237" t="s">
        <v>152</v>
      </c>
      <c r="U237" t="s">
        <v>153</v>
      </c>
      <c r="V237" t="s">
        <v>154</v>
      </c>
      <c r="W237" t="s">
        <v>119</v>
      </c>
      <c r="X237" t="s">
        <v>112</v>
      </c>
      <c r="Y237" t="s">
        <v>166</v>
      </c>
      <c r="Z237" t="s">
        <v>152</v>
      </c>
      <c r="AA237" t="s">
        <v>153</v>
      </c>
      <c r="AB237" t="s">
        <v>154</v>
      </c>
      <c r="AC237" t="s">
        <v>119</v>
      </c>
      <c r="AD237" t="s">
        <v>112</v>
      </c>
      <c r="AE237" t="s">
        <v>121</v>
      </c>
      <c r="AF237" t="s">
        <v>122</v>
      </c>
      <c r="AG237">
        <v>4138647.83</v>
      </c>
      <c r="AH237" t="s">
        <v>166</v>
      </c>
      <c r="AI237" t="s">
        <v>152</v>
      </c>
      <c r="AJ237" t="s">
        <v>153</v>
      </c>
      <c r="AK237" t="s">
        <v>154</v>
      </c>
      <c r="AL237" t="s">
        <v>119</v>
      </c>
      <c r="AM237" t="s">
        <v>112</v>
      </c>
      <c r="AN237" t="s">
        <v>121</v>
      </c>
      <c r="AO237" t="s">
        <v>122</v>
      </c>
      <c r="AP237" t="s">
        <v>122</v>
      </c>
      <c r="AQ237" t="s">
        <v>124</v>
      </c>
      <c r="AR237" t="s">
        <v>125</v>
      </c>
      <c r="AS237">
        <v>2</v>
      </c>
      <c r="AT237" t="s">
        <v>126</v>
      </c>
      <c r="AU237" t="s">
        <v>155</v>
      </c>
      <c r="AV237" t="s">
        <v>156</v>
      </c>
      <c r="AW237">
        <v>1</v>
      </c>
      <c r="AX237" t="s">
        <v>129</v>
      </c>
      <c r="AY237">
        <v>41913.120000000003</v>
      </c>
      <c r="AZ237">
        <v>3749502</v>
      </c>
      <c r="BA237">
        <v>50921.85</v>
      </c>
      <c r="BB237">
        <v>89.4589</v>
      </c>
      <c r="BC237" t="s">
        <v>130</v>
      </c>
      <c r="BD237" t="s">
        <v>112</v>
      </c>
      <c r="BE237" t="s">
        <v>157</v>
      </c>
      <c r="BF237" t="s">
        <v>133</v>
      </c>
      <c r="BG237" t="s">
        <v>134</v>
      </c>
      <c r="BH237" t="s">
        <v>112</v>
      </c>
      <c r="BI237" t="s">
        <v>112</v>
      </c>
      <c r="BJ237" t="s">
        <v>112</v>
      </c>
      <c r="BK237" t="s">
        <v>169</v>
      </c>
      <c r="BL237" t="s">
        <v>159</v>
      </c>
      <c r="BM237" t="s">
        <v>722</v>
      </c>
      <c r="BN237" t="s">
        <v>161</v>
      </c>
      <c r="BO237">
        <v>1</v>
      </c>
      <c r="BP237" t="s">
        <v>205</v>
      </c>
      <c r="BR237" t="s">
        <v>150</v>
      </c>
      <c r="BS237">
        <v>33</v>
      </c>
      <c r="BT237">
        <v>0</v>
      </c>
      <c r="BU237">
        <v>0</v>
      </c>
      <c r="BW237">
        <v>0</v>
      </c>
      <c r="BY237" t="s">
        <v>106</v>
      </c>
      <c r="BZ237" t="s">
        <v>142</v>
      </c>
      <c r="CA237" t="s">
        <v>112</v>
      </c>
      <c r="CB237" t="s">
        <v>112</v>
      </c>
      <c r="CC237" t="s">
        <v>121</v>
      </c>
      <c r="CD237">
        <v>16863.25</v>
      </c>
      <c r="CE237" t="s">
        <v>144</v>
      </c>
      <c r="CF237">
        <v>4000000</v>
      </c>
      <c r="CG237">
        <v>16719.25</v>
      </c>
      <c r="CH237">
        <v>0</v>
      </c>
      <c r="CI237" t="s">
        <v>112</v>
      </c>
      <c r="CJ237" t="s">
        <v>112</v>
      </c>
      <c r="CK237">
        <v>41913.120000000003</v>
      </c>
      <c r="CL237">
        <v>3749502</v>
      </c>
      <c r="CM237">
        <v>0</v>
      </c>
      <c r="CN237">
        <v>1</v>
      </c>
      <c r="CO237">
        <v>4138647.83</v>
      </c>
      <c r="CP237">
        <v>50921.85</v>
      </c>
      <c r="CQ237" t="s">
        <v>145</v>
      </c>
      <c r="CR237">
        <v>50921.819725000001</v>
      </c>
      <c r="CS237">
        <v>3.0457000000000001</v>
      </c>
      <c r="CT237">
        <v>45</v>
      </c>
      <c r="CU237" t="s">
        <v>171</v>
      </c>
      <c r="CV237" t="s">
        <v>172</v>
      </c>
      <c r="CW237">
        <v>140</v>
      </c>
    </row>
    <row r="238" spans="1:101" x14ac:dyDescent="0.2">
      <c r="A238" t="s">
        <v>106</v>
      </c>
      <c r="B238" s="46">
        <v>45000</v>
      </c>
      <c r="C238" t="s">
        <v>1027</v>
      </c>
      <c r="D238" t="s">
        <v>108</v>
      </c>
      <c r="E238" t="s">
        <v>1028</v>
      </c>
      <c r="F238" t="s">
        <v>110</v>
      </c>
      <c r="G238" t="s">
        <v>111</v>
      </c>
      <c r="H238" t="s">
        <v>112</v>
      </c>
      <c r="I238" t="s">
        <v>112</v>
      </c>
      <c r="J238" t="s">
        <v>112</v>
      </c>
      <c r="K238" t="s">
        <v>150</v>
      </c>
      <c r="L238" t="s">
        <v>1020</v>
      </c>
      <c r="M238" t="s">
        <v>112</v>
      </c>
      <c r="N238" t="s">
        <v>112</v>
      </c>
      <c r="O238">
        <v>1</v>
      </c>
      <c r="P238">
        <v>0</v>
      </c>
      <c r="Q238">
        <v>1</v>
      </c>
      <c r="R238">
        <v>33</v>
      </c>
      <c r="S238" t="s">
        <v>166</v>
      </c>
      <c r="T238" t="s">
        <v>152</v>
      </c>
      <c r="U238" t="s">
        <v>153</v>
      </c>
      <c r="V238" t="s">
        <v>154</v>
      </c>
      <c r="W238" t="s">
        <v>119</v>
      </c>
      <c r="X238" t="s">
        <v>112</v>
      </c>
      <c r="Y238" t="s">
        <v>166</v>
      </c>
      <c r="Z238" t="s">
        <v>152</v>
      </c>
      <c r="AA238" t="s">
        <v>153</v>
      </c>
      <c r="AB238" t="s">
        <v>154</v>
      </c>
      <c r="AC238" t="s">
        <v>119</v>
      </c>
      <c r="AD238" t="s">
        <v>112</v>
      </c>
      <c r="AE238" t="s">
        <v>121</v>
      </c>
      <c r="AF238" t="s">
        <v>122</v>
      </c>
      <c r="AG238">
        <v>3937569.27</v>
      </c>
      <c r="AH238" t="s">
        <v>166</v>
      </c>
      <c r="AI238" t="s">
        <v>152</v>
      </c>
      <c r="AJ238" t="s">
        <v>153</v>
      </c>
      <c r="AK238" t="s">
        <v>154</v>
      </c>
      <c r="AL238" t="s">
        <v>119</v>
      </c>
      <c r="AM238" t="s">
        <v>112</v>
      </c>
      <c r="AN238" t="s">
        <v>121</v>
      </c>
      <c r="AO238" t="s">
        <v>122</v>
      </c>
      <c r="AP238" t="s">
        <v>122</v>
      </c>
      <c r="AQ238" t="s">
        <v>124</v>
      </c>
      <c r="AR238" t="s">
        <v>125</v>
      </c>
      <c r="AS238">
        <v>2</v>
      </c>
      <c r="AT238" t="s">
        <v>126</v>
      </c>
      <c r="AU238" t="s">
        <v>155</v>
      </c>
      <c r="AV238" t="s">
        <v>156</v>
      </c>
      <c r="AW238">
        <v>1</v>
      </c>
      <c r="AX238" t="s">
        <v>129</v>
      </c>
      <c r="AY238">
        <v>39665.4</v>
      </c>
      <c r="AZ238">
        <v>3548423</v>
      </c>
      <c r="BA238">
        <v>48447.78</v>
      </c>
      <c r="BB238">
        <v>89.4589</v>
      </c>
      <c r="BC238" t="s">
        <v>130</v>
      </c>
      <c r="BD238" t="s">
        <v>112</v>
      </c>
      <c r="BE238" t="s">
        <v>157</v>
      </c>
      <c r="BF238" t="s">
        <v>133</v>
      </c>
      <c r="BG238" t="s">
        <v>134</v>
      </c>
      <c r="BH238" t="s">
        <v>112</v>
      </c>
      <c r="BI238" t="s">
        <v>112</v>
      </c>
      <c r="BJ238" t="s">
        <v>112</v>
      </c>
      <c r="BK238" t="s">
        <v>169</v>
      </c>
      <c r="BL238" t="s">
        <v>159</v>
      </c>
      <c r="BM238" t="s">
        <v>722</v>
      </c>
      <c r="BN238" t="s">
        <v>161</v>
      </c>
      <c r="BO238">
        <v>1</v>
      </c>
      <c r="BP238" t="s">
        <v>1029</v>
      </c>
      <c r="BR238" t="s">
        <v>150</v>
      </c>
      <c r="BS238">
        <v>33</v>
      </c>
      <c r="BT238">
        <v>0</v>
      </c>
      <c r="BU238">
        <v>0</v>
      </c>
      <c r="BW238">
        <v>0</v>
      </c>
      <c r="BY238" t="s">
        <v>106</v>
      </c>
      <c r="BZ238" t="s">
        <v>142</v>
      </c>
      <c r="CA238" t="s">
        <v>112</v>
      </c>
      <c r="CB238" t="s">
        <v>112</v>
      </c>
      <c r="CC238" t="s">
        <v>121</v>
      </c>
      <c r="CD238">
        <v>16835.25</v>
      </c>
      <c r="CE238" t="s">
        <v>144</v>
      </c>
      <c r="CF238">
        <v>4000000</v>
      </c>
      <c r="CG238">
        <v>16684.05</v>
      </c>
      <c r="CH238">
        <v>0</v>
      </c>
      <c r="CI238" t="s">
        <v>112</v>
      </c>
      <c r="CJ238" t="s">
        <v>112</v>
      </c>
      <c r="CK238">
        <v>39665.4</v>
      </c>
      <c r="CL238">
        <v>3548423</v>
      </c>
      <c r="CM238">
        <v>0</v>
      </c>
      <c r="CN238">
        <v>1</v>
      </c>
      <c r="CO238">
        <v>3937569.27</v>
      </c>
      <c r="CP238">
        <v>48447.78</v>
      </c>
      <c r="CQ238" t="s">
        <v>145</v>
      </c>
      <c r="CR238">
        <v>48447.144389999994</v>
      </c>
      <c r="CS238">
        <v>2.9037999999999999</v>
      </c>
      <c r="CT238">
        <v>45</v>
      </c>
      <c r="CU238" t="s">
        <v>171</v>
      </c>
      <c r="CV238" t="s">
        <v>369</v>
      </c>
      <c r="CW238">
        <v>219</v>
      </c>
    </row>
    <row r="239" spans="1:101" x14ac:dyDescent="0.2">
      <c r="A239" t="s">
        <v>106</v>
      </c>
      <c r="B239" s="46">
        <v>45034</v>
      </c>
      <c r="C239" t="s">
        <v>373</v>
      </c>
      <c r="D239" t="s">
        <v>108</v>
      </c>
      <c r="E239" t="s">
        <v>374</v>
      </c>
      <c r="F239" t="s">
        <v>110</v>
      </c>
      <c r="G239" t="s">
        <v>111</v>
      </c>
      <c r="H239" t="s">
        <v>112</v>
      </c>
      <c r="I239" t="s">
        <v>112</v>
      </c>
      <c r="J239" t="s">
        <v>112</v>
      </c>
      <c r="K239" t="s">
        <v>150</v>
      </c>
      <c r="L239" t="s">
        <v>151</v>
      </c>
      <c r="M239" t="s">
        <v>112</v>
      </c>
      <c r="N239" t="s">
        <v>112</v>
      </c>
      <c r="O239">
        <v>1</v>
      </c>
      <c r="P239">
        <v>0</v>
      </c>
      <c r="Q239">
        <v>1</v>
      </c>
      <c r="R239">
        <v>35</v>
      </c>
      <c r="S239" t="s">
        <v>166</v>
      </c>
      <c r="T239" t="s">
        <v>152</v>
      </c>
      <c r="U239" t="s">
        <v>153</v>
      </c>
      <c r="V239" t="s">
        <v>154</v>
      </c>
      <c r="W239" t="s">
        <v>119</v>
      </c>
      <c r="X239" t="s">
        <v>112</v>
      </c>
      <c r="Y239" t="s">
        <v>166</v>
      </c>
      <c r="Z239" t="s">
        <v>152</v>
      </c>
      <c r="AA239" t="s">
        <v>153</v>
      </c>
      <c r="AB239" t="s">
        <v>154</v>
      </c>
      <c r="AC239" t="s">
        <v>119</v>
      </c>
      <c r="AD239" t="s">
        <v>112</v>
      </c>
      <c r="AE239" t="s">
        <v>121</v>
      </c>
      <c r="AF239" t="s">
        <v>122</v>
      </c>
      <c r="AG239">
        <v>3347675.28</v>
      </c>
      <c r="AH239" t="s">
        <v>166</v>
      </c>
      <c r="AI239" t="s">
        <v>152</v>
      </c>
      <c r="AJ239" t="s">
        <v>153</v>
      </c>
      <c r="AK239" t="s">
        <v>154</v>
      </c>
      <c r="AL239" t="s">
        <v>119</v>
      </c>
      <c r="AM239" t="s">
        <v>112</v>
      </c>
      <c r="AN239" t="s">
        <v>121</v>
      </c>
      <c r="AO239" t="s">
        <v>122</v>
      </c>
      <c r="AP239" t="s">
        <v>122</v>
      </c>
      <c r="AQ239" t="s">
        <v>124</v>
      </c>
      <c r="AR239" t="s">
        <v>125</v>
      </c>
      <c r="AS239">
        <v>2</v>
      </c>
      <c r="AT239" t="s">
        <v>126</v>
      </c>
      <c r="AU239" t="s">
        <v>155</v>
      </c>
      <c r="AV239" t="s">
        <v>156</v>
      </c>
      <c r="AW239">
        <v>1</v>
      </c>
      <c r="AX239" t="s">
        <v>129</v>
      </c>
      <c r="AY239">
        <v>40468.050000000003</v>
      </c>
      <c r="AZ239">
        <v>3022753</v>
      </c>
      <c r="BA239">
        <v>48691.4</v>
      </c>
      <c r="BB239">
        <v>74.694800000000001</v>
      </c>
      <c r="BC239" t="s">
        <v>130</v>
      </c>
      <c r="BD239" t="s">
        <v>112</v>
      </c>
      <c r="BE239" t="s">
        <v>157</v>
      </c>
      <c r="BF239" t="s">
        <v>133</v>
      </c>
      <c r="BG239" t="s">
        <v>134</v>
      </c>
      <c r="BH239" t="s">
        <v>112</v>
      </c>
      <c r="BI239" t="s">
        <v>112</v>
      </c>
      <c r="BJ239" t="s">
        <v>112</v>
      </c>
      <c r="BK239" t="s">
        <v>169</v>
      </c>
      <c r="BL239" t="s">
        <v>159</v>
      </c>
      <c r="BM239" t="s">
        <v>212</v>
      </c>
      <c r="BN239" t="s">
        <v>161</v>
      </c>
      <c r="BO239">
        <v>1</v>
      </c>
      <c r="BP239" t="s">
        <v>375</v>
      </c>
      <c r="BR239" t="s">
        <v>150</v>
      </c>
      <c r="BS239">
        <v>35</v>
      </c>
      <c r="BT239">
        <v>0</v>
      </c>
      <c r="BU239">
        <v>0</v>
      </c>
      <c r="BW239">
        <v>0</v>
      </c>
      <c r="BY239" t="s">
        <v>106</v>
      </c>
      <c r="BZ239" t="s">
        <v>142</v>
      </c>
      <c r="CA239" t="s">
        <v>112</v>
      </c>
      <c r="CB239" t="s">
        <v>112</v>
      </c>
      <c r="CC239" t="s">
        <v>121</v>
      </c>
      <c r="CD239">
        <v>19625.57</v>
      </c>
      <c r="CE239" t="s">
        <v>144</v>
      </c>
      <c r="CF239">
        <v>4000000</v>
      </c>
      <c r="CG239">
        <v>19625.57</v>
      </c>
      <c r="CH239">
        <v>0</v>
      </c>
      <c r="CI239" t="s">
        <v>112</v>
      </c>
      <c r="CJ239" t="s">
        <v>112</v>
      </c>
      <c r="CK239">
        <v>40468.050000000003</v>
      </c>
      <c r="CL239">
        <v>3022753</v>
      </c>
      <c r="CM239">
        <v>0</v>
      </c>
      <c r="CN239">
        <v>1</v>
      </c>
      <c r="CO239">
        <v>3347675.28</v>
      </c>
      <c r="CP239">
        <v>48691.4</v>
      </c>
      <c r="CQ239" t="s">
        <v>145</v>
      </c>
      <c r="CR239">
        <v>48691.039169999996</v>
      </c>
      <c r="CS239">
        <v>2.4809999999999999</v>
      </c>
      <c r="CT239">
        <v>45</v>
      </c>
      <c r="CU239" t="s">
        <v>171</v>
      </c>
      <c r="CV239" t="s">
        <v>350</v>
      </c>
      <c r="CW239">
        <v>118</v>
      </c>
    </row>
    <row r="240" spans="1:101" x14ac:dyDescent="0.2">
      <c r="A240" s="8" t="s">
        <v>106</v>
      </c>
      <c r="B240" s="46">
        <v>45000</v>
      </c>
      <c r="C240" s="8" t="s">
        <v>2758</v>
      </c>
      <c r="D240" s="8" t="s">
        <v>108</v>
      </c>
      <c r="E240" s="8" t="s">
        <v>2759</v>
      </c>
      <c r="F240" t="s">
        <v>110</v>
      </c>
      <c r="G240" s="8" t="s">
        <v>111</v>
      </c>
      <c r="H240" s="8" t="s">
        <v>112</v>
      </c>
      <c r="I240" s="8" t="s">
        <v>112</v>
      </c>
      <c r="J240" s="8" t="s">
        <v>112</v>
      </c>
      <c r="K240" s="8" t="s">
        <v>2161</v>
      </c>
      <c r="L240" s="8" t="s">
        <v>2162</v>
      </c>
      <c r="M240" s="8" t="s">
        <v>112</v>
      </c>
      <c r="N240" s="8" t="s">
        <v>112</v>
      </c>
      <c r="O240">
        <v>2</v>
      </c>
      <c r="Q240">
        <v>2</v>
      </c>
      <c r="R240">
        <v>96</v>
      </c>
      <c r="S240" s="8" t="s">
        <v>2136</v>
      </c>
      <c r="T240" s="8" t="s">
        <v>2137</v>
      </c>
      <c r="U240" s="8" t="s">
        <v>2141</v>
      </c>
      <c r="V240" s="8" t="s">
        <v>2139</v>
      </c>
      <c r="W240" s="8" t="s">
        <v>119</v>
      </c>
      <c r="X240" s="8" t="s">
        <v>2140</v>
      </c>
      <c r="Y240" s="8" t="s">
        <v>2136</v>
      </c>
      <c r="Z240" s="8" t="s">
        <v>2137</v>
      </c>
      <c r="AA240" s="8" t="s">
        <v>2141</v>
      </c>
      <c r="AB240" s="8" t="s">
        <v>2139</v>
      </c>
      <c r="AC240" s="8" t="s">
        <v>119</v>
      </c>
      <c r="AD240" s="8" t="s">
        <v>2140</v>
      </c>
      <c r="AE240" s="8" t="s">
        <v>2163</v>
      </c>
      <c r="AF240" s="8" t="s">
        <v>2164</v>
      </c>
      <c r="AG240">
        <v>12214650.310000001</v>
      </c>
      <c r="AH240" s="8" t="s">
        <v>2136</v>
      </c>
      <c r="AI240" s="8" t="s">
        <v>2137</v>
      </c>
      <c r="AJ240" s="8" t="s">
        <v>2141</v>
      </c>
      <c r="AK240" s="8" t="s">
        <v>2139</v>
      </c>
      <c r="AL240" s="8" t="s">
        <v>119</v>
      </c>
      <c r="AM240" s="8" t="s">
        <v>2140</v>
      </c>
      <c r="AN240" s="8" t="s">
        <v>2163</v>
      </c>
      <c r="AO240" s="8" t="s">
        <v>2164</v>
      </c>
      <c r="AP240" s="8" t="s">
        <v>2164</v>
      </c>
      <c r="AQ240" s="8" t="s">
        <v>124</v>
      </c>
      <c r="AR240" s="8" t="s">
        <v>125</v>
      </c>
      <c r="AS240">
        <v>2</v>
      </c>
      <c r="AT240" s="8" t="s">
        <v>126</v>
      </c>
      <c r="AU240" s="8" t="s">
        <v>127</v>
      </c>
      <c r="AV240" s="8" t="s">
        <v>2493</v>
      </c>
      <c r="AW240">
        <v>1</v>
      </c>
      <c r="AX240" s="8" t="s">
        <v>129</v>
      </c>
      <c r="AY240">
        <v>160171.74</v>
      </c>
      <c r="AZ240">
        <v>11699056</v>
      </c>
      <c r="BA240">
        <v>177859.08</v>
      </c>
      <c r="BB240">
        <v>73.040700000000001</v>
      </c>
      <c r="BC240" s="8" t="s">
        <v>130</v>
      </c>
      <c r="BD240" s="8" t="s">
        <v>112</v>
      </c>
      <c r="BE240" s="8" t="s">
        <v>2166</v>
      </c>
      <c r="BF240" s="8" t="s">
        <v>133</v>
      </c>
      <c r="BG240" s="8" t="s">
        <v>134</v>
      </c>
      <c r="BH240" s="8" t="s">
        <v>112</v>
      </c>
      <c r="BI240" s="8" t="s">
        <v>2167</v>
      </c>
      <c r="BJ240" s="8" t="s">
        <v>112</v>
      </c>
      <c r="BK240" s="8" t="s">
        <v>2168</v>
      </c>
      <c r="BL240" s="8" t="s">
        <v>2169</v>
      </c>
      <c r="BM240" s="8" t="s">
        <v>2170</v>
      </c>
      <c r="BN240" s="8" t="s">
        <v>2171</v>
      </c>
      <c r="BO240">
        <v>1</v>
      </c>
      <c r="BP240" s="8" t="s">
        <v>2146</v>
      </c>
      <c r="BR240" s="8" t="s">
        <v>2161</v>
      </c>
      <c r="BS240">
        <v>92</v>
      </c>
      <c r="BU240">
        <v>240</v>
      </c>
      <c r="BV240" t="s">
        <v>2147</v>
      </c>
      <c r="BY240" s="8" t="s">
        <v>106</v>
      </c>
      <c r="BZ240" s="8" t="s">
        <v>2148</v>
      </c>
      <c r="CA240" s="8" t="s">
        <v>112</v>
      </c>
      <c r="CB240" s="8" t="s">
        <v>112</v>
      </c>
      <c r="CC240" s="8" t="s">
        <v>2163</v>
      </c>
      <c r="CD240">
        <v>17323.400000000001</v>
      </c>
      <c r="CE240" t="s">
        <v>144</v>
      </c>
      <c r="CF240">
        <v>4000000</v>
      </c>
      <c r="CG240">
        <v>16721.5999999999</v>
      </c>
      <c r="CI240" s="8" t="s">
        <v>112</v>
      </c>
      <c r="CJ240" s="8" t="s">
        <v>112</v>
      </c>
      <c r="CK240">
        <v>130791.74</v>
      </c>
      <c r="CL240">
        <v>9553120</v>
      </c>
      <c r="CM240">
        <v>0</v>
      </c>
      <c r="CN240">
        <v>1</v>
      </c>
      <c r="CO240">
        <v>10036356.050000001</v>
      </c>
      <c r="CP240">
        <v>146140.66</v>
      </c>
      <c r="CQ240" s="8" t="s">
        <v>145</v>
      </c>
      <c r="CR240">
        <v>8.7395999999999994</v>
      </c>
      <c r="CS240">
        <v>1053</v>
      </c>
      <c r="CT240" t="s">
        <v>2149</v>
      </c>
      <c r="CV240" t="s">
        <v>2150</v>
      </c>
      <c r="CW240">
        <v>91</v>
      </c>
    </row>
    <row r="241" spans="1:101" x14ac:dyDescent="0.2">
      <c r="A241" s="8" t="s">
        <v>106</v>
      </c>
      <c r="B241" s="46">
        <v>45053</v>
      </c>
      <c r="C241" s="8" t="s">
        <v>2760</v>
      </c>
      <c r="D241" s="8" t="s">
        <v>108</v>
      </c>
      <c r="E241" s="8" t="s">
        <v>2761</v>
      </c>
      <c r="F241" t="s">
        <v>110</v>
      </c>
      <c r="G241" s="8" t="s">
        <v>111</v>
      </c>
      <c r="H241" s="8" t="s">
        <v>112</v>
      </c>
      <c r="I241" s="8" t="s">
        <v>112</v>
      </c>
      <c r="J241" s="8" t="s">
        <v>112</v>
      </c>
      <c r="K241" s="8" t="s">
        <v>2161</v>
      </c>
      <c r="L241" s="8" t="s">
        <v>2162</v>
      </c>
      <c r="M241" s="8" t="s">
        <v>112</v>
      </c>
      <c r="N241" s="8" t="s">
        <v>112</v>
      </c>
      <c r="O241">
        <v>1</v>
      </c>
      <c r="P241">
        <v>0</v>
      </c>
      <c r="Q241">
        <v>1</v>
      </c>
      <c r="R241">
        <v>84</v>
      </c>
      <c r="S241" s="8" t="s">
        <v>2136</v>
      </c>
      <c r="T241" s="8" t="s">
        <v>2137</v>
      </c>
      <c r="U241" s="8" t="s">
        <v>2141</v>
      </c>
      <c r="V241" s="8" t="s">
        <v>2139</v>
      </c>
      <c r="W241" s="8" t="s">
        <v>119</v>
      </c>
      <c r="X241" s="8" t="s">
        <v>2140</v>
      </c>
      <c r="Y241" s="8" t="s">
        <v>2136</v>
      </c>
      <c r="Z241" s="8" t="s">
        <v>2137</v>
      </c>
      <c r="AA241" s="8" t="s">
        <v>2141</v>
      </c>
      <c r="AB241" s="8" t="s">
        <v>2139</v>
      </c>
      <c r="AC241" s="8" t="s">
        <v>119</v>
      </c>
      <c r="AD241" s="8" t="s">
        <v>2140</v>
      </c>
      <c r="AE241" s="8" t="s">
        <v>2163</v>
      </c>
      <c r="AF241" s="8" t="s">
        <v>2164</v>
      </c>
      <c r="AG241">
        <v>10457564</v>
      </c>
      <c r="AH241" s="8" t="s">
        <v>2136</v>
      </c>
      <c r="AI241" s="8" t="s">
        <v>2137</v>
      </c>
      <c r="AJ241" s="8" t="s">
        <v>2141</v>
      </c>
      <c r="AK241" s="8" t="s">
        <v>2139</v>
      </c>
      <c r="AL241" s="8" t="s">
        <v>119</v>
      </c>
      <c r="AM241" s="8" t="s">
        <v>2140</v>
      </c>
      <c r="AN241" s="8" t="s">
        <v>2163</v>
      </c>
      <c r="AO241" s="8" t="s">
        <v>2164</v>
      </c>
      <c r="AP241" s="8" t="s">
        <v>2164</v>
      </c>
      <c r="AQ241" s="8" t="s">
        <v>124</v>
      </c>
      <c r="AR241" s="8" t="s">
        <v>125</v>
      </c>
      <c r="AS241">
        <v>2</v>
      </c>
      <c r="AT241" s="8" t="s">
        <v>126</v>
      </c>
      <c r="AU241" s="8" t="s">
        <v>127</v>
      </c>
      <c r="AV241" s="8" t="s">
        <v>2165</v>
      </c>
      <c r="AW241">
        <v>1</v>
      </c>
      <c r="AX241" s="8" t="s">
        <v>129</v>
      </c>
      <c r="AY241">
        <v>134952.53</v>
      </c>
      <c r="AZ241">
        <v>9857027</v>
      </c>
      <c r="BA241">
        <v>152273.92000000001</v>
      </c>
      <c r="BB241">
        <v>73.040700000000001</v>
      </c>
      <c r="BC241" s="8" t="s">
        <v>130</v>
      </c>
      <c r="BD241" s="8" t="s">
        <v>131</v>
      </c>
      <c r="BE241" s="8" t="s">
        <v>2166</v>
      </c>
      <c r="BF241" s="8" t="s">
        <v>133</v>
      </c>
      <c r="BG241" s="8" t="s">
        <v>134</v>
      </c>
      <c r="BH241" s="8" t="s">
        <v>112</v>
      </c>
      <c r="BI241" s="8" t="s">
        <v>112</v>
      </c>
      <c r="BJ241" s="8" t="s">
        <v>112</v>
      </c>
      <c r="BK241" s="8" t="s">
        <v>2655</v>
      </c>
      <c r="BL241" s="8" t="s">
        <v>2656</v>
      </c>
      <c r="BM241" s="8" t="s">
        <v>2496</v>
      </c>
      <c r="BN241" s="8" t="s">
        <v>2497</v>
      </c>
      <c r="BO241">
        <v>1</v>
      </c>
      <c r="BP241" s="8" t="s">
        <v>2762</v>
      </c>
      <c r="BR241" s="8" t="s">
        <v>2161</v>
      </c>
      <c r="BS241">
        <v>84</v>
      </c>
      <c r="BT241">
        <v>0</v>
      </c>
      <c r="BU241">
        <v>327</v>
      </c>
      <c r="BV241" t="s">
        <v>2147</v>
      </c>
      <c r="BW241">
        <v>0</v>
      </c>
      <c r="BY241" s="8" t="s">
        <v>106</v>
      </c>
      <c r="BZ241" s="8" t="s">
        <v>2148</v>
      </c>
      <c r="CA241" s="8" t="s">
        <v>112</v>
      </c>
      <c r="CB241" s="8" t="s">
        <v>112</v>
      </c>
      <c r="CC241" s="8" t="s">
        <v>2163</v>
      </c>
      <c r="CD241">
        <v>16591.5</v>
      </c>
      <c r="CE241" t="s">
        <v>144</v>
      </c>
      <c r="CF241">
        <v>4000000</v>
      </c>
      <c r="CG241">
        <v>16512.45</v>
      </c>
      <c r="CH241">
        <v>0</v>
      </c>
      <c r="CI241" s="8" t="s">
        <v>112</v>
      </c>
      <c r="CJ241" s="8" t="s">
        <v>112</v>
      </c>
      <c r="CK241">
        <v>134952.53</v>
      </c>
      <c r="CL241">
        <v>9857027</v>
      </c>
      <c r="CM241">
        <v>0</v>
      </c>
      <c r="CN241">
        <v>1</v>
      </c>
      <c r="CO241">
        <v>10457564</v>
      </c>
      <c r="CP241">
        <v>152273.92000000001</v>
      </c>
      <c r="CQ241" s="8" t="s">
        <v>145</v>
      </c>
      <c r="CR241">
        <v>9.2218</v>
      </c>
      <c r="CS241">
        <v>1053</v>
      </c>
      <c r="CT241" t="s">
        <v>2149</v>
      </c>
      <c r="CV241" t="s">
        <v>2150</v>
      </c>
      <c r="CW241">
        <v>0</v>
      </c>
    </row>
    <row r="242" spans="1:101" x14ac:dyDescent="0.2">
      <c r="A242" s="8" t="s">
        <v>106</v>
      </c>
      <c r="B242" s="46">
        <v>45123</v>
      </c>
      <c r="C242" s="8" t="s">
        <v>2763</v>
      </c>
      <c r="D242" s="8" t="s">
        <v>108</v>
      </c>
      <c r="E242" s="8" t="s">
        <v>2764</v>
      </c>
      <c r="F242" t="s">
        <v>110</v>
      </c>
      <c r="G242" s="8" t="s">
        <v>111</v>
      </c>
      <c r="H242" s="8" t="s">
        <v>112</v>
      </c>
      <c r="I242" s="8" t="s">
        <v>112</v>
      </c>
      <c r="J242" s="8" t="s">
        <v>112</v>
      </c>
      <c r="K242" s="8" t="s">
        <v>2161</v>
      </c>
      <c r="L242" s="8" t="s">
        <v>2162</v>
      </c>
      <c r="M242" s="8" t="s">
        <v>112</v>
      </c>
      <c r="N242" s="8" t="s">
        <v>112</v>
      </c>
      <c r="O242">
        <v>4</v>
      </c>
      <c r="P242">
        <v>0</v>
      </c>
      <c r="Q242">
        <v>8</v>
      </c>
      <c r="R242">
        <v>94</v>
      </c>
      <c r="S242" s="8" t="s">
        <v>2136</v>
      </c>
      <c r="T242" s="8" t="s">
        <v>2137</v>
      </c>
      <c r="U242" s="8" t="s">
        <v>2141</v>
      </c>
      <c r="V242" s="8" t="s">
        <v>2139</v>
      </c>
      <c r="W242" s="8" t="s">
        <v>119</v>
      </c>
      <c r="X242" s="8" t="s">
        <v>2140</v>
      </c>
      <c r="Y242" s="8" t="s">
        <v>2136</v>
      </c>
      <c r="Z242" s="8" t="s">
        <v>2137</v>
      </c>
      <c r="AA242" s="8" t="s">
        <v>2141</v>
      </c>
      <c r="AB242" s="8" t="s">
        <v>2139</v>
      </c>
      <c r="AC242" s="8" t="s">
        <v>119</v>
      </c>
      <c r="AD242" s="8" t="s">
        <v>2140</v>
      </c>
      <c r="AE242" s="8" t="s">
        <v>2163</v>
      </c>
      <c r="AF242" s="8" t="s">
        <v>2164</v>
      </c>
      <c r="AG242">
        <v>10208502.77</v>
      </c>
      <c r="AH242" s="8" t="s">
        <v>2136</v>
      </c>
      <c r="AI242" s="8" t="s">
        <v>2137</v>
      </c>
      <c r="AJ242" s="8" t="s">
        <v>2141</v>
      </c>
      <c r="AK242" s="8" t="s">
        <v>2139</v>
      </c>
      <c r="AL242" s="8" t="s">
        <v>119</v>
      </c>
      <c r="AM242" s="8" t="s">
        <v>2140</v>
      </c>
      <c r="AN242" s="8" t="s">
        <v>2163</v>
      </c>
      <c r="AO242" s="8" t="s">
        <v>2164</v>
      </c>
      <c r="AP242" s="8" t="s">
        <v>2164</v>
      </c>
      <c r="AQ242" s="8" t="s">
        <v>124</v>
      </c>
      <c r="AR242" s="8" t="s">
        <v>125</v>
      </c>
      <c r="AS242">
        <v>2</v>
      </c>
      <c r="AT242" s="8" t="s">
        <v>126</v>
      </c>
      <c r="AU242" s="8" t="s">
        <v>127</v>
      </c>
      <c r="AV242" s="8" t="s">
        <v>2165</v>
      </c>
      <c r="AW242">
        <v>1</v>
      </c>
      <c r="AX242" s="8" t="s">
        <v>129</v>
      </c>
      <c r="AY242">
        <v>134264.579999999</v>
      </c>
      <c r="AZ242">
        <v>9806779</v>
      </c>
      <c r="BA242">
        <v>148647.31</v>
      </c>
      <c r="BB242">
        <v>73.040700000000001</v>
      </c>
      <c r="BC242" s="8" t="s">
        <v>130</v>
      </c>
      <c r="BD242" s="8" t="s">
        <v>131</v>
      </c>
      <c r="BE242" s="8" t="s">
        <v>2166</v>
      </c>
      <c r="BF242" s="8" t="s">
        <v>133</v>
      </c>
      <c r="BG242" s="8" t="s">
        <v>134</v>
      </c>
      <c r="BH242" s="8" t="s">
        <v>112</v>
      </c>
      <c r="BI242" s="8" t="s">
        <v>112</v>
      </c>
      <c r="BJ242" s="8" t="s">
        <v>112</v>
      </c>
      <c r="BK242" s="8" t="s">
        <v>2655</v>
      </c>
      <c r="BL242" s="8" t="s">
        <v>2656</v>
      </c>
      <c r="BM242" s="8" t="s">
        <v>2496</v>
      </c>
      <c r="BN242" s="8" t="s">
        <v>2497</v>
      </c>
      <c r="BO242">
        <v>1</v>
      </c>
      <c r="BP242" s="8" t="s">
        <v>2765</v>
      </c>
      <c r="BR242" s="8" t="s">
        <v>2161</v>
      </c>
      <c r="BS242">
        <v>72</v>
      </c>
      <c r="BT242">
        <v>0</v>
      </c>
      <c r="BU242">
        <v>232</v>
      </c>
      <c r="BV242" t="s">
        <v>2147</v>
      </c>
      <c r="BW242">
        <v>0</v>
      </c>
      <c r="BY242" s="8" t="s">
        <v>106</v>
      </c>
      <c r="BZ242" s="8" t="s">
        <v>2148</v>
      </c>
      <c r="CA242" s="8" t="s">
        <v>112</v>
      </c>
      <c r="CB242" s="8" t="s">
        <v>112</v>
      </c>
      <c r="CC242" s="8" t="s">
        <v>2163</v>
      </c>
      <c r="CD242">
        <v>14556.8</v>
      </c>
      <c r="CE242" t="s">
        <v>144</v>
      </c>
      <c r="CF242">
        <v>4000000</v>
      </c>
      <c r="CG242">
        <v>14468</v>
      </c>
      <c r="CH242">
        <v>0</v>
      </c>
      <c r="CI242" s="8" t="s">
        <v>112</v>
      </c>
      <c r="CJ242" s="8" t="s">
        <v>112</v>
      </c>
      <c r="CK242">
        <v>100148.32</v>
      </c>
      <c r="CL242">
        <v>7314903</v>
      </c>
      <c r="CM242">
        <v>0</v>
      </c>
      <c r="CN242">
        <v>1</v>
      </c>
      <c r="CO242">
        <v>7649556.9000000004</v>
      </c>
      <c r="CP242">
        <v>111386.17</v>
      </c>
      <c r="CQ242" s="8" t="s">
        <v>145</v>
      </c>
      <c r="CR242">
        <v>7.6988000000000003</v>
      </c>
      <c r="CS242">
        <v>1053</v>
      </c>
      <c r="CT242" t="s">
        <v>2149</v>
      </c>
      <c r="CV242" t="s">
        <v>2150</v>
      </c>
      <c r="CW242">
        <v>342</v>
      </c>
    </row>
    <row r="243" spans="1:101" x14ac:dyDescent="0.2">
      <c r="A243" s="8" t="s">
        <v>106</v>
      </c>
      <c r="B243" s="46">
        <v>45058</v>
      </c>
      <c r="C243" s="8" t="s">
        <v>2755</v>
      </c>
      <c r="D243" s="8" t="s">
        <v>108</v>
      </c>
      <c r="E243" s="8" t="s">
        <v>2756</v>
      </c>
      <c r="F243" t="s">
        <v>110</v>
      </c>
      <c r="G243" s="8" t="s">
        <v>111</v>
      </c>
      <c r="H243" s="8" t="s">
        <v>112</v>
      </c>
      <c r="I243" s="8" t="s">
        <v>112</v>
      </c>
      <c r="J243" s="8" t="s">
        <v>112</v>
      </c>
      <c r="K243" s="8" t="s">
        <v>2161</v>
      </c>
      <c r="L243" s="8" t="s">
        <v>2162</v>
      </c>
      <c r="M243" s="8" t="s">
        <v>112</v>
      </c>
      <c r="N243" s="8" t="s">
        <v>112</v>
      </c>
      <c r="O243">
        <v>4</v>
      </c>
      <c r="P243">
        <v>0</v>
      </c>
      <c r="Q243">
        <v>8</v>
      </c>
      <c r="R243">
        <v>145</v>
      </c>
      <c r="S243" s="8" t="s">
        <v>2136</v>
      </c>
      <c r="T243" s="8" t="s">
        <v>2137</v>
      </c>
      <c r="U243" s="8" t="s">
        <v>2141</v>
      </c>
      <c r="V243" s="8" t="s">
        <v>2139</v>
      </c>
      <c r="W243" s="8" t="s">
        <v>119</v>
      </c>
      <c r="X243" s="8" t="s">
        <v>2140</v>
      </c>
      <c r="Y243" s="8" t="s">
        <v>2136</v>
      </c>
      <c r="Z243" s="8" t="s">
        <v>2137</v>
      </c>
      <c r="AA243" s="8" t="s">
        <v>2141</v>
      </c>
      <c r="AB243" s="8" t="s">
        <v>2139</v>
      </c>
      <c r="AC243" s="8" t="s">
        <v>119</v>
      </c>
      <c r="AD243" s="8" t="s">
        <v>2140</v>
      </c>
      <c r="AE243" s="8" t="s">
        <v>2163</v>
      </c>
      <c r="AF243" s="8" t="s">
        <v>2164</v>
      </c>
      <c r="AG243">
        <v>9654363.4199999906</v>
      </c>
      <c r="AH243" s="8" t="s">
        <v>2136</v>
      </c>
      <c r="AI243" s="8" t="s">
        <v>2137</v>
      </c>
      <c r="AJ243" s="8" t="s">
        <v>2141</v>
      </c>
      <c r="AK243" s="8" t="s">
        <v>2139</v>
      </c>
      <c r="AL243" s="8" t="s">
        <v>119</v>
      </c>
      <c r="AM243" s="8" t="s">
        <v>2140</v>
      </c>
      <c r="AN243" s="8" t="s">
        <v>2163</v>
      </c>
      <c r="AO243" s="8" t="s">
        <v>2164</v>
      </c>
      <c r="AP243" s="8" t="s">
        <v>2164</v>
      </c>
      <c r="AQ243" s="8" t="s">
        <v>124</v>
      </c>
      <c r="AR243" s="8" t="s">
        <v>125</v>
      </c>
      <c r="AS243">
        <v>2</v>
      </c>
      <c r="AT243" s="8" t="s">
        <v>126</v>
      </c>
      <c r="AU243" s="8" t="s">
        <v>127</v>
      </c>
      <c r="AV243" s="8" t="s">
        <v>2165</v>
      </c>
      <c r="AW243">
        <v>1</v>
      </c>
      <c r="AX243" s="8" t="s">
        <v>129</v>
      </c>
      <c r="AY243">
        <v>125118.86</v>
      </c>
      <c r="AZ243">
        <v>9138769</v>
      </c>
      <c r="BA243">
        <v>140578.42000000001</v>
      </c>
      <c r="BB243">
        <v>73.040700000000001</v>
      </c>
      <c r="BC243" s="8" t="s">
        <v>130</v>
      </c>
      <c r="BD243" s="8" t="s">
        <v>131</v>
      </c>
      <c r="BE243" s="8" t="s">
        <v>2166</v>
      </c>
      <c r="BF243" s="8" t="s">
        <v>133</v>
      </c>
      <c r="BG243" s="8" t="s">
        <v>134</v>
      </c>
      <c r="BH243" s="8" t="s">
        <v>112</v>
      </c>
      <c r="BI243" s="8" t="s">
        <v>2167</v>
      </c>
      <c r="BJ243" s="8" t="s">
        <v>112</v>
      </c>
      <c r="BK243" s="8" t="s">
        <v>2168</v>
      </c>
      <c r="BL243" s="8" t="s">
        <v>2169</v>
      </c>
      <c r="BM243" s="8" t="s">
        <v>2170</v>
      </c>
      <c r="BN243" s="8" t="s">
        <v>2171</v>
      </c>
      <c r="BO243">
        <v>1</v>
      </c>
      <c r="BP243" s="8" t="s">
        <v>2757</v>
      </c>
      <c r="BR243" s="8" t="s">
        <v>2161</v>
      </c>
      <c r="BS243">
        <v>89</v>
      </c>
      <c r="BT243">
        <v>0</v>
      </c>
      <c r="BU243">
        <v>299</v>
      </c>
      <c r="BV243" t="s">
        <v>2147</v>
      </c>
      <c r="BW243">
        <v>0</v>
      </c>
      <c r="BY243" s="8" t="s">
        <v>106</v>
      </c>
      <c r="BZ243" s="8" t="s">
        <v>2148</v>
      </c>
      <c r="CA243" s="8" t="s">
        <v>112</v>
      </c>
      <c r="CB243" s="8" t="s">
        <v>112</v>
      </c>
      <c r="CC243" s="8" t="s">
        <v>2163</v>
      </c>
      <c r="CD243">
        <v>15638.25</v>
      </c>
      <c r="CE243" t="s">
        <v>144</v>
      </c>
      <c r="CF243">
        <v>4000000</v>
      </c>
      <c r="CG243">
        <v>15592</v>
      </c>
      <c r="CH243">
        <v>0</v>
      </c>
      <c r="CI243" s="8" t="s">
        <v>112</v>
      </c>
      <c r="CJ243" s="8" t="s">
        <v>112</v>
      </c>
      <c r="CK243">
        <v>121312.9</v>
      </c>
      <c r="CL243">
        <v>8860779</v>
      </c>
      <c r="CM243">
        <v>0</v>
      </c>
      <c r="CN243">
        <v>1</v>
      </c>
      <c r="CO243">
        <v>9366778.0800000001</v>
      </c>
      <c r="CP243">
        <v>136390.85</v>
      </c>
      <c r="CQ243" s="8" t="s">
        <v>145</v>
      </c>
      <c r="CR243">
        <v>8.7475000000000005</v>
      </c>
      <c r="CS243">
        <v>1053</v>
      </c>
      <c r="CT243" t="s">
        <v>2149</v>
      </c>
      <c r="CV243" t="s">
        <v>2150</v>
      </c>
      <c r="CW243">
        <v>349</v>
      </c>
    </row>
    <row r="244" spans="1:101" x14ac:dyDescent="0.2">
      <c r="A244" t="s">
        <v>126</v>
      </c>
      <c r="B244" s="46">
        <v>45139</v>
      </c>
      <c r="C244" t="s">
        <v>1928</v>
      </c>
      <c r="D244" t="s">
        <v>108</v>
      </c>
      <c r="E244" t="s">
        <v>1929</v>
      </c>
      <c r="F244" t="s">
        <v>110</v>
      </c>
      <c r="G244" t="s">
        <v>111</v>
      </c>
      <c r="H244" t="s">
        <v>112</v>
      </c>
      <c r="I244" t="s">
        <v>112</v>
      </c>
      <c r="J244" t="s">
        <v>112</v>
      </c>
      <c r="K244" t="s">
        <v>175</v>
      </c>
      <c r="L244" t="s">
        <v>448</v>
      </c>
      <c r="M244" t="s">
        <v>112</v>
      </c>
      <c r="N244" t="s">
        <v>112</v>
      </c>
      <c r="O244">
        <v>1</v>
      </c>
      <c r="Q244">
        <v>1</v>
      </c>
      <c r="R244">
        <v>1</v>
      </c>
      <c r="S244" t="s">
        <v>112</v>
      </c>
      <c r="T244" t="s">
        <v>152</v>
      </c>
      <c r="U244" t="s">
        <v>153</v>
      </c>
      <c r="V244" t="s">
        <v>154</v>
      </c>
      <c r="W244" t="s">
        <v>119</v>
      </c>
      <c r="X244" t="s">
        <v>112</v>
      </c>
      <c r="Y244" t="s">
        <v>112</v>
      </c>
      <c r="Z244" t="s">
        <v>152</v>
      </c>
      <c r="AA244" t="s">
        <v>153</v>
      </c>
      <c r="AB244" t="s">
        <v>154</v>
      </c>
      <c r="AC244" t="s">
        <v>119</v>
      </c>
      <c r="AD244" t="s">
        <v>112</v>
      </c>
      <c r="AE244" t="s">
        <v>121</v>
      </c>
      <c r="AF244" t="s">
        <v>122</v>
      </c>
      <c r="AG244">
        <v>3896.77</v>
      </c>
      <c r="AH244" t="s">
        <v>112</v>
      </c>
      <c r="AI244" t="s">
        <v>152</v>
      </c>
      <c r="AJ244" t="s">
        <v>153</v>
      </c>
      <c r="AK244" t="s">
        <v>154</v>
      </c>
      <c r="AL244" t="s">
        <v>119</v>
      </c>
      <c r="AM244" t="s">
        <v>112</v>
      </c>
      <c r="AN244" t="s">
        <v>121</v>
      </c>
      <c r="AO244" t="s">
        <v>122</v>
      </c>
      <c r="AP244" t="s">
        <v>122</v>
      </c>
      <c r="AQ244" t="s">
        <v>124</v>
      </c>
      <c r="AR244" t="s">
        <v>125</v>
      </c>
      <c r="AS244">
        <v>2</v>
      </c>
      <c r="AT244" t="s">
        <v>126</v>
      </c>
      <c r="AU244" t="s">
        <v>155</v>
      </c>
      <c r="AV244" t="s">
        <v>156</v>
      </c>
      <c r="AX244" t="s">
        <v>129</v>
      </c>
      <c r="AY244">
        <v>32.26</v>
      </c>
      <c r="BB244">
        <v>100.303</v>
      </c>
      <c r="BC244" t="s">
        <v>112</v>
      </c>
      <c r="BD244" t="s">
        <v>112</v>
      </c>
      <c r="BE244" t="s">
        <v>157</v>
      </c>
      <c r="BF244" t="s">
        <v>133</v>
      </c>
      <c r="BG244" t="s">
        <v>134</v>
      </c>
      <c r="BH244" t="s">
        <v>112</v>
      </c>
      <c r="BI244" t="s">
        <v>112</v>
      </c>
      <c r="BJ244" t="s">
        <v>112</v>
      </c>
      <c r="BK244" t="s">
        <v>158</v>
      </c>
      <c r="BL244" t="s">
        <v>159</v>
      </c>
      <c r="BM244" t="s">
        <v>212</v>
      </c>
      <c r="BN244" t="s">
        <v>161</v>
      </c>
      <c r="BP244" t="s">
        <v>1930</v>
      </c>
      <c r="BR244" t="s">
        <v>150</v>
      </c>
      <c r="BS244">
        <v>1</v>
      </c>
      <c r="BT244">
        <v>0</v>
      </c>
      <c r="BU244">
        <v>0</v>
      </c>
      <c r="BW244">
        <v>0</v>
      </c>
      <c r="BY244" t="s">
        <v>106</v>
      </c>
      <c r="BZ244" t="s">
        <v>142</v>
      </c>
      <c r="CA244" t="s">
        <v>112</v>
      </c>
      <c r="CB244" t="s">
        <v>112</v>
      </c>
      <c r="CC244" t="s">
        <v>121</v>
      </c>
      <c r="CD244">
        <v>4.0819999999999999</v>
      </c>
      <c r="CE244" t="s">
        <v>144</v>
      </c>
      <c r="CF244">
        <v>4000064</v>
      </c>
      <c r="CG244">
        <v>4.0819999999999999</v>
      </c>
      <c r="CH244">
        <v>0</v>
      </c>
      <c r="CI244" t="s">
        <v>112</v>
      </c>
      <c r="CJ244" t="s">
        <v>112</v>
      </c>
      <c r="CK244">
        <v>32.26</v>
      </c>
      <c r="CM244">
        <v>0</v>
      </c>
      <c r="CN244">
        <v>1</v>
      </c>
      <c r="CO244">
        <v>3896.77</v>
      </c>
      <c r="CP244">
        <v>41.15</v>
      </c>
      <c r="CQ244" t="s">
        <v>145</v>
      </c>
      <c r="CR244">
        <v>41.146560000000001</v>
      </c>
      <c r="CS244">
        <v>10.08</v>
      </c>
      <c r="CT244">
        <v>45</v>
      </c>
      <c r="CV244" t="s">
        <v>233</v>
      </c>
      <c r="CW244">
        <v>22</v>
      </c>
    </row>
    <row r="245" spans="1:101" x14ac:dyDescent="0.2">
      <c r="A245" t="s">
        <v>106</v>
      </c>
      <c r="B245" s="46">
        <v>45074</v>
      </c>
      <c r="C245" t="s">
        <v>1900</v>
      </c>
      <c r="D245" t="s">
        <v>108</v>
      </c>
      <c r="E245" t="s">
        <v>1901</v>
      </c>
      <c r="F245" t="s">
        <v>110</v>
      </c>
      <c r="G245" t="s">
        <v>111</v>
      </c>
      <c r="H245" t="s">
        <v>112</v>
      </c>
      <c r="I245" t="s">
        <v>112</v>
      </c>
      <c r="J245" t="s">
        <v>112</v>
      </c>
      <c r="K245" t="s">
        <v>150</v>
      </c>
      <c r="L245" t="s">
        <v>151</v>
      </c>
      <c r="M245" t="s">
        <v>112</v>
      </c>
      <c r="N245" t="s">
        <v>112</v>
      </c>
      <c r="O245">
        <v>1</v>
      </c>
      <c r="Q245">
        <v>1</v>
      </c>
      <c r="R245">
        <v>32</v>
      </c>
      <c r="S245" t="s">
        <v>112</v>
      </c>
      <c r="T245" t="s">
        <v>152</v>
      </c>
      <c r="U245" t="s">
        <v>153</v>
      </c>
      <c r="V245" t="s">
        <v>154</v>
      </c>
      <c r="W245" t="s">
        <v>119</v>
      </c>
      <c r="X245" t="s">
        <v>112</v>
      </c>
      <c r="Y245" t="s">
        <v>112</v>
      </c>
      <c r="Z245" t="s">
        <v>152</v>
      </c>
      <c r="AA245" t="s">
        <v>153</v>
      </c>
      <c r="AB245" t="s">
        <v>154</v>
      </c>
      <c r="AC245" t="s">
        <v>119</v>
      </c>
      <c r="AD245" t="s">
        <v>112</v>
      </c>
      <c r="AE245" t="s">
        <v>121</v>
      </c>
      <c r="AF245" t="s">
        <v>122</v>
      </c>
      <c r="AG245">
        <v>4851631.03</v>
      </c>
      <c r="AH245" t="s">
        <v>112</v>
      </c>
      <c r="AI245" t="s">
        <v>152</v>
      </c>
      <c r="AJ245" t="s">
        <v>153</v>
      </c>
      <c r="AK245" t="s">
        <v>154</v>
      </c>
      <c r="AL245" t="s">
        <v>119</v>
      </c>
      <c r="AM245" t="s">
        <v>112</v>
      </c>
      <c r="AN245" t="s">
        <v>121</v>
      </c>
      <c r="AO245" t="s">
        <v>122</v>
      </c>
      <c r="AP245" t="s">
        <v>122</v>
      </c>
      <c r="AQ245" t="s">
        <v>124</v>
      </c>
      <c r="AR245" t="s">
        <v>125</v>
      </c>
      <c r="AS245">
        <v>2</v>
      </c>
      <c r="AT245" t="s">
        <v>126</v>
      </c>
      <c r="AU245" t="s">
        <v>155</v>
      </c>
      <c r="AV245" t="s">
        <v>156</v>
      </c>
      <c r="AX245" t="s">
        <v>129</v>
      </c>
      <c r="AY245">
        <v>44386.34</v>
      </c>
      <c r="BB245">
        <v>100.303</v>
      </c>
      <c r="BC245" t="s">
        <v>112</v>
      </c>
      <c r="BD245" t="s">
        <v>112</v>
      </c>
      <c r="BE245" t="s">
        <v>157</v>
      </c>
      <c r="BF245" t="s">
        <v>133</v>
      </c>
      <c r="BG245" t="s">
        <v>134</v>
      </c>
      <c r="BH245" t="s">
        <v>112</v>
      </c>
      <c r="BI245" t="s">
        <v>112</v>
      </c>
      <c r="BJ245" t="s">
        <v>112</v>
      </c>
      <c r="BK245" t="s">
        <v>158</v>
      </c>
      <c r="BL245" t="s">
        <v>159</v>
      </c>
      <c r="BM245" t="s">
        <v>212</v>
      </c>
      <c r="BN245" t="s">
        <v>161</v>
      </c>
      <c r="BP245" t="s">
        <v>205</v>
      </c>
      <c r="BR245" t="s">
        <v>150</v>
      </c>
      <c r="BS245">
        <v>32</v>
      </c>
      <c r="BT245">
        <v>0</v>
      </c>
      <c r="BU245">
        <v>0</v>
      </c>
      <c r="BW245">
        <v>0</v>
      </c>
      <c r="BY245" t="s">
        <v>106</v>
      </c>
      <c r="BZ245" t="s">
        <v>142</v>
      </c>
      <c r="CA245" t="s">
        <v>112</v>
      </c>
      <c r="CB245" t="s">
        <v>112</v>
      </c>
      <c r="CC245" t="s">
        <v>121</v>
      </c>
      <c r="CD245">
        <v>16779.238000000001</v>
      </c>
      <c r="CE245" t="s">
        <v>144</v>
      </c>
      <c r="CF245">
        <v>4000000</v>
      </c>
      <c r="CG245">
        <v>16779.238000000001</v>
      </c>
      <c r="CH245">
        <v>0</v>
      </c>
      <c r="CI245" t="s">
        <v>112</v>
      </c>
      <c r="CJ245" t="s">
        <v>112</v>
      </c>
      <c r="CK245">
        <v>44386.34</v>
      </c>
      <c r="CM245">
        <v>0</v>
      </c>
      <c r="CN245">
        <v>1</v>
      </c>
      <c r="CO245">
        <v>4851631.03</v>
      </c>
      <c r="CP245">
        <v>51227.199999999997</v>
      </c>
      <c r="CQ245" t="s">
        <v>145</v>
      </c>
      <c r="CR245">
        <v>51176.675900000002</v>
      </c>
      <c r="CS245">
        <v>3.05</v>
      </c>
      <c r="CT245">
        <v>45</v>
      </c>
      <c r="CV245" t="s">
        <v>233</v>
      </c>
      <c r="CW245">
        <v>343</v>
      </c>
    </row>
    <row r="246" spans="1:101" x14ac:dyDescent="0.2">
      <c r="A246" t="s">
        <v>106</v>
      </c>
      <c r="B246" s="46">
        <v>45085</v>
      </c>
      <c r="C246" t="s">
        <v>1947</v>
      </c>
      <c r="D246" t="s">
        <v>108</v>
      </c>
      <c r="E246" t="s">
        <v>1948</v>
      </c>
      <c r="F246" t="s">
        <v>110</v>
      </c>
      <c r="G246" t="s">
        <v>111</v>
      </c>
      <c r="H246" t="s">
        <v>112</v>
      </c>
      <c r="I246" t="s">
        <v>112</v>
      </c>
      <c r="J246" t="s">
        <v>112</v>
      </c>
      <c r="K246" t="s">
        <v>150</v>
      </c>
      <c r="L246" t="s">
        <v>151</v>
      </c>
      <c r="M246" t="s">
        <v>112</v>
      </c>
      <c r="N246" t="s">
        <v>112</v>
      </c>
      <c r="O246">
        <v>1</v>
      </c>
      <c r="Q246">
        <v>1</v>
      </c>
      <c r="R246">
        <v>33</v>
      </c>
      <c r="S246" t="s">
        <v>112</v>
      </c>
      <c r="T246" t="s">
        <v>152</v>
      </c>
      <c r="U246" t="s">
        <v>153</v>
      </c>
      <c r="V246" t="s">
        <v>154</v>
      </c>
      <c r="W246" t="s">
        <v>119</v>
      </c>
      <c r="X246" t="s">
        <v>112</v>
      </c>
      <c r="Y246" t="s">
        <v>112</v>
      </c>
      <c r="Z246" t="s">
        <v>152</v>
      </c>
      <c r="AA246" t="s">
        <v>153</v>
      </c>
      <c r="AB246" t="s">
        <v>154</v>
      </c>
      <c r="AC246" t="s">
        <v>119</v>
      </c>
      <c r="AD246" t="s">
        <v>112</v>
      </c>
      <c r="AE246" t="s">
        <v>121</v>
      </c>
      <c r="AF246" t="s">
        <v>122</v>
      </c>
      <c r="AG246">
        <v>4283720.46</v>
      </c>
      <c r="AH246" t="s">
        <v>112</v>
      </c>
      <c r="AI246" t="s">
        <v>152</v>
      </c>
      <c r="AJ246" t="s">
        <v>153</v>
      </c>
      <c r="AK246" t="s">
        <v>154</v>
      </c>
      <c r="AL246" t="s">
        <v>119</v>
      </c>
      <c r="AM246" t="s">
        <v>112</v>
      </c>
      <c r="AN246" t="s">
        <v>121</v>
      </c>
      <c r="AO246" t="s">
        <v>122</v>
      </c>
      <c r="AP246" t="s">
        <v>122</v>
      </c>
      <c r="AQ246" t="s">
        <v>124</v>
      </c>
      <c r="AR246" t="s">
        <v>125</v>
      </c>
      <c r="AS246">
        <v>2</v>
      </c>
      <c r="AT246" t="s">
        <v>126</v>
      </c>
      <c r="AU246" t="s">
        <v>155</v>
      </c>
      <c r="AV246" t="s">
        <v>156</v>
      </c>
      <c r="AX246" t="s">
        <v>129</v>
      </c>
      <c r="AY246">
        <v>38717.800000000003</v>
      </c>
      <c r="BB246">
        <v>100.303</v>
      </c>
      <c r="BC246" t="s">
        <v>112</v>
      </c>
      <c r="BD246" t="s">
        <v>112</v>
      </c>
      <c r="BE246" t="s">
        <v>157</v>
      </c>
      <c r="BF246" t="s">
        <v>133</v>
      </c>
      <c r="BG246" t="s">
        <v>134</v>
      </c>
      <c r="BH246" t="s">
        <v>112</v>
      </c>
      <c r="BI246" t="s">
        <v>112</v>
      </c>
      <c r="BJ246" t="s">
        <v>112</v>
      </c>
      <c r="BK246" t="s">
        <v>158</v>
      </c>
      <c r="BL246" t="s">
        <v>159</v>
      </c>
      <c r="BM246" t="s">
        <v>212</v>
      </c>
      <c r="BN246" t="s">
        <v>161</v>
      </c>
      <c r="BP246" t="s">
        <v>232</v>
      </c>
      <c r="BR246" t="s">
        <v>150</v>
      </c>
      <c r="BS246">
        <v>33</v>
      </c>
      <c r="BT246">
        <v>0</v>
      </c>
      <c r="BU246">
        <v>0</v>
      </c>
      <c r="BW246">
        <v>0</v>
      </c>
      <c r="BY246" t="s">
        <v>106</v>
      </c>
      <c r="BZ246" t="s">
        <v>142</v>
      </c>
      <c r="CA246" t="s">
        <v>112</v>
      </c>
      <c r="CB246" t="s">
        <v>112</v>
      </c>
      <c r="CC246" t="s">
        <v>121</v>
      </c>
      <c r="CD246">
        <v>15741.96</v>
      </c>
      <c r="CE246" t="s">
        <v>144</v>
      </c>
      <c r="CF246">
        <v>4000000</v>
      </c>
      <c r="CG246">
        <v>15443.16</v>
      </c>
      <c r="CH246">
        <v>0</v>
      </c>
      <c r="CI246" t="s">
        <v>112</v>
      </c>
      <c r="CJ246" t="s">
        <v>112</v>
      </c>
      <c r="CK246">
        <v>38717.800000000003</v>
      </c>
      <c r="CM246">
        <v>0</v>
      </c>
      <c r="CN246">
        <v>1</v>
      </c>
      <c r="CO246">
        <v>4283720.46</v>
      </c>
      <c r="CP246">
        <v>45230.77</v>
      </c>
      <c r="CQ246" t="s">
        <v>145</v>
      </c>
      <c r="CR246">
        <v>45248.4588</v>
      </c>
      <c r="CS246">
        <v>2.93</v>
      </c>
      <c r="CT246">
        <v>45</v>
      </c>
      <c r="CV246" t="s">
        <v>1140</v>
      </c>
      <c r="CW246">
        <v>22</v>
      </c>
    </row>
    <row r="247" spans="1:101" x14ac:dyDescent="0.2">
      <c r="A247" t="s">
        <v>106</v>
      </c>
      <c r="B247" s="46">
        <v>44848</v>
      </c>
      <c r="C247" t="s">
        <v>1947</v>
      </c>
      <c r="D247" t="s">
        <v>108</v>
      </c>
      <c r="E247" t="s">
        <v>1948</v>
      </c>
      <c r="F247" t="s">
        <v>110</v>
      </c>
      <c r="G247" t="s">
        <v>111</v>
      </c>
      <c r="H247" t="s">
        <v>112</v>
      </c>
      <c r="I247" t="s">
        <v>112</v>
      </c>
      <c r="J247" t="s">
        <v>112</v>
      </c>
      <c r="K247" t="s">
        <v>150</v>
      </c>
      <c r="L247" t="s">
        <v>151</v>
      </c>
      <c r="M247" t="s">
        <v>112</v>
      </c>
      <c r="N247" t="s">
        <v>112</v>
      </c>
      <c r="O247">
        <v>1</v>
      </c>
      <c r="Q247">
        <v>1</v>
      </c>
      <c r="R247">
        <v>33</v>
      </c>
      <c r="S247" t="s">
        <v>112</v>
      </c>
      <c r="T247" t="s">
        <v>152</v>
      </c>
      <c r="U247" t="s">
        <v>153</v>
      </c>
      <c r="V247" t="s">
        <v>154</v>
      </c>
      <c r="W247" t="s">
        <v>119</v>
      </c>
      <c r="X247" t="s">
        <v>112</v>
      </c>
      <c r="Y247" t="s">
        <v>112</v>
      </c>
      <c r="Z247" t="s">
        <v>152</v>
      </c>
      <c r="AA247" t="s">
        <v>153</v>
      </c>
      <c r="AB247" t="s">
        <v>154</v>
      </c>
      <c r="AC247" t="s">
        <v>119</v>
      </c>
      <c r="AD247" t="s">
        <v>112</v>
      </c>
      <c r="AE247" t="s">
        <v>121</v>
      </c>
      <c r="AF247" t="s">
        <v>122</v>
      </c>
      <c r="AG247">
        <v>4283720.46</v>
      </c>
      <c r="AH247" t="s">
        <v>112</v>
      </c>
      <c r="AI247" t="s">
        <v>152</v>
      </c>
      <c r="AJ247" t="s">
        <v>153</v>
      </c>
      <c r="AK247" t="s">
        <v>154</v>
      </c>
      <c r="AL247" t="s">
        <v>119</v>
      </c>
      <c r="AM247" t="s">
        <v>112</v>
      </c>
      <c r="AN247" t="s">
        <v>121</v>
      </c>
      <c r="AO247" t="s">
        <v>122</v>
      </c>
      <c r="AP247" t="s">
        <v>122</v>
      </c>
      <c r="AQ247" t="s">
        <v>124</v>
      </c>
      <c r="AR247" t="s">
        <v>125</v>
      </c>
      <c r="AS247">
        <v>2</v>
      </c>
      <c r="AT247" t="s">
        <v>126</v>
      </c>
      <c r="AU247" t="s">
        <v>155</v>
      </c>
      <c r="AV247" t="s">
        <v>156</v>
      </c>
      <c r="AX247" t="s">
        <v>129</v>
      </c>
      <c r="AY247">
        <v>38717.800000000003</v>
      </c>
      <c r="BB247">
        <v>100.303</v>
      </c>
      <c r="BC247" t="s">
        <v>112</v>
      </c>
      <c r="BD247" t="s">
        <v>112</v>
      </c>
      <c r="BE247" t="s">
        <v>157</v>
      </c>
      <c r="BF247" t="s">
        <v>133</v>
      </c>
      <c r="BG247" t="s">
        <v>134</v>
      </c>
      <c r="BH247" t="s">
        <v>112</v>
      </c>
      <c r="BI247" t="s">
        <v>112</v>
      </c>
      <c r="BJ247" t="s">
        <v>112</v>
      </c>
      <c r="BK247" t="s">
        <v>158</v>
      </c>
      <c r="BL247" t="s">
        <v>159</v>
      </c>
      <c r="BM247" t="s">
        <v>212</v>
      </c>
      <c r="BN247" t="s">
        <v>161</v>
      </c>
      <c r="BP247" t="s">
        <v>232</v>
      </c>
      <c r="BR247" t="s">
        <v>150</v>
      </c>
      <c r="BS247">
        <v>33</v>
      </c>
      <c r="BT247">
        <v>0</v>
      </c>
      <c r="BU247">
        <v>0</v>
      </c>
      <c r="BW247">
        <v>0</v>
      </c>
      <c r="BY247" t="s">
        <v>106</v>
      </c>
      <c r="BZ247" t="s">
        <v>142</v>
      </c>
      <c r="CA247" t="s">
        <v>112</v>
      </c>
      <c r="CB247" t="s">
        <v>112</v>
      </c>
      <c r="CC247" t="s">
        <v>121</v>
      </c>
      <c r="CD247">
        <v>15741.96</v>
      </c>
      <c r="CE247" t="s">
        <v>144</v>
      </c>
      <c r="CF247">
        <v>4000000</v>
      </c>
      <c r="CG247">
        <v>15443.16</v>
      </c>
      <c r="CH247">
        <v>0</v>
      </c>
      <c r="CI247" t="s">
        <v>112</v>
      </c>
      <c r="CJ247" t="s">
        <v>112</v>
      </c>
      <c r="CK247">
        <v>38717.800000000003</v>
      </c>
      <c r="CM247">
        <v>0</v>
      </c>
      <c r="CN247">
        <v>1</v>
      </c>
      <c r="CO247">
        <v>4283720.46</v>
      </c>
      <c r="CP247">
        <v>45230.77</v>
      </c>
      <c r="CQ247" t="s">
        <v>145</v>
      </c>
      <c r="CR247">
        <v>45248.4588</v>
      </c>
      <c r="CS247">
        <v>2.93</v>
      </c>
      <c r="CT247">
        <v>45</v>
      </c>
      <c r="CV247" t="s">
        <v>1140</v>
      </c>
      <c r="CW247">
        <v>22</v>
      </c>
    </row>
    <row r="248" spans="1:101" x14ac:dyDescent="0.2">
      <c r="A248" t="s">
        <v>106</v>
      </c>
      <c r="B248" s="46">
        <v>45290</v>
      </c>
      <c r="C248" t="s">
        <v>1953</v>
      </c>
      <c r="D248" t="s">
        <v>108</v>
      </c>
      <c r="E248" t="s">
        <v>1954</v>
      </c>
      <c r="F248" t="s">
        <v>110</v>
      </c>
      <c r="G248" t="s">
        <v>111</v>
      </c>
      <c r="H248" t="s">
        <v>112</v>
      </c>
      <c r="I248" t="s">
        <v>112</v>
      </c>
      <c r="J248" t="s">
        <v>112</v>
      </c>
      <c r="K248" t="s">
        <v>150</v>
      </c>
      <c r="L248" t="s">
        <v>151</v>
      </c>
      <c r="M248" t="s">
        <v>112</v>
      </c>
      <c r="N248" t="s">
        <v>112</v>
      </c>
      <c r="O248">
        <v>1</v>
      </c>
      <c r="Q248">
        <v>1</v>
      </c>
      <c r="R248">
        <v>33</v>
      </c>
      <c r="S248" t="s">
        <v>112</v>
      </c>
      <c r="T248" t="s">
        <v>152</v>
      </c>
      <c r="U248" t="s">
        <v>153</v>
      </c>
      <c r="V248" t="s">
        <v>154</v>
      </c>
      <c r="W248" t="s">
        <v>119</v>
      </c>
      <c r="X248" t="s">
        <v>112</v>
      </c>
      <c r="Y248" t="s">
        <v>112</v>
      </c>
      <c r="Z248" t="s">
        <v>152</v>
      </c>
      <c r="AA248" t="s">
        <v>153</v>
      </c>
      <c r="AB248" t="s">
        <v>154</v>
      </c>
      <c r="AC248" t="s">
        <v>119</v>
      </c>
      <c r="AD248" t="s">
        <v>112</v>
      </c>
      <c r="AE248" t="s">
        <v>121</v>
      </c>
      <c r="AF248" t="s">
        <v>122</v>
      </c>
      <c r="AG248">
        <v>4995631.04</v>
      </c>
      <c r="AH248" t="s">
        <v>112</v>
      </c>
      <c r="AI248" t="s">
        <v>152</v>
      </c>
      <c r="AJ248" t="s">
        <v>153</v>
      </c>
      <c r="AK248" t="s">
        <v>154</v>
      </c>
      <c r="AL248" t="s">
        <v>119</v>
      </c>
      <c r="AM248" t="s">
        <v>112</v>
      </c>
      <c r="AN248" t="s">
        <v>121</v>
      </c>
      <c r="AO248" t="s">
        <v>122</v>
      </c>
      <c r="AP248" t="s">
        <v>122</v>
      </c>
      <c r="AQ248" t="s">
        <v>124</v>
      </c>
      <c r="AR248" t="s">
        <v>125</v>
      </c>
      <c r="AS248">
        <v>2</v>
      </c>
      <c r="AT248" t="s">
        <v>126</v>
      </c>
      <c r="AU248" t="s">
        <v>155</v>
      </c>
      <c r="AV248" t="s">
        <v>156</v>
      </c>
      <c r="AX248" t="s">
        <v>129</v>
      </c>
      <c r="AY248">
        <v>45815.4</v>
      </c>
      <c r="BB248">
        <v>100.303</v>
      </c>
      <c r="BC248" t="s">
        <v>112</v>
      </c>
      <c r="BD248" t="s">
        <v>112</v>
      </c>
      <c r="BE248" t="s">
        <v>157</v>
      </c>
      <c r="BF248" t="s">
        <v>133</v>
      </c>
      <c r="BG248" t="s">
        <v>134</v>
      </c>
      <c r="BH248" t="s">
        <v>112</v>
      </c>
      <c r="BI248" t="s">
        <v>112</v>
      </c>
      <c r="BJ248" t="s">
        <v>112</v>
      </c>
      <c r="BK248" t="s">
        <v>158</v>
      </c>
      <c r="BL248" t="s">
        <v>159</v>
      </c>
      <c r="BM248" t="s">
        <v>212</v>
      </c>
      <c r="BN248" t="s">
        <v>161</v>
      </c>
      <c r="BP248" t="s">
        <v>205</v>
      </c>
      <c r="BR248" t="s">
        <v>150</v>
      </c>
      <c r="BS248">
        <v>33</v>
      </c>
      <c r="BT248">
        <v>0</v>
      </c>
      <c r="BU248">
        <v>0</v>
      </c>
      <c r="BW248">
        <v>0</v>
      </c>
      <c r="BY248" t="s">
        <v>106</v>
      </c>
      <c r="BZ248" t="s">
        <v>142</v>
      </c>
      <c r="CA248" t="s">
        <v>112</v>
      </c>
      <c r="CB248" t="s">
        <v>112</v>
      </c>
      <c r="CC248" t="s">
        <v>121</v>
      </c>
      <c r="CD248">
        <v>16783.32</v>
      </c>
      <c r="CE248" t="s">
        <v>144</v>
      </c>
      <c r="CF248">
        <v>4000000</v>
      </c>
      <c r="CG248">
        <v>16783.32</v>
      </c>
      <c r="CH248">
        <v>0</v>
      </c>
      <c r="CI248" t="s">
        <v>112</v>
      </c>
      <c r="CJ248" t="s">
        <v>112</v>
      </c>
      <c r="CK248">
        <v>45815.4</v>
      </c>
      <c r="CM248">
        <v>0</v>
      </c>
      <c r="CN248">
        <v>1</v>
      </c>
      <c r="CO248">
        <v>4995631.04</v>
      </c>
      <c r="CP248">
        <v>52747.66</v>
      </c>
      <c r="CQ248" t="s">
        <v>145</v>
      </c>
      <c r="CR248">
        <v>52699.624799999998</v>
      </c>
      <c r="CS248">
        <v>3.14</v>
      </c>
      <c r="CT248">
        <v>45</v>
      </c>
      <c r="CV248" t="s">
        <v>729</v>
      </c>
      <c r="CW248">
        <v>229</v>
      </c>
    </row>
    <row r="249" spans="1:101" x14ac:dyDescent="0.2">
      <c r="A249" t="s">
        <v>106</v>
      </c>
      <c r="B249" s="46">
        <v>44852</v>
      </c>
      <c r="C249" t="s">
        <v>1953</v>
      </c>
      <c r="D249" t="s">
        <v>108</v>
      </c>
      <c r="E249" t="s">
        <v>1954</v>
      </c>
      <c r="F249" t="s">
        <v>110</v>
      </c>
      <c r="G249" t="s">
        <v>111</v>
      </c>
      <c r="H249" t="s">
        <v>112</v>
      </c>
      <c r="I249" t="s">
        <v>112</v>
      </c>
      <c r="J249" t="s">
        <v>112</v>
      </c>
      <c r="K249" t="s">
        <v>150</v>
      </c>
      <c r="L249" t="s">
        <v>151</v>
      </c>
      <c r="M249" t="s">
        <v>112</v>
      </c>
      <c r="N249" t="s">
        <v>112</v>
      </c>
      <c r="O249">
        <v>1</v>
      </c>
      <c r="Q249">
        <v>1</v>
      </c>
      <c r="R249">
        <v>33</v>
      </c>
      <c r="S249" t="s">
        <v>112</v>
      </c>
      <c r="T249" t="s">
        <v>152</v>
      </c>
      <c r="U249" t="s">
        <v>153</v>
      </c>
      <c r="V249" t="s">
        <v>154</v>
      </c>
      <c r="W249" t="s">
        <v>119</v>
      </c>
      <c r="X249" t="s">
        <v>112</v>
      </c>
      <c r="Y249" t="s">
        <v>112</v>
      </c>
      <c r="Z249" t="s">
        <v>152</v>
      </c>
      <c r="AA249" t="s">
        <v>153</v>
      </c>
      <c r="AB249" t="s">
        <v>154</v>
      </c>
      <c r="AC249" t="s">
        <v>119</v>
      </c>
      <c r="AD249" t="s">
        <v>112</v>
      </c>
      <c r="AE249" t="s">
        <v>121</v>
      </c>
      <c r="AF249" t="s">
        <v>122</v>
      </c>
      <c r="AG249">
        <v>4995631.04</v>
      </c>
      <c r="AH249" t="s">
        <v>112</v>
      </c>
      <c r="AI249" t="s">
        <v>152</v>
      </c>
      <c r="AJ249" t="s">
        <v>153</v>
      </c>
      <c r="AK249" t="s">
        <v>154</v>
      </c>
      <c r="AL249" t="s">
        <v>119</v>
      </c>
      <c r="AM249" t="s">
        <v>112</v>
      </c>
      <c r="AN249" t="s">
        <v>121</v>
      </c>
      <c r="AO249" t="s">
        <v>122</v>
      </c>
      <c r="AP249" t="s">
        <v>122</v>
      </c>
      <c r="AQ249" t="s">
        <v>124</v>
      </c>
      <c r="AR249" t="s">
        <v>125</v>
      </c>
      <c r="AS249">
        <v>2</v>
      </c>
      <c r="AT249" t="s">
        <v>126</v>
      </c>
      <c r="AU249" t="s">
        <v>155</v>
      </c>
      <c r="AV249" t="s">
        <v>156</v>
      </c>
      <c r="AX249" t="s">
        <v>129</v>
      </c>
      <c r="AY249">
        <v>45815.4</v>
      </c>
      <c r="BB249">
        <v>100.303</v>
      </c>
      <c r="BC249" t="s">
        <v>112</v>
      </c>
      <c r="BD249" t="s">
        <v>112</v>
      </c>
      <c r="BE249" t="s">
        <v>157</v>
      </c>
      <c r="BF249" t="s">
        <v>133</v>
      </c>
      <c r="BG249" t="s">
        <v>134</v>
      </c>
      <c r="BH249" t="s">
        <v>112</v>
      </c>
      <c r="BI249" t="s">
        <v>112</v>
      </c>
      <c r="BJ249" t="s">
        <v>112</v>
      </c>
      <c r="BK249" t="s">
        <v>158</v>
      </c>
      <c r="BL249" t="s">
        <v>159</v>
      </c>
      <c r="BM249" t="s">
        <v>212</v>
      </c>
      <c r="BN249" t="s">
        <v>161</v>
      </c>
      <c r="BP249" t="s">
        <v>205</v>
      </c>
      <c r="BR249" t="s">
        <v>150</v>
      </c>
      <c r="BS249">
        <v>33</v>
      </c>
      <c r="BT249">
        <v>0</v>
      </c>
      <c r="BU249">
        <v>0</v>
      </c>
      <c r="BW249">
        <v>0</v>
      </c>
      <c r="BY249" t="s">
        <v>106</v>
      </c>
      <c r="BZ249" t="s">
        <v>142</v>
      </c>
      <c r="CA249" t="s">
        <v>112</v>
      </c>
      <c r="CB249" t="s">
        <v>112</v>
      </c>
      <c r="CC249" t="s">
        <v>121</v>
      </c>
      <c r="CD249">
        <v>16783.32</v>
      </c>
      <c r="CE249" t="s">
        <v>144</v>
      </c>
      <c r="CF249">
        <v>4000000</v>
      </c>
      <c r="CG249">
        <v>16783.32</v>
      </c>
      <c r="CH249">
        <v>0</v>
      </c>
      <c r="CI249" t="s">
        <v>112</v>
      </c>
      <c r="CJ249" t="s">
        <v>112</v>
      </c>
      <c r="CK249">
        <v>45815.4</v>
      </c>
      <c r="CM249">
        <v>0</v>
      </c>
      <c r="CN249">
        <v>1</v>
      </c>
      <c r="CO249">
        <v>4995631.04</v>
      </c>
      <c r="CP249">
        <v>52747.66</v>
      </c>
      <c r="CQ249" t="s">
        <v>145</v>
      </c>
      <c r="CR249">
        <v>52699.624799999998</v>
      </c>
      <c r="CS249">
        <v>3.14</v>
      </c>
      <c r="CT249">
        <v>45</v>
      </c>
      <c r="CV249" t="s">
        <v>729</v>
      </c>
      <c r="CW249">
        <v>229</v>
      </c>
    </row>
    <row r="250" spans="1:101" x14ac:dyDescent="0.2">
      <c r="A250" t="s">
        <v>106</v>
      </c>
      <c r="B250" s="46">
        <v>45184</v>
      </c>
      <c r="C250" t="s">
        <v>1786</v>
      </c>
      <c r="D250" t="s">
        <v>108</v>
      </c>
      <c r="E250" t="s">
        <v>1787</v>
      </c>
      <c r="F250" t="s">
        <v>110</v>
      </c>
      <c r="G250" t="s">
        <v>111</v>
      </c>
      <c r="H250" t="s">
        <v>112</v>
      </c>
      <c r="I250" t="s">
        <v>112</v>
      </c>
      <c r="J250" t="s">
        <v>112</v>
      </c>
      <c r="K250" t="s">
        <v>150</v>
      </c>
      <c r="L250" t="s">
        <v>151</v>
      </c>
      <c r="M250" t="s">
        <v>112</v>
      </c>
      <c r="N250" t="s">
        <v>112</v>
      </c>
      <c r="Q250">
        <v>1</v>
      </c>
      <c r="R250">
        <v>33</v>
      </c>
      <c r="S250" t="s">
        <v>166</v>
      </c>
      <c r="T250" t="s">
        <v>152</v>
      </c>
      <c r="U250" t="s">
        <v>153</v>
      </c>
      <c r="V250" t="s">
        <v>154</v>
      </c>
      <c r="W250" t="s">
        <v>119</v>
      </c>
      <c r="X250" t="s">
        <v>112</v>
      </c>
      <c r="Y250" t="s">
        <v>166</v>
      </c>
      <c r="Z250" t="s">
        <v>152</v>
      </c>
      <c r="AA250" t="s">
        <v>153</v>
      </c>
      <c r="AB250" t="s">
        <v>154</v>
      </c>
      <c r="AC250" t="s">
        <v>119</v>
      </c>
      <c r="AD250" t="s">
        <v>112</v>
      </c>
      <c r="AE250" t="s">
        <v>121</v>
      </c>
      <c r="AF250" t="s">
        <v>122</v>
      </c>
      <c r="AG250">
        <v>4890252.96</v>
      </c>
      <c r="AH250" t="s">
        <v>166</v>
      </c>
      <c r="AI250" t="s">
        <v>152</v>
      </c>
      <c r="AJ250" t="s">
        <v>153</v>
      </c>
      <c r="AK250" t="s">
        <v>154</v>
      </c>
      <c r="AL250" t="s">
        <v>119</v>
      </c>
      <c r="AM250" t="s">
        <v>112</v>
      </c>
      <c r="AN250" t="s">
        <v>121</v>
      </c>
      <c r="AO250" t="s">
        <v>122</v>
      </c>
      <c r="AP250" t="s">
        <v>122</v>
      </c>
      <c r="AQ250" t="s">
        <v>124</v>
      </c>
      <c r="AR250" t="s">
        <v>125</v>
      </c>
      <c r="AT250" t="s">
        <v>126</v>
      </c>
      <c r="AU250" t="s">
        <v>155</v>
      </c>
      <c r="AV250" t="s">
        <v>156</v>
      </c>
      <c r="AX250" t="s">
        <v>129</v>
      </c>
      <c r="AY250">
        <v>43698.68</v>
      </c>
      <c r="BB250">
        <v>102.2452</v>
      </c>
      <c r="BC250" t="s">
        <v>112</v>
      </c>
      <c r="BD250" t="s">
        <v>112</v>
      </c>
      <c r="BE250" t="s">
        <v>112</v>
      </c>
      <c r="BF250" t="s">
        <v>133</v>
      </c>
      <c r="BG250" t="s">
        <v>167</v>
      </c>
      <c r="BH250" t="s">
        <v>112</v>
      </c>
      <c r="BI250" t="s">
        <v>112</v>
      </c>
      <c r="BJ250" t="s">
        <v>112</v>
      </c>
      <c r="BK250" t="s">
        <v>112</v>
      </c>
      <c r="BL250" t="s">
        <v>112</v>
      </c>
      <c r="BM250" t="s">
        <v>112</v>
      </c>
      <c r="BN250" t="s">
        <v>161</v>
      </c>
      <c r="BP250" t="s">
        <v>162</v>
      </c>
      <c r="BR250" t="s">
        <v>150</v>
      </c>
      <c r="BS250">
        <v>33</v>
      </c>
      <c r="BY250" t="s">
        <v>106</v>
      </c>
      <c r="BZ250" t="s">
        <v>142</v>
      </c>
      <c r="CA250" t="s">
        <v>112</v>
      </c>
      <c r="CB250" t="s">
        <v>112</v>
      </c>
      <c r="CC250" t="s">
        <v>121</v>
      </c>
      <c r="CD250">
        <v>16823.599999999999</v>
      </c>
      <c r="CE250" t="s">
        <v>144</v>
      </c>
      <c r="CF250">
        <v>4000000</v>
      </c>
      <c r="CG250">
        <v>16751.599999999999</v>
      </c>
      <c r="CI250" t="s">
        <v>112</v>
      </c>
      <c r="CJ250" t="s">
        <v>112</v>
      </c>
      <c r="CK250">
        <v>43698.68</v>
      </c>
      <c r="CM250">
        <v>0</v>
      </c>
      <c r="CN250">
        <v>1</v>
      </c>
      <c r="CO250">
        <v>4890252.96</v>
      </c>
      <c r="CP250">
        <v>51780.43</v>
      </c>
      <c r="CQ250" t="s">
        <v>145</v>
      </c>
      <c r="CR250">
        <v>51762.443999999996</v>
      </c>
      <c r="CS250">
        <v>3.09</v>
      </c>
      <c r="CW250">
        <v>20</v>
      </c>
    </row>
    <row r="251" spans="1:101" x14ac:dyDescent="0.2">
      <c r="A251" t="s">
        <v>106</v>
      </c>
      <c r="B251" s="46">
        <v>45285</v>
      </c>
      <c r="C251" t="s">
        <v>1782</v>
      </c>
      <c r="D251" t="s">
        <v>108</v>
      </c>
      <c r="E251" t="s">
        <v>1783</v>
      </c>
      <c r="F251" t="s">
        <v>110</v>
      </c>
      <c r="G251" t="s">
        <v>111</v>
      </c>
      <c r="H251" t="s">
        <v>112</v>
      </c>
      <c r="I251" t="s">
        <v>112</v>
      </c>
      <c r="J251" t="s">
        <v>112</v>
      </c>
      <c r="K251" t="s">
        <v>150</v>
      </c>
      <c r="L251" t="s">
        <v>151</v>
      </c>
      <c r="M251" t="s">
        <v>112</v>
      </c>
      <c r="N251" t="s">
        <v>112</v>
      </c>
      <c r="Q251">
        <v>1</v>
      </c>
      <c r="R251">
        <v>33</v>
      </c>
      <c r="S251" t="s">
        <v>166</v>
      </c>
      <c r="T251" t="s">
        <v>152</v>
      </c>
      <c r="U251" t="s">
        <v>153</v>
      </c>
      <c r="V251" t="s">
        <v>154</v>
      </c>
      <c r="W251" t="s">
        <v>119</v>
      </c>
      <c r="X251" t="s">
        <v>112</v>
      </c>
      <c r="Y251" t="s">
        <v>166</v>
      </c>
      <c r="Z251" t="s">
        <v>152</v>
      </c>
      <c r="AA251" t="s">
        <v>153</v>
      </c>
      <c r="AB251" t="s">
        <v>154</v>
      </c>
      <c r="AC251" t="s">
        <v>119</v>
      </c>
      <c r="AD251" t="s">
        <v>112</v>
      </c>
      <c r="AE251" t="s">
        <v>121</v>
      </c>
      <c r="AF251" t="s">
        <v>122</v>
      </c>
      <c r="AG251">
        <v>4122767.77</v>
      </c>
      <c r="AH251" t="s">
        <v>166</v>
      </c>
      <c r="AI251" t="s">
        <v>152</v>
      </c>
      <c r="AJ251" t="s">
        <v>153</v>
      </c>
      <c r="AK251" t="s">
        <v>154</v>
      </c>
      <c r="AL251" t="s">
        <v>119</v>
      </c>
      <c r="AM251" t="s">
        <v>112</v>
      </c>
      <c r="AN251" t="s">
        <v>121</v>
      </c>
      <c r="AO251" t="s">
        <v>122</v>
      </c>
      <c r="AP251" t="s">
        <v>122</v>
      </c>
      <c r="AQ251" t="s">
        <v>124</v>
      </c>
      <c r="AR251" t="s">
        <v>125</v>
      </c>
      <c r="AT251" t="s">
        <v>126</v>
      </c>
      <c r="AU251" t="s">
        <v>155</v>
      </c>
      <c r="AV251" t="s">
        <v>156</v>
      </c>
      <c r="AX251" t="s">
        <v>129</v>
      </c>
      <c r="AY251">
        <v>36192.36</v>
      </c>
      <c r="BB251">
        <v>102.2452</v>
      </c>
      <c r="BC251" t="s">
        <v>112</v>
      </c>
      <c r="BD251" t="s">
        <v>112</v>
      </c>
      <c r="BE251" t="s">
        <v>112</v>
      </c>
      <c r="BF251" t="s">
        <v>133</v>
      </c>
      <c r="BG251" t="s">
        <v>134</v>
      </c>
      <c r="BH251" t="s">
        <v>112</v>
      </c>
      <c r="BI251" t="s">
        <v>112</v>
      </c>
      <c r="BJ251" t="s">
        <v>112</v>
      </c>
      <c r="BK251" t="s">
        <v>112</v>
      </c>
      <c r="BL251" t="s">
        <v>112</v>
      </c>
      <c r="BM251" t="s">
        <v>112</v>
      </c>
      <c r="BN251" t="s">
        <v>161</v>
      </c>
      <c r="BP251" t="s">
        <v>213</v>
      </c>
      <c r="BR251" t="s">
        <v>150</v>
      </c>
      <c r="BS251">
        <v>33</v>
      </c>
      <c r="BT251">
        <v>0</v>
      </c>
      <c r="BU251">
        <v>0</v>
      </c>
      <c r="BY251" t="s">
        <v>106</v>
      </c>
      <c r="BZ251" t="s">
        <v>142</v>
      </c>
      <c r="CA251" t="s">
        <v>112</v>
      </c>
      <c r="CB251" t="s">
        <v>112</v>
      </c>
      <c r="CC251" t="s">
        <v>121</v>
      </c>
      <c r="CD251">
        <v>17353.91</v>
      </c>
      <c r="CE251" t="s">
        <v>144</v>
      </c>
      <c r="CF251">
        <v>4000000</v>
      </c>
      <c r="CG251">
        <v>17353.91</v>
      </c>
      <c r="CH251">
        <v>0</v>
      </c>
      <c r="CI251" t="s">
        <v>112</v>
      </c>
      <c r="CJ251" t="s">
        <v>112</v>
      </c>
      <c r="CK251">
        <v>36192.36</v>
      </c>
      <c r="CM251">
        <v>0</v>
      </c>
      <c r="CN251">
        <v>1</v>
      </c>
      <c r="CO251">
        <v>4122767.77</v>
      </c>
      <c r="CP251">
        <v>43653.919999999998</v>
      </c>
      <c r="CQ251" t="s">
        <v>145</v>
      </c>
      <c r="CR251">
        <v>43731.853199999998</v>
      </c>
      <c r="CS251">
        <v>2.52</v>
      </c>
      <c r="CW251">
        <v>205</v>
      </c>
    </row>
    <row r="252" spans="1:101" x14ac:dyDescent="0.2">
      <c r="A252" t="s">
        <v>106</v>
      </c>
      <c r="B252" s="46">
        <v>44833</v>
      </c>
      <c r="C252" t="s">
        <v>1778</v>
      </c>
      <c r="D252" t="s">
        <v>108</v>
      </c>
      <c r="E252" t="s">
        <v>1779</v>
      </c>
      <c r="F252" t="s">
        <v>110</v>
      </c>
      <c r="G252" t="s">
        <v>111</v>
      </c>
      <c r="H252" t="s">
        <v>112</v>
      </c>
      <c r="I252" t="s">
        <v>112</v>
      </c>
      <c r="J252" t="s">
        <v>112</v>
      </c>
      <c r="K252" t="s">
        <v>150</v>
      </c>
      <c r="L252" t="s">
        <v>151</v>
      </c>
      <c r="M252" t="s">
        <v>112</v>
      </c>
      <c r="N252" t="s">
        <v>112</v>
      </c>
      <c r="Q252">
        <v>1</v>
      </c>
      <c r="R252">
        <v>33</v>
      </c>
      <c r="S252" t="s">
        <v>166</v>
      </c>
      <c r="T252" t="s">
        <v>152</v>
      </c>
      <c r="U252" t="s">
        <v>153</v>
      </c>
      <c r="V252" t="s">
        <v>154</v>
      </c>
      <c r="W252" t="s">
        <v>119</v>
      </c>
      <c r="X252" t="s">
        <v>112</v>
      </c>
      <c r="Y252" t="s">
        <v>166</v>
      </c>
      <c r="Z252" t="s">
        <v>152</v>
      </c>
      <c r="AA252" t="s">
        <v>153</v>
      </c>
      <c r="AB252" t="s">
        <v>154</v>
      </c>
      <c r="AC252" t="s">
        <v>119</v>
      </c>
      <c r="AD252" t="s">
        <v>112</v>
      </c>
      <c r="AE252" t="s">
        <v>121</v>
      </c>
      <c r="AF252" t="s">
        <v>122</v>
      </c>
      <c r="AG252">
        <v>5029281.8899999997</v>
      </c>
      <c r="AH252" t="s">
        <v>166</v>
      </c>
      <c r="AI252" t="s">
        <v>152</v>
      </c>
      <c r="AJ252" t="s">
        <v>153</v>
      </c>
      <c r="AK252" t="s">
        <v>154</v>
      </c>
      <c r="AL252" t="s">
        <v>119</v>
      </c>
      <c r="AM252" t="s">
        <v>112</v>
      </c>
      <c r="AN252" t="s">
        <v>121</v>
      </c>
      <c r="AO252" t="s">
        <v>122</v>
      </c>
      <c r="AP252" t="s">
        <v>122</v>
      </c>
      <c r="AQ252" t="s">
        <v>124</v>
      </c>
      <c r="AR252" t="s">
        <v>125</v>
      </c>
      <c r="AT252" t="s">
        <v>126</v>
      </c>
      <c r="AU252" t="s">
        <v>155</v>
      </c>
      <c r="AV252" t="s">
        <v>156</v>
      </c>
      <c r="AX252" t="s">
        <v>129</v>
      </c>
      <c r="AY252">
        <v>45058.44</v>
      </c>
      <c r="BB252">
        <v>102.2452</v>
      </c>
      <c r="BC252" t="s">
        <v>112</v>
      </c>
      <c r="BD252" t="s">
        <v>112</v>
      </c>
      <c r="BE252" t="s">
        <v>112</v>
      </c>
      <c r="BF252" t="s">
        <v>133</v>
      </c>
      <c r="BG252" t="s">
        <v>134</v>
      </c>
      <c r="BH252" t="s">
        <v>112</v>
      </c>
      <c r="BI252" t="s">
        <v>112</v>
      </c>
      <c r="BJ252" t="s">
        <v>112</v>
      </c>
      <c r="BK252" t="s">
        <v>112</v>
      </c>
      <c r="BL252" t="s">
        <v>112</v>
      </c>
      <c r="BM252" t="s">
        <v>112</v>
      </c>
      <c r="BN252" t="s">
        <v>161</v>
      </c>
      <c r="BP252" t="s">
        <v>205</v>
      </c>
      <c r="BR252" t="s">
        <v>150</v>
      </c>
      <c r="BS252">
        <v>33</v>
      </c>
      <c r="BT252">
        <v>0</v>
      </c>
      <c r="BU252">
        <v>0</v>
      </c>
      <c r="BY252" t="s">
        <v>106</v>
      </c>
      <c r="BZ252" t="s">
        <v>142</v>
      </c>
      <c r="CA252" t="s">
        <v>112</v>
      </c>
      <c r="CB252" t="s">
        <v>112</v>
      </c>
      <c r="CC252" t="s">
        <v>121</v>
      </c>
      <c r="CD252">
        <v>14622.07</v>
      </c>
      <c r="CE252" t="s">
        <v>144</v>
      </c>
      <c r="CF252">
        <v>4000000</v>
      </c>
      <c r="CG252">
        <v>14322.66</v>
      </c>
      <c r="CH252">
        <v>0</v>
      </c>
      <c r="CI252" t="s">
        <v>112</v>
      </c>
      <c r="CJ252" t="s">
        <v>112</v>
      </c>
      <c r="CK252">
        <v>45058.44</v>
      </c>
      <c r="CM252">
        <v>0</v>
      </c>
      <c r="CN252">
        <v>1</v>
      </c>
      <c r="CO252">
        <v>5029281.8899999997</v>
      </c>
      <c r="CP252">
        <v>53252.54</v>
      </c>
      <c r="CQ252" t="s">
        <v>145</v>
      </c>
      <c r="CR252">
        <v>53280.2952</v>
      </c>
      <c r="CS252">
        <v>3.72</v>
      </c>
      <c r="CW252">
        <v>257</v>
      </c>
    </row>
    <row r="253" spans="1:101" x14ac:dyDescent="0.2">
      <c r="A253" t="s">
        <v>106</v>
      </c>
      <c r="B253" s="46">
        <v>45251</v>
      </c>
      <c r="C253" t="s">
        <v>1571</v>
      </c>
      <c r="D253" t="s">
        <v>108</v>
      </c>
      <c r="E253" t="s">
        <v>1572</v>
      </c>
      <c r="F253" t="s">
        <v>110</v>
      </c>
      <c r="G253" t="s">
        <v>111</v>
      </c>
      <c r="H253" t="s">
        <v>112</v>
      </c>
      <c r="I253" t="s">
        <v>112</v>
      </c>
      <c r="J253" t="s">
        <v>112</v>
      </c>
      <c r="K253" t="s">
        <v>150</v>
      </c>
      <c r="L253" t="s">
        <v>1143</v>
      </c>
      <c r="M253" t="s">
        <v>112</v>
      </c>
      <c r="N253" t="s">
        <v>112</v>
      </c>
      <c r="O253">
        <v>1</v>
      </c>
      <c r="P253">
        <v>0</v>
      </c>
      <c r="Q253">
        <v>1</v>
      </c>
      <c r="R253">
        <v>33</v>
      </c>
      <c r="S253" t="s">
        <v>166</v>
      </c>
      <c r="T253" t="s">
        <v>152</v>
      </c>
      <c r="U253" t="s">
        <v>153</v>
      </c>
      <c r="V253" t="s">
        <v>154</v>
      </c>
      <c r="W253" t="s">
        <v>119</v>
      </c>
      <c r="X253" t="s">
        <v>112</v>
      </c>
      <c r="Y253" t="s">
        <v>166</v>
      </c>
      <c r="Z253" t="s">
        <v>152</v>
      </c>
      <c r="AA253" t="s">
        <v>153</v>
      </c>
      <c r="AB253" t="s">
        <v>154</v>
      </c>
      <c r="AC253" t="s">
        <v>119</v>
      </c>
      <c r="AD253" t="s">
        <v>112</v>
      </c>
      <c r="AE253" t="s">
        <v>121</v>
      </c>
      <c r="AF253" t="s">
        <v>122</v>
      </c>
      <c r="AG253">
        <v>4462221.21</v>
      </c>
      <c r="AH253" t="s">
        <v>166</v>
      </c>
      <c r="AI253" t="s">
        <v>152</v>
      </c>
      <c r="AJ253" t="s">
        <v>153</v>
      </c>
      <c r="AK253" t="s">
        <v>154</v>
      </c>
      <c r="AL253" t="s">
        <v>119</v>
      </c>
      <c r="AM253" t="s">
        <v>112</v>
      </c>
      <c r="AN253" t="s">
        <v>121</v>
      </c>
      <c r="AO253" t="s">
        <v>122</v>
      </c>
      <c r="AP253" t="s">
        <v>122</v>
      </c>
      <c r="AQ253" t="s">
        <v>124</v>
      </c>
      <c r="AR253" t="s">
        <v>125</v>
      </c>
      <c r="AS253">
        <v>2</v>
      </c>
      <c r="AT253" t="s">
        <v>126</v>
      </c>
      <c r="AU253" t="s">
        <v>155</v>
      </c>
      <c r="AV253" t="s">
        <v>156</v>
      </c>
      <c r="AW253">
        <v>1</v>
      </c>
      <c r="AX253" t="s">
        <v>129</v>
      </c>
      <c r="AY253">
        <v>40201.31</v>
      </c>
      <c r="AZ253">
        <v>4046511</v>
      </c>
      <c r="BA253">
        <v>49369.26</v>
      </c>
      <c r="BB253">
        <v>100.6562</v>
      </c>
      <c r="BC253" t="s">
        <v>130</v>
      </c>
      <c r="BD253" t="s">
        <v>112</v>
      </c>
      <c r="BE253" t="s">
        <v>157</v>
      </c>
      <c r="BF253" t="s">
        <v>133</v>
      </c>
      <c r="BG253" t="s">
        <v>134</v>
      </c>
      <c r="BH253" t="s">
        <v>112</v>
      </c>
      <c r="BI253" t="s">
        <v>112</v>
      </c>
      <c r="BJ253" t="s">
        <v>112</v>
      </c>
      <c r="BK253" t="s">
        <v>169</v>
      </c>
      <c r="BL253" t="s">
        <v>159</v>
      </c>
      <c r="BM253" t="s">
        <v>722</v>
      </c>
      <c r="BN253" t="s">
        <v>161</v>
      </c>
      <c r="BO253">
        <v>1</v>
      </c>
      <c r="BP253" t="s">
        <v>162</v>
      </c>
      <c r="BR253" t="s">
        <v>150</v>
      </c>
      <c r="BS253">
        <v>33</v>
      </c>
      <c r="BT253">
        <v>0</v>
      </c>
      <c r="BU253">
        <v>0</v>
      </c>
      <c r="BW253">
        <v>0</v>
      </c>
      <c r="BY253" t="s">
        <v>106</v>
      </c>
      <c r="BZ253" t="s">
        <v>142</v>
      </c>
      <c r="CA253" t="s">
        <v>112</v>
      </c>
      <c r="CB253" t="s">
        <v>112</v>
      </c>
      <c r="CC253" t="s">
        <v>121</v>
      </c>
      <c r="CD253">
        <v>16150.66</v>
      </c>
      <c r="CE253" t="s">
        <v>144</v>
      </c>
      <c r="CF253">
        <v>4000000</v>
      </c>
      <c r="CG253">
        <v>16079.85</v>
      </c>
      <c r="CH253">
        <v>0</v>
      </c>
      <c r="CI253" t="s">
        <v>112</v>
      </c>
      <c r="CJ253" t="s">
        <v>112</v>
      </c>
      <c r="CK253">
        <v>40201.31</v>
      </c>
      <c r="CL253">
        <v>4046511</v>
      </c>
      <c r="CM253">
        <v>0</v>
      </c>
      <c r="CN253">
        <v>1</v>
      </c>
      <c r="CO253">
        <v>4462221.21</v>
      </c>
      <c r="CP253">
        <v>49369.26</v>
      </c>
      <c r="CQ253" t="s">
        <v>145</v>
      </c>
      <c r="CR253">
        <v>49365.139499999997</v>
      </c>
      <c r="CS253">
        <v>3.07</v>
      </c>
      <c r="CT253">
        <v>45</v>
      </c>
      <c r="CU253" t="s">
        <v>171</v>
      </c>
      <c r="CV253" t="s">
        <v>350</v>
      </c>
      <c r="CW253">
        <v>564</v>
      </c>
    </row>
    <row r="254" spans="1:101" x14ac:dyDescent="0.2">
      <c r="A254" t="s">
        <v>106</v>
      </c>
      <c r="B254" s="46">
        <v>44877</v>
      </c>
      <c r="C254" t="s">
        <v>1552</v>
      </c>
      <c r="D254" t="s">
        <v>108</v>
      </c>
      <c r="E254" t="s">
        <v>1553</v>
      </c>
      <c r="F254" t="s">
        <v>110</v>
      </c>
      <c r="G254" t="s">
        <v>111</v>
      </c>
      <c r="H254" t="s">
        <v>112</v>
      </c>
      <c r="I254" t="s">
        <v>112</v>
      </c>
      <c r="J254" t="s">
        <v>112</v>
      </c>
      <c r="K254" t="s">
        <v>150</v>
      </c>
      <c r="L254" t="s">
        <v>1143</v>
      </c>
      <c r="M254" t="s">
        <v>112</v>
      </c>
      <c r="N254" t="s">
        <v>112</v>
      </c>
      <c r="O254">
        <v>1</v>
      </c>
      <c r="P254">
        <v>0</v>
      </c>
      <c r="Q254">
        <v>1</v>
      </c>
      <c r="R254">
        <v>33</v>
      </c>
      <c r="S254" t="s">
        <v>166</v>
      </c>
      <c r="T254" t="s">
        <v>152</v>
      </c>
      <c r="U254" t="s">
        <v>153</v>
      </c>
      <c r="V254" t="s">
        <v>154</v>
      </c>
      <c r="W254" t="s">
        <v>119</v>
      </c>
      <c r="X254" t="s">
        <v>112</v>
      </c>
      <c r="Y254" t="s">
        <v>166</v>
      </c>
      <c r="Z254" t="s">
        <v>152</v>
      </c>
      <c r="AA254" t="s">
        <v>153</v>
      </c>
      <c r="AB254" t="s">
        <v>154</v>
      </c>
      <c r="AC254" t="s">
        <v>119</v>
      </c>
      <c r="AD254" t="s">
        <v>112</v>
      </c>
      <c r="AE254" t="s">
        <v>121</v>
      </c>
      <c r="AF254" t="s">
        <v>122</v>
      </c>
      <c r="AG254">
        <v>4804080.87</v>
      </c>
      <c r="AH254" t="s">
        <v>166</v>
      </c>
      <c r="AI254" t="s">
        <v>152</v>
      </c>
      <c r="AJ254" t="s">
        <v>153</v>
      </c>
      <c r="AK254" t="s">
        <v>154</v>
      </c>
      <c r="AL254" t="s">
        <v>119</v>
      </c>
      <c r="AM254" t="s">
        <v>112</v>
      </c>
      <c r="AN254" t="s">
        <v>121</v>
      </c>
      <c r="AO254" t="s">
        <v>122</v>
      </c>
      <c r="AP254" t="s">
        <v>122</v>
      </c>
      <c r="AQ254" t="s">
        <v>124</v>
      </c>
      <c r="AR254" t="s">
        <v>125</v>
      </c>
      <c r="AS254">
        <v>2</v>
      </c>
      <c r="AT254" t="s">
        <v>126</v>
      </c>
      <c r="AU254" t="s">
        <v>155</v>
      </c>
      <c r="AV254" t="s">
        <v>156</v>
      </c>
      <c r="AW254">
        <v>1</v>
      </c>
      <c r="AX254" t="s">
        <v>129</v>
      </c>
      <c r="AY254">
        <v>43597.62</v>
      </c>
      <c r="AZ254">
        <v>4388371</v>
      </c>
      <c r="BA254">
        <v>53151.54</v>
      </c>
      <c r="BB254">
        <v>100.6562</v>
      </c>
      <c r="BC254" t="s">
        <v>130</v>
      </c>
      <c r="BD254" t="s">
        <v>112</v>
      </c>
      <c r="BE254" t="s">
        <v>157</v>
      </c>
      <c r="BF254" t="s">
        <v>133</v>
      </c>
      <c r="BG254" t="s">
        <v>134</v>
      </c>
      <c r="BH254" t="s">
        <v>112</v>
      </c>
      <c r="BI254" t="s">
        <v>112</v>
      </c>
      <c r="BJ254" t="s">
        <v>112</v>
      </c>
      <c r="BK254" t="s">
        <v>169</v>
      </c>
      <c r="BL254" t="s">
        <v>159</v>
      </c>
      <c r="BM254" t="s">
        <v>722</v>
      </c>
      <c r="BN254" t="s">
        <v>161</v>
      </c>
      <c r="BO254">
        <v>1</v>
      </c>
      <c r="BP254" t="s">
        <v>1418</v>
      </c>
      <c r="BR254" t="s">
        <v>150</v>
      </c>
      <c r="BS254">
        <v>33</v>
      </c>
      <c r="BT254">
        <v>0</v>
      </c>
      <c r="BU254">
        <v>0</v>
      </c>
      <c r="BW254">
        <v>0</v>
      </c>
      <c r="BY254" t="s">
        <v>106</v>
      </c>
      <c r="BZ254" t="s">
        <v>142</v>
      </c>
      <c r="CA254" t="s">
        <v>112</v>
      </c>
      <c r="CB254" t="s">
        <v>112</v>
      </c>
      <c r="CC254" t="s">
        <v>121</v>
      </c>
      <c r="CD254">
        <v>16528.28</v>
      </c>
      <c r="CE254" t="s">
        <v>144</v>
      </c>
      <c r="CF254">
        <v>4000000</v>
      </c>
      <c r="CG254">
        <v>16474.28</v>
      </c>
      <c r="CH254">
        <v>0</v>
      </c>
      <c r="CI254" t="s">
        <v>112</v>
      </c>
      <c r="CJ254" t="s">
        <v>112</v>
      </c>
      <c r="CK254">
        <v>43597.62</v>
      </c>
      <c r="CL254">
        <v>4388371</v>
      </c>
      <c r="CM254">
        <v>0</v>
      </c>
      <c r="CN254">
        <v>1</v>
      </c>
      <c r="CO254">
        <v>4804080.87</v>
      </c>
      <c r="CP254">
        <v>53151.54</v>
      </c>
      <c r="CQ254" t="s">
        <v>145</v>
      </c>
      <c r="CR254">
        <v>53211.924399999996</v>
      </c>
      <c r="CS254">
        <v>3.23</v>
      </c>
      <c r="CT254">
        <v>45</v>
      </c>
      <c r="CU254" t="s">
        <v>171</v>
      </c>
      <c r="CV254" t="s">
        <v>463</v>
      </c>
      <c r="CW254">
        <v>4</v>
      </c>
    </row>
    <row r="255" spans="1:101" x14ac:dyDescent="0.2">
      <c r="A255" t="s">
        <v>106</v>
      </c>
      <c r="B255" s="46">
        <v>45125</v>
      </c>
      <c r="C255" t="s">
        <v>1573</v>
      </c>
      <c r="D255" t="s">
        <v>108</v>
      </c>
      <c r="E255" t="s">
        <v>1574</v>
      </c>
      <c r="F255" t="s">
        <v>110</v>
      </c>
      <c r="G255" t="s">
        <v>111</v>
      </c>
      <c r="H255" t="s">
        <v>112</v>
      </c>
      <c r="I255" t="s">
        <v>112</v>
      </c>
      <c r="J255" t="s">
        <v>112</v>
      </c>
      <c r="K255" t="s">
        <v>150</v>
      </c>
      <c r="L255" t="s">
        <v>1143</v>
      </c>
      <c r="M255" t="s">
        <v>112</v>
      </c>
      <c r="N255" t="s">
        <v>112</v>
      </c>
      <c r="O255">
        <v>1</v>
      </c>
      <c r="P255">
        <v>0</v>
      </c>
      <c r="Q255">
        <v>1</v>
      </c>
      <c r="R255">
        <v>33</v>
      </c>
      <c r="S255" t="s">
        <v>166</v>
      </c>
      <c r="T255" t="s">
        <v>152</v>
      </c>
      <c r="U255" t="s">
        <v>153</v>
      </c>
      <c r="V255" t="s">
        <v>154</v>
      </c>
      <c r="W255" t="s">
        <v>119</v>
      </c>
      <c r="X255" t="s">
        <v>112</v>
      </c>
      <c r="Y255" t="s">
        <v>166</v>
      </c>
      <c r="Z255" t="s">
        <v>152</v>
      </c>
      <c r="AA255" t="s">
        <v>153</v>
      </c>
      <c r="AB255" t="s">
        <v>154</v>
      </c>
      <c r="AC255" t="s">
        <v>119</v>
      </c>
      <c r="AD255" t="s">
        <v>112</v>
      </c>
      <c r="AE255" t="s">
        <v>121</v>
      </c>
      <c r="AF255" t="s">
        <v>122</v>
      </c>
      <c r="AG255">
        <v>4718472.7699999996</v>
      </c>
      <c r="AH255" t="s">
        <v>166</v>
      </c>
      <c r="AI255" t="s">
        <v>152</v>
      </c>
      <c r="AJ255" t="s">
        <v>153</v>
      </c>
      <c r="AK255" t="s">
        <v>154</v>
      </c>
      <c r="AL255" t="s">
        <v>119</v>
      </c>
      <c r="AM255" t="s">
        <v>112</v>
      </c>
      <c r="AN255" t="s">
        <v>121</v>
      </c>
      <c r="AO255" t="s">
        <v>122</v>
      </c>
      <c r="AP255" t="s">
        <v>122</v>
      </c>
      <c r="AQ255" t="s">
        <v>124</v>
      </c>
      <c r="AR255" t="s">
        <v>125</v>
      </c>
      <c r="AS255">
        <v>2</v>
      </c>
      <c r="AT255" t="s">
        <v>126</v>
      </c>
      <c r="AU255" t="s">
        <v>155</v>
      </c>
      <c r="AV255" t="s">
        <v>156</v>
      </c>
      <c r="AW255">
        <v>1</v>
      </c>
      <c r="AX255" t="s">
        <v>129</v>
      </c>
      <c r="AY255">
        <v>42747.12</v>
      </c>
      <c r="AZ255">
        <v>4302763</v>
      </c>
      <c r="BA255">
        <v>52204.39</v>
      </c>
      <c r="BB255">
        <v>100.6562</v>
      </c>
      <c r="BC255" t="s">
        <v>130</v>
      </c>
      <c r="BD255" t="s">
        <v>112</v>
      </c>
      <c r="BE255" t="s">
        <v>157</v>
      </c>
      <c r="BF255" t="s">
        <v>133</v>
      </c>
      <c r="BG255" t="s">
        <v>134</v>
      </c>
      <c r="BH255" t="s">
        <v>112</v>
      </c>
      <c r="BI255" t="s">
        <v>112</v>
      </c>
      <c r="BJ255" t="s">
        <v>112</v>
      </c>
      <c r="BK255" t="s">
        <v>169</v>
      </c>
      <c r="BL255" t="s">
        <v>159</v>
      </c>
      <c r="BM255" t="s">
        <v>722</v>
      </c>
      <c r="BN255" t="s">
        <v>161</v>
      </c>
      <c r="BO255">
        <v>1</v>
      </c>
      <c r="BP255" t="s">
        <v>1366</v>
      </c>
      <c r="BR255" t="s">
        <v>150</v>
      </c>
      <c r="BS255">
        <v>33</v>
      </c>
      <c r="BT255">
        <v>0</v>
      </c>
      <c r="BU255">
        <v>0</v>
      </c>
      <c r="BW255">
        <v>0</v>
      </c>
      <c r="BY255" t="s">
        <v>106</v>
      </c>
      <c r="BZ255" t="s">
        <v>142</v>
      </c>
      <c r="CA255" t="s">
        <v>112</v>
      </c>
      <c r="CB255" t="s">
        <v>112</v>
      </c>
      <c r="CC255" t="s">
        <v>121</v>
      </c>
      <c r="CD255">
        <v>16994.14</v>
      </c>
      <c r="CE255" t="s">
        <v>144</v>
      </c>
      <c r="CF255">
        <v>4000000</v>
      </c>
      <c r="CG255">
        <v>16994.14</v>
      </c>
      <c r="CH255">
        <v>0</v>
      </c>
      <c r="CI255" t="s">
        <v>112</v>
      </c>
      <c r="CJ255" t="s">
        <v>112</v>
      </c>
      <c r="CK255">
        <v>42747.12</v>
      </c>
      <c r="CL255">
        <v>4302763</v>
      </c>
      <c r="CM255">
        <v>0</v>
      </c>
      <c r="CN255">
        <v>1</v>
      </c>
      <c r="CO255">
        <v>4718472.7699999996</v>
      </c>
      <c r="CP255">
        <v>52204.39</v>
      </c>
      <c r="CQ255" t="s">
        <v>145</v>
      </c>
      <c r="CR255">
        <v>52172.009799999993</v>
      </c>
      <c r="CS255">
        <v>3.07</v>
      </c>
      <c r="CT255">
        <v>45</v>
      </c>
      <c r="CU255" t="s">
        <v>171</v>
      </c>
      <c r="CV255" t="s">
        <v>369</v>
      </c>
      <c r="CW255">
        <v>577</v>
      </c>
    </row>
    <row r="256" spans="1:101" x14ac:dyDescent="0.2">
      <c r="A256" t="s">
        <v>106</v>
      </c>
      <c r="B256" s="46">
        <v>45153</v>
      </c>
      <c r="C256" t="s">
        <v>1567</v>
      </c>
      <c r="D256" t="s">
        <v>108</v>
      </c>
      <c r="E256" t="s">
        <v>1568</v>
      </c>
      <c r="F256" t="s">
        <v>110</v>
      </c>
      <c r="G256" t="s">
        <v>111</v>
      </c>
      <c r="H256" t="s">
        <v>112</v>
      </c>
      <c r="I256" t="s">
        <v>112</v>
      </c>
      <c r="J256" t="s">
        <v>112</v>
      </c>
      <c r="K256" t="s">
        <v>150</v>
      </c>
      <c r="L256" t="s">
        <v>1143</v>
      </c>
      <c r="M256" t="s">
        <v>112</v>
      </c>
      <c r="N256" t="s">
        <v>112</v>
      </c>
      <c r="O256">
        <v>1</v>
      </c>
      <c r="P256">
        <v>0</v>
      </c>
      <c r="Q256">
        <v>1</v>
      </c>
      <c r="R256">
        <v>33</v>
      </c>
      <c r="S256" t="s">
        <v>166</v>
      </c>
      <c r="T256" t="s">
        <v>152</v>
      </c>
      <c r="U256" t="s">
        <v>153</v>
      </c>
      <c r="V256" t="s">
        <v>154</v>
      </c>
      <c r="W256" t="s">
        <v>119</v>
      </c>
      <c r="X256" t="s">
        <v>112</v>
      </c>
      <c r="Y256" t="s">
        <v>166</v>
      </c>
      <c r="Z256" t="s">
        <v>152</v>
      </c>
      <c r="AA256" t="s">
        <v>153</v>
      </c>
      <c r="AB256" t="s">
        <v>154</v>
      </c>
      <c r="AC256" t="s">
        <v>119</v>
      </c>
      <c r="AD256" t="s">
        <v>112</v>
      </c>
      <c r="AE256" t="s">
        <v>121</v>
      </c>
      <c r="AF256" t="s">
        <v>122</v>
      </c>
      <c r="AG256">
        <v>4544878.07</v>
      </c>
      <c r="AH256" t="s">
        <v>166</v>
      </c>
      <c r="AI256" t="s">
        <v>152</v>
      </c>
      <c r="AJ256" t="s">
        <v>153</v>
      </c>
      <c r="AK256" t="s">
        <v>154</v>
      </c>
      <c r="AL256" t="s">
        <v>119</v>
      </c>
      <c r="AM256" t="s">
        <v>112</v>
      </c>
      <c r="AN256" t="s">
        <v>121</v>
      </c>
      <c r="AO256" t="s">
        <v>122</v>
      </c>
      <c r="AP256" t="s">
        <v>122</v>
      </c>
      <c r="AQ256" t="s">
        <v>124</v>
      </c>
      <c r="AR256" t="s">
        <v>125</v>
      </c>
      <c r="AS256">
        <v>2</v>
      </c>
      <c r="AT256" t="s">
        <v>126</v>
      </c>
      <c r="AU256" t="s">
        <v>155</v>
      </c>
      <c r="AV256" t="s">
        <v>156</v>
      </c>
      <c r="AW256">
        <v>1</v>
      </c>
      <c r="AX256" t="s">
        <v>129</v>
      </c>
      <c r="AY256">
        <v>41022.49</v>
      </c>
      <c r="AZ256">
        <v>4129168</v>
      </c>
      <c r="BA256">
        <v>50283.77</v>
      </c>
      <c r="BB256">
        <v>100.6562</v>
      </c>
      <c r="BC256" t="s">
        <v>130</v>
      </c>
      <c r="BD256" t="s">
        <v>112</v>
      </c>
      <c r="BE256" t="s">
        <v>157</v>
      </c>
      <c r="BF256" t="s">
        <v>133</v>
      </c>
      <c r="BG256" t="s">
        <v>167</v>
      </c>
      <c r="BH256" t="s">
        <v>168</v>
      </c>
      <c r="BI256" t="s">
        <v>112</v>
      </c>
      <c r="BJ256" t="s">
        <v>112</v>
      </c>
      <c r="BK256" t="s">
        <v>169</v>
      </c>
      <c r="BL256" t="s">
        <v>159</v>
      </c>
      <c r="BM256" t="s">
        <v>726</v>
      </c>
      <c r="BN256" t="s">
        <v>161</v>
      </c>
      <c r="BO256">
        <v>1</v>
      </c>
      <c r="BP256" t="s">
        <v>232</v>
      </c>
      <c r="BR256" t="s">
        <v>150</v>
      </c>
      <c r="BS256">
        <v>33</v>
      </c>
      <c r="BT256">
        <v>0</v>
      </c>
      <c r="BU256">
        <v>0</v>
      </c>
      <c r="BW256">
        <v>0</v>
      </c>
      <c r="BY256" t="s">
        <v>106</v>
      </c>
      <c r="BZ256" t="s">
        <v>142</v>
      </c>
      <c r="CA256" t="s">
        <v>112</v>
      </c>
      <c r="CB256" t="s">
        <v>112</v>
      </c>
      <c r="CC256" t="s">
        <v>121</v>
      </c>
      <c r="CD256">
        <v>16665.78</v>
      </c>
      <c r="CE256" t="s">
        <v>144</v>
      </c>
      <c r="CF256">
        <v>4000000</v>
      </c>
      <c r="CG256">
        <v>16557.78</v>
      </c>
      <c r="CH256">
        <v>0</v>
      </c>
      <c r="CI256" t="s">
        <v>112</v>
      </c>
      <c r="CJ256" t="s">
        <v>112</v>
      </c>
      <c r="CK256">
        <v>41022.49</v>
      </c>
      <c r="CL256">
        <v>4129168</v>
      </c>
      <c r="CM256">
        <v>0</v>
      </c>
      <c r="CN256">
        <v>1</v>
      </c>
      <c r="CO256">
        <v>4544878.07</v>
      </c>
      <c r="CP256">
        <v>50283.77</v>
      </c>
      <c r="CQ256" t="s">
        <v>145</v>
      </c>
      <c r="CR256">
        <v>50335.6512</v>
      </c>
      <c r="CS256">
        <v>3.04</v>
      </c>
      <c r="CT256">
        <v>45</v>
      </c>
      <c r="CU256" t="s">
        <v>171</v>
      </c>
      <c r="CV256" t="s">
        <v>463</v>
      </c>
      <c r="CW256">
        <v>80</v>
      </c>
    </row>
    <row r="257" spans="1:101" x14ac:dyDescent="0.2">
      <c r="A257" t="s">
        <v>106</v>
      </c>
      <c r="B257" s="46">
        <v>44992</v>
      </c>
      <c r="C257" t="s">
        <v>1554</v>
      </c>
      <c r="D257" t="s">
        <v>108</v>
      </c>
      <c r="E257" t="s">
        <v>1555</v>
      </c>
      <c r="F257" t="s">
        <v>110</v>
      </c>
      <c r="G257" t="s">
        <v>111</v>
      </c>
      <c r="H257" t="s">
        <v>112</v>
      </c>
      <c r="I257" t="s">
        <v>112</v>
      </c>
      <c r="J257" t="s">
        <v>112</v>
      </c>
      <c r="K257" t="s">
        <v>150</v>
      </c>
      <c r="L257" t="s">
        <v>1143</v>
      </c>
      <c r="M257" t="s">
        <v>112</v>
      </c>
      <c r="N257" t="s">
        <v>112</v>
      </c>
      <c r="O257">
        <v>1</v>
      </c>
      <c r="P257">
        <v>0</v>
      </c>
      <c r="Q257">
        <v>1</v>
      </c>
      <c r="R257">
        <v>33</v>
      </c>
      <c r="S257" t="s">
        <v>166</v>
      </c>
      <c r="T257" t="s">
        <v>152</v>
      </c>
      <c r="U257" t="s">
        <v>153</v>
      </c>
      <c r="V257" t="s">
        <v>154</v>
      </c>
      <c r="W257" t="s">
        <v>119</v>
      </c>
      <c r="X257" t="s">
        <v>112</v>
      </c>
      <c r="Y257" t="s">
        <v>166</v>
      </c>
      <c r="Z257" t="s">
        <v>152</v>
      </c>
      <c r="AA257" t="s">
        <v>153</v>
      </c>
      <c r="AB257" t="s">
        <v>154</v>
      </c>
      <c r="AC257" t="s">
        <v>119</v>
      </c>
      <c r="AD257" t="s">
        <v>112</v>
      </c>
      <c r="AE257" t="s">
        <v>121</v>
      </c>
      <c r="AF257" t="s">
        <v>122</v>
      </c>
      <c r="AG257">
        <v>4590498.4800000004</v>
      </c>
      <c r="AH257" t="s">
        <v>166</v>
      </c>
      <c r="AI257" t="s">
        <v>152</v>
      </c>
      <c r="AJ257" t="s">
        <v>153</v>
      </c>
      <c r="AK257" t="s">
        <v>154</v>
      </c>
      <c r="AL257" t="s">
        <v>119</v>
      </c>
      <c r="AM257" t="s">
        <v>112</v>
      </c>
      <c r="AN257" t="s">
        <v>121</v>
      </c>
      <c r="AO257" t="s">
        <v>122</v>
      </c>
      <c r="AP257" t="s">
        <v>122</v>
      </c>
      <c r="AQ257" t="s">
        <v>124</v>
      </c>
      <c r="AR257" t="s">
        <v>125</v>
      </c>
      <c r="AS257">
        <v>2</v>
      </c>
      <c r="AT257" t="s">
        <v>126</v>
      </c>
      <c r="AU257" t="s">
        <v>155</v>
      </c>
      <c r="AV257" t="s">
        <v>156</v>
      </c>
      <c r="AW257">
        <v>1</v>
      </c>
      <c r="AX257" t="s">
        <v>129</v>
      </c>
      <c r="AY257">
        <v>41475.72</v>
      </c>
      <c r="AZ257">
        <v>4174788</v>
      </c>
      <c r="BA257">
        <v>50788.5</v>
      </c>
      <c r="BB257">
        <v>100.6562</v>
      </c>
      <c r="BC257" t="s">
        <v>130</v>
      </c>
      <c r="BD257" t="s">
        <v>112</v>
      </c>
      <c r="BE257" t="s">
        <v>157</v>
      </c>
      <c r="BF257" t="s">
        <v>133</v>
      </c>
      <c r="BG257" t="s">
        <v>167</v>
      </c>
      <c r="BH257" t="s">
        <v>168</v>
      </c>
      <c r="BI257" t="s">
        <v>112</v>
      </c>
      <c r="BJ257" t="s">
        <v>112</v>
      </c>
      <c r="BK257" t="s">
        <v>169</v>
      </c>
      <c r="BL257" t="s">
        <v>159</v>
      </c>
      <c r="BM257" t="s">
        <v>726</v>
      </c>
      <c r="BN257" t="s">
        <v>161</v>
      </c>
      <c r="BO257">
        <v>1</v>
      </c>
      <c r="BP257" t="s">
        <v>466</v>
      </c>
      <c r="BR257" t="s">
        <v>150</v>
      </c>
      <c r="BS257">
        <v>33</v>
      </c>
      <c r="BT257">
        <v>0</v>
      </c>
      <c r="BU257">
        <v>0</v>
      </c>
      <c r="BW257">
        <v>0</v>
      </c>
      <c r="BY257" t="s">
        <v>106</v>
      </c>
      <c r="BZ257" t="s">
        <v>142</v>
      </c>
      <c r="CA257" t="s">
        <v>112</v>
      </c>
      <c r="CB257" t="s">
        <v>112</v>
      </c>
      <c r="CC257" t="s">
        <v>121</v>
      </c>
      <c r="CD257">
        <v>16853.62</v>
      </c>
      <c r="CE257" t="s">
        <v>144</v>
      </c>
      <c r="CF257">
        <v>4000000</v>
      </c>
      <c r="CG257">
        <v>16767.22</v>
      </c>
      <c r="CH257">
        <v>0</v>
      </c>
      <c r="CI257" t="s">
        <v>112</v>
      </c>
      <c r="CJ257" t="s">
        <v>112</v>
      </c>
      <c r="CK257">
        <v>41475.72</v>
      </c>
      <c r="CL257">
        <v>4174788</v>
      </c>
      <c r="CM257">
        <v>0</v>
      </c>
      <c r="CN257">
        <v>1</v>
      </c>
      <c r="CO257">
        <v>4590498.4800000004</v>
      </c>
      <c r="CP257">
        <v>50788.5</v>
      </c>
      <c r="CQ257" t="s">
        <v>145</v>
      </c>
      <c r="CR257">
        <v>50804.676599999999</v>
      </c>
      <c r="CS257">
        <v>3.03</v>
      </c>
      <c r="CT257">
        <v>45</v>
      </c>
      <c r="CU257" t="s">
        <v>171</v>
      </c>
      <c r="CV257" t="s">
        <v>369</v>
      </c>
      <c r="CW257">
        <v>310</v>
      </c>
    </row>
    <row r="258" spans="1:101" x14ac:dyDescent="0.2">
      <c r="A258" t="s">
        <v>106</v>
      </c>
      <c r="B258" s="46">
        <v>45278</v>
      </c>
      <c r="C258" t="s">
        <v>1579</v>
      </c>
      <c r="D258" t="s">
        <v>108</v>
      </c>
      <c r="E258" t="s">
        <v>1580</v>
      </c>
      <c r="F258" t="s">
        <v>110</v>
      </c>
      <c r="G258" t="s">
        <v>111</v>
      </c>
      <c r="H258" t="s">
        <v>112</v>
      </c>
      <c r="I258" t="s">
        <v>112</v>
      </c>
      <c r="J258" t="s">
        <v>112</v>
      </c>
      <c r="K258" t="s">
        <v>150</v>
      </c>
      <c r="L258" t="s">
        <v>1143</v>
      </c>
      <c r="M258" t="s">
        <v>112</v>
      </c>
      <c r="N258" t="s">
        <v>112</v>
      </c>
      <c r="O258">
        <v>1</v>
      </c>
      <c r="P258">
        <v>0</v>
      </c>
      <c r="Q258">
        <v>1</v>
      </c>
      <c r="R258">
        <v>33</v>
      </c>
      <c r="S258" t="s">
        <v>166</v>
      </c>
      <c r="T258" t="s">
        <v>152</v>
      </c>
      <c r="U258" t="s">
        <v>153</v>
      </c>
      <c r="V258" t="s">
        <v>154</v>
      </c>
      <c r="W258" t="s">
        <v>119</v>
      </c>
      <c r="X258" t="s">
        <v>112</v>
      </c>
      <c r="Y258" t="s">
        <v>166</v>
      </c>
      <c r="Z258" t="s">
        <v>152</v>
      </c>
      <c r="AA258" t="s">
        <v>153</v>
      </c>
      <c r="AB258" t="s">
        <v>154</v>
      </c>
      <c r="AC258" t="s">
        <v>119</v>
      </c>
      <c r="AD258" t="s">
        <v>112</v>
      </c>
      <c r="AE258" t="s">
        <v>121</v>
      </c>
      <c r="AF258" t="s">
        <v>122</v>
      </c>
      <c r="AG258">
        <v>4462866.42</v>
      </c>
      <c r="AH258" t="s">
        <v>166</v>
      </c>
      <c r="AI258" t="s">
        <v>152</v>
      </c>
      <c r="AJ258" t="s">
        <v>153</v>
      </c>
      <c r="AK258" t="s">
        <v>154</v>
      </c>
      <c r="AL258" t="s">
        <v>119</v>
      </c>
      <c r="AM258" t="s">
        <v>112</v>
      </c>
      <c r="AN258" t="s">
        <v>121</v>
      </c>
      <c r="AO258" t="s">
        <v>122</v>
      </c>
      <c r="AP258" t="s">
        <v>122</v>
      </c>
      <c r="AQ258" t="s">
        <v>124</v>
      </c>
      <c r="AR258" t="s">
        <v>125</v>
      </c>
      <c r="AS258">
        <v>2</v>
      </c>
      <c r="AT258" t="s">
        <v>126</v>
      </c>
      <c r="AU258" t="s">
        <v>155</v>
      </c>
      <c r="AV258" t="s">
        <v>156</v>
      </c>
      <c r="AW258">
        <v>1</v>
      </c>
      <c r="AX258" t="s">
        <v>129</v>
      </c>
      <c r="AY258">
        <v>40207.72</v>
      </c>
      <c r="AZ258">
        <v>4047156</v>
      </c>
      <c r="BA258">
        <v>49376.4</v>
      </c>
      <c r="BB258">
        <v>100.6562</v>
      </c>
      <c r="BC258" t="s">
        <v>130</v>
      </c>
      <c r="BD258" t="s">
        <v>112</v>
      </c>
      <c r="BE258" t="s">
        <v>157</v>
      </c>
      <c r="BF258" t="s">
        <v>133</v>
      </c>
      <c r="BG258" t="s">
        <v>167</v>
      </c>
      <c r="BH258" t="s">
        <v>168</v>
      </c>
      <c r="BI258" t="s">
        <v>112</v>
      </c>
      <c r="BJ258" t="s">
        <v>112</v>
      </c>
      <c r="BK258" t="s">
        <v>169</v>
      </c>
      <c r="BL258" t="s">
        <v>159</v>
      </c>
      <c r="BM258" t="s">
        <v>726</v>
      </c>
      <c r="BN258" t="s">
        <v>161</v>
      </c>
      <c r="BO258">
        <v>1</v>
      </c>
      <c r="BP258" t="s">
        <v>232</v>
      </c>
      <c r="BR258" t="s">
        <v>150</v>
      </c>
      <c r="BS258">
        <v>33</v>
      </c>
      <c r="BT258">
        <v>0</v>
      </c>
      <c r="BU258">
        <v>0</v>
      </c>
      <c r="BW258">
        <v>0</v>
      </c>
      <c r="BY258" t="s">
        <v>106</v>
      </c>
      <c r="BZ258" t="s">
        <v>142</v>
      </c>
      <c r="CA258" t="s">
        <v>112</v>
      </c>
      <c r="CB258" t="s">
        <v>112</v>
      </c>
      <c r="CC258" t="s">
        <v>121</v>
      </c>
      <c r="CD258">
        <v>16815.52</v>
      </c>
      <c r="CE258" t="s">
        <v>144</v>
      </c>
      <c r="CF258">
        <v>4000000</v>
      </c>
      <c r="CG258">
        <v>16774.72</v>
      </c>
      <c r="CH258">
        <v>0</v>
      </c>
      <c r="CI258" t="s">
        <v>112</v>
      </c>
      <c r="CJ258" t="s">
        <v>112</v>
      </c>
      <c r="CK258">
        <v>40207.72</v>
      </c>
      <c r="CL258">
        <v>4047156</v>
      </c>
      <c r="CM258">
        <v>0</v>
      </c>
      <c r="CN258">
        <v>1</v>
      </c>
      <c r="CO258">
        <v>4462866.42</v>
      </c>
      <c r="CP258">
        <v>49376.4</v>
      </c>
      <c r="CQ258" t="s">
        <v>145</v>
      </c>
      <c r="CR258">
        <v>49317.676800000001</v>
      </c>
      <c r="CS258">
        <v>2.94</v>
      </c>
      <c r="CT258">
        <v>45</v>
      </c>
      <c r="CU258" t="s">
        <v>171</v>
      </c>
      <c r="CV258" t="s">
        <v>350</v>
      </c>
      <c r="CW258">
        <v>15</v>
      </c>
    </row>
    <row r="259" spans="1:101" x14ac:dyDescent="0.2">
      <c r="A259" t="s">
        <v>106</v>
      </c>
      <c r="B259" s="46">
        <v>45150</v>
      </c>
      <c r="C259" t="s">
        <v>1225</v>
      </c>
      <c r="D259" t="s">
        <v>108</v>
      </c>
      <c r="E259" t="s">
        <v>1226</v>
      </c>
      <c r="F259" t="s">
        <v>110</v>
      </c>
      <c r="G259" t="s">
        <v>111</v>
      </c>
      <c r="H259" t="s">
        <v>112</v>
      </c>
      <c r="I259" t="s">
        <v>112</v>
      </c>
      <c r="J259" t="s">
        <v>112</v>
      </c>
      <c r="K259" t="s">
        <v>150</v>
      </c>
      <c r="L259" t="s">
        <v>1060</v>
      </c>
      <c r="M259" t="s">
        <v>112</v>
      </c>
      <c r="N259" t="s">
        <v>112</v>
      </c>
      <c r="O259">
        <v>1</v>
      </c>
      <c r="P259">
        <v>0</v>
      </c>
      <c r="Q259">
        <v>1</v>
      </c>
      <c r="R259">
        <v>33</v>
      </c>
      <c r="S259" t="s">
        <v>166</v>
      </c>
      <c r="T259" t="s">
        <v>152</v>
      </c>
      <c r="U259" t="s">
        <v>153</v>
      </c>
      <c r="V259" t="s">
        <v>154</v>
      </c>
      <c r="W259" t="s">
        <v>119</v>
      </c>
      <c r="X259" t="s">
        <v>112</v>
      </c>
      <c r="Y259" t="s">
        <v>166</v>
      </c>
      <c r="Z259" t="s">
        <v>152</v>
      </c>
      <c r="AA259" t="s">
        <v>153</v>
      </c>
      <c r="AB259" t="s">
        <v>154</v>
      </c>
      <c r="AC259" t="s">
        <v>119</v>
      </c>
      <c r="AD259" t="s">
        <v>112</v>
      </c>
      <c r="AE259" t="s">
        <v>121</v>
      </c>
      <c r="AF259" t="s">
        <v>122</v>
      </c>
      <c r="AG259">
        <v>3722807.99</v>
      </c>
      <c r="AH259" t="s">
        <v>166</v>
      </c>
      <c r="AI259" t="s">
        <v>152</v>
      </c>
      <c r="AJ259" t="s">
        <v>153</v>
      </c>
      <c r="AK259" t="s">
        <v>154</v>
      </c>
      <c r="AL259" t="s">
        <v>119</v>
      </c>
      <c r="AM259" t="s">
        <v>112</v>
      </c>
      <c r="AN259" t="s">
        <v>121</v>
      </c>
      <c r="AO259" t="s">
        <v>122</v>
      </c>
      <c r="AP259" t="s">
        <v>122</v>
      </c>
      <c r="AQ259" t="s">
        <v>124</v>
      </c>
      <c r="AR259" t="s">
        <v>125</v>
      </c>
      <c r="AS259">
        <v>2</v>
      </c>
      <c r="AT259" t="s">
        <v>126</v>
      </c>
      <c r="AU259" t="s">
        <v>155</v>
      </c>
      <c r="AV259" t="s">
        <v>156</v>
      </c>
      <c r="AW259">
        <v>1</v>
      </c>
      <c r="AX259" t="s">
        <v>129</v>
      </c>
      <c r="AY259">
        <v>38883.279999999999</v>
      </c>
      <c r="AZ259">
        <v>3365356</v>
      </c>
      <c r="BA259">
        <v>46438.45</v>
      </c>
      <c r="BB259">
        <v>86.550200000000004</v>
      </c>
      <c r="BC259" t="s">
        <v>130</v>
      </c>
      <c r="BD259" t="s">
        <v>112</v>
      </c>
      <c r="BE259" t="s">
        <v>157</v>
      </c>
      <c r="BF259" t="s">
        <v>133</v>
      </c>
      <c r="BG259" t="s">
        <v>134</v>
      </c>
      <c r="BH259" t="s">
        <v>112</v>
      </c>
      <c r="BI259" t="s">
        <v>112</v>
      </c>
      <c r="BJ259" t="s">
        <v>112</v>
      </c>
      <c r="BK259" t="s">
        <v>169</v>
      </c>
      <c r="BL259" t="s">
        <v>159</v>
      </c>
      <c r="BM259" t="s">
        <v>722</v>
      </c>
      <c r="BN259" t="s">
        <v>161</v>
      </c>
      <c r="BO259">
        <v>1</v>
      </c>
      <c r="BP259" t="s">
        <v>232</v>
      </c>
      <c r="BR259" t="s">
        <v>150</v>
      </c>
      <c r="BS259">
        <v>33</v>
      </c>
      <c r="BT259">
        <v>0</v>
      </c>
      <c r="BU259">
        <v>0</v>
      </c>
      <c r="BW259">
        <v>0</v>
      </c>
      <c r="BY259" t="s">
        <v>106</v>
      </c>
      <c r="BZ259" t="s">
        <v>142</v>
      </c>
      <c r="CA259" t="s">
        <v>112</v>
      </c>
      <c r="CB259" t="s">
        <v>112</v>
      </c>
      <c r="CC259" t="s">
        <v>121</v>
      </c>
      <c r="CD259">
        <v>16736.02</v>
      </c>
      <c r="CE259" t="s">
        <v>144</v>
      </c>
      <c r="CF259">
        <v>4000000</v>
      </c>
      <c r="CG259">
        <v>16628.02</v>
      </c>
      <c r="CH259">
        <v>0</v>
      </c>
      <c r="CI259" t="s">
        <v>112</v>
      </c>
      <c r="CJ259" t="s">
        <v>112</v>
      </c>
      <c r="CK259">
        <v>38883.279999999999</v>
      </c>
      <c r="CL259">
        <v>3365356</v>
      </c>
      <c r="CM259">
        <v>0</v>
      </c>
      <c r="CN259">
        <v>1</v>
      </c>
      <c r="CO259">
        <v>3722807.99</v>
      </c>
      <c r="CP259">
        <v>46438.45</v>
      </c>
      <c r="CQ259" t="s">
        <v>145</v>
      </c>
      <c r="CR259">
        <v>46438.734256000003</v>
      </c>
      <c r="CS259">
        <v>2.7928000000000002</v>
      </c>
      <c r="CT259">
        <v>45</v>
      </c>
      <c r="CU259" t="s">
        <v>171</v>
      </c>
      <c r="CV259" t="s">
        <v>372</v>
      </c>
      <c r="CW259">
        <v>580</v>
      </c>
    </row>
    <row r="260" spans="1:101" x14ac:dyDescent="0.2">
      <c r="A260" t="s">
        <v>106</v>
      </c>
      <c r="B260" s="46">
        <v>45058</v>
      </c>
      <c r="C260" t="s">
        <v>1223</v>
      </c>
      <c r="D260" t="s">
        <v>108</v>
      </c>
      <c r="E260" t="s">
        <v>1224</v>
      </c>
      <c r="F260" t="s">
        <v>110</v>
      </c>
      <c r="G260" t="s">
        <v>111</v>
      </c>
      <c r="H260" t="s">
        <v>112</v>
      </c>
      <c r="I260" t="s">
        <v>112</v>
      </c>
      <c r="J260" t="s">
        <v>112</v>
      </c>
      <c r="K260" t="s">
        <v>150</v>
      </c>
      <c r="L260" t="s">
        <v>1060</v>
      </c>
      <c r="M260" t="s">
        <v>112</v>
      </c>
      <c r="N260" t="s">
        <v>112</v>
      </c>
      <c r="O260">
        <v>1</v>
      </c>
      <c r="P260">
        <v>0</v>
      </c>
      <c r="Q260">
        <v>1</v>
      </c>
      <c r="R260">
        <v>33</v>
      </c>
      <c r="S260" t="s">
        <v>166</v>
      </c>
      <c r="T260" t="s">
        <v>152</v>
      </c>
      <c r="U260" t="s">
        <v>153</v>
      </c>
      <c r="V260" t="s">
        <v>154</v>
      </c>
      <c r="W260" t="s">
        <v>119</v>
      </c>
      <c r="X260" t="s">
        <v>112</v>
      </c>
      <c r="Y260" t="s">
        <v>166</v>
      </c>
      <c r="Z260" t="s">
        <v>152</v>
      </c>
      <c r="AA260" t="s">
        <v>153</v>
      </c>
      <c r="AB260" t="s">
        <v>154</v>
      </c>
      <c r="AC260" t="s">
        <v>119</v>
      </c>
      <c r="AD260" t="s">
        <v>112</v>
      </c>
      <c r="AE260" t="s">
        <v>121</v>
      </c>
      <c r="AF260" t="s">
        <v>122</v>
      </c>
      <c r="AG260">
        <v>4044542.78</v>
      </c>
      <c r="AH260" t="s">
        <v>166</v>
      </c>
      <c r="AI260" t="s">
        <v>152</v>
      </c>
      <c r="AJ260" t="s">
        <v>153</v>
      </c>
      <c r="AK260" t="s">
        <v>154</v>
      </c>
      <c r="AL260" t="s">
        <v>119</v>
      </c>
      <c r="AM260" t="s">
        <v>112</v>
      </c>
      <c r="AN260" t="s">
        <v>121</v>
      </c>
      <c r="AO260" t="s">
        <v>122</v>
      </c>
      <c r="AP260" t="s">
        <v>122</v>
      </c>
      <c r="AQ260" t="s">
        <v>124</v>
      </c>
      <c r="AR260" t="s">
        <v>125</v>
      </c>
      <c r="AS260">
        <v>2</v>
      </c>
      <c r="AT260" t="s">
        <v>126</v>
      </c>
      <c r="AU260" t="s">
        <v>155</v>
      </c>
      <c r="AV260" t="s">
        <v>156</v>
      </c>
      <c r="AW260">
        <v>1</v>
      </c>
      <c r="AX260" t="s">
        <v>129</v>
      </c>
      <c r="AY260">
        <v>42600.6</v>
      </c>
      <c r="AZ260">
        <v>3687090</v>
      </c>
      <c r="BA260">
        <v>50451.78</v>
      </c>
      <c r="BB260">
        <v>86.550200000000004</v>
      </c>
      <c r="BC260" t="s">
        <v>130</v>
      </c>
      <c r="BD260" t="s">
        <v>112</v>
      </c>
      <c r="BE260" t="s">
        <v>157</v>
      </c>
      <c r="BF260" t="s">
        <v>133</v>
      </c>
      <c r="BG260" t="s">
        <v>134</v>
      </c>
      <c r="BH260" t="s">
        <v>112</v>
      </c>
      <c r="BI260" t="s">
        <v>112</v>
      </c>
      <c r="BJ260" t="s">
        <v>112</v>
      </c>
      <c r="BK260" t="s">
        <v>169</v>
      </c>
      <c r="BL260" t="s">
        <v>159</v>
      </c>
      <c r="BM260" t="s">
        <v>722</v>
      </c>
      <c r="BN260" t="s">
        <v>161</v>
      </c>
      <c r="BO260">
        <v>1</v>
      </c>
      <c r="BP260" t="s">
        <v>162</v>
      </c>
      <c r="BR260" t="s">
        <v>150</v>
      </c>
      <c r="BS260">
        <v>33</v>
      </c>
      <c r="BT260">
        <v>0</v>
      </c>
      <c r="BU260">
        <v>0</v>
      </c>
      <c r="BW260">
        <v>0</v>
      </c>
      <c r="BY260" t="s">
        <v>106</v>
      </c>
      <c r="BZ260" t="s">
        <v>142</v>
      </c>
      <c r="CA260" t="s">
        <v>112</v>
      </c>
      <c r="CB260" t="s">
        <v>112</v>
      </c>
      <c r="CC260" t="s">
        <v>121</v>
      </c>
      <c r="CD260">
        <v>17031.54</v>
      </c>
      <c r="CE260" t="s">
        <v>144</v>
      </c>
      <c r="CF260">
        <v>4000000</v>
      </c>
      <c r="CG260">
        <v>16966.740000000002</v>
      </c>
      <c r="CH260">
        <v>0</v>
      </c>
      <c r="CI260" t="s">
        <v>112</v>
      </c>
      <c r="CJ260" t="s">
        <v>112</v>
      </c>
      <c r="CK260">
        <v>42600.6</v>
      </c>
      <c r="CL260">
        <v>3687090</v>
      </c>
      <c r="CM260">
        <v>0</v>
      </c>
      <c r="CN260">
        <v>1</v>
      </c>
      <c r="CO260">
        <v>4044542.78</v>
      </c>
      <c r="CP260">
        <v>50451.78</v>
      </c>
      <c r="CQ260" t="s">
        <v>145</v>
      </c>
      <c r="CR260">
        <v>50452.298064000002</v>
      </c>
      <c r="CS260">
        <v>2.9735999999999998</v>
      </c>
      <c r="CT260">
        <v>45</v>
      </c>
      <c r="CU260" t="s">
        <v>171</v>
      </c>
      <c r="CV260" t="s">
        <v>350</v>
      </c>
      <c r="CW260">
        <v>152</v>
      </c>
    </row>
    <row r="261" spans="1:101" x14ac:dyDescent="0.2">
      <c r="A261" t="s">
        <v>106</v>
      </c>
      <c r="B261" s="46">
        <v>45022</v>
      </c>
      <c r="C261" t="s">
        <v>1227</v>
      </c>
      <c r="D261" t="s">
        <v>108</v>
      </c>
      <c r="E261" t="s">
        <v>1228</v>
      </c>
      <c r="F261" t="s">
        <v>110</v>
      </c>
      <c r="G261" t="s">
        <v>111</v>
      </c>
      <c r="H261" t="s">
        <v>112</v>
      </c>
      <c r="I261" t="s">
        <v>112</v>
      </c>
      <c r="J261" t="s">
        <v>112</v>
      </c>
      <c r="K261" t="s">
        <v>150</v>
      </c>
      <c r="L261" t="s">
        <v>1060</v>
      </c>
      <c r="M261" t="s">
        <v>112</v>
      </c>
      <c r="N261" t="s">
        <v>112</v>
      </c>
      <c r="O261">
        <v>1</v>
      </c>
      <c r="P261">
        <v>0</v>
      </c>
      <c r="Q261">
        <v>1</v>
      </c>
      <c r="R261">
        <v>33</v>
      </c>
      <c r="S261" t="s">
        <v>166</v>
      </c>
      <c r="T261" t="s">
        <v>152</v>
      </c>
      <c r="U261" t="s">
        <v>153</v>
      </c>
      <c r="V261" t="s">
        <v>154</v>
      </c>
      <c r="W261" t="s">
        <v>119</v>
      </c>
      <c r="X261" t="s">
        <v>112</v>
      </c>
      <c r="Y261" t="s">
        <v>166</v>
      </c>
      <c r="Z261" t="s">
        <v>152</v>
      </c>
      <c r="AA261" t="s">
        <v>153</v>
      </c>
      <c r="AB261" t="s">
        <v>154</v>
      </c>
      <c r="AC261" t="s">
        <v>119</v>
      </c>
      <c r="AD261" t="s">
        <v>112</v>
      </c>
      <c r="AE261" t="s">
        <v>121</v>
      </c>
      <c r="AF261" t="s">
        <v>122</v>
      </c>
      <c r="AG261">
        <v>4251418.53</v>
      </c>
      <c r="AH261" t="s">
        <v>166</v>
      </c>
      <c r="AI261" t="s">
        <v>152</v>
      </c>
      <c r="AJ261" t="s">
        <v>153</v>
      </c>
      <c r="AK261" t="s">
        <v>154</v>
      </c>
      <c r="AL261" t="s">
        <v>119</v>
      </c>
      <c r="AM261" t="s">
        <v>112</v>
      </c>
      <c r="AN261" t="s">
        <v>121</v>
      </c>
      <c r="AO261" t="s">
        <v>122</v>
      </c>
      <c r="AP261" t="s">
        <v>122</v>
      </c>
      <c r="AQ261" t="s">
        <v>124</v>
      </c>
      <c r="AR261" t="s">
        <v>125</v>
      </c>
      <c r="AS261">
        <v>2</v>
      </c>
      <c r="AT261" t="s">
        <v>126</v>
      </c>
      <c r="AU261" t="s">
        <v>155</v>
      </c>
      <c r="AV261" t="s">
        <v>156</v>
      </c>
      <c r="AW261">
        <v>1</v>
      </c>
      <c r="AX261" t="s">
        <v>129</v>
      </c>
      <c r="AY261">
        <v>44470.84</v>
      </c>
      <c r="AZ261">
        <v>3848960</v>
      </c>
      <c r="BA261">
        <v>53032.36</v>
      </c>
      <c r="BB261">
        <v>86.550200000000004</v>
      </c>
      <c r="BC261" t="s">
        <v>130</v>
      </c>
      <c r="BD261" t="s">
        <v>112</v>
      </c>
      <c r="BE261" t="s">
        <v>157</v>
      </c>
      <c r="BF261" t="s">
        <v>133</v>
      </c>
      <c r="BG261" t="s">
        <v>134</v>
      </c>
      <c r="BH261" t="s">
        <v>112</v>
      </c>
      <c r="BI261" t="s">
        <v>112</v>
      </c>
      <c r="BJ261" t="s">
        <v>112</v>
      </c>
      <c r="BK261" t="s">
        <v>169</v>
      </c>
      <c r="BL261" t="s">
        <v>159</v>
      </c>
      <c r="BM261" t="s">
        <v>722</v>
      </c>
      <c r="BN261" t="s">
        <v>161</v>
      </c>
      <c r="BO261">
        <v>1</v>
      </c>
      <c r="BP261" t="s">
        <v>205</v>
      </c>
      <c r="BR261" t="s">
        <v>150</v>
      </c>
      <c r="BS261">
        <v>33</v>
      </c>
      <c r="BT261">
        <v>0</v>
      </c>
      <c r="BU261">
        <v>0</v>
      </c>
      <c r="BW261">
        <v>0</v>
      </c>
      <c r="BY261" t="s">
        <v>106</v>
      </c>
      <c r="BZ261" t="s">
        <v>142</v>
      </c>
      <c r="CA261" t="s">
        <v>112</v>
      </c>
      <c r="CB261" t="s">
        <v>112</v>
      </c>
      <c r="CC261" t="s">
        <v>121</v>
      </c>
      <c r="CD261">
        <v>17204.650000000001</v>
      </c>
      <c r="CE261" t="s">
        <v>144</v>
      </c>
      <c r="CF261">
        <v>4000000</v>
      </c>
      <c r="CG261">
        <v>17161.45</v>
      </c>
      <c r="CH261">
        <v>0</v>
      </c>
      <c r="CI261" t="s">
        <v>112</v>
      </c>
      <c r="CJ261" t="s">
        <v>112</v>
      </c>
      <c r="CK261">
        <v>44470.84</v>
      </c>
      <c r="CL261">
        <v>3848960</v>
      </c>
      <c r="CM261">
        <v>0</v>
      </c>
      <c r="CN261">
        <v>1</v>
      </c>
      <c r="CO261">
        <v>4251418.53</v>
      </c>
      <c r="CP261">
        <v>53032.36</v>
      </c>
      <c r="CQ261" t="s">
        <v>145</v>
      </c>
      <c r="CR261">
        <v>53032.312789999996</v>
      </c>
      <c r="CS261">
        <v>3.0901999999999998</v>
      </c>
      <c r="CT261">
        <v>45</v>
      </c>
      <c r="CU261" t="s">
        <v>171</v>
      </c>
      <c r="CV261" t="s">
        <v>463</v>
      </c>
      <c r="CW261">
        <v>174</v>
      </c>
    </row>
    <row r="262" spans="1:101" x14ac:dyDescent="0.2">
      <c r="A262" t="s">
        <v>106</v>
      </c>
      <c r="B262" s="46">
        <v>45230</v>
      </c>
      <c r="C262" t="s">
        <v>1221</v>
      </c>
      <c r="D262" t="s">
        <v>108</v>
      </c>
      <c r="E262" t="s">
        <v>1222</v>
      </c>
      <c r="F262" t="s">
        <v>110</v>
      </c>
      <c r="G262" t="s">
        <v>111</v>
      </c>
      <c r="H262" t="s">
        <v>112</v>
      </c>
      <c r="I262" t="s">
        <v>112</v>
      </c>
      <c r="J262" t="s">
        <v>112</v>
      </c>
      <c r="K262" t="s">
        <v>150</v>
      </c>
      <c r="L262" t="s">
        <v>1060</v>
      </c>
      <c r="M262" t="s">
        <v>112</v>
      </c>
      <c r="N262" t="s">
        <v>112</v>
      </c>
      <c r="O262">
        <v>1</v>
      </c>
      <c r="P262">
        <v>0</v>
      </c>
      <c r="Q262">
        <v>1</v>
      </c>
      <c r="R262">
        <v>33</v>
      </c>
      <c r="S262" t="s">
        <v>166</v>
      </c>
      <c r="T262" t="s">
        <v>152</v>
      </c>
      <c r="U262" t="s">
        <v>153</v>
      </c>
      <c r="V262" t="s">
        <v>154</v>
      </c>
      <c r="W262" t="s">
        <v>119</v>
      </c>
      <c r="X262" t="s">
        <v>112</v>
      </c>
      <c r="Y262" t="s">
        <v>166</v>
      </c>
      <c r="Z262" t="s">
        <v>152</v>
      </c>
      <c r="AA262" t="s">
        <v>153</v>
      </c>
      <c r="AB262" t="s">
        <v>154</v>
      </c>
      <c r="AC262" t="s">
        <v>119</v>
      </c>
      <c r="AD262" t="s">
        <v>112</v>
      </c>
      <c r="AE262" t="s">
        <v>121</v>
      </c>
      <c r="AF262" t="s">
        <v>122</v>
      </c>
      <c r="AG262">
        <v>3926855.28</v>
      </c>
      <c r="AH262" t="s">
        <v>166</v>
      </c>
      <c r="AI262" t="s">
        <v>152</v>
      </c>
      <c r="AJ262" t="s">
        <v>153</v>
      </c>
      <c r="AK262" t="s">
        <v>154</v>
      </c>
      <c r="AL262" t="s">
        <v>119</v>
      </c>
      <c r="AM262" t="s">
        <v>112</v>
      </c>
      <c r="AN262" t="s">
        <v>121</v>
      </c>
      <c r="AO262" t="s">
        <v>122</v>
      </c>
      <c r="AP262" t="s">
        <v>122</v>
      </c>
      <c r="AQ262" t="s">
        <v>124</v>
      </c>
      <c r="AR262" t="s">
        <v>125</v>
      </c>
      <c r="AS262">
        <v>2</v>
      </c>
      <c r="AT262" t="s">
        <v>126</v>
      </c>
      <c r="AU262" t="s">
        <v>155</v>
      </c>
      <c r="AV262" t="s">
        <v>156</v>
      </c>
      <c r="AW262">
        <v>1</v>
      </c>
      <c r="AX262" t="s">
        <v>129</v>
      </c>
      <c r="AY262">
        <v>40720.839999999997</v>
      </c>
      <c r="AZ262">
        <v>3524397</v>
      </c>
      <c r="BA262">
        <v>48983.74</v>
      </c>
      <c r="BB262">
        <v>86.550200000000004</v>
      </c>
      <c r="BC262" t="s">
        <v>130</v>
      </c>
      <c r="BD262" t="s">
        <v>112</v>
      </c>
      <c r="BE262" t="s">
        <v>157</v>
      </c>
      <c r="BF262" t="s">
        <v>133</v>
      </c>
      <c r="BG262" t="s">
        <v>134</v>
      </c>
      <c r="BH262" t="s">
        <v>112</v>
      </c>
      <c r="BI262" t="s">
        <v>112</v>
      </c>
      <c r="BJ262" t="s">
        <v>112</v>
      </c>
      <c r="BK262" t="s">
        <v>169</v>
      </c>
      <c r="BL262" t="s">
        <v>159</v>
      </c>
      <c r="BM262" t="s">
        <v>722</v>
      </c>
      <c r="BN262" t="s">
        <v>161</v>
      </c>
      <c r="BO262">
        <v>1</v>
      </c>
      <c r="BP262" t="s">
        <v>232</v>
      </c>
      <c r="BR262" t="s">
        <v>150</v>
      </c>
      <c r="BS262">
        <v>33</v>
      </c>
      <c r="BT262">
        <v>0</v>
      </c>
      <c r="BU262">
        <v>0</v>
      </c>
      <c r="BW262">
        <v>0</v>
      </c>
      <c r="BY262" t="s">
        <v>106</v>
      </c>
      <c r="BZ262" t="s">
        <v>142</v>
      </c>
      <c r="CA262" t="s">
        <v>112</v>
      </c>
      <c r="CB262" t="s">
        <v>112</v>
      </c>
      <c r="CC262" t="s">
        <v>121</v>
      </c>
      <c r="CD262">
        <v>17395.93</v>
      </c>
      <c r="CE262" t="s">
        <v>144</v>
      </c>
      <c r="CF262">
        <v>4000000</v>
      </c>
      <c r="CG262">
        <v>17395.93</v>
      </c>
      <c r="CH262">
        <v>0</v>
      </c>
      <c r="CI262" t="s">
        <v>112</v>
      </c>
      <c r="CJ262" t="s">
        <v>112</v>
      </c>
      <c r="CK262">
        <v>40720.839999999997</v>
      </c>
      <c r="CL262">
        <v>3524397</v>
      </c>
      <c r="CM262">
        <v>0</v>
      </c>
      <c r="CN262">
        <v>1</v>
      </c>
      <c r="CO262">
        <v>3926855.28</v>
      </c>
      <c r="CP262">
        <v>48983.74</v>
      </c>
      <c r="CQ262" t="s">
        <v>145</v>
      </c>
      <c r="CR262">
        <v>48983.459693999997</v>
      </c>
      <c r="CS262">
        <v>2.8157999999999999</v>
      </c>
      <c r="CT262">
        <v>45</v>
      </c>
      <c r="CU262" t="s">
        <v>171</v>
      </c>
      <c r="CV262" t="s">
        <v>372</v>
      </c>
      <c r="CW262">
        <v>102</v>
      </c>
    </row>
    <row r="263" spans="1:101" x14ac:dyDescent="0.2">
      <c r="A263" t="s">
        <v>106</v>
      </c>
      <c r="B263" s="46">
        <v>45279</v>
      </c>
      <c r="C263" t="s">
        <v>1219</v>
      </c>
      <c r="D263" t="s">
        <v>108</v>
      </c>
      <c r="E263" t="s">
        <v>1220</v>
      </c>
      <c r="F263" t="s">
        <v>110</v>
      </c>
      <c r="G263" t="s">
        <v>111</v>
      </c>
      <c r="H263" t="s">
        <v>112</v>
      </c>
      <c r="I263" t="s">
        <v>112</v>
      </c>
      <c r="J263" t="s">
        <v>112</v>
      </c>
      <c r="K263" t="s">
        <v>150</v>
      </c>
      <c r="L263" t="s">
        <v>1060</v>
      </c>
      <c r="M263" t="s">
        <v>112</v>
      </c>
      <c r="N263" t="s">
        <v>112</v>
      </c>
      <c r="O263">
        <v>1</v>
      </c>
      <c r="P263">
        <v>0</v>
      </c>
      <c r="Q263">
        <v>1</v>
      </c>
      <c r="R263">
        <v>33</v>
      </c>
      <c r="S263" t="s">
        <v>166</v>
      </c>
      <c r="T263" t="s">
        <v>152</v>
      </c>
      <c r="U263" t="s">
        <v>153</v>
      </c>
      <c r="V263" t="s">
        <v>154</v>
      </c>
      <c r="W263" t="s">
        <v>119</v>
      </c>
      <c r="X263" t="s">
        <v>112</v>
      </c>
      <c r="Y263" t="s">
        <v>166</v>
      </c>
      <c r="Z263" t="s">
        <v>152</v>
      </c>
      <c r="AA263" t="s">
        <v>153</v>
      </c>
      <c r="AB263" t="s">
        <v>154</v>
      </c>
      <c r="AC263" t="s">
        <v>119</v>
      </c>
      <c r="AD263" t="s">
        <v>112</v>
      </c>
      <c r="AE263" t="s">
        <v>121</v>
      </c>
      <c r="AF263" t="s">
        <v>122</v>
      </c>
      <c r="AG263">
        <v>3815195.14</v>
      </c>
      <c r="AH263" t="s">
        <v>166</v>
      </c>
      <c r="AI263" t="s">
        <v>152</v>
      </c>
      <c r="AJ263" t="s">
        <v>153</v>
      </c>
      <c r="AK263" t="s">
        <v>154</v>
      </c>
      <c r="AL263" t="s">
        <v>119</v>
      </c>
      <c r="AM263" t="s">
        <v>112</v>
      </c>
      <c r="AN263" t="s">
        <v>121</v>
      </c>
      <c r="AO263" t="s">
        <v>122</v>
      </c>
      <c r="AP263" t="s">
        <v>122</v>
      </c>
      <c r="AQ263" t="s">
        <v>124</v>
      </c>
      <c r="AR263" t="s">
        <v>125</v>
      </c>
      <c r="AS263">
        <v>2</v>
      </c>
      <c r="AT263" t="s">
        <v>126</v>
      </c>
      <c r="AU263" t="s">
        <v>155</v>
      </c>
      <c r="AV263" t="s">
        <v>156</v>
      </c>
      <c r="AW263">
        <v>1</v>
      </c>
      <c r="AX263" t="s">
        <v>129</v>
      </c>
      <c r="AY263">
        <v>39950.720000000001</v>
      </c>
      <c r="AZ263">
        <v>3457743</v>
      </c>
      <c r="BA263">
        <v>47590.89</v>
      </c>
      <c r="BB263">
        <v>86.550200000000004</v>
      </c>
      <c r="BC263" t="s">
        <v>130</v>
      </c>
      <c r="BD263" t="s">
        <v>112</v>
      </c>
      <c r="BE263" t="s">
        <v>157</v>
      </c>
      <c r="BF263" t="s">
        <v>133</v>
      </c>
      <c r="BG263" t="s">
        <v>134</v>
      </c>
      <c r="BH263" t="s">
        <v>112</v>
      </c>
      <c r="BI263" t="s">
        <v>112</v>
      </c>
      <c r="BJ263" t="s">
        <v>112</v>
      </c>
      <c r="BK263" t="s">
        <v>169</v>
      </c>
      <c r="BL263" t="s">
        <v>159</v>
      </c>
      <c r="BM263" t="s">
        <v>722</v>
      </c>
      <c r="BN263" t="s">
        <v>161</v>
      </c>
      <c r="BO263">
        <v>1</v>
      </c>
      <c r="BP263" t="s">
        <v>162</v>
      </c>
      <c r="BR263" t="s">
        <v>150</v>
      </c>
      <c r="BS263">
        <v>33</v>
      </c>
      <c r="BT263">
        <v>0</v>
      </c>
      <c r="BU263">
        <v>0</v>
      </c>
      <c r="BW263">
        <v>0</v>
      </c>
      <c r="BY263" t="s">
        <v>106</v>
      </c>
      <c r="BZ263" t="s">
        <v>142</v>
      </c>
      <c r="CA263" t="s">
        <v>112</v>
      </c>
      <c r="CB263" t="s">
        <v>112</v>
      </c>
      <c r="CC263" t="s">
        <v>121</v>
      </c>
      <c r="CD263">
        <v>17168.3</v>
      </c>
      <c r="CE263" t="s">
        <v>144</v>
      </c>
      <c r="CF263">
        <v>4000000</v>
      </c>
      <c r="CG263">
        <v>17168.3</v>
      </c>
      <c r="CH263">
        <v>0</v>
      </c>
      <c r="CI263" t="s">
        <v>112</v>
      </c>
      <c r="CJ263" t="s">
        <v>112</v>
      </c>
      <c r="CK263">
        <v>39950.720000000001</v>
      </c>
      <c r="CL263">
        <v>3457743</v>
      </c>
      <c r="CM263">
        <v>0</v>
      </c>
      <c r="CN263">
        <v>1</v>
      </c>
      <c r="CO263">
        <v>3815195.14</v>
      </c>
      <c r="CP263">
        <v>47590.89</v>
      </c>
      <c r="CQ263" t="s">
        <v>145</v>
      </c>
      <c r="CR263">
        <v>47590.527599999994</v>
      </c>
      <c r="CS263">
        <v>2.7719999999999998</v>
      </c>
      <c r="CT263">
        <v>45</v>
      </c>
      <c r="CU263" t="s">
        <v>171</v>
      </c>
      <c r="CV263" t="s">
        <v>350</v>
      </c>
      <c r="CW263">
        <v>166</v>
      </c>
    </row>
    <row r="264" spans="1:101" x14ac:dyDescent="0.2">
      <c r="A264" t="s">
        <v>106</v>
      </c>
      <c r="B264" s="46">
        <v>45249</v>
      </c>
      <c r="C264" t="s">
        <v>1018</v>
      </c>
      <c r="D264" t="s">
        <v>108</v>
      </c>
      <c r="E264" t="s">
        <v>1019</v>
      </c>
      <c r="F264" t="s">
        <v>110</v>
      </c>
      <c r="G264" t="s">
        <v>111</v>
      </c>
      <c r="H264" t="s">
        <v>112</v>
      </c>
      <c r="I264" t="s">
        <v>112</v>
      </c>
      <c r="J264" t="s">
        <v>112</v>
      </c>
      <c r="K264" t="s">
        <v>150</v>
      </c>
      <c r="L264" t="s">
        <v>1020</v>
      </c>
      <c r="M264" t="s">
        <v>112</v>
      </c>
      <c r="N264" t="s">
        <v>112</v>
      </c>
      <c r="O264">
        <v>1</v>
      </c>
      <c r="P264">
        <v>0</v>
      </c>
      <c r="Q264">
        <v>1</v>
      </c>
      <c r="R264">
        <v>33</v>
      </c>
      <c r="S264" t="s">
        <v>166</v>
      </c>
      <c r="T264" t="s">
        <v>152</v>
      </c>
      <c r="U264" t="s">
        <v>153</v>
      </c>
      <c r="V264" t="s">
        <v>154</v>
      </c>
      <c r="W264" t="s">
        <v>119</v>
      </c>
      <c r="X264" t="s">
        <v>112</v>
      </c>
      <c r="Y264" t="s">
        <v>166</v>
      </c>
      <c r="Z264" t="s">
        <v>152</v>
      </c>
      <c r="AA264" t="s">
        <v>153</v>
      </c>
      <c r="AB264" t="s">
        <v>154</v>
      </c>
      <c r="AC264" t="s">
        <v>119</v>
      </c>
      <c r="AD264" t="s">
        <v>112</v>
      </c>
      <c r="AE264" t="s">
        <v>121</v>
      </c>
      <c r="AF264" t="s">
        <v>122</v>
      </c>
      <c r="AG264">
        <v>4255758.68</v>
      </c>
      <c r="AH264" t="s">
        <v>166</v>
      </c>
      <c r="AI264" t="s">
        <v>152</v>
      </c>
      <c r="AJ264" t="s">
        <v>153</v>
      </c>
      <c r="AK264" t="s">
        <v>154</v>
      </c>
      <c r="AL264" t="s">
        <v>119</v>
      </c>
      <c r="AM264" t="s">
        <v>112</v>
      </c>
      <c r="AN264" t="s">
        <v>121</v>
      </c>
      <c r="AO264" t="s">
        <v>122</v>
      </c>
      <c r="AP264" t="s">
        <v>122</v>
      </c>
      <c r="AQ264" t="s">
        <v>124</v>
      </c>
      <c r="AR264" t="s">
        <v>125</v>
      </c>
      <c r="AS264">
        <v>2</v>
      </c>
      <c r="AT264" t="s">
        <v>126</v>
      </c>
      <c r="AU264" t="s">
        <v>155</v>
      </c>
      <c r="AV264" t="s">
        <v>156</v>
      </c>
      <c r="AW264">
        <v>1</v>
      </c>
      <c r="AX264" t="s">
        <v>129</v>
      </c>
      <c r="AY264">
        <v>43280.47</v>
      </c>
      <c r="AZ264">
        <v>3867088</v>
      </c>
      <c r="BA264">
        <v>52226.68</v>
      </c>
      <c r="BB264">
        <v>89.349500000000006</v>
      </c>
      <c r="BC264" t="s">
        <v>130</v>
      </c>
      <c r="BD264" t="s">
        <v>112</v>
      </c>
      <c r="BE264" t="s">
        <v>157</v>
      </c>
      <c r="BF264" t="s">
        <v>133</v>
      </c>
      <c r="BG264" t="s">
        <v>134</v>
      </c>
      <c r="BH264" t="s">
        <v>112</v>
      </c>
      <c r="BI264" t="s">
        <v>112</v>
      </c>
      <c r="BJ264" t="s">
        <v>112</v>
      </c>
      <c r="BK264" t="s">
        <v>169</v>
      </c>
      <c r="BL264" t="s">
        <v>159</v>
      </c>
      <c r="BM264" t="s">
        <v>722</v>
      </c>
      <c r="BN264" t="s">
        <v>161</v>
      </c>
      <c r="BO264">
        <v>1</v>
      </c>
      <c r="BP264" t="s">
        <v>205</v>
      </c>
      <c r="BR264" t="s">
        <v>150</v>
      </c>
      <c r="BS264">
        <v>33</v>
      </c>
      <c r="BT264">
        <v>0</v>
      </c>
      <c r="BU264">
        <v>0</v>
      </c>
      <c r="BW264">
        <v>0</v>
      </c>
      <c r="BY264" t="s">
        <v>106</v>
      </c>
      <c r="BZ264" t="s">
        <v>142</v>
      </c>
      <c r="CA264" t="s">
        <v>112</v>
      </c>
      <c r="CB264" t="s">
        <v>112</v>
      </c>
      <c r="CC264" t="s">
        <v>121</v>
      </c>
      <c r="CD264">
        <v>16836</v>
      </c>
      <c r="CE264" t="s">
        <v>144</v>
      </c>
      <c r="CF264">
        <v>4000000</v>
      </c>
      <c r="CG264">
        <v>16710</v>
      </c>
      <c r="CH264">
        <v>0</v>
      </c>
      <c r="CI264" t="s">
        <v>112</v>
      </c>
      <c r="CJ264" t="s">
        <v>112</v>
      </c>
      <c r="CK264">
        <v>43280.47</v>
      </c>
      <c r="CL264">
        <v>3867088</v>
      </c>
      <c r="CM264">
        <v>0</v>
      </c>
      <c r="CN264">
        <v>1</v>
      </c>
      <c r="CO264">
        <v>4255758.68</v>
      </c>
      <c r="CP264">
        <v>52226.68</v>
      </c>
      <c r="CQ264" t="s">
        <v>145</v>
      </c>
      <c r="CR264">
        <v>52227.105000000003</v>
      </c>
      <c r="CS264">
        <v>3.1255000000000002</v>
      </c>
      <c r="CT264">
        <v>45</v>
      </c>
      <c r="CU264" t="s">
        <v>171</v>
      </c>
      <c r="CV264" t="s">
        <v>172</v>
      </c>
      <c r="CW264">
        <v>286</v>
      </c>
    </row>
    <row r="265" spans="1:101" x14ac:dyDescent="0.2">
      <c r="A265" t="s">
        <v>106</v>
      </c>
      <c r="B265" s="46">
        <v>45243</v>
      </c>
      <c r="C265" t="s">
        <v>1023</v>
      </c>
      <c r="D265" t="s">
        <v>108</v>
      </c>
      <c r="E265" t="s">
        <v>1024</v>
      </c>
      <c r="F265" t="s">
        <v>110</v>
      </c>
      <c r="G265" t="s">
        <v>111</v>
      </c>
      <c r="H265" t="s">
        <v>112</v>
      </c>
      <c r="I265" t="s">
        <v>112</v>
      </c>
      <c r="J265" t="s">
        <v>112</v>
      </c>
      <c r="K265" t="s">
        <v>150</v>
      </c>
      <c r="L265" t="s">
        <v>1020</v>
      </c>
      <c r="M265" t="s">
        <v>112</v>
      </c>
      <c r="N265" t="s">
        <v>112</v>
      </c>
      <c r="O265">
        <v>1</v>
      </c>
      <c r="P265">
        <v>0</v>
      </c>
      <c r="Q265">
        <v>1</v>
      </c>
      <c r="R265">
        <v>33</v>
      </c>
      <c r="S265" t="s">
        <v>166</v>
      </c>
      <c r="T265" t="s">
        <v>152</v>
      </c>
      <c r="U265" t="s">
        <v>153</v>
      </c>
      <c r="V265" t="s">
        <v>154</v>
      </c>
      <c r="W265" t="s">
        <v>119</v>
      </c>
      <c r="X265" t="s">
        <v>112</v>
      </c>
      <c r="Y265" t="s">
        <v>166</v>
      </c>
      <c r="Z265" t="s">
        <v>152</v>
      </c>
      <c r="AA265" t="s">
        <v>153</v>
      </c>
      <c r="AB265" t="s">
        <v>154</v>
      </c>
      <c r="AC265" t="s">
        <v>119</v>
      </c>
      <c r="AD265" t="s">
        <v>112</v>
      </c>
      <c r="AE265" t="s">
        <v>121</v>
      </c>
      <c r="AF265" t="s">
        <v>122</v>
      </c>
      <c r="AG265">
        <v>4397675.18</v>
      </c>
      <c r="AH265" t="s">
        <v>166</v>
      </c>
      <c r="AI265" t="s">
        <v>152</v>
      </c>
      <c r="AJ265" t="s">
        <v>153</v>
      </c>
      <c r="AK265" t="s">
        <v>154</v>
      </c>
      <c r="AL265" t="s">
        <v>119</v>
      </c>
      <c r="AM265" t="s">
        <v>112</v>
      </c>
      <c r="AN265" t="s">
        <v>121</v>
      </c>
      <c r="AO265" t="s">
        <v>122</v>
      </c>
      <c r="AP265" t="s">
        <v>122</v>
      </c>
      <c r="AQ265" t="s">
        <v>124</v>
      </c>
      <c r="AR265" t="s">
        <v>125</v>
      </c>
      <c r="AS265">
        <v>2</v>
      </c>
      <c r="AT265" t="s">
        <v>126</v>
      </c>
      <c r="AU265" t="s">
        <v>155</v>
      </c>
      <c r="AV265" t="s">
        <v>156</v>
      </c>
      <c r="AW265">
        <v>1</v>
      </c>
      <c r="AX265" t="s">
        <v>129</v>
      </c>
      <c r="AY265">
        <v>44868.800000000003</v>
      </c>
      <c r="AZ265">
        <v>4009005</v>
      </c>
      <c r="BA265">
        <v>53968.28</v>
      </c>
      <c r="BB265">
        <v>89.349500000000006</v>
      </c>
      <c r="BC265" t="s">
        <v>130</v>
      </c>
      <c r="BD265" t="s">
        <v>112</v>
      </c>
      <c r="BE265" t="s">
        <v>157</v>
      </c>
      <c r="BF265" t="s">
        <v>133</v>
      </c>
      <c r="BG265" t="s">
        <v>167</v>
      </c>
      <c r="BH265" t="s">
        <v>168</v>
      </c>
      <c r="BI265" t="s">
        <v>112</v>
      </c>
      <c r="BJ265" t="s">
        <v>112</v>
      </c>
      <c r="BK265" t="s">
        <v>169</v>
      </c>
      <c r="BL265" t="s">
        <v>159</v>
      </c>
      <c r="BM265" t="s">
        <v>726</v>
      </c>
      <c r="BN265" t="s">
        <v>161</v>
      </c>
      <c r="BO265">
        <v>1</v>
      </c>
      <c r="BP265" t="s">
        <v>205</v>
      </c>
      <c r="BR265" t="s">
        <v>150</v>
      </c>
      <c r="BS265">
        <v>33</v>
      </c>
      <c r="BT265">
        <v>0</v>
      </c>
      <c r="BU265">
        <v>0</v>
      </c>
      <c r="BW265">
        <v>0</v>
      </c>
      <c r="BY265" t="s">
        <v>106</v>
      </c>
      <c r="BZ265" t="s">
        <v>142</v>
      </c>
      <c r="CA265" t="s">
        <v>112</v>
      </c>
      <c r="CB265" t="s">
        <v>112</v>
      </c>
      <c r="CC265" t="s">
        <v>121</v>
      </c>
      <c r="CD265">
        <v>15643.32</v>
      </c>
      <c r="CE265" t="s">
        <v>144</v>
      </c>
      <c r="CF265">
        <v>4000000</v>
      </c>
      <c r="CG265">
        <v>15445.32</v>
      </c>
      <c r="CH265">
        <v>0</v>
      </c>
      <c r="CI265" t="s">
        <v>112</v>
      </c>
      <c r="CJ265" t="s">
        <v>112</v>
      </c>
      <c r="CK265">
        <v>44868.800000000003</v>
      </c>
      <c r="CL265">
        <v>4009005</v>
      </c>
      <c r="CM265">
        <v>0</v>
      </c>
      <c r="CN265">
        <v>1</v>
      </c>
      <c r="CO265">
        <v>4397675.18</v>
      </c>
      <c r="CP265">
        <v>53968.28</v>
      </c>
      <c r="CQ265" t="s">
        <v>145</v>
      </c>
      <c r="CR265">
        <v>53969.037144000002</v>
      </c>
      <c r="CS265">
        <v>3.4942000000000002</v>
      </c>
      <c r="CT265">
        <v>45</v>
      </c>
      <c r="CU265" t="s">
        <v>171</v>
      </c>
      <c r="CV265" t="s">
        <v>172</v>
      </c>
      <c r="CW265">
        <v>157</v>
      </c>
    </row>
    <row r="266" spans="1:101" x14ac:dyDescent="0.2">
      <c r="A266" t="s">
        <v>106</v>
      </c>
      <c r="B266" s="46">
        <v>45181</v>
      </c>
      <c r="C266" t="s">
        <v>714</v>
      </c>
      <c r="D266" t="s">
        <v>108</v>
      </c>
      <c r="E266" t="s">
        <v>715</v>
      </c>
      <c r="F266" t="s">
        <v>110</v>
      </c>
      <c r="G266" t="s">
        <v>111</v>
      </c>
      <c r="H266" t="s">
        <v>112</v>
      </c>
      <c r="I266" t="s">
        <v>112</v>
      </c>
      <c r="J266" t="s">
        <v>112</v>
      </c>
      <c r="K266" t="s">
        <v>150</v>
      </c>
      <c r="L266" t="s">
        <v>151</v>
      </c>
      <c r="M266" t="s">
        <v>112</v>
      </c>
      <c r="N266" t="s">
        <v>112</v>
      </c>
      <c r="O266">
        <v>1</v>
      </c>
      <c r="P266">
        <v>0</v>
      </c>
      <c r="Q266">
        <v>1</v>
      </c>
      <c r="R266">
        <v>33</v>
      </c>
      <c r="S266" t="s">
        <v>166</v>
      </c>
      <c r="T266" t="s">
        <v>152</v>
      </c>
      <c r="U266" t="s">
        <v>153</v>
      </c>
      <c r="V266" t="s">
        <v>154</v>
      </c>
      <c r="W266" t="s">
        <v>119</v>
      </c>
      <c r="X266" t="s">
        <v>112</v>
      </c>
      <c r="Y266" t="s">
        <v>166</v>
      </c>
      <c r="Z266" t="s">
        <v>152</v>
      </c>
      <c r="AA266" t="s">
        <v>153</v>
      </c>
      <c r="AB266" t="s">
        <v>154</v>
      </c>
      <c r="AC266" t="s">
        <v>119</v>
      </c>
      <c r="AD266" t="s">
        <v>112</v>
      </c>
      <c r="AE266" t="s">
        <v>121</v>
      </c>
      <c r="AF266" t="s">
        <v>122</v>
      </c>
      <c r="AG266">
        <v>3638317.55</v>
      </c>
      <c r="AH266" t="s">
        <v>166</v>
      </c>
      <c r="AI266" t="s">
        <v>152</v>
      </c>
      <c r="AJ266" t="s">
        <v>153</v>
      </c>
      <c r="AK266" t="s">
        <v>154</v>
      </c>
      <c r="AL266" t="s">
        <v>119</v>
      </c>
      <c r="AM266" t="s">
        <v>112</v>
      </c>
      <c r="AN266" t="s">
        <v>121</v>
      </c>
      <c r="AO266" t="s">
        <v>122</v>
      </c>
      <c r="AP266" t="s">
        <v>122</v>
      </c>
      <c r="AQ266" t="s">
        <v>124</v>
      </c>
      <c r="AR266" t="s">
        <v>125</v>
      </c>
      <c r="AS266">
        <v>2</v>
      </c>
      <c r="AT266" t="s">
        <v>126</v>
      </c>
      <c r="AU266" t="s">
        <v>155</v>
      </c>
      <c r="AV266" t="s">
        <v>156</v>
      </c>
      <c r="AW266">
        <v>1</v>
      </c>
      <c r="AX266" t="s">
        <v>129</v>
      </c>
      <c r="AY266">
        <v>39408.6</v>
      </c>
      <c r="AZ266">
        <v>3276636</v>
      </c>
      <c r="BA266">
        <v>47679.87</v>
      </c>
      <c r="BB266">
        <v>83.145200000000003</v>
      </c>
      <c r="BC266" t="s">
        <v>130</v>
      </c>
      <c r="BD266" t="s">
        <v>112</v>
      </c>
      <c r="BE266" t="s">
        <v>157</v>
      </c>
      <c r="BF266" t="s">
        <v>133</v>
      </c>
      <c r="BG266" t="s">
        <v>134</v>
      </c>
      <c r="BH266" t="s">
        <v>112</v>
      </c>
      <c r="BI266" t="s">
        <v>112</v>
      </c>
      <c r="BJ266" t="s">
        <v>112</v>
      </c>
      <c r="BK266" t="s">
        <v>169</v>
      </c>
      <c r="BL266" t="s">
        <v>159</v>
      </c>
      <c r="BM266" t="s">
        <v>212</v>
      </c>
      <c r="BN266" t="s">
        <v>161</v>
      </c>
      <c r="BO266">
        <v>1</v>
      </c>
      <c r="BP266" t="s">
        <v>716</v>
      </c>
      <c r="BR266" t="s">
        <v>150</v>
      </c>
      <c r="BS266">
        <v>33</v>
      </c>
      <c r="BT266">
        <v>0</v>
      </c>
      <c r="BU266">
        <v>0</v>
      </c>
      <c r="BW266">
        <v>0</v>
      </c>
      <c r="BY266" t="s">
        <v>106</v>
      </c>
      <c r="BZ266" t="s">
        <v>142</v>
      </c>
      <c r="CA266" t="s">
        <v>112</v>
      </c>
      <c r="CB266" t="s">
        <v>112</v>
      </c>
      <c r="CC266" t="s">
        <v>121</v>
      </c>
      <c r="CD266">
        <v>16759.36</v>
      </c>
      <c r="CE266" t="s">
        <v>144</v>
      </c>
      <c r="CF266">
        <v>4000000</v>
      </c>
      <c r="CG266">
        <v>16759.36</v>
      </c>
      <c r="CH266">
        <v>0</v>
      </c>
      <c r="CI266" t="s">
        <v>112</v>
      </c>
      <c r="CJ266" t="s">
        <v>112</v>
      </c>
      <c r="CK266">
        <v>39408.6</v>
      </c>
      <c r="CL266">
        <v>3276636</v>
      </c>
      <c r="CM266">
        <v>0</v>
      </c>
      <c r="CN266">
        <v>1</v>
      </c>
      <c r="CO266">
        <v>3638317.55</v>
      </c>
      <c r="CP266">
        <v>47679.87</v>
      </c>
      <c r="CQ266" t="s">
        <v>145</v>
      </c>
      <c r="CR266">
        <v>47680.379200000003</v>
      </c>
      <c r="CS266">
        <v>2.8450000000000002</v>
      </c>
      <c r="CT266">
        <v>45</v>
      </c>
      <c r="CU266" t="s">
        <v>171</v>
      </c>
      <c r="CV266" t="s">
        <v>463</v>
      </c>
      <c r="CW266">
        <v>313</v>
      </c>
    </row>
    <row r="267" spans="1:101" x14ac:dyDescent="0.2">
      <c r="A267" t="s">
        <v>106</v>
      </c>
      <c r="B267" s="46">
        <v>45187</v>
      </c>
      <c r="C267" t="s">
        <v>717</v>
      </c>
      <c r="D267" t="s">
        <v>108</v>
      </c>
      <c r="E267" t="s">
        <v>718</v>
      </c>
      <c r="F267" t="s">
        <v>110</v>
      </c>
      <c r="G267" t="s">
        <v>111</v>
      </c>
      <c r="H267" t="s">
        <v>112</v>
      </c>
      <c r="I267" t="s">
        <v>112</v>
      </c>
      <c r="J267" t="s">
        <v>112</v>
      </c>
      <c r="K267" t="s">
        <v>150</v>
      </c>
      <c r="L267" t="s">
        <v>151</v>
      </c>
      <c r="M267" t="s">
        <v>112</v>
      </c>
      <c r="N267" t="s">
        <v>112</v>
      </c>
      <c r="O267">
        <v>1</v>
      </c>
      <c r="P267">
        <v>0</v>
      </c>
      <c r="Q267">
        <v>1</v>
      </c>
      <c r="R267">
        <v>33</v>
      </c>
      <c r="S267" t="s">
        <v>166</v>
      </c>
      <c r="T267" t="s">
        <v>152</v>
      </c>
      <c r="U267" t="s">
        <v>153</v>
      </c>
      <c r="V267" t="s">
        <v>154</v>
      </c>
      <c r="W267" t="s">
        <v>119</v>
      </c>
      <c r="X267" t="s">
        <v>112</v>
      </c>
      <c r="Y267" t="s">
        <v>166</v>
      </c>
      <c r="Z267" t="s">
        <v>152</v>
      </c>
      <c r="AA267" t="s">
        <v>153</v>
      </c>
      <c r="AB267" t="s">
        <v>154</v>
      </c>
      <c r="AC267" t="s">
        <v>119</v>
      </c>
      <c r="AD267" t="s">
        <v>112</v>
      </c>
      <c r="AE267" t="s">
        <v>121</v>
      </c>
      <c r="AF267" t="s">
        <v>122</v>
      </c>
      <c r="AG267">
        <v>4231699.9000000004</v>
      </c>
      <c r="AH267" t="s">
        <v>166</v>
      </c>
      <c r="AI267" t="s">
        <v>152</v>
      </c>
      <c r="AJ267" t="s">
        <v>153</v>
      </c>
      <c r="AK267" t="s">
        <v>154</v>
      </c>
      <c r="AL267" t="s">
        <v>119</v>
      </c>
      <c r="AM267" t="s">
        <v>112</v>
      </c>
      <c r="AN267" t="s">
        <v>121</v>
      </c>
      <c r="AO267" t="s">
        <v>122</v>
      </c>
      <c r="AP267" t="s">
        <v>122</v>
      </c>
      <c r="AQ267" t="s">
        <v>124</v>
      </c>
      <c r="AR267" t="s">
        <v>125</v>
      </c>
      <c r="AS267">
        <v>2</v>
      </c>
      <c r="AT267" t="s">
        <v>126</v>
      </c>
      <c r="AU267" t="s">
        <v>155</v>
      </c>
      <c r="AV267" t="s">
        <v>156</v>
      </c>
      <c r="AW267">
        <v>1</v>
      </c>
      <c r="AX267" t="s">
        <v>129</v>
      </c>
      <c r="AY267">
        <v>46545.3</v>
      </c>
      <c r="AZ267">
        <v>3870018</v>
      </c>
      <c r="BA267">
        <v>55456.1</v>
      </c>
      <c r="BB267">
        <v>83.145200000000003</v>
      </c>
      <c r="BC267" t="s">
        <v>130</v>
      </c>
      <c r="BD267" t="s">
        <v>112</v>
      </c>
      <c r="BE267" t="s">
        <v>157</v>
      </c>
      <c r="BF267" t="s">
        <v>133</v>
      </c>
      <c r="BG267" t="s">
        <v>134</v>
      </c>
      <c r="BH267" t="s">
        <v>112</v>
      </c>
      <c r="BI267" t="s">
        <v>112</v>
      </c>
      <c r="BJ267" t="s">
        <v>112</v>
      </c>
      <c r="BK267" t="s">
        <v>169</v>
      </c>
      <c r="BL267" t="s">
        <v>159</v>
      </c>
      <c r="BM267" t="s">
        <v>212</v>
      </c>
      <c r="BN267" t="s">
        <v>161</v>
      </c>
      <c r="BO267">
        <v>1</v>
      </c>
      <c r="BP267" t="s">
        <v>719</v>
      </c>
      <c r="BR267" t="s">
        <v>150</v>
      </c>
      <c r="BS267">
        <v>33</v>
      </c>
      <c r="BT267">
        <v>0</v>
      </c>
      <c r="BU267">
        <v>0</v>
      </c>
      <c r="BW267">
        <v>0</v>
      </c>
      <c r="BY267" t="s">
        <v>106</v>
      </c>
      <c r="BZ267" t="s">
        <v>142</v>
      </c>
      <c r="CA267" t="s">
        <v>112</v>
      </c>
      <c r="CB267" t="s">
        <v>112</v>
      </c>
      <c r="CC267" t="s">
        <v>121</v>
      </c>
      <c r="CD267">
        <v>16567.349999999999</v>
      </c>
      <c r="CE267" t="s">
        <v>144</v>
      </c>
      <c r="CF267">
        <v>4000000</v>
      </c>
      <c r="CG267">
        <v>16513.349999999999</v>
      </c>
      <c r="CH267">
        <v>0</v>
      </c>
      <c r="CI267" t="s">
        <v>112</v>
      </c>
      <c r="CJ267" t="s">
        <v>112</v>
      </c>
      <c r="CK267">
        <v>46545.3</v>
      </c>
      <c r="CL267">
        <v>3870018</v>
      </c>
      <c r="CM267">
        <v>0</v>
      </c>
      <c r="CN267">
        <v>1</v>
      </c>
      <c r="CO267">
        <v>4231699.9000000004</v>
      </c>
      <c r="CP267">
        <v>55456.1</v>
      </c>
      <c r="CQ267" t="s">
        <v>145</v>
      </c>
      <c r="CR267">
        <v>55456.78330499999</v>
      </c>
      <c r="CS267">
        <v>3.3582999999999998</v>
      </c>
      <c r="CT267">
        <v>45</v>
      </c>
      <c r="CU267" t="s">
        <v>171</v>
      </c>
      <c r="CV267" t="s">
        <v>172</v>
      </c>
      <c r="CW267">
        <v>340</v>
      </c>
    </row>
    <row r="268" spans="1:101" x14ac:dyDescent="0.2">
      <c r="A268" t="s">
        <v>106</v>
      </c>
      <c r="B268" s="46">
        <v>45076</v>
      </c>
      <c r="C268" t="s">
        <v>366</v>
      </c>
      <c r="D268" t="s">
        <v>108</v>
      </c>
      <c r="E268" t="s">
        <v>367</v>
      </c>
      <c r="F268" t="s">
        <v>110</v>
      </c>
      <c r="G268" t="s">
        <v>111</v>
      </c>
      <c r="H268" t="s">
        <v>112</v>
      </c>
      <c r="I268" t="s">
        <v>112</v>
      </c>
      <c r="J268" t="s">
        <v>112</v>
      </c>
      <c r="K268" t="s">
        <v>150</v>
      </c>
      <c r="L268" t="s">
        <v>151</v>
      </c>
      <c r="M268" t="s">
        <v>112</v>
      </c>
      <c r="N268" t="s">
        <v>112</v>
      </c>
      <c r="O268">
        <v>1</v>
      </c>
      <c r="P268">
        <v>0</v>
      </c>
      <c r="Q268">
        <v>1</v>
      </c>
      <c r="R268">
        <v>33</v>
      </c>
      <c r="S268" t="s">
        <v>166</v>
      </c>
      <c r="T268" t="s">
        <v>152</v>
      </c>
      <c r="U268" t="s">
        <v>153</v>
      </c>
      <c r="V268" t="s">
        <v>154</v>
      </c>
      <c r="W268" t="s">
        <v>119</v>
      </c>
      <c r="X268" t="s">
        <v>112</v>
      </c>
      <c r="Y268" t="s">
        <v>166</v>
      </c>
      <c r="Z268" t="s">
        <v>152</v>
      </c>
      <c r="AA268" t="s">
        <v>153</v>
      </c>
      <c r="AB268" t="s">
        <v>154</v>
      </c>
      <c r="AC268" t="s">
        <v>119</v>
      </c>
      <c r="AD268" t="s">
        <v>112</v>
      </c>
      <c r="AE268" t="s">
        <v>121</v>
      </c>
      <c r="AF268" t="s">
        <v>122</v>
      </c>
      <c r="AG268">
        <v>3165633.56</v>
      </c>
      <c r="AH268" t="s">
        <v>166</v>
      </c>
      <c r="AI268" t="s">
        <v>152</v>
      </c>
      <c r="AJ268" t="s">
        <v>153</v>
      </c>
      <c r="AK268" t="s">
        <v>154</v>
      </c>
      <c r="AL268" t="s">
        <v>119</v>
      </c>
      <c r="AM268" t="s">
        <v>112</v>
      </c>
      <c r="AN268" t="s">
        <v>121</v>
      </c>
      <c r="AO268" t="s">
        <v>122</v>
      </c>
      <c r="AP268" t="s">
        <v>122</v>
      </c>
      <c r="AQ268" t="s">
        <v>124</v>
      </c>
      <c r="AR268" t="s">
        <v>125</v>
      </c>
      <c r="AS268">
        <v>2</v>
      </c>
      <c r="AT268" t="s">
        <v>126</v>
      </c>
      <c r="AU268" t="s">
        <v>155</v>
      </c>
      <c r="AV268" t="s">
        <v>156</v>
      </c>
      <c r="AW268">
        <v>1</v>
      </c>
      <c r="AX268" t="s">
        <v>129</v>
      </c>
      <c r="AY268">
        <v>38010.550000000003</v>
      </c>
      <c r="AZ268">
        <v>2840555</v>
      </c>
      <c r="BA268">
        <v>46126.9</v>
      </c>
      <c r="BB268">
        <v>74.730699999999999</v>
      </c>
      <c r="BC268" t="s">
        <v>130</v>
      </c>
      <c r="BD268" t="s">
        <v>112</v>
      </c>
      <c r="BE268" t="s">
        <v>157</v>
      </c>
      <c r="BF268" t="s">
        <v>133</v>
      </c>
      <c r="BG268" t="s">
        <v>134</v>
      </c>
      <c r="BH268" t="s">
        <v>112</v>
      </c>
      <c r="BI268" t="s">
        <v>112</v>
      </c>
      <c r="BJ268" t="s">
        <v>112</v>
      </c>
      <c r="BK268" t="s">
        <v>169</v>
      </c>
      <c r="BL268" t="s">
        <v>159</v>
      </c>
      <c r="BM268" t="s">
        <v>212</v>
      </c>
      <c r="BN268" t="s">
        <v>161</v>
      </c>
      <c r="BO268">
        <v>1</v>
      </c>
      <c r="BP268" t="s">
        <v>368</v>
      </c>
      <c r="BR268" t="s">
        <v>150</v>
      </c>
      <c r="BS268">
        <v>33</v>
      </c>
      <c r="BT268">
        <v>0</v>
      </c>
      <c r="BU268">
        <v>0</v>
      </c>
      <c r="BW268">
        <v>0</v>
      </c>
      <c r="BY268" t="s">
        <v>106</v>
      </c>
      <c r="BZ268" t="s">
        <v>142</v>
      </c>
      <c r="CA268" t="s">
        <v>112</v>
      </c>
      <c r="CB268" t="s">
        <v>112</v>
      </c>
      <c r="CC268" t="s">
        <v>121</v>
      </c>
      <c r="CD268">
        <v>16477.28</v>
      </c>
      <c r="CE268" t="s">
        <v>144</v>
      </c>
      <c r="CF268">
        <v>4000000</v>
      </c>
      <c r="CG268">
        <v>16299.68</v>
      </c>
      <c r="CH268">
        <v>0</v>
      </c>
      <c r="CI268" t="s">
        <v>112</v>
      </c>
      <c r="CJ268" t="s">
        <v>112</v>
      </c>
      <c r="CK268">
        <v>38010.550000000003</v>
      </c>
      <c r="CL268">
        <v>2840555</v>
      </c>
      <c r="CM268">
        <v>0</v>
      </c>
      <c r="CN268">
        <v>1</v>
      </c>
      <c r="CO268">
        <v>3165633.56</v>
      </c>
      <c r="CP268">
        <v>46126.9</v>
      </c>
      <c r="CQ268" t="s">
        <v>145</v>
      </c>
      <c r="CR268">
        <v>46126.464432000001</v>
      </c>
      <c r="CS268">
        <v>2.8298999999999999</v>
      </c>
      <c r="CT268">
        <v>45</v>
      </c>
      <c r="CU268" t="s">
        <v>171</v>
      </c>
      <c r="CV268" t="s">
        <v>369</v>
      </c>
      <c r="CW268">
        <v>169</v>
      </c>
    </row>
    <row r="269" spans="1:101" x14ac:dyDescent="0.2">
      <c r="A269" t="s">
        <v>106</v>
      </c>
      <c r="B269" s="46">
        <v>45172</v>
      </c>
      <c r="C269" t="s">
        <v>370</v>
      </c>
      <c r="D269" t="s">
        <v>108</v>
      </c>
      <c r="E269" t="s">
        <v>371</v>
      </c>
      <c r="F269" t="s">
        <v>110</v>
      </c>
      <c r="G269" t="s">
        <v>111</v>
      </c>
      <c r="H269" t="s">
        <v>112</v>
      </c>
      <c r="I269" t="s">
        <v>112</v>
      </c>
      <c r="J269" t="s">
        <v>112</v>
      </c>
      <c r="K269" t="s">
        <v>150</v>
      </c>
      <c r="L269" t="s">
        <v>151</v>
      </c>
      <c r="M269" t="s">
        <v>112</v>
      </c>
      <c r="N269" t="s">
        <v>112</v>
      </c>
      <c r="O269">
        <v>1</v>
      </c>
      <c r="P269">
        <v>0</v>
      </c>
      <c r="Q269">
        <v>1</v>
      </c>
      <c r="R269">
        <v>33</v>
      </c>
      <c r="S269" t="s">
        <v>166</v>
      </c>
      <c r="T269" t="s">
        <v>152</v>
      </c>
      <c r="U269" t="s">
        <v>153</v>
      </c>
      <c r="V269" t="s">
        <v>154</v>
      </c>
      <c r="W269" t="s">
        <v>119</v>
      </c>
      <c r="X269" t="s">
        <v>112</v>
      </c>
      <c r="Y269" t="s">
        <v>166</v>
      </c>
      <c r="Z269" t="s">
        <v>152</v>
      </c>
      <c r="AA269" t="s">
        <v>153</v>
      </c>
      <c r="AB269" t="s">
        <v>154</v>
      </c>
      <c r="AC269" t="s">
        <v>119</v>
      </c>
      <c r="AD269" t="s">
        <v>112</v>
      </c>
      <c r="AE269" t="s">
        <v>121</v>
      </c>
      <c r="AF269" t="s">
        <v>122</v>
      </c>
      <c r="AG269">
        <v>3667450.96</v>
      </c>
      <c r="AH269" t="s">
        <v>166</v>
      </c>
      <c r="AI269" t="s">
        <v>152</v>
      </c>
      <c r="AJ269" t="s">
        <v>153</v>
      </c>
      <c r="AK269" t="s">
        <v>154</v>
      </c>
      <c r="AL269" t="s">
        <v>119</v>
      </c>
      <c r="AM269" t="s">
        <v>112</v>
      </c>
      <c r="AN269" t="s">
        <v>121</v>
      </c>
      <c r="AO269" t="s">
        <v>122</v>
      </c>
      <c r="AP269" t="s">
        <v>122</v>
      </c>
      <c r="AQ269" t="s">
        <v>124</v>
      </c>
      <c r="AR269" t="s">
        <v>125</v>
      </c>
      <c r="AS269">
        <v>2</v>
      </c>
      <c r="AT269" t="s">
        <v>126</v>
      </c>
      <c r="AU269" t="s">
        <v>155</v>
      </c>
      <c r="AV269" t="s">
        <v>156</v>
      </c>
      <c r="AW269">
        <v>1</v>
      </c>
      <c r="AX269" t="s">
        <v>129</v>
      </c>
      <c r="AY269">
        <v>44725.56</v>
      </c>
      <c r="AZ269">
        <v>3342372</v>
      </c>
      <c r="BA269">
        <v>53438.95</v>
      </c>
      <c r="BB269">
        <v>74.730699999999999</v>
      </c>
      <c r="BC269" t="s">
        <v>130</v>
      </c>
      <c r="BD269" t="s">
        <v>112</v>
      </c>
      <c r="BE269" t="s">
        <v>157</v>
      </c>
      <c r="BF269" t="s">
        <v>133</v>
      </c>
      <c r="BG269" t="s">
        <v>134</v>
      </c>
      <c r="BH269" t="s">
        <v>112</v>
      </c>
      <c r="BI269" t="s">
        <v>112</v>
      </c>
      <c r="BJ269" t="s">
        <v>112</v>
      </c>
      <c r="BK269" t="s">
        <v>169</v>
      </c>
      <c r="BL269" t="s">
        <v>159</v>
      </c>
      <c r="BM269" t="s">
        <v>212</v>
      </c>
      <c r="BN269" t="s">
        <v>161</v>
      </c>
      <c r="BO269">
        <v>1</v>
      </c>
      <c r="BP269" t="s">
        <v>232</v>
      </c>
      <c r="BR269" t="s">
        <v>150</v>
      </c>
      <c r="BS269">
        <v>33</v>
      </c>
      <c r="BT269">
        <v>0</v>
      </c>
      <c r="BU269">
        <v>0</v>
      </c>
      <c r="BW269">
        <v>0</v>
      </c>
      <c r="BY269" t="s">
        <v>106</v>
      </c>
      <c r="BZ269" t="s">
        <v>142</v>
      </c>
      <c r="CA269" t="s">
        <v>112</v>
      </c>
      <c r="CB269" t="s">
        <v>112</v>
      </c>
      <c r="CC269" t="s">
        <v>121</v>
      </c>
      <c r="CD269">
        <v>16399.55</v>
      </c>
      <c r="CE269" t="s">
        <v>144</v>
      </c>
      <c r="CF269">
        <v>4000000</v>
      </c>
      <c r="CG269">
        <v>16248.35</v>
      </c>
      <c r="CH269">
        <v>0</v>
      </c>
      <c r="CI269" t="s">
        <v>112</v>
      </c>
      <c r="CJ269" t="s">
        <v>112</v>
      </c>
      <c r="CK269">
        <v>44725.56</v>
      </c>
      <c r="CL269">
        <v>3342372</v>
      </c>
      <c r="CM269">
        <v>0</v>
      </c>
      <c r="CN269">
        <v>1</v>
      </c>
      <c r="CO269">
        <v>3667450.96</v>
      </c>
      <c r="CP269">
        <v>53438.95</v>
      </c>
      <c r="CQ269" t="s">
        <v>145</v>
      </c>
      <c r="CR269">
        <v>53439.198315000001</v>
      </c>
      <c r="CS269">
        <v>3.2888999999999999</v>
      </c>
      <c r="CT269">
        <v>45</v>
      </c>
      <c r="CU269" t="s">
        <v>171</v>
      </c>
      <c r="CV269" t="s">
        <v>372</v>
      </c>
      <c r="CW269">
        <v>252</v>
      </c>
    </row>
    <row r="270" spans="1:101" x14ac:dyDescent="0.2">
      <c r="A270" s="8" t="s">
        <v>106</v>
      </c>
      <c r="B270" s="46">
        <v>45231</v>
      </c>
      <c r="C270" s="8" t="s">
        <v>2810</v>
      </c>
      <c r="D270" s="8" t="s">
        <v>108</v>
      </c>
      <c r="E270" s="8" t="s">
        <v>2811</v>
      </c>
      <c r="F270" t="s">
        <v>110</v>
      </c>
      <c r="G270" s="8" t="s">
        <v>111</v>
      </c>
      <c r="H270" s="8" t="s">
        <v>112</v>
      </c>
      <c r="I270" s="8" t="s">
        <v>112</v>
      </c>
      <c r="J270" s="8" t="s">
        <v>112</v>
      </c>
      <c r="K270" s="8" t="s">
        <v>2161</v>
      </c>
      <c r="L270" s="8" t="s">
        <v>2162</v>
      </c>
      <c r="M270" s="8" t="s">
        <v>112</v>
      </c>
      <c r="N270" s="8" t="s">
        <v>112</v>
      </c>
      <c r="O270">
        <v>5</v>
      </c>
      <c r="P270">
        <v>0</v>
      </c>
      <c r="Q270">
        <v>12</v>
      </c>
      <c r="R270">
        <v>95</v>
      </c>
      <c r="S270" s="8" t="s">
        <v>2136</v>
      </c>
      <c r="T270" s="8" t="s">
        <v>2137</v>
      </c>
      <c r="U270" s="8" t="s">
        <v>2141</v>
      </c>
      <c r="V270" s="8" t="s">
        <v>2139</v>
      </c>
      <c r="W270" s="8" t="s">
        <v>119</v>
      </c>
      <c r="X270" s="8" t="s">
        <v>2140</v>
      </c>
      <c r="Y270" s="8" t="s">
        <v>2136</v>
      </c>
      <c r="Z270" s="8" t="s">
        <v>2137</v>
      </c>
      <c r="AA270" s="8" t="s">
        <v>2141</v>
      </c>
      <c r="AB270" s="8" t="s">
        <v>2139</v>
      </c>
      <c r="AC270" s="8" t="s">
        <v>119</v>
      </c>
      <c r="AD270" s="8" t="s">
        <v>2140</v>
      </c>
      <c r="AE270" s="8" t="s">
        <v>2163</v>
      </c>
      <c r="AF270" s="8" t="s">
        <v>2164</v>
      </c>
      <c r="AG270">
        <v>10067763.34</v>
      </c>
      <c r="AH270" s="8" t="s">
        <v>2136</v>
      </c>
      <c r="AI270" s="8" t="s">
        <v>2137</v>
      </c>
      <c r="AJ270" s="8" t="s">
        <v>2141</v>
      </c>
      <c r="AK270" s="8" t="s">
        <v>2139</v>
      </c>
      <c r="AL270" s="8" t="s">
        <v>119</v>
      </c>
      <c r="AM270" s="8" t="s">
        <v>2140</v>
      </c>
      <c r="AN270" s="8" t="s">
        <v>2163</v>
      </c>
      <c r="AO270" s="8" t="s">
        <v>2164</v>
      </c>
      <c r="AP270" s="8" t="s">
        <v>2164</v>
      </c>
      <c r="AQ270" s="8" t="s">
        <v>124</v>
      </c>
      <c r="AR270" s="8" t="s">
        <v>125</v>
      </c>
      <c r="AS270">
        <v>2</v>
      </c>
      <c r="AT270" s="8" t="s">
        <v>126</v>
      </c>
      <c r="AU270" s="8" t="s">
        <v>127</v>
      </c>
      <c r="AV270" s="8" t="s">
        <v>2165</v>
      </c>
      <c r="AW270">
        <v>1</v>
      </c>
      <c r="AX270" s="8" t="s">
        <v>129</v>
      </c>
      <c r="AY270">
        <v>125956.46</v>
      </c>
      <c r="AZ270">
        <v>9653882</v>
      </c>
      <c r="BA270">
        <v>139576.87</v>
      </c>
      <c r="BB270">
        <v>76.644599999999897</v>
      </c>
      <c r="BC270" s="8" t="s">
        <v>130</v>
      </c>
      <c r="BD270" s="8" t="s">
        <v>131</v>
      </c>
      <c r="BE270" s="8" t="s">
        <v>2166</v>
      </c>
      <c r="BF270" s="8" t="s">
        <v>133</v>
      </c>
      <c r="BG270" s="8" t="s">
        <v>134</v>
      </c>
      <c r="BH270" s="8" t="s">
        <v>112</v>
      </c>
      <c r="BI270" s="8" t="s">
        <v>112</v>
      </c>
      <c r="BJ270" s="8" t="s">
        <v>112</v>
      </c>
      <c r="BK270" s="8" t="s">
        <v>2655</v>
      </c>
      <c r="BL270" s="8" t="s">
        <v>2656</v>
      </c>
      <c r="BM270" s="8" t="s">
        <v>2496</v>
      </c>
      <c r="BN270" s="8" t="s">
        <v>2497</v>
      </c>
      <c r="BO270">
        <v>1</v>
      </c>
      <c r="BP270" s="8" t="s">
        <v>2812</v>
      </c>
      <c r="BR270" s="8" t="s">
        <v>2161</v>
      </c>
      <c r="BS270">
        <v>90</v>
      </c>
      <c r="BT270">
        <v>0</v>
      </c>
      <c r="BU270">
        <v>318</v>
      </c>
      <c r="BV270" t="s">
        <v>2147</v>
      </c>
      <c r="BW270">
        <v>0</v>
      </c>
      <c r="BY270" s="8" t="s">
        <v>106</v>
      </c>
      <c r="BZ270" s="8" t="s">
        <v>2148</v>
      </c>
      <c r="CA270" s="8" t="s">
        <v>112</v>
      </c>
      <c r="CB270" s="8" t="s">
        <v>112</v>
      </c>
      <c r="CC270" s="8" t="s">
        <v>2163</v>
      </c>
      <c r="CD270">
        <v>16387.8</v>
      </c>
      <c r="CE270" t="s">
        <v>144</v>
      </c>
      <c r="CF270">
        <v>4000000</v>
      </c>
      <c r="CG270">
        <v>16290</v>
      </c>
      <c r="CH270">
        <v>0</v>
      </c>
      <c r="CI270" s="8" t="s">
        <v>112</v>
      </c>
      <c r="CJ270" s="8" t="s">
        <v>112</v>
      </c>
      <c r="CK270">
        <v>122034.76</v>
      </c>
      <c r="CL270">
        <v>9353305</v>
      </c>
      <c r="CM270">
        <v>0</v>
      </c>
      <c r="CN270">
        <v>1</v>
      </c>
      <c r="CO270">
        <v>9762516.25</v>
      </c>
      <c r="CP270">
        <v>135345</v>
      </c>
      <c r="CQ270" s="8" t="s">
        <v>145</v>
      </c>
      <c r="CR270">
        <v>8.3085000000000004</v>
      </c>
      <c r="CS270">
        <v>1053</v>
      </c>
      <c r="CT270" t="s">
        <v>2149</v>
      </c>
      <c r="CV270" t="s">
        <v>2150</v>
      </c>
      <c r="CW270">
        <v>163</v>
      </c>
    </row>
    <row r="271" spans="1:101" x14ac:dyDescent="0.2">
      <c r="A271" t="s">
        <v>106</v>
      </c>
      <c r="B271" s="46">
        <v>45164</v>
      </c>
      <c r="C271" t="s">
        <v>1332</v>
      </c>
      <c r="D271" t="s">
        <v>108</v>
      </c>
      <c r="E271" t="s">
        <v>1333</v>
      </c>
      <c r="F271" t="s">
        <v>110</v>
      </c>
      <c r="G271" t="s">
        <v>111</v>
      </c>
      <c r="H271" t="s">
        <v>112</v>
      </c>
      <c r="I271" t="s">
        <v>112</v>
      </c>
      <c r="J271" t="s">
        <v>112</v>
      </c>
      <c r="K271" t="s">
        <v>150</v>
      </c>
      <c r="L271" t="s">
        <v>151</v>
      </c>
      <c r="M271" t="s">
        <v>112</v>
      </c>
      <c r="N271" t="s">
        <v>112</v>
      </c>
      <c r="O271">
        <v>1</v>
      </c>
      <c r="Q271">
        <v>1</v>
      </c>
      <c r="R271">
        <v>33</v>
      </c>
      <c r="S271" t="s">
        <v>112</v>
      </c>
      <c r="T271" t="s">
        <v>152</v>
      </c>
      <c r="U271" t="s">
        <v>153</v>
      </c>
      <c r="V271" t="s">
        <v>154</v>
      </c>
      <c r="W271" t="s">
        <v>119</v>
      </c>
      <c r="X271" t="s">
        <v>112</v>
      </c>
      <c r="Y271" t="s">
        <v>112</v>
      </c>
      <c r="Z271" t="s">
        <v>152</v>
      </c>
      <c r="AA271" t="s">
        <v>153</v>
      </c>
      <c r="AB271" t="s">
        <v>154</v>
      </c>
      <c r="AC271" t="s">
        <v>119</v>
      </c>
      <c r="AD271" t="s">
        <v>112</v>
      </c>
      <c r="AE271" t="s">
        <v>121</v>
      </c>
      <c r="AF271" t="s">
        <v>122</v>
      </c>
      <c r="AG271">
        <v>4565867.87</v>
      </c>
      <c r="AH271" t="s">
        <v>112</v>
      </c>
      <c r="AI271" t="s">
        <v>152</v>
      </c>
      <c r="AJ271" t="s">
        <v>153</v>
      </c>
      <c r="AK271" t="s">
        <v>154</v>
      </c>
      <c r="AL271" t="s">
        <v>119</v>
      </c>
      <c r="AM271" t="s">
        <v>112</v>
      </c>
      <c r="AN271" t="s">
        <v>121</v>
      </c>
      <c r="AO271" t="s">
        <v>122</v>
      </c>
      <c r="AP271" t="s">
        <v>122</v>
      </c>
      <c r="AQ271" t="s">
        <v>124</v>
      </c>
      <c r="AR271" t="s">
        <v>125</v>
      </c>
      <c r="AS271">
        <v>2</v>
      </c>
      <c r="AT271" t="s">
        <v>126</v>
      </c>
      <c r="AU271" t="s">
        <v>155</v>
      </c>
      <c r="AV271" t="s">
        <v>156</v>
      </c>
      <c r="AX271" t="s">
        <v>129</v>
      </c>
      <c r="AY271">
        <v>43498.16</v>
      </c>
      <c r="BB271">
        <v>96.147499999999994</v>
      </c>
      <c r="BC271" t="s">
        <v>112</v>
      </c>
      <c r="BD271" t="s">
        <v>112</v>
      </c>
      <c r="BE271" t="s">
        <v>157</v>
      </c>
      <c r="BF271" t="s">
        <v>133</v>
      </c>
      <c r="BG271" t="s">
        <v>134</v>
      </c>
      <c r="BH271" t="s">
        <v>112</v>
      </c>
      <c r="BI271" t="s">
        <v>112</v>
      </c>
      <c r="BJ271" t="s">
        <v>112</v>
      </c>
      <c r="BK271" t="s">
        <v>158</v>
      </c>
      <c r="BL271" t="s">
        <v>159</v>
      </c>
      <c r="BM271" t="s">
        <v>212</v>
      </c>
      <c r="BN271" t="s">
        <v>161</v>
      </c>
      <c r="BP271" t="s">
        <v>466</v>
      </c>
      <c r="BR271" t="s">
        <v>150</v>
      </c>
      <c r="BS271">
        <v>33</v>
      </c>
      <c r="BT271">
        <v>0</v>
      </c>
      <c r="BU271">
        <v>0</v>
      </c>
      <c r="BW271">
        <v>0</v>
      </c>
      <c r="BY271" t="s">
        <v>106</v>
      </c>
      <c r="BZ271" t="s">
        <v>142</v>
      </c>
      <c r="CA271" t="s">
        <v>112</v>
      </c>
      <c r="CB271" t="s">
        <v>112</v>
      </c>
      <c r="CC271" t="s">
        <v>121</v>
      </c>
      <c r="CD271">
        <v>16033.55</v>
      </c>
      <c r="CE271" t="s">
        <v>144</v>
      </c>
      <c r="CF271">
        <v>4000000</v>
      </c>
      <c r="CG271">
        <v>15831.95</v>
      </c>
      <c r="CH271">
        <v>0</v>
      </c>
      <c r="CI271" t="s">
        <v>112</v>
      </c>
      <c r="CJ271" t="s">
        <v>112</v>
      </c>
      <c r="CK271">
        <v>43498.16</v>
      </c>
      <c r="CM271">
        <v>0</v>
      </c>
      <c r="CN271">
        <v>1</v>
      </c>
      <c r="CO271">
        <v>4565867.87</v>
      </c>
      <c r="CP271">
        <v>51787.88</v>
      </c>
      <c r="CQ271" t="s">
        <v>145</v>
      </c>
      <c r="CR271">
        <v>51770.476500000004</v>
      </c>
      <c r="CS271">
        <v>3.27</v>
      </c>
      <c r="CT271">
        <v>45</v>
      </c>
      <c r="CV271" t="s">
        <v>729</v>
      </c>
      <c r="CW271">
        <v>544</v>
      </c>
    </row>
    <row r="272" spans="1:101" x14ac:dyDescent="0.2">
      <c r="A272" t="s">
        <v>106</v>
      </c>
      <c r="B272" s="46">
        <v>45082</v>
      </c>
      <c r="C272" t="s">
        <v>1935</v>
      </c>
      <c r="D272" t="s">
        <v>108</v>
      </c>
      <c r="E272" t="s">
        <v>1936</v>
      </c>
      <c r="F272" t="s">
        <v>110</v>
      </c>
      <c r="G272" t="s">
        <v>111</v>
      </c>
      <c r="H272" t="s">
        <v>112</v>
      </c>
      <c r="I272" t="s">
        <v>112</v>
      </c>
      <c r="J272" t="s">
        <v>112</v>
      </c>
      <c r="K272" t="s">
        <v>150</v>
      </c>
      <c r="L272" t="s">
        <v>151</v>
      </c>
      <c r="M272" t="s">
        <v>112</v>
      </c>
      <c r="N272" t="s">
        <v>112</v>
      </c>
      <c r="O272">
        <v>1</v>
      </c>
      <c r="Q272">
        <v>1</v>
      </c>
      <c r="R272">
        <v>33</v>
      </c>
      <c r="S272" t="s">
        <v>112</v>
      </c>
      <c r="T272" t="s">
        <v>152</v>
      </c>
      <c r="U272" t="s">
        <v>153</v>
      </c>
      <c r="V272" t="s">
        <v>154</v>
      </c>
      <c r="W272" t="s">
        <v>119</v>
      </c>
      <c r="X272" t="s">
        <v>112</v>
      </c>
      <c r="Y272" t="s">
        <v>112</v>
      </c>
      <c r="Z272" t="s">
        <v>152</v>
      </c>
      <c r="AA272" t="s">
        <v>153</v>
      </c>
      <c r="AB272" t="s">
        <v>154</v>
      </c>
      <c r="AC272" t="s">
        <v>119</v>
      </c>
      <c r="AD272" t="s">
        <v>112</v>
      </c>
      <c r="AE272" t="s">
        <v>121</v>
      </c>
      <c r="AF272" t="s">
        <v>122</v>
      </c>
      <c r="AG272">
        <v>4511475.99</v>
      </c>
      <c r="AH272" t="s">
        <v>112</v>
      </c>
      <c r="AI272" t="s">
        <v>152</v>
      </c>
      <c r="AJ272" t="s">
        <v>153</v>
      </c>
      <c r="AK272" t="s">
        <v>154</v>
      </c>
      <c r="AL272" t="s">
        <v>119</v>
      </c>
      <c r="AM272" t="s">
        <v>112</v>
      </c>
      <c r="AN272" t="s">
        <v>121</v>
      </c>
      <c r="AO272" t="s">
        <v>122</v>
      </c>
      <c r="AP272" t="s">
        <v>122</v>
      </c>
      <c r="AQ272" t="s">
        <v>124</v>
      </c>
      <c r="AR272" t="s">
        <v>125</v>
      </c>
      <c r="AS272">
        <v>2</v>
      </c>
      <c r="AT272" t="s">
        <v>126</v>
      </c>
      <c r="AU272" t="s">
        <v>155</v>
      </c>
      <c r="AV272" t="s">
        <v>156</v>
      </c>
      <c r="AX272" t="s">
        <v>129</v>
      </c>
      <c r="AY272">
        <v>40490.6</v>
      </c>
      <c r="BB272">
        <v>101.42570000000001</v>
      </c>
      <c r="BC272" t="s">
        <v>112</v>
      </c>
      <c r="BD272" t="s">
        <v>112</v>
      </c>
      <c r="BE272" t="s">
        <v>157</v>
      </c>
      <c r="BF272" t="s">
        <v>133</v>
      </c>
      <c r="BG272" t="s">
        <v>134</v>
      </c>
      <c r="BH272" t="s">
        <v>112</v>
      </c>
      <c r="BI272" t="s">
        <v>112</v>
      </c>
      <c r="BJ272" t="s">
        <v>112</v>
      </c>
      <c r="BK272" t="s">
        <v>158</v>
      </c>
      <c r="BL272" t="s">
        <v>159</v>
      </c>
      <c r="BM272" t="s">
        <v>212</v>
      </c>
      <c r="BN272" t="s">
        <v>161</v>
      </c>
      <c r="BP272" t="s">
        <v>213</v>
      </c>
      <c r="BR272" t="s">
        <v>150</v>
      </c>
      <c r="BS272">
        <v>33</v>
      </c>
      <c r="BT272">
        <v>0</v>
      </c>
      <c r="BU272">
        <v>0</v>
      </c>
      <c r="BW272">
        <v>0</v>
      </c>
      <c r="BY272" t="s">
        <v>106</v>
      </c>
      <c r="BZ272" t="s">
        <v>142</v>
      </c>
      <c r="CA272" t="s">
        <v>112</v>
      </c>
      <c r="CB272" t="s">
        <v>112</v>
      </c>
      <c r="CC272" t="s">
        <v>121</v>
      </c>
      <c r="CD272">
        <v>15312.12</v>
      </c>
      <c r="CE272" t="s">
        <v>144</v>
      </c>
      <c r="CF272">
        <v>4000000</v>
      </c>
      <c r="CG272">
        <v>14988.12</v>
      </c>
      <c r="CH272">
        <v>0</v>
      </c>
      <c r="CI272" t="s">
        <v>112</v>
      </c>
      <c r="CJ272" t="s">
        <v>112</v>
      </c>
      <c r="CK272">
        <v>40490.6</v>
      </c>
      <c r="CM272">
        <v>0</v>
      </c>
      <c r="CN272">
        <v>1</v>
      </c>
      <c r="CO272">
        <v>4511475.99</v>
      </c>
      <c r="CP272">
        <v>47040.95</v>
      </c>
      <c r="CQ272" t="s">
        <v>145</v>
      </c>
      <c r="CR272">
        <v>47062.696800000005</v>
      </c>
      <c r="CS272">
        <v>3.14</v>
      </c>
      <c r="CT272">
        <v>45</v>
      </c>
      <c r="CV272" t="s">
        <v>233</v>
      </c>
      <c r="CW272">
        <v>34</v>
      </c>
    </row>
    <row r="273" spans="1:101" x14ac:dyDescent="0.2">
      <c r="A273" t="s">
        <v>106</v>
      </c>
      <c r="B273" s="46">
        <v>45213</v>
      </c>
      <c r="C273" t="s">
        <v>1937</v>
      </c>
      <c r="D273" t="s">
        <v>108</v>
      </c>
      <c r="E273" t="s">
        <v>1938</v>
      </c>
      <c r="F273" t="s">
        <v>110</v>
      </c>
      <c r="G273" t="s">
        <v>111</v>
      </c>
      <c r="H273" t="s">
        <v>112</v>
      </c>
      <c r="I273" t="s">
        <v>112</v>
      </c>
      <c r="J273" t="s">
        <v>112</v>
      </c>
      <c r="K273" t="s">
        <v>150</v>
      </c>
      <c r="L273" t="s">
        <v>151</v>
      </c>
      <c r="M273" t="s">
        <v>112</v>
      </c>
      <c r="N273" t="s">
        <v>112</v>
      </c>
      <c r="O273">
        <v>1</v>
      </c>
      <c r="Q273">
        <v>1</v>
      </c>
      <c r="R273">
        <v>33</v>
      </c>
      <c r="S273" t="s">
        <v>112</v>
      </c>
      <c r="T273" t="s">
        <v>152</v>
      </c>
      <c r="U273" t="s">
        <v>153</v>
      </c>
      <c r="V273" t="s">
        <v>154</v>
      </c>
      <c r="W273" t="s">
        <v>119</v>
      </c>
      <c r="X273" t="s">
        <v>112</v>
      </c>
      <c r="Y273" t="s">
        <v>112</v>
      </c>
      <c r="Z273" t="s">
        <v>152</v>
      </c>
      <c r="AA273" t="s">
        <v>153</v>
      </c>
      <c r="AB273" t="s">
        <v>154</v>
      </c>
      <c r="AC273" t="s">
        <v>119</v>
      </c>
      <c r="AD273" t="s">
        <v>112</v>
      </c>
      <c r="AE273" t="s">
        <v>121</v>
      </c>
      <c r="AF273" t="s">
        <v>122</v>
      </c>
      <c r="AG273">
        <v>4451939.0999999996</v>
      </c>
      <c r="AH273" t="s">
        <v>112</v>
      </c>
      <c r="AI273" t="s">
        <v>152</v>
      </c>
      <c r="AJ273" t="s">
        <v>153</v>
      </c>
      <c r="AK273" t="s">
        <v>154</v>
      </c>
      <c r="AL273" t="s">
        <v>119</v>
      </c>
      <c r="AM273" t="s">
        <v>112</v>
      </c>
      <c r="AN273" t="s">
        <v>121</v>
      </c>
      <c r="AO273" t="s">
        <v>122</v>
      </c>
      <c r="AP273" t="s">
        <v>122</v>
      </c>
      <c r="AQ273" t="s">
        <v>124</v>
      </c>
      <c r="AR273" t="s">
        <v>125</v>
      </c>
      <c r="AS273">
        <v>2</v>
      </c>
      <c r="AT273" t="s">
        <v>126</v>
      </c>
      <c r="AU273" t="s">
        <v>155</v>
      </c>
      <c r="AV273" t="s">
        <v>156</v>
      </c>
      <c r="AX273" t="s">
        <v>129</v>
      </c>
      <c r="AY273">
        <v>39903.599999999999</v>
      </c>
      <c r="BB273">
        <v>101.42570000000001</v>
      </c>
      <c r="BC273" t="s">
        <v>112</v>
      </c>
      <c r="BD273" t="s">
        <v>112</v>
      </c>
      <c r="BE273" t="s">
        <v>157</v>
      </c>
      <c r="BF273" t="s">
        <v>133</v>
      </c>
      <c r="BG273" t="s">
        <v>167</v>
      </c>
      <c r="BH273" t="s">
        <v>112</v>
      </c>
      <c r="BI273" t="s">
        <v>112</v>
      </c>
      <c r="BJ273" t="s">
        <v>112</v>
      </c>
      <c r="BK273" t="s">
        <v>158</v>
      </c>
      <c r="BL273" t="s">
        <v>159</v>
      </c>
      <c r="BM273" t="s">
        <v>160</v>
      </c>
      <c r="BN273" t="s">
        <v>161</v>
      </c>
      <c r="BP273" t="s">
        <v>213</v>
      </c>
      <c r="BR273" t="s">
        <v>150</v>
      </c>
      <c r="BS273">
        <v>33</v>
      </c>
      <c r="BT273">
        <v>0</v>
      </c>
      <c r="BU273">
        <v>0</v>
      </c>
      <c r="BW273">
        <v>0</v>
      </c>
      <c r="BY273" t="s">
        <v>106</v>
      </c>
      <c r="BZ273" t="s">
        <v>142</v>
      </c>
      <c r="CA273" t="s">
        <v>112</v>
      </c>
      <c r="CB273" t="s">
        <v>112</v>
      </c>
      <c r="CC273" t="s">
        <v>121</v>
      </c>
      <c r="CD273">
        <v>14983.74</v>
      </c>
      <c r="CE273" t="s">
        <v>144</v>
      </c>
      <c r="CF273">
        <v>4000000</v>
      </c>
      <c r="CG273">
        <v>14594.94</v>
      </c>
      <c r="CH273">
        <v>0</v>
      </c>
      <c r="CI273" t="s">
        <v>112</v>
      </c>
      <c r="CJ273" t="s">
        <v>112</v>
      </c>
      <c r="CK273">
        <v>39903.599999999999</v>
      </c>
      <c r="CM273">
        <v>0</v>
      </c>
      <c r="CN273">
        <v>1</v>
      </c>
      <c r="CO273">
        <v>4451939.0999999996</v>
      </c>
      <c r="CP273">
        <v>46420.160000000003</v>
      </c>
      <c r="CQ273" t="s">
        <v>145</v>
      </c>
      <c r="CR273">
        <v>46411.909200000002</v>
      </c>
      <c r="CS273">
        <v>3.18</v>
      </c>
      <c r="CT273">
        <v>45</v>
      </c>
      <c r="CV273" t="s">
        <v>1140</v>
      </c>
      <c r="CW273">
        <v>368</v>
      </c>
    </row>
    <row r="274" spans="1:101" x14ac:dyDescent="0.2">
      <c r="A274" t="s">
        <v>106</v>
      </c>
      <c r="B274" s="46">
        <v>45067</v>
      </c>
      <c r="C274" t="s">
        <v>1945</v>
      </c>
      <c r="D274" t="s">
        <v>108</v>
      </c>
      <c r="E274" t="s">
        <v>1946</v>
      </c>
      <c r="F274" t="s">
        <v>110</v>
      </c>
      <c r="G274" t="s">
        <v>111</v>
      </c>
      <c r="H274" t="s">
        <v>112</v>
      </c>
      <c r="I274" t="s">
        <v>112</v>
      </c>
      <c r="J274" t="s">
        <v>112</v>
      </c>
      <c r="K274" t="s">
        <v>150</v>
      </c>
      <c r="L274" t="s">
        <v>151</v>
      </c>
      <c r="M274" t="s">
        <v>112</v>
      </c>
      <c r="N274" t="s">
        <v>112</v>
      </c>
      <c r="O274">
        <v>1</v>
      </c>
      <c r="Q274">
        <v>1</v>
      </c>
      <c r="R274">
        <v>33</v>
      </c>
      <c r="S274" t="s">
        <v>112</v>
      </c>
      <c r="T274" t="s">
        <v>152</v>
      </c>
      <c r="U274" t="s">
        <v>153</v>
      </c>
      <c r="V274" t="s">
        <v>154</v>
      </c>
      <c r="W274" t="s">
        <v>119</v>
      </c>
      <c r="X274" t="s">
        <v>112</v>
      </c>
      <c r="Y274" t="s">
        <v>112</v>
      </c>
      <c r="Z274" t="s">
        <v>152</v>
      </c>
      <c r="AA274" t="s">
        <v>153</v>
      </c>
      <c r="AB274" t="s">
        <v>154</v>
      </c>
      <c r="AC274" t="s">
        <v>119</v>
      </c>
      <c r="AD274" t="s">
        <v>112</v>
      </c>
      <c r="AE274" t="s">
        <v>121</v>
      </c>
      <c r="AF274" t="s">
        <v>122</v>
      </c>
      <c r="AG274">
        <v>4790928.13</v>
      </c>
      <c r="AH274" t="s">
        <v>112</v>
      </c>
      <c r="AI274" t="s">
        <v>152</v>
      </c>
      <c r="AJ274" t="s">
        <v>153</v>
      </c>
      <c r="AK274" t="s">
        <v>154</v>
      </c>
      <c r="AL274" t="s">
        <v>119</v>
      </c>
      <c r="AM274" t="s">
        <v>112</v>
      </c>
      <c r="AN274" t="s">
        <v>121</v>
      </c>
      <c r="AO274" t="s">
        <v>122</v>
      </c>
      <c r="AP274" t="s">
        <v>122</v>
      </c>
      <c r="AQ274" t="s">
        <v>124</v>
      </c>
      <c r="AR274" t="s">
        <v>125</v>
      </c>
      <c r="AS274">
        <v>2</v>
      </c>
      <c r="AT274" t="s">
        <v>126</v>
      </c>
      <c r="AU274" t="s">
        <v>155</v>
      </c>
      <c r="AV274" t="s">
        <v>156</v>
      </c>
      <c r="AX274" t="s">
        <v>129</v>
      </c>
      <c r="AY274">
        <v>42715.839999999997</v>
      </c>
      <c r="BB274">
        <v>101.42570000000001</v>
      </c>
      <c r="BC274" t="s">
        <v>112</v>
      </c>
      <c r="BD274" t="s">
        <v>112</v>
      </c>
      <c r="BE274" t="s">
        <v>157</v>
      </c>
      <c r="BF274" t="s">
        <v>133</v>
      </c>
      <c r="BG274" t="s">
        <v>134</v>
      </c>
      <c r="BH274" t="s">
        <v>112</v>
      </c>
      <c r="BI274" t="s">
        <v>112</v>
      </c>
      <c r="BJ274" t="s">
        <v>112</v>
      </c>
      <c r="BK274" t="s">
        <v>158</v>
      </c>
      <c r="BL274" t="s">
        <v>159</v>
      </c>
      <c r="BM274" t="s">
        <v>212</v>
      </c>
      <c r="BN274" t="s">
        <v>161</v>
      </c>
      <c r="BP274" t="s">
        <v>232</v>
      </c>
      <c r="BR274" t="s">
        <v>150</v>
      </c>
      <c r="BS274">
        <v>33</v>
      </c>
      <c r="BT274">
        <v>0</v>
      </c>
      <c r="BU274">
        <v>0</v>
      </c>
      <c r="BW274">
        <v>0</v>
      </c>
      <c r="BY274" t="s">
        <v>106</v>
      </c>
      <c r="BZ274" t="s">
        <v>142</v>
      </c>
      <c r="CA274" t="s">
        <v>112</v>
      </c>
      <c r="CB274" t="s">
        <v>112</v>
      </c>
      <c r="CC274" t="s">
        <v>121</v>
      </c>
      <c r="CD274">
        <v>16777.330000000002</v>
      </c>
      <c r="CE274" t="s">
        <v>144</v>
      </c>
      <c r="CF274">
        <v>4000000</v>
      </c>
      <c r="CG274">
        <v>16777.330000000002</v>
      </c>
      <c r="CH274">
        <v>0</v>
      </c>
      <c r="CI274" t="s">
        <v>112</v>
      </c>
      <c r="CJ274" t="s">
        <v>112</v>
      </c>
      <c r="CK274">
        <v>42715.839999999997</v>
      </c>
      <c r="CM274">
        <v>0</v>
      </c>
      <c r="CN274">
        <v>1</v>
      </c>
      <c r="CO274">
        <v>4790928.13</v>
      </c>
      <c r="CP274">
        <v>49954.78</v>
      </c>
      <c r="CQ274" t="s">
        <v>145</v>
      </c>
      <c r="CR274">
        <v>49996.443400000004</v>
      </c>
      <c r="CS274">
        <v>2.98</v>
      </c>
      <c r="CT274">
        <v>45</v>
      </c>
      <c r="CV274" t="s">
        <v>163</v>
      </c>
      <c r="CW274">
        <v>337</v>
      </c>
    </row>
    <row r="275" spans="1:101" x14ac:dyDescent="0.2">
      <c r="A275" t="s">
        <v>106</v>
      </c>
      <c r="B275" s="46">
        <v>44585</v>
      </c>
      <c r="C275" t="s">
        <v>1945</v>
      </c>
      <c r="D275" t="s">
        <v>108</v>
      </c>
      <c r="E275" t="s">
        <v>1946</v>
      </c>
      <c r="F275" t="s">
        <v>110</v>
      </c>
      <c r="G275" t="s">
        <v>111</v>
      </c>
      <c r="H275" t="s">
        <v>112</v>
      </c>
      <c r="I275" t="s">
        <v>112</v>
      </c>
      <c r="J275" t="s">
        <v>112</v>
      </c>
      <c r="K275" t="s">
        <v>150</v>
      </c>
      <c r="L275" t="s">
        <v>151</v>
      </c>
      <c r="M275" t="s">
        <v>112</v>
      </c>
      <c r="N275" t="s">
        <v>112</v>
      </c>
      <c r="O275">
        <v>1</v>
      </c>
      <c r="Q275">
        <v>1</v>
      </c>
      <c r="R275">
        <v>33</v>
      </c>
      <c r="S275" t="s">
        <v>112</v>
      </c>
      <c r="T275" t="s">
        <v>152</v>
      </c>
      <c r="U275" t="s">
        <v>153</v>
      </c>
      <c r="V275" t="s">
        <v>154</v>
      </c>
      <c r="W275" t="s">
        <v>119</v>
      </c>
      <c r="X275" t="s">
        <v>112</v>
      </c>
      <c r="Y275" t="s">
        <v>112</v>
      </c>
      <c r="Z275" t="s">
        <v>152</v>
      </c>
      <c r="AA275" t="s">
        <v>153</v>
      </c>
      <c r="AB275" t="s">
        <v>154</v>
      </c>
      <c r="AC275" t="s">
        <v>119</v>
      </c>
      <c r="AD275" t="s">
        <v>112</v>
      </c>
      <c r="AE275" t="s">
        <v>121</v>
      </c>
      <c r="AF275" t="s">
        <v>122</v>
      </c>
      <c r="AG275">
        <v>4790928.13</v>
      </c>
      <c r="AH275" t="s">
        <v>112</v>
      </c>
      <c r="AI275" t="s">
        <v>152</v>
      </c>
      <c r="AJ275" t="s">
        <v>153</v>
      </c>
      <c r="AK275" t="s">
        <v>154</v>
      </c>
      <c r="AL275" t="s">
        <v>119</v>
      </c>
      <c r="AM275" t="s">
        <v>112</v>
      </c>
      <c r="AN275" t="s">
        <v>121</v>
      </c>
      <c r="AO275" t="s">
        <v>122</v>
      </c>
      <c r="AP275" t="s">
        <v>122</v>
      </c>
      <c r="AQ275" t="s">
        <v>124</v>
      </c>
      <c r="AR275" t="s">
        <v>125</v>
      </c>
      <c r="AS275">
        <v>2</v>
      </c>
      <c r="AT275" t="s">
        <v>126</v>
      </c>
      <c r="AU275" t="s">
        <v>155</v>
      </c>
      <c r="AV275" t="s">
        <v>156</v>
      </c>
      <c r="AX275" t="s">
        <v>129</v>
      </c>
      <c r="AY275">
        <v>42715.839999999997</v>
      </c>
      <c r="BB275">
        <v>101.42570000000001</v>
      </c>
      <c r="BC275" t="s">
        <v>112</v>
      </c>
      <c r="BD275" t="s">
        <v>112</v>
      </c>
      <c r="BE275" t="s">
        <v>157</v>
      </c>
      <c r="BF275" t="s">
        <v>133</v>
      </c>
      <c r="BG275" t="s">
        <v>134</v>
      </c>
      <c r="BH275" t="s">
        <v>112</v>
      </c>
      <c r="BI275" t="s">
        <v>112</v>
      </c>
      <c r="BJ275" t="s">
        <v>112</v>
      </c>
      <c r="BK275" t="s">
        <v>158</v>
      </c>
      <c r="BL275" t="s">
        <v>159</v>
      </c>
      <c r="BM275" t="s">
        <v>212</v>
      </c>
      <c r="BN275" t="s">
        <v>161</v>
      </c>
      <c r="BP275" t="s">
        <v>232</v>
      </c>
      <c r="BR275" t="s">
        <v>150</v>
      </c>
      <c r="BS275">
        <v>33</v>
      </c>
      <c r="BT275">
        <v>0</v>
      </c>
      <c r="BU275">
        <v>0</v>
      </c>
      <c r="BW275">
        <v>0</v>
      </c>
      <c r="BY275" t="s">
        <v>106</v>
      </c>
      <c r="BZ275" t="s">
        <v>142</v>
      </c>
      <c r="CA275" t="s">
        <v>112</v>
      </c>
      <c r="CB275" t="s">
        <v>112</v>
      </c>
      <c r="CC275" t="s">
        <v>121</v>
      </c>
      <c r="CD275">
        <v>16777.330000000002</v>
      </c>
      <c r="CE275" t="s">
        <v>144</v>
      </c>
      <c r="CF275">
        <v>4000000</v>
      </c>
      <c r="CG275">
        <v>16777.330000000002</v>
      </c>
      <c r="CH275">
        <v>0</v>
      </c>
      <c r="CI275" t="s">
        <v>112</v>
      </c>
      <c r="CJ275" t="s">
        <v>112</v>
      </c>
      <c r="CK275">
        <v>42715.839999999997</v>
      </c>
      <c r="CM275">
        <v>0</v>
      </c>
      <c r="CN275">
        <v>1</v>
      </c>
      <c r="CO275">
        <v>4790928.13</v>
      </c>
      <c r="CP275">
        <v>49954.78</v>
      </c>
      <c r="CQ275" t="s">
        <v>145</v>
      </c>
      <c r="CR275">
        <v>49996.443400000004</v>
      </c>
      <c r="CS275">
        <v>2.98</v>
      </c>
      <c r="CT275">
        <v>45</v>
      </c>
      <c r="CV275" t="s">
        <v>163</v>
      </c>
      <c r="CW275">
        <v>337</v>
      </c>
    </row>
    <row r="276" spans="1:101" x14ac:dyDescent="0.2">
      <c r="A276" t="s">
        <v>106</v>
      </c>
      <c r="B276" s="46">
        <v>45236</v>
      </c>
      <c r="C276" t="s">
        <v>1884</v>
      </c>
      <c r="D276" t="s">
        <v>108</v>
      </c>
      <c r="E276" t="s">
        <v>1885</v>
      </c>
      <c r="F276" t="s">
        <v>110</v>
      </c>
      <c r="G276" t="s">
        <v>111</v>
      </c>
      <c r="H276" t="s">
        <v>112</v>
      </c>
      <c r="I276" t="s">
        <v>112</v>
      </c>
      <c r="J276" t="s">
        <v>112</v>
      </c>
      <c r="K276" t="s">
        <v>150</v>
      </c>
      <c r="L276" t="s">
        <v>151</v>
      </c>
      <c r="M276" t="s">
        <v>112</v>
      </c>
      <c r="N276" t="s">
        <v>112</v>
      </c>
      <c r="O276">
        <v>1</v>
      </c>
      <c r="Q276">
        <v>1</v>
      </c>
      <c r="R276">
        <v>33</v>
      </c>
      <c r="S276" t="s">
        <v>112</v>
      </c>
      <c r="T276" t="s">
        <v>152</v>
      </c>
      <c r="U276" t="s">
        <v>153</v>
      </c>
      <c r="V276" t="s">
        <v>154</v>
      </c>
      <c r="W276" t="s">
        <v>119</v>
      </c>
      <c r="X276" t="s">
        <v>112</v>
      </c>
      <c r="Y276" t="s">
        <v>112</v>
      </c>
      <c r="Z276" t="s">
        <v>152</v>
      </c>
      <c r="AA276" t="s">
        <v>153</v>
      </c>
      <c r="AB276" t="s">
        <v>154</v>
      </c>
      <c r="AC276" t="s">
        <v>119</v>
      </c>
      <c r="AD276" t="s">
        <v>112</v>
      </c>
      <c r="AE276" t="s">
        <v>121</v>
      </c>
      <c r="AF276" t="s">
        <v>122</v>
      </c>
      <c r="AG276">
        <v>4575479.66</v>
      </c>
      <c r="AH276" t="s">
        <v>112</v>
      </c>
      <c r="AI276" t="s">
        <v>152</v>
      </c>
      <c r="AJ276" t="s">
        <v>153</v>
      </c>
      <c r="AK276" t="s">
        <v>154</v>
      </c>
      <c r="AL276" t="s">
        <v>119</v>
      </c>
      <c r="AM276" t="s">
        <v>112</v>
      </c>
      <c r="AN276" t="s">
        <v>121</v>
      </c>
      <c r="AO276" t="s">
        <v>122</v>
      </c>
      <c r="AP276" t="s">
        <v>122</v>
      </c>
      <c r="AQ276" t="s">
        <v>124</v>
      </c>
      <c r="AR276" t="s">
        <v>125</v>
      </c>
      <c r="AS276">
        <v>2</v>
      </c>
      <c r="AT276" t="s">
        <v>126</v>
      </c>
      <c r="AU276" t="s">
        <v>155</v>
      </c>
      <c r="AV276" t="s">
        <v>156</v>
      </c>
      <c r="AX276" t="s">
        <v>129</v>
      </c>
      <c r="AY276">
        <v>41121.64</v>
      </c>
      <c r="BB276">
        <v>101.42570000000001</v>
      </c>
      <c r="BC276" t="s">
        <v>112</v>
      </c>
      <c r="BD276" t="s">
        <v>112</v>
      </c>
      <c r="BE276" t="s">
        <v>157</v>
      </c>
      <c r="BF276" t="s">
        <v>133</v>
      </c>
      <c r="BG276" t="s">
        <v>134</v>
      </c>
      <c r="BH276" t="s">
        <v>112</v>
      </c>
      <c r="BI276" t="s">
        <v>112</v>
      </c>
      <c r="BJ276" t="s">
        <v>112</v>
      </c>
      <c r="BK276" t="s">
        <v>158</v>
      </c>
      <c r="BL276" t="s">
        <v>159</v>
      </c>
      <c r="BM276" t="s">
        <v>212</v>
      </c>
      <c r="BN276" t="s">
        <v>161</v>
      </c>
      <c r="BP276" t="s">
        <v>213</v>
      </c>
      <c r="BR276" t="s">
        <v>150</v>
      </c>
      <c r="BS276">
        <v>33</v>
      </c>
      <c r="BT276">
        <v>0</v>
      </c>
      <c r="BU276">
        <v>0</v>
      </c>
      <c r="BW276">
        <v>0</v>
      </c>
      <c r="BY276" t="s">
        <v>106</v>
      </c>
      <c r="BZ276" t="s">
        <v>142</v>
      </c>
      <c r="CA276" t="s">
        <v>112</v>
      </c>
      <c r="CB276" t="s">
        <v>112</v>
      </c>
      <c r="CC276" t="s">
        <v>121</v>
      </c>
      <c r="CD276">
        <v>15505.33</v>
      </c>
      <c r="CE276" t="s">
        <v>144</v>
      </c>
      <c r="CF276">
        <v>4000000</v>
      </c>
      <c r="CG276">
        <v>15159.73</v>
      </c>
      <c r="CH276">
        <v>0</v>
      </c>
      <c r="CI276" t="s">
        <v>112</v>
      </c>
      <c r="CJ276" t="s">
        <v>112</v>
      </c>
      <c r="CK276">
        <v>41121.64</v>
      </c>
      <c r="CM276">
        <v>0</v>
      </c>
      <c r="CN276">
        <v>1</v>
      </c>
      <c r="CO276">
        <v>4575479.66</v>
      </c>
      <c r="CP276">
        <v>47708.31</v>
      </c>
      <c r="CQ276" t="s">
        <v>145</v>
      </c>
      <c r="CR276">
        <v>47753.1495</v>
      </c>
      <c r="CS276">
        <v>3.15</v>
      </c>
      <c r="CT276">
        <v>45</v>
      </c>
      <c r="CV276" t="s">
        <v>163</v>
      </c>
      <c r="CW276">
        <v>342</v>
      </c>
    </row>
    <row r="277" spans="1:101" x14ac:dyDescent="0.2">
      <c r="A277" t="s">
        <v>106</v>
      </c>
      <c r="B277" s="46">
        <v>44654</v>
      </c>
      <c r="C277" t="s">
        <v>1776</v>
      </c>
      <c r="D277" t="s">
        <v>108</v>
      </c>
      <c r="E277" t="s">
        <v>1777</v>
      </c>
      <c r="F277" t="s">
        <v>110</v>
      </c>
      <c r="G277" t="s">
        <v>111</v>
      </c>
      <c r="H277" t="s">
        <v>112</v>
      </c>
      <c r="I277" t="s">
        <v>112</v>
      </c>
      <c r="J277" t="s">
        <v>112</v>
      </c>
      <c r="K277" t="s">
        <v>150</v>
      </c>
      <c r="L277" t="s">
        <v>151</v>
      </c>
      <c r="M277" t="s">
        <v>112</v>
      </c>
      <c r="N277" t="s">
        <v>112</v>
      </c>
      <c r="Q277">
        <v>1</v>
      </c>
      <c r="R277">
        <v>33</v>
      </c>
      <c r="S277" t="s">
        <v>166</v>
      </c>
      <c r="T277" t="s">
        <v>152</v>
      </c>
      <c r="U277" t="s">
        <v>153</v>
      </c>
      <c r="V277" t="s">
        <v>154</v>
      </c>
      <c r="W277" t="s">
        <v>119</v>
      </c>
      <c r="X277" t="s">
        <v>112</v>
      </c>
      <c r="Y277" t="s">
        <v>166</v>
      </c>
      <c r="Z277" t="s">
        <v>152</v>
      </c>
      <c r="AA277" t="s">
        <v>153</v>
      </c>
      <c r="AB277" t="s">
        <v>154</v>
      </c>
      <c r="AC277" t="s">
        <v>119</v>
      </c>
      <c r="AD277" t="s">
        <v>112</v>
      </c>
      <c r="AE277" t="s">
        <v>121</v>
      </c>
      <c r="AF277" t="s">
        <v>122</v>
      </c>
      <c r="AG277">
        <v>4833427.1399999997</v>
      </c>
      <c r="AH277" t="s">
        <v>166</v>
      </c>
      <c r="AI277" t="s">
        <v>152</v>
      </c>
      <c r="AJ277" t="s">
        <v>153</v>
      </c>
      <c r="AK277" t="s">
        <v>154</v>
      </c>
      <c r="AL277" t="s">
        <v>119</v>
      </c>
      <c r="AM277" t="s">
        <v>112</v>
      </c>
      <c r="AN277" t="s">
        <v>121</v>
      </c>
      <c r="AO277" t="s">
        <v>122</v>
      </c>
      <c r="AP277" t="s">
        <v>122</v>
      </c>
      <c r="AQ277" t="s">
        <v>124</v>
      </c>
      <c r="AR277" t="s">
        <v>125</v>
      </c>
      <c r="AT277" t="s">
        <v>126</v>
      </c>
      <c r="AU277" t="s">
        <v>155</v>
      </c>
      <c r="AV277" t="s">
        <v>156</v>
      </c>
      <c r="AX277" t="s">
        <v>129</v>
      </c>
      <c r="AY277">
        <v>42389.279999999999</v>
      </c>
      <c r="BB277">
        <v>102.753</v>
      </c>
      <c r="BC277" t="s">
        <v>112</v>
      </c>
      <c r="BD277" t="s">
        <v>112</v>
      </c>
      <c r="BE277" t="s">
        <v>112</v>
      </c>
      <c r="BF277" t="s">
        <v>133</v>
      </c>
      <c r="BG277" t="s">
        <v>167</v>
      </c>
      <c r="BH277" t="s">
        <v>112</v>
      </c>
      <c r="BI277" t="s">
        <v>112</v>
      </c>
      <c r="BJ277" t="s">
        <v>112</v>
      </c>
      <c r="BK277" t="s">
        <v>112</v>
      </c>
      <c r="BL277" t="s">
        <v>112</v>
      </c>
      <c r="BM277" t="s">
        <v>112</v>
      </c>
      <c r="BN277" t="s">
        <v>161</v>
      </c>
      <c r="BP277" t="s">
        <v>466</v>
      </c>
      <c r="BR277" t="s">
        <v>150</v>
      </c>
      <c r="BS277">
        <v>33</v>
      </c>
      <c r="BY277" t="s">
        <v>106</v>
      </c>
      <c r="BZ277" t="s">
        <v>142</v>
      </c>
      <c r="CA277" t="s">
        <v>112</v>
      </c>
      <c r="CB277" t="s">
        <v>112</v>
      </c>
      <c r="CC277" t="s">
        <v>121</v>
      </c>
      <c r="CD277">
        <v>15951.26</v>
      </c>
      <c r="CE277" t="s">
        <v>144</v>
      </c>
      <c r="CF277">
        <v>4000000</v>
      </c>
      <c r="CG277">
        <v>15771.26</v>
      </c>
      <c r="CI277" t="s">
        <v>112</v>
      </c>
      <c r="CJ277" t="s">
        <v>112</v>
      </c>
      <c r="CK277">
        <v>42389.279999999999</v>
      </c>
      <c r="CM277">
        <v>0</v>
      </c>
      <c r="CN277">
        <v>1</v>
      </c>
      <c r="CO277">
        <v>4833427.1399999997</v>
      </c>
      <c r="CP277">
        <v>51354.7</v>
      </c>
      <c r="CQ277" t="s">
        <v>145</v>
      </c>
      <c r="CR277">
        <v>51414.3076</v>
      </c>
      <c r="CS277">
        <v>3.26</v>
      </c>
      <c r="CW277">
        <v>343</v>
      </c>
    </row>
    <row r="278" spans="1:101" x14ac:dyDescent="0.2">
      <c r="A278" t="s">
        <v>106</v>
      </c>
      <c r="B278" s="46">
        <v>44602</v>
      </c>
      <c r="C278" t="s">
        <v>1774</v>
      </c>
      <c r="D278" t="s">
        <v>108</v>
      </c>
      <c r="E278" t="s">
        <v>1775</v>
      </c>
      <c r="F278" t="s">
        <v>110</v>
      </c>
      <c r="G278" t="s">
        <v>111</v>
      </c>
      <c r="H278" t="s">
        <v>112</v>
      </c>
      <c r="I278" t="s">
        <v>112</v>
      </c>
      <c r="J278" t="s">
        <v>112</v>
      </c>
      <c r="K278" t="s">
        <v>150</v>
      </c>
      <c r="L278" t="s">
        <v>151</v>
      </c>
      <c r="M278" t="s">
        <v>112</v>
      </c>
      <c r="N278" t="s">
        <v>112</v>
      </c>
      <c r="Q278">
        <v>1</v>
      </c>
      <c r="R278">
        <v>33</v>
      </c>
      <c r="S278" t="s">
        <v>166</v>
      </c>
      <c r="T278" t="s">
        <v>152</v>
      </c>
      <c r="U278" t="s">
        <v>153</v>
      </c>
      <c r="V278" t="s">
        <v>154</v>
      </c>
      <c r="W278" t="s">
        <v>119</v>
      </c>
      <c r="X278" t="s">
        <v>112</v>
      </c>
      <c r="Y278" t="s">
        <v>166</v>
      </c>
      <c r="Z278" t="s">
        <v>152</v>
      </c>
      <c r="AA278" t="s">
        <v>153</v>
      </c>
      <c r="AB278" t="s">
        <v>154</v>
      </c>
      <c r="AC278" t="s">
        <v>119</v>
      </c>
      <c r="AD278" t="s">
        <v>112</v>
      </c>
      <c r="AE278" t="s">
        <v>121</v>
      </c>
      <c r="AF278" t="s">
        <v>122</v>
      </c>
      <c r="AG278">
        <v>5048070.96</v>
      </c>
      <c r="AH278" t="s">
        <v>166</v>
      </c>
      <c r="AI278" t="s">
        <v>152</v>
      </c>
      <c r="AJ278" t="s">
        <v>153</v>
      </c>
      <c r="AK278" t="s">
        <v>154</v>
      </c>
      <c r="AL278" t="s">
        <v>119</v>
      </c>
      <c r="AM278" t="s">
        <v>112</v>
      </c>
      <c r="AN278" t="s">
        <v>121</v>
      </c>
      <c r="AO278" t="s">
        <v>122</v>
      </c>
      <c r="AP278" t="s">
        <v>122</v>
      </c>
      <c r="AQ278" t="s">
        <v>124</v>
      </c>
      <c r="AR278" t="s">
        <v>125</v>
      </c>
      <c r="AT278" t="s">
        <v>126</v>
      </c>
      <c r="AU278" t="s">
        <v>155</v>
      </c>
      <c r="AV278" t="s">
        <v>156</v>
      </c>
      <c r="AX278" t="s">
        <v>129</v>
      </c>
      <c r="AY278">
        <v>44998.21</v>
      </c>
      <c r="BB278">
        <v>102.753</v>
      </c>
      <c r="BC278" t="s">
        <v>112</v>
      </c>
      <c r="BD278" t="s">
        <v>112</v>
      </c>
      <c r="BE278" t="s">
        <v>112</v>
      </c>
      <c r="BF278" t="s">
        <v>133</v>
      </c>
      <c r="BG278" t="s">
        <v>167</v>
      </c>
      <c r="BH278" t="s">
        <v>112</v>
      </c>
      <c r="BI278" t="s">
        <v>112</v>
      </c>
      <c r="BJ278" t="s">
        <v>112</v>
      </c>
      <c r="BK278" t="s">
        <v>112</v>
      </c>
      <c r="BL278" t="s">
        <v>112</v>
      </c>
      <c r="BM278" t="s">
        <v>112</v>
      </c>
      <c r="BN278" t="s">
        <v>161</v>
      </c>
      <c r="BP278" t="s">
        <v>162</v>
      </c>
      <c r="BR278" t="s">
        <v>150</v>
      </c>
      <c r="BS278">
        <v>33</v>
      </c>
      <c r="BY278" t="s">
        <v>106</v>
      </c>
      <c r="BZ278" t="s">
        <v>142</v>
      </c>
      <c r="CA278" t="s">
        <v>112</v>
      </c>
      <c r="CB278" t="s">
        <v>112</v>
      </c>
      <c r="CC278" t="s">
        <v>121</v>
      </c>
      <c r="CD278">
        <v>16257.65</v>
      </c>
      <c r="CE278" t="s">
        <v>144</v>
      </c>
      <c r="CF278">
        <v>4000000</v>
      </c>
      <c r="CG278">
        <v>16149.65</v>
      </c>
      <c r="CI278" t="s">
        <v>112</v>
      </c>
      <c r="CJ278" t="s">
        <v>112</v>
      </c>
      <c r="CK278">
        <v>44998.21</v>
      </c>
      <c r="CM278">
        <v>0</v>
      </c>
      <c r="CN278">
        <v>1</v>
      </c>
      <c r="CO278">
        <v>5048070.96</v>
      </c>
      <c r="CP278">
        <v>53635.27</v>
      </c>
      <c r="CQ278" t="s">
        <v>145</v>
      </c>
      <c r="CR278">
        <v>53616.837999999996</v>
      </c>
      <c r="CS278">
        <v>3.32</v>
      </c>
      <c r="CW278">
        <v>34</v>
      </c>
    </row>
    <row r="279" spans="1:101" x14ac:dyDescent="0.2">
      <c r="A279" t="s">
        <v>106</v>
      </c>
      <c r="B279" s="46">
        <v>44565</v>
      </c>
      <c r="C279" t="s">
        <v>1772</v>
      </c>
      <c r="D279" t="s">
        <v>108</v>
      </c>
      <c r="E279" t="s">
        <v>1773</v>
      </c>
      <c r="F279" t="s">
        <v>110</v>
      </c>
      <c r="G279" t="s">
        <v>111</v>
      </c>
      <c r="H279" t="s">
        <v>112</v>
      </c>
      <c r="I279" t="s">
        <v>112</v>
      </c>
      <c r="J279" t="s">
        <v>112</v>
      </c>
      <c r="K279" t="s">
        <v>150</v>
      </c>
      <c r="L279" t="s">
        <v>151</v>
      </c>
      <c r="M279" t="s">
        <v>112</v>
      </c>
      <c r="N279" t="s">
        <v>112</v>
      </c>
      <c r="Q279">
        <v>1</v>
      </c>
      <c r="R279">
        <v>33</v>
      </c>
      <c r="S279" t="s">
        <v>166</v>
      </c>
      <c r="T279" t="s">
        <v>152</v>
      </c>
      <c r="U279" t="s">
        <v>153</v>
      </c>
      <c r="V279" t="s">
        <v>154</v>
      </c>
      <c r="W279" t="s">
        <v>119</v>
      </c>
      <c r="X279" t="s">
        <v>112</v>
      </c>
      <c r="Y279" t="s">
        <v>166</v>
      </c>
      <c r="Z279" t="s">
        <v>152</v>
      </c>
      <c r="AA279" t="s">
        <v>153</v>
      </c>
      <c r="AB279" t="s">
        <v>154</v>
      </c>
      <c r="AC279" t="s">
        <v>119</v>
      </c>
      <c r="AD279" t="s">
        <v>112</v>
      </c>
      <c r="AE279" t="s">
        <v>121</v>
      </c>
      <c r="AF279" t="s">
        <v>122</v>
      </c>
      <c r="AG279">
        <v>4620884.6100000003</v>
      </c>
      <c r="AH279" t="s">
        <v>166</v>
      </c>
      <c r="AI279" t="s">
        <v>152</v>
      </c>
      <c r="AJ279" t="s">
        <v>153</v>
      </c>
      <c r="AK279" t="s">
        <v>154</v>
      </c>
      <c r="AL279" t="s">
        <v>119</v>
      </c>
      <c r="AM279" t="s">
        <v>112</v>
      </c>
      <c r="AN279" t="s">
        <v>121</v>
      </c>
      <c r="AO279" t="s">
        <v>122</v>
      </c>
      <c r="AP279" t="s">
        <v>122</v>
      </c>
      <c r="AQ279" t="s">
        <v>124</v>
      </c>
      <c r="AR279" t="s">
        <v>125</v>
      </c>
      <c r="AT279" t="s">
        <v>126</v>
      </c>
      <c r="AU279" t="s">
        <v>155</v>
      </c>
      <c r="AV279" t="s">
        <v>156</v>
      </c>
      <c r="AX279" t="s">
        <v>129</v>
      </c>
      <c r="AY279">
        <v>40840.800000000003</v>
      </c>
      <c r="BB279">
        <v>102.753</v>
      </c>
      <c r="BC279" t="s">
        <v>112</v>
      </c>
      <c r="BD279" t="s">
        <v>112</v>
      </c>
      <c r="BE279" t="s">
        <v>112</v>
      </c>
      <c r="BF279" t="s">
        <v>133</v>
      </c>
      <c r="BG279" t="s">
        <v>134</v>
      </c>
      <c r="BH279" t="s">
        <v>112</v>
      </c>
      <c r="BI279" t="s">
        <v>112</v>
      </c>
      <c r="BJ279" t="s">
        <v>112</v>
      </c>
      <c r="BK279" t="s">
        <v>112</v>
      </c>
      <c r="BL279" t="s">
        <v>112</v>
      </c>
      <c r="BM279" t="s">
        <v>112</v>
      </c>
      <c r="BN279" t="s">
        <v>161</v>
      </c>
      <c r="BP279" t="s">
        <v>232</v>
      </c>
      <c r="BR279" t="s">
        <v>150</v>
      </c>
      <c r="BS279">
        <v>33</v>
      </c>
      <c r="BT279">
        <v>0</v>
      </c>
      <c r="BU279">
        <v>0</v>
      </c>
      <c r="BY279" t="s">
        <v>106</v>
      </c>
      <c r="BZ279" t="s">
        <v>142</v>
      </c>
      <c r="CA279" t="s">
        <v>112</v>
      </c>
      <c r="CB279" t="s">
        <v>112</v>
      </c>
      <c r="CC279" t="s">
        <v>121</v>
      </c>
      <c r="CD279">
        <v>16485.990000000002</v>
      </c>
      <c r="CE279" t="s">
        <v>144</v>
      </c>
      <c r="CF279">
        <v>4000000</v>
      </c>
      <c r="CG279">
        <v>16344.99</v>
      </c>
      <c r="CH279">
        <v>0</v>
      </c>
      <c r="CI279" t="s">
        <v>112</v>
      </c>
      <c r="CJ279" t="s">
        <v>112</v>
      </c>
      <c r="CK279">
        <v>40840.800000000003</v>
      </c>
      <c r="CM279">
        <v>0</v>
      </c>
      <c r="CN279">
        <v>1</v>
      </c>
      <c r="CO279">
        <v>4620884.6100000003</v>
      </c>
      <c r="CP279">
        <v>49096.45</v>
      </c>
      <c r="CQ279" t="s">
        <v>145</v>
      </c>
      <c r="CR279">
        <v>49034.97</v>
      </c>
      <c r="CS279">
        <v>3</v>
      </c>
      <c r="CW279">
        <v>243</v>
      </c>
    </row>
    <row r="280" spans="1:101" x14ac:dyDescent="0.2">
      <c r="A280" t="s">
        <v>106</v>
      </c>
      <c r="B280" s="46">
        <v>45198</v>
      </c>
      <c r="C280" t="s">
        <v>1213</v>
      </c>
      <c r="D280" t="s">
        <v>108</v>
      </c>
      <c r="E280" t="s">
        <v>1214</v>
      </c>
      <c r="F280" t="s">
        <v>110</v>
      </c>
      <c r="G280" t="s">
        <v>111</v>
      </c>
      <c r="H280" t="s">
        <v>112</v>
      </c>
      <c r="I280" t="s">
        <v>112</v>
      </c>
      <c r="J280" t="s">
        <v>112</v>
      </c>
      <c r="K280" t="s">
        <v>150</v>
      </c>
      <c r="L280" t="s">
        <v>1060</v>
      </c>
      <c r="M280" t="s">
        <v>112</v>
      </c>
      <c r="N280" t="s">
        <v>112</v>
      </c>
      <c r="O280">
        <v>1</v>
      </c>
      <c r="P280">
        <v>0</v>
      </c>
      <c r="Q280">
        <v>1</v>
      </c>
      <c r="R280">
        <v>33</v>
      </c>
      <c r="S280" t="s">
        <v>166</v>
      </c>
      <c r="T280" t="s">
        <v>152</v>
      </c>
      <c r="U280" t="s">
        <v>153</v>
      </c>
      <c r="V280" t="s">
        <v>154</v>
      </c>
      <c r="W280" t="s">
        <v>119</v>
      </c>
      <c r="X280" t="s">
        <v>112</v>
      </c>
      <c r="Y280" t="s">
        <v>166</v>
      </c>
      <c r="Z280" t="s">
        <v>152</v>
      </c>
      <c r="AA280" t="s">
        <v>153</v>
      </c>
      <c r="AB280" t="s">
        <v>154</v>
      </c>
      <c r="AC280" t="s">
        <v>119</v>
      </c>
      <c r="AD280" t="s">
        <v>112</v>
      </c>
      <c r="AE280" t="s">
        <v>121</v>
      </c>
      <c r="AF280" t="s">
        <v>122</v>
      </c>
      <c r="AG280">
        <v>4055493.2</v>
      </c>
      <c r="AH280" t="s">
        <v>166</v>
      </c>
      <c r="AI280" t="s">
        <v>152</v>
      </c>
      <c r="AJ280" t="s">
        <v>153</v>
      </c>
      <c r="AK280" t="s">
        <v>154</v>
      </c>
      <c r="AL280" t="s">
        <v>119</v>
      </c>
      <c r="AM280" t="s">
        <v>112</v>
      </c>
      <c r="AN280" t="s">
        <v>121</v>
      </c>
      <c r="AO280" t="s">
        <v>122</v>
      </c>
      <c r="AP280" t="s">
        <v>122</v>
      </c>
      <c r="AQ280" t="s">
        <v>124</v>
      </c>
      <c r="AR280" t="s">
        <v>125</v>
      </c>
      <c r="AS280">
        <v>2</v>
      </c>
      <c r="AT280" t="s">
        <v>126</v>
      </c>
      <c r="AU280" t="s">
        <v>155</v>
      </c>
      <c r="AV280" t="s">
        <v>156</v>
      </c>
      <c r="AW280">
        <v>1</v>
      </c>
      <c r="AX280" t="s">
        <v>129</v>
      </c>
      <c r="AY280">
        <v>42756.32</v>
      </c>
      <c r="AZ280">
        <v>3698263</v>
      </c>
      <c r="BA280">
        <v>50733.05</v>
      </c>
      <c r="BB280">
        <v>86.496300000000005</v>
      </c>
      <c r="BC280" t="s">
        <v>130</v>
      </c>
      <c r="BD280" t="s">
        <v>112</v>
      </c>
      <c r="BE280" t="s">
        <v>157</v>
      </c>
      <c r="BF280" t="s">
        <v>133</v>
      </c>
      <c r="BG280" t="s">
        <v>134</v>
      </c>
      <c r="BH280" t="s">
        <v>112</v>
      </c>
      <c r="BI280" t="s">
        <v>112</v>
      </c>
      <c r="BJ280" t="s">
        <v>112</v>
      </c>
      <c r="BK280" t="s">
        <v>169</v>
      </c>
      <c r="BL280" t="s">
        <v>159</v>
      </c>
      <c r="BM280" t="s">
        <v>722</v>
      </c>
      <c r="BN280" t="s">
        <v>161</v>
      </c>
      <c r="BO280">
        <v>1</v>
      </c>
      <c r="BP280" t="s">
        <v>205</v>
      </c>
      <c r="BR280" t="s">
        <v>150</v>
      </c>
      <c r="BS280">
        <v>33</v>
      </c>
      <c r="BT280">
        <v>0</v>
      </c>
      <c r="BU280">
        <v>0</v>
      </c>
      <c r="BW280">
        <v>0</v>
      </c>
      <c r="BY280" t="s">
        <v>106</v>
      </c>
      <c r="BZ280" t="s">
        <v>142</v>
      </c>
      <c r="CA280" t="s">
        <v>112</v>
      </c>
      <c r="CB280" t="s">
        <v>112</v>
      </c>
      <c r="CC280" t="s">
        <v>121</v>
      </c>
      <c r="CD280">
        <v>17315.400000000001</v>
      </c>
      <c r="CE280" t="s">
        <v>144</v>
      </c>
      <c r="CF280">
        <v>4000000</v>
      </c>
      <c r="CG280">
        <v>17315.400000000001</v>
      </c>
      <c r="CH280">
        <v>0</v>
      </c>
      <c r="CI280" t="s">
        <v>112</v>
      </c>
      <c r="CJ280" t="s">
        <v>112</v>
      </c>
      <c r="CK280">
        <v>42756.32</v>
      </c>
      <c r="CL280">
        <v>3698263</v>
      </c>
      <c r="CM280">
        <v>0</v>
      </c>
      <c r="CN280">
        <v>1</v>
      </c>
      <c r="CO280">
        <v>4055493.2</v>
      </c>
      <c r="CP280">
        <v>50733.05</v>
      </c>
      <c r="CQ280" t="s">
        <v>145</v>
      </c>
      <c r="CR280">
        <v>50732.390460000002</v>
      </c>
      <c r="CS280">
        <v>2.9298999999999999</v>
      </c>
      <c r="CT280">
        <v>45</v>
      </c>
      <c r="CU280" t="s">
        <v>171</v>
      </c>
      <c r="CV280" t="s">
        <v>369</v>
      </c>
      <c r="CW280">
        <v>319</v>
      </c>
    </row>
    <row r="281" spans="1:101" x14ac:dyDescent="0.2">
      <c r="A281" t="s">
        <v>106</v>
      </c>
      <c r="B281" s="46">
        <v>44933</v>
      </c>
      <c r="C281" t="s">
        <v>1217</v>
      </c>
      <c r="D281" t="s">
        <v>108</v>
      </c>
      <c r="E281" t="s">
        <v>1218</v>
      </c>
      <c r="F281" t="s">
        <v>110</v>
      </c>
      <c r="G281" t="s">
        <v>111</v>
      </c>
      <c r="H281" t="s">
        <v>112</v>
      </c>
      <c r="I281" t="s">
        <v>112</v>
      </c>
      <c r="J281" t="s">
        <v>112</v>
      </c>
      <c r="K281" t="s">
        <v>150</v>
      </c>
      <c r="L281" t="s">
        <v>1060</v>
      </c>
      <c r="M281" t="s">
        <v>112</v>
      </c>
      <c r="N281" t="s">
        <v>112</v>
      </c>
      <c r="O281">
        <v>1</v>
      </c>
      <c r="P281">
        <v>0</v>
      </c>
      <c r="Q281">
        <v>1</v>
      </c>
      <c r="R281">
        <v>33</v>
      </c>
      <c r="S281" t="s">
        <v>166</v>
      </c>
      <c r="T281" t="s">
        <v>152</v>
      </c>
      <c r="U281" t="s">
        <v>153</v>
      </c>
      <c r="V281" t="s">
        <v>154</v>
      </c>
      <c r="W281" t="s">
        <v>119</v>
      </c>
      <c r="X281" t="s">
        <v>112</v>
      </c>
      <c r="Y281" t="s">
        <v>166</v>
      </c>
      <c r="Z281" t="s">
        <v>152</v>
      </c>
      <c r="AA281" t="s">
        <v>153</v>
      </c>
      <c r="AB281" t="s">
        <v>154</v>
      </c>
      <c r="AC281" t="s">
        <v>119</v>
      </c>
      <c r="AD281" t="s">
        <v>112</v>
      </c>
      <c r="AE281" t="s">
        <v>121</v>
      </c>
      <c r="AF281" t="s">
        <v>122</v>
      </c>
      <c r="AG281">
        <v>4089136.81</v>
      </c>
      <c r="AH281" t="s">
        <v>166</v>
      </c>
      <c r="AI281" t="s">
        <v>152</v>
      </c>
      <c r="AJ281" t="s">
        <v>153</v>
      </c>
      <c r="AK281" t="s">
        <v>154</v>
      </c>
      <c r="AL281" t="s">
        <v>119</v>
      </c>
      <c r="AM281" t="s">
        <v>112</v>
      </c>
      <c r="AN281" t="s">
        <v>121</v>
      </c>
      <c r="AO281" t="s">
        <v>122</v>
      </c>
      <c r="AP281" t="s">
        <v>122</v>
      </c>
      <c r="AQ281" t="s">
        <v>124</v>
      </c>
      <c r="AR281" t="s">
        <v>125</v>
      </c>
      <c r="AS281">
        <v>2</v>
      </c>
      <c r="AT281" t="s">
        <v>126</v>
      </c>
      <c r="AU281" t="s">
        <v>155</v>
      </c>
      <c r="AV281" t="s">
        <v>156</v>
      </c>
      <c r="AW281">
        <v>1</v>
      </c>
      <c r="AX281" t="s">
        <v>129</v>
      </c>
      <c r="AY281">
        <v>42625.279999999999</v>
      </c>
      <c r="AZ281">
        <v>3686929</v>
      </c>
      <c r="BA281">
        <v>51153.919999999998</v>
      </c>
      <c r="BB281">
        <v>86.496300000000005</v>
      </c>
      <c r="BC281" t="s">
        <v>130</v>
      </c>
      <c r="BD281" t="s">
        <v>112</v>
      </c>
      <c r="BE281" t="s">
        <v>157</v>
      </c>
      <c r="BF281" t="s">
        <v>133</v>
      </c>
      <c r="BG281" t="s">
        <v>134</v>
      </c>
      <c r="BH281" t="s">
        <v>112</v>
      </c>
      <c r="BI281" t="s">
        <v>112</v>
      </c>
      <c r="BJ281" t="s">
        <v>112</v>
      </c>
      <c r="BK281" t="s">
        <v>169</v>
      </c>
      <c r="BL281" t="s">
        <v>159</v>
      </c>
      <c r="BM281" t="s">
        <v>722</v>
      </c>
      <c r="BN281" t="s">
        <v>161</v>
      </c>
      <c r="BO281">
        <v>1</v>
      </c>
      <c r="BP281" t="s">
        <v>205</v>
      </c>
      <c r="BR281" t="s">
        <v>150</v>
      </c>
      <c r="BS281">
        <v>33</v>
      </c>
      <c r="BT281">
        <v>0</v>
      </c>
      <c r="BU281">
        <v>0</v>
      </c>
      <c r="BW281">
        <v>0</v>
      </c>
      <c r="BY281" t="s">
        <v>106</v>
      </c>
      <c r="BZ281" t="s">
        <v>142</v>
      </c>
      <c r="CA281" t="s">
        <v>112</v>
      </c>
      <c r="CB281" t="s">
        <v>112</v>
      </c>
      <c r="CC281" t="s">
        <v>121</v>
      </c>
      <c r="CD281">
        <v>16444.5</v>
      </c>
      <c r="CE281" t="s">
        <v>144</v>
      </c>
      <c r="CF281">
        <v>4000000</v>
      </c>
      <c r="CG281">
        <v>16401.3</v>
      </c>
      <c r="CH281">
        <v>0</v>
      </c>
      <c r="CI281" t="s">
        <v>112</v>
      </c>
      <c r="CJ281" t="s">
        <v>112</v>
      </c>
      <c r="CK281">
        <v>42625.279999999999</v>
      </c>
      <c r="CL281">
        <v>3686929</v>
      </c>
      <c r="CM281">
        <v>0</v>
      </c>
      <c r="CN281">
        <v>1</v>
      </c>
      <c r="CO281">
        <v>4089136.81</v>
      </c>
      <c r="CP281">
        <v>51153.919999999998</v>
      </c>
      <c r="CQ281" t="s">
        <v>145</v>
      </c>
      <c r="CR281">
        <v>51154.014569999999</v>
      </c>
      <c r="CS281">
        <v>3.1189</v>
      </c>
      <c r="CT281">
        <v>45</v>
      </c>
      <c r="CU281" t="s">
        <v>171</v>
      </c>
      <c r="CV281" t="s">
        <v>369</v>
      </c>
      <c r="CW281">
        <v>343</v>
      </c>
    </row>
    <row r="282" spans="1:101" x14ac:dyDescent="0.2">
      <c r="A282" t="s">
        <v>106</v>
      </c>
      <c r="B282" s="46">
        <v>45086</v>
      </c>
      <c r="C282" t="s">
        <v>698</v>
      </c>
      <c r="D282" t="s">
        <v>108</v>
      </c>
      <c r="E282" t="s">
        <v>699</v>
      </c>
      <c r="F282" t="s">
        <v>110</v>
      </c>
      <c r="G282" t="s">
        <v>111</v>
      </c>
      <c r="H282" t="s">
        <v>112</v>
      </c>
      <c r="I282" t="s">
        <v>112</v>
      </c>
      <c r="J282" t="s">
        <v>112</v>
      </c>
      <c r="K282" t="s">
        <v>150</v>
      </c>
      <c r="L282" t="s">
        <v>151</v>
      </c>
      <c r="M282" t="s">
        <v>112</v>
      </c>
      <c r="N282" t="s">
        <v>112</v>
      </c>
      <c r="O282">
        <v>1</v>
      </c>
      <c r="Q282">
        <v>1</v>
      </c>
      <c r="R282">
        <v>33</v>
      </c>
      <c r="S282" t="s">
        <v>166</v>
      </c>
      <c r="T282" t="s">
        <v>152</v>
      </c>
      <c r="U282" t="s">
        <v>153</v>
      </c>
      <c r="V282" t="s">
        <v>154</v>
      </c>
      <c r="W282" t="s">
        <v>119</v>
      </c>
      <c r="X282" t="s">
        <v>112</v>
      </c>
      <c r="Y282" t="s">
        <v>166</v>
      </c>
      <c r="Z282" t="s">
        <v>152</v>
      </c>
      <c r="AA282" t="s">
        <v>153</v>
      </c>
      <c r="AB282" t="s">
        <v>154</v>
      </c>
      <c r="AC282" t="s">
        <v>119</v>
      </c>
      <c r="AD282" t="s">
        <v>112</v>
      </c>
      <c r="AE282" t="s">
        <v>121</v>
      </c>
      <c r="AF282" t="s">
        <v>122</v>
      </c>
      <c r="AG282">
        <v>4176294.94</v>
      </c>
      <c r="AH282" t="s">
        <v>166</v>
      </c>
      <c r="AI282" t="s">
        <v>152</v>
      </c>
      <c r="AJ282" t="s">
        <v>153</v>
      </c>
      <c r="AK282" t="s">
        <v>154</v>
      </c>
      <c r="AL282" t="s">
        <v>119</v>
      </c>
      <c r="AM282" t="s">
        <v>112</v>
      </c>
      <c r="AN282" t="s">
        <v>121</v>
      </c>
      <c r="AO282" t="s">
        <v>122</v>
      </c>
      <c r="AP282" t="s">
        <v>122</v>
      </c>
      <c r="AQ282" t="s">
        <v>124</v>
      </c>
      <c r="AR282" t="s">
        <v>125</v>
      </c>
      <c r="AS282">
        <v>2</v>
      </c>
      <c r="AT282" t="s">
        <v>126</v>
      </c>
      <c r="AU282" t="s">
        <v>155</v>
      </c>
      <c r="AV282" t="s">
        <v>156</v>
      </c>
      <c r="AW282">
        <v>1</v>
      </c>
      <c r="AX282" t="s">
        <v>129</v>
      </c>
      <c r="AY282">
        <v>45986.82</v>
      </c>
      <c r="AZ282">
        <v>3815388</v>
      </c>
      <c r="BA282">
        <v>54268.54</v>
      </c>
      <c r="BB282">
        <v>82.966999999999999</v>
      </c>
      <c r="BC282" t="s">
        <v>130</v>
      </c>
      <c r="BD282" t="s">
        <v>112</v>
      </c>
      <c r="BE282" t="s">
        <v>157</v>
      </c>
      <c r="BF282" t="s">
        <v>133</v>
      </c>
      <c r="BG282" t="s">
        <v>134</v>
      </c>
      <c r="BH282" t="s">
        <v>112</v>
      </c>
      <c r="BI282" t="s">
        <v>112</v>
      </c>
      <c r="BJ282" t="s">
        <v>112</v>
      </c>
      <c r="BK282" t="s">
        <v>169</v>
      </c>
      <c r="BL282" t="s">
        <v>159</v>
      </c>
      <c r="BM282" t="s">
        <v>212</v>
      </c>
      <c r="BN282" t="s">
        <v>161</v>
      </c>
      <c r="BO282">
        <v>1</v>
      </c>
      <c r="BP282" t="s">
        <v>700</v>
      </c>
      <c r="BR282" t="s">
        <v>150</v>
      </c>
      <c r="BS282">
        <v>33</v>
      </c>
      <c r="BY282" t="s">
        <v>106</v>
      </c>
      <c r="BZ282" t="s">
        <v>142</v>
      </c>
      <c r="CA282" t="s">
        <v>112</v>
      </c>
      <c r="CB282" t="s">
        <v>112</v>
      </c>
      <c r="CC282" t="s">
        <v>121</v>
      </c>
      <c r="CD282">
        <v>16627.07</v>
      </c>
      <c r="CE282" t="s">
        <v>144</v>
      </c>
      <c r="CF282">
        <v>4000000</v>
      </c>
      <c r="CG282">
        <v>16627.07</v>
      </c>
      <c r="CI282" t="s">
        <v>112</v>
      </c>
      <c r="CJ282" t="s">
        <v>112</v>
      </c>
      <c r="CK282">
        <v>45986.82</v>
      </c>
      <c r="CL282">
        <v>3815388</v>
      </c>
      <c r="CM282">
        <v>0</v>
      </c>
      <c r="CN282">
        <v>1</v>
      </c>
      <c r="CO282">
        <v>4176294.94</v>
      </c>
      <c r="CP282">
        <v>54268.54</v>
      </c>
      <c r="CQ282" t="s">
        <v>145</v>
      </c>
      <c r="CR282">
        <v>54269.093773000001</v>
      </c>
      <c r="CS282">
        <v>3.2639</v>
      </c>
      <c r="CT282">
        <v>45</v>
      </c>
      <c r="CU282" t="s">
        <v>171</v>
      </c>
      <c r="CV282" t="s">
        <v>372</v>
      </c>
      <c r="CW282">
        <v>552</v>
      </c>
    </row>
    <row r="283" spans="1:101" x14ac:dyDescent="0.2">
      <c r="A283" t="s">
        <v>106</v>
      </c>
      <c r="B283" s="46">
        <v>45283</v>
      </c>
      <c r="C283" t="s">
        <v>710</v>
      </c>
      <c r="D283" t="s">
        <v>108</v>
      </c>
      <c r="E283" t="s">
        <v>711</v>
      </c>
      <c r="F283" t="s">
        <v>110</v>
      </c>
      <c r="G283" t="s">
        <v>111</v>
      </c>
      <c r="H283" t="s">
        <v>112</v>
      </c>
      <c r="I283" t="s">
        <v>112</v>
      </c>
      <c r="J283" t="s">
        <v>112</v>
      </c>
      <c r="K283" t="s">
        <v>150</v>
      </c>
      <c r="L283" t="s">
        <v>151</v>
      </c>
      <c r="M283" t="s">
        <v>112</v>
      </c>
      <c r="N283" t="s">
        <v>112</v>
      </c>
      <c r="O283">
        <v>1</v>
      </c>
      <c r="P283">
        <v>0</v>
      </c>
      <c r="Q283">
        <v>1</v>
      </c>
      <c r="R283">
        <v>33</v>
      </c>
      <c r="S283" t="s">
        <v>166</v>
      </c>
      <c r="T283" t="s">
        <v>152</v>
      </c>
      <c r="U283" t="s">
        <v>153</v>
      </c>
      <c r="V283" t="s">
        <v>154</v>
      </c>
      <c r="W283" t="s">
        <v>119</v>
      </c>
      <c r="X283" t="s">
        <v>112</v>
      </c>
      <c r="Y283" t="s">
        <v>166</v>
      </c>
      <c r="Z283" t="s">
        <v>152</v>
      </c>
      <c r="AA283" t="s">
        <v>153</v>
      </c>
      <c r="AB283" t="s">
        <v>154</v>
      </c>
      <c r="AC283" t="s">
        <v>119</v>
      </c>
      <c r="AD283" t="s">
        <v>112</v>
      </c>
      <c r="AE283" t="s">
        <v>121</v>
      </c>
      <c r="AF283" t="s">
        <v>122</v>
      </c>
      <c r="AG283">
        <v>3763816.21</v>
      </c>
      <c r="AH283" t="s">
        <v>166</v>
      </c>
      <c r="AI283" t="s">
        <v>152</v>
      </c>
      <c r="AJ283" t="s">
        <v>153</v>
      </c>
      <c r="AK283" t="s">
        <v>154</v>
      </c>
      <c r="AL283" t="s">
        <v>119</v>
      </c>
      <c r="AM283" t="s">
        <v>112</v>
      </c>
      <c r="AN283" t="s">
        <v>121</v>
      </c>
      <c r="AO283" t="s">
        <v>122</v>
      </c>
      <c r="AP283" t="s">
        <v>122</v>
      </c>
      <c r="AQ283" t="s">
        <v>124</v>
      </c>
      <c r="AR283" t="s">
        <v>125</v>
      </c>
      <c r="AS283">
        <v>2</v>
      </c>
      <c r="AT283" t="s">
        <v>126</v>
      </c>
      <c r="AU283" t="s">
        <v>155</v>
      </c>
      <c r="AV283" t="s">
        <v>156</v>
      </c>
      <c r="AW283">
        <v>1</v>
      </c>
      <c r="AX283" t="s">
        <v>129</v>
      </c>
      <c r="AY283">
        <v>41015.22</v>
      </c>
      <c r="AZ283">
        <v>3402910</v>
      </c>
      <c r="BA283">
        <v>48908.61</v>
      </c>
      <c r="BB283">
        <v>82.966999999999999</v>
      </c>
      <c r="BC283" t="s">
        <v>130</v>
      </c>
      <c r="BD283" t="s">
        <v>112</v>
      </c>
      <c r="BE283" t="s">
        <v>157</v>
      </c>
      <c r="BF283" t="s">
        <v>133</v>
      </c>
      <c r="BG283" t="s">
        <v>134</v>
      </c>
      <c r="BH283" t="s">
        <v>112</v>
      </c>
      <c r="BI283" t="s">
        <v>112</v>
      </c>
      <c r="BJ283" t="s">
        <v>112</v>
      </c>
      <c r="BK283" t="s">
        <v>169</v>
      </c>
      <c r="BL283" t="s">
        <v>159</v>
      </c>
      <c r="BM283" t="s">
        <v>212</v>
      </c>
      <c r="BN283" t="s">
        <v>161</v>
      </c>
      <c r="BO283">
        <v>1</v>
      </c>
      <c r="BP283" t="s">
        <v>579</v>
      </c>
      <c r="BR283" t="s">
        <v>150</v>
      </c>
      <c r="BS283">
        <v>33</v>
      </c>
      <c r="BT283">
        <v>0</v>
      </c>
      <c r="BU283">
        <v>0</v>
      </c>
      <c r="BW283">
        <v>0</v>
      </c>
      <c r="BY283" t="s">
        <v>106</v>
      </c>
      <c r="BZ283" t="s">
        <v>142</v>
      </c>
      <c r="CA283" t="s">
        <v>112</v>
      </c>
      <c r="CB283" t="s">
        <v>112</v>
      </c>
      <c r="CC283" t="s">
        <v>121</v>
      </c>
      <c r="CD283">
        <v>16083.75</v>
      </c>
      <c r="CE283" t="s">
        <v>144</v>
      </c>
      <c r="CF283">
        <v>4000000</v>
      </c>
      <c r="CG283">
        <v>15885.15</v>
      </c>
      <c r="CH283">
        <v>0</v>
      </c>
      <c r="CI283" t="s">
        <v>112</v>
      </c>
      <c r="CJ283" t="s">
        <v>112</v>
      </c>
      <c r="CK283">
        <v>41015.22</v>
      </c>
      <c r="CL283">
        <v>3402910</v>
      </c>
      <c r="CM283">
        <v>0</v>
      </c>
      <c r="CN283">
        <v>1</v>
      </c>
      <c r="CO283">
        <v>3763816.21</v>
      </c>
      <c r="CP283">
        <v>48908.61</v>
      </c>
      <c r="CQ283" t="s">
        <v>145</v>
      </c>
      <c r="CR283">
        <v>48908.788334999997</v>
      </c>
      <c r="CS283">
        <v>3.0789</v>
      </c>
      <c r="CT283">
        <v>45</v>
      </c>
      <c r="CU283" t="s">
        <v>171</v>
      </c>
      <c r="CV283" t="s">
        <v>172</v>
      </c>
      <c r="CW283">
        <v>319</v>
      </c>
    </row>
    <row r="284" spans="1:101" x14ac:dyDescent="0.2">
      <c r="A284" t="s">
        <v>106</v>
      </c>
      <c r="B284" s="46">
        <v>44995</v>
      </c>
      <c r="C284" t="s">
        <v>705</v>
      </c>
      <c r="D284" t="s">
        <v>108</v>
      </c>
      <c r="E284" t="s">
        <v>706</v>
      </c>
      <c r="F284" t="s">
        <v>110</v>
      </c>
      <c r="G284" t="s">
        <v>111</v>
      </c>
      <c r="H284" t="s">
        <v>112</v>
      </c>
      <c r="I284" t="s">
        <v>112</v>
      </c>
      <c r="J284" t="s">
        <v>112</v>
      </c>
      <c r="K284" t="s">
        <v>150</v>
      </c>
      <c r="L284" t="s">
        <v>151</v>
      </c>
      <c r="M284" t="s">
        <v>112</v>
      </c>
      <c r="N284" t="s">
        <v>112</v>
      </c>
      <c r="O284">
        <v>1</v>
      </c>
      <c r="P284">
        <v>0</v>
      </c>
      <c r="Q284">
        <v>1</v>
      </c>
      <c r="R284">
        <v>33</v>
      </c>
      <c r="S284" t="s">
        <v>166</v>
      </c>
      <c r="T284" t="s">
        <v>152</v>
      </c>
      <c r="U284" t="s">
        <v>153</v>
      </c>
      <c r="V284" t="s">
        <v>154</v>
      </c>
      <c r="W284" t="s">
        <v>119</v>
      </c>
      <c r="X284" t="s">
        <v>112</v>
      </c>
      <c r="Y284" t="s">
        <v>166</v>
      </c>
      <c r="Z284" t="s">
        <v>152</v>
      </c>
      <c r="AA284" t="s">
        <v>153</v>
      </c>
      <c r="AB284" t="s">
        <v>154</v>
      </c>
      <c r="AC284" t="s">
        <v>119</v>
      </c>
      <c r="AD284" t="s">
        <v>112</v>
      </c>
      <c r="AE284" t="s">
        <v>121</v>
      </c>
      <c r="AF284" t="s">
        <v>122</v>
      </c>
      <c r="AG284">
        <v>4158943.23</v>
      </c>
      <c r="AH284" t="s">
        <v>166</v>
      </c>
      <c r="AI284" t="s">
        <v>152</v>
      </c>
      <c r="AJ284" t="s">
        <v>153</v>
      </c>
      <c r="AK284" t="s">
        <v>154</v>
      </c>
      <c r="AL284" t="s">
        <v>119</v>
      </c>
      <c r="AM284" t="s">
        <v>112</v>
      </c>
      <c r="AN284" t="s">
        <v>121</v>
      </c>
      <c r="AO284" t="s">
        <v>122</v>
      </c>
      <c r="AP284" t="s">
        <v>122</v>
      </c>
      <c r="AQ284" t="s">
        <v>124</v>
      </c>
      <c r="AR284" t="s">
        <v>125</v>
      </c>
      <c r="AS284">
        <v>2</v>
      </c>
      <c r="AT284" t="s">
        <v>126</v>
      </c>
      <c r="AU284" t="s">
        <v>155</v>
      </c>
      <c r="AV284" t="s">
        <v>156</v>
      </c>
      <c r="AW284">
        <v>1</v>
      </c>
      <c r="AX284" t="s">
        <v>129</v>
      </c>
      <c r="AY284">
        <v>45277.68</v>
      </c>
      <c r="AZ284">
        <v>3756553</v>
      </c>
      <c r="BA284">
        <v>54043.06</v>
      </c>
      <c r="BB284">
        <v>82.966999999999999</v>
      </c>
      <c r="BC284" t="s">
        <v>130</v>
      </c>
      <c r="BD284" t="s">
        <v>112</v>
      </c>
      <c r="BE284" t="s">
        <v>157</v>
      </c>
      <c r="BF284" t="s">
        <v>133</v>
      </c>
      <c r="BG284" t="s">
        <v>134</v>
      </c>
      <c r="BH284" t="s">
        <v>112</v>
      </c>
      <c r="BI284" t="s">
        <v>112</v>
      </c>
      <c r="BJ284" t="s">
        <v>112</v>
      </c>
      <c r="BK284" t="s">
        <v>169</v>
      </c>
      <c r="BL284" t="s">
        <v>159</v>
      </c>
      <c r="BM284" t="s">
        <v>212</v>
      </c>
      <c r="BN284" t="s">
        <v>161</v>
      </c>
      <c r="BO284">
        <v>1</v>
      </c>
      <c r="BP284" t="s">
        <v>707</v>
      </c>
      <c r="BR284" t="s">
        <v>150</v>
      </c>
      <c r="BS284">
        <v>33</v>
      </c>
      <c r="BT284">
        <v>0</v>
      </c>
      <c r="BU284">
        <v>0</v>
      </c>
      <c r="BW284">
        <v>0</v>
      </c>
      <c r="BY284" t="s">
        <v>106</v>
      </c>
      <c r="BZ284" t="s">
        <v>142</v>
      </c>
      <c r="CA284" t="s">
        <v>112</v>
      </c>
      <c r="CB284" t="s">
        <v>112</v>
      </c>
      <c r="CC284" t="s">
        <v>121</v>
      </c>
      <c r="CD284">
        <v>16728.98</v>
      </c>
      <c r="CE284" t="s">
        <v>144</v>
      </c>
      <c r="CF284">
        <v>4000000</v>
      </c>
      <c r="CG284">
        <v>16692.98</v>
      </c>
      <c r="CH284">
        <v>0</v>
      </c>
      <c r="CI284" t="s">
        <v>112</v>
      </c>
      <c r="CJ284" t="s">
        <v>112</v>
      </c>
      <c r="CK284">
        <v>45277.68</v>
      </c>
      <c r="CL284">
        <v>3756553</v>
      </c>
      <c r="CM284">
        <v>0</v>
      </c>
      <c r="CN284">
        <v>1</v>
      </c>
      <c r="CO284">
        <v>4158943.23</v>
      </c>
      <c r="CP284">
        <v>54043.06</v>
      </c>
      <c r="CQ284" t="s">
        <v>145</v>
      </c>
      <c r="CR284">
        <v>54043.522749999996</v>
      </c>
      <c r="CS284">
        <v>3.2374999999999998</v>
      </c>
      <c r="CT284">
        <v>45</v>
      </c>
      <c r="CU284" t="s">
        <v>171</v>
      </c>
      <c r="CV284" t="s">
        <v>369</v>
      </c>
      <c r="CW284">
        <v>300</v>
      </c>
    </row>
    <row r="285" spans="1:101" x14ac:dyDescent="0.2">
      <c r="A285" t="s">
        <v>106</v>
      </c>
      <c r="B285" s="46">
        <v>45127</v>
      </c>
      <c r="C285" t="s">
        <v>708</v>
      </c>
      <c r="D285" t="s">
        <v>108</v>
      </c>
      <c r="E285" t="s">
        <v>709</v>
      </c>
      <c r="F285" t="s">
        <v>110</v>
      </c>
      <c r="G285" t="s">
        <v>111</v>
      </c>
      <c r="H285" t="s">
        <v>112</v>
      </c>
      <c r="I285" t="s">
        <v>112</v>
      </c>
      <c r="J285" t="s">
        <v>112</v>
      </c>
      <c r="K285" t="s">
        <v>150</v>
      </c>
      <c r="L285" t="s">
        <v>151</v>
      </c>
      <c r="M285" t="s">
        <v>112</v>
      </c>
      <c r="N285" t="s">
        <v>112</v>
      </c>
      <c r="O285">
        <v>1</v>
      </c>
      <c r="P285">
        <v>0</v>
      </c>
      <c r="Q285">
        <v>1</v>
      </c>
      <c r="R285">
        <v>33</v>
      </c>
      <c r="S285" t="s">
        <v>166</v>
      </c>
      <c r="T285" t="s">
        <v>152</v>
      </c>
      <c r="U285" t="s">
        <v>153</v>
      </c>
      <c r="V285" t="s">
        <v>154</v>
      </c>
      <c r="W285" t="s">
        <v>119</v>
      </c>
      <c r="X285" t="s">
        <v>112</v>
      </c>
      <c r="Y285" t="s">
        <v>166</v>
      </c>
      <c r="Z285" t="s">
        <v>152</v>
      </c>
      <c r="AA285" t="s">
        <v>153</v>
      </c>
      <c r="AB285" t="s">
        <v>154</v>
      </c>
      <c r="AC285" t="s">
        <v>119</v>
      </c>
      <c r="AD285" t="s">
        <v>112</v>
      </c>
      <c r="AE285" t="s">
        <v>121</v>
      </c>
      <c r="AF285" t="s">
        <v>122</v>
      </c>
      <c r="AG285">
        <v>3494122.02</v>
      </c>
      <c r="AH285" t="s">
        <v>166</v>
      </c>
      <c r="AI285" t="s">
        <v>152</v>
      </c>
      <c r="AJ285" t="s">
        <v>153</v>
      </c>
      <c r="AK285" t="s">
        <v>154</v>
      </c>
      <c r="AL285" t="s">
        <v>119</v>
      </c>
      <c r="AM285" t="s">
        <v>112</v>
      </c>
      <c r="AN285" t="s">
        <v>121</v>
      </c>
      <c r="AO285" t="s">
        <v>122</v>
      </c>
      <c r="AP285" t="s">
        <v>122</v>
      </c>
      <c r="AQ285" t="s">
        <v>124</v>
      </c>
      <c r="AR285" t="s">
        <v>125</v>
      </c>
      <c r="AS285">
        <v>2</v>
      </c>
      <c r="AT285" t="s">
        <v>126</v>
      </c>
      <c r="AU285" t="s">
        <v>155</v>
      </c>
      <c r="AV285" t="s">
        <v>156</v>
      </c>
      <c r="AW285">
        <v>1</v>
      </c>
      <c r="AX285" t="s">
        <v>129</v>
      </c>
      <c r="AY285">
        <v>37764.6</v>
      </c>
      <c r="AZ285">
        <v>3133216</v>
      </c>
      <c r="BA285">
        <v>45404.09</v>
      </c>
      <c r="BB285">
        <v>82.966999999999999</v>
      </c>
      <c r="BC285" t="s">
        <v>130</v>
      </c>
      <c r="BD285" t="s">
        <v>112</v>
      </c>
      <c r="BE285" t="s">
        <v>157</v>
      </c>
      <c r="BF285" t="s">
        <v>133</v>
      </c>
      <c r="BG285" t="s">
        <v>167</v>
      </c>
      <c r="BH285" t="s">
        <v>168</v>
      </c>
      <c r="BI285" t="s">
        <v>112</v>
      </c>
      <c r="BJ285" t="s">
        <v>112</v>
      </c>
      <c r="BK285" t="s">
        <v>169</v>
      </c>
      <c r="BL285" t="s">
        <v>159</v>
      </c>
      <c r="BM285" t="s">
        <v>160</v>
      </c>
      <c r="BN285" t="s">
        <v>161</v>
      </c>
      <c r="BO285">
        <v>1</v>
      </c>
      <c r="BP285" t="s">
        <v>213</v>
      </c>
      <c r="BR285" t="s">
        <v>150</v>
      </c>
      <c r="BS285">
        <v>33</v>
      </c>
      <c r="BT285">
        <v>0</v>
      </c>
      <c r="BU285">
        <v>0</v>
      </c>
      <c r="BW285">
        <v>0</v>
      </c>
      <c r="BY285" t="s">
        <v>106</v>
      </c>
      <c r="BZ285" t="s">
        <v>142</v>
      </c>
      <c r="CA285" t="s">
        <v>112</v>
      </c>
      <c r="CB285" t="s">
        <v>112</v>
      </c>
      <c r="CC285" t="s">
        <v>121</v>
      </c>
      <c r="CD285">
        <v>15659.46</v>
      </c>
      <c r="CE285" t="s">
        <v>144</v>
      </c>
      <c r="CF285">
        <v>4000000</v>
      </c>
      <c r="CG285">
        <v>15391.86</v>
      </c>
      <c r="CH285">
        <v>0</v>
      </c>
      <c r="CI285" t="s">
        <v>112</v>
      </c>
      <c r="CJ285" t="s">
        <v>112</v>
      </c>
      <c r="CK285">
        <v>37764.6</v>
      </c>
      <c r="CL285">
        <v>3133216</v>
      </c>
      <c r="CM285">
        <v>0</v>
      </c>
      <c r="CN285">
        <v>1</v>
      </c>
      <c r="CO285">
        <v>3494122.02</v>
      </c>
      <c r="CP285">
        <v>45404.09</v>
      </c>
      <c r="CQ285" t="s">
        <v>145</v>
      </c>
      <c r="CR285">
        <v>45404.447813999999</v>
      </c>
      <c r="CS285">
        <v>2.9499</v>
      </c>
      <c r="CT285">
        <v>45</v>
      </c>
      <c r="CU285" t="s">
        <v>171</v>
      </c>
      <c r="CV285" t="s">
        <v>172</v>
      </c>
      <c r="CW285">
        <v>224</v>
      </c>
    </row>
    <row r="286" spans="1:101" x14ac:dyDescent="0.2">
      <c r="A286" t="s">
        <v>106</v>
      </c>
      <c r="B286" s="46">
        <v>45211</v>
      </c>
      <c r="C286" t="s">
        <v>363</v>
      </c>
      <c r="D286" t="s">
        <v>108</v>
      </c>
      <c r="E286" t="s">
        <v>364</v>
      </c>
      <c r="F286" t="s">
        <v>110</v>
      </c>
      <c r="G286" t="s">
        <v>111</v>
      </c>
      <c r="H286" t="s">
        <v>112</v>
      </c>
      <c r="I286" t="s">
        <v>112</v>
      </c>
      <c r="J286" t="s">
        <v>112</v>
      </c>
      <c r="K286" t="s">
        <v>175</v>
      </c>
      <c r="L286" t="s">
        <v>176</v>
      </c>
      <c r="M286" t="s">
        <v>112</v>
      </c>
      <c r="N286" t="s">
        <v>112</v>
      </c>
      <c r="O286">
        <v>1</v>
      </c>
      <c r="P286">
        <v>0</v>
      </c>
      <c r="Q286">
        <v>1</v>
      </c>
      <c r="R286">
        <v>33</v>
      </c>
      <c r="S286" t="s">
        <v>166</v>
      </c>
      <c r="T286" t="s">
        <v>152</v>
      </c>
      <c r="U286" t="s">
        <v>153</v>
      </c>
      <c r="V286" t="s">
        <v>177</v>
      </c>
      <c r="W286" t="s">
        <v>119</v>
      </c>
      <c r="X286" t="s">
        <v>112</v>
      </c>
      <c r="Y286" t="s">
        <v>166</v>
      </c>
      <c r="Z286" t="s">
        <v>152</v>
      </c>
      <c r="AA286" t="s">
        <v>153</v>
      </c>
      <c r="AB286" t="s">
        <v>177</v>
      </c>
      <c r="AC286" t="s">
        <v>119</v>
      </c>
      <c r="AD286" t="s">
        <v>112</v>
      </c>
      <c r="AE286" t="s">
        <v>121</v>
      </c>
      <c r="AF286" t="s">
        <v>122</v>
      </c>
      <c r="AG286">
        <v>3575170.67</v>
      </c>
      <c r="AH286" t="s">
        <v>166</v>
      </c>
      <c r="AI286" t="s">
        <v>152</v>
      </c>
      <c r="AJ286" t="s">
        <v>153</v>
      </c>
      <c r="AK286" t="s">
        <v>177</v>
      </c>
      <c r="AL286" t="s">
        <v>119</v>
      </c>
      <c r="AM286" t="s">
        <v>112</v>
      </c>
      <c r="AN286" t="s">
        <v>121</v>
      </c>
      <c r="AO286" t="s">
        <v>122</v>
      </c>
      <c r="AP286" t="s">
        <v>122</v>
      </c>
      <c r="AQ286" t="s">
        <v>124</v>
      </c>
      <c r="AR286" t="s">
        <v>125</v>
      </c>
      <c r="AS286">
        <v>2</v>
      </c>
      <c r="AT286" t="s">
        <v>106</v>
      </c>
      <c r="AU286" t="s">
        <v>155</v>
      </c>
      <c r="AV286" t="s">
        <v>156</v>
      </c>
      <c r="AW286">
        <v>1</v>
      </c>
      <c r="AX286" t="s">
        <v>129</v>
      </c>
      <c r="AY286">
        <v>44760.959999999999</v>
      </c>
      <c r="AZ286">
        <v>3327682</v>
      </c>
      <c r="BA286">
        <v>52066.400000000001</v>
      </c>
      <c r="BB286">
        <v>74.343400000000003</v>
      </c>
      <c r="BC286" t="s">
        <v>130</v>
      </c>
      <c r="BD286" t="s">
        <v>112</v>
      </c>
      <c r="BE286" t="s">
        <v>157</v>
      </c>
      <c r="BF286" t="s">
        <v>133</v>
      </c>
      <c r="BG286" t="s">
        <v>134</v>
      </c>
      <c r="BH286" t="s">
        <v>112</v>
      </c>
      <c r="BI286" t="s">
        <v>178</v>
      </c>
      <c r="BJ286" t="s">
        <v>112</v>
      </c>
      <c r="BK286" t="s">
        <v>125</v>
      </c>
      <c r="BL286" t="s">
        <v>179</v>
      </c>
      <c r="BM286" t="s">
        <v>180</v>
      </c>
      <c r="BN286" t="s">
        <v>181</v>
      </c>
      <c r="BO286">
        <v>1</v>
      </c>
      <c r="BP286" t="s">
        <v>365</v>
      </c>
      <c r="BR286" t="s">
        <v>150</v>
      </c>
      <c r="BS286">
        <v>33</v>
      </c>
      <c r="BT286">
        <v>1</v>
      </c>
      <c r="BU286">
        <v>0</v>
      </c>
      <c r="BW286">
        <v>0</v>
      </c>
      <c r="BY286" t="s">
        <v>106</v>
      </c>
      <c r="BZ286" t="s">
        <v>142</v>
      </c>
      <c r="CA286" t="s">
        <v>112</v>
      </c>
      <c r="CB286" t="s">
        <v>112</v>
      </c>
      <c r="CC286" t="s">
        <v>121</v>
      </c>
      <c r="CD286">
        <v>17193.21</v>
      </c>
      <c r="CE286" t="s">
        <v>144</v>
      </c>
      <c r="CF286">
        <v>4000000</v>
      </c>
      <c r="CG286">
        <v>17193.21</v>
      </c>
      <c r="CH286">
        <v>0</v>
      </c>
      <c r="CI286" t="s">
        <v>112</v>
      </c>
      <c r="CJ286" t="s">
        <v>112</v>
      </c>
      <c r="CK286">
        <v>44760.959999999999</v>
      </c>
      <c r="CL286">
        <v>3327682</v>
      </c>
      <c r="CM286">
        <v>0</v>
      </c>
      <c r="CN286">
        <v>1</v>
      </c>
      <c r="CO286">
        <v>3575170.67</v>
      </c>
      <c r="CP286">
        <v>52066.400000000001</v>
      </c>
      <c r="CQ286" t="s">
        <v>145</v>
      </c>
      <c r="CR286">
        <v>52066.197843000002</v>
      </c>
      <c r="CS286">
        <v>3.0283000000000002</v>
      </c>
      <c r="CT286">
        <v>941</v>
      </c>
      <c r="CU286" t="s">
        <v>183</v>
      </c>
      <c r="CV286" t="s">
        <v>147</v>
      </c>
      <c r="CW286">
        <v>201</v>
      </c>
    </row>
    <row r="287" spans="1:101" x14ac:dyDescent="0.2">
      <c r="A287" t="s">
        <v>106</v>
      </c>
      <c r="B287" s="46">
        <v>45011</v>
      </c>
      <c r="C287" t="s">
        <v>471</v>
      </c>
      <c r="D287" t="s">
        <v>108</v>
      </c>
      <c r="E287" t="s">
        <v>472</v>
      </c>
      <c r="F287" t="s">
        <v>110</v>
      </c>
      <c r="G287" t="s">
        <v>111</v>
      </c>
      <c r="H287" t="s">
        <v>112</v>
      </c>
      <c r="I287" t="s">
        <v>112</v>
      </c>
      <c r="J287" t="s">
        <v>112</v>
      </c>
      <c r="K287" t="s">
        <v>150</v>
      </c>
      <c r="L287" t="s">
        <v>151</v>
      </c>
      <c r="M287" t="s">
        <v>112</v>
      </c>
      <c r="N287" t="s">
        <v>112</v>
      </c>
      <c r="O287">
        <v>1</v>
      </c>
      <c r="Q287">
        <v>1</v>
      </c>
      <c r="R287">
        <v>33</v>
      </c>
      <c r="S287" t="s">
        <v>112</v>
      </c>
      <c r="T287" t="s">
        <v>152</v>
      </c>
      <c r="U287" t="s">
        <v>153</v>
      </c>
      <c r="V287" t="s">
        <v>154</v>
      </c>
      <c r="W287" t="s">
        <v>119</v>
      </c>
      <c r="X287" t="s">
        <v>112</v>
      </c>
      <c r="Y287" t="s">
        <v>112</v>
      </c>
      <c r="Z287" t="s">
        <v>152</v>
      </c>
      <c r="AA287" t="s">
        <v>153</v>
      </c>
      <c r="AB287" t="s">
        <v>154</v>
      </c>
      <c r="AC287" t="s">
        <v>119</v>
      </c>
      <c r="AD287" t="s">
        <v>112</v>
      </c>
      <c r="AE287" t="s">
        <v>121</v>
      </c>
      <c r="AF287" t="s">
        <v>122</v>
      </c>
      <c r="AG287">
        <v>3947838.62</v>
      </c>
      <c r="AH287" t="s">
        <v>112</v>
      </c>
      <c r="AI287" t="s">
        <v>152</v>
      </c>
      <c r="AJ287" t="s">
        <v>153</v>
      </c>
      <c r="AK287" t="s">
        <v>154</v>
      </c>
      <c r="AL287" t="s">
        <v>119</v>
      </c>
      <c r="AM287" t="s">
        <v>112</v>
      </c>
      <c r="AN287" t="s">
        <v>121</v>
      </c>
      <c r="AO287" t="s">
        <v>122</v>
      </c>
      <c r="AP287" t="s">
        <v>122</v>
      </c>
      <c r="AQ287" t="s">
        <v>124</v>
      </c>
      <c r="AR287" t="s">
        <v>125</v>
      </c>
      <c r="AS287">
        <v>2</v>
      </c>
      <c r="AT287" t="s">
        <v>126</v>
      </c>
      <c r="AU287" t="s">
        <v>155</v>
      </c>
      <c r="AV287" t="s">
        <v>156</v>
      </c>
      <c r="AX287" t="s">
        <v>129</v>
      </c>
      <c r="AY287">
        <v>35287.56</v>
      </c>
      <c r="BB287">
        <v>100.51130000000001</v>
      </c>
      <c r="BC287" t="s">
        <v>112</v>
      </c>
      <c r="BD287" t="s">
        <v>112</v>
      </c>
      <c r="BE287" t="s">
        <v>157</v>
      </c>
      <c r="BF287" t="s">
        <v>133</v>
      </c>
      <c r="BG287" t="s">
        <v>134</v>
      </c>
      <c r="BH287" t="s">
        <v>112</v>
      </c>
      <c r="BI287" t="s">
        <v>112</v>
      </c>
      <c r="BJ287" t="s">
        <v>112</v>
      </c>
      <c r="BK287" t="s">
        <v>158</v>
      </c>
      <c r="BL287" t="s">
        <v>159</v>
      </c>
      <c r="BM287" t="s">
        <v>212</v>
      </c>
      <c r="BN287" t="s">
        <v>161</v>
      </c>
      <c r="BP287" t="s">
        <v>213</v>
      </c>
      <c r="BR287" t="s">
        <v>150</v>
      </c>
      <c r="BS287">
        <v>33</v>
      </c>
      <c r="BT287">
        <v>0</v>
      </c>
      <c r="BU287">
        <v>0</v>
      </c>
      <c r="BW287">
        <v>0</v>
      </c>
      <c r="BY287" t="s">
        <v>106</v>
      </c>
      <c r="BZ287" t="s">
        <v>142</v>
      </c>
      <c r="CA287" t="s">
        <v>112</v>
      </c>
      <c r="CB287" t="s">
        <v>112</v>
      </c>
      <c r="CC287" t="s">
        <v>121</v>
      </c>
      <c r="CD287">
        <v>17353.91</v>
      </c>
      <c r="CE287" t="s">
        <v>144</v>
      </c>
      <c r="CF287">
        <v>4000000</v>
      </c>
      <c r="CG287">
        <v>17353.91</v>
      </c>
      <c r="CH287">
        <v>0</v>
      </c>
      <c r="CI287" t="s">
        <v>112</v>
      </c>
      <c r="CJ287" t="s">
        <v>112</v>
      </c>
      <c r="CK287">
        <v>35287.56</v>
      </c>
      <c r="CM287">
        <v>0</v>
      </c>
      <c r="CN287">
        <v>1</v>
      </c>
      <c r="CO287">
        <v>3947838.62</v>
      </c>
      <c r="CP287">
        <v>43048.76</v>
      </c>
      <c r="CQ287" t="s">
        <v>145</v>
      </c>
      <c r="CR287">
        <v>43037.696799999998</v>
      </c>
      <c r="CS287">
        <v>2.48</v>
      </c>
      <c r="CT287">
        <v>45</v>
      </c>
      <c r="CV287" t="s">
        <v>163</v>
      </c>
      <c r="CW287">
        <v>221</v>
      </c>
    </row>
    <row r="288" spans="1:101" x14ac:dyDescent="0.2">
      <c r="A288" t="s">
        <v>106</v>
      </c>
      <c r="B288" s="46">
        <v>44620</v>
      </c>
      <c r="C288" t="s">
        <v>496</v>
      </c>
      <c r="D288" t="s">
        <v>108</v>
      </c>
      <c r="E288" t="s">
        <v>497</v>
      </c>
      <c r="F288" t="s">
        <v>110</v>
      </c>
      <c r="G288" t="s">
        <v>111</v>
      </c>
      <c r="H288" t="s">
        <v>112</v>
      </c>
      <c r="I288" t="s">
        <v>112</v>
      </c>
      <c r="J288" t="s">
        <v>112</v>
      </c>
      <c r="K288" t="s">
        <v>150</v>
      </c>
      <c r="L288" t="s">
        <v>151</v>
      </c>
      <c r="M288" t="s">
        <v>112</v>
      </c>
      <c r="N288" t="s">
        <v>112</v>
      </c>
      <c r="O288">
        <v>1</v>
      </c>
      <c r="Q288">
        <v>1</v>
      </c>
      <c r="R288">
        <v>36</v>
      </c>
      <c r="S288" t="s">
        <v>112</v>
      </c>
      <c r="T288" t="s">
        <v>152</v>
      </c>
      <c r="U288" t="s">
        <v>153</v>
      </c>
      <c r="V288" t="s">
        <v>154</v>
      </c>
      <c r="W288" t="s">
        <v>119</v>
      </c>
      <c r="X288" t="s">
        <v>112</v>
      </c>
      <c r="Y288" t="s">
        <v>112</v>
      </c>
      <c r="Z288" t="s">
        <v>152</v>
      </c>
      <c r="AA288" t="s">
        <v>153</v>
      </c>
      <c r="AB288" t="s">
        <v>154</v>
      </c>
      <c r="AC288" t="s">
        <v>119</v>
      </c>
      <c r="AD288" t="s">
        <v>112</v>
      </c>
      <c r="AE288" t="s">
        <v>121</v>
      </c>
      <c r="AF288" t="s">
        <v>122</v>
      </c>
      <c r="AG288">
        <v>5037682.6500000004</v>
      </c>
      <c r="AH288" t="s">
        <v>112</v>
      </c>
      <c r="AI288" t="s">
        <v>152</v>
      </c>
      <c r="AJ288" t="s">
        <v>153</v>
      </c>
      <c r="AK288" t="s">
        <v>154</v>
      </c>
      <c r="AL288" t="s">
        <v>119</v>
      </c>
      <c r="AM288" t="s">
        <v>112</v>
      </c>
      <c r="AN288" t="s">
        <v>121</v>
      </c>
      <c r="AO288" t="s">
        <v>122</v>
      </c>
      <c r="AP288" t="s">
        <v>122</v>
      </c>
      <c r="AQ288" t="s">
        <v>124</v>
      </c>
      <c r="AR288" t="s">
        <v>125</v>
      </c>
      <c r="AS288">
        <v>2</v>
      </c>
      <c r="AT288" t="s">
        <v>126</v>
      </c>
      <c r="AU288" t="s">
        <v>155</v>
      </c>
      <c r="AV288" t="s">
        <v>156</v>
      </c>
      <c r="AX288" t="s">
        <v>129</v>
      </c>
      <c r="AY288">
        <v>46130.559999999998</v>
      </c>
      <c r="BB288">
        <v>100.51130000000001</v>
      </c>
      <c r="BC288" t="s">
        <v>112</v>
      </c>
      <c r="BD288" t="s">
        <v>112</v>
      </c>
      <c r="BE288" t="s">
        <v>157</v>
      </c>
      <c r="BF288" t="s">
        <v>133</v>
      </c>
      <c r="BG288" t="s">
        <v>134</v>
      </c>
      <c r="BH288" t="s">
        <v>112</v>
      </c>
      <c r="BI288" t="s">
        <v>112</v>
      </c>
      <c r="BJ288" t="s">
        <v>112</v>
      </c>
      <c r="BK288" t="s">
        <v>158</v>
      </c>
      <c r="BL288" t="s">
        <v>159</v>
      </c>
      <c r="BM288" t="s">
        <v>212</v>
      </c>
      <c r="BN288" t="s">
        <v>161</v>
      </c>
      <c r="BP288" t="s">
        <v>213</v>
      </c>
      <c r="BR288" t="s">
        <v>150</v>
      </c>
      <c r="BS288">
        <v>36</v>
      </c>
      <c r="BT288">
        <v>0</v>
      </c>
      <c r="BU288">
        <v>0</v>
      </c>
      <c r="BW288">
        <v>0</v>
      </c>
      <c r="BY288" t="s">
        <v>106</v>
      </c>
      <c r="BZ288" t="s">
        <v>142</v>
      </c>
      <c r="CA288" t="s">
        <v>112</v>
      </c>
      <c r="CB288" t="s">
        <v>112</v>
      </c>
      <c r="CC288" t="s">
        <v>121</v>
      </c>
      <c r="CD288">
        <v>19138.13</v>
      </c>
      <c r="CE288" t="s">
        <v>144</v>
      </c>
      <c r="CF288">
        <v>4000000</v>
      </c>
      <c r="CG288">
        <v>19138.13</v>
      </c>
      <c r="CH288">
        <v>0</v>
      </c>
      <c r="CI288" t="s">
        <v>112</v>
      </c>
      <c r="CJ288" t="s">
        <v>112</v>
      </c>
      <c r="CK288">
        <v>46130.559999999998</v>
      </c>
      <c r="CM288">
        <v>0</v>
      </c>
      <c r="CN288">
        <v>1</v>
      </c>
      <c r="CO288">
        <v>5037682.6500000004</v>
      </c>
      <c r="CP288">
        <v>54932.85</v>
      </c>
      <c r="CQ288" t="s">
        <v>145</v>
      </c>
      <c r="CR288">
        <v>54926.433100000002</v>
      </c>
      <c r="CS288">
        <v>2.87</v>
      </c>
      <c r="CT288">
        <v>45</v>
      </c>
      <c r="CV288" t="s">
        <v>233</v>
      </c>
      <c r="CW288">
        <v>150</v>
      </c>
    </row>
    <row r="289" spans="1:101" x14ac:dyDescent="0.2">
      <c r="A289" t="s">
        <v>106</v>
      </c>
      <c r="B289" s="46">
        <v>44658</v>
      </c>
      <c r="C289" t="s">
        <v>275</v>
      </c>
      <c r="D289" t="s">
        <v>108</v>
      </c>
      <c r="E289" t="s">
        <v>276</v>
      </c>
      <c r="F289" t="s">
        <v>110</v>
      </c>
      <c r="G289" t="s">
        <v>111</v>
      </c>
      <c r="H289" t="s">
        <v>112</v>
      </c>
      <c r="I289" t="s">
        <v>112</v>
      </c>
      <c r="J289" t="s">
        <v>112</v>
      </c>
      <c r="K289" t="s">
        <v>150</v>
      </c>
      <c r="L289" t="s">
        <v>151</v>
      </c>
      <c r="M289" t="s">
        <v>112</v>
      </c>
      <c r="N289" t="s">
        <v>112</v>
      </c>
      <c r="O289">
        <v>1</v>
      </c>
      <c r="Q289">
        <v>1</v>
      </c>
      <c r="R289">
        <v>33</v>
      </c>
      <c r="S289" t="s">
        <v>112</v>
      </c>
      <c r="T289" t="s">
        <v>152</v>
      </c>
      <c r="U289" t="s">
        <v>153</v>
      </c>
      <c r="V289" t="s">
        <v>154</v>
      </c>
      <c r="W289" t="s">
        <v>119</v>
      </c>
      <c r="X289" t="s">
        <v>112</v>
      </c>
      <c r="Y289" t="s">
        <v>112</v>
      </c>
      <c r="Z289" t="s">
        <v>152</v>
      </c>
      <c r="AA289" t="s">
        <v>153</v>
      </c>
      <c r="AB289" t="s">
        <v>154</v>
      </c>
      <c r="AC289" t="s">
        <v>119</v>
      </c>
      <c r="AD289" t="s">
        <v>112</v>
      </c>
      <c r="AE289" t="s">
        <v>121</v>
      </c>
      <c r="AF289" t="s">
        <v>122</v>
      </c>
      <c r="AG289">
        <v>4185998.13</v>
      </c>
      <c r="AH289" t="s">
        <v>112</v>
      </c>
      <c r="AI289" t="s">
        <v>152</v>
      </c>
      <c r="AJ289" t="s">
        <v>153</v>
      </c>
      <c r="AK289" t="s">
        <v>154</v>
      </c>
      <c r="AL289" t="s">
        <v>119</v>
      </c>
      <c r="AM289" t="s">
        <v>112</v>
      </c>
      <c r="AN289" t="s">
        <v>121</v>
      </c>
      <c r="AO289" t="s">
        <v>122</v>
      </c>
      <c r="AP289" t="s">
        <v>122</v>
      </c>
      <c r="AQ289" t="s">
        <v>124</v>
      </c>
      <c r="AR289" t="s">
        <v>125</v>
      </c>
      <c r="AS289">
        <v>2</v>
      </c>
      <c r="AT289" t="s">
        <v>126</v>
      </c>
      <c r="AU289" t="s">
        <v>155</v>
      </c>
      <c r="AV289" t="s">
        <v>156</v>
      </c>
      <c r="AX289" t="s">
        <v>129</v>
      </c>
      <c r="AY289">
        <v>37657.040000000001</v>
      </c>
      <c r="BB289">
        <v>100.51130000000001</v>
      </c>
      <c r="BC289" t="s">
        <v>112</v>
      </c>
      <c r="BD289" t="s">
        <v>112</v>
      </c>
      <c r="BE289" t="s">
        <v>157</v>
      </c>
      <c r="BF289" t="s">
        <v>133</v>
      </c>
      <c r="BG289" t="s">
        <v>134</v>
      </c>
      <c r="BH289" t="s">
        <v>112</v>
      </c>
      <c r="BI289" t="s">
        <v>112</v>
      </c>
      <c r="BJ289" t="s">
        <v>112</v>
      </c>
      <c r="BK289" t="s">
        <v>158</v>
      </c>
      <c r="BL289" t="s">
        <v>159</v>
      </c>
      <c r="BM289" t="s">
        <v>212</v>
      </c>
      <c r="BN289" t="s">
        <v>161</v>
      </c>
      <c r="BP289" t="s">
        <v>162</v>
      </c>
      <c r="BR289" t="s">
        <v>150</v>
      </c>
      <c r="BS289">
        <v>33</v>
      </c>
      <c r="BT289">
        <v>0</v>
      </c>
      <c r="BU289">
        <v>0</v>
      </c>
      <c r="BW289">
        <v>0</v>
      </c>
      <c r="BY289" t="s">
        <v>106</v>
      </c>
      <c r="BZ289" t="s">
        <v>142</v>
      </c>
      <c r="CA289" t="s">
        <v>112</v>
      </c>
      <c r="CB289" t="s">
        <v>112</v>
      </c>
      <c r="CC289" t="s">
        <v>121</v>
      </c>
      <c r="CD289">
        <v>17221.919999999998</v>
      </c>
      <c r="CE289" t="s">
        <v>144</v>
      </c>
      <c r="CF289">
        <v>4000000</v>
      </c>
      <c r="CG289">
        <v>17203.919999999998</v>
      </c>
      <c r="CH289">
        <v>0</v>
      </c>
      <c r="CI289" t="s">
        <v>112</v>
      </c>
      <c r="CJ289" t="s">
        <v>112</v>
      </c>
      <c r="CK289">
        <v>37657.040000000001</v>
      </c>
      <c r="CM289">
        <v>0</v>
      </c>
      <c r="CN289">
        <v>1</v>
      </c>
      <c r="CO289">
        <v>4185998.13</v>
      </c>
      <c r="CP289">
        <v>45645.75</v>
      </c>
      <c r="CQ289" t="s">
        <v>145</v>
      </c>
      <c r="CR289">
        <v>45590.387999999992</v>
      </c>
      <c r="CS289">
        <v>2.65</v>
      </c>
      <c r="CT289">
        <v>45</v>
      </c>
      <c r="CV289" t="s">
        <v>163</v>
      </c>
      <c r="CW289">
        <v>128</v>
      </c>
    </row>
    <row r="290" spans="1:101" x14ac:dyDescent="0.2">
      <c r="A290" t="s">
        <v>106</v>
      </c>
      <c r="B290" s="46">
        <v>45161</v>
      </c>
      <c r="C290" t="s">
        <v>346</v>
      </c>
      <c r="D290" t="s">
        <v>108</v>
      </c>
      <c r="E290" t="s">
        <v>347</v>
      </c>
      <c r="F290" t="s">
        <v>110</v>
      </c>
      <c r="G290" t="s">
        <v>111</v>
      </c>
      <c r="H290" t="s">
        <v>112</v>
      </c>
      <c r="I290" t="s">
        <v>112</v>
      </c>
      <c r="J290" t="s">
        <v>112</v>
      </c>
      <c r="K290" t="s">
        <v>150</v>
      </c>
      <c r="L290" t="s">
        <v>151</v>
      </c>
      <c r="M290" t="s">
        <v>112</v>
      </c>
      <c r="N290" t="s">
        <v>112</v>
      </c>
      <c r="O290">
        <v>1</v>
      </c>
      <c r="Q290">
        <v>1</v>
      </c>
      <c r="R290">
        <v>33</v>
      </c>
      <c r="S290" t="s">
        <v>112</v>
      </c>
      <c r="T290" t="s">
        <v>152</v>
      </c>
      <c r="U290" t="s">
        <v>153</v>
      </c>
      <c r="V290" t="s">
        <v>154</v>
      </c>
      <c r="W290" t="s">
        <v>119</v>
      </c>
      <c r="X290" t="s">
        <v>112</v>
      </c>
      <c r="Y290" t="s">
        <v>112</v>
      </c>
      <c r="Z290" t="s">
        <v>152</v>
      </c>
      <c r="AA290" t="s">
        <v>153</v>
      </c>
      <c r="AB290" t="s">
        <v>154</v>
      </c>
      <c r="AC290" t="s">
        <v>119</v>
      </c>
      <c r="AD290" t="s">
        <v>112</v>
      </c>
      <c r="AE290" t="s">
        <v>121</v>
      </c>
      <c r="AF290" t="s">
        <v>122</v>
      </c>
      <c r="AG290">
        <v>4459975.8600000003</v>
      </c>
      <c r="AH290" t="s">
        <v>112</v>
      </c>
      <c r="AI290" t="s">
        <v>152</v>
      </c>
      <c r="AJ290" t="s">
        <v>153</v>
      </c>
      <c r="AK290" t="s">
        <v>154</v>
      </c>
      <c r="AL290" t="s">
        <v>119</v>
      </c>
      <c r="AM290" t="s">
        <v>112</v>
      </c>
      <c r="AN290" t="s">
        <v>121</v>
      </c>
      <c r="AO290" t="s">
        <v>122</v>
      </c>
      <c r="AP290" t="s">
        <v>122</v>
      </c>
      <c r="AQ290" t="s">
        <v>124</v>
      </c>
      <c r="AR290" t="s">
        <v>125</v>
      </c>
      <c r="AS290">
        <v>2</v>
      </c>
      <c r="AT290" t="s">
        <v>126</v>
      </c>
      <c r="AU290" t="s">
        <v>155</v>
      </c>
      <c r="AV290" t="s">
        <v>156</v>
      </c>
      <c r="AX290" t="s">
        <v>129</v>
      </c>
      <c r="AY290">
        <v>39852.879999999997</v>
      </c>
      <c r="BB290">
        <v>100.51130000000001</v>
      </c>
      <c r="BC290" t="s">
        <v>112</v>
      </c>
      <c r="BD290" t="s">
        <v>112</v>
      </c>
      <c r="BE290" t="s">
        <v>157</v>
      </c>
      <c r="BF290" t="s">
        <v>133</v>
      </c>
      <c r="BG290" t="s">
        <v>167</v>
      </c>
      <c r="BH290" t="s">
        <v>112</v>
      </c>
      <c r="BI290" t="s">
        <v>112</v>
      </c>
      <c r="BJ290" t="s">
        <v>112</v>
      </c>
      <c r="BK290" t="s">
        <v>158</v>
      </c>
      <c r="BL290" t="s">
        <v>159</v>
      </c>
      <c r="BM290" t="s">
        <v>160</v>
      </c>
      <c r="BN290" t="s">
        <v>161</v>
      </c>
      <c r="BP290" t="s">
        <v>213</v>
      </c>
      <c r="BR290" t="s">
        <v>150</v>
      </c>
      <c r="BS290">
        <v>33</v>
      </c>
      <c r="BT290">
        <v>0</v>
      </c>
      <c r="BU290">
        <v>0</v>
      </c>
      <c r="BW290">
        <v>0</v>
      </c>
      <c r="BY290" t="s">
        <v>106</v>
      </c>
      <c r="BZ290" t="s">
        <v>142</v>
      </c>
      <c r="CA290" t="s">
        <v>112</v>
      </c>
      <c r="CB290" t="s">
        <v>112</v>
      </c>
      <c r="CC290" t="s">
        <v>121</v>
      </c>
      <c r="CD290">
        <v>17715.439999999999</v>
      </c>
      <c r="CE290" t="s">
        <v>144</v>
      </c>
      <c r="CF290">
        <v>4000000</v>
      </c>
      <c r="CG290">
        <v>17715.439999999999</v>
      </c>
      <c r="CH290">
        <v>0</v>
      </c>
      <c r="CI290" t="s">
        <v>112</v>
      </c>
      <c r="CJ290" t="s">
        <v>112</v>
      </c>
      <c r="CK290">
        <v>39852.879999999997</v>
      </c>
      <c r="CM290">
        <v>0</v>
      </c>
      <c r="CN290">
        <v>1</v>
      </c>
      <c r="CO290">
        <v>4459975.8600000003</v>
      </c>
      <c r="CP290">
        <v>48633.31</v>
      </c>
      <c r="CQ290" t="s">
        <v>145</v>
      </c>
      <c r="CR290">
        <v>48717.46</v>
      </c>
      <c r="CS290">
        <v>2.75</v>
      </c>
      <c r="CT290">
        <v>45</v>
      </c>
      <c r="CV290" t="s">
        <v>233</v>
      </c>
      <c r="CW290">
        <v>60</v>
      </c>
    </row>
    <row r="291" spans="1:101" x14ac:dyDescent="0.2">
      <c r="A291" s="8" t="s">
        <v>106</v>
      </c>
      <c r="B291" s="46">
        <v>44803</v>
      </c>
      <c r="C291" s="8" t="s">
        <v>2498</v>
      </c>
      <c r="D291" s="8" t="s">
        <v>108</v>
      </c>
      <c r="E291" s="8" t="s">
        <v>2499</v>
      </c>
      <c r="F291" t="s">
        <v>110</v>
      </c>
      <c r="G291" s="8" t="s">
        <v>111</v>
      </c>
      <c r="H291" s="8" t="s">
        <v>112</v>
      </c>
      <c r="I291" s="8" t="s">
        <v>112</v>
      </c>
      <c r="J291" s="8" t="s">
        <v>112</v>
      </c>
      <c r="K291" s="8" t="s">
        <v>2500</v>
      </c>
      <c r="L291" s="8" t="s">
        <v>2501</v>
      </c>
      <c r="M291" s="8" t="s">
        <v>112</v>
      </c>
      <c r="N291" s="8" t="s">
        <v>112</v>
      </c>
      <c r="O291">
        <v>3</v>
      </c>
      <c r="P291">
        <v>0</v>
      </c>
      <c r="Q291">
        <v>5</v>
      </c>
      <c r="R291">
        <v>5</v>
      </c>
      <c r="S291" s="8" t="s">
        <v>2502</v>
      </c>
      <c r="T291" s="8" t="s">
        <v>2503</v>
      </c>
      <c r="U291" s="8" t="s">
        <v>2504</v>
      </c>
      <c r="V291" s="8" t="s">
        <v>2505</v>
      </c>
      <c r="W291" s="8" t="s">
        <v>119</v>
      </c>
      <c r="X291" s="8" t="s">
        <v>2506</v>
      </c>
      <c r="Y291" s="8" t="s">
        <v>2502</v>
      </c>
      <c r="Z291" s="8" t="s">
        <v>2503</v>
      </c>
      <c r="AA291" s="8" t="s">
        <v>2504</v>
      </c>
      <c r="AB291" s="8" t="s">
        <v>2505</v>
      </c>
      <c r="AC291" s="8" t="s">
        <v>119</v>
      </c>
      <c r="AD291" s="8" t="s">
        <v>2506</v>
      </c>
      <c r="AE291" s="8" t="s">
        <v>2507</v>
      </c>
      <c r="AF291" s="8" t="s">
        <v>2508</v>
      </c>
      <c r="AG291">
        <v>1435627.4</v>
      </c>
      <c r="AH291" s="8" t="s">
        <v>2502</v>
      </c>
      <c r="AI291" s="8" t="s">
        <v>2503</v>
      </c>
      <c r="AJ291" s="8" t="s">
        <v>2504</v>
      </c>
      <c r="AK291" s="8" t="s">
        <v>2505</v>
      </c>
      <c r="AL291" s="8" t="s">
        <v>119</v>
      </c>
      <c r="AM291" s="8" t="s">
        <v>2506</v>
      </c>
      <c r="AN291" s="8" t="s">
        <v>2507</v>
      </c>
      <c r="AO291" s="8" t="s">
        <v>2508</v>
      </c>
      <c r="AP291" s="8" t="s">
        <v>2397</v>
      </c>
      <c r="AQ291" s="8" t="s">
        <v>124</v>
      </c>
      <c r="AR291" s="8" t="s">
        <v>125</v>
      </c>
      <c r="AS291">
        <v>2</v>
      </c>
      <c r="AT291" s="8" t="s">
        <v>126</v>
      </c>
      <c r="AU291" s="8" t="s">
        <v>155</v>
      </c>
      <c r="AV291" s="8" t="s">
        <v>2509</v>
      </c>
      <c r="AW291">
        <v>1</v>
      </c>
      <c r="AX291" s="8" t="s">
        <v>129</v>
      </c>
      <c r="AY291">
        <v>18743.400000000001</v>
      </c>
      <c r="AZ291">
        <v>1407468</v>
      </c>
      <c r="BA291">
        <v>20356.12</v>
      </c>
      <c r="BB291">
        <v>75.091399999999894</v>
      </c>
      <c r="BC291" s="8" t="s">
        <v>130</v>
      </c>
      <c r="BD291" s="8" t="s">
        <v>131</v>
      </c>
      <c r="BE291" s="8" t="s">
        <v>112</v>
      </c>
      <c r="BF291" s="8" t="s">
        <v>133</v>
      </c>
      <c r="BG291" s="8" t="s">
        <v>167</v>
      </c>
      <c r="BH291" s="8" t="s">
        <v>2426</v>
      </c>
      <c r="BI291" s="8" t="s">
        <v>112</v>
      </c>
      <c r="BJ291" s="8" t="s">
        <v>2510</v>
      </c>
      <c r="BK291" s="8" t="s">
        <v>135</v>
      </c>
      <c r="BL291" s="8" t="s">
        <v>2511</v>
      </c>
      <c r="BM291" s="8" t="s">
        <v>2512</v>
      </c>
      <c r="BN291" s="8" t="s">
        <v>2430</v>
      </c>
      <c r="BO291">
        <v>2</v>
      </c>
      <c r="BP291" s="8" t="s">
        <v>2513</v>
      </c>
      <c r="BR291" s="8" t="s">
        <v>2514</v>
      </c>
      <c r="BS291">
        <v>2</v>
      </c>
      <c r="BT291">
        <v>0</v>
      </c>
      <c r="BU291">
        <v>2</v>
      </c>
      <c r="BV291" t="s">
        <v>2147</v>
      </c>
      <c r="BW291">
        <v>0</v>
      </c>
      <c r="BY291" s="8" t="s">
        <v>2515</v>
      </c>
      <c r="BZ291" s="8" t="s">
        <v>2148</v>
      </c>
      <c r="CA291" s="8" t="s">
        <v>112</v>
      </c>
      <c r="CB291" s="8" t="s">
        <v>112</v>
      </c>
      <c r="CC291" s="8" t="s">
        <v>2396</v>
      </c>
      <c r="CD291">
        <v>365</v>
      </c>
      <c r="CE291" t="s">
        <v>144</v>
      </c>
      <c r="CF291">
        <v>4000000</v>
      </c>
      <c r="CG291">
        <v>365</v>
      </c>
      <c r="CH291">
        <v>0</v>
      </c>
      <c r="CI291" s="8" t="s">
        <v>112</v>
      </c>
      <c r="CJ291" s="8" t="s">
        <v>112</v>
      </c>
      <c r="CK291">
        <v>12788</v>
      </c>
      <c r="CL291">
        <v>960269</v>
      </c>
      <c r="CM291">
        <v>0</v>
      </c>
      <c r="CN291">
        <v>1</v>
      </c>
      <c r="CO291">
        <v>975512.37</v>
      </c>
      <c r="CP291">
        <v>13832.03</v>
      </c>
      <c r="CQ291" s="8" t="s">
        <v>145</v>
      </c>
      <c r="CR291">
        <v>37.896000000000001</v>
      </c>
      <c r="CV291" t="s">
        <v>2516</v>
      </c>
      <c r="CW291">
        <v>233</v>
      </c>
    </row>
    <row r="292" spans="1:101" x14ac:dyDescent="0.2">
      <c r="A292" s="8" t="s">
        <v>106</v>
      </c>
      <c r="B292" s="46">
        <v>45024</v>
      </c>
      <c r="C292" s="8" t="s">
        <v>2813</v>
      </c>
      <c r="D292" s="8" t="s">
        <v>108</v>
      </c>
      <c r="E292" s="8" t="s">
        <v>2814</v>
      </c>
      <c r="F292" t="s">
        <v>110</v>
      </c>
      <c r="G292" s="8" t="s">
        <v>111</v>
      </c>
      <c r="H292" s="8" t="s">
        <v>112</v>
      </c>
      <c r="I292" s="8" t="s">
        <v>112</v>
      </c>
      <c r="J292" s="8" t="s">
        <v>112</v>
      </c>
      <c r="K292" s="8" t="s">
        <v>2134</v>
      </c>
      <c r="L292" s="8" t="s">
        <v>2135</v>
      </c>
      <c r="M292" s="8" t="s">
        <v>112</v>
      </c>
      <c r="N292" s="8" t="s">
        <v>112</v>
      </c>
      <c r="O292">
        <v>9</v>
      </c>
      <c r="P292">
        <v>0</v>
      </c>
      <c r="Q292">
        <v>24</v>
      </c>
      <c r="R292">
        <v>52</v>
      </c>
      <c r="S292" s="8" t="s">
        <v>2136</v>
      </c>
      <c r="T292" s="8" t="s">
        <v>2137</v>
      </c>
      <c r="U292" s="8" t="s">
        <v>2138</v>
      </c>
      <c r="V292" s="8" t="s">
        <v>2139</v>
      </c>
      <c r="W292" s="8" t="s">
        <v>119</v>
      </c>
      <c r="X292" s="8" t="s">
        <v>2140</v>
      </c>
      <c r="Y292" s="8" t="s">
        <v>2136</v>
      </c>
      <c r="Z292" s="8" t="s">
        <v>2137</v>
      </c>
      <c r="AA292" s="8" t="s">
        <v>2141</v>
      </c>
      <c r="AB292" s="8" t="s">
        <v>2139</v>
      </c>
      <c r="AC292" s="8" t="s">
        <v>119</v>
      </c>
      <c r="AD292" s="8" t="s">
        <v>2140</v>
      </c>
      <c r="AE292" s="8" t="s">
        <v>2142</v>
      </c>
      <c r="AF292" s="8" t="s">
        <v>2143</v>
      </c>
      <c r="AG292">
        <v>7494882.75</v>
      </c>
      <c r="AH292" s="8" t="s">
        <v>2136</v>
      </c>
      <c r="AI292" s="8" t="s">
        <v>2137</v>
      </c>
      <c r="AJ292" s="8" t="s">
        <v>2141</v>
      </c>
      <c r="AK292" s="8" t="s">
        <v>2139</v>
      </c>
      <c r="AL292" s="8" t="s">
        <v>119</v>
      </c>
      <c r="AM292" s="8" t="s">
        <v>2140</v>
      </c>
      <c r="AN292" s="8" t="s">
        <v>2142</v>
      </c>
      <c r="AO292" s="8" t="s">
        <v>2143</v>
      </c>
      <c r="AP292" s="8" t="s">
        <v>2143</v>
      </c>
      <c r="AQ292" s="8" t="s">
        <v>124</v>
      </c>
      <c r="AR292" s="8" t="s">
        <v>125</v>
      </c>
      <c r="AS292">
        <v>1</v>
      </c>
      <c r="AT292" s="8" t="s">
        <v>106</v>
      </c>
      <c r="AU292" s="8" t="s">
        <v>127</v>
      </c>
      <c r="AV292" s="8" t="s">
        <v>2144</v>
      </c>
      <c r="AW292">
        <v>0</v>
      </c>
      <c r="AX292" s="8" t="s">
        <v>129</v>
      </c>
      <c r="AY292">
        <v>96034.55</v>
      </c>
      <c r="AZ292">
        <v>7211369</v>
      </c>
      <c r="BA292">
        <v>106271.79</v>
      </c>
      <c r="BB292">
        <v>75.091399999999894</v>
      </c>
      <c r="BC292" s="8" t="s">
        <v>130</v>
      </c>
      <c r="BD292" s="8" t="s">
        <v>111</v>
      </c>
      <c r="BE292" s="8" t="s">
        <v>2145</v>
      </c>
      <c r="BF292" s="8" t="s">
        <v>133</v>
      </c>
      <c r="BG292" s="8" t="s">
        <v>167</v>
      </c>
      <c r="BH292" s="8" t="s">
        <v>2255</v>
      </c>
      <c r="BI292" s="8" t="s">
        <v>112</v>
      </c>
      <c r="BJ292" s="8" t="s">
        <v>112</v>
      </c>
      <c r="BK292" s="8" t="s">
        <v>169</v>
      </c>
      <c r="BL292" s="8" t="s">
        <v>159</v>
      </c>
      <c r="BM292" s="8" t="s">
        <v>160</v>
      </c>
      <c r="BN292" s="8" t="s">
        <v>161</v>
      </c>
      <c r="BO292">
        <v>1</v>
      </c>
      <c r="BP292" s="8" t="s">
        <v>2815</v>
      </c>
      <c r="BR292" s="8" t="s">
        <v>2816</v>
      </c>
      <c r="BS292">
        <v>52</v>
      </c>
      <c r="BT292">
        <v>1</v>
      </c>
      <c r="BU292">
        <v>308</v>
      </c>
      <c r="BV292" t="s">
        <v>2147</v>
      </c>
      <c r="BW292">
        <v>0</v>
      </c>
      <c r="BY292" s="8" t="s">
        <v>106</v>
      </c>
      <c r="BZ292" s="8" t="s">
        <v>2148</v>
      </c>
      <c r="CA292" s="8" t="s">
        <v>112</v>
      </c>
      <c r="CB292" s="8" t="s">
        <v>112</v>
      </c>
      <c r="CC292" s="8" t="s">
        <v>2142</v>
      </c>
      <c r="CD292">
        <v>10332</v>
      </c>
      <c r="CE292" t="s">
        <v>144</v>
      </c>
      <c r="CF292">
        <v>4000000</v>
      </c>
      <c r="CG292">
        <v>10034</v>
      </c>
      <c r="CH292">
        <v>0</v>
      </c>
      <c r="CI292" s="8" t="s">
        <v>112</v>
      </c>
      <c r="CJ292" s="8" t="s">
        <v>112</v>
      </c>
      <c r="CK292">
        <v>90655.45</v>
      </c>
      <c r="CL292">
        <v>6807445</v>
      </c>
      <c r="CM292">
        <v>0</v>
      </c>
      <c r="CN292">
        <v>1</v>
      </c>
      <c r="CO292">
        <v>7078714.5800000001</v>
      </c>
      <c r="CP292">
        <v>100370.85</v>
      </c>
      <c r="CQ292" s="8" t="s">
        <v>145</v>
      </c>
      <c r="CR292">
        <v>10.0031</v>
      </c>
      <c r="CS292">
        <v>1053</v>
      </c>
      <c r="CT292" t="s">
        <v>2149</v>
      </c>
      <c r="CV292" t="s">
        <v>2817</v>
      </c>
      <c r="CW292">
        <v>150</v>
      </c>
    </row>
    <row r="293" spans="1:101" x14ac:dyDescent="0.2">
      <c r="A293" s="8" t="s">
        <v>106</v>
      </c>
      <c r="B293" s="46">
        <v>45259</v>
      </c>
      <c r="C293" s="8" t="s">
        <v>2865</v>
      </c>
      <c r="D293" s="8" t="s">
        <v>108</v>
      </c>
      <c r="E293" s="8" t="s">
        <v>2866</v>
      </c>
      <c r="F293" t="s">
        <v>110</v>
      </c>
      <c r="G293" s="8" t="s">
        <v>111</v>
      </c>
      <c r="H293" s="8" t="s">
        <v>112</v>
      </c>
      <c r="I293" s="8" t="s">
        <v>112</v>
      </c>
      <c r="J293" s="8" t="s">
        <v>112</v>
      </c>
      <c r="K293" s="8" t="s">
        <v>2134</v>
      </c>
      <c r="L293" s="8" t="s">
        <v>2135</v>
      </c>
      <c r="M293" s="8" t="s">
        <v>112</v>
      </c>
      <c r="N293" s="8" t="s">
        <v>112</v>
      </c>
      <c r="O293">
        <v>1</v>
      </c>
      <c r="P293">
        <v>0</v>
      </c>
      <c r="Q293">
        <v>1</v>
      </c>
      <c r="R293">
        <v>56</v>
      </c>
      <c r="S293" s="8" t="s">
        <v>2136</v>
      </c>
      <c r="T293" s="8" t="s">
        <v>2137</v>
      </c>
      <c r="U293" s="8" t="s">
        <v>2138</v>
      </c>
      <c r="V293" s="8" t="s">
        <v>2139</v>
      </c>
      <c r="W293" s="8" t="s">
        <v>119</v>
      </c>
      <c r="X293" s="8" t="s">
        <v>2140</v>
      </c>
      <c r="Y293" s="8" t="s">
        <v>2136</v>
      </c>
      <c r="Z293" s="8" t="s">
        <v>2137</v>
      </c>
      <c r="AA293" s="8" t="s">
        <v>2141</v>
      </c>
      <c r="AB293" s="8" t="s">
        <v>2139</v>
      </c>
      <c r="AC293" s="8" t="s">
        <v>119</v>
      </c>
      <c r="AD293" s="8" t="s">
        <v>2140</v>
      </c>
      <c r="AE293" s="8" t="s">
        <v>2142</v>
      </c>
      <c r="AF293" s="8" t="s">
        <v>2143</v>
      </c>
      <c r="AG293">
        <v>7809163.3399999896</v>
      </c>
      <c r="AH293" s="8" t="s">
        <v>2136</v>
      </c>
      <c r="AI293" s="8" t="s">
        <v>2137</v>
      </c>
      <c r="AJ293" s="8" t="s">
        <v>2141</v>
      </c>
      <c r="AK293" s="8" t="s">
        <v>2139</v>
      </c>
      <c r="AL293" s="8" t="s">
        <v>119</v>
      </c>
      <c r="AM293" s="8" t="s">
        <v>2140</v>
      </c>
      <c r="AN293" s="8" t="s">
        <v>2142</v>
      </c>
      <c r="AO293" s="8" t="s">
        <v>2143</v>
      </c>
      <c r="AP293" s="8" t="s">
        <v>2143</v>
      </c>
      <c r="AQ293" s="8" t="s">
        <v>124</v>
      </c>
      <c r="AR293" s="8" t="s">
        <v>125</v>
      </c>
      <c r="AS293">
        <v>1</v>
      </c>
      <c r="AT293" s="8" t="s">
        <v>106</v>
      </c>
      <c r="AU293" s="8" t="s">
        <v>127</v>
      </c>
      <c r="AV293" s="8" t="s">
        <v>2144</v>
      </c>
      <c r="AW293">
        <v>0</v>
      </c>
      <c r="AX293" s="8" t="s">
        <v>129</v>
      </c>
      <c r="AY293">
        <v>100219.87</v>
      </c>
      <c r="AZ293">
        <v>7525650</v>
      </c>
      <c r="BA293">
        <v>110728.07</v>
      </c>
      <c r="BB293">
        <v>75.091399999999894</v>
      </c>
      <c r="BC293" s="8" t="s">
        <v>130</v>
      </c>
      <c r="BD293" s="8" t="s">
        <v>111</v>
      </c>
      <c r="BE293" s="8" t="s">
        <v>2145</v>
      </c>
      <c r="BF293" s="8" t="s">
        <v>133</v>
      </c>
      <c r="BG293" s="8" t="s">
        <v>167</v>
      </c>
      <c r="BH293" s="8" t="s">
        <v>2255</v>
      </c>
      <c r="BI293" s="8" t="s">
        <v>112</v>
      </c>
      <c r="BJ293" s="8" t="s">
        <v>2837</v>
      </c>
      <c r="BK293" s="8" t="s">
        <v>169</v>
      </c>
      <c r="BL293" s="8" t="s">
        <v>159</v>
      </c>
      <c r="BM293" s="8" t="s">
        <v>160</v>
      </c>
      <c r="BN293" s="8" t="s">
        <v>161</v>
      </c>
      <c r="BO293">
        <v>1</v>
      </c>
      <c r="BP293" s="8" t="s">
        <v>2146</v>
      </c>
      <c r="BR293" s="8" t="s">
        <v>2134</v>
      </c>
      <c r="BS293">
        <v>56</v>
      </c>
      <c r="BT293">
        <v>1</v>
      </c>
      <c r="BU293">
        <v>388</v>
      </c>
      <c r="BV293" t="s">
        <v>2147</v>
      </c>
      <c r="BW293">
        <v>0</v>
      </c>
      <c r="BY293" s="8" t="s">
        <v>106</v>
      </c>
      <c r="BZ293" s="8" t="s">
        <v>2148</v>
      </c>
      <c r="CA293" s="8" t="s">
        <v>112</v>
      </c>
      <c r="CB293" s="8" t="s">
        <v>112</v>
      </c>
      <c r="CC293" s="8" t="s">
        <v>2142</v>
      </c>
      <c r="CD293">
        <v>11316</v>
      </c>
      <c r="CE293" t="s">
        <v>144</v>
      </c>
      <c r="CF293">
        <v>4000000</v>
      </c>
      <c r="CG293">
        <v>10864</v>
      </c>
      <c r="CH293">
        <v>0</v>
      </c>
      <c r="CI293" s="8" t="s">
        <v>112</v>
      </c>
      <c r="CJ293" s="8" t="s">
        <v>112</v>
      </c>
      <c r="CK293">
        <v>100219.87</v>
      </c>
      <c r="CL293">
        <v>7525650</v>
      </c>
      <c r="CM293">
        <v>0</v>
      </c>
      <c r="CN293">
        <v>1</v>
      </c>
      <c r="CO293">
        <v>7809163.3399999896</v>
      </c>
      <c r="CP293">
        <v>110728.07</v>
      </c>
      <c r="CQ293" s="8" t="s">
        <v>145</v>
      </c>
      <c r="CR293">
        <v>10.1922</v>
      </c>
      <c r="CS293">
        <v>1053</v>
      </c>
      <c r="CT293" t="s">
        <v>2149</v>
      </c>
      <c r="CV293" t="s">
        <v>2150</v>
      </c>
      <c r="CW293">
        <v>0</v>
      </c>
    </row>
    <row r="294" spans="1:101" x14ac:dyDescent="0.2">
      <c r="A294" s="8" t="s">
        <v>106</v>
      </c>
      <c r="B294" s="46">
        <v>44945</v>
      </c>
      <c r="C294" s="8" t="s">
        <v>2900</v>
      </c>
      <c r="D294" s="8" t="s">
        <v>108</v>
      </c>
      <c r="E294" s="8" t="s">
        <v>2901</v>
      </c>
      <c r="F294" t="s">
        <v>110</v>
      </c>
      <c r="G294" s="8" t="s">
        <v>111</v>
      </c>
      <c r="H294" s="8" t="s">
        <v>112</v>
      </c>
      <c r="I294" s="8" t="s">
        <v>112</v>
      </c>
      <c r="J294" s="8" t="s">
        <v>112</v>
      </c>
      <c r="K294" s="8" t="s">
        <v>2134</v>
      </c>
      <c r="L294" s="8" t="s">
        <v>2135</v>
      </c>
      <c r="M294" s="8" t="s">
        <v>112</v>
      </c>
      <c r="N294" s="8" t="s">
        <v>112</v>
      </c>
      <c r="O294">
        <v>1</v>
      </c>
      <c r="P294">
        <v>0</v>
      </c>
      <c r="Q294">
        <v>1</v>
      </c>
      <c r="R294">
        <v>52</v>
      </c>
      <c r="S294" s="8" t="s">
        <v>2136</v>
      </c>
      <c r="T294" s="8" t="s">
        <v>2137</v>
      </c>
      <c r="U294" s="8" t="s">
        <v>2138</v>
      </c>
      <c r="V294" s="8" t="s">
        <v>2139</v>
      </c>
      <c r="W294" s="8" t="s">
        <v>119</v>
      </c>
      <c r="X294" s="8" t="s">
        <v>2140</v>
      </c>
      <c r="Y294" s="8" t="s">
        <v>2136</v>
      </c>
      <c r="Z294" s="8" t="s">
        <v>2137</v>
      </c>
      <c r="AA294" s="8" t="s">
        <v>2141</v>
      </c>
      <c r="AB294" s="8" t="s">
        <v>2139</v>
      </c>
      <c r="AC294" s="8" t="s">
        <v>119</v>
      </c>
      <c r="AD294" s="8" t="s">
        <v>2140</v>
      </c>
      <c r="AE294" s="8" t="s">
        <v>2142</v>
      </c>
      <c r="AF294" s="8" t="s">
        <v>2143</v>
      </c>
      <c r="AG294">
        <v>7210892.8700000001</v>
      </c>
      <c r="AH294" s="8" t="s">
        <v>2136</v>
      </c>
      <c r="AI294" s="8" t="s">
        <v>2137</v>
      </c>
      <c r="AJ294" s="8" t="s">
        <v>2141</v>
      </c>
      <c r="AK294" s="8" t="s">
        <v>2139</v>
      </c>
      <c r="AL294" s="8" t="s">
        <v>119</v>
      </c>
      <c r="AM294" s="8" t="s">
        <v>2140</v>
      </c>
      <c r="AN294" s="8" t="s">
        <v>2142</v>
      </c>
      <c r="AO294" s="8" t="s">
        <v>2143</v>
      </c>
      <c r="AP294" s="8" t="s">
        <v>2143</v>
      </c>
      <c r="AQ294" s="8" t="s">
        <v>124</v>
      </c>
      <c r="AR294" s="8" t="s">
        <v>125</v>
      </c>
      <c r="AS294">
        <v>1</v>
      </c>
      <c r="AT294" s="8" t="s">
        <v>106</v>
      </c>
      <c r="AU294" s="8" t="s">
        <v>127</v>
      </c>
      <c r="AV294" s="8" t="s">
        <v>2144</v>
      </c>
      <c r="AW294">
        <v>0</v>
      </c>
      <c r="AX294" s="8" t="s">
        <v>129</v>
      </c>
      <c r="AY294">
        <v>92252.64</v>
      </c>
      <c r="AZ294">
        <v>6927380</v>
      </c>
      <c r="BA294">
        <v>102245.04</v>
      </c>
      <c r="BB294">
        <v>75.091399999999894</v>
      </c>
      <c r="BC294" s="8" t="s">
        <v>130</v>
      </c>
      <c r="BD294" s="8" t="s">
        <v>111</v>
      </c>
      <c r="BE294" s="8" t="s">
        <v>2145</v>
      </c>
      <c r="BF294" s="8" t="s">
        <v>133</v>
      </c>
      <c r="BG294" s="8" t="s">
        <v>167</v>
      </c>
      <c r="BH294" s="8" t="s">
        <v>2255</v>
      </c>
      <c r="BI294" s="8" t="s">
        <v>112</v>
      </c>
      <c r="BJ294" s="8" t="s">
        <v>2837</v>
      </c>
      <c r="BK294" s="8" t="s">
        <v>169</v>
      </c>
      <c r="BL294" s="8" t="s">
        <v>159</v>
      </c>
      <c r="BM294" s="8" t="s">
        <v>160</v>
      </c>
      <c r="BN294" s="8" t="s">
        <v>161</v>
      </c>
      <c r="BO294">
        <v>1</v>
      </c>
      <c r="BP294" s="8" t="s">
        <v>2146</v>
      </c>
      <c r="BR294" s="8" t="s">
        <v>2134</v>
      </c>
      <c r="BS294">
        <v>52</v>
      </c>
      <c r="BT294">
        <v>1</v>
      </c>
      <c r="BU294">
        <v>324</v>
      </c>
      <c r="BV294" t="s">
        <v>2147</v>
      </c>
      <c r="BW294">
        <v>0</v>
      </c>
      <c r="BY294" s="8" t="s">
        <v>106</v>
      </c>
      <c r="BZ294" s="8" t="s">
        <v>2148</v>
      </c>
      <c r="CA294" s="8" t="s">
        <v>112</v>
      </c>
      <c r="CB294" s="8" t="s">
        <v>112</v>
      </c>
      <c r="CC294" s="8" t="s">
        <v>2142</v>
      </c>
      <c r="CD294">
        <v>10656</v>
      </c>
      <c r="CE294" t="s">
        <v>144</v>
      </c>
      <c r="CF294">
        <v>4000000</v>
      </c>
      <c r="CG294">
        <v>10196</v>
      </c>
      <c r="CH294">
        <v>0</v>
      </c>
      <c r="CI294" s="8" t="s">
        <v>112</v>
      </c>
      <c r="CJ294" s="8" t="s">
        <v>112</v>
      </c>
      <c r="CK294">
        <v>92252.64</v>
      </c>
      <c r="CL294">
        <v>6927380</v>
      </c>
      <c r="CM294">
        <v>0</v>
      </c>
      <c r="CN294">
        <v>1</v>
      </c>
      <c r="CO294">
        <v>7210892.8700000001</v>
      </c>
      <c r="CP294">
        <v>102245.04</v>
      </c>
      <c r="CQ294" s="8" t="s">
        <v>145</v>
      </c>
      <c r="CR294">
        <v>10.028</v>
      </c>
      <c r="CS294">
        <v>1053</v>
      </c>
      <c r="CT294" t="s">
        <v>2149</v>
      </c>
      <c r="CV294" t="s">
        <v>2150</v>
      </c>
      <c r="CW294">
        <v>0</v>
      </c>
    </row>
    <row r="295" spans="1:101" x14ac:dyDescent="0.2">
      <c r="A295" s="8" t="s">
        <v>106</v>
      </c>
      <c r="B295" s="46">
        <v>45090</v>
      </c>
      <c r="C295" s="8" t="s">
        <v>2835</v>
      </c>
      <c r="D295" s="8" t="s">
        <v>108</v>
      </c>
      <c r="E295" s="8" t="s">
        <v>2836</v>
      </c>
      <c r="F295" t="s">
        <v>110</v>
      </c>
      <c r="G295" s="8" t="s">
        <v>111</v>
      </c>
      <c r="H295" s="8" t="s">
        <v>112</v>
      </c>
      <c r="I295" s="8" t="s">
        <v>112</v>
      </c>
      <c r="J295" s="8" t="s">
        <v>112</v>
      </c>
      <c r="K295" s="8" t="s">
        <v>2134</v>
      </c>
      <c r="L295" s="8" t="s">
        <v>2135</v>
      </c>
      <c r="M295" s="8" t="s">
        <v>112</v>
      </c>
      <c r="N295" s="8" t="s">
        <v>112</v>
      </c>
      <c r="O295">
        <v>1</v>
      </c>
      <c r="P295">
        <v>0</v>
      </c>
      <c r="Q295">
        <v>1</v>
      </c>
      <c r="R295">
        <v>52</v>
      </c>
      <c r="S295" s="8" t="s">
        <v>2136</v>
      </c>
      <c r="T295" s="8" t="s">
        <v>2137</v>
      </c>
      <c r="U295" s="8" t="s">
        <v>2138</v>
      </c>
      <c r="V295" s="8" t="s">
        <v>2139</v>
      </c>
      <c r="W295" s="8" t="s">
        <v>119</v>
      </c>
      <c r="X295" s="8" t="s">
        <v>2140</v>
      </c>
      <c r="Y295" s="8" t="s">
        <v>2136</v>
      </c>
      <c r="Z295" s="8" t="s">
        <v>2137</v>
      </c>
      <c r="AA295" s="8" t="s">
        <v>2141</v>
      </c>
      <c r="AB295" s="8" t="s">
        <v>2139</v>
      </c>
      <c r="AC295" s="8" t="s">
        <v>119</v>
      </c>
      <c r="AD295" s="8" t="s">
        <v>2140</v>
      </c>
      <c r="AE295" s="8" t="s">
        <v>2142</v>
      </c>
      <c r="AF295" s="8" t="s">
        <v>2143</v>
      </c>
      <c r="AG295">
        <v>7129962.2000000002</v>
      </c>
      <c r="AH295" s="8" t="s">
        <v>2136</v>
      </c>
      <c r="AI295" s="8" t="s">
        <v>2137</v>
      </c>
      <c r="AJ295" s="8" t="s">
        <v>2141</v>
      </c>
      <c r="AK295" s="8" t="s">
        <v>2139</v>
      </c>
      <c r="AL295" s="8" t="s">
        <v>119</v>
      </c>
      <c r="AM295" s="8" t="s">
        <v>2140</v>
      </c>
      <c r="AN295" s="8" t="s">
        <v>2142</v>
      </c>
      <c r="AO295" s="8" t="s">
        <v>2143</v>
      </c>
      <c r="AP295" s="8" t="s">
        <v>2143</v>
      </c>
      <c r="AQ295" s="8" t="s">
        <v>124</v>
      </c>
      <c r="AR295" s="8" t="s">
        <v>125</v>
      </c>
      <c r="AS295">
        <v>1</v>
      </c>
      <c r="AT295" s="8" t="s">
        <v>106</v>
      </c>
      <c r="AU295" s="8" t="s">
        <v>127</v>
      </c>
      <c r="AV295" s="8" t="s">
        <v>2144</v>
      </c>
      <c r="AW295">
        <v>0</v>
      </c>
      <c r="AX295" s="8" t="s">
        <v>129</v>
      </c>
      <c r="AY295">
        <v>91034.11</v>
      </c>
      <c r="AZ295">
        <v>6835879</v>
      </c>
      <c r="BA295">
        <v>101097.51</v>
      </c>
      <c r="BB295">
        <v>75.091399999999894</v>
      </c>
      <c r="BC295" s="8" t="s">
        <v>130</v>
      </c>
      <c r="BD295" s="8" t="s">
        <v>111</v>
      </c>
      <c r="BE295" s="8" t="s">
        <v>2145</v>
      </c>
      <c r="BF295" s="8" t="s">
        <v>133</v>
      </c>
      <c r="BG295" s="8" t="s">
        <v>167</v>
      </c>
      <c r="BH295" s="8" t="s">
        <v>2255</v>
      </c>
      <c r="BI295" s="8" t="s">
        <v>112</v>
      </c>
      <c r="BJ295" s="8" t="s">
        <v>2837</v>
      </c>
      <c r="BK295" s="8" t="s">
        <v>169</v>
      </c>
      <c r="BL295" s="8" t="s">
        <v>159</v>
      </c>
      <c r="BM295" s="8" t="s">
        <v>160</v>
      </c>
      <c r="BN295" s="8" t="s">
        <v>161</v>
      </c>
      <c r="BO295">
        <v>1</v>
      </c>
      <c r="BP295" s="8" t="s">
        <v>2146</v>
      </c>
      <c r="BR295" s="8" t="s">
        <v>2134</v>
      </c>
      <c r="BS295">
        <v>52</v>
      </c>
      <c r="BT295">
        <v>1</v>
      </c>
      <c r="BU295">
        <v>324</v>
      </c>
      <c r="BV295" t="s">
        <v>2147</v>
      </c>
      <c r="BW295">
        <v>0</v>
      </c>
      <c r="BY295" s="8" t="s">
        <v>106</v>
      </c>
      <c r="BZ295" s="8" t="s">
        <v>2148</v>
      </c>
      <c r="CA295" s="8" t="s">
        <v>112</v>
      </c>
      <c r="CB295" s="8" t="s">
        <v>112</v>
      </c>
      <c r="CC295" s="8" t="s">
        <v>2142</v>
      </c>
      <c r="CD295">
        <v>10528</v>
      </c>
      <c r="CE295" t="s">
        <v>144</v>
      </c>
      <c r="CF295">
        <v>4000000</v>
      </c>
      <c r="CG295">
        <v>9972</v>
      </c>
      <c r="CH295">
        <v>0</v>
      </c>
      <c r="CI295" s="8" t="s">
        <v>112</v>
      </c>
      <c r="CJ295" s="8" t="s">
        <v>112</v>
      </c>
      <c r="CK295">
        <v>91034.11</v>
      </c>
      <c r="CL295">
        <v>6835879</v>
      </c>
      <c r="CM295">
        <v>0</v>
      </c>
      <c r="CN295">
        <v>1</v>
      </c>
      <c r="CO295">
        <v>7129962.2000000002</v>
      </c>
      <c r="CP295">
        <v>101097.51</v>
      </c>
      <c r="CQ295" s="8" t="s">
        <v>145</v>
      </c>
      <c r="CR295">
        <v>10.1381</v>
      </c>
      <c r="CS295">
        <v>1053</v>
      </c>
      <c r="CT295" t="s">
        <v>2149</v>
      </c>
      <c r="CV295" t="s">
        <v>2150</v>
      </c>
      <c r="CW295">
        <v>0</v>
      </c>
    </row>
    <row r="296" spans="1:101" x14ac:dyDescent="0.2">
      <c r="A296" s="8" t="s">
        <v>106</v>
      </c>
      <c r="B296" s="46">
        <v>44958</v>
      </c>
      <c r="C296" s="8" t="s">
        <v>2863</v>
      </c>
      <c r="D296" s="8" t="s">
        <v>108</v>
      </c>
      <c r="E296" s="8" t="s">
        <v>2864</v>
      </c>
      <c r="F296" t="s">
        <v>110</v>
      </c>
      <c r="G296" s="8" t="s">
        <v>111</v>
      </c>
      <c r="H296" s="8" t="s">
        <v>112</v>
      </c>
      <c r="I296" s="8" t="s">
        <v>112</v>
      </c>
      <c r="J296" s="8" t="s">
        <v>112</v>
      </c>
      <c r="K296" s="8" t="s">
        <v>2201</v>
      </c>
      <c r="L296" s="8" t="s">
        <v>2202</v>
      </c>
      <c r="M296" s="8" t="s">
        <v>112</v>
      </c>
      <c r="N296" s="8" t="s">
        <v>112</v>
      </c>
      <c r="O296">
        <v>3</v>
      </c>
      <c r="P296">
        <v>0</v>
      </c>
      <c r="Q296">
        <v>5</v>
      </c>
      <c r="R296">
        <v>38</v>
      </c>
      <c r="S296" s="8" t="s">
        <v>2136</v>
      </c>
      <c r="T296" s="8" t="s">
        <v>2137</v>
      </c>
      <c r="U296" s="8" t="s">
        <v>2141</v>
      </c>
      <c r="V296" s="8" t="s">
        <v>2203</v>
      </c>
      <c r="W296" s="8" t="s">
        <v>119</v>
      </c>
      <c r="X296" s="8" t="s">
        <v>2140</v>
      </c>
      <c r="Y296" s="8" t="s">
        <v>2136</v>
      </c>
      <c r="Z296" s="8" t="s">
        <v>2137</v>
      </c>
      <c r="AA296" s="8" t="s">
        <v>2141</v>
      </c>
      <c r="AB296" s="8" t="s">
        <v>2203</v>
      </c>
      <c r="AC296" s="8" t="s">
        <v>119</v>
      </c>
      <c r="AD296" s="8" t="s">
        <v>2140</v>
      </c>
      <c r="AE296" s="8" t="s">
        <v>143</v>
      </c>
      <c r="AF296" s="8" t="s">
        <v>123</v>
      </c>
      <c r="AG296">
        <v>11501240.609999901</v>
      </c>
      <c r="AH296" s="8" t="s">
        <v>2136</v>
      </c>
      <c r="AI296" s="8" t="s">
        <v>2137</v>
      </c>
      <c r="AJ296" s="8" t="s">
        <v>2141</v>
      </c>
      <c r="AK296" s="8" t="s">
        <v>2203</v>
      </c>
      <c r="AL296" s="8" t="s">
        <v>119</v>
      </c>
      <c r="AM296" s="8" t="s">
        <v>2140</v>
      </c>
      <c r="AN296" s="8" t="s">
        <v>143</v>
      </c>
      <c r="AO296" s="8" t="s">
        <v>123</v>
      </c>
      <c r="AP296" s="8" t="s">
        <v>123</v>
      </c>
      <c r="AQ296" s="8" t="s">
        <v>124</v>
      </c>
      <c r="AR296" s="8" t="s">
        <v>125</v>
      </c>
      <c r="AS296">
        <v>2</v>
      </c>
      <c r="AT296" s="8" t="s">
        <v>126</v>
      </c>
      <c r="AU296" s="8" t="s">
        <v>155</v>
      </c>
      <c r="AV296" s="8" t="s">
        <v>2204</v>
      </c>
      <c r="AW296">
        <v>1</v>
      </c>
      <c r="AX296" s="8" t="s">
        <v>129</v>
      </c>
      <c r="AY296">
        <v>148063.22</v>
      </c>
      <c r="AZ296">
        <v>11118274</v>
      </c>
      <c r="BA296">
        <v>163078.95000000001</v>
      </c>
      <c r="BB296">
        <v>75.091399999999894</v>
      </c>
      <c r="BC296" s="8" t="s">
        <v>130</v>
      </c>
      <c r="BD296" s="8" t="s">
        <v>112</v>
      </c>
      <c r="BE296" s="8" t="s">
        <v>2205</v>
      </c>
      <c r="BF296" s="8" t="s">
        <v>133</v>
      </c>
      <c r="BG296" s="8" t="s">
        <v>134</v>
      </c>
      <c r="BH296" s="8" t="s">
        <v>112</v>
      </c>
      <c r="BI296" s="8" t="s">
        <v>112</v>
      </c>
      <c r="BJ296" s="8" t="s">
        <v>112</v>
      </c>
      <c r="BK296" s="8" t="s">
        <v>2168</v>
      </c>
      <c r="BL296" s="8" t="s">
        <v>2206</v>
      </c>
      <c r="BM296" s="8" t="s">
        <v>2207</v>
      </c>
      <c r="BN296" s="8" t="s">
        <v>2208</v>
      </c>
      <c r="BO296">
        <v>1</v>
      </c>
      <c r="BP296" s="8" t="s">
        <v>2209</v>
      </c>
      <c r="BR296" s="8" t="s">
        <v>2210</v>
      </c>
      <c r="BS296">
        <v>36</v>
      </c>
      <c r="BT296">
        <v>0</v>
      </c>
      <c r="BU296">
        <v>132</v>
      </c>
      <c r="BV296" t="s">
        <v>2147</v>
      </c>
      <c r="BW296">
        <v>0</v>
      </c>
      <c r="BY296" s="8" t="s">
        <v>106</v>
      </c>
      <c r="BZ296" s="8" t="s">
        <v>2148</v>
      </c>
      <c r="CA296" s="8" t="s">
        <v>112</v>
      </c>
      <c r="CB296" s="8" t="s">
        <v>112</v>
      </c>
      <c r="CC296" s="8" t="s">
        <v>143</v>
      </c>
      <c r="CD296">
        <v>11630</v>
      </c>
      <c r="CE296" t="s">
        <v>144</v>
      </c>
      <c r="CF296">
        <v>4000000</v>
      </c>
      <c r="CG296">
        <v>11004</v>
      </c>
      <c r="CH296">
        <v>0</v>
      </c>
      <c r="CI296" s="8" t="s">
        <v>112</v>
      </c>
      <c r="CJ296" s="8" t="s">
        <v>112</v>
      </c>
      <c r="CK296">
        <v>142121.06</v>
      </c>
      <c r="CL296">
        <v>10672069</v>
      </c>
      <c r="CM296">
        <v>0</v>
      </c>
      <c r="CN296">
        <v>1</v>
      </c>
      <c r="CO296">
        <v>10995048.74</v>
      </c>
      <c r="CP296">
        <v>155901.53</v>
      </c>
      <c r="CQ296" s="8" t="s">
        <v>145</v>
      </c>
      <c r="CR296">
        <v>14.1677</v>
      </c>
      <c r="CS296">
        <v>1053</v>
      </c>
      <c r="CT296" t="s">
        <v>2149</v>
      </c>
      <c r="CV296" t="s">
        <v>2150</v>
      </c>
      <c r="CW296">
        <v>564</v>
      </c>
    </row>
    <row r="297" spans="1:101" x14ac:dyDescent="0.2">
      <c r="A297" t="s">
        <v>106</v>
      </c>
      <c r="B297" s="46">
        <v>45167</v>
      </c>
      <c r="C297" t="s">
        <v>1334</v>
      </c>
      <c r="D297" t="s">
        <v>108</v>
      </c>
      <c r="E297" t="s">
        <v>1335</v>
      </c>
      <c r="F297" t="s">
        <v>110</v>
      </c>
      <c r="G297" t="s">
        <v>111</v>
      </c>
      <c r="H297" t="s">
        <v>112</v>
      </c>
      <c r="I297" t="s">
        <v>112</v>
      </c>
      <c r="J297" t="s">
        <v>112</v>
      </c>
      <c r="K297" t="s">
        <v>150</v>
      </c>
      <c r="L297" t="s">
        <v>151</v>
      </c>
      <c r="M297" t="s">
        <v>112</v>
      </c>
      <c r="N297" t="s">
        <v>112</v>
      </c>
      <c r="O297">
        <v>1</v>
      </c>
      <c r="Q297">
        <v>1</v>
      </c>
      <c r="R297">
        <v>33</v>
      </c>
      <c r="S297" t="s">
        <v>112</v>
      </c>
      <c r="T297" t="s">
        <v>152</v>
      </c>
      <c r="U297" t="s">
        <v>153</v>
      </c>
      <c r="V297" t="s">
        <v>154</v>
      </c>
      <c r="W297" t="s">
        <v>119</v>
      </c>
      <c r="X297" t="s">
        <v>112</v>
      </c>
      <c r="Y297" t="s">
        <v>112</v>
      </c>
      <c r="Z297" t="s">
        <v>152</v>
      </c>
      <c r="AA297" t="s">
        <v>153</v>
      </c>
      <c r="AB297" t="s">
        <v>154</v>
      </c>
      <c r="AC297" t="s">
        <v>119</v>
      </c>
      <c r="AD297" t="s">
        <v>112</v>
      </c>
      <c r="AE297" t="s">
        <v>121</v>
      </c>
      <c r="AF297" t="s">
        <v>122</v>
      </c>
      <c r="AG297">
        <v>4382627.16</v>
      </c>
      <c r="AH297" t="s">
        <v>112</v>
      </c>
      <c r="AI297" t="s">
        <v>152</v>
      </c>
      <c r="AJ297" t="s">
        <v>153</v>
      </c>
      <c r="AK297" t="s">
        <v>154</v>
      </c>
      <c r="AL297" t="s">
        <v>119</v>
      </c>
      <c r="AM297" t="s">
        <v>112</v>
      </c>
      <c r="AN297" t="s">
        <v>121</v>
      </c>
      <c r="AO297" t="s">
        <v>122</v>
      </c>
      <c r="AP297" t="s">
        <v>122</v>
      </c>
      <c r="AQ297" t="s">
        <v>124</v>
      </c>
      <c r="AR297" t="s">
        <v>125</v>
      </c>
      <c r="AS297">
        <v>2</v>
      </c>
      <c r="AT297" t="s">
        <v>126</v>
      </c>
      <c r="AU297" t="s">
        <v>155</v>
      </c>
      <c r="AV297" t="s">
        <v>156</v>
      </c>
      <c r="AX297" t="s">
        <v>129</v>
      </c>
      <c r="AY297">
        <v>40820.79</v>
      </c>
      <c r="BB297">
        <v>96.256100000000004</v>
      </c>
      <c r="BC297" t="s">
        <v>112</v>
      </c>
      <c r="BD297" t="s">
        <v>112</v>
      </c>
      <c r="BE297" t="s">
        <v>157</v>
      </c>
      <c r="BF297" t="s">
        <v>133</v>
      </c>
      <c r="BG297" t="s">
        <v>167</v>
      </c>
      <c r="BH297" t="s">
        <v>112</v>
      </c>
      <c r="BI297" t="s">
        <v>112</v>
      </c>
      <c r="BJ297" t="s">
        <v>112</v>
      </c>
      <c r="BK297" t="s">
        <v>158</v>
      </c>
      <c r="BL297" t="s">
        <v>159</v>
      </c>
      <c r="BM297" t="s">
        <v>160</v>
      </c>
      <c r="BN297" t="s">
        <v>161</v>
      </c>
      <c r="BP297" t="s">
        <v>205</v>
      </c>
      <c r="BR297" t="s">
        <v>150</v>
      </c>
      <c r="BS297">
        <v>33</v>
      </c>
      <c r="BT297">
        <v>0</v>
      </c>
      <c r="BU297">
        <v>0</v>
      </c>
      <c r="BW297">
        <v>0</v>
      </c>
      <c r="BY297" t="s">
        <v>106</v>
      </c>
      <c r="BZ297" t="s">
        <v>142</v>
      </c>
      <c r="CA297" t="s">
        <v>112</v>
      </c>
      <c r="CB297" t="s">
        <v>112</v>
      </c>
      <c r="CC297" t="s">
        <v>121</v>
      </c>
      <c r="CD297">
        <v>16683.45</v>
      </c>
      <c r="CE297" t="s">
        <v>144</v>
      </c>
      <c r="CF297">
        <v>4000000</v>
      </c>
      <c r="CG297">
        <v>16553.849999999999</v>
      </c>
      <c r="CH297">
        <v>0</v>
      </c>
      <c r="CI297" t="s">
        <v>112</v>
      </c>
      <c r="CJ297" t="s">
        <v>112</v>
      </c>
      <c r="CK297">
        <v>40820.79</v>
      </c>
      <c r="CM297">
        <v>0</v>
      </c>
      <c r="CN297">
        <v>1</v>
      </c>
      <c r="CO297">
        <v>4382627.16</v>
      </c>
      <c r="CP297">
        <v>49523.78</v>
      </c>
      <c r="CQ297" t="s">
        <v>145</v>
      </c>
      <c r="CR297">
        <v>49496.011500000001</v>
      </c>
      <c r="CS297">
        <v>2.99</v>
      </c>
      <c r="CT297">
        <v>45</v>
      </c>
      <c r="CV297" t="s">
        <v>233</v>
      </c>
      <c r="CW297">
        <v>4</v>
      </c>
    </row>
    <row r="298" spans="1:101" x14ac:dyDescent="0.2">
      <c r="A298" t="s">
        <v>106</v>
      </c>
      <c r="B298" s="46">
        <v>45209</v>
      </c>
      <c r="C298" t="s">
        <v>1350</v>
      </c>
      <c r="D298" t="s">
        <v>108</v>
      </c>
      <c r="E298" t="s">
        <v>1351</v>
      </c>
      <c r="F298" t="s">
        <v>110</v>
      </c>
      <c r="G298" t="s">
        <v>111</v>
      </c>
      <c r="H298" t="s">
        <v>112</v>
      </c>
      <c r="I298" t="s">
        <v>112</v>
      </c>
      <c r="J298" t="s">
        <v>112</v>
      </c>
      <c r="K298" t="s">
        <v>150</v>
      </c>
      <c r="L298" t="s">
        <v>151</v>
      </c>
      <c r="M298" t="s">
        <v>112</v>
      </c>
      <c r="N298" t="s">
        <v>112</v>
      </c>
      <c r="O298">
        <v>1</v>
      </c>
      <c r="Q298">
        <v>1</v>
      </c>
      <c r="R298">
        <v>33</v>
      </c>
      <c r="S298" t="s">
        <v>112</v>
      </c>
      <c r="T298" t="s">
        <v>152</v>
      </c>
      <c r="U298" t="s">
        <v>153</v>
      </c>
      <c r="V298" t="s">
        <v>154</v>
      </c>
      <c r="W298" t="s">
        <v>119</v>
      </c>
      <c r="X298" t="s">
        <v>112</v>
      </c>
      <c r="Y298" t="s">
        <v>112</v>
      </c>
      <c r="Z298" t="s">
        <v>152</v>
      </c>
      <c r="AA298" t="s">
        <v>153</v>
      </c>
      <c r="AB298" t="s">
        <v>154</v>
      </c>
      <c r="AC298" t="s">
        <v>119</v>
      </c>
      <c r="AD298" t="s">
        <v>112</v>
      </c>
      <c r="AE298" t="s">
        <v>121</v>
      </c>
      <c r="AF298" t="s">
        <v>122</v>
      </c>
      <c r="AG298">
        <v>4638252.26</v>
      </c>
      <c r="AH298" t="s">
        <v>112</v>
      </c>
      <c r="AI298" t="s">
        <v>152</v>
      </c>
      <c r="AJ298" t="s">
        <v>153</v>
      </c>
      <c r="AK298" t="s">
        <v>154</v>
      </c>
      <c r="AL298" t="s">
        <v>119</v>
      </c>
      <c r="AM298" t="s">
        <v>112</v>
      </c>
      <c r="AN298" t="s">
        <v>121</v>
      </c>
      <c r="AO298" t="s">
        <v>122</v>
      </c>
      <c r="AP298" t="s">
        <v>122</v>
      </c>
      <c r="AQ298" t="s">
        <v>124</v>
      </c>
      <c r="AR298" t="s">
        <v>125</v>
      </c>
      <c r="AS298">
        <v>2</v>
      </c>
      <c r="AT298" t="s">
        <v>126</v>
      </c>
      <c r="AU298" t="s">
        <v>155</v>
      </c>
      <c r="AV298" t="s">
        <v>156</v>
      </c>
      <c r="AX298" t="s">
        <v>129</v>
      </c>
      <c r="AY298">
        <v>43666.58</v>
      </c>
      <c r="BB298">
        <v>96.256100000000004</v>
      </c>
      <c r="BC298" t="s">
        <v>112</v>
      </c>
      <c r="BD298" t="s">
        <v>112</v>
      </c>
      <c r="BE298" t="s">
        <v>157</v>
      </c>
      <c r="BF298" t="s">
        <v>133</v>
      </c>
      <c r="BG298" t="s">
        <v>134</v>
      </c>
      <c r="BH298" t="s">
        <v>112</v>
      </c>
      <c r="BI298" t="s">
        <v>112</v>
      </c>
      <c r="BJ298" t="s">
        <v>112</v>
      </c>
      <c r="BK298" t="s">
        <v>158</v>
      </c>
      <c r="BL298" t="s">
        <v>159</v>
      </c>
      <c r="BM298" t="s">
        <v>212</v>
      </c>
      <c r="BN298" t="s">
        <v>161</v>
      </c>
      <c r="BP298" t="s">
        <v>232</v>
      </c>
      <c r="BR298" t="s">
        <v>150</v>
      </c>
      <c r="BS298">
        <v>33</v>
      </c>
      <c r="BT298">
        <v>0</v>
      </c>
      <c r="BU298">
        <v>0</v>
      </c>
      <c r="BW298">
        <v>0</v>
      </c>
      <c r="BY298" t="s">
        <v>106</v>
      </c>
      <c r="BZ298" t="s">
        <v>142</v>
      </c>
      <c r="CA298" t="s">
        <v>112</v>
      </c>
      <c r="CB298" t="s">
        <v>112</v>
      </c>
      <c r="CC298" t="s">
        <v>121</v>
      </c>
      <c r="CD298">
        <v>17001.03</v>
      </c>
      <c r="CE298" t="s">
        <v>144</v>
      </c>
      <c r="CF298">
        <v>4000000</v>
      </c>
      <c r="CG298">
        <v>16921.830000000002</v>
      </c>
      <c r="CH298">
        <v>0</v>
      </c>
      <c r="CI298" t="s">
        <v>112</v>
      </c>
      <c r="CJ298" t="s">
        <v>112</v>
      </c>
      <c r="CK298">
        <v>43666.58</v>
      </c>
      <c r="CM298">
        <v>0</v>
      </c>
      <c r="CN298">
        <v>1</v>
      </c>
      <c r="CO298">
        <v>4638252.26</v>
      </c>
      <c r="CP298">
        <v>52785.33</v>
      </c>
      <c r="CQ298" t="s">
        <v>145</v>
      </c>
      <c r="CR298">
        <v>52796.109600000011</v>
      </c>
      <c r="CS298">
        <v>3.12</v>
      </c>
      <c r="CT298">
        <v>45</v>
      </c>
      <c r="CV298" t="s">
        <v>206</v>
      </c>
      <c r="CW298">
        <v>581</v>
      </c>
    </row>
    <row r="299" spans="1:101" x14ac:dyDescent="0.2">
      <c r="A299" t="s">
        <v>106</v>
      </c>
      <c r="B299" s="46">
        <v>45062</v>
      </c>
      <c r="C299" t="s">
        <v>1315</v>
      </c>
      <c r="D299" t="s">
        <v>108</v>
      </c>
      <c r="E299" t="s">
        <v>1316</v>
      </c>
      <c r="F299" t="s">
        <v>110</v>
      </c>
      <c r="G299" t="s">
        <v>111</v>
      </c>
      <c r="H299" t="s">
        <v>112</v>
      </c>
      <c r="I299" t="s">
        <v>112</v>
      </c>
      <c r="J299" t="s">
        <v>112</v>
      </c>
      <c r="K299" t="s">
        <v>150</v>
      </c>
      <c r="L299" t="s">
        <v>151</v>
      </c>
      <c r="M299" t="s">
        <v>112</v>
      </c>
      <c r="N299" t="s">
        <v>112</v>
      </c>
      <c r="O299">
        <v>1</v>
      </c>
      <c r="Q299">
        <v>1</v>
      </c>
      <c r="R299">
        <v>33</v>
      </c>
      <c r="S299" t="s">
        <v>112</v>
      </c>
      <c r="T299" t="s">
        <v>152</v>
      </c>
      <c r="U299" t="s">
        <v>153</v>
      </c>
      <c r="V299" t="s">
        <v>154</v>
      </c>
      <c r="W299" t="s">
        <v>119</v>
      </c>
      <c r="X299" t="s">
        <v>112</v>
      </c>
      <c r="Y299" t="s">
        <v>112</v>
      </c>
      <c r="Z299" t="s">
        <v>152</v>
      </c>
      <c r="AA299" t="s">
        <v>153</v>
      </c>
      <c r="AB299" t="s">
        <v>154</v>
      </c>
      <c r="AC299" t="s">
        <v>119</v>
      </c>
      <c r="AD299" t="s">
        <v>112</v>
      </c>
      <c r="AE299" t="s">
        <v>121</v>
      </c>
      <c r="AF299" t="s">
        <v>122</v>
      </c>
      <c r="AG299">
        <v>4103178.08</v>
      </c>
      <c r="AH299" t="s">
        <v>112</v>
      </c>
      <c r="AI299" t="s">
        <v>152</v>
      </c>
      <c r="AJ299" t="s">
        <v>153</v>
      </c>
      <c r="AK299" t="s">
        <v>154</v>
      </c>
      <c r="AL299" t="s">
        <v>119</v>
      </c>
      <c r="AM299" t="s">
        <v>112</v>
      </c>
      <c r="AN299" t="s">
        <v>121</v>
      </c>
      <c r="AO299" t="s">
        <v>122</v>
      </c>
      <c r="AP299" t="s">
        <v>122</v>
      </c>
      <c r="AQ299" t="s">
        <v>124</v>
      </c>
      <c r="AR299" t="s">
        <v>125</v>
      </c>
      <c r="AS299">
        <v>2</v>
      </c>
      <c r="AT299" t="s">
        <v>126</v>
      </c>
      <c r="AU299" t="s">
        <v>155</v>
      </c>
      <c r="AV299" t="s">
        <v>156</v>
      </c>
      <c r="AX299" t="s">
        <v>129</v>
      </c>
      <c r="AY299">
        <v>38637.72</v>
      </c>
      <c r="BB299">
        <v>96.256100000000004</v>
      </c>
      <c r="BC299" t="s">
        <v>112</v>
      </c>
      <c r="BD299" t="s">
        <v>112</v>
      </c>
      <c r="BE299" t="s">
        <v>157</v>
      </c>
      <c r="BF299" t="s">
        <v>133</v>
      </c>
      <c r="BG299" t="s">
        <v>134</v>
      </c>
      <c r="BH299" t="s">
        <v>112</v>
      </c>
      <c r="BI299" t="s">
        <v>112</v>
      </c>
      <c r="BJ299" t="s">
        <v>112</v>
      </c>
      <c r="BK299" t="s">
        <v>158</v>
      </c>
      <c r="BL299" t="s">
        <v>159</v>
      </c>
      <c r="BM299" t="s">
        <v>212</v>
      </c>
      <c r="BN299" t="s">
        <v>161</v>
      </c>
      <c r="BP299" t="s">
        <v>205</v>
      </c>
      <c r="BR299" t="s">
        <v>150</v>
      </c>
      <c r="BS299">
        <v>33</v>
      </c>
      <c r="BT299">
        <v>0</v>
      </c>
      <c r="BU299">
        <v>0</v>
      </c>
      <c r="BW299">
        <v>0</v>
      </c>
      <c r="BY299" t="s">
        <v>106</v>
      </c>
      <c r="BZ299" t="s">
        <v>142</v>
      </c>
      <c r="CA299" t="s">
        <v>112</v>
      </c>
      <c r="CB299" t="s">
        <v>112</v>
      </c>
      <c r="CC299" t="s">
        <v>121</v>
      </c>
      <c r="CD299">
        <v>16214.59</v>
      </c>
      <c r="CE299" t="s">
        <v>144</v>
      </c>
      <c r="CF299">
        <v>4000000</v>
      </c>
      <c r="CG299">
        <v>16079.59</v>
      </c>
      <c r="CH299">
        <v>0</v>
      </c>
      <c r="CI299" t="s">
        <v>112</v>
      </c>
      <c r="CJ299" t="s">
        <v>112</v>
      </c>
      <c r="CK299">
        <v>38637.72</v>
      </c>
      <c r="CM299">
        <v>0</v>
      </c>
      <c r="CN299">
        <v>1</v>
      </c>
      <c r="CO299">
        <v>4103178.08</v>
      </c>
      <c r="CP299">
        <v>46695.95</v>
      </c>
      <c r="CQ299" t="s">
        <v>145</v>
      </c>
      <c r="CR299">
        <v>46630.811000000002</v>
      </c>
      <c r="CS299">
        <v>2.9</v>
      </c>
      <c r="CT299">
        <v>45</v>
      </c>
      <c r="CV299" t="s">
        <v>206</v>
      </c>
      <c r="CW299">
        <v>313</v>
      </c>
    </row>
    <row r="300" spans="1:101" x14ac:dyDescent="0.2">
      <c r="A300" t="s">
        <v>106</v>
      </c>
      <c r="B300" s="46">
        <v>45256</v>
      </c>
      <c r="C300" t="s">
        <v>1345</v>
      </c>
      <c r="D300" t="s">
        <v>108</v>
      </c>
      <c r="E300" t="s">
        <v>1346</v>
      </c>
      <c r="F300" t="s">
        <v>110</v>
      </c>
      <c r="G300" t="s">
        <v>111</v>
      </c>
      <c r="H300" t="s">
        <v>112</v>
      </c>
      <c r="I300" t="s">
        <v>112</v>
      </c>
      <c r="J300" t="s">
        <v>112</v>
      </c>
      <c r="K300" t="s">
        <v>150</v>
      </c>
      <c r="L300" t="s">
        <v>151</v>
      </c>
      <c r="M300" t="s">
        <v>112</v>
      </c>
      <c r="N300" t="s">
        <v>112</v>
      </c>
      <c r="O300">
        <v>1</v>
      </c>
      <c r="Q300">
        <v>1</v>
      </c>
      <c r="R300">
        <v>33</v>
      </c>
      <c r="S300" t="s">
        <v>112</v>
      </c>
      <c r="T300" t="s">
        <v>152</v>
      </c>
      <c r="U300" t="s">
        <v>153</v>
      </c>
      <c r="V300" t="s">
        <v>154</v>
      </c>
      <c r="W300" t="s">
        <v>119</v>
      </c>
      <c r="X300" t="s">
        <v>112</v>
      </c>
      <c r="Y300" t="s">
        <v>112</v>
      </c>
      <c r="Z300" t="s">
        <v>152</v>
      </c>
      <c r="AA300" t="s">
        <v>153</v>
      </c>
      <c r="AB300" t="s">
        <v>154</v>
      </c>
      <c r="AC300" t="s">
        <v>119</v>
      </c>
      <c r="AD300" t="s">
        <v>112</v>
      </c>
      <c r="AE300" t="s">
        <v>121</v>
      </c>
      <c r="AF300" t="s">
        <v>122</v>
      </c>
      <c r="AG300">
        <v>4712968.17</v>
      </c>
      <c r="AH300" t="s">
        <v>112</v>
      </c>
      <c r="AI300" t="s">
        <v>152</v>
      </c>
      <c r="AJ300" t="s">
        <v>153</v>
      </c>
      <c r="AK300" t="s">
        <v>154</v>
      </c>
      <c r="AL300" t="s">
        <v>119</v>
      </c>
      <c r="AM300" t="s">
        <v>112</v>
      </c>
      <c r="AN300" t="s">
        <v>121</v>
      </c>
      <c r="AO300" t="s">
        <v>122</v>
      </c>
      <c r="AP300" t="s">
        <v>122</v>
      </c>
      <c r="AQ300" t="s">
        <v>124</v>
      </c>
      <c r="AR300" t="s">
        <v>125</v>
      </c>
      <c r="AS300">
        <v>2</v>
      </c>
      <c r="AT300" t="s">
        <v>126</v>
      </c>
      <c r="AU300" t="s">
        <v>155</v>
      </c>
      <c r="AV300" t="s">
        <v>156</v>
      </c>
      <c r="AX300" t="s">
        <v>129</v>
      </c>
      <c r="AY300">
        <v>44972.800000000003</v>
      </c>
      <c r="BB300">
        <v>96.256100000000004</v>
      </c>
      <c r="BC300" t="s">
        <v>112</v>
      </c>
      <c r="BD300" t="s">
        <v>112</v>
      </c>
      <c r="BE300" t="s">
        <v>157</v>
      </c>
      <c r="BF300" t="s">
        <v>133</v>
      </c>
      <c r="BG300" t="s">
        <v>134</v>
      </c>
      <c r="BH300" t="s">
        <v>112</v>
      </c>
      <c r="BI300" t="s">
        <v>112</v>
      </c>
      <c r="BJ300" t="s">
        <v>112</v>
      </c>
      <c r="BK300" t="s">
        <v>158</v>
      </c>
      <c r="BL300" t="s">
        <v>159</v>
      </c>
      <c r="BM300" t="s">
        <v>212</v>
      </c>
      <c r="BN300" t="s">
        <v>161</v>
      </c>
      <c r="BP300" t="s">
        <v>232</v>
      </c>
      <c r="BR300" t="s">
        <v>150</v>
      </c>
      <c r="BS300">
        <v>33</v>
      </c>
      <c r="BT300">
        <v>0</v>
      </c>
      <c r="BU300">
        <v>0</v>
      </c>
      <c r="BW300">
        <v>0</v>
      </c>
      <c r="BY300" t="s">
        <v>106</v>
      </c>
      <c r="BZ300" t="s">
        <v>142</v>
      </c>
      <c r="CA300" t="s">
        <v>112</v>
      </c>
      <c r="CB300" t="s">
        <v>112</v>
      </c>
      <c r="CC300" t="s">
        <v>121</v>
      </c>
      <c r="CD300">
        <v>16426.439999999999</v>
      </c>
      <c r="CE300" t="s">
        <v>144</v>
      </c>
      <c r="CF300">
        <v>4000000</v>
      </c>
      <c r="CG300">
        <v>16372.44</v>
      </c>
      <c r="CH300">
        <v>0</v>
      </c>
      <c r="CI300" t="s">
        <v>112</v>
      </c>
      <c r="CJ300" t="s">
        <v>112</v>
      </c>
      <c r="CK300">
        <v>44972.800000000003</v>
      </c>
      <c r="CM300">
        <v>0</v>
      </c>
      <c r="CN300">
        <v>1</v>
      </c>
      <c r="CO300">
        <v>4712968.17</v>
      </c>
      <c r="CP300">
        <v>53635.63</v>
      </c>
      <c r="CQ300" t="s">
        <v>145</v>
      </c>
      <c r="CR300">
        <v>53701.603199999998</v>
      </c>
      <c r="CS300">
        <v>3.28</v>
      </c>
      <c r="CT300">
        <v>45</v>
      </c>
      <c r="CV300" t="s">
        <v>1140</v>
      </c>
      <c r="CW300">
        <v>285</v>
      </c>
    </row>
    <row r="301" spans="1:101" x14ac:dyDescent="0.2">
      <c r="A301" t="s">
        <v>106</v>
      </c>
      <c r="B301" s="46">
        <v>45110</v>
      </c>
      <c r="C301" t="s">
        <v>1339</v>
      </c>
      <c r="D301" t="s">
        <v>108</v>
      </c>
      <c r="E301" t="s">
        <v>1340</v>
      </c>
      <c r="F301" t="s">
        <v>110</v>
      </c>
      <c r="G301" t="s">
        <v>111</v>
      </c>
      <c r="H301" t="s">
        <v>112</v>
      </c>
      <c r="I301" t="s">
        <v>112</v>
      </c>
      <c r="J301" t="s">
        <v>112</v>
      </c>
      <c r="K301" t="s">
        <v>150</v>
      </c>
      <c r="L301" t="s">
        <v>151</v>
      </c>
      <c r="M301" t="s">
        <v>112</v>
      </c>
      <c r="N301" t="s">
        <v>112</v>
      </c>
      <c r="O301">
        <v>1</v>
      </c>
      <c r="Q301">
        <v>1</v>
      </c>
      <c r="R301">
        <v>33</v>
      </c>
      <c r="S301" t="s">
        <v>112</v>
      </c>
      <c r="T301" t="s">
        <v>152</v>
      </c>
      <c r="U301" t="s">
        <v>153</v>
      </c>
      <c r="V301" t="s">
        <v>154</v>
      </c>
      <c r="W301" t="s">
        <v>119</v>
      </c>
      <c r="X301" t="s">
        <v>112</v>
      </c>
      <c r="Y301" t="s">
        <v>112</v>
      </c>
      <c r="Z301" t="s">
        <v>152</v>
      </c>
      <c r="AA301" t="s">
        <v>153</v>
      </c>
      <c r="AB301" t="s">
        <v>154</v>
      </c>
      <c r="AC301" t="s">
        <v>119</v>
      </c>
      <c r="AD301" t="s">
        <v>112</v>
      </c>
      <c r="AE301" t="s">
        <v>121</v>
      </c>
      <c r="AF301" t="s">
        <v>122</v>
      </c>
      <c r="AG301">
        <v>4942269.46</v>
      </c>
      <c r="AH301" t="s">
        <v>112</v>
      </c>
      <c r="AI301" t="s">
        <v>152</v>
      </c>
      <c r="AJ301" t="s">
        <v>153</v>
      </c>
      <c r="AK301" t="s">
        <v>154</v>
      </c>
      <c r="AL301" t="s">
        <v>119</v>
      </c>
      <c r="AM301" t="s">
        <v>112</v>
      </c>
      <c r="AN301" t="s">
        <v>121</v>
      </c>
      <c r="AO301" t="s">
        <v>122</v>
      </c>
      <c r="AP301" t="s">
        <v>122</v>
      </c>
      <c r="AQ301" t="s">
        <v>124</v>
      </c>
      <c r="AR301" t="s">
        <v>125</v>
      </c>
      <c r="AS301">
        <v>2</v>
      </c>
      <c r="AT301" t="s">
        <v>126</v>
      </c>
      <c r="AU301" t="s">
        <v>155</v>
      </c>
      <c r="AV301" t="s">
        <v>156</v>
      </c>
      <c r="AX301" t="s">
        <v>129</v>
      </c>
      <c r="AY301">
        <v>47355</v>
      </c>
      <c r="BB301">
        <v>96.256100000000004</v>
      </c>
      <c r="BC301" t="s">
        <v>112</v>
      </c>
      <c r="BD301" t="s">
        <v>112</v>
      </c>
      <c r="BE301" t="s">
        <v>157</v>
      </c>
      <c r="BF301" t="s">
        <v>133</v>
      </c>
      <c r="BG301" t="s">
        <v>134</v>
      </c>
      <c r="BH301" t="s">
        <v>112</v>
      </c>
      <c r="BI301" t="s">
        <v>112</v>
      </c>
      <c r="BJ301" t="s">
        <v>112</v>
      </c>
      <c r="BK301" t="s">
        <v>158</v>
      </c>
      <c r="BL301" t="s">
        <v>159</v>
      </c>
      <c r="BM301" t="s">
        <v>212</v>
      </c>
      <c r="BN301" t="s">
        <v>161</v>
      </c>
      <c r="BP301" t="s">
        <v>232</v>
      </c>
      <c r="BR301" t="s">
        <v>150</v>
      </c>
      <c r="BS301">
        <v>33</v>
      </c>
      <c r="BT301">
        <v>0</v>
      </c>
      <c r="BU301">
        <v>0</v>
      </c>
      <c r="BW301">
        <v>0</v>
      </c>
      <c r="BY301" t="s">
        <v>106</v>
      </c>
      <c r="BZ301" t="s">
        <v>142</v>
      </c>
      <c r="CA301" t="s">
        <v>112</v>
      </c>
      <c r="CB301" t="s">
        <v>112</v>
      </c>
      <c r="CC301" t="s">
        <v>121</v>
      </c>
      <c r="CD301">
        <v>16493.7</v>
      </c>
      <c r="CE301" t="s">
        <v>144</v>
      </c>
      <c r="CF301">
        <v>4000000</v>
      </c>
      <c r="CG301">
        <v>16439.7</v>
      </c>
      <c r="CH301">
        <v>0</v>
      </c>
      <c r="CI301" t="s">
        <v>112</v>
      </c>
      <c r="CJ301" t="s">
        <v>112</v>
      </c>
      <c r="CK301">
        <v>47355</v>
      </c>
      <c r="CM301">
        <v>0</v>
      </c>
      <c r="CN301">
        <v>1</v>
      </c>
      <c r="CO301">
        <v>4942269.46</v>
      </c>
      <c r="CP301">
        <v>56245.18</v>
      </c>
      <c r="CQ301" t="s">
        <v>145</v>
      </c>
      <c r="CR301">
        <v>56223.774000000005</v>
      </c>
      <c r="CS301">
        <v>3.42</v>
      </c>
      <c r="CT301">
        <v>45</v>
      </c>
      <c r="CV301" t="s">
        <v>233</v>
      </c>
      <c r="CW301">
        <v>148</v>
      </c>
    </row>
    <row r="302" spans="1:101" x14ac:dyDescent="0.2">
      <c r="A302" t="s">
        <v>106</v>
      </c>
      <c r="B302" s="46">
        <v>45174</v>
      </c>
      <c r="C302" t="s">
        <v>1343</v>
      </c>
      <c r="D302" t="s">
        <v>108</v>
      </c>
      <c r="E302" t="s">
        <v>1344</v>
      </c>
      <c r="F302" t="s">
        <v>110</v>
      </c>
      <c r="G302" t="s">
        <v>111</v>
      </c>
      <c r="H302" t="s">
        <v>112</v>
      </c>
      <c r="I302" t="s">
        <v>112</v>
      </c>
      <c r="J302" t="s">
        <v>112</v>
      </c>
      <c r="K302" t="s">
        <v>150</v>
      </c>
      <c r="L302" t="s">
        <v>151</v>
      </c>
      <c r="M302" t="s">
        <v>112</v>
      </c>
      <c r="N302" t="s">
        <v>112</v>
      </c>
      <c r="O302">
        <v>1</v>
      </c>
      <c r="Q302">
        <v>1</v>
      </c>
      <c r="R302">
        <v>33</v>
      </c>
      <c r="S302" t="s">
        <v>112</v>
      </c>
      <c r="T302" t="s">
        <v>152</v>
      </c>
      <c r="U302" t="s">
        <v>153</v>
      </c>
      <c r="V302" t="s">
        <v>154</v>
      </c>
      <c r="W302" t="s">
        <v>119</v>
      </c>
      <c r="X302" t="s">
        <v>112</v>
      </c>
      <c r="Y302" t="s">
        <v>112</v>
      </c>
      <c r="Z302" t="s">
        <v>152</v>
      </c>
      <c r="AA302" t="s">
        <v>153</v>
      </c>
      <c r="AB302" t="s">
        <v>154</v>
      </c>
      <c r="AC302" t="s">
        <v>119</v>
      </c>
      <c r="AD302" t="s">
        <v>112</v>
      </c>
      <c r="AE302" t="s">
        <v>121</v>
      </c>
      <c r="AF302" t="s">
        <v>122</v>
      </c>
      <c r="AG302">
        <v>4884669.8099999996</v>
      </c>
      <c r="AH302" t="s">
        <v>112</v>
      </c>
      <c r="AI302" t="s">
        <v>152</v>
      </c>
      <c r="AJ302" t="s">
        <v>153</v>
      </c>
      <c r="AK302" t="s">
        <v>154</v>
      </c>
      <c r="AL302" t="s">
        <v>119</v>
      </c>
      <c r="AM302" t="s">
        <v>112</v>
      </c>
      <c r="AN302" t="s">
        <v>121</v>
      </c>
      <c r="AO302" t="s">
        <v>122</v>
      </c>
      <c r="AP302" t="s">
        <v>122</v>
      </c>
      <c r="AQ302" t="s">
        <v>124</v>
      </c>
      <c r="AR302" t="s">
        <v>125</v>
      </c>
      <c r="AS302">
        <v>2</v>
      </c>
      <c r="AT302" t="s">
        <v>126</v>
      </c>
      <c r="AU302" t="s">
        <v>155</v>
      </c>
      <c r="AV302" t="s">
        <v>156</v>
      </c>
      <c r="AX302" t="s">
        <v>129</v>
      </c>
      <c r="AY302">
        <v>46756.6</v>
      </c>
      <c r="BB302">
        <v>96.256100000000004</v>
      </c>
      <c r="BC302" t="s">
        <v>112</v>
      </c>
      <c r="BD302" t="s">
        <v>112</v>
      </c>
      <c r="BE302" t="s">
        <v>157</v>
      </c>
      <c r="BF302" t="s">
        <v>133</v>
      </c>
      <c r="BG302" t="s">
        <v>167</v>
      </c>
      <c r="BH302" t="s">
        <v>112</v>
      </c>
      <c r="BI302" t="s">
        <v>112</v>
      </c>
      <c r="BJ302" t="s">
        <v>112</v>
      </c>
      <c r="BK302" t="s">
        <v>158</v>
      </c>
      <c r="BL302" t="s">
        <v>159</v>
      </c>
      <c r="BM302" t="s">
        <v>160</v>
      </c>
      <c r="BN302" t="s">
        <v>161</v>
      </c>
      <c r="BP302" t="s">
        <v>162</v>
      </c>
      <c r="BR302" t="s">
        <v>150</v>
      </c>
      <c r="BS302">
        <v>33</v>
      </c>
      <c r="BT302">
        <v>0</v>
      </c>
      <c r="BU302">
        <v>0</v>
      </c>
      <c r="BW302">
        <v>0</v>
      </c>
      <c r="BY302" t="s">
        <v>106</v>
      </c>
      <c r="BZ302" t="s">
        <v>142</v>
      </c>
      <c r="CA302" t="s">
        <v>112</v>
      </c>
      <c r="CB302" t="s">
        <v>112</v>
      </c>
      <c r="CC302" t="s">
        <v>121</v>
      </c>
      <c r="CD302">
        <v>17047.14</v>
      </c>
      <c r="CE302" t="s">
        <v>144</v>
      </c>
      <c r="CF302">
        <v>4000000</v>
      </c>
      <c r="CG302">
        <v>17029.14</v>
      </c>
      <c r="CH302">
        <v>0</v>
      </c>
      <c r="CI302" t="s">
        <v>112</v>
      </c>
      <c r="CJ302" t="s">
        <v>112</v>
      </c>
      <c r="CK302">
        <v>46756.6</v>
      </c>
      <c r="CM302">
        <v>0</v>
      </c>
      <c r="CN302">
        <v>1</v>
      </c>
      <c r="CO302">
        <v>4884669.8099999996</v>
      </c>
      <c r="CP302">
        <v>55589.67</v>
      </c>
      <c r="CQ302" t="s">
        <v>145</v>
      </c>
      <c r="CR302">
        <v>55514.996399999996</v>
      </c>
      <c r="CS302">
        <v>3.26</v>
      </c>
      <c r="CT302">
        <v>45</v>
      </c>
      <c r="CV302" t="s">
        <v>1140</v>
      </c>
      <c r="CW302">
        <v>109</v>
      </c>
    </row>
    <row r="303" spans="1:101" x14ac:dyDescent="0.2">
      <c r="A303" t="s">
        <v>106</v>
      </c>
      <c r="B303" s="46">
        <v>45032</v>
      </c>
      <c r="C303" t="s">
        <v>1341</v>
      </c>
      <c r="D303" t="s">
        <v>108</v>
      </c>
      <c r="E303" t="s">
        <v>1342</v>
      </c>
      <c r="F303" t="s">
        <v>110</v>
      </c>
      <c r="G303" t="s">
        <v>111</v>
      </c>
      <c r="H303" t="s">
        <v>112</v>
      </c>
      <c r="I303" t="s">
        <v>112</v>
      </c>
      <c r="J303" t="s">
        <v>112</v>
      </c>
      <c r="K303" t="s">
        <v>150</v>
      </c>
      <c r="L303" t="s">
        <v>151</v>
      </c>
      <c r="M303" t="s">
        <v>112</v>
      </c>
      <c r="N303" t="s">
        <v>112</v>
      </c>
      <c r="O303">
        <v>1</v>
      </c>
      <c r="Q303">
        <v>1</v>
      </c>
      <c r="R303">
        <v>33</v>
      </c>
      <c r="S303" t="s">
        <v>112</v>
      </c>
      <c r="T303" t="s">
        <v>152</v>
      </c>
      <c r="U303" t="s">
        <v>153</v>
      </c>
      <c r="V303" t="s">
        <v>154</v>
      </c>
      <c r="W303" t="s">
        <v>119</v>
      </c>
      <c r="X303" t="s">
        <v>112</v>
      </c>
      <c r="Y303" t="s">
        <v>112</v>
      </c>
      <c r="Z303" t="s">
        <v>152</v>
      </c>
      <c r="AA303" t="s">
        <v>153</v>
      </c>
      <c r="AB303" t="s">
        <v>154</v>
      </c>
      <c r="AC303" t="s">
        <v>119</v>
      </c>
      <c r="AD303" t="s">
        <v>112</v>
      </c>
      <c r="AE303" t="s">
        <v>121</v>
      </c>
      <c r="AF303" t="s">
        <v>122</v>
      </c>
      <c r="AG303">
        <v>4737925.46</v>
      </c>
      <c r="AH303" t="s">
        <v>112</v>
      </c>
      <c r="AI303" t="s">
        <v>152</v>
      </c>
      <c r="AJ303" t="s">
        <v>153</v>
      </c>
      <c r="AK303" t="s">
        <v>154</v>
      </c>
      <c r="AL303" t="s">
        <v>119</v>
      </c>
      <c r="AM303" t="s">
        <v>112</v>
      </c>
      <c r="AN303" t="s">
        <v>121</v>
      </c>
      <c r="AO303" t="s">
        <v>122</v>
      </c>
      <c r="AP303" t="s">
        <v>122</v>
      </c>
      <c r="AQ303" t="s">
        <v>124</v>
      </c>
      <c r="AR303" t="s">
        <v>125</v>
      </c>
      <c r="AS303">
        <v>2</v>
      </c>
      <c r="AT303" t="s">
        <v>126</v>
      </c>
      <c r="AU303" t="s">
        <v>155</v>
      </c>
      <c r="AV303" t="s">
        <v>156</v>
      </c>
      <c r="AX303" t="s">
        <v>129</v>
      </c>
      <c r="AY303">
        <v>45232.08</v>
      </c>
      <c r="BB303">
        <v>96.256100000000004</v>
      </c>
      <c r="BC303" t="s">
        <v>112</v>
      </c>
      <c r="BD303" t="s">
        <v>112</v>
      </c>
      <c r="BE303" t="s">
        <v>157</v>
      </c>
      <c r="BF303" t="s">
        <v>133</v>
      </c>
      <c r="BG303" t="s">
        <v>167</v>
      </c>
      <c r="BH303" t="s">
        <v>112</v>
      </c>
      <c r="BI303" t="s">
        <v>112</v>
      </c>
      <c r="BJ303" t="s">
        <v>112</v>
      </c>
      <c r="BK303" t="s">
        <v>158</v>
      </c>
      <c r="BL303" t="s">
        <v>159</v>
      </c>
      <c r="BM303" t="s">
        <v>160</v>
      </c>
      <c r="BN303" t="s">
        <v>161</v>
      </c>
      <c r="BP303" t="s">
        <v>205</v>
      </c>
      <c r="BR303" t="s">
        <v>112</v>
      </c>
      <c r="BS303">
        <v>33</v>
      </c>
      <c r="BT303">
        <v>0</v>
      </c>
      <c r="BU303">
        <v>0</v>
      </c>
      <c r="BW303">
        <v>0</v>
      </c>
      <c r="BY303" t="s">
        <v>106</v>
      </c>
      <c r="BZ303" t="s">
        <v>142</v>
      </c>
      <c r="CA303" t="s">
        <v>112</v>
      </c>
      <c r="CB303" t="s">
        <v>112</v>
      </c>
      <c r="CC303" t="s">
        <v>121</v>
      </c>
      <c r="CD303">
        <v>16727.89</v>
      </c>
      <c r="CE303" t="s">
        <v>144</v>
      </c>
      <c r="CF303">
        <v>4000000</v>
      </c>
      <c r="CG303">
        <v>16727.89</v>
      </c>
      <c r="CH303">
        <v>0</v>
      </c>
      <c r="CI303" t="s">
        <v>112</v>
      </c>
      <c r="CJ303" t="s">
        <v>112</v>
      </c>
      <c r="CK303">
        <v>45232.08</v>
      </c>
      <c r="CM303">
        <v>0</v>
      </c>
      <c r="CN303">
        <v>1</v>
      </c>
      <c r="CO303">
        <v>4737925.46</v>
      </c>
      <c r="CP303">
        <v>53919.65</v>
      </c>
      <c r="CQ303" t="s">
        <v>145</v>
      </c>
      <c r="CR303">
        <v>53863.805800000002</v>
      </c>
      <c r="CS303">
        <v>3.22</v>
      </c>
      <c r="CT303">
        <v>45</v>
      </c>
      <c r="CV303" t="s">
        <v>233</v>
      </c>
      <c r="CW303">
        <v>310</v>
      </c>
    </row>
    <row r="304" spans="1:101" x14ac:dyDescent="0.2">
      <c r="A304" t="s">
        <v>106</v>
      </c>
      <c r="B304" s="46">
        <v>45271</v>
      </c>
      <c r="C304" t="s">
        <v>1330</v>
      </c>
      <c r="D304" t="s">
        <v>108</v>
      </c>
      <c r="E304" t="s">
        <v>1331</v>
      </c>
      <c r="F304" t="s">
        <v>110</v>
      </c>
      <c r="G304" t="s">
        <v>111</v>
      </c>
      <c r="H304" t="s">
        <v>112</v>
      </c>
      <c r="I304" t="s">
        <v>112</v>
      </c>
      <c r="J304" t="s">
        <v>112</v>
      </c>
      <c r="K304" t="s">
        <v>150</v>
      </c>
      <c r="L304" t="s">
        <v>151</v>
      </c>
      <c r="M304" t="s">
        <v>112</v>
      </c>
      <c r="N304" t="s">
        <v>112</v>
      </c>
      <c r="O304">
        <v>1</v>
      </c>
      <c r="Q304">
        <v>1</v>
      </c>
      <c r="R304">
        <v>33</v>
      </c>
      <c r="S304" t="s">
        <v>112</v>
      </c>
      <c r="T304" t="s">
        <v>152</v>
      </c>
      <c r="U304" t="s">
        <v>153</v>
      </c>
      <c r="V304" t="s">
        <v>154</v>
      </c>
      <c r="W304" t="s">
        <v>119</v>
      </c>
      <c r="X304" t="s">
        <v>112</v>
      </c>
      <c r="Y304" t="s">
        <v>112</v>
      </c>
      <c r="Z304" t="s">
        <v>152</v>
      </c>
      <c r="AA304" t="s">
        <v>153</v>
      </c>
      <c r="AB304" t="s">
        <v>154</v>
      </c>
      <c r="AC304" t="s">
        <v>119</v>
      </c>
      <c r="AD304" t="s">
        <v>112</v>
      </c>
      <c r="AE304" t="s">
        <v>121</v>
      </c>
      <c r="AF304" t="s">
        <v>122</v>
      </c>
      <c r="AG304">
        <v>4084485.15</v>
      </c>
      <c r="AH304" t="s">
        <v>112</v>
      </c>
      <c r="AI304" t="s">
        <v>152</v>
      </c>
      <c r="AJ304" t="s">
        <v>153</v>
      </c>
      <c r="AK304" t="s">
        <v>154</v>
      </c>
      <c r="AL304" t="s">
        <v>119</v>
      </c>
      <c r="AM304" t="s">
        <v>112</v>
      </c>
      <c r="AN304" t="s">
        <v>121</v>
      </c>
      <c r="AO304" t="s">
        <v>122</v>
      </c>
      <c r="AP304" t="s">
        <v>122</v>
      </c>
      <c r="AQ304" t="s">
        <v>124</v>
      </c>
      <c r="AR304" t="s">
        <v>125</v>
      </c>
      <c r="AS304">
        <v>2</v>
      </c>
      <c r="AT304" t="s">
        <v>126</v>
      </c>
      <c r="AU304" t="s">
        <v>155</v>
      </c>
      <c r="AV304" t="s">
        <v>156</v>
      </c>
      <c r="AX304" t="s">
        <v>129</v>
      </c>
      <c r="AY304">
        <v>38443.519999999997</v>
      </c>
      <c r="BB304">
        <v>96.256100000000004</v>
      </c>
      <c r="BC304" t="s">
        <v>112</v>
      </c>
      <c r="BD304" t="s">
        <v>112</v>
      </c>
      <c r="BE304" t="s">
        <v>157</v>
      </c>
      <c r="BF304" t="s">
        <v>133</v>
      </c>
      <c r="BG304" t="s">
        <v>167</v>
      </c>
      <c r="BH304" t="s">
        <v>112</v>
      </c>
      <c r="BI304" t="s">
        <v>112</v>
      </c>
      <c r="BJ304" t="s">
        <v>112</v>
      </c>
      <c r="BK304" t="s">
        <v>158</v>
      </c>
      <c r="BL304" t="s">
        <v>159</v>
      </c>
      <c r="BM304" t="s">
        <v>160</v>
      </c>
      <c r="BN304" t="s">
        <v>161</v>
      </c>
      <c r="BP304" t="s">
        <v>205</v>
      </c>
      <c r="BR304" t="s">
        <v>150</v>
      </c>
      <c r="BS304">
        <v>33</v>
      </c>
      <c r="BT304">
        <v>0</v>
      </c>
      <c r="BU304">
        <v>0</v>
      </c>
      <c r="BW304">
        <v>0</v>
      </c>
      <c r="BY304" t="s">
        <v>106</v>
      </c>
      <c r="BZ304" t="s">
        <v>142</v>
      </c>
      <c r="CA304" t="s">
        <v>112</v>
      </c>
      <c r="CB304" t="s">
        <v>112</v>
      </c>
      <c r="CC304" t="s">
        <v>121</v>
      </c>
      <c r="CD304">
        <v>16667.740000000002</v>
      </c>
      <c r="CE304" t="s">
        <v>144</v>
      </c>
      <c r="CF304">
        <v>4000000</v>
      </c>
      <c r="CG304">
        <v>16538.14</v>
      </c>
      <c r="CH304">
        <v>0</v>
      </c>
      <c r="CI304" t="s">
        <v>112</v>
      </c>
      <c r="CJ304" t="s">
        <v>112</v>
      </c>
      <c r="CK304">
        <v>38443.519999999997</v>
      </c>
      <c r="CM304">
        <v>0</v>
      </c>
      <c r="CN304">
        <v>1</v>
      </c>
      <c r="CO304">
        <v>4084485.15</v>
      </c>
      <c r="CP304">
        <v>46483.22</v>
      </c>
      <c r="CQ304" t="s">
        <v>145</v>
      </c>
      <c r="CR304">
        <v>46472.1734</v>
      </c>
      <c r="CS304">
        <v>2.81</v>
      </c>
      <c r="CT304">
        <v>45</v>
      </c>
      <c r="CV304" t="s">
        <v>206</v>
      </c>
      <c r="CW304">
        <v>88</v>
      </c>
    </row>
    <row r="305" spans="1:101" x14ac:dyDescent="0.2">
      <c r="A305" t="s">
        <v>106</v>
      </c>
      <c r="B305" s="46">
        <v>44948</v>
      </c>
      <c r="C305" t="s">
        <v>2043</v>
      </c>
      <c r="D305" t="s">
        <v>108</v>
      </c>
      <c r="E305" t="s">
        <v>2044</v>
      </c>
      <c r="F305" t="s">
        <v>110</v>
      </c>
      <c r="G305" t="s">
        <v>111</v>
      </c>
      <c r="H305" t="s">
        <v>112</v>
      </c>
      <c r="I305" t="s">
        <v>112</v>
      </c>
      <c r="J305" t="s">
        <v>112</v>
      </c>
      <c r="K305" t="s">
        <v>150</v>
      </c>
      <c r="L305" t="s">
        <v>151</v>
      </c>
      <c r="M305" t="s">
        <v>112</v>
      </c>
      <c r="N305" t="s">
        <v>112</v>
      </c>
      <c r="O305">
        <v>1</v>
      </c>
      <c r="Q305">
        <v>1</v>
      </c>
      <c r="R305">
        <v>33</v>
      </c>
      <c r="S305" t="s">
        <v>112</v>
      </c>
      <c r="T305" t="s">
        <v>152</v>
      </c>
      <c r="U305" t="s">
        <v>153</v>
      </c>
      <c r="V305" t="s">
        <v>154</v>
      </c>
      <c r="W305" t="s">
        <v>119</v>
      </c>
      <c r="X305" t="s">
        <v>112</v>
      </c>
      <c r="Y305" t="s">
        <v>112</v>
      </c>
      <c r="Z305" t="s">
        <v>152</v>
      </c>
      <c r="AA305" t="s">
        <v>153</v>
      </c>
      <c r="AB305" t="s">
        <v>154</v>
      </c>
      <c r="AC305" t="s">
        <v>119</v>
      </c>
      <c r="AD305" t="s">
        <v>112</v>
      </c>
      <c r="AE305" t="s">
        <v>121</v>
      </c>
      <c r="AF305" t="s">
        <v>122</v>
      </c>
      <c r="AG305">
        <v>5075949.5599999996</v>
      </c>
      <c r="AH305" t="s">
        <v>112</v>
      </c>
      <c r="AI305" t="s">
        <v>152</v>
      </c>
      <c r="AJ305" t="s">
        <v>153</v>
      </c>
      <c r="AK305" t="s">
        <v>154</v>
      </c>
      <c r="AL305" t="s">
        <v>119</v>
      </c>
      <c r="AM305" t="s">
        <v>112</v>
      </c>
      <c r="AN305" t="s">
        <v>121</v>
      </c>
      <c r="AO305" t="s">
        <v>122</v>
      </c>
      <c r="AP305" t="s">
        <v>122</v>
      </c>
      <c r="AQ305" t="s">
        <v>124</v>
      </c>
      <c r="AR305" t="s">
        <v>125</v>
      </c>
      <c r="AS305">
        <v>2</v>
      </c>
      <c r="AT305" t="s">
        <v>126</v>
      </c>
      <c r="AU305" t="s">
        <v>155</v>
      </c>
      <c r="AV305" t="s">
        <v>156</v>
      </c>
      <c r="AX305" t="s">
        <v>129</v>
      </c>
      <c r="AY305">
        <v>44758.9</v>
      </c>
      <c r="BB305">
        <v>102.36060000000001</v>
      </c>
      <c r="BC305" t="s">
        <v>112</v>
      </c>
      <c r="BD305" t="s">
        <v>112</v>
      </c>
      <c r="BE305" t="s">
        <v>157</v>
      </c>
      <c r="BF305" t="s">
        <v>133</v>
      </c>
      <c r="BG305" t="s">
        <v>134</v>
      </c>
      <c r="BH305" t="s">
        <v>112</v>
      </c>
      <c r="BI305" t="s">
        <v>112</v>
      </c>
      <c r="BJ305" t="s">
        <v>112</v>
      </c>
      <c r="BK305" t="s">
        <v>169</v>
      </c>
      <c r="BL305" t="s">
        <v>159</v>
      </c>
      <c r="BM305" t="s">
        <v>212</v>
      </c>
      <c r="BN305" t="s">
        <v>161</v>
      </c>
      <c r="BP305" t="s">
        <v>466</v>
      </c>
      <c r="BR305" t="s">
        <v>150</v>
      </c>
      <c r="BS305">
        <v>33</v>
      </c>
      <c r="BT305">
        <v>0</v>
      </c>
      <c r="BU305">
        <v>0</v>
      </c>
      <c r="BW305">
        <v>0</v>
      </c>
      <c r="BY305" t="s">
        <v>106</v>
      </c>
      <c r="BZ305" t="s">
        <v>142</v>
      </c>
      <c r="CA305" t="s">
        <v>112</v>
      </c>
      <c r="CB305" t="s">
        <v>112</v>
      </c>
      <c r="CC305" t="s">
        <v>121</v>
      </c>
      <c r="CD305">
        <v>16670.650000000001</v>
      </c>
      <c r="CE305" t="s">
        <v>144</v>
      </c>
      <c r="CF305">
        <v>4000000</v>
      </c>
      <c r="CG305">
        <v>16670.650000000001</v>
      </c>
      <c r="CH305">
        <v>0</v>
      </c>
      <c r="CI305" t="s">
        <v>112</v>
      </c>
      <c r="CJ305" t="s">
        <v>112</v>
      </c>
      <c r="CK305">
        <v>44758.9</v>
      </c>
      <c r="CM305">
        <v>0</v>
      </c>
      <c r="CN305">
        <v>1</v>
      </c>
      <c r="CO305">
        <v>5075949.5599999996</v>
      </c>
      <c r="CP305">
        <v>52832.54</v>
      </c>
      <c r="CQ305" t="s">
        <v>145</v>
      </c>
      <c r="CR305">
        <v>52845.960500000001</v>
      </c>
      <c r="CS305">
        <v>3.17</v>
      </c>
      <c r="CT305">
        <v>45</v>
      </c>
      <c r="CV305" t="s">
        <v>729</v>
      </c>
      <c r="CW305">
        <v>124</v>
      </c>
    </row>
    <row r="306" spans="1:101" x14ac:dyDescent="0.2">
      <c r="A306" t="s">
        <v>106</v>
      </c>
      <c r="B306" s="46">
        <v>44800</v>
      </c>
      <c r="C306" t="s">
        <v>1770</v>
      </c>
      <c r="D306" t="s">
        <v>108</v>
      </c>
      <c r="E306" t="s">
        <v>1771</v>
      </c>
      <c r="F306" t="s">
        <v>110</v>
      </c>
      <c r="G306" t="s">
        <v>111</v>
      </c>
      <c r="H306" t="s">
        <v>112</v>
      </c>
      <c r="I306" t="s">
        <v>112</v>
      </c>
      <c r="J306" t="s">
        <v>112</v>
      </c>
      <c r="K306" t="s">
        <v>150</v>
      </c>
      <c r="L306" t="s">
        <v>151</v>
      </c>
      <c r="M306" t="s">
        <v>112</v>
      </c>
      <c r="N306" t="s">
        <v>112</v>
      </c>
      <c r="Q306">
        <v>1</v>
      </c>
      <c r="R306">
        <v>33</v>
      </c>
      <c r="S306" t="s">
        <v>166</v>
      </c>
      <c r="T306" t="s">
        <v>152</v>
      </c>
      <c r="U306" t="s">
        <v>153</v>
      </c>
      <c r="V306" t="s">
        <v>154</v>
      </c>
      <c r="W306" t="s">
        <v>119</v>
      </c>
      <c r="X306" t="s">
        <v>112</v>
      </c>
      <c r="Y306" t="s">
        <v>166</v>
      </c>
      <c r="Z306" t="s">
        <v>152</v>
      </c>
      <c r="AA306" t="s">
        <v>153</v>
      </c>
      <c r="AB306" t="s">
        <v>154</v>
      </c>
      <c r="AC306" t="s">
        <v>119</v>
      </c>
      <c r="AD306" t="s">
        <v>112</v>
      </c>
      <c r="AE306" t="s">
        <v>121</v>
      </c>
      <c r="AF306" t="s">
        <v>122</v>
      </c>
      <c r="AG306">
        <v>5126006.09</v>
      </c>
      <c r="AH306" t="s">
        <v>166</v>
      </c>
      <c r="AI306" t="s">
        <v>152</v>
      </c>
      <c r="AJ306" t="s">
        <v>153</v>
      </c>
      <c r="AK306" t="s">
        <v>154</v>
      </c>
      <c r="AL306" t="s">
        <v>119</v>
      </c>
      <c r="AM306" t="s">
        <v>112</v>
      </c>
      <c r="AN306" t="s">
        <v>121</v>
      </c>
      <c r="AO306" t="s">
        <v>122</v>
      </c>
      <c r="AP306" t="s">
        <v>122</v>
      </c>
      <c r="AQ306" t="s">
        <v>124</v>
      </c>
      <c r="AR306" t="s">
        <v>125</v>
      </c>
      <c r="AT306" t="s">
        <v>126</v>
      </c>
      <c r="AU306" t="s">
        <v>155</v>
      </c>
      <c r="AV306" t="s">
        <v>156</v>
      </c>
      <c r="AX306" t="s">
        <v>129</v>
      </c>
      <c r="AY306">
        <v>45844.76</v>
      </c>
      <c r="BB306">
        <v>102.5719</v>
      </c>
      <c r="BC306" t="s">
        <v>112</v>
      </c>
      <c r="BD306" t="s">
        <v>112</v>
      </c>
      <c r="BE306" t="s">
        <v>112</v>
      </c>
      <c r="BF306" t="s">
        <v>133</v>
      </c>
      <c r="BG306" t="s">
        <v>134</v>
      </c>
      <c r="BH306" t="s">
        <v>112</v>
      </c>
      <c r="BI306" t="s">
        <v>112</v>
      </c>
      <c r="BJ306" t="s">
        <v>112</v>
      </c>
      <c r="BK306" t="s">
        <v>112</v>
      </c>
      <c r="BL306" t="s">
        <v>112</v>
      </c>
      <c r="BM306" t="s">
        <v>112</v>
      </c>
      <c r="BN306" t="s">
        <v>161</v>
      </c>
      <c r="BP306" t="s">
        <v>205</v>
      </c>
      <c r="BR306" t="s">
        <v>150</v>
      </c>
      <c r="BS306">
        <v>33</v>
      </c>
      <c r="BT306">
        <v>0</v>
      </c>
      <c r="BU306">
        <v>0</v>
      </c>
      <c r="BY306" t="s">
        <v>106</v>
      </c>
      <c r="BZ306" t="s">
        <v>142</v>
      </c>
      <c r="CA306" t="s">
        <v>112</v>
      </c>
      <c r="CB306" t="s">
        <v>112</v>
      </c>
      <c r="CC306" t="s">
        <v>121</v>
      </c>
      <c r="CD306">
        <v>16642.400000000001</v>
      </c>
      <c r="CE306" t="s">
        <v>144</v>
      </c>
      <c r="CF306">
        <v>4000000</v>
      </c>
      <c r="CG306">
        <v>16552.400000000001</v>
      </c>
      <c r="CH306">
        <v>0</v>
      </c>
      <c r="CI306" t="s">
        <v>112</v>
      </c>
      <c r="CJ306" t="s">
        <v>112</v>
      </c>
      <c r="CK306">
        <v>45844.76</v>
      </c>
      <c r="CM306">
        <v>0</v>
      </c>
      <c r="CN306">
        <v>1</v>
      </c>
      <c r="CO306">
        <v>5126006.09</v>
      </c>
      <c r="CP306">
        <v>54449.49</v>
      </c>
      <c r="CQ306" t="s">
        <v>145</v>
      </c>
      <c r="CR306">
        <v>54457.396000000008</v>
      </c>
      <c r="CS306">
        <v>3.29</v>
      </c>
      <c r="CW306">
        <v>46</v>
      </c>
    </row>
    <row r="307" spans="1:101" x14ac:dyDescent="0.2">
      <c r="A307" t="s">
        <v>106</v>
      </c>
      <c r="B307" s="46">
        <v>45010</v>
      </c>
      <c r="C307" t="s">
        <v>1370</v>
      </c>
      <c r="D307" t="s">
        <v>108</v>
      </c>
      <c r="E307" t="s">
        <v>1371</v>
      </c>
      <c r="F307" t="s">
        <v>110</v>
      </c>
      <c r="G307" t="s">
        <v>111</v>
      </c>
      <c r="H307" t="s">
        <v>112</v>
      </c>
      <c r="I307" t="s">
        <v>112</v>
      </c>
      <c r="J307" t="s">
        <v>112</v>
      </c>
      <c r="K307" t="s">
        <v>150</v>
      </c>
      <c r="L307" t="s">
        <v>1020</v>
      </c>
      <c r="M307" t="s">
        <v>112</v>
      </c>
      <c r="N307" t="s">
        <v>112</v>
      </c>
      <c r="O307">
        <v>1</v>
      </c>
      <c r="Q307">
        <v>1</v>
      </c>
      <c r="R307">
        <v>33</v>
      </c>
      <c r="S307" t="s">
        <v>166</v>
      </c>
      <c r="T307" t="s">
        <v>152</v>
      </c>
      <c r="U307" t="s">
        <v>153</v>
      </c>
      <c r="V307" t="s">
        <v>154</v>
      </c>
      <c r="W307" t="s">
        <v>119</v>
      </c>
      <c r="X307" t="s">
        <v>112</v>
      </c>
      <c r="Y307" t="s">
        <v>166</v>
      </c>
      <c r="Z307" t="s">
        <v>152</v>
      </c>
      <c r="AA307" t="s">
        <v>153</v>
      </c>
      <c r="AB307" t="s">
        <v>154</v>
      </c>
      <c r="AC307" t="s">
        <v>119</v>
      </c>
      <c r="AD307" t="s">
        <v>112</v>
      </c>
      <c r="AE307" t="s">
        <v>121</v>
      </c>
      <c r="AF307" t="s">
        <v>122</v>
      </c>
      <c r="AG307">
        <v>4331010.0599999996</v>
      </c>
      <c r="AH307" t="s">
        <v>166</v>
      </c>
      <c r="AI307" t="s">
        <v>152</v>
      </c>
      <c r="AJ307" t="s">
        <v>153</v>
      </c>
      <c r="AK307" t="s">
        <v>154</v>
      </c>
      <c r="AL307" t="s">
        <v>119</v>
      </c>
      <c r="AM307" t="s">
        <v>112</v>
      </c>
      <c r="AN307" t="s">
        <v>121</v>
      </c>
      <c r="AO307" t="s">
        <v>122</v>
      </c>
      <c r="AP307" t="s">
        <v>122</v>
      </c>
      <c r="AQ307" t="s">
        <v>124</v>
      </c>
      <c r="AR307" t="s">
        <v>125</v>
      </c>
      <c r="AS307">
        <v>2</v>
      </c>
      <c r="AT307" t="s">
        <v>126</v>
      </c>
      <c r="AU307" t="s">
        <v>155</v>
      </c>
      <c r="AV307" t="s">
        <v>156</v>
      </c>
      <c r="AW307">
        <v>1</v>
      </c>
      <c r="AX307" t="s">
        <v>129</v>
      </c>
      <c r="AY307">
        <v>42945.48</v>
      </c>
      <c r="AZ307">
        <v>3951044</v>
      </c>
      <c r="BA307">
        <v>51408.66</v>
      </c>
      <c r="BB307">
        <v>92.001400000000004</v>
      </c>
      <c r="BC307" t="s">
        <v>130</v>
      </c>
      <c r="BD307" t="s">
        <v>112</v>
      </c>
      <c r="BE307" t="s">
        <v>157</v>
      </c>
      <c r="BF307" t="s">
        <v>133</v>
      </c>
      <c r="BG307" t="s">
        <v>134</v>
      </c>
      <c r="BH307" t="s">
        <v>112</v>
      </c>
      <c r="BI307" t="s">
        <v>112</v>
      </c>
      <c r="BJ307" t="s">
        <v>112</v>
      </c>
      <c r="BK307" t="s">
        <v>169</v>
      </c>
      <c r="BL307" t="s">
        <v>159</v>
      </c>
      <c r="BM307" t="s">
        <v>722</v>
      </c>
      <c r="BN307" t="s">
        <v>161</v>
      </c>
      <c r="BO307">
        <v>1</v>
      </c>
      <c r="BP307" t="s">
        <v>1372</v>
      </c>
      <c r="BR307" t="s">
        <v>150</v>
      </c>
      <c r="BS307">
        <v>33</v>
      </c>
      <c r="BY307" t="s">
        <v>106</v>
      </c>
      <c r="BZ307" t="s">
        <v>142</v>
      </c>
      <c r="CA307" t="s">
        <v>112</v>
      </c>
      <c r="CB307" t="s">
        <v>112</v>
      </c>
      <c r="CC307" t="s">
        <v>121</v>
      </c>
      <c r="CD307">
        <v>16978.52</v>
      </c>
      <c r="CE307" t="s">
        <v>144</v>
      </c>
      <c r="CF307">
        <v>4000000</v>
      </c>
      <c r="CG307">
        <v>16978.52</v>
      </c>
      <c r="CI307" t="s">
        <v>112</v>
      </c>
      <c r="CJ307" t="s">
        <v>112</v>
      </c>
      <c r="CK307">
        <v>42945.48</v>
      </c>
      <c r="CL307">
        <v>3951044</v>
      </c>
      <c r="CM307">
        <v>0</v>
      </c>
      <c r="CN307">
        <v>1</v>
      </c>
      <c r="CO307">
        <v>4331010.0599999996</v>
      </c>
      <c r="CP307">
        <v>51408.66</v>
      </c>
      <c r="CQ307" t="s">
        <v>145</v>
      </c>
      <c r="CR307">
        <v>51444.9156</v>
      </c>
      <c r="CS307">
        <v>3.03</v>
      </c>
      <c r="CT307">
        <v>45</v>
      </c>
      <c r="CU307" t="s">
        <v>171</v>
      </c>
      <c r="CV307" t="s">
        <v>350</v>
      </c>
      <c r="CW307">
        <v>109</v>
      </c>
    </row>
    <row r="308" spans="1:101" x14ac:dyDescent="0.2">
      <c r="A308" t="s">
        <v>106</v>
      </c>
      <c r="B308" s="46">
        <v>45120</v>
      </c>
      <c r="C308" t="s">
        <v>1364</v>
      </c>
      <c r="D308" t="s">
        <v>108</v>
      </c>
      <c r="E308" t="s">
        <v>1365</v>
      </c>
      <c r="F308" t="s">
        <v>110</v>
      </c>
      <c r="G308" t="s">
        <v>111</v>
      </c>
      <c r="H308" t="s">
        <v>112</v>
      </c>
      <c r="I308" t="s">
        <v>112</v>
      </c>
      <c r="J308" t="s">
        <v>112</v>
      </c>
      <c r="K308" t="s">
        <v>150</v>
      </c>
      <c r="L308" t="s">
        <v>1020</v>
      </c>
      <c r="M308" t="s">
        <v>112</v>
      </c>
      <c r="N308" t="s">
        <v>112</v>
      </c>
      <c r="O308">
        <v>1</v>
      </c>
      <c r="P308">
        <v>0</v>
      </c>
      <c r="Q308">
        <v>1</v>
      </c>
      <c r="R308">
        <v>33</v>
      </c>
      <c r="S308" t="s">
        <v>166</v>
      </c>
      <c r="T308" t="s">
        <v>152</v>
      </c>
      <c r="U308" t="s">
        <v>153</v>
      </c>
      <c r="V308" t="s">
        <v>154</v>
      </c>
      <c r="W308" t="s">
        <v>119</v>
      </c>
      <c r="X308" t="s">
        <v>112</v>
      </c>
      <c r="Y308" t="s">
        <v>166</v>
      </c>
      <c r="Z308" t="s">
        <v>152</v>
      </c>
      <c r="AA308" t="s">
        <v>153</v>
      </c>
      <c r="AB308" t="s">
        <v>154</v>
      </c>
      <c r="AC308" t="s">
        <v>119</v>
      </c>
      <c r="AD308" t="s">
        <v>112</v>
      </c>
      <c r="AE308" t="s">
        <v>121</v>
      </c>
      <c r="AF308" t="s">
        <v>122</v>
      </c>
      <c r="AG308">
        <v>4335467.53</v>
      </c>
      <c r="AH308" t="s">
        <v>166</v>
      </c>
      <c r="AI308" t="s">
        <v>152</v>
      </c>
      <c r="AJ308" t="s">
        <v>153</v>
      </c>
      <c r="AK308" t="s">
        <v>154</v>
      </c>
      <c r="AL308" t="s">
        <v>119</v>
      </c>
      <c r="AM308" t="s">
        <v>112</v>
      </c>
      <c r="AN308" t="s">
        <v>121</v>
      </c>
      <c r="AO308" t="s">
        <v>122</v>
      </c>
      <c r="AP308" t="s">
        <v>122</v>
      </c>
      <c r="AQ308" t="s">
        <v>124</v>
      </c>
      <c r="AR308" t="s">
        <v>125</v>
      </c>
      <c r="AS308">
        <v>2</v>
      </c>
      <c r="AT308" t="s">
        <v>126</v>
      </c>
      <c r="AU308" t="s">
        <v>155</v>
      </c>
      <c r="AV308" t="s">
        <v>156</v>
      </c>
      <c r="AW308">
        <v>1</v>
      </c>
      <c r="AX308" t="s">
        <v>129</v>
      </c>
      <c r="AY308">
        <v>42993.93</v>
      </c>
      <c r="AZ308">
        <v>3955502</v>
      </c>
      <c r="BA308">
        <v>51461.57</v>
      </c>
      <c r="BB308">
        <v>92.001400000000004</v>
      </c>
      <c r="BC308" t="s">
        <v>130</v>
      </c>
      <c r="BD308" t="s">
        <v>112</v>
      </c>
      <c r="BE308" t="s">
        <v>157</v>
      </c>
      <c r="BF308" t="s">
        <v>133</v>
      </c>
      <c r="BG308" t="s">
        <v>134</v>
      </c>
      <c r="BH308" t="s">
        <v>112</v>
      </c>
      <c r="BI308" t="s">
        <v>112</v>
      </c>
      <c r="BJ308" t="s">
        <v>112</v>
      </c>
      <c r="BK308" t="s">
        <v>169</v>
      </c>
      <c r="BL308" t="s">
        <v>159</v>
      </c>
      <c r="BM308" t="s">
        <v>722</v>
      </c>
      <c r="BN308" t="s">
        <v>161</v>
      </c>
      <c r="BO308">
        <v>1</v>
      </c>
      <c r="BP308" t="s">
        <v>1366</v>
      </c>
      <c r="BR308" t="s">
        <v>150</v>
      </c>
      <c r="BS308">
        <v>33</v>
      </c>
      <c r="BT308">
        <v>0</v>
      </c>
      <c r="BU308">
        <v>0</v>
      </c>
      <c r="BW308">
        <v>0</v>
      </c>
      <c r="BY308" t="s">
        <v>106</v>
      </c>
      <c r="BZ308" t="s">
        <v>142</v>
      </c>
      <c r="CA308" t="s">
        <v>112</v>
      </c>
      <c r="CB308" t="s">
        <v>112</v>
      </c>
      <c r="CC308" t="s">
        <v>121</v>
      </c>
      <c r="CD308">
        <v>17179.91</v>
      </c>
      <c r="CE308" t="s">
        <v>144</v>
      </c>
      <c r="CF308">
        <v>4000000</v>
      </c>
      <c r="CG308">
        <v>17179.91</v>
      </c>
      <c r="CH308">
        <v>0</v>
      </c>
      <c r="CI308" t="s">
        <v>112</v>
      </c>
      <c r="CJ308" t="s">
        <v>112</v>
      </c>
      <c r="CK308">
        <v>42993.93</v>
      </c>
      <c r="CL308">
        <v>3955502</v>
      </c>
      <c r="CM308">
        <v>0</v>
      </c>
      <c r="CN308">
        <v>1</v>
      </c>
      <c r="CO308">
        <v>4335467.53</v>
      </c>
      <c r="CP308">
        <v>51461.57</v>
      </c>
      <c r="CQ308" t="s">
        <v>145</v>
      </c>
      <c r="CR308">
        <v>51539.729999999996</v>
      </c>
      <c r="CS308">
        <v>3</v>
      </c>
      <c r="CT308">
        <v>45</v>
      </c>
      <c r="CU308" t="s">
        <v>171</v>
      </c>
      <c r="CV308" t="s">
        <v>369</v>
      </c>
      <c r="CW308">
        <v>15</v>
      </c>
    </row>
    <row r="309" spans="1:101" x14ac:dyDescent="0.2">
      <c r="A309" t="s">
        <v>106</v>
      </c>
      <c r="B309" s="46">
        <v>45189</v>
      </c>
      <c r="C309" t="s">
        <v>1377</v>
      </c>
      <c r="D309" t="s">
        <v>108</v>
      </c>
      <c r="E309" t="s">
        <v>1378</v>
      </c>
      <c r="F309" t="s">
        <v>110</v>
      </c>
      <c r="G309" t="s">
        <v>111</v>
      </c>
      <c r="H309" t="s">
        <v>112</v>
      </c>
      <c r="I309" t="s">
        <v>112</v>
      </c>
      <c r="J309" t="s">
        <v>112</v>
      </c>
      <c r="K309" t="s">
        <v>150</v>
      </c>
      <c r="L309" t="s">
        <v>1020</v>
      </c>
      <c r="M309" t="s">
        <v>112</v>
      </c>
      <c r="N309" t="s">
        <v>112</v>
      </c>
      <c r="O309">
        <v>1</v>
      </c>
      <c r="P309">
        <v>0</v>
      </c>
      <c r="Q309">
        <v>1</v>
      </c>
      <c r="R309">
        <v>33</v>
      </c>
      <c r="S309" t="s">
        <v>166</v>
      </c>
      <c r="T309" t="s">
        <v>152</v>
      </c>
      <c r="U309" t="s">
        <v>153</v>
      </c>
      <c r="V309" t="s">
        <v>154</v>
      </c>
      <c r="W309" t="s">
        <v>119</v>
      </c>
      <c r="X309" t="s">
        <v>112</v>
      </c>
      <c r="Y309" t="s">
        <v>166</v>
      </c>
      <c r="Z309" t="s">
        <v>152</v>
      </c>
      <c r="AA309" t="s">
        <v>153</v>
      </c>
      <c r="AB309" t="s">
        <v>154</v>
      </c>
      <c r="AC309" t="s">
        <v>119</v>
      </c>
      <c r="AD309" t="s">
        <v>112</v>
      </c>
      <c r="AE309" t="s">
        <v>121</v>
      </c>
      <c r="AF309" t="s">
        <v>122</v>
      </c>
      <c r="AG309">
        <v>4247390.91</v>
      </c>
      <c r="AH309" t="s">
        <v>166</v>
      </c>
      <c r="AI309" t="s">
        <v>152</v>
      </c>
      <c r="AJ309" t="s">
        <v>153</v>
      </c>
      <c r="AK309" t="s">
        <v>154</v>
      </c>
      <c r="AL309" t="s">
        <v>119</v>
      </c>
      <c r="AM309" t="s">
        <v>112</v>
      </c>
      <c r="AN309" t="s">
        <v>121</v>
      </c>
      <c r="AO309" t="s">
        <v>122</v>
      </c>
      <c r="AP309" t="s">
        <v>122</v>
      </c>
      <c r="AQ309" t="s">
        <v>124</v>
      </c>
      <c r="AR309" t="s">
        <v>125</v>
      </c>
      <c r="AS309">
        <v>2</v>
      </c>
      <c r="AT309" t="s">
        <v>126</v>
      </c>
      <c r="AU309" t="s">
        <v>155</v>
      </c>
      <c r="AV309" t="s">
        <v>156</v>
      </c>
      <c r="AW309">
        <v>1</v>
      </c>
      <c r="AX309" t="s">
        <v>129</v>
      </c>
      <c r="AY309">
        <v>42036.59</v>
      </c>
      <c r="AZ309">
        <v>3867425</v>
      </c>
      <c r="BA309">
        <v>50416.11</v>
      </c>
      <c r="BB309">
        <v>92.001400000000004</v>
      </c>
      <c r="BC309" t="s">
        <v>130</v>
      </c>
      <c r="BD309" t="s">
        <v>112</v>
      </c>
      <c r="BE309" t="s">
        <v>157</v>
      </c>
      <c r="BF309" t="s">
        <v>133</v>
      </c>
      <c r="BG309" t="s">
        <v>134</v>
      </c>
      <c r="BH309" t="s">
        <v>112</v>
      </c>
      <c r="BI309" t="s">
        <v>112</v>
      </c>
      <c r="BJ309" t="s">
        <v>112</v>
      </c>
      <c r="BK309" t="s">
        <v>169</v>
      </c>
      <c r="BL309" t="s">
        <v>159</v>
      </c>
      <c r="BM309" t="s">
        <v>722</v>
      </c>
      <c r="BN309" t="s">
        <v>161</v>
      </c>
      <c r="BO309">
        <v>1</v>
      </c>
      <c r="BP309" t="s">
        <v>1967</v>
      </c>
      <c r="BR309" t="s">
        <v>150</v>
      </c>
      <c r="BS309">
        <v>33</v>
      </c>
      <c r="BT309">
        <v>0</v>
      </c>
      <c r="BU309">
        <v>0</v>
      </c>
      <c r="BW309">
        <v>0</v>
      </c>
      <c r="BY309" t="s">
        <v>106</v>
      </c>
      <c r="BZ309" t="s">
        <v>142</v>
      </c>
      <c r="CA309" t="s">
        <v>112</v>
      </c>
      <c r="CB309" t="s">
        <v>112</v>
      </c>
      <c r="CC309" t="s">
        <v>121</v>
      </c>
      <c r="CD309">
        <v>17313.75</v>
      </c>
      <c r="CE309" t="s">
        <v>144</v>
      </c>
      <c r="CF309">
        <v>4000000</v>
      </c>
      <c r="CG309">
        <v>17313.75</v>
      </c>
      <c r="CH309">
        <v>0</v>
      </c>
      <c r="CI309" t="s">
        <v>112</v>
      </c>
      <c r="CJ309" t="s">
        <v>112</v>
      </c>
      <c r="CK309">
        <v>42036.59</v>
      </c>
      <c r="CL309">
        <v>3867425</v>
      </c>
      <c r="CM309">
        <v>0</v>
      </c>
      <c r="CN309">
        <v>1</v>
      </c>
      <c r="CO309">
        <v>4247390.91</v>
      </c>
      <c r="CP309">
        <v>50416.11</v>
      </c>
      <c r="CQ309" t="s">
        <v>145</v>
      </c>
      <c r="CR309">
        <v>50383.012500000004</v>
      </c>
      <c r="CS309">
        <v>2.91</v>
      </c>
      <c r="CT309">
        <v>45</v>
      </c>
      <c r="CU309" t="s">
        <v>171</v>
      </c>
      <c r="CV309" t="s">
        <v>369</v>
      </c>
      <c r="CW309">
        <v>147</v>
      </c>
    </row>
    <row r="310" spans="1:101" x14ac:dyDescent="0.2">
      <c r="A310" t="s">
        <v>106</v>
      </c>
      <c r="B310" s="46">
        <v>45229</v>
      </c>
      <c r="C310" t="s">
        <v>1375</v>
      </c>
      <c r="D310" t="s">
        <v>108</v>
      </c>
      <c r="E310" t="s">
        <v>1376</v>
      </c>
      <c r="F310" t="s">
        <v>110</v>
      </c>
      <c r="G310" t="s">
        <v>111</v>
      </c>
      <c r="H310" t="s">
        <v>112</v>
      </c>
      <c r="I310" t="s">
        <v>112</v>
      </c>
      <c r="J310" t="s">
        <v>112</v>
      </c>
      <c r="K310" t="s">
        <v>150</v>
      </c>
      <c r="L310" t="s">
        <v>1020</v>
      </c>
      <c r="M310" t="s">
        <v>112</v>
      </c>
      <c r="N310" t="s">
        <v>112</v>
      </c>
      <c r="O310">
        <v>1</v>
      </c>
      <c r="P310">
        <v>0</v>
      </c>
      <c r="Q310">
        <v>1</v>
      </c>
      <c r="R310">
        <v>33</v>
      </c>
      <c r="S310" t="s">
        <v>166</v>
      </c>
      <c r="T310" t="s">
        <v>152</v>
      </c>
      <c r="U310" t="s">
        <v>153</v>
      </c>
      <c r="V310" t="s">
        <v>154</v>
      </c>
      <c r="W310" t="s">
        <v>119</v>
      </c>
      <c r="X310" t="s">
        <v>112</v>
      </c>
      <c r="Y310" t="s">
        <v>166</v>
      </c>
      <c r="Z310" t="s">
        <v>152</v>
      </c>
      <c r="AA310" t="s">
        <v>153</v>
      </c>
      <c r="AB310" t="s">
        <v>154</v>
      </c>
      <c r="AC310" t="s">
        <v>119</v>
      </c>
      <c r="AD310" t="s">
        <v>112</v>
      </c>
      <c r="AE310" t="s">
        <v>121</v>
      </c>
      <c r="AF310" t="s">
        <v>122</v>
      </c>
      <c r="AG310">
        <v>4257368.46</v>
      </c>
      <c r="AH310" t="s">
        <v>166</v>
      </c>
      <c r="AI310" t="s">
        <v>152</v>
      </c>
      <c r="AJ310" t="s">
        <v>153</v>
      </c>
      <c r="AK310" t="s">
        <v>154</v>
      </c>
      <c r="AL310" t="s">
        <v>119</v>
      </c>
      <c r="AM310" t="s">
        <v>112</v>
      </c>
      <c r="AN310" t="s">
        <v>121</v>
      </c>
      <c r="AO310" t="s">
        <v>122</v>
      </c>
      <c r="AP310" t="s">
        <v>122</v>
      </c>
      <c r="AQ310" t="s">
        <v>124</v>
      </c>
      <c r="AR310" t="s">
        <v>125</v>
      </c>
      <c r="AS310">
        <v>2</v>
      </c>
      <c r="AT310" t="s">
        <v>126</v>
      </c>
      <c r="AU310" t="s">
        <v>155</v>
      </c>
      <c r="AV310" t="s">
        <v>156</v>
      </c>
      <c r="AW310">
        <v>1</v>
      </c>
      <c r="AX310" t="s">
        <v>129</v>
      </c>
      <c r="AY310">
        <v>42145.04</v>
      </c>
      <c r="AZ310">
        <v>3877403</v>
      </c>
      <c r="BA310">
        <v>50534.54</v>
      </c>
      <c r="BB310">
        <v>92.001400000000004</v>
      </c>
      <c r="BC310" t="s">
        <v>130</v>
      </c>
      <c r="BD310" t="s">
        <v>112</v>
      </c>
      <c r="BE310" t="s">
        <v>157</v>
      </c>
      <c r="BF310" t="s">
        <v>133</v>
      </c>
      <c r="BG310" t="s">
        <v>134</v>
      </c>
      <c r="BH310" t="s">
        <v>112</v>
      </c>
      <c r="BI310" t="s">
        <v>112</v>
      </c>
      <c r="BJ310" t="s">
        <v>112</v>
      </c>
      <c r="BK310" t="s">
        <v>169</v>
      </c>
      <c r="BL310" t="s">
        <v>159</v>
      </c>
      <c r="BM310" t="s">
        <v>722</v>
      </c>
      <c r="BN310" t="s">
        <v>161</v>
      </c>
      <c r="BO310">
        <v>1</v>
      </c>
      <c r="BP310" t="s">
        <v>1338</v>
      </c>
      <c r="BR310" t="s">
        <v>150</v>
      </c>
      <c r="BS310">
        <v>33</v>
      </c>
      <c r="BT310">
        <v>0</v>
      </c>
      <c r="BU310">
        <v>0</v>
      </c>
      <c r="BW310">
        <v>0</v>
      </c>
      <c r="BY310" t="s">
        <v>106</v>
      </c>
      <c r="BZ310" t="s">
        <v>142</v>
      </c>
      <c r="CA310" t="s">
        <v>112</v>
      </c>
      <c r="CB310" t="s">
        <v>112</v>
      </c>
      <c r="CC310" t="s">
        <v>121</v>
      </c>
      <c r="CD310">
        <v>17194.009999999998</v>
      </c>
      <c r="CE310" t="s">
        <v>144</v>
      </c>
      <c r="CF310">
        <v>4000000</v>
      </c>
      <c r="CG310">
        <v>17194.009999999998</v>
      </c>
      <c r="CH310">
        <v>0</v>
      </c>
      <c r="CI310" t="s">
        <v>112</v>
      </c>
      <c r="CJ310" t="s">
        <v>112</v>
      </c>
      <c r="CK310">
        <v>42145.04</v>
      </c>
      <c r="CL310">
        <v>3877403</v>
      </c>
      <c r="CM310">
        <v>0</v>
      </c>
      <c r="CN310">
        <v>1</v>
      </c>
      <c r="CO310">
        <v>4257368.46</v>
      </c>
      <c r="CP310">
        <v>50534.54</v>
      </c>
      <c r="CQ310" t="s">
        <v>145</v>
      </c>
      <c r="CR310">
        <v>50550.389399999993</v>
      </c>
      <c r="CS310">
        <v>2.94</v>
      </c>
      <c r="CT310">
        <v>45</v>
      </c>
      <c r="CU310" t="s">
        <v>171</v>
      </c>
      <c r="CV310" t="s">
        <v>463</v>
      </c>
      <c r="CW310">
        <v>152</v>
      </c>
    </row>
    <row r="311" spans="1:101" x14ac:dyDescent="0.2">
      <c r="A311" t="s">
        <v>106</v>
      </c>
      <c r="B311" s="46">
        <v>45085</v>
      </c>
      <c r="C311" t="s">
        <v>1367</v>
      </c>
      <c r="D311" t="s">
        <v>108</v>
      </c>
      <c r="E311" t="s">
        <v>1368</v>
      </c>
      <c r="F311" t="s">
        <v>110</v>
      </c>
      <c r="G311" t="s">
        <v>111</v>
      </c>
      <c r="H311" t="s">
        <v>112</v>
      </c>
      <c r="I311" t="s">
        <v>112</v>
      </c>
      <c r="J311" t="s">
        <v>112</v>
      </c>
      <c r="K311" t="s">
        <v>150</v>
      </c>
      <c r="L311" t="s">
        <v>1020</v>
      </c>
      <c r="M311" t="s">
        <v>112</v>
      </c>
      <c r="N311" t="s">
        <v>112</v>
      </c>
      <c r="O311">
        <v>1</v>
      </c>
      <c r="P311">
        <v>0</v>
      </c>
      <c r="Q311">
        <v>1</v>
      </c>
      <c r="R311">
        <v>33</v>
      </c>
      <c r="S311" t="s">
        <v>166</v>
      </c>
      <c r="T311" t="s">
        <v>152</v>
      </c>
      <c r="U311" t="s">
        <v>153</v>
      </c>
      <c r="V311" t="s">
        <v>154</v>
      </c>
      <c r="W311" t="s">
        <v>119</v>
      </c>
      <c r="X311" t="s">
        <v>112</v>
      </c>
      <c r="Y311" t="s">
        <v>166</v>
      </c>
      <c r="Z311" t="s">
        <v>152</v>
      </c>
      <c r="AA311" t="s">
        <v>153</v>
      </c>
      <c r="AB311" t="s">
        <v>154</v>
      </c>
      <c r="AC311" t="s">
        <v>119</v>
      </c>
      <c r="AD311" t="s">
        <v>112</v>
      </c>
      <c r="AE311" t="s">
        <v>121</v>
      </c>
      <c r="AF311" t="s">
        <v>122</v>
      </c>
      <c r="AG311">
        <v>4725880.07</v>
      </c>
      <c r="AH311" t="s">
        <v>166</v>
      </c>
      <c r="AI311" t="s">
        <v>152</v>
      </c>
      <c r="AJ311" t="s">
        <v>153</v>
      </c>
      <c r="AK311" t="s">
        <v>154</v>
      </c>
      <c r="AL311" t="s">
        <v>119</v>
      </c>
      <c r="AM311" t="s">
        <v>112</v>
      </c>
      <c r="AN311" t="s">
        <v>121</v>
      </c>
      <c r="AO311" t="s">
        <v>122</v>
      </c>
      <c r="AP311" t="s">
        <v>122</v>
      </c>
      <c r="AQ311" t="s">
        <v>124</v>
      </c>
      <c r="AR311" t="s">
        <v>125</v>
      </c>
      <c r="AS311">
        <v>2</v>
      </c>
      <c r="AT311" t="s">
        <v>126</v>
      </c>
      <c r="AU311" t="s">
        <v>155</v>
      </c>
      <c r="AV311" t="s">
        <v>156</v>
      </c>
      <c r="AW311">
        <v>1</v>
      </c>
      <c r="AX311" t="s">
        <v>129</v>
      </c>
      <c r="AY311">
        <v>47237.48</v>
      </c>
      <c r="AZ311">
        <v>4345914</v>
      </c>
      <c r="BA311">
        <v>56095.73</v>
      </c>
      <c r="BB311">
        <v>92.001400000000004</v>
      </c>
      <c r="BC311" t="s">
        <v>130</v>
      </c>
      <c r="BD311" t="s">
        <v>112</v>
      </c>
      <c r="BE311" t="s">
        <v>157</v>
      </c>
      <c r="BF311" t="s">
        <v>133</v>
      </c>
      <c r="BG311" t="s">
        <v>134</v>
      </c>
      <c r="BH311" t="s">
        <v>112</v>
      </c>
      <c r="BI311" t="s">
        <v>112</v>
      </c>
      <c r="BJ311" t="s">
        <v>112</v>
      </c>
      <c r="BK311" t="s">
        <v>169</v>
      </c>
      <c r="BL311" t="s">
        <v>159</v>
      </c>
      <c r="BM311" t="s">
        <v>722</v>
      </c>
      <c r="BN311" t="s">
        <v>161</v>
      </c>
      <c r="BO311">
        <v>1</v>
      </c>
      <c r="BP311" t="s">
        <v>1369</v>
      </c>
      <c r="BR311" t="s">
        <v>150</v>
      </c>
      <c r="BS311">
        <v>33</v>
      </c>
      <c r="BT311">
        <v>0</v>
      </c>
      <c r="BU311">
        <v>0</v>
      </c>
      <c r="BW311">
        <v>0</v>
      </c>
      <c r="BY311" t="s">
        <v>106</v>
      </c>
      <c r="BZ311" t="s">
        <v>142</v>
      </c>
      <c r="CA311" t="s">
        <v>112</v>
      </c>
      <c r="CB311" t="s">
        <v>112</v>
      </c>
      <c r="CC311" t="s">
        <v>121</v>
      </c>
      <c r="CD311">
        <v>17287.82</v>
      </c>
      <c r="CE311" t="s">
        <v>144</v>
      </c>
      <c r="CF311">
        <v>4000000</v>
      </c>
      <c r="CG311">
        <v>17287.82</v>
      </c>
      <c r="CH311">
        <v>0</v>
      </c>
      <c r="CI311" t="s">
        <v>112</v>
      </c>
      <c r="CJ311" t="s">
        <v>112</v>
      </c>
      <c r="CK311">
        <v>47237.48</v>
      </c>
      <c r="CL311">
        <v>4345914</v>
      </c>
      <c r="CM311">
        <v>0</v>
      </c>
      <c r="CN311">
        <v>1</v>
      </c>
      <c r="CO311">
        <v>4725880.07</v>
      </c>
      <c r="CP311">
        <v>56095.73</v>
      </c>
      <c r="CQ311" t="s">
        <v>145</v>
      </c>
      <c r="CR311">
        <v>56012.536800000002</v>
      </c>
      <c r="CS311">
        <v>3.24</v>
      </c>
      <c r="CT311">
        <v>45</v>
      </c>
      <c r="CU311" t="s">
        <v>171</v>
      </c>
      <c r="CV311" t="s">
        <v>350</v>
      </c>
      <c r="CW311">
        <v>555</v>
      </c>
    </row>
    <row r="312" spans="1:101" x14ac:dyDescent="0.2">
      <c r="A312" t="s">
        <v>106</v>
      </c>
      <c r="B312" s="46">
        <v>44979</v>
      </c>
      <c r="C312" t="s">
        <v>1209</v>
      </c>
      <c r="D312" t="s">
        <v>108</v>
      </c>
      <c r="E312" t="s">
        <v>1210</v>
      </c>
      <c r="F312" t="s">
        <v>110</v>
      </c>
      <c r="G312" t="s">
        <v>111</v>
      </c>
      <c r="H312" t="s">
        <v>112</v>
      </c>
      <c r="I312" t="s">
        <v>112</v>
      </c>
      <c r="J312" t="s">
        <v>112</v>
      </c>
      <c r="K312" t="s">
        <v>150</v>
      </c>
      <c r="L312" t="s">
        <v>1060</v>
      </c>
      <c r="M312" t="s">
        <v>112</v>
      </c>
      <c r="N312" t="s">
        <v>112</v>
      </c>
      <c r="O312">
        <v>1</v>
      </c>
      <c r="P312">
        <v>0</v>
      </c>
      <c r="Q312">
        <v>1</v>
      </c>
      <c r="R312">
        <v>33</v>
      </c>
      <c r="S312" t="s">
        <v>166</v>
      </c>
      <c r="T312" t="s">
        <v>152</v>
      </c>
      <c r="U312" t="s">
        <v>153</v>
      </c>
      <c r="V312" t="s">
        <v>154</v>
      </c>
      <c r="W312" t="s">
        <v>119</v>
      </c>
      <c r="X312" t="s">
        <v>112</v>
      </c>
      <c r="Y312" t="s">
        <v>166</v>
      </c>
      <c r="Z312" t="s">
        <v>152</v>
      </c>
      <c r="AA312" t="s">
        <v>153</v>
      </c>
      <c r="AB312" t="s">
        <v>154</v>
      </c>
      <c r="AC312" t="s">
        <v>119</v>
      </c>
      <c r="AD312" t="s">
        <v>112</v>
      </c>
      <c r="AE312" t="s">
        <v>121</v>
      </c>
      <c r="AF312" t="s">
        <v>122</v>
      </c>
      <c r="AG312">
        <v>4004063.8</v>
      </c>
      <c r="AH312" t="s">
        <v>166</v>
      </c>
      <c r="AI312" t="s">
        <v>152</v>
      </c>
      <c r="AJ312" t="s">
        <v>153</v>
      </c>
      <c r="AK312" t="s">
        <v>154</v>
      </c>
      <c r="AL312" t="s">
        <v>119</v>
      </c>
      <c r="AM312" t="s">
        <v>112</v>
      </c>
      <c r="AN312" t="s">
        <v>121</v>
      </c>
      <c r="AO312" t="s">
        <v>122</v>
      </c>
      <c r="AP312" t="s">
        <v>122</v>
      </c>
      <c r="AQ312" t="s">
        <v>124</v>
      </c>
      <c r="AR312" t="s">
        <v>125</v>
      </c>
      <c r="AS312">
        <v>2</v>
      </c>
      <c r="AT312" t="s">
        <v>126</v>
      </c>
      <c r="AU312" t="s">
        <v>155</v>
      </c>
      <c r="AV312" t="s">
        <v>156</v>
      </c>
      <c r="AW312">
        <v>1</v>
      </c>
      <c r="AX312" t="s">
        <v>129</v>
      </c>
      <c r="AY312">
        <v>42279.4</v>
      </c>
      <c r="AZ312">
        <v>3647740</v>
      </c>
      <c r="BA312">
        <v>50107.61</v>
      </c>
      <c r="BB312">
        <v>86.277000000000001</v>
      </c>
      <c r="BC312" t="s">
        <v>130</v>
      </c>
      <c r="BD312" t="s">
        <v>112</v>
      </c>
      <c r="BE312" t="s">
        <v>157</v>
      </c>
      <c r="BF312" t="s">
        <v>133</v>
      </c>
      <c r="BG312" t="s">
        <v>134</v>
      </c>
      <c r="BH312" t="s">
        <v>112</v>
      </c>
      <c r="BI312" t="s">
        <v>112</v>
      </c>
      <c r="BJ312" t="s">
        <v>112</v>
      </c>
      <c r="BK312" t="s">
        <v>169</v>
      </c>
      <c r="BL312" t="s">
        <v>159</v>
      </c>
      <c r="BM312" t="s">
        <v>722</v>
      </c>
      <c r="BN312" t="s">
        <v>161</v>
      </c>
      <c r="BO312">
        <v>1</v>
      </c>
      <c r="BP312" t="s">
        <v>466</v>
      </c>
      <c r="BR312" t="s">
        <v>150</v>
      </c>
      <c r="BS312">
        <v>33</v>
      </c>
      <c r="BT312">
        <v>0</v>
      </c>
      <c r="BU312">
        <v>0</v>
      </c>
      <c r="BW312">
        <v>0</v>
      </c>
      <c r="BY312" t="s">
        <v>106</v>
      </c>
      <c r="BZ312" t="s">
        <v>142</v>
      </c>
      <c r="CA312" t="s">
        <v>112</v>
      </c>
      <c r="CB312" t="s">
        <v>112</v>
      </c>
      <c r="CC312" t="s">
        <v>121</v>
      </c>
      <c r="CD312">
        <v>17214.419999999998</v>
      </c>
      <c r="CE312" t="s">
        <v>144</v>
      </c>
      <c r="CF312">
        <v>4000000</v>
      </c>
      <c r="CG312">
        <v>17160.419999999998</v>
      </c>
      <c r="CH312">
        <v>0</v>
      </c>
      <c r="CI312" t="s">
        <v>112</v>
      </c>
      <c r="CJ312" t="s">
        <v>112</v>
      </c>
      <c r="CK312">
        <v>42279.4</v>
      </c>
      <c r="CL312">
        <v>3647740</v>
      </c>
      <c r="CM312">
        <v>0</v>
      </c>
      <c r="CN312">
        <v>1</v>
      </c>
      <c r="CO312">
        <v>4004063.8</v>
      </c>
      <c r="CP312">
        <v>50107.61</v>
      </c>
      <c r="CQ312" t="s">
        <v>145</v>
      </c>
      <c r="CR312">
        <v>50108.426399999997</v>
      </c>
      <c r="CS312">
        <v>2.92</v>
      </c>
      <c r="CT312">
        <v>45</v>
      </c>
      <c r="CU312" t="s">
        <v>171</v>
      </c>
      <c r="CV312" t="s">
        <v>369</v>
      </c>
      <c r="CW312">
        <v>115</v>
      </c>
    </row>
    <row r="313" spans="1:101" x14ac:dyDescent="0.2">
      <c r="A313" t="s">
        <v>106</v>
      </c>
      <c r="B313" s="46">
        <v>45277</v>
      </c>
      <c r="C313" t="s">
        <v>1197</v>
      </c>
      <c r="D313" t="s">
        <v>108</v>
      </c>
      <c r="E313" t="s">
        <v>1198</v>
      </c>
      <c r="F313" t="s">
        <v>110</v>
      </c>
      <c r="G313" t="s">
        <v>111</v>
      </c>
      <c r="H313" t="s">
        <v>112</v>
      </c>
      <c r="I313" t="s">
        <v>112</v>
      </c>
      <c r="J313" t="s">
        <v>112</v>
      </c>
      <c r="K313" t="s">
        <v>150</v>
      </c>
      <c r="L313" t="s">
        <v>1060</v>
      </c>
      <c r="M313" t="s">
        <v>112</v>
      </c>
      <c r="N313" t="s">
        <v>112</v>
      </c>
      <c r="O313">
        <v>1</v>
      </c>
      <c r="P313">
        <v>0</v>
      </c>
      <c r="Q313">
        <v>1</v>
      </c>
      <c r="R313">
        <v>33</v>
      </c>
      <c r="S313" t="s">
        <v>166</v>
      </c>
      <c r="T313" t="s">
        <v>152</v>
      </c>
      <c r="U313" t="s">
        <v>153</v>
      </c>
      <c r="V313" t="s">
        <v>154</v>
      </c>
      <c r="W313" t="s">
        <v>119</v>
      </c>
      <c r="X313" t="s">
        <v>112</v>
      </c>
      <c r="Y313" t="s">
        <v>166</v>
      </c>
      <c r="Z313" t="s">
        <v>152</v>
      </c>
      <c r="AA313" t="s">
        <v>153</v>
      </c>
      <c r="AB313" t="s">
        <v>154</v>
      </c>
      <c r="AC313" t="s">
        <v>119</v>
      </c>
      <c r="AD313" t="s">
        <v>112</v>
      </c>
      <c r="AE313" t="s">
        <v>121</v>
      </c>
      <c r="AF313" t="s">
        <v>122</v>
      </c>
      <c r="AG313">
        <v>4070773.18</v>
      </c>
      <c r="AH313" t="s">
        <v>166</v>
      </c>
      <c r="AI313" t="s">
        <v>152</v>
      </c>
      <c r="AJ313" t="s">
        <v>153</v>
      </c>
      <c r="AK313" t="s">
        <v>154</v>
      </c>
      <c r="AL313" t="s">
        <v>119</v>
      </c>
      <c r="AM313" t="s">
        <v>112</v>
      </c>
      <c r="AN313" t="s">
        <v>121</v>
      </c>
      <c r="AO313" t="s">
        <v>122</v>
      </c>
      <c r="AP313" t="s">
        <v>122</v>
      </c>
      <c r="AQ313" t="s">
        <v>124</v>
      </c>
      <c r="AR313" t="s">
        <v>125</v>
      </c>
      <c r="AS313">
        <v>2</v>
      </c>
      <c r="AT313" t="s">
        <v>126</v>
      </c>
      <c r="AU313" t="s">
        <v>155</v>
      </c>
      <c r="AV313" t="s">
        <v>156</v>
      </c>
      <c r="AW313">
        <v>1</v>
      </c>
      <c r="AX313" t="s">
        <v>129</v>
      </c>
      <c r="AY313">
        <v>42352.6</v>
      </c>
      <c r="AZ313">
        <v>3654055</v>
      </c>
      <c r="BA313">
        <v>50942.42</v>
      </c>
      <c r="BB313">
        <v>86.277000000000001</v>
      </c>
      <c r="BC313" t="s">
        <v>130</v>
      </c>
      <c r="BD313" t="s">
        <v>112</v>
      </c>
      <c r="BE313" t="s">
        <v>157</v>
      </c>
      <c r="BF313" t="s">
        <v>133</v>
      </c>
      <c r="BG313" t="s">
        <v>134</v>
      </c>
      <c r="BH313" t="s">
        <v>112</v>
      </c>
      <c r="BI313" t="s">
        <v>112</v>
      </c>
      <c r="BJ313" t="s">
        <v>112</v>
      </c>
      <c r="BK313" t="s">
        <v>169</v>
      </c>
      <c r="BL313" t="s">
        <v>159</v>
      </c>
      <c r="BM313" t="s">
        <v>722</v>
      </c>
      <c r="BN313" t="s">
        <v>161</v>
      </c>
      <c r="BO313">
        <v>1</v>
      </c>
      <c r="BP313" t="s">
        <v>232</v>
      </c>
      <c r="BR313" t="s">
        <v>150</v>
      </c>
      <c r="BS313">
        <v>33</v>
      </c>
      <c r="BT313">
        <v>0</v>
      </c>
      <c r="BU313">
        <v>0</v>
      </c>
      <c r="BW313">
        <v>0</v>
      </c>
      <c r="BY313" t="s">
        <v>106</v>
      </c>
      <c r="BZ313" t="s">
        <v>142</v>
      </c>
      <c r="CA313" t="s">
        <v>112</v>
      </c>
      <c r="CB313" t="s">
        <v>112</v>
      </c>
      <c r="CC313" t="s">
        <v>121</v>
      </c>
      <c r="CD313">
        <v>17008.86</v>
      </c>
      <c r="CE313" t="s">
        <v>144</v>
      </c>
      <c r="CF313">
        <v>4000000</v>
      </c>
      <c r="CG313">
        <v>16965.66</v>
      </c>
      <c r="CH313">
        <v>0</v>
      </c>
      <c r="CI313" t="s">
        <v>112</v>
      </c>
      <c r="CJ313" t="s">
        <v>112</v>
      </c>
      <c r="CK313">
        <v>42352.6</v>
      </c>
      <c r="CL313">
        <v>3654055</v>
      </c>
      <c r="CM313">
        <v>0</v>
      </c>
      <c r="CN313">
        <v>1</v>
      </c>
      <c r="CO313">
        <v>4070773.18</v>
      </c>
      <c r="CP313">
        <v>50942.42</v>
      </c>
      <c r="CQ313" t="s">
        <v>145</v>
      </c>
      <c r="CR313">
        <v>50942.787281999998</v>
      </c>
      <c r="CS313">
        <v>3.0026999999999999</v>
      </c>
      <c r="CT313">
        <v>45</v>
      </c>
      <c r="CU313" t="s">
        <v>171</v>
      </c>
      <c r="CV313" t="s">
        <v>463</v>
      </c>
      <c r="CW313">
        <v>314</v>
      </c>
    </row>
    <row r="314" spans="1:101" x14ac:dyDescent="0.2">
      <c r="A314" t="s">
        <v>106</v>
      </c>
      <c r="B314" s="46">
        <v>45049</v>
      </c>
      <c r="C314" t="s">
        <v>1203</v>
      </c>
      <c r="D314" t="s">
        <v>108</v>
      </c>
      <c r="E314" t="s">
        <v>1204</v>
      </c>
      <c r="F314" t="s">
        <v>110</v>
      </c>
      <c r="G314" t="s">
        <v>111</v>
      </c>
      <c r="H314" t="s">
        <v>112</v>
      </c>
      <c r="I314" t="s">
        <v>112</v>
      </c>
      <c r="J314" t="s">
        <v>112</v>
      </c>
      <c r="K314" t="s">
        <v>150</v>
      </c>
      <c r="L314" t="s">
        <v>1060</v>
      </c>
      <c r="M314" t="s">
        <v>112</v>
      </c>
      <c r="N314" t="s">
        <v>112</v>
      </c>
      <c r="O314">
        <v>1</v>
      </c>
      <c r="P314">
        <v>0</v>
      </c>
      <c r="Q314">
        <v>1</v>
      </c>
      <c r="R314">
        <v>33</v>
      </c>
      <c r="S314" t="s">
        <v>166</v>
      </c>
      <c r="T314" t="s">
        <v>152</v>
      </c>
      <c r="U314" t="s">
        <v>153</v>
      </c>
      <c r="V314" t="s">
        <v>154</v>
      </c>
      <c r="W314" t="s">
        <v>119</v>
      </c>
      <c r="X314" t="s">
        <v>112</v>
      </c>
      <c r="Y314" t="s">
        <v>166</v>
      </c>
      <c r="Z314" t="s">
        <v>152</v>
      </c>
      <c r="AA314" t="s">
        <v>153</v>
      </c>
      <c r="AB314" t="s">
        <v>154</v>
      </c>
      <c r="AC314" t="s">
        <v>119</v>
      </c>
      <c r="AD314" t="s">
        <v>112</v>
      </c>
      <c r="AE314" t="s">
        <v>121</v>
      </c>
      <c r="AF314" t="s">
        <v>122</v>
      </c>
      <c r="AG314">
        <v>4163779.79</v>
      </c>
      <c r="AH314" t="s">
        <v>166</v>
      </c>
      <c r="AI314" t="s">
        <v>152</v>
      </c>
      <c r="AJ314" t="s">
        <v>153</v>
      </c>
      <c r="AK314" t="s">
        <v>154</v>
      </c>
      <c r="AL314" t="s">
        <v>119</v>
      </c>
      <c r="AM314" t="s">
        <v>112</v>
      </c>
      <c r="AN314" t="s">
        <v>121</v>
      </c>
      <c r="AO314" t="s">
        <v>122</v>
      </c>
      <c r="AP314" t="s">
        <v>122</v>
      </c>
      <c r="AQ314" t="s">
        <v>124</v>
      </c>
      <c r="AR314" t="s">
        <v>125</v>
      </c>
      <c r="AS314">
        <v>2</v>
      </c>
      <c r="AT314" t="s">
        <v>126</v>
      </c>
      <c r="AU314" t="s">
        <v>155</v>
      </c>
      <c r="AV314" t="s">
        <v>156</v>
      </c>
      <c r="AW314">
        <v>1</v>
      </c>
      <c r="AX314" t="s">
        <v>129</v>
      </c>
      <c r="AY314">
        <v>44130.6</v>
      </c>
      <c r="AZ314">
        <v>3807456</v>
      </c>
      <c r="BA314">
        <v>52106.32</v>
      </c>
      <c r="BB314">
        <v>86.277000000000001</v>
      </c>
      <c r="BC314" t="s">
        <v>130</v>
      </c>
      <c r="BD314" t="s">
        <v>112</v>
      </c>
      <c r="BE314" t="s">
        <v>157</v>
      </c>
      <c r="BF314" t="s">
        <v>133</v>
      </c>
      <c r="BG314" t="s">
        <v>167</v>
      </c>
      <c r="BH314" t="s">
        <v>168</v>
      </c>
      <c r="BI314" t="s">
        <v>112</v>
      </c>
      <c r="BJ314" t="s">
        <v>112</v>
      </c>
      <c r="BK314" t="s">
        <v>169</v>
      </c>
      <c r="BL314" t="s">
        <v>159</v>
      </c>
      <c r="BM314" t="s">
        <v>726</v>
      </c>
      <c r="BN314" t="s">
        <v>161</v>
      </c>
      <c r="BO314">
        <v>1</v>
      </c>
      <c r="BP314" t="s">
        <v>232</v>
      </c>
      <c r="BR314" t="s">
        <v>150</v>
      </c>
      <c r="BS314">
        <v>33</v>
      </c>
      <c r="BT314">
        <v>0</v>
      </c>
      <c r="BU314">
        <v>0</v>
      </c>
      <c r="BW314">
        <v>0</v>
      </c>
      <c r="BY314" t="s">
        <v>106</v>
      </c>
      <c r="BZ314" t="s">
        <v>142</v>
      </c>
      <c r="CA314" t="s">
        <v>112</v>
      </c>
      <c r="CB314" t="s">
        <v>112</v>
      </c>
      <c r="CC314" t="s">
        <v>121</v>
      </c>
      <c r="CD314">
        <v>17092.62</v>
      </c>
      <c r="CE314" t="s">
        <v>144</v>
      </c>
      <c r="CF314">
        <v>4000000</v>
      </c>
      <c r="CG314">
        <v>17092.62</v>
      </c>
      <c r="CH314">
        <v>0</v>
      </c>
      <c r="CI314" t="s">
        <v>112</v>
      </c>
      <c r="CJ314" t="s">
        <v>112</v>
      </c>
      <c r="CK314">
        <v>44130.6</v>
      </c>
      <c r="CL314">
        <v>3807456</v>
      </c>
      <c r="CM314">
        <v>0</v>
      </c>
      <c r="CN314">
        <v>1</v>
      </c>
      <c r="CO314">
        <v>4163779.79</v>
      </c>
      <c r="CP314">
        <v>52106.32</v>
      </c>
      <c r="CQ314" t="s">
        <v>145</v>
      </c>
      <c r="CR314">
        <v>52106.852070000001</v>
      </c>
      <c r="CS314">
        <v>3.0485000000000002</v>
      </c>
      <c r="CT314">
        <v>45</v>
      </c>
      <c r="CU314" t="s">
        <v>171</v>
      </c>
      <c r="CV314" t="s">
        <v>372</v>
      </c>
      <c r="CW314">
        <v>13</v>
      </c>
    </row>
    <row r="315" spans="1:101" x14ac:dyDescent="0.2">
      <c r="A315" t="s">
        <v>106</v>
      </c>
      <c r="B315" s="46">
        <v>45153</v>
      </c>
      <c r="C315" t="s">
        <v>1199</v>
      </c>
      <c r="D315" t="s">
        <v>108</v>
      </c>
      <c r="E315" t="s">
        <v>1200</v>
      </c>
      <c r="F315" t="s">
        <v>110</v>
      </c>
      <c r="G315" t="s">
        <v>111</v>
      </c>
      <c r="H315" t="s">
        <v>112</v>
      </c>
      <c r="I315" t="s">
        <v>112</v>
      </c>
      <c r="J315" t="s">
        <v>112</v>
      </c>
      <c r="K315" t="s">
        <v>150</v>
      </c>
      <c r="L315" t="s">
        <v>1060</v>
      </c>
      <c r="M315" t="s">
        <v>112</v>
      </c>
      <c r="N315" t="s">
        <v>112</v>
      </c>
      <c r="O315">
        <v>1</v>
      </c>
      <c r="P315">
        <v>0</v>
      </c>
      <c r="Q315">
        <v>1</v>
      </c>
      <c r="R315">
        <v>33</v>
      </c>
      <c r="S315" t="s">
        <v>166</v>
      </c>
      <c r="T315" t="s">
        <v>152</v>
      </c>
      <c r="U315" t="s">
        <v>153</v>
      </c>
      <c r="V315" t="s">
        <v>154</v>
      </c>
      <c r="W315" t="s">
        <v>119</v>
      </c>
      <c r="X315" t="s">
        <v>112</v>
      </c>
      <c r="Y315" t="s">
        <v>166</v>
      </c>
      <c r="Z315" t="s">
        <v>152</v>
      </c>
      <c r="AA315" t="s">
        <v>153</v>
      </c>
      <c r="AB315" t="s">
        <v>154</v>
      </c>
      <c r="AC315" t="s">
        <v>119</v>
      </c>
      <c r="AD315" t="s">
        <v>112</v>
      </c>
      <c r="AE315" t="s">
        <v>121</v>
      </c>
      <c r="AF315" t="s">
        <v>122</v>
      </c>
      <c r="AG315">
        <v>4241649.09</v>
      </c>
      <c r="AH315" t="s">
        <v>166</v>
      </c>
      <c r="AI315" t="s">
        <v>152</v>
      </c>
      <c r="AJ315" t="s">
        <v>153</v>
      </c>
      <c r="AK315" t="s">
        <v>154</v>
      </c>
      <c r="AL315" t="s">
        <v>119</v>
      </c>
      <c r="AM315" t="s">
        <v>112</v>
      </c>
      <c r="AN315" t="s">
        <v>121</v>
      </c>
      <c r="AO315" t="s">
        <v>122</v>
      </c>
      <c r="AP315" t="s">
        <v>122</v>
      </c>
      <c r="AQ315" t="s">
        <v>124</v>
      </c>
      <c r="AR315" t="s">
        <v>125</v>
      </c>
      <c r="AS315">
        <v>2</v>
      </c>
      <c r="AT315" t="s">
        <v>126</v>
      </c>
      <c r="AU315" t="s">
        <v>155</v>
      </c>
      <c r="AV315" t="s">
        <v>156</v>
      </c>
      <c r="AW315">
        <v>1</v>
      </c>
      <c r="AX315" t="s">
        <v>129</v>
      </c>
      <c r="AY315">
        <v>44513.15</v>
      </c>
      <c r="AZ315">
        <v>3840461</v>
      </c>
      <c r="BA315">
        <v>53080.79</v>
      </c>
      <c r="BB315">
        <v>86.277000000000001</v>
      </c>
      <c r="BC315" t="s">
        <v>130</v>
      </c>
      <c r="BD315" t="s">
        <v>112</v>
      </c>
      <c r="BE315" t="s">
        <v>157</v>
      </c>
      <c r="BF315" t="s">
        <v>133</v>
      </c>
      <c r="BG315" t="s">
        <v>167</v>
      </c>
      <c r="BH315" t="s">
        <v>168</v>
      </c>
      <c r="BI315" t="s">
        <v>112</v>
      </c>
      <c r="BJ315" t="s">
        <v>112</v>
      </c>
      <c r="BK315" t="s">
        <v>169</v>
      </c>
      <c r="BL315" t="s">
        <v>159</v>
      </c>
      <c r="BM315" t="s">
        <v>726</v>
      </c>
      <c r="BN315" t="s">
        <v>161</v>
      </c>
      <c r="BO315">
        <v>1</v>
      </c>
      <c r="BP315" t="s">
        <v>232</v>
      </c>
      <c r="BR315" t="s">
        <v>150</v>
      </c>
      <c r="BS315">
        <v>33</v>
      </c>
      <c r="BT315">
        <v>0</v>
      </c>
      <c r="BU315">
        <v>0</v>
      </c>
      <c r="BW315">
        <v>0</v>
      </c>
      <c r="BY315" t="s">
        <v>106</v>
      </c>
      <c r="BZ315" t="s">
        <v>142</v>
      </c>
      <c r="CA315" t="s">
        <v>112</v>
      </c>
      <c r="CB315" t="s">
        <v>112</v>
      </c>
      <c r="CC315" t="s">
        <v>121</v>
      </c>
      <c r="CD315">
        <v>16492.759999999998</v>
      </c>
      <c r="CE315" t="s">
        <v>144</v>
      </c>
      <c r="CF315">
        <v>4000000</v>
      </c>
      <c r="CG315">
        <v>16402.759999999998</v>
      </c>
      <c r="CH315">
        <v>0</v>
      </c>
      <c r="CI315" t="s">
        <v>112</v>
      </c>
      <c r="CJ315" t="s">
        <v>112</v>
      </c>
      <c r="CK315">
        <v>44513.15</v>
      </c>
      <c r="CL315">
        <v>3840461</v>
      </c>
      <c r="CM315">
        <v>0</v>
      </c>
      <c r="CN315">
        <v>1</v>
      </c>
      <c r="CO315">
        <v>4241649.09</v>
      </c>
      <c r="CP315">
        <v>53080.79</v>
      </c>
      <c r="CQ315" t="s">
        <v>145</v>
      </c>
      <c r="CR315">
        <v>53080.971635999995</v>
      </c>
      <c r="CS315">
        <v>3.2361</v>
      </c>
      <c r="CT315">
        <v>45</v>
      </c>
      <c r="CU315" t="s">
        <v>171</v>
      </c>
      <c r="CV315" t="s">
        <v>463</v>
      </c>
      <c r="CW315">
        <v>36</v>
      </c>
    </row>
    <row r="316" spans="1:101" x14ac:dyDescent="0.2">
      <c r="A316" t="s">
        <v>106</v>
      </c>
      <c r="B316" s="46">
        <v>45261</v>
      </c>
      <c r="C316" t="s">
        <v>1205</v>
      </c>
      <c r="D316" t="s">
        <v>108</v>
      </c>
      <c r="E316" t="s">
        <v>1206</v>
      </c>
      <c r="F316" t="s">
        <v>110</v>
      </c>
      <c r="G316" t="s">
        <v>111</v>
      </c>
      <c r="H316" t="s">
        <v>112</v>
      </c>
      <c r="I316" t="s">
        <v>112</v>
      </c>
      <c r="J316" t="s">
        <v>112</v>
      </c>
      <c r="K316" t="s">
        <v>150</v>
      </c>
      <c r="L316" t="s">
        <v>1060</v>
      </c>
      <c r="M316" t="s">
        <v>112</v>
      </c>
      <c r="N316" t="s">
        <v>112</v>
      </c>
      <c r="O316">
        <v>1</v>
      </c>
      <c r="P316">
        <v>0</v>
      </c>
      <c r="Q316">
        <v>1</v>
      </c>
      <c r="R316">
        <v>33</v>
      </c>
      <c r="S316" t="s">
        <v>166</v>
      </c>
      <c r="T316" t="s">
        <v>152</v>
      </c>
      <c r="U316" t="s">
        <v>153</v>
      </c>
      <c r="V316" t="s">
        <v>154</v>
      </c>
      <c r="W316" t="s">
        <v>119</v>
      </c>
      <c r="X316" t="s">
        <v>112</v>
      </c>
      <c r="Y316" t="s">
        <v>166</v>
      </c>
      <c r="Z316" t="s">
        <v>152</v>
      </c>
      <c r="AA316" t="s">
        <v>153</v>
      </c>
      <c r="AB316" t="s">
        <v>154</v>
      </c>
      <c r="AC316" t="s">
        <v>119</v>
      </c>
      <c r="AD316" t="s">
        <v>112</v>
      </c>
      <c r="AE316" t="s">
        <v>121</v>
      </c>
      <c r="AF316" t="s">
        <v>122</v>
      </c>
      <c r="AG316">
        <v>4440987.79</v>
      </c>
      <c r="AH316" t="s">
        <v>166</v>
      </c>
      <c r="AI316" t="s">
        <v>152</v>
      </c>
      <c r="AJ316" t="s">
        <v>153</v>
      </c>
      <c r="AK316" t="s">
        <v>154</v>
      </c>
      <c r="AL316" t="s">
        <v>119</v>
      </c>
      <c r="AM316" t="s">
        <v>112</v>
      </c>
      <c r="AN316" t="s">
        <v>121</v>
      </c>
      <c r="AO316" t="s">
        <v>122</v>
      </c>
      <c r="AP316" t="s">
        <v>122</v>
      </c>
      <c r="AQ316" t="s">
        <v>124</v>
      </c>
      <c r="AR316" t="s">
        <v>125</v>
      </c>
      <c r="AS316">
        <v>2</v>
      </c>
      <c r="AT316" t="s">
        <v>126</v>
      </c>
      <c r="AU316" t="s">
        <v>155</v>
      </c>
      <c r="AV316" t="s">
        <v>156</v>
      </c>
      <c r="AW316">
        <v>1</v>
      </c>
      <c r="AX316" t="s">
        <v>129</v>
      </c>
      <c r="AY316">
        <v>47343.6</v>
      </c>
      <c r="AZ316">
        <v>4084664</v>
      </c>
      <c r="BA316">
        <v>55575.360000000001</v>
      </c>
      <c r="BB316">
        <v>86.277000000000001</v>
      </c>
      <c r="BC316" t="s">
        <v>130</v>
      </c>
      <c r="BD316" t="s">
        <v>112</v>
      </c>
      <c r="BE316" t="s">
        <v>157</v>
      </c>
      <c r="BF316" t="s">
        <v>133</v>
      </c>
      <c r="BG316" t="s">
        <v>167</v>
      </c>
      <c r="BH316" t="s">
        <v>168</v>
      </c>
      <c r="BI316" t="s">
        <v>112</v>
      </c>
      <c r="BJ316" t="s">
        <v>112</v>
      </c>
      <c r="BK316" t="s">
        <v>169</v>
      </c>
      <c r="BL316" t="s">
        <v>159</v>
      </c>
      <c r="BM316" t="s">
        <v>726</v>
      </c>
      <c r="BN316" t="s">
        <v>161</v>
      </c>
      <c r="BO316">
        <v>1</v>
      </c>
      <c r="BP316" t="s">
        <v>205</v>
      </c>
      <c r="BR316" t="s">
        <v>150</v>
      </c>
      <c r="BS316">
        <v>33</v>
      </c>
      <c r="BT316">
        <v>0</v>
      </c>
      <c r="BU316">
        <v>0</v>
      </c>
      <c r="BW316">
        <v>0</v>
      </c>
      <c r="BY316" t="s">
        <v>106</v>
      </c>
      <c r="BZ316" t="s">
        <v>142</v>
      </c>
      <c r="CA316" t="s">
        <v>112</v>
      </c>
      <c r="CB316" t="s">
        <v>112</v>
      </c>
      <c r="CC316" t="s">
        <v>121</v>
      </c>
      <c r="CD316">
        <v>16783.32</v>
      </c>
      <c r="CE316" t="s">
        <v>144</v>
      </c>
      <c r="CF316">
        <v>4000000</v>
      </c>
      <c r="CG316">
        <v>16783.32</v>
      </c>
      <c r="CH316">
        <v>0</v>
      </c>
      <c r="CI316" t="s">
        <v>112</v>
      </c>
      <c r="CJ316" t="s">
        <v>112</v>
      </c>
      <c r="CK316">
        <v>47343.6</v>
      </c>
      <c r="CL316">
        <v>4084664</v>
      </c>
      <c r="CM316">
        <v>0</v>
      </c>
      <c r="CN316">
        <v>1</v>
      </c>
      <c r="CO316">
        <v>4440987.79</v>
      </c>
      <c r="CP316">
        <v>55575.360000000001</v>
      </c>
      <c r="CQ316" t="s">
        <v>145</v>
      </c>
      <c r="CR316">
        <v>55574.607516000004</v>
      </c>
      <c r="CS316">
        <v>3.3113000000000001</v>
      </c>
      <c r="CT316">
        <v>45</v>
      </c>
      <c r="CU316" t="s">
        <v>171</v>
      </c>
      <c r="CV316" t="s">
        <v>369</v>
      </c>
      <c r="CW316">
        <v>20</v>
      </c>
    </row>
    <row r="317" spans="1:101" x14ac:dyDescent="0.2">
      <c r="A317" t="s">
        <v>106</v>
      </c>
      <c r="B317" s="46">
        <v>45184</v>
      </c>
      <c r="C317" t="s">
        <v>701</v>
      </c>
      <c r="D317" t="s">
        <v>108</v>
      </c>
      <c r="E317" t="s">
        <v>702</v>
      </c>
      <c r="F317" t="s">
        <v>110</v>
      </c>
      <c r="G317" t="s">
        <v>111</v>
      </c>
      <c r="H317" t="s">
        <v>112</v>
      </c>
      <c r="I317" t="s">
        <v>112</v>
      </c>
      <c r="J317" t="s">
        <v>112</v>
      </c>
      <c r="K317" t="s">
        <v>150</v>
      </c>
      <c r="L317" t="s">
        <v>151</v>
      </c>
      <c r="M317" t="s">
        <v>112</v>
      </c>
      <c r="N317" t="s">
        <v>112</v>
      </c>
      <c r="O317">
        <v>1</v>
      </c>
      <c r="P317">
        <v>0</v>
      </c>
      <c r="Q317">
        <v>1</v>
      </c>
      <c r="R317">
        <v>33</v>
      </c>
      <c r="S317" t="s">
        <v>166</v>
      </c>
      <c r="T317" t="s">
        <v>152</v>
      </c>
      <c r="U317" t="s">
        <v>153</v>
      </c>
      <c r="V317" t="s">
        <v>154</v>
      </c>
      <c r="W317" t="s">
        <v>119</v>
      </c>
      <c r="X317" t="s">
        <v>112</v>
      </c>
      <c r="Y317" t="s">
        <v>166</v>
      </c>
      <c r="Z317" t="s">
        <v>152</v>
      </c>
      <c r="AA317" t="s">
        <v>153</v>
      </c>
      <c r="AB317" t="s">
        <v>154</v>
      </c>
      <c r="AC317" t="s">
        <v>119</v>
      </c>
      <c r="AD317" t="s">
        <v>112</v>
      </c>
      <c r="AE317" t="s">
        <v>121</v>
      </c>
      <c r="AF317" t="s">
        <v>122</v>
      </c>
      <c r="AG317">
        <v>3861878.81</v>
      </c>
      <c r="AH317" t="s">
        <v>166</v>
      </c>
      <c r="AI317" t="s">
        <v>152</v>
      </c>
      <c r="AJ317" t="s">
        <v>153</v>
      </c>
      <c r="AK317" t="s">
        <v>154</v>
      </c>
      <c r="AL317" t="s">
        <v>119</v>
      </c>
      <c r="AM317" t="s">
        <v>112</v>
      </c>
      <c r="AN317" t="s">
        <v>121</v>
      </c>
      <c r="AO317" t="s">
        <v>122</v>
      </c>
      <c r="AP317" t="s">
        <v>122</v>
      </c>
      <c r="AQ317" t="s">
        <v>124</v>
      </c>
      <c r="AR317" t="s">
        <v>125</v>
      </c>
      <c r="AS317">
        <v>2</v>
      </c>
      <c r="AT317" t="s">
        <v>126</v>
      </c>
      <c r="AU317" t="s">
        <v>155</v>
      </c>
      <c r="AV317" t="s">
        <v>156</v>
      </c>
      <c r="AW317">
        <v>1</v>
      </c>
      <c r="AX317" t="s">
        <v>129</v>
      </c>
      <c r="AY317">
        <v>42436.38</v>
      </c>
      <c r="AZ317">
        <v>3502818</v>
      </c>
      <c r="BA317">
        <v>50260.47</v>
      </c>
      <c r="BB317">
        <v>82.5428</v>
      </c>
      <c r="BC317" t="s">
        <v>130</v>
      </c>
      <c r="BD317" t="s">
        <v>112</v>
      </c>
      <c r="BE317" t="s">
        <v>157</v>
      </c>
      <c r="BF317" t="s">
        <v>133</v>
      </c>
      <c r="BG317" t="s">
        <v>134</v>
      </c>
      <c r="BH317" t="s">
        <v>112</v>
      </c>
      <c r="BI317" t="s">
        <v>112</v>
      </c>
      <c r="BJ317" t="s">
        <v>112</v>
      </c>
      <c r="BK317" t="s">
        <v>169</v>
      </c>
      <c r="BL317" t="s">
        <v>159</v>
      </c>
      <c r="BM317" t="s">
        <v>212</v>
      </c>
      <c r="BN317" t="s">
        <v>161</v>
      </c>
      <c r="BO317">
        <v>1</v>
      </c>
      <c r="BP317" t="s">
        <v>162</v>
      </c>
      <c r="BR317" t="s">
        <v>150</v>
      </c>
      <c r="BS317">
        <v>33</v>
      </c>
      <c r="BT317">
        <v>0</v>
      </c>
      <c r="BU317">
        <v>0</v>
      </c>
      <c r="BW317">
        <v>0</v>
      </c>
      <c r="BY317" t="s">
        <v>106</v>
      </c>
      <c r="BZ317" t="s">
        <v>142</v>
      </c>
      <c r="CA317" t="s">
        <v>112</v>
      </c>
      <c r="CB317" t="s">
        <v>112</v>
      </c>
      <c r="CC317" t="s">
        <v>121</v>
      </c>
      <c r="CD317">
        <v>16532.84</v>
      </c>
      <c r="CE317" t="s">
        <v>144</v>
      </c>
      <c r="CF317">
        <v>4000000</v>
      </c>
      <c r="CG317">
        <v>16460.84</v>
      </c>
      <c r="CH317">
        <v>0</v>
      </c>
      <c r="CI317" t="s">
        <v>112</v>
      </c>
      <c r="CJ317" t="s">
        <v>112</v>
      </c>
      <c r="CK317">
        <v>42436.38</v>
      </c>
      <c r="CL317">
        <v>3502818</v>
      </c>
      <c r="CM317">
        <v>0</v>
      </c>
      <c r="CN317">
        <v>1</v>
      </c>
      <c r="CO317">
        <v>3861878.81</v>
      </c>
      <c r="CP317">
        <v>50260.47</v>
      </c>
      <c r="CQ317" t="s">
        <v>145</v>
      </c>
      <c r="CR317">
        <v>50259.882772000004</v>
      </c>
      <c r="CS317">
        <v>3.0533000000000001</v>
      </c>
      <c r="CT317">
        <v>45</v>
      </c>
      <c r="CU317" t="s">
        <v>171</v>
      </c>
      <c r="CV317" t="s">
        <v>350</v>
      </c>
      <c r="CW317">
        <v>163</v>
      </c>
    </row>
    <row r="318" spans="1:101" x14ac:dyDescent="0.2">
      <c r="A318" t="s">
        <v>106</v>
      </c>
      <c r="B318" s="46">
        <v>45163</v>
      </c>
      <c r="C318" t="s">
        <v>644</v>
      </c>
      <c r="D318" t="s">
        <v>108</v>
      </c>
      <c r="E318" t="s">
        <v>645</v>
      </c>
      <c r="F318" t="s">
        <v>110</v>
      </c>
      <c r="G318" t="s">
        <v>111</v>
      </c>
      <c r="H318" t="s">
        <v>112</v>
      </c>
      <c r="I318" t="s">
        <v>112</v>
      </c>
      <c r="J318" t="s">
        <v>112</v>
      </c>
      <c r="K318" t="s">
        <v>150</v>
      </c>
      <c r="L318" t="s">
        <v>151</v>
      </c>
      <c r="M318" t="s">
        <v>112</v>
      </c>
      <c r="N318" t="s">
        <v>112</v>
      </c>
      <c r="O318">
        <v>1</v>
      </c>
      <c r="P318">
        <v>0</v>
      </c>
      <c r="Q318">
        <v>1</v>
      </c>
      <c r="R318">
        <v>33</v>
      </c>
      <c r="S318" t="s">
        <v>166</v>
      </c>
      <c r="T318" t="s">
        <v>152</v>
      </c>
      <c r="U318" t="s">
        <v>153</v>
      </c>
      <c r="V318" t="s">
        <v>154</v>
      </c>
      <c r="W318" t="s">
        <v>119</v>
      </c>
      <c r="X318" t="s">
        <v>112</v>
      </c>
      <c r="Y318" t="s">
        <v>166</v>
      </c>
      <c r="Z318" t="s">
        <v>152</v>
      </c>
      <c r="AA318" t="s">
        <v>153</v>
      </c>
      <c r="AB318" t="s">
        <v>154</v>
      </c>
      <c r="AC318" t="s">
        <v>119</v>
      </c>
      <c r="AD318" t="s">
        <v>112</v>
      </c>
      <c r="AE318" t="s">
        <v>121</v>
      </c>
      <c r="AF318" t="s">
        <v>122</v>
      </c>
      <c r="AG318">
        <v>4111256.68</v>
      </c>
      <c r="AH318" t="s">
        <v>166</v>
      </c>
      <c r="AI318" t="s">
        <v>152</v>
      </c>
      <c r="AJ318" t="s">
        <v>153</v>
      </c>
      <c r="AK318" t="s">
        <v>154</v>
      </c>
      <c r="AL318" t="s">
        <v>119</v>
      </c>
      <c r="AM318" t="s">
        <v>112</v>
      </c>
      <c r="AN318" t="s">
        <v>121</v>
      </c>
      <c r="AO318" t="s">
        <v>122</v>
      </c>
      <c r="AP318" t="s">
        <v>122</v>
      </c>
      <c r="AQ318" t="s">
        <v>124</v>
      </c>
      <c r="AR318" t="s">
        <v>125</v>
      </c>
      <c r="AS318">
        <v>2</v>
      </c>
      <c r="AT318" t="s">
        <v>126</v>
      </c>
      <c r="AU318" t="s">
        <v>155</v>
      </c>
      <c r="AV318" t="s">
        <v>156</v>
      </c>
      <c r="AW318">
        <v>1</v>
      </c>
      <c r="AX318" t="s">
        <v>129</v>
      </c>
      <c r="AY318">
        <v>47196.12</v>
      </c>
      <c r="AZ318">
        <v>3764306</v>
      </c>
      <c r="BA318">
        <v>54919.57</v>
      </c>
      <c r="BB318">
        <v>79.758799999999994</v>
      </c>
      <c r="BC318" t="s">
        <v>130</v>
      </c>
      <c r="BD318" t="s">
        <v>112</v>
      </c>
      <c r="BE318" t="s">
        <v>157</v>
      </c>
      <c r="BF318" t="s">
        <v>133</v>
      </c>
      <c r="BG318" t="s">
        <v>134</v>
      </c>
      <c r="BH318" t="s">
        <v>112</v>
      </c>
      <c r="BI318" t="s">
        <v>112</v>
      </c>
      <c r="BJ318" t="s">
        <v>112</v>
      </c>
      <c r="BK318" t="s">
        <v>169</v>
      </c>
      <c r="BL318" t="s">
        <v>159</v>
      </c>
      <c r="BM318" t="s">
        <v>212</v>
      </c>
      <c r="BN318" t="s">
        <v>161</v>
      </c>
      <c r="BO318">
        <v>1</v>
      </c>
      <c r="BP318" t="s">
        <v>232</v>
      </c>
      <c r="BR318" t="s">
        <v>150</v>
      </c>
      <c r="BS318">
        <v>33</v>
      </c>
      <c r="BT318">
        <v>0</v>
      </c>
      <c r="BU318">
        <v>0</v>
      </c>
      <c r="BW318">
        <v>0</v>
      </c>
      <c r="BY318" t="s">
        <v>106</v>
      </c>
      <c r="BZ318" t="s">
        <v>142</v>
      </c>
      <c r="CA318" t="s">
        <v>112</v>
      </c>
      <c r="CB318" t="s">
        <v>112</v>
      </c>
      <c r="CC318" t="s">
        <v>121</v>
      </c>
      <c r="CD318">
        <v>14983.63</v>
      </c>
      <c r="CE318" t="s">
        <v>144</v>
      </c>
      <c r="CF318">
        <v>4000000</v>
      </c>
      <c r="CG318">
        <v>14722.63</v>
      </c>
      <c r="CH318">
        <v>0</v>
      </c>
      <c r="CI318" t="s">
        <v>112</v>
      </c>
      <c r="CJ318" t="s">
        <v>112</v>
      </c>
      <c r="CK318">
        <v>47196.12</v>
      </c>
      <c r="CL318">
        <v>3764306</v>
      </c>
      <c r="CM318">
        <v>0</v>
      </c>
      <c r="CN318">
        <v>1</v>
      </c>
      <c r="CO318">
        <v>4111256.68</v>
      </c>
      <c r="CP318">
        <v>54919.57</v>
      </c>
      <c r="CQ318" t="s">
        <v>145</v>
      </c>
      <c r="CR318">
        <v>54919.826689000001</v>
      </c>
      <c r="CS318">
        <v>3.7303000000000002</v>
      </c>
      <c r="CT318">
        <v>45</v>
      </c>
      <c r="CU318" t="s">
        <v>171</v>
      </c>
      <c r="CV318" t="s">
        <v>350</v>
      </c>
      <c r="CW318">
        <v>330</v>
      </c>
    </row>
    <row r="319" spans="1:101" x14ac:dyDescent="0.2">
      <c r="A319" t="s">
        <v>106</v>
      </c>
      <c r="B319" s="46">
        <v>45258</v>
      </c>
      <c r="C319" t="s">
        <v>651</v>
      </c>
      <c r="D319" t="s">
        <v>108</v>
      </c>
      <c r="E319" t="s">
        <v>652</v>
      </c>
      <c r="F319" t="s">
        <v>110</v>
      </c>
      <c r="G319" t="s">
        <v>111</v>
      </c>
      <c r="H319" t="s">
        <v>112</v>
      </c>
      <c r="I319" t="s">
        <v>112</v>
      </c>
      <c r="J319" t="s">
        <v>112</v>
      </c>
      <c r="K319" t="s">
        <v>150</v>
      </c>
      <c r="L319" t="s">
        <v>151</v>
      </c>
      <c r="M319" t="s">
        <v>112</v>
      </c>
      <c r="N319" t="s">
        <v>112</v>
      </c>
      <c r="O319">
        <v>1</v>
      </c>
      <c r="P319">
        <v>0</v>
      </c>
      <c r="Q319">
        <v>1</v>
      </c>
      <c r="R319">
        <v>33</v>
      </c>
      <c r="S319" t="s">
        <v>166</v>
      </c>
      <c r="T319" t="s">
        <v>152</v>
      </c>
      <c r="U319" t="s">
        <v>153</v>
      </c>
      <c r="V319" t="s">
        <v>154</v>
      </c>
      <c r="W319" t="s">
        <v>119</v>
      </c>
      <c r="X319" t="s">
        <v>112</v>
      </c>
      <c r="Y319" t="s">
        <v>166</v>
      </c>
      <c r="Z319" t="s">
        <v>152</v>
      </c>
      <c r="AA319" t="s">
        <v>153</v>
      </c>
      <c r="AB319" t="s">
        <v>154</v>
      </c>
      <c r="AC319" t="s">
        <v>119</v>
      </c>
      <c r="AD319" t="s">
        <v>112</v>
      </c>
      <c r="AE319" t="s">
        <v>121</v>
      </c>
      <c r="AF319" t="s">
        <v>122</v>
      </c>
      <c r="AG319">
        <v>3902830.18</v>
      </c>
      <c r="AH319" t="s">
        <v>166</v>
      </c>
      <c r="AI319" t="s">
        <v>152</v>
      </c>
      <c r="AJ319" t="s">
        <v>153</v>
      </c>
      <c r="AK319" t="s">
        <v>154</v>
      </c>
      <c r="AL319" t="s">
        <v>119</v>
      </c>
      <c r="AM319" t="s">
        <v>112</v>
      </c>
      <c r="AN319" t="s">
        <v>121</v>
      </c>
      <c r="AO319" t="s">
        <v>122</v>
      </c>
      <c r="AP319" t="s">
        <v>122</v>
      </c>
      <c r="AQ319" t="s">
        <v>124</v>
      </c>
      <c r="AR319" t="s">
        <v>125</v>
      </c>
      <c r="AS319">
        <v>2</v>
      </c>
      <c r="AT319" t="s">
        <v>126</v>
      </c>
      <c r="AU319" t="s">
        <v>155</v>
      </c>
      <c r="AV319" t="s">
        <v>156</v>
      </c>
      <c r="AW319">
        <v>1</v>
      </c>
      <c r="AX319" t="s">
        <v>129</v>
      </c>
      <c r="AY319">
        <v>44582.91</v>
      </c>
      <c r="AZ319">
        <v>3555879</v>
      </c>
      <c r="BA319">
        <v>52135.33</v>
      </c>
      <c r="BB319">
        <v>79.758799999999994</v>
      </c>
      <c r="BC319" t="s">
        <v>130</v>
      </c>
      <c r="BD319" t="s">
        <v>112</v>
      </c>
      <c r="BE319" t="s">
        <v>157</v>
      </c>
      <c r="BF319" t="s">
        <v>133</v>
      </c>
      <c r="BG319" t="s">
        <v>134</v>
      </c>
      <c r="BH319" t="s">
        <v>112</v>
      </c>
      <c r="BI319" t="s">
        <v>112</v>
      </c>
      <c r="BJ319" t="s">
        <v>112</v>
      </c>
      <c r="BK319" t="s">
        <v>169</v>
      </c>
      <c r="BL319" t="s">
        <v>159</v>
      </c>
      <c r="BM319" t="s">
        <v>212</v>
      </c>
      <c r="BN319" t="s">
        <v>161</v>
      </c>
      <c r="BO319">
        <v>1</v>
      </c>
      <c r="BP319" t="s">
        <v>653</v>
      </c>
      <c r="BR319" t="s">
        <v>150</v>
      </c>
      <c r="BS319">
        <v>33</v>
      </c>
      <c r="BT319">
        <v>0</v>
      </c>
      <c r="BU319">
        <v>0</v>
      </c>
      <c r="BW319">
        <v>0</v>
      </c>
      <c r="BY319" t="s">
        <v>106</v>
      </c>
      <c r="BZ319" t="s">
        <v>142</v>
      </c>
      <c r="CA319" t="s">
        <v>112</v>
      </c>
      <c r="CB319" t="s">
        <v>112</v>
      </c>
      <c r="CC319" t="s">
        <v>121</v>
      </c>
      <c r="CD319">
        <v>16695.310000000001</v>
      </c>
      <c r="CE319" t="s">
        <v>144</v>
      </c>
      <c r="CF319">
        <v>4000000</v>
      </c>
      <c r="CG319">
        <v>16587.310000000001</v>
      </c>
      <c r="CH319">
        <v>0</v>
      </c>
      <c r="CI319" t="s">
        <v>112</v>
      </c>
      <c r="CJ319" t="s">
        <v>112</v>
      </c>
      <c r="CK319">
        <v>44582.91</v>
      </c>
      <c r="CL319">
        <v>3555879</v>
      </c>
      <c r="CM319">
        <v>0</v>
      </c>
      <c r="CN319">
        <v>1</v>
      </c>
      <c r="CO319">
        <v>3902830.18</v>
      </c>
      <c r="CP319">
        <v>52135.33</v>
      </c>
      <c r="CQ319" t="s">
        <v>145</v>
      </c>
      <c r="CR319">
        <v>52135.574061000007</v>
      </c>
      <c r="CS319">
        <v>3.1431</v>
      </c>
      <c r="CT319">
        <v>45</v>
      </c>
      <c r="CU319" t="s">
        <v>171</v>
      </c>
      <c r="CV319" t="s">
        <v>350</v>
      </c>
      <c r="CW319">
        <v>13</v>
      </c>
    </row>
    <row r="320" spans="1:101" x14ac:dyDescent="0.2">
      <c r="A320" t="s">
        <v>106</v>
      </c>
      <c r="B320" s="46">
        <v>44938</v>
      </c>
      <c r="C320" t="s">
        <v>648</v>
      </c>
      <c r="D320" t="s">
        <v>108</v>
      </c>
      <c r="E320" t="s">
        <v>649</v>
      </c>
      <c r="F320" t="s">
        <v>110</v>
      </c>
      <c r="G320" t="s">
        <v>111</v>
      </c>
      <c r="H320" t="s">
        <v>112</v>
      </c>
      <c r="I320" t="s">
        <v>112</v>
      </c>
      <c r="J320" t="s">
        <v>112</v>
      </c>
      <c r="K320" t="s">
        <v>150</v>
      </c>
      <c r="L320" t="s">
        <v>151</v>
      </c>
      <c r="M320" t="s">
        <v>112</v>
      </c>
      <c r="N320" t="s">
        <v>112</v>
      </c>
      <c r="O320">
        <v>1</v>
      </c>
      <c r="P320">
        <v>0</v>
      </c>
      <c r="Q320">
        <v>1</v>
      </c>
      <c r="R320">
        <v>38</v>
      </c>
      <c r="S320" t="s">
        <v>166</v>
      </c>
      <c r="T320" t="s">
        <v>152</v>
      </c>
      <c r="U320" t="s">
        <v>153</v>
      </c>
      <c r="V320" t="s">
        <v>154</v>
      </c>
      <c r="W320" t="s">
        <v>119</v>
      </c>
      <c r="X320" t="s">
        <v>112</v>
      </c>
      <c r="Y320" t="s">
        <v>166</v>
      </c>
      <c r="Z320" t="s">
        <v>152</v>
      </c>
      <c r="AA320" t="s">
        <v>153</v>
      </c>
      <c r="AB320" t="s">
        <v>154</v>
      </c>
      <c r="AC320" t="s">
        <v>119</v>
      </c>
      <c r="AD320" t="s">
        <v>112</v>
      </c>
      <c r="AE320" t="s">
        <v>121</v>
      </c>
      <c r="AF320" t="s">
        <v>122</v>
      </c>
      <c r="AG320">
        <v>4681165.21</v>
      </c>
      <c r="AH320" t="s">
        <v>166</v>
      </c>
      <c r="AI320" t="s">
        <v>152</v>
      </c>
      <c r="AJ320" t="s">
        <v>153</v>
      </c>
      <c r="AK320" t="s">
        <v>154</v>
      </c>
      <c r="AL320" t="s">
        <v>119</v>
      </c>
      <c r="AM320" t="s">
        <v>112</v>
      </c>
      <c r="AN320" t="s">
        <v>121</v>
      </c>
      <c r="AO320" t="s">
        <v>122</v>
      </c>
      <c r="AP320" t="s">
        <v>122</v>
      </c>
      <c r="AQ320" t="s">
        <v>124</v>
      </c>
      <c r="AR320" t="s">
        <v>125</v>
      </c>
      <c r="AS320">
        <v>2</v>
      </c>
      <c r="AT320" t="s">
        <v>126</v>
      </c>
      <c r="AU320" t="s">
        <v>155</v>
      </c>
      <c r="AV320" t="s">
        <v>156</v>
      </c>
      <c r="AW320">
        <v>1</v>
      </c>
      <c r="AX320" t="s">
        <v>129</v>
      </c>
      <c r="AY320">
        <v>54341.52</v>
      </c>
      <c r="AZ320">
        <v>4334214</v>
      </c>
      <c r="BA320">
        <v>62532.6</v>
      </c>
      <c r="BB320">
        <v>79.758799999999994</v>
      </c>
      <c r="BC320" t="s">
        <v>130</v>
      </c>
      <c r="BD320" t="s">
        <v>112</v>
      </c>
      <c r="BE320" t="s">
        <v>157</v>
      </c>
      <c r="BF320" t="s">
        <v>133</v>
      </c>
      <c r="BG320" t="s">
        <v>134</v>
      </c>
      <c r="BH320" t="s">
        <v>112</v>
      </c>
      <c r="BI320" t="s">
        <v>112</v>
      </c>
      <c r="BJ320" t="s">
        <v>112</v>
      </c>
      <c r="BK320" t="s">
        <v>169</v>
      </c>
      <c r="BL320" t="s">
        <v>159</v>
      </c>
      <c r="BM320" t="s">
        <v>212</v>
      </c>
      <c r="BN320" t="s">
        <v>161</v>
      </c>
      <c r="BO320">
        <v>1</v>
      </c>
      <c r="BP320" t="s">
        <v>650</v>
      </c>
      <c r="BR320" t="s">
        <v>150</v>
      </c>
      <c r="BS320">
        <v>38</v>
      </c>
      <c r="BT320">
        <v>0</v>
      </c>
      <c r="BU320">
        <v>0</v>
      </c>
      <c r="BW320">
        <v>0</v>
      </c>
      <c r="BY320" t="s">
        <v>106</v>
      </c>
      <c r="BZ320" t="s">
        <v>142</v>
      </c>
      <c r="CA320" t="s">
        <v>112</v>
      </c>
      <c r="CB320" t="s">
        <v>112</v>
      </c>
      <c r="CC320" t="s">
        <v>121</v>
      </c>
      <c r="CD320">
        <v>17711.919999999998</v>
      </c>
      <c r="CE320" t="s">
        <v>144</v>
      </c>
      <c r="CF320">
        <v>4000000</v>
      </c>
      <c r="CG320">
        <v>17384.32</v>
      </c>
      <c r="CH320">
        <v>0</v>
      </c>
      <c r="CI320" t="s">
        <v>112</v>
      </c>
      <c r="CJ320" t="s">
        <v>112</v>
      </c>
      <c r="CK320">
        <v>54341.52</v>
      </c>
      <c r="CL320">
        <v>4334214</v>
      </c>
      <c r="CM320">
        <v>0</v>
      </c>
      <c r="CN320">
        <v>1</v>
      </c>
      <c r="CO320">
        <v>4681165.21</v>
      </c>
      <c r="CP320">
        <v>62532.6</v>
      </c>
      <c r="CQ320" t="s">
        <v>145</v>
      </c>
      <c r="CR320">
        <v>62533.137472000002</v>
      </c>
      <c r="CS320">
        <v>3.5971000000000002</v>
      </c>
      <c r="CT320">
        <v>45</v>
      </c>
      <c r="CU320" t="s">
        <v>171</v>
      </c>
      <c r="CV320" t="s">
        <v>463</v>
      </c>
      <c r="CW320">
        <v>219</v>
      </c>
    </row>
    <row r="321" spans="1:101" x14ac:dyDescent="0.2">
      <c r="A321" t="s">
        <v>106</v>
      </c>
      <c r="B321" s="46">
        <v>45133</v>
      </c>
      <c r="C321" t="s">
        <v>646</v>
      </c>
      <c r="D321" t="s">
        <v>108</v>
      </c>
      <c r="E321" t="s">
        <v>647</v>
      </c>
      <c r="F321" t="s">
        <v>110</v>
      </c>
      <c r="G321" t="s">
        <v>111</v>
      </c>
      <c r="H321" t="s">
        <v>112</v>
      </c>
      <c r="I321" t="s">
        <v>112</v>
      </c>
      <c r="J321" t="s">
        <v>112</v>
      </c>
      <c r="K321" t="s">
        <v>150</v>
      </c>
      <c r="L321" t="s">
        <v>151</v>
      </c>
      <c r="M321" t="s">
        <v>112</v>
      </c>
      <c r="N321" t="s">
        <v>112</v>
      </c>
      <c r="O321">
        <v>1</v>
      </c>
      <c r="P321">
        <v>0</v>
      </c>
      <c r="Q321">
        <v>1</v>
      </c>
      <c r="R321">
        <v>38</v>
      </c>
      <c r="S321" t="s">
        <v>166</v>
      </c>
      <c r="T321" t="s">
        <v>152</v>
      </c>
      <c r="U321" t="s">
        <v>153</v>
      </c>
      <c r="V321" t="s">
        <v>154</v>
      </c>
      <c r="W321" t="s">
        <v>119</v>
      </c>
      <c r="X321" t="s">
        <v>112</v>
      </c>
      <c r="Y321" t="s">
        <v>166</v>
      </c>
      <c r="Z321" t="s">
        <v>152</v>
      </c>
      <c r="AA321" t="s">
        <v>153</v>
      </c>
      <c r="AB321" t="s">
        <v>154</v>
      </c>
      <c r="AC321" t="s">
        <v>119</v>
      </c>
      <c r="AD321" t="s">
        <v>112</v>
      </c>
      <c r="AE321" t="s">
        <v>121</v>
      </c>
      <c r="AF321" t="s">
        <v>122</v>
      </c>
      <c r="AG321">
        <v>4316086.8499999996</v>
      </c>
      <c r="AH321" t="s">
        <v>166</v>
      </c>
      <c r="AI321" t="s">
        <v>152</v>
      </c>
      <c r="AJ321" t="s">
        <v>153</v>
      </c>
      <c r="AK321" t="s">
        <v>154</v>
      </c>
      <c r="AL321" t="s">
        <v>119</v>
      </c>
      <c r="AM321" t="s">
        <v>112</v>
      </c>
      <c r="AN321" t="s">
        <v>121</v>
      </c>
      <c r="AO321" t="s">
        <v>122</v>
      </c>
      <c r="AP321" t="s">
        <v>122</v>
      </c>
      <c r="AQ321" t="s">
        <v>124</v>
      </c>
      <c r="AR321" t="s">
        <v>125</v>
      </c>
      <c r="AS321">
        <v>2</v>
      </c>
      <c r="AT321" t="s">
        <v>126</v>
      </c>
      <c r="AU321" t="s">
        <v>155</v>
      </c>
      <c r="AV321" t="s">
        <v>156</v>
      </c>
      <c r="AW321">
        <v>1</v>
      </c>
      <c r="AX321" t="s">
        <v>129</v>
      </c>
      <c r="AY321">
        <v>49764.24</v>
      </c>
      <c r="AZ321">
        <v>3969136</v>
      </c>
      <c r="BA321">
        <v>57655.76</v>
      </c>
      <c r="BB321">
        <v>79.758799999999994</v>
      </c>
      <c r="BC321" t="s">
        <v>130</v>
      </c>
      <c r="BD321" t="s">
        <v>112</v>
      </c>
      <c r="BE321" t="s">
        <v>157</v>
      </c>
      <c r="BF321" t="s">
        <v>133</v>
      </c>
      <c r="BG321" t="s">
        <v>167</v>
      </c>
      <c r="BH321" t="s">
        <v>168</v>
      </c>
      <c r="BI321" t="s">
        <v>112</v>
      </c>
      <c r="BJ321" t="s">
        <v>112</v>
      </c>
      <c r="BK321" t="s">
        <v>169</v>
      </c>
      <c r="BL321" t="s">
        <v>159</v>
      </c>
      <c r="BM321" t="s">
        <v>160</v>
      </c>
      <c r="BN321" t="s">
        <v>161</v>
      </c>
      <c r="BO321">
        <v>1</v>
      </c>
      <c r="BP321" t="s">
        <v>162</v>
      </c>
      <c r="BR321" t="s">
        <v>150</v>
      </c>
      <c r="BS321">
        <v>38</v>
      </c>
      <c r="BT321">
        <v>0</v>
      </c>
      <c r="BU321">
        <v>0</v>
      </c>
      <c r="BW321">
        <v>0</v>
      </c>
      <c r="BY321" t="s">
        <v>106</v>
      </c>
      <c r="BZ321" t="s">
        <v>142</v>
      </c>
      <c r="CA321" t="s">
        <v>112</v>
      </c>
      <c r="CB321" t="s">
        <v>112</v>
      </c>
      <c r="CC321" t="s">
        <v>121</v>
      </c>
      <c r="CD321">
        <v>18855.849999999999</v>
      </c>
      <c r="CE321" t="s">
        <v>144</v>
      </c>
      <c r="CF321">
        <v>4000000</v>
      </c>
      <c r="CG321">
        <v>18636.25</v>
      </c>
      <c r="CH321">
        <v>0</v>
      </c>
      <c r="CI321" t="s">
        <v>112</v>
      </c>
      <c r="CJ321" t="s">
        <v>112</v>
      </c>
      <c r="CK321">
        <v>49764.24</v>
      </c>
      <c r="CL321">
        <v>3969136</v>
      </c>
      <c r="CM321">
        <v>0</v>
      </c>
      <c r="CN321">
        <v>1</v>
      </c>
      <c r="CO321">
        <v>4316086.8499999996</v>
      </c>
      <c r="CP321">
        <v>57655.76</v>
      </c>
      <c r="CQ321" t="s">
        <v>145</v>
      </c>
      <c r="CR321">
        <v>57654.966625000001</v>
      </c>
      <c r="CS321">
        <v>3.0937000000000001</v>
      </c>
      <c r="CT321">
        <v>45</v>
      </c>
      <c r="CU321" t="s">
        <v>171</v>
      </c>
      <c r="CV321" t="s">
        <v>350</v>
      </c>
      <c r="CW321">
        <v>117</v>
      </c>
    </row>
    <row r="322" spans="1:101" x14ac:dyDescent="0.2">
      <c r="A322" t="s">
        <v>106</v>
      </c>
      <c r="B322" s="46">
        <v>45242</v>
      </c>
      <c r="C322" t="s">
        <v>357</v>
      </c>
      <c r="D322" t="s">
        <v>108</v>
      </c>
      <c r="E322" t="s">
        <v>358</v>
      </c>
      <c r="F322" t="s">
        <v>110</v>
      </c>
      <c r="G322" t="s">
        <v>111</v>
      </c>
      <c r="H322" t="s">
        <v>112</v>
      </c>
      <c r="I322" t="s">
        <v>112</v>
      </c>
      <c r="J322" t="s">
        <v>112</v>
      </c>
      <c r="K322" t="s">
        <v>175</v>
      </c>
      <c r="L322" t="s">
        <v>176</v>
      </c>
      <c r="M322" t="s">
        <v>112</v>
      </c>
      <c r="N322" t="s">
        <v>112</v>
      </c>
      <c r="O322">
        <v>1</v>
      </c>
      <c r="P322">
        <v>0</v>
      </c>
      <c r="Q322">
        <v>1</v>
      </c>
      <c r="R322">
        <v>33</v>
      </c>
      <c r="S322" t="s">
        <v>166</v>
      </c>
      <c r="T322" t="s">
        <v>152</v>
      </c>
      <c r="U322" t="s">
        <v>153</v>
      </c>
      <c r="V322" t="s">
        <v>177</v>
      </c>
      <c r="W322" t="s">
        <v>119</v>
      </c>
      <c r="X322" t="s">
        <v>112</v>
      </c>
      <c r="Y322" t="s">
        <v>166</v>
      </c>
      <c r="Z322" t="s">
        <v>152</v>
      </c>
      <c r="AA322" t="s">
        <v>153</v>
      </c>
      <c r="AB322" t="s">
        <v>177</v>
      </c>
      <c r="AC322" t="s">
        <v>119</v>
      </c>
      <c r="AD322" t="s">
        <v>112</v>
      </c>
      <c r="AE322" t="s">
        <v>121</v>
      </c>
      <c r="AF322" t="s">
        <v>122</v>
      </c>
      <c r="AG322">
        <v>3109166.91</v>
      </c>
      <c r="AH322" t="s">
        <v>166</v>
      </c>
      <c r="AI322" t="s">
        <v>152</v>
      </c>
      <c r="AJ322" t="s">
        <v>153</v>
      </c>
      <c r="AK322" t="s">
        <v>177</v>
      </c>
      <c r="AL322" t="s">
        <v>119</v>
      </c>
      <c r="AM322" t="s">
        <v>112</v>
      </c>
      <c r="AN322" t="s">
        <v>121</v>
      </c>
      <c r="AO322" t="s">
        <v>122</v>
      </c>
      <c r="AP322" t="s">
        <v>122</v>
      </c>
      <c r="AQ322" t="s">
        <v>124</v>
      </c>
      <c r="AR322" t="s">
        <v>125</v>
      </c>
      <c r="AS322">
        <v>2</v>
      </c>
      <c r="AT322" t="s">
        <v>106</v>
      </c>
      <c r="AU322" t="s">
        <v>155</v>
      </c>
      <c r="AV322" t="s">
        <v>156</v>
      </c>
      <c r="AW322">
        <v>1</v>
      </c>
      <c r="AX322" t="s">
        <v>129</v>
      </c>
      <c r="AY322">
        <v>38492.699999999997</v>
      </c>
      <c r="AZ322">
        <v>2861678</v>
      </c>
      <c r="BA322">
        <v>45279.83</v>
      </c>
      <c r="BB322">
        <v>74.343400000000003</v>
      </c>
      <c r="BC322" t="s">
        <v>130</v>
      </c>
      <c r="BD322" t="s">
        <v>112</v>
      </c>
      <c r="BE322" t="s">
        <v>157</v>
      </c>
      <c r="BF322" t="s">
        <v>133</v>
      </c>
      <c r="BG322" t="s">
        <v>134</v>
      </c>
      <c r="BH322" t="s">
        <v>112</v>
      </c>
      <c r="BI322" t="s">
        <v>178</v>
      </c>
      <c r="BJ322" t="s">
        <v>112</v>
      </c>
      <c r="BK322" t="s">
        <v>125</v>
      </c>
      <c r="BL322" t="s">
        <v>179</v>
      </c>
      <c r="BM322" t="s">
        <v>180</v>
      </c>
      <c r="BN322" t="s">
        <v>181</v>
      </c>
      <c r="BO322">
        <v>1</v>
      </c>
      <c r="BP322" t="s">
        <v>258</v>
      </c>
      <c r="BR322" t="s">
        <v>150</v>
      </c>
      <c r="BS322">
        <v>33</v>
      </c>
      <c r="BT322">
        <v>1</v>
      </c>
      <c r="BU322">
        <v>0</v>
      </c>
      <c r="BW322">
        <v>0</v>
      </c>
      <c r="BY322" t="s">
        <v>106</v>
      </c>
      <c r="BZ322" t="s">
        <v>142</v>
      </c>
      <c r="CA322" t="s">
        <v>112</v>
      </c>
      <c r="CB322" t="s">
        <v>112</v>
      </c>
      <c r="CC322" t="s">
        <v>121</v>
      </c>
      <c r="CD322">
        <v>17280.689999999999</v>
      </c>
      <c r="CE322" t="s">
        <v>144</v>
      </c>
      <c r="CF322">
        <v>4000000</v>
      </c>
      <c r="CG322">
        <v>17280.689999999999</v>
      </c>
      <c r="CH322">
        <v>0</v>
      </c>
      <c r="CI322" t="s">
        <v>112</v>
      </c>
      <c r="CJ322" t="s">
        <v>112</v>
      </c>
      <c r="CK322">
        <v>38492.699999999997</v>
      </c>
      <c r="CL322">
        <v>2861678</v>
      </c>
      <c r="CM322">
        <v>0</v>
      </c>
      <c r="CN322">
        <v>1</v>
      </c>
      <c r="CO322">
        <v>3109166.91</v>
      </c>
      <c r="CP322">
        <v>45279.83</v>
      </c>
      <c r="CQ322" t="s">
        <v>145</v>
      </c>
      <c r="CR322">
        <v>45280.592006999992</v>
      </c>
      <c r="CS322">
        <v>2.6202999999999999</v>
      </c>
      <c r="CT322">
        <v>941</v>
      </c>
      <c r="CU322" t="s">
        <v>183</v>
      </c>
      <c r="CV322" t="s">
        <v>147</v>
      </c>
      <c r="CW322">
        <v>138</v>
      </c>
    </row>
    <row r="323" spans="1:101" x14ac:dyDescent="0.2">
      <c r="A323" t="s">
        <v>106</v>
      </c>
      <c r="B323" s="46">
        <v>45067</v>
      </c>
      <c r="C323" t="s">
        <v>361</v>
      </c>
      <c r="D323" t="s">
        <v>108</v>
      </c>
      <c r="E323" t="s">
        <v>362</v>
      </c>
      <c r="F323" t="s">
        <v>110</v>
      </c>
      <c r="G323" t="s">
        <v>111</v>
      </c>
      <c r="H323" t="s">
        <v>112</v>
      </c>
      <c r="I323" t="s">
        <v>112</v>
      </c>
      <c r="J323" t="s">
        <v>112</v>
      </c>
      <c r="K323" t="s">
        <v>175</v>
      </c>
      <c r="L323" t="s">
        <v>176</v>
      </c>
      <c r="M323" t="s">
        <v>112</v>
      </c>
      <c r="N323" t="s">
        <v>112</v>
      </c>
      <c r="O323">
        <v>1</v>
      </c>
      <c r="P323">
        <v>0</v>
      </c>
      <c r="Q323">
        <v>1</v>
      </c>
      <c r="R323">
        <v>33</v>
      </c>
      <c r="S323" t="s">
        <v>166</v>
      </c>
      <c r="T323" t="s">
        <v>152</v>
      </c>
      <c r="U323" t="s">
        <v>153</v>
      </c>
      <c r="V323" t="s">
        <v>177</v>
      </c>
      <c r="W323" t="s">
        <v>119</v>
      </c>
      <c r="X323" t="s">
        <v>112</v>
      </c>
      <c r="Y323" t="s">
        <v>166</v>
      </c>
      <c r="Z323" t="s">
        <v>152</v>
      </c>
      <c r="AA323" t="s">
        <v>153</v>
      </c>
      <c r="AB323" t="s">
        <v>177</v>
      </c>
      <c r="AC323" t="s">
        <v>119</v>
      </c>
      <c r="AD323" t="s">
        <v>112</v>
      </c>
      <c r="AE323" t="s">
        <v>121</v>
      </c>
      <c r="AF323" t="s">
        <v>122</v>
      </c>
      <c r="AG323">
        <v>3691146.38</v>
      </c>
      <c r="AH323" t="s">
        <v>166</v>
      </c>
      <c r="AI323" t="s">
        <v>152</v>
      </c>
      <c r="AJ323" t="s">
        <v>153</v>
      </c>
      <c r="AK323" t="s">
        <v>177</v>
      </c>
      <c r="AL323" t="s">
        <v>119</v>
      </c>
      <c r="AM323" t="s">
        <v>112</v>
      </c>
      <c r="AN323" t="s">
        <v>121</v>
      </c>
      <c r="AO323" t="s">
        <v>122</v>
      </c>
      <c r="AP323" t="s">
        <v>122</v>
      </c>
      <c r="AQ323" t="s">
        <v>124</v>
      </c>
      <c r="AR323" t="s">
        <v>125</v>
      </c>
      <c r="AS323">
        <v>2</v>
      </c>
      <c r="AT323" t="s">
        <v>106</v>
      </c>
      <c r="AU323" t="s">
        <v>155</v>
      </c>
      <c r="AV323" t="s">
        <v>156</v>
      </c>
      <c r="AW323">
        <v>1</v>
      </c>
      <c r="AX323" t="s">
        <v>129</v>
      </c>
      <c r="AY323">
        <v>46320.959999999999</v>
      </c>
      <c r="AZ323">
        <v>3443658</v>
      </c>
      <c r="BA323">
        <v>53755.39</v>
      </c>
      <c r="BB323">
        <v>74.343400000000003</v>
      </c>
      <c r="BC323" t="s">
        <v>130</v>
      </c>
      <c r="BD323" t="s">
        <v>112</v>
      </c>
      <c r="BE323" t="s">
        <v>157</v>
      </c>
      <c r="BF323" t="s">
        <v>133</v>
      </c>
      <c r="BG323" t="s">
        <v>134</v>
      </c>
      <c r="BH323" t="s">
        <v>112</v>
      </c>
      <c r="BI323" t="s">
        <v>178</v>
      </c>
      <c r="BJ323" t="s">
        <v>112</v>
      </c>
      <c r="BK323" t="s">
        <v>125</v>
      </c>
      <c r="BL323" t="s">
        <v>179</v>
      </c>
      <c r="BM323" t="s">
        <v>180</v>
      </c>
      <c r="BN323" t="s">
        <v>181</v>
      </c>
      <c r="BO323">
        <v>1</v>
      </c>
      <c r="BP323" t="s">
        <v>258</v>
      </c>
      <c r="BR323" t="s">
        <v>150</v>
      </c>
      <c r="BS323">
        <v>33</v>
      </c>
      <c r="BT323">
        <v>1</v>
      </c>
      <c r="BU323">
        <v>0</v>
      </c>
      <c r="BW323">
        <v>0</v>
      </c>
      <c r="BY323" t="s">
        <v>106</v>
      </c>
      <c r="BZ323" t="s">
        <v>142</v>
      </c>
      <c r="CA323" t="s">
        <v>112</v>
      </c>
      <c r="CB323" t="s">
        <v>112</v>
      </c>
      <c r="CC323" t="s">
        <v>121</v>
      </c>
      <c r="CD323">
        <v>17302.490000000002</v>
      </c>
      <c r="CE323" t="s">
        <v>144</v>
      </c>
      <c r="CF323">
        <v>4000000</v>
      </c>
      <c r="CG323">
        <v>17302.490000000002</v>
      </c>
      <c r="CH323">
        <v>0</v>
      </c>
      <c r="CI323" t="s">
        <v>112</v>
      </c>
      <c r="CJ323" t="s">
        <v>112</v>
      </c>
      <c r="CK323">
        <v>46320.959999999999</v>
      </c>
      <c r="CL323">
        <v>3443658</v>
      </c>
      <c r="CM323">
        <v>0</v>
      </c>
      <c r="CN323">
        <v>1</v>
      </c>
      <c r="CO323">
        <v>3691146.38</v>
      </c>
      <c r="CP323">
        <v>53755.39</v>
      </c>
      <c r="CQ323" t="s">
        <v>145</v>
      </c>
      <c r="CR323">
        <v>53755.375932000003</v>
      </c>
      <c r="CS323">
        <v>3.1067999999999998</v>
      </c>
      <c r="CT323">
        <v>941</v>
      </c>
      <c r="CU323" t="s">
        <v>183</v>
      </c>
      <c r="CV323" t="s">
        <v>190</v>
      </c>
      <c r="CW323">
        <v>298</v>
      </c>
    </row>
    <row r="324" spans="1:101" x14ac:dyDescent="0.2">
      <c r="A324" t="s">
        <v>106</v>
      </c>
      <c r="B324" s="46">
        <v>45076</v>
      </c>
      <c r="C324" t="s">
        <v>355</v>
      </c>
      <c r="D324" t="s">
        <v>108</v>
      </c>
      <c r="E324" t="s">
        <v>356</v>
      </c>
      <c r="F324" t="s">
        <v>110</v>
      </c>
      <c r="G324" t="s">
        <v>111</v>
      </c>
      <c r="H324" t="s">
        <v>112</v>
      </c>
      <c r="I324" t="s">
        <v>112</v>
      </c>
      <c r="J324" t="s">
        <v>112</v>
      </c>
      <c r="K324" t="s">
        <v>175</v>
      </c>
      <c r="L324" t="s">
        <v>176</v>
      </c>
      <c r="M324" t="s">
        <v>112</v>
      </c>
      <c r="N324" t="s">
        <v>112</v>
      </c>
      <c r="O324">
        <v>1</v>
      </c>
      <c r="P324">
        <v>0</v>
      </c>
      <c r="Q324">
        <v>1</v>
      </c>
      <c r="R324">
        <v>33</v>
      </c>
      <c r="S324" t="s">
        <v>166</v>
      </c>
      <c r="T324" t="s">
        <v>152</v>
      </c>
      <c r="U324" t="s">
        <v>153</v>
      </c>
      <c r="V324" t="s">
        <v>177</v>
      </c>
      <c r="W324" t="s">
        <v>119</v>
      </c>
      <c r="X324" t="s">
        <v>112</v>
      </c>
      <c r="Y324" t="s">
        <v>166</v>
      </c>
      <c r="Z324" t="s">
        <v>152</v>
      </c>
      <c r="AA324" t="s">
        <v>153</v>
      </c>
      <c r="AB324" t="s">
        <v>177</v>
      </c>
      <c r="AC324" t="s">
        <v>119</v>
      </c>
      <c r="AD324" t="s">
        <v>112</v>
      </c>
      <c r="AE324" t="s">
        <v>121</v>
      </c>
      <c r="AF324" t="s">
        <v>122</v>
      </c>
      <c r="AG324">
        <v>3457785.42</v>
      </c>
      <c r="AH324" t="s">
        <v>166</v>
      </c>
      <c r="AI324" t="s">
        <v>152</v>
      </c>
      <c r="AJ324" t="s">
        <v>153</v>
      </c>
      <c r="AK324" t="s">
        <v>177</v>
      </c>
      <c r="AL324" t="s">
        <v>119</v>
      </c>
      <c r="AM324" t="s">
        <v>112</v>
      </c>
      <c r="AN324" t="s">
        <v>121</v>
      </c>
      <c r="AO324" t="s">
        <v>122</v>
      </c>
      <c r="AP324" t="s">
        <v>122</v>
      </c>
      <c r="AQ324" t="s">
        <v>124</v>
      </c>
      <c r="AR324" t="s">
        <v>125</v>
      </c>
      <c r="AS324">
        <v>2</v>
      </c>
      <c r="AT324" t="s">
        <v>106</v>
      </c>
      <c r="AU324" t="s">
        <v>155</v>
      </c>
      <c r="AV324" t="s">
        <v>156</v>
      </c>
      <c r="AW324">
        <v>1</v>
      </c>
      <c r="AX324" t="s">
        <v>129</v>
      </c>
      <c r="AY324">
        <v>43182</v>
      </c>
      <c r="AZ324">
        <v>3210297</v>
      </c>
      <c r="BA324">
        <v>50356.88</v>
      </c>
      <c r="BB324">
        <v>74.343400000000003</v>
      </c>
      <c r="BC324" t="s">
        <v>130</v>
      </c>
      <c r="BD324" t="s">
        <v>112</v>
      </c>
      <c r="BE324" t="s">
        <v>157</v>
      </c>
      <c r="BF324" t="s">
        <v>133</v>
      </c>
      <c r="BG324" t="s">
        <v>134</v>
      </c>
      <c r="BH324" t="s">
        <v>112</v>
      </c>
      <c r="BI324" t="s">
        <v>178</v>
      </c>
      <c r="BJ324" t="s">
        <v>112</v>
      </c>
      <c r="BK324" t="s">
        <v>125</v>
      </c>
      <c r="BL324" t="s">
        <v>179</v>
      </c>
      <c r="BM324" t="s">
        <v>180</v>
      </c>
      <c r="BN324" t="s">
        <v>181</v>
      </c>
      <c r="BO324">
        <v>1</v>
      </c>
      <c r="BP324" t="s">
        <v>199</v>
      </c>
      <c r="BR324" t="s">
        <v>150</v>
      </c>
      <c r="BS324">
        <v>33</v>
      </c>
      <c r="BT324">
        <v>1</v>
      </c>
      <c r="BU324">
        <v>0</v>
      </c>
      <c r="BW324">
        <v>0</v>
      </c>
      <c r="BY324" t="s">
        <v>106</v>
      </c>
      <c r="BZ324" t="s">
        <v>142</v>
      </c>
      <c r="CA324" t="s">
        <v>112</v>
      </c>
      <c r="CB324" t="s">
        <v>112</v>
      </c>
      <c r="CC324" t="s">
        <v>121</v>
      </c>
      <c r="CD324">
        <v>16619.12</v>
      </c>
      <c r="CE324" t="s">
        <v>144</v>
      </c>
      <c r="CF324">
        <v>4000000</v>
      </c>
      <c r="CG324">
        <v>16597.52</v>
      </c>
      <c r="CH324">
        <v>0</v>
      </c>
      <c r="CI324" t="s">
        <v>112</v>
      </c>
      <c r="CJ324" t="s">
        <v>112</v>
      </c>
      <c r="CK324">
        <v>43182</v>
      </c>
      <c r="CL324">
        <v>3210297</v>
      </c>
      <c r="CM324">
        <v>0</v>
      </c>
      <c r="CN324">
        <v>1</v>
      </c>
      <c r="CO324">
        <v>3457785.42</v>
      </c>
      <c r="CP324">
        <v>50356.88</v>
      </c>
      <c r="CQ324" t="s">
        <v>145</v>
      </c>
      <c r="CR324">
        <v>50356.875679999997</v>
      </c>
      <c r="CS324">
        <v>3.0339999999999998</v>
      </c>
      <c r="CT324">
        <v>941</v>
      </c>
      <c r="CU324" t="s">
        <v>183</v>
      </c>
      <c r="CV324" t="s">
        <v>190</v>
      </c>
      <c r="CW324">
        <v>300</v>
      </c>
    </row>
    <row r="325" spans="1:101" x14ac:dyDescent="0.2">
      <c r="A325" t="s">
        <v>106</v>
      </c>
      <c r="B325" s="46">
        <v>45056</v>
      </c>
      <c r="C325" t="s">
        <v>203</v>
      </c>
      <c r="D325" t="s">
        <v>108</v>
      </c>
      <c r="E325" t="s">
        <v>204</v>
      </c>
      <c r="F325" t="s">
        <v>110</v>
      </c>
      <c r="G325" t="s">
        <v>111</v>
      </c>
      <c r="H325" t="s">
        <v>112</v>
      </c>
      <c r="I325" t="s">
        <v>112</v>
      </c>
      <c r="J325" t="s">
        <v>112</v>
      </c>
      <c r="K325" t="s">
        <v>150</v>
      </c>
      <c r="L325" t="s">
        <v>151</v>
      </c>
      <c r="M325" t="s">
        <v>112</v>
      </c>
      <c r="N325" t="s">
        <v>112</v>
      </c>
      <c r="O325">
        <v>1</v>
      </c>
      <c r="Q325">
        <v>1</v>
      </c>
      <c r="R325">
        <v>33</v>
      </c>
      <c r="S325" t="s">
        <v>112</v>
      </c>
      <c r="T325" t="s">
        <v>152</v>
      </c>
      <c r="U325" t="s">
        <v>153</v>
      </c>
      <c r="V325" t="s">
        <v>154</v>
      </c>
      <c r="W325" t="s">
        <v>119</v>
      </c>
      <c r="X325" t="s">
        <v>112</v>
      </c>
      <c r="Y325" t="s">
        <v>112</v>
      </c>
      <c r="Z325" t="s">
        <v>152</v>
      </c>
      <c r="AA325" t="s">
        <v>153</v>
      </c>
      <c r="AB325" t="s">
        <v>154</v>
      </c>
      <c r="AC325" t="s">
        <v>119</v>
      </c>
      <c r="AD325" t="s">
        <v>112</v>
      </c>
      <c r="AE325" t="s">
        <v>121</v>
      </c>
      <c r="AF325" t="s">
        <v>122</v>
      </c>
      <c r="AG325">
        <v>4561469.43</v>
      </c>
      <c r="AH325" t="s">
        <v>112</v>
      </c>
      <c r="AI325" t="s">
        <v>152</v>
      </c>
      <c r="AJ325" t="s">
        <v>153</v>
      </c>
      <c r="AK325" t="s">
        <v>154</v>
      </c>
      <c r="AL325" t="s">
        <v>119</v>
      </c>
      <c r="AM325" t="s">
        <v>112</v>
      </c>
      <c r="AN325" t="s">
        <v>121</v>
      </c>
      <c r="AO325" t="s">
        <v>122</v>
      </c>
      <c r="AP325" t="s">
        <v>122</v>
      </c>
      <c r="AQ325" t="s">
        <v>124</v>
      </c>
      <c r="AR325" t="s">
        <v>125</v>
      </c>
      <c r="AS325">
        <v>2</v>
      </c>
      <c r="AT325" t="s">
        <v>126</v>
      </c>
      <c r="AU325" t="s">
        <v>155</v>
      </c>
      <c r="AV325" t="s">
        <v>156</v>
      </c>
      <c r="AX325" t="s">
        <v>129</v>
      </c>
      <c r="AY325">
        <v>42063.12</v>
      </c>
      <c r="BB325">
        <v>99.048000000000002</v>
      </c>
      <c r="BC325" t="s">
        <v>112</v>
      </c>
      <c r="BD325" t="s">
        <v>112</v>
      </c>
      <c r="BE325" t="s">
        <v>157</v>
      </c>
      <c r="BF325" t="s">
        <v>133</v>
      </c>
      <c r="BG325" t="s">
        <v>134</v>
      </c>
      <c r="BH325" t="s">
        <v>112</v>
      </c>
      <c r="BI325" t="s">
        <v>112</v>
      </c>
      <c r="BJ325" t="s">
        <v>112</v>
      </c>
      <c r="BK325" t="s">
        <v>158</v>
      </c>
      <c r="BL325" t="s">
        <v>159</v>
      </c>
      <c r="BM325" t="s">
        <v>160</v>
      </c>
      <c r="BN325" t="s">
        <v>161</v>
      </c>
      <c r="BP325" t="s">
        <v>205</v>
      </c>
      <c r="BR325" t="s">
        <v>150</v>
      </c>
      <c r="BS325">
        <v>33</v>
      </c>
      <c r="BT325">
        <v>0</v>
      </c>
      <c r="BU325">
        <v>0</v>
      </c>
      <c r="BW325">
        <v>0</v>
      </c>
      <c r="BY325" t="s">
        <v>106</v>
      </c>
      <c r="BZ325" t="s">
        <v>142</v>
      </c>
      <c r="CA325" t="s">
        <v>112</v>
      </c>
      <c r="CB325" t="s">
        <v>112</v>
      </c>
      <c r="CC325" t="s">
        <v>121</v>
      </c>
      <c r="CD325">
        <v>16312.74</v>
      </c>
      <c r="CE325" t="s">
        <v>144</v>
      </c>
      <c r="CF325">
        <v>4000000</v>
      </c>
      <c r="CG325">
        <v>16143.54</v>
      </c>
      <c r="CH325">
        <v>0</v>
      </c>
      <c r="CI325" t="s">
        <v>112</v>
      </c>
      <c r="CJ325" t="s">
        <v>112</v>
      </c>
      <c r="CK325">
        <v>42063.12</v>
      </c>
      <c r="CM325">
        <v>0</v>
      </c>
      <c r="CN325">
        <v>1</v>
      </c>
      <c r="CO325">
        <v>4561469.43</v>
      </c>
      <c r="CP325">
        <v>50455.61</v>
      </c>
      <c r="CQ325" t="s">
        <v>145</v>
      </c>
      <c r="CR325">
        <v>50529.280200000001</v>
      </c>
      <c r="CS325">
        <v>3.13</v>
      </c>
      <c r="CT325">
        <v>45</v>
      </c>
      <c r="CV325" t="s">
        <v>206</v>
      </c>
      <c r="CW325">
        <v>182</v>
      </c>
    </row>
    <row r="326" spans="1:101" x14ac:dyDescent="0.2">
      <c r="A326" t="s">
        <v>106</v>
      </c>
      <c r="B326" s="46">
        <v>44758</v>
      </c>
      <c r="C326" t="s">
        <v>242</v>
      </c>
      <c r="D326" t="s">
        <v>108</v>
      </c>
      <c r="E326" t="s">
        <v>243</v>
      </c>
      <c r="F326" t="s">
        <v>110</v>
      </c>
      <c r="G326" t="s">
        <v>111</v>
      </c>
      <c r="H326" t="s">
        <v>112</v>
      </c>
      <c r="I326" t="s">
        <v>112</v>
      </c>
      <c r="J326" t="s">
        <v>112</v>
      </c>
      <c r="K326" t="s">
        <v>150</v>
      </c>
      <c r="L326" t="s">
        <v>151</v>
      </c>
      <c r="M326" t="s">
        <v>112</v>
      </c>
      <c r="N326" t="s">
        <v>112</v>
      </c>
      <c r="O326">
        <v>1</v>
      </c>
      <c r="Q326">
        <v>1</v>
      </c>
      <c r="R326">
        <v>33</v>
      </c>
      <c r="S326" t="s">
        <v>112</v>
      </c>
      <c r="T326" t="s">
        <v>152</v>
      </c>
      <c r="U326" t="s">
        <v>153</v>
      </c>
      <c r="V326" t="s">
        <v>154</v>
      </c>
      <c r="W326" t="s">
        <v>119</v>
      </c>
      <c r="X326" t="s">
        <v>112</v>
      </c>
      <c r="Y326" t="s">
        <v>112</v>
      </c>
      <c r="Z326" t="s">
        <v>152</v>
      </c>
      <c r="AA326" t="s">
        <v>153</v>
      </c>
      <c r="AB326" t="s">
        <v>154</v>
      </c>
      <c r="AC326" t="s">
        <v>119</v>
      </c>
      <c r="AD326" t="s">
        <v>112</v>
      </c>
      <c r="AE326" t="s">
        <v>121</v>
      </c>
      <c r="AF326" t="s">
        <v>122</v>
      </c>
      <c r="AG326">
        <v>4887721.66</v>
      </c>
      <c r="AH326" t="s">
        <v>112</v>
      </c>
      <c r="AI326" t="s">
        <v>152</v>
      </c>
      <c r="AJ326" t="s">
        <v>153</v>
      </c>
      <c r="AK326" t="s">
        <v>154</v>
      </c>
      <c r="AL326" t="s">
        <v>119</v>
      </c>
      <c r="AM326" t="s">
        <v>112</v>
      </c>
      <c r="AN326" t="s">
        <v>121</v>
      </c>
      <c r="AO326" t="s">
        <v>122</v>
      </c>
      <c r="AP326" t="s">
        <v>122</v>
      </c>
      <c r="AQ326" t="s">
        <v>124</v>
      </c>
      <c r="AR326" t="s">
        <v>125</v>
      </c>
      <c r="AS326">
        <v>2</v>
      </c>
      <c r="AT326" t="s">
        <v>126</v>
      </c>
      <c r="AU326" t="s">
        <v>155</v>
      </c>
      <c r="AV326" t="s">
        <v>156</v>
      </c>
      <c r="AX326" t="s">
        <v>129</v>
      </c>
      <c r="AY326">
        <v>45357</v>
      </c>
      <c r="BB326">
        <v>99.048000000000002</v>
      </c>
      <c r="BC326" t="s">
        <v>112</v>
      </c>
      <c r="BD326" t="s">
        <v>112</v>
      </c>
      <c r="BE326" t="s">
        <v>157</v>
      </c>
      <c r="BF326" t="s">
        <v>133</v>
      </c>
      <c r="BG326" t="s">
        <v>134</v>
      </c>
      <c r="BH326" t="s">
        <v>112</v>
      </c>
      <c r="BI326" t="s">
        <v>112</v>
      </c>
      <c r="BJ326" t="s">
        <v>112</v>
      </c>
      <c r="BK326" t="s">
        <v>158</v>
      </c>
      <c r="BL326" t="s">
        <v>159</v>
      </c>
      <c r="BM326" t="s">
        <v>212</v>
      </c>
      <c r="BN326" t="s">
        <v>161</v>
      </c>
      <c r="BP326" t="s">
        <v>205</v>
      </c>
      <c r="BR326" t="s">
        <v>150</v>
      </c>
      <c r="BS326">
        <v>33</v>
      </c>
      <c r="BT326">
        <v>0</v>
      </c>
      <c r="BU326">
        <v>0</v>
      </c>
      <c r="BW326">
        <v>0</v>
      </c>
      <c r="BY326" t="s">
        <v>106</v>
      </c>
      <c r="BZ326" t="s">
        <v>142</v>
      </c>
      <c r="CA326" t="s">
        <v>112</v>
      </c>
      <c r="CB326" t="s">
        <v>112</v>
      </c>
      <c r="CC326" t="s">
        <v>121</v>
      </c>
      <c r="CD326">
        <v>16757.52</v>
      </c>
      <c r="CE326" t="s">
        <v>144</v>
      </c>
      <c r="CF326">
        <v>4000000</v>
      </c>
      <c r="CG326">
        <v>16685.52</v>
      </c>
      <c r="CH326">
        <v>0</v>
      </c>
      <c r="CI326" t="s">
        <v>112</v>
      </c>
      <c r="CJ326" t="s">
        <v>112</v>
      </c>
      <c r="CK326">
        <v>45357</v>
      </c>
      <c r="CM326">
        <v>0</v>
      </c>
      <c r="CN326">
        <v>1</v>
      </c>
      <c r="CO326">
        <v>4887721.66</v>
      </c>
      <c r="CP326">
        <v>54064.37</v>
      </c>
      <c r="CQ326" t="s">
        <v>145</v>
      </c>
      <c r="CR326">
        <v>54061.084800000004</v>
      </c>
      <c r="CS326">
        <v>3.24</v>
      </c>
      <c r="CT326">
        <v>45</v>
      </c>
      <c r="CV326" t="s">
        <v>206</v>
      </c>
      <c r="CW326">
        <v>313</v>
      </c>
    </row>
    <row r="327" spans="1:101" x14ac:dyDescent="0.2">
      <c r="A327" t="s">
        <v>106</v>
      </c>
      <c r="B327" s="46">
        <v>45261</v>
      </c>
      <c r="C327" t="s">
        <v>449</v>
      </c>
      <c r="D327" t="s">
        <v>108</v>
      </c>
      <c r="E327" t="s">
        <v>450</v>
      </c>
      <c r="F327" t="s">
        <v>110</v>
      </c>
      <c r="G327" t="s">
        <v>111</v>
      </c>
      <c r="H327" t="s">
        <v>112</v>
      </c>
      <c r="I327" t="s">
        <v>112</v>
      </c>
      <c r="J327" t="s">
        <v>112</v>
      </c>
      <c r="K327" t="s">
        <v>150</v>
      </c>
      <c r="L327" t="s">
        <v>151</v>
      </c>
      <c r="M327" t="s">
        <v>112</v>
      </c>
      <c r="N327" t="s">
        <v>112</v>
      </c>
      <c r="O327">
        <v>1</v>
      </c>
      <c r="Q327">
        <v>1</v>
      </c>
      <c r="R327">
        <v>33</v>
      </c>
      <c r="S327" t="s">
        <v>112</v>
      </c>
      <c r="T327" t="s">
        <v>152</v>
      </c>
      <c r="U327" t="s">
        <v>153</v>
      </c>
      <c r="V327" t="s">
        <v>154</v>
      </c>
      <c r="W327" t="s">
        <v>119</v>
      </c>
      <c r="X327" t="s">
        <v>112</v>
      </c>
      <c r="Y327" t="s">
        <v>112</v>
      </c>
      <c r="Z327" t="s">
        <v>152</v>
      </c>
      <c r="AA327" t="s">
        <v>153</v>
      </c>
      <c r="AB327" t="s">
        <v>154</v>
      </c>
      <c r="AC327" t="s">
        <v>119</v>
      </c>
      <c r="AD327" t="s">
        <v>112</v>
      </c>
      <c r="AE327" t="s">
        <v>121</v>
      </c>
      <c r="AF327" t="s">
        <v>122</v>
      </c>
      <c r="AG327">
        <v>4914266.5199999996</v>
      </c>
      <c r="AH327" t="s">
        <v>112</v>
      </c>
      <c r="AI327" t="s">
        <v>152</v>
      </c>
      <c r="AJ327" t="s">
        <v>153</v>
      </c>
      <c r="AK327" t="s">
        <v>154</v>
      </c>
      <c r="AL327" t="s">
        <v>119</v>
      </c>
      <c r="AM327" t="s">
        <v>112</v>
      </c>
      <c r="AN327" t="s">
        <v>121</v>
      </c>
      <c r="AO327" t="s">
        <v>122</v>
      </c>
      <c r="AP327" t="s">
        <v>122</v>
      </c>
      <c r="AQ327" t="s">
        <v>124</v>
      </c>
      <c r="AR327" t="s">
        <v>125</v>
      </c>
      <c r="AS327">
        <v>2</v>
      </c>
      <c r="AT327" t="s">
        <v>126</v>
      </c>
      <c r="AU327" t="s">
        <v>155</v>
      </c>
      <c r="AV327" t="s">
        <v>156</v>
      </c>
      <c r="AX327" t="s">
        <v>129</v>
      </c>
      <c r="AY327">
        <v>45625</v>
      </c>
      <c r="BB327">
        <v>99.048000000000002</v>
      </c>
      <c r="BC327" t="s">
        <v>112</v>
      </c>
      <c r="BD327" t="s">
        <v>112</v>
      </c>
      <c r="BE327" t="s">
        <v>157</v>
      </c>
      <c r="BF327" t="s">
        <v>133</v>
      </c>
      <c r="BG327" t="s">
        <v>134</v>
      </c>
      <c r="BH327" t="s">
        <v>112</v>
      </c>
      <c r="BI327" t="s">
        <v>112</v>
      </c>
      <c r="BJ327" t="s">
        <v>112</v>
      </c>
      <c r="BK327" t="s">
        <v>158</v>
      </c>
      <c r="BL327" t="s">
        <v>159</v>
      </c>
      <c r="BM327" t="s">
        <v>160</v>
      </c>
      <c r="BN327" t="s">
        <v>161</v>
      </c>
      <c r="BP327" t="s">
        <v>205</v>
      </c>
      <c r="BR327" t="s">
        <v>150</v>
      </c>
      <c r="BS327">
        <v>33</v>
      </c>
      <c r="BT327">
        <v>0</v>
      </c>
      <c r="BU327">
        <v>0</v>
      </c>
      <c r="BW327">
        <v>0</v>
      </c>
      <c r="BY327" t="s">
        <v>106</v>
      </c>
      <c r="BZ327" t="s">
        <v>142</v>
      </c>
      <c r="CA327" t="s">
        <v>112</v>
      </c>
      <c r="CB327" t="s">
        <v>112</v>
      </c>
      <c r="CC327" t="s">
        <v>121</v>
      </c>
      <c r="CD327">
        <v>13393.32</v>
      </c>
      <c r="CE327" t="s">
        <v>144</v>
      </c>
      <c r="CF327">
        <v>4000000</v>
      </c>
      <c r="CG327">
        <v>12906.12</v>
      </c>
      <c r="CH327">
        <v>0</v>
      </c>
      <c r="CI327" t="s">
        <v>112</v>
      </c>
      <c r="CJ327" t="s">
        <v>112</v>
      </c>
      <c r="CK327">
        <v>45625</v>
      </c>
      <c r="CM327">
        <v>0</v>
      </c>
      <c r="CN327">
        <v>1</v>
      </c>
      <c r="CO327">
        <v>4914266.5199999996</v>
      </c>
      <c r="CP327">
        <v>54357.99</v>
      </c>
      <c r="CQ327" t="s">
        <v>145</v>
      </c>
      <c r="CR327">
        <v>54334.765200000002</v>
      </c>
      <c r="CS327">
        <v>4.21</v>
      </c>
      <c r="CT327">
        <v>45</v>
      </c>
      <c r="CV327" t="s">
        <v>233</v>
      </c>
      <c r="CW327">
        <v>313</v>
      </c>
    </row>
    <row r="328" spans="1:101" x14ac:dyDescent="0.2">
      <c r="A328" s="8" t="s">
        <v>106</v>
      </c>
      <c r="B328" s="46">
        <v>45255</v>
      </c>
      <c r="C328" s="8" t="s">
        <v>2996</v>
      </c>
      <c r="D328" s="8" t="s">
        <v>108</v>
      </c>
      <c r="E328" s="8" t="s">
        <v>2997</v>
      </c>
      <c r="F328" t="s">
        <v>110</v>
      </c>
      <c r="G328" s="8" t="s">
        <v>111</v>
      </c>
      <c r="H328" s="8" t="s">
        <v>112</v>
      </c>
      <c r="I328" s="8" t="s">
        <v>112</v>
      </c>
      <c r="J328" s="8" t="s">
        <v>112</v>
      </c>
      <c r="K328" s="8" t="s">
        <v>2237</v>
      </c>
      <c r="L328" s="8" t="s">
        <v>2238</v>
      </c>
      <c r="M328" s="8" t="s">
        <v>112</v>
      </c>
      <c r="N328" s="8" t="s">
        <v>112</v>
      </c>
      <c r="O328">
        <v>11</v>
      </c>
      <c r="P328">
        <v>0</v>
      </c>
      <c r="Q328">
        <v>29</v>
      </c>
      <c r="R328">
        <v>1029</v>
      </c>
      <c r="S328" s="8" t="s">
        <v>2239</v>
      </c>
      <c r="T328" s="8" t="s">
        <v>2240</v>
      </c>
      <c r="U328" s="8" t="s">
        <v>2241</v>
      </c>
      <c r="V328" s="8" t="s">
        <v>2242</v>
      </c>
      <c r="W328" s="8" t="s">
        <v>2243</v>
      </c>
      <c r="X328" s="8" t="s">
        <v>2244</v>
      </c>
      <c r="Y328" s="8" t="s">
        <v>2245</v>
      </c>
      <c r="Z328" s="8" t="s">
        <v>2246</v>
      </c>
      <c r="AA328" s="8" t="s">
        <v>2247</v>
      </c>
      <c r="AB328" s="8" t="s">
        <v>2248</v>
      </c>
      <c r="AC328" s="8" t="s">
        <v>2249</v>
      </c>
      <c r="AD328" s="8" t="s">
        <v>2250</v>
      </c>
      <c r="AE328" s="8" t="s">
        <v>2142</v>
      </c>
      <c r="AF328" s="8" t="s">
        <v>2143</v>
      </c>
      <c r="AG328">
        <v>7589697.04</v>
      </c>
      <c r="AH328" s="8" t="s">
        <v>2245</v>
      </c>
      <c r="AI328" s="8" t="s">
        <v>2246</v>
      </c>
      <c r="AJ328" s="8" t="s">
        <v>2247</v>
      </c>
      <c r="AK328" s="8" t="s">
        <v>2248</v>
      </c>
      <c r="AL328" s="8" t="s">
        <v>2249</v>
      </c>
      <c r="AM328" s="8" t="s">
        <v>2250</v>
      </c>
      <c r="AN328" s="8" t="s">
        <v>2142</v>
      </c>
      <c r="AO328" s="8" t="s">
        <v>2143</v>
      </c>
      <c r="AP328" s="8" t="s">
        <v>2143</v>
      </c>
      <c r="AQ328" s="8" t="s">
        <v>124</v>
      </c>
      <c r="AR328" s="8" t="s">
        <v>125</v>
      </c>
      <c r="AS328">
        <v>1</v>
      </c>
      <c r="AT328" s="8" t="s">
        <v>106</v>
      </c>
      <c r="AU328" s="8" t="s">
        <v>2251</v>
      </c>
      <c r="AV328" s="8" t="s">
        <v>2252</v>
      </c>
      <c r="AW328">
        <v>0</v>
      </c>
      <c r="AX328" s="8" t="s">
        <v>2253</v>
      </c>
      <c r="AY328">
        <v>738132.94</v>
      </c>
      <c r="AZ328">
        <v>7292023</v>
      </c>
      <c r="BA328">
        <v>109989.72</v>
      </c>
      <c r="BB328">
        <v>98.790099999999896</v>
      </c>
      <c r="BC328" s="8" t="s">
        <v>130</v>
      </c>
      <c r="BD328" s="8" t="s">
        <v>112</v>
      </c>
      <c r="BE328" s="8" t="s">
        <v>2998</v>
      </c>
      <c r="BF328" s="8" t="s">
        <v>133</v>
      </c>
      <c r="BG328" s="8" t="s">
        <v>167</v>
      </c>
      <c r="BH328" s="8" t="s">
        <v>2255</v>
      </c>
      <c r="BI328" s="8" t="s">
        <v>112</v>
      </c>
      <c r="BJ328" s="8" t="s">
        <v>2256</v>
      </c>
      <c r="BK328" s="8" t="s">
        <v>169</v>
      </c>
      <c r="BL328" s="8" t="s">
        <v>159</v>
      </c>
      <c r="BM328" s="8" t="s">
        <v>160</v>
      </c>
      <c r="BN328" s="8" t="s">
        <v>161</v>
      </c>
      <c r="BO328">
        <v>1</v>
      </c>
      <c r="BP328" s="8" t="s">
        <v>2257</v>
      </c>
      <c r="BR328" s="8" t="s">
        <v>2258</v>
      </c>
      <c r="BS328">
        <v>230</v>
      </c>
      <c r="BT328">
        <v>1</v>
      </c>
      <c r="BU328">
        <v>230</v>
      </c>
      <c r="BV328" t="s">
        <v>2147</v>
      </c>
      <c r="BW328">
        <v>0</v>
      </c>
      <c r="BY328" s="8" t="s">
        <v>106</v>
      </c>
      <c r="BZ328" s="8" t="s">
        <v>2148</v>
      </c>
      <c r="CA328" s="8" t="s">
        <v>112</v>
      </c>
      <c r="CB328" s="8" t="s">
        <v>112</v>
      </c>
      <c r="CC328" s="8" t="s">
        <v>2142</v>
      </c>
      <c r="CD328">
        <v>6440</v>
      </c>
      <c r="CE328" t="s">
        <v>144</v>
      </c>
      <c r="CF328">
        <v>4000000</v>
      </c>
      <c r="CG328">
        <v>6440</v>
      </c>
      <c r="CH328">
        <v>0</v>
      </c>
      <c r="CI328" s="8" t="s">
        <v>112</v>
      </c>
      <c r="CJ328" s="8" t="s">
        <v>112</v>
      </c>
      <c r="CK328">
        <v>306427.8</v>
      </c>
      <c r="CL328">
        <v>3027203</v>
      </c>
      <c r="CM328">
        <v>0</v>
      </c>
      <c r="CN328">
        <v>1</v>
      </c>
      <c r="CO328">
        <v>3184923.87</v>
      </c>
      <c r="CP328">
        <v>46155.839999999902</v>
      </c>
      <c r="CQ328" s="8" t="s">
        <v>145</v>
      </c>
      <c r="CR328">
        <v>7.1670999999999996</v>
      </c>
      <c r="CV328" t="s">
        <v>2259</v>
      </c>
      <c r="CW328">
        <v>201</v>
      </c>
    </row>
    <row r="329" spans="1:101" x14ac:dyDescent="0.2">
      <c r="A329" t="s">
        <v>106</v>
      </c>
      <c r="B329" s="46">
        <v>45144</v>
      </c>
      <c r="C329" t="s">
        <v>2016</v>
      </c>
      <c r="D329" t="s">
        <v>108</v>
      </c>
      <c r="E329" t="s">
        <v>2017</v>
      </c>
      <c r="F329" t="s">
        <v>110</v>
      </c>
      <c r="G329" t="s">
        <v>111</v>
      </c>
      <c r="H329" t="s">
        <v>112</v>
      </c>
      <c r="I329" t="s">
        <v>112</v>
      </c>
      <c r="J329" t="s">
        <v>112</v>
      </c>
      <c r="K329" t="s">
        <v>150</v>
      </c>
      <c r="L329" t="s">
        <v>151</v>
      </c>
      <c r="M329" t="s">
        <v>112</v>
      </c>
      <c r="N329" t="s">
        <v>112</v>
      </c>
      <c r="O329">
        <v>1</v>
      </c>
      <c r="Q329">
        <v>1</v>
      </c>
      <c r="R329">
        <v>33</v>
      </c>
      <c r="S329" t="s">
        <v>112</v>
      </c>
      <c r="T329" t="s">
        <v>152</v>
      </c>
      <c r="U329" t="s">
        <v>153</v>
      </c>
      <c r="V329" t="s">
        <v>154</v>
      </c>
      <c r="W329" t="s">
        <v>119</v>
      </c>
      <c r="X329" t="s">
        <v>112</v>
      </c>
      <c r="Y329" t="s">
        <v>112</v>
      </c>
      <c r="Z329" t="s">
        <v>152</v>
      </c>
      <c r="AA329" t="s">
        <v>153</v>
      </c>
      <c r="AB329" t="s">
        <v>154</v>
      </c>
      <c r="AC329" t="s">
        <v>119</v>
      </c>
      <c r="AD329" t="s">
        <v>112</v>
      </c>
      <c r="AE329" t="s">
        <v>121</v>
      </c>
      <c r="AF329" t="s">
        <v>122</v>
      </c>
      <c r="AG329">
        <v>5404682.8200000003</v>
      </c>
      <c r="AH329" t="s">
        <v>112</v>
      </c>
      <c r="AI329" t="s">
        <v>152</v>
      </c>
      <c r="AJ329" t="s">
        <v>153</v>
      </c>
      <c r="AK329" t="s">
        <v>154</v>
      </c>
      <c r="AL329" t="s">
        <v>119</v>
      </c>
      <c r="AM329" t="s">
        <v>112</v>
      </c>
      <c r="AN329" t="s">
        <v>121</v>
      </c>
      <c r="AO329" t="s">
        <v>122</v>
      </c>
      <c r="AP329" t="s">
        <v>122</v>
      </c>
      <c r="AQ329" t="s">
        <v>124</v>
      </c>
      <c r="AR329" t="s">
        <v>125</v>
      </c>
      <c r="AS329">
        <v>2</v>
      </c>
      <c r="AT329" t="s">
        <v>126</v>
      </c>
      <c r="AU329" t="s">
        <v>155</v>
      </c>
      <c r="AV329" t="s">
        <v>156</v>
      </c>
      <c r="AX329" t="s">
        <v>129</v>
      </c>
      <c r="AY329">
        <v>48154.879999999997</v>
      </c>
      <c r="BB329">
        <v>103.3699</v>
      </c>
      <c r="BC329" t="s">
        <v>112</v>
      </c>
      <c r="BD329" t="s">
        <v>112</v>
      </c>
      <c r="BE329" t="s">
        <v>157</v>
      </c>
      <c r="BF329" t="s">
        <v>133</v>
      </c>
      <c r="BG329" t="s">
        <v>167</v>
      </c>
      <c r="BH329" t="s">
        <v>112</v>
      </c>
      <c r="BI329" t="s">
        <v>112</v>
      </c>
      <c r="BJ329" t="s">
        <v>112</v>
      </c>
      <c r="BK329" t="s">
        <v>169</v>
      </c>
      <c r="BL329" t="s">
        <v>159</v>
      </c>
      <c r="BM329" t="s">
        <v>160</v>
      </c>
      <c r="BN329" t="s">
        <v>161</v>
      </c>
      <c r="BP329" t="s">
        <v>162</v>
      </c>
      <c r="BR329" t="s">
        <v>150</v>
      </c>
      <c r="BS329">
        <v>33</v>
      </c>
      <c r="BY329" t="s">
        <v>106</v>
      </c>
      <c r="BZ329" t="s">
        <v>142</v>
      </c>
      <c r="CA329" t="s">
        <v>112</v>
      </c>
      <c r="CB329" t="s">
        <v>112</v>
      </c>
      <c r="CC329" t="s">
        <v>121</v>
      </c>
      <c r="CD329">
        <v>16523</v>
      </c>
      <c r="CE329" t="s">
        <v>144</v>
      </c>
      <c r="CF329">
        <v>4000000</v>
      </c>
      <c r="CG329">
        <v>16415</v>
      </c>
      <c r="CI329" t="s">
        <v>112</v>
      </c>
      <c r="CJ329" t="s">
        <v>112</v>
      </c>
      <c r="CK329">
        <v>48154.879999999997</v>
      </c>
      <c r="CM329">
        <v>0</v>
      </c>
      <c r="CN329">
        <v>1</v>
      </c>
      <c r="CO329">
        <v>5404682.8200000003</v>
      </c>
      <c r="CP329">
        <v>55939.14</v>
      </c>
      <c r="CQ329" t="s">
        <v>145</v>
      </c>
      <c r="CR329">
        <v>55975.15</v>
      </c>
      <c r="CS329">
        <v>3.41</v>
      </c>
      <c r="CT329">
        <v>45</v>
      </c>
      <c r="CV329" t="s">
        <v>163</v>
      </c>
      <c r="CW329">
        <v>205</v>
      </c>
    </row>
    <row r="330" spans="1:101" x14ac:dyDescent="0.2">
      <c r="A330" t="s">
        <v>106</v>
      </c>
      <c r="B330" s="46">
        <v>45100</v>
      </c>
      <c r="C330" t="s">
        <v>2037</v>
      </c>
      <c r="D330" t="s">
        <v>108</v>
      </c>
      <c r="E330" t="s">
        <v>2038</v>
      </c>
      <c r="F330" t="s">
        <v>110</v>
      </c>
      <c r="G330" t="s">
        <v>111</v>
      </c>
      <c r="H330" t="s">
        <v>112</v>
      </c>
      <c r="I330" t="s">
        <v>112</v>
      </c>
      <c r="J330" t="s">
        <v>112</v>
      </c>
      <c r="K330" t="s">
        <v>150</v>
      </c>
      <c r="L330" t="s">
        <v>151</v>
      </c>
      <c r="M330" t="s">
        <v>112</v>
      </c>
      <c r="N330" t="s">
        <v>112</v>
      </c>
      <c r="O330">
        <v>1</v>
      </c>
      <c r="Q330">
        <v>1</v>
      </c>
      <c r="R330">
        <v>33</v>
      </c>
      <c r="S330" t="s">
        <v>112</v>
      </c>
      <c r="T330" t="s">
        <v>152</v>
      </c>
      <c r="U330" t="s">
        <v>153</v>
      </c>
      <c r="V330" t="s">
        <v>154</v>
      </c>
      <c r="W330" t="s">
        <v>119</v>
      </c>
      <c r="X330" t="s">
        <v>112</v>
      </c>
      <c r="Y330" t="s">
        <v>112</v>
      </c>
      <c r="Z330" t="s">
        <v>152</v>
      </c>
      <c r="AA330" t="s">
        <v>153</v>
      </c>
      <c r="AB330" t="s">
        <v>154</v>
      </c>
      <c r="AC330" t="s">
        <v>119</v>
      </c>
      <c r="AD330" t="s">
        <v>112</v>
      </c>
      <c r="AE330" t="s">
        <v>121</v>
      </c>
      <c r="AF330" t="s">
        <v>122</v>
      </c>
      <c r="AG330">
        <v>4854457.25</v>
      </c>
      <c r="AH330" t="s">
        <v>112</v>
      </c>
      <c r="AI330" t="s">
        <v>152</v>
      </c>
      <c r="AJ330" t="s">
        <v>153</v>
      </c>
      <c r="AK330" t="s">
        <v>154</v>
      </c>
      <c r="AL330" t="s">
        <v>119</v>
      </c>
      <c r="AM330" t="s">
        <v>112</v>
      </c>
      <c r="AN330" t="s">
        <v>121</v>
      </c>
      <c r="AO330" t="s">
        <v>122</v>
      </c>
      <c r="AP330" t="s">
        <v>122</v>
      </c>
      <c r="AQ330" t="s">
        <v>124</v>
      </c>
      <c r="AR330" t="s">
        <v>125</v>
      </c>
      <c r="AS330">
        <v>2</v>
      </c>
      <c r="AT330" t="s">
        <v>126</v>
      </c>
      <c r="AU330" t="s">
        <v>155</v>
      </c>
      <c r="AV330" t="s">
        <v>156</v>
      </c>
      <c r="AX330" t="s">
        <v>129</v>
      </c>
      <c r="AY330">
        <v>42312</v>
      </c>
      <c r="BB330">
        <v>103.3699</v>
      </c>
      <c r="BC330" t="s">
        <v>112</v>
      </c>
      <c r="BD330" t="s">
        <v>112</v>
      </c>
      <c r="BE330" t="s">
        <v>157</v>
      </c>
      <c r="BF330" t="s">
        <v>133</v>
      </c>
      <c r="BG330" t="s">
        <v>134</v>
      </c>
      <c r="BH330" t="s">
        <v>112</v>
      </c>
      <c r="BI330" t="s">
        <v>112</v>
      </c>
      <c r="BJ330" t="s">
        <v>112</v>
      </c>
      <c r="BK330" t="s">
        <v>169</v>
      </c>
      <c r="BL330" t="s">
        <v>159</v>
      </c>
      <c r="BM330" t="s">
        <v>212</v>
      </c>
      <c r="BN330" t="s">
        <v>161</v>
      </c>
      <c r="BP330" t="s">
        <v>205</v>
      </c>
      <c r="BR330" t="s">
        <v>150</v>
      </c>
      <c r="BS330">
        <v>33</v>
      </c>
      <c r="BT330">
        <v>0</v>
      </c>
      <c r="BU330">
        <v>0</v>
      </c>
      <c r="BW330">
        <v>0</v>
      </c>
      <c r="BY330" t="s">
        <v>106</v>
      </c>
      <c r="BZ330" t="s">
        <v>142</v>
      </c>
      <c r="CA330" t="s">
        <v>112</v>
      </c>
      <c r="CB330" t="s">
        <v>112</v>
      </c>
      <c r="CC330" t="s">
        <v>121</v>
      </c>
      <c r="CD330">
        <v>16705.259999999998</v>
      </c>
      <c r="CE330" t="s">
        <v>144</v>
      </c>
      <c r="CF330">
        <v>4000000</v>
      </c>
      <c r="CG330">
        <v>16705.259999999998</v>
      </c>
      <c r="CH330">
        <v>0</v>
      </c>
      <c r="CI330" t="s">
        <v>112</v>
      </c>
      <c r="CJ330" t="s">
        <v>112</v>
      </c>
      <c r="CK330">
        <v>42312</v>
      </c>
      <c r="CM330">
        <v>0</v>
      </c>
      <c r="CN330">
        <v>1</v>
      </c>
      <c r="CO330">
        <v>4854457.25</v>
      </c>
      <c r="CP330">
        <v>50244.23</v>
      </c>
      <c r="CQ330" t="s">
        <v>145</v>
      </c>
      <c r="CR330">
        <v>50282.832599999994</v>
      </c>
      <c r="CS330">
        <v>3.01</v>
      </c>
      <c r="CT330">
        <v>45</v>
      </c>
      <c r="CV330" t="s">
        <v>233</v>
      </c>
      <c r="CW330">
        <v>205</v>
      </c>
    </row>
    <row r="331" spans="1:101" x14ac:dyDescent="0.2">
      <c r="A331" t="s">
        <v>106</v>
      </c>
      <c r="B331" s="46">
        <v>45006</v>
      </c>
      <c r="C331" t="s">
        <v>2035</v>
      </c>
      <c r="D331" t="s">
        <v>108</v>
      </c>
      <c r="E331" t="s">
        <v>2036</v>
      </c>
      <c r="F331" t="s">
        <v>110</v>
      </c>
      <c r="G331" t="s">
        <v>111</v>
      </c>
      <c r="H331" t="s">
        <v>112</v>
      </c>
      <c r="I331" t="s">
        <v>112</v>
      </c>
      <c r="J331" t="s">
        <v>112</v>
      </c>
      <c r="K331" t="s">
        <v>150</v>
      </c>
      <c r="L331" t="s">
        <v>151</v>
      </c>
      <c r="M331" t="s">
        <v>112</v>
      </c>
      <c r="N331" t="s">
        <v>112</v>
      </c>
      <c r="O331">
        <v>1</v>
      </c>
      <c r="Q331">
        <v>1</v>
      </c>
      <c r="R331">
        <v>33</v>
      </c>
      <c r="S331" t="s">
        <v>112</v>
      </c>
      <c r="T331" t="s">
        <v>152</v>
      </c>
      <c r="U331" t="s">
        <v>153</v>
      </c>
      <c r="V331" t="s">
        <v>154</v>
      </c>
      <c r="W331" t="s">
        <v>119</v>
      </c>
      <c r="X331" t="s">
        <v>112</v>
      </c>
      <c r="Y331" t="s">
        <v>112</v>
      </c>
      <c r="Z331" t="s">
        <v>152</v>
      </c>
      <c r="AA331" t="s">
        <v>153</v>
      </c>
      <c r="AB331" t="s">
        <v>154</v>
      </c>
      <c r="AC331" t="s">
        <v>119</v>
      </c>
      <c r="AD331" t="s">
        <v>112</v>
      </c>
      <c r="AE331" t="s">
        <v>121</v>
      </c>
      <c r="AF331" t="s">
        <v>122</v>
      </c>
      <c r="AG331">
        <v>5334169.04</v>
      </c>
      <c r="AH331" t="s">
        <v>112</v>
      </c>
      <c r="AI331" t="s">
        <v>152</v>
      </c>
      <c r="AJ331" t="s">
        <v>153</v>
      </c>
      <c r="AK331" t="s">
        <v>154</v>
      </c>
      <c r="AL331" t="s">
        <v>119</v>
      </c>
      <c r="AM331" t="s">
        <v>112</v>
      </c>
      <c r="AN331" t="s">
        <v>121</v>
      </c>
      <c r="AO331" t="s">
        <v>122</v>
      </c>
      <c r="AP331" t="s">
        <v>122</v>
      </c>
      <c r="AQ331" t="s">
        <v>124</v>
      </c>
      <c r="AR331" t="s">
        <v>125</v>
      </c>
      <c r="AS331">
        <v>2</v>
      </c>
      <c r="AT331" t="s">
        <v>126</v>
      </c>
      <c r="AU331" t="s">
        <v>155</v>
      </c>
      <c r="AV331" t="s">
        <v>156</v>
      </c>
      <c r="AX331" t="s">
        <v>129</v>
      </c>
      <c r="AY331">
        <v>47472.73</v>
      </c>
      <c r="BB331">
        <v>103.3699</v>
      </c>
      <c r="BC331" t="s">
        <v>112</v>
      </c>
      <c r="BD331" t="s">
        <v>112</v>
      </c>
      <c r="BE331" t="s">
        <v>157</v>
      </c>
      <c r="BF331" t="s">
        <v>133</v>
      </c>
      <c r="BG331" t="s">
        <v>134</v>
      </c>
      <c r="BH331" t="s">
        <v>112</v>
      </c>
      <c r="BI331" t="s">
        <v>112</v>
      </c>
      <c r="BJ331" t="s">
        <v>112</v>
      </c>
      <c r="BK331" t="s">
        <v>169</v>
      </c>
      <c r="BL331" t="s">
        <v>159</v>
      </c>
      <c r="BM331" t="s">
        <v>212</v>
      </c>
      <c r="BN331" t="s">
        <v>161</v>
      </c>
      <c r="BP331" t="s">
        <v>232</v>
      </c>
      <c r="BR331" t="s">
        <v>150</v>
      </c>
      <c r="BS331">
        <v>33</v>
      </c>
      <c r="BT331">
        <v>0</v>
      </c>
      <c r="BU331">
        <v>0</v>
      </c>
      <c r="BW331">
        <v>0</v>
      </c>
      <c r="BY331" t="s">
        <v>106</v>
      </c>
      <c r="BZ331" t="s">
        <v>142</v>
      </c>
      <c r="CA331" t="s">
        <v>112</v>
      </c>
      <c r="CB331" t="s">
        <v>112</v>
      </c>
      <c r="CC331" t="s">
        <v>121</v>
      </c>
      <c r="CD331">
        <v>16474.330000000002</v>
      </c>
      <c r="CE331" t="s">
        <v>144</v>
      </c>
      <c r="CF331">
        <v>4000000</v>
      </c>
      <c r="CG331">
        <v>16348.33</v>
      </c>
      <c r="CH331">
        <v>0</v>
      </c>
      <c r="CI331" t="s">
        <v>112</v>
      </c>
      <c r="CJ331" t="s">
        <v>112</v>
      </c>
      <c r="CK331">
        <v>47472.73</v>
      </c>
      <c r="CM331">
        <v>0</v>
      </c>
      <c r="CN331">
        <v>1</v>
      </c>
      <c r="CO331">
        <v>5334169.04</v>
      </c>
      <c r="CP331">
        <v>55209.31</v>
      </c>
      <c r="CQ331" t="s">
        <v>145</v>
      </c>
      <c r="CR331">
        <v>55257.3554</v>
      </c>
      <c r="CS331">
        <v>3.38</v>
      </c>
      <c r="CT331">
        <v>45</v>
      </c>
      <c r="CV331" t="s">
        <v>1140</v>
      </c>
      <c r="CW331">
        <v>150</v>
      </c>
    </row>
    <row r="332" spans="1:101" x14ac:dyDescent="0.2">
      <c r="A332" t="s">
        <v>106</v>
      </c>
      <c r="B332" s="46">
        <v>44986</v>
      </c>
      <c r="C332" t="s">
        <v>2014</v>
      </c>
      <c r="D332" t="s">
        <v>108</v>
      </c>
      <c r="E332" t="s">
        <v>2015</v>
      </c>
      <c r="F332" t="s">
        <v>110</v>
      </c>
      <c r="G332" t="s">
        <v>111</v>
      </c>
      <c r="H332" t="s">
        <v>112</v>
      </c>
      <c r="I332" t="s">
        <v>112</v>
      </c>
      <c r="J332" t="s">
        <v>112</v>
      </c>
      <c r="K332" t="s">
        <v>150</v>
      </c>
      <c r="L332" t="s">
        <v>151</v>
      </c>
      <c r="M332" t="s">
        <v>112</v>
      </c>
      <c r="N332" t="s">
        <v>112</v>
      </c>
      <c r="O332">
        <v>1</v>
      </c>
      <c r="Q332">
        <v>1</v>
      </c>
      <c r="R332">
        <v>33</v>
      </c>
      <c r="S332" t="s">
        <v>112</v>
      </c>
      <c r="T332" t="s">
        <v>152</v>
      </c>
      <c r="U332" t="s">
        <v>153</v>
      </c>
      <c r="V332" t="s">
        <v>154</v>
      </c>
      <c r="W332" t="s">
        <v>119</v>
      </c>
      <c r="X332" t="s">
        <v>112</v>
      </c>
      <c r="Y332" t="s">
        <v>112</v>
      </c>
      <c r="Z332" t="s">
        <v>152</v>
      </c>
      <c r="AA332" t="s">
        <v>153</v>
      </c>
      <c r="AB332" t="s">
        <v>154</v>
      </c>
      <c r="AC332" t="s">
        <v>119</v>
      </c>
      <c r="AD332" t="s">
        <v>112</v>
      </c>
      <c r="AE332" t="s">
        <v>121</v>
      </c>
      <c r="AF332" t="s">
        <v>122</v>
      </c>
      <c r="AG332">
        <v>5538579.9199999999</v>
      </c>
      <c r="AH332" t="s">
        <v>112</v>
      </c>
      <c r="AI332" t="s">
        <v>152</v>
      </c>
      <c r="AJ332" t="s">
        <v>153</v>
      </c>
      <c r="AK332" t="s">
        <v>154</v>
      </c>
      <c r="AL332" t="s">
        <v>119</v>
      </c>
      <c r="AM332" t="s">
        <v>112</v>
      </c>
      <c r="AN332" t="s">
        <v>121</v>
      </c>
      <c r="AO332" t="s">
        <v>122</v>
      </c>
      <c r="AP332" t="s">
        <v>122</v>
      </c>
      <c r="AQ332" t="s">
        <v>124</v>
      </c>
      <c r="AR332" t="s">
        <v>125</v>
      </c>
      <c r="AS332">
        <v>2</v>
      </c>
      <c r="AT332" t="s">
        <v>126</v>
      </c>
      <c r="AU332" t="s">
        <v>155</v>
      </c>
      <c r="AV332" t="s">
        <v>156</v>
      </c>
      <c r="AX332" t="s">
        <v>129</v>
      </c>
      <c r="AY332">
        <v>49450.2</v>
      </c>
      <c r="BB332">
        <v>103.3699</v>
      </c>
      <c r="BC332" t="s">
        <v>112</v>
      </c>
      <c r="BD332" t="s">
        <v>112</v>
      </c>
      <c r="BE332" t="s">
        <v>157</v>
      </c>
      <c r="BF332" t="s">
        <v>133</v>
      </c>
      <c r="BG332" t="s">
        <v>134</v>
      </c>
      <c r="BH332" t="s">
        <v>112</v>
      </c>
      <c r="BI332" t="s">
        <v>112</v>
      </c>
      <c r="BJ332" t="s">
        <v>112</v>
      </c>
      <c r="BK332" t="s">
        <v>169</v>
      </c>
      <c r="BL332" t="s">
        <v>159</v>
      </c>
      <c r="BM332" t="s">
        <v>212</v>
      </c>
      <c r="BN332" t="s">
        <v>161</v>
      </c>
      <c r="BP332" t="s">
        <v>1967</v>
      </c>
      <c r="BR332" t="s">
        <v>150</v>
      </c>
      <c r="BS332">
        <v>33</v>
      </c>
      <c r="BT332">
        <v>0</v>
      </c>
      <c r="BU332">
        <v>0</v>
      </c>
      <c r="BW332">
        <v>0</v>
      </c>
      <c r="BY332" t="s">
        <v>106</v>
      </c>
      <c r="BZ332" t="s">
        <v>142</v>
      </c>
      <c r="CA332" t="s">
        <v>112</v>
      </c>
      <c r="CB332" t="s">
        <v>112</v>
      </c>
      <c r="CC332" t="s">
        <v>121</v>
      </c>
      <c r="CD332">
        <v>14909.7</v>
      </c>
      <c r="CE332" t="s">
        <v>144</v>
      </c>
      <c r="CF332">
        <v>4000000</v>
      </c>
      <c r="CG332">
        <v>14675.7</v>
      </c>
      <c r="CH332">
        <v>0</v>
      </c>
      <c r="CI332" t="s">
        <v>112</v>
      </c>
      <c r="CJ332" t="s">
        <v>112</v>
      </c>
      <c r="CK332">
        <v>49450.2</v>
      </c>
      <c r="CM332">
        <v>0</v>
      </c>
      <c r="CN332">
        <v>1</v>
      </c>
      <c r="CO332">
        <v>5538579.9199999999</v>
      </c>
      <c r="CP332">
        <v>57324.99</v>
      </c>
      <c r="CQ332" t="s">
        <v>145</v>
      </c>
      <c r="CR332">
        <v>57381.987000000008</v>
      </c>
      <c r="CS332">
        <v>3.91</v>
      </c>
      <c r="CT332">
        <v>45</v>
      </c>
      <c r="CV332" t="s">
        <v>729</v>
      </c>
      <c r="CW332">
        <v>221</v>
      </c>
    </row>
    <row r="333" spans="1:101" x14ac:dyDescent="0.2">
      <c r="A333" t="s">
        <v>106</v>
      </c>
      <c r="B333" s="46">
        <v>45063</v>
      </c>
      <c r="C333" t="s">
        <v>2006</v>
      </c>
      <c r="D333" t="s">
        <v>108</v>
      </c>
      <c r="E333" t="s">
        <v>2007</v>
      </c>
      <c r="F333" t="s">
        <v>110</v>
      </c>
      <c r="G333" t="s">
        <v>111</v>
      </c>
      <c r="H333" t="s">
        <v>112</v>
      </c>
      <c r="I333" t="s">
        <v>112</v>
      </c>
      <c r="J333" t="s">
        <v>112</v>
      </c>
      <c r="K333" t="s">
        <v>150</v>
      </c>
      <c r="L333" t="s">
        <v>151</v>
      </c>
      <c r="M333" t="s">
        <v>112</v>
      </c>
      <c r="N333" t="s">
        <v>112</v>
      </c>
      <c r="O333">
        <v>1</v>
      </c>
      <c r="Q333">
        <v>1</v>
      </c>
      <c r="R333">
        <v>33</v>
      </c>
      <c r="S333" t="s">
        <v>112</v>
      </c>
      <c r="T333" t="s">
        <v>152</v>
      </c>
      <c r="U333" t="s">
        <v>153</v>
      </c>
      <c r="V333" t="s">
        <v>154</v>
      </c>
      <c r="W333" t="s">
        <v>119</v>
      </c>
      <c r="X333" t="s">
        <v>112</v>
      </c>
      <c r="Y333" t="s">
        <v>112</v>
      </c>
      <c r="Z333" t="s">
        <v>152</v>
      </c>
      <c r="AA333" t="s">
        <v>153</v>
      </c>
      <c r="AB333" t="s">
        <v>154</v>
      </c>
      <c r="AC333" t="s">
        <v>119</v>
      </c>
      <c r="AD333" t="s">
        <v>112</v>
      </c>
      <c r="AE333" t="s">
        <v>121</v>
      </c>
      <c r="AF333" t="s">
        <v>122</v>
      </c>
      <c r="AG333">
        <v>4425848.43</v>
      </c>
      <c r="AH333" t="s">
        <v>112</v>
      </c>
      <c r="AI333" t="s">
        <v>152</v>
      </c>
      <c r="AJ333" t="s">
        <v>153</v>
      </c>
      <c r="AK333" t="s">
        <v>154</v>
      </c>
      <c r="AL333" t="s">
        <v>119</v>
      </c>
      <c r="AM333" t="s">
        <v>112</v>
      </c>
      <c r="AN333" t="s">
        <v>121</v>
      </c>
      <c r="AO333" t="s">
        <v>122</v>
      </c>
      <c r="AP333" t="s">
        <v>122</v>
      </c>
      <c r="AQ333" t="s">
        <v>124</v>
      </c>
      <c r="AR333" t="s">
        <v>125</v>
      </c>
      <c r="AS333">
        <v>2</v>
      </c>
      <c r="AT333" t="s">
        <v>126</v>
      </c>
      <c r="AU333" t="s">
        <v>155</v>
      </c>
      <c r="AV333" t="s">
        <v>156</v>
      </c>
      <c r="AX333" t="s">
        <v>129</v>
      </c>
      <c r="AY333">
        <v>38165.64</v>
      </c>
      <c r="BB333">
        <v>103.3699</v>
      </c>
      <c r="BC333" t="s">
        <v>112</v>
      </c>
      <c r="BD333" t="s">
        <v>112</v>
      </c>
      <c r="BE333" t="s">
        <v>157</v>
      </c>
      <c r="BF333" t="s">
        <v>133</v>
      </c>
      <c r="BG333" t="s">
        <v>134</v>
      </c>
      <c r="BH333" t="s">
        <v>112</v>
      </c>
      <c r="BI333" t="s">
        <v>112</v>
      </c>
      <c r="BJ333" t="s">
        <v>112</v>
      </c>
      <c r="BK333" t="s">
        <v>169</v>
      </c>
      <c r="BL333" t="s">
        <v>159</v>
      </c>
      <c r="BM333" t="s">
        <v>212</v>
      </c>
      <c r="BN333" t="s">
        <v>161</v>
      </c>
      <c r="BP333" t="s">
        <v>162</v>
      </c>
      <c r="BR333" t="s">
        <v>150</v>
      </c>
      <c r="BS333">
        <v>33</v>
      </c>
      <c r="BT333">
        <v>0</v>
      </c>
      <c r="BU333">
        <v>0</v>
      </c>
      <c r="BW333">
        <v>0</v>
      </c>
      <c r="BY333" t="s">
        <v>106</v>
      </c>
      <c r="BZ333" t="s">
        <v>142</v>
      </c>
      <c r="CA333" t="s">
        <v>112</v>
      </c>
      <c r="CB333" t="s">
        <v>112</v>
      </c>
      <c r="CC333" t="s">
        <v>121</v>
      </c>
      <c r="CD333">
        <v>16381.87</v>
      </c>
      <c r="CE333" t="s">
        <v>144</v>
      </c>
      <c r="CF333">
        <v>4000000</v>
      </c>
      <c r="CG333">
        <v>16259.47</v>
      </c>
      <c r="CH333">
        <v>0</v>
      </c>
      <c r="CI333" t="s">
        <v>112</v>
      </c>
      <c r="CJ333" t="s">
        <v>112</v>
      </c>
      <c r="CK333">
        <v>38165.64</v>
      </c>
      <c r="CM333">
        <v>0</v>
      </c>
      <c r="CN333">
        <v>1</v>
      </c>
      <c r="CO333">
        <v>4425848.43</v>
      </c>
      <c r="CP333">
        <v>45808.08</v>
      </c>
      <c r="CQ333" t="s">
        <v>145</v>
      </c>
      <c r="CR333">
        <v>45851.705399999999</v>
      </c>
      <c r="CS333">
        <v>2.82</v>
      </c>
      <c r="CT333">
        <v>45</v>
      </c>
      <c r="CV333" t="s">
        <v>1140</v>
      </c>
      <c r="CW333">
        <v>118</v>
      </c>
    </row>
    <row r="334" spans="1:101" x14ac:dyDescent="0.2">
      <c r="A334" t="s">
        <v>106</v>
      </c>
      <c r="B334" s="46">
        <v>45009</v>
      </c>
      <c r="C334" t="s">
        <v>2033</v>
      </c>
      <c r="D334" t="s">
        <v>108</v>
      </c>
      <c r="E334" t="s">
        <v>2034</v>
      </c>
      <c r="F334" t="s">
        <v>110</v>
      </c>
      <c r="G334" t="s">
        <v>111</v>
      </c>
      <c r="H334" t="s">
        <v>112</v>
      </c>
      <c r="I334" t="s">
        <v>112</v>
      </c>
      <c r="J334" t="s">
        <v>112</v>
      </c>
      <c r="K334" t="s">
        <v>150</v>
      </c>
      <c r="L334" t="s">
        <v>151</v>
      </c>
      <c r="M334" t="s">
        <v>112</v>
      </c>
      <c r="N334" t="s">
        <v>112</v>
      </c>
      <c r="O334">
        <v>1</v>
      </c>
      <c r="Q334">
        <v>1</v>
      </c>
      <c r="R334">
        <v>33</v>
      </c>
      <c r="S334" t="s">
        <v>112</v>
      </c>
      <c r="T334" t="s">
        <v>152</v>
      </c>
      <c r="U334" t="s">
        <v>153</v>
      </c>
      <c r="V334" t="s">
        <v>154</v>
      </c>
      <c r="W334" t="s">
        <v>119</v>
      </c>
      <c r="X334" t="s">
        <v>112</v>
      </c>
      <c r="Y334" t="s">
        <v>112</v>
      </c>
      <c r="Z334" t="s">
        <v>152</v>
      </c>
      <c r="AA334" t="s">
        <v>153</v>
      </c>
      <c r="AB334" t="s">
        <v>154</v>
      </c>
      <c r="AC334" t="s">
        <v>119</v>
      </c>
      <c r="AD334" t="s">
        <v>112</v>
      </c>
      <c r="AE334" t="s">
        <v>121</v>
      </c>
      <c r="AF334" t="s">
        <v>122</v>
      </c>
      <c r="AG334">
        <v>5499919.5800000001</v>
      </c>
      <c r="AH334" t="s">
        <v>112</v>
      </c>
      <c r="AI334" t="s">
        <v>152</v>
      </c>
      <c r="AJ334" t="s">
        <v>153</v>
      </c>
      <c r="AK334" t="s">
        <v>154</v>
      </c>
      <c r="AL334" t="s">
        <v>119</v>
      </c>
      <c r="AM334" t="s">
        <v>112</v>
      </c>
      <c r="AN334" t="s">
        <v>121</v>
      </c>
      <c r="AO334" t="s">
        <v>122</v>
      </c>
      <c r="AP334" t="s">
        <v>122</v>
      </c>
      <c r="AQ334" t="s">
        <v>124</v>
      </c>
      <c r="AR334" t="s">
        <v>125</v>
      </c>
      <c r="AS334">
        <v>2</v>
      </c>
      <c r="AT334" t="s">
        <v>126</v>
      </c>
      <c r="AU334" t="s">
        <v>155</v>
      </c>
      <c r="AV334" t="s">
        <v>156</v>
      </c>
      <c r="AX334" t="s">
        <v>129</v>
      </c>
      <c r="AY334">
        <v>48556.2</v>
      </c>
      <c r="BB334">
        <v>103.3699</v>
      </c>
      <c r="BC334" t="s">
        <v>112</v>
      </c>
      <c r="BD334" t="s">
        <v>112</v>
      </c>
      <c r="BE334" t="s">
        <v>157</v>
      </c>
      <c r="BF334" t="s">
        <v>133</v>
      </c>
      <c r="BG334" t="s">
        <v>134</v>
      </c>
      <c r="BH334" t="s">
        <v>112</v>
      </c>
      <c r="BI334" t="s">
        <v>112</v>
      </c>
      <c r="BJ334" t="s">
        <v>112</v>
      </c>
      <c r="BK334" t="s">
        <v>169</v>
      </c>
      <c r="BL334" t="s">
        <v>159</v>
      </c>
      <c r="BM334" t="s">
        <v>212</v>
      </c>
      <c r="BN334" t="s">
        <v>161</v>
      </c>
      <c r="BP334" t="s">
        <v>205</v>
      </c>
      <c r="BR334" t="s">
        <v>150</v>
      </c>
      <c r="BS334">
        <v>33</v>
      </c>
      <c r="BT334">
        <v>0</v>
      </c>
      <c r="BU334">
        <v>0</v>
      </c>
      <c r="BW334">
        <v>0</v>
      </c>
      <c r="BY334" t="s">
        <v>106</v>
      </c>
      <c r="BZ334" t="s">
        <v>142</v>
      </c>
      <c r="CA334" t="s">
        <v>112</v>
      </c>
      <c r="CB334" t="s">
        <v>112</v>
      </c>
      <c r="CC334" t="s">
        <v>121</v>
      </c>
      <c r="CD334">
        <v>16211.58</v>
      </c>
      <c r="CE334" t="s">
        <v>144</v>
      </c>
      <c r="CF334">
        <v>4000000</v>
      </c>
      <c r="CG334">
        <v>16139.58</v>
      </c>
      <c r="CH334">
        <v>0</v>
      </c>
      <c r="CI334" t="s">
        <v>112</v>
      </c>
      <c r="CJ334" t="s">
        <v>112</v>
      </c>
      <c r="CK334">
        <v>48556.2</v>
      </c>
      <c r="CM334">
        <v>0</v>
      </c>
      <c r="CN334">
        <v>1</v>
      </c>
      <c r="CO334">
        <v>5499919.5800000001</v>
      </c>
      <c r="CP334">
        <v>56924.85</v>
      </c>
      <c r="CQ334" t="s">
        <v>145</v>
      </c>
      <c r="CR334">
        <v>56972.717399999994</v>
      </c>
      <c r="CS334">
        <v>3.53</v>
      </c>
      <c r="CT334">
        <v>45</v>
      </c>
      <c r="CV334" t="s">
        <v>233</v>
      </c>
      <c r="CW334">
        <v>300</v>
      </c>
    </row>
    <row r="335" spans="1:101" x14ac:dyDescent="0.2">
      <c r="A335" t="s">
        <v>106</v>
      </c>
      <c r="B335" s="46">
        <v>45119</v>
      </c>
      <c r="C335" t="s">
        <v>2039</v>
      </c>
      <c r="D335" t="s">
        <v>108</v>
      </c>
      <c r="E335" t="s">
        <v>2040</v>
      </c>
      <c r="F335" t="s">
        <v>110</v>
      </c>
      <c r="G335" t="s">
        <v>111</v>
      </c>
      <c r="H335" t="s">
        <v>112</v>
      </c>
      <c r="I335" t="s">
        <v>112</v>
      </c>
      <c r="J335" t="s">
        <v>112</v>
      </c>
      <c r="K335" t="s">
        <v>150</v>
      </c>
      <c r="L335" t="s">
        <v>151</v>
      </c>
      <c r="M335" t="s">
        <v>112</v>
      </c>
      <c r="N335" t="s">
        <v>112</v>
      </c>
      <c r="O335">
        <v>1</v>
      </c>
      <c r="Q335">
        <v>1</v>
      </c>
      <c r="R335">
        <v>33</v>
      </c>
      <c r="S335" t="s">
        <v>112</v>
      </c>
      <c r="T335" t="s">
        <v>152</v>
      </c>
      <c r="U335" t="s">
        <v>153</v>
      </c>
      <c r="V335" t="s">
        <v>154</v>
      </c>
      <c r="W335" t="s">
        <v>119</v>
      </c>
      <c r="X335" t="s">
        <v>112</v>
      </c>
      <c r="Y335" t="s">
        <v>112</v>
      </c>
      <c r="Z335" t="s">
        <v>152</v>
      </c>
      <c r="AA335" t="s">
        <v>153</v>
      </c>
      <c r="AB335" t="s">
        <v>154</v>
      </c>
      <c r="AC335" t="s">
        <v>119</v>
      </c>
      <c r="AD335" t="s">
        <v>112</v>
      </c>
      <c r="AE335" t="s">
        <v>121</v>
      </c>
      <c r="AF335" t="s">
        <v>122</v>
      </c>
      <c r="AG335">
        <v>4420373.96</v>
      </c>
      <c r="AH335" t="s">
        <v>112</v>
      </c>
      <c r="AI335" t="s">
        <v>152</v>
      </c>
      <c r="AJ335" t="s">
        <v>153</v>
      </c>
      <c r="AK335" t="s">
        <v>154</v>
      </c>
      <c r="AL335" t="s">
        <v>119</v>
      </c>
      <c r="AM335" t="s">
        <v>112</v>
      </c>
      <c r="AN335" t="s">
        <v>121</v>
      </c>
      <c r="AO335" t="s">
        <v>122</v>
      </c>
      <c r="AP335" t="s">
        <v>122</v>
      </c>
      <c r="AQ335" t="s">
        <v>124</v>
      </c>
      <c r="AR335" t="s">
        <v>125</v>
      </c>
      <c r="AS335">
        <v>2</v>
      </c>
      <c r="AT335" t="s">
        <v>126</v>
      </c>
      <c r="AU335" t="s">
        <v>155</v>
      </c>
      <c r="AV335" t="s">
        <v>156</v>
      </c>
      <c r="AX335" t="s">
        <v>129</v>
      </c>
      <c r="AY335">
        <v>38632.68</v>
      </c>
      <c r="BB335">
        <v>103.3699</v>
      </c>
      <c r="BC335" t="s">
        <v>112</v>
      </c>
      <c r="BD335" t="s">
        <v>112</v>
      </c>
      <c r="BE335" t="s">
        <v>157</v>
      </c>
      <c r="BF335" t="s">
        <v>133</v>
      </c>
      <c r="BG335" t="s">
        <v>134</v>
      </c>
      <c r="BH335" t="s">
        <v>112</v>
      </c>
      <c r="BI335" t="s">
        <v>112</v>
      </c>
      <c r="BJ335" t="s">
        <v>112</v>
      </c>
      <c r="BK335" t="s">
        <v>169</v>
      </c>
      <c r="BL335" t="s">
        <v>159</v>
      </c>
      <c r="BM335" t="s">
        <v>212</v>
      </c>
      <c r="BN335" t="s">
        <v>161</v>
      </c>
      <c r="BP335" t="s">
        <v>616</v>
      </c>
      <c r="BR335" t="s">
        <v>150</v>
      </c>
      <c r="BS335">
        <v>33</v>
      </c>
      <c r="BT335">
        <v>0</v>
      </c>
      <c r="BU335">
        <v>0</v>
      </c>
      <c r="BW335">
        <v>0</v>
      </c>
      <c r="BY335" t="s">
        <v>106</v>
      </c>
      <c r="BZ335" t="s">
        <v>142</v>
      </c>
      <c r="CA335" t="s">
        <v>112</v>
      </c>
      <c r="CB335" t="s">
        <v>112</v>
      </c>
      <c r="CC335" t="s">
        <v>121</v>
      </c>
      <c r="CD335">
        <v>16584.560000000001</v>
      </c>
      <c r="CE335" t="s">
        <v>144</v>
      </c>
      <c r="CF335">
        <v>4000000</v>
      </c>
      <c r="CG335">
        <v>16411.759999999998</v>
      </c>
      <c r="CH335">
        <v>0</v>
      </c>
      <c r="CI335" t="s">
        <v>112</v>
      </c>
      <c r="CJ335" t="s">
        <v>112</v>
      </c>
      <c r="CK335">
        <v>38632.68</v>
      </c>
      <c r="CM335">
        <v>0</v>
      </c>
      <c r="CN335">
        <v>1</v>
      </c>
      <c r="CO335">
        <v>4420373.96</v>
      </c>
      <c r="CP335">
        <v>45751.42</v>
      </c>
      <c r="CQ335" t="s">
        <v>145</v>
      </c>
      <c r="CR335">
        <v>45788.810399999995</v>
      </c>
      <c r="CS335">
        <v>2.79</v>
      </c>
      <c r="CT335">
        <v>45</v>
      </c>
      <c r="CV335" t="s">
        <v>163</v>
      </c>
      <c r="CW335">
        <v>150</v>
      </c>
    </row>
    <row r="336" spans="1:101" x14ac:dyDescent="0.2">
      <c r="A336" t="s">
        <v>106</v>
      </c>
      <c r="B336" s="46">
        <v>45097</v>
      </c>
      <c r="C336" t="s">
        <v>2041</v>
      </c>
      <c r="D336" t="s">
        <v>108</v>
      </c>
      <c r="E336" t="s">
        <v>2042</v>
      </c>
      <c r="F336" t="s">
        <v>110</v>
      </c>
      <c r="G336" t="s">
        <v>111</v>
      </c>
      <c r="H336" t="s">
        <v>112</v>
      </c>
      <c r="I336" t="s">
        <v>112</v>
      </c>
      <c r="J336" t="s">
        <v>112</v>
      </c>
      <c r="K336" t="s">
        <v>150</v>
      </c>
      <c r="L336" t="s">
        <v>151</v>
      </c>
      <c r="M336" t="s">
        <v>112</v>
      </c>
      <c r="N336" t="s">
        <v>112</v>
      </c>
      <c r="O336">
        <v>1</v>
      </c>
      <c r="Q336">
        <v>1</v>
      </c>
      <c r="R336">
        <v>33</v>
      </c>
      <c r="S336" t="s">
        <v>112</v>
      </c>
      <c r="T336" t="s">
        <v>152</v>
      </c>
      <c r="U336" t="s">
        <v>153</v>
      </c>
      <c r="V336" t="s">
        <v>154</v>
      </c>
      <c r="W336" t="s">
        <v>119</v>
      </c>
      <c r="X336" t="s">
        <v>112</v>
      </c>
      <c r="Y336" t="s">
        <v>112</v>
      </c>
      <c r="Z336" t="s">
        <v>152</v>
      </c>
      <c r="AA336" t="s">
        <v>153</v>
      </c>
      <c r="AB336" t="s">
        <v>154</v>
      </c>
      <c r="AC336" t="s">
        <v>119</v>
      </c>
      <c r="AD336" t="s">
        <v>112</v>
      </c>
      <c r="AE336" t="s">
        <v>121</v>
      </c>
      <c r="AF336" t="s">
        <v>122</v>
      </c>
      <c r="AG336">
        <v>5270603.79</v>
      </c>
      <c r="AH336" t="s">
        <v>112</v>
      </c>
      <c r="AI336" t="s">
        <v>152</v>
      </c>
      <c r="AJ336" t="s">
        <v>153</v>
      </c>
      <c r="AK336" t="s">
        <v>154</v>
      </c>
      <c r="AL336" t="s">
        <v>119</v>
      </c>
      <c r="AM336" t="s">
        <v>112</v>
      </c>
      <c r="AN336" t="s">
        <v>121</v>
      </c>
      <c r="AO336" t="s">
        <v>122</v>
      </c>
      <c r="AP336" t="s">
        <v>122</v>
      </c>
      <c r="AQ336" t="s">
        <v>124</v>
      </c>
      <c r="AR336" t="s">
        <v>125</v>
      </c>
      <c r="AS336">
        <v>2</v>
      </c>
      <c r="AT336" t="s">
        <v>126</v>
      </c>
      <c r="AU336" t="s">
        <v>155</v>
      </c>
      <c r="AV336" t="s">
        <v>156</v>
      </c>
      <c r="AX336" t="s">
        <v>129</v>
      </c>
      <c r="AY336">
        <v>46337.8</v>
      </c>
      <c r="BB336">
        <v>103.3699</v>
      </c>
      <c r="BC336" t="s">
        <v>112</v>
      </c>
      <c r="BD336" t="s">
        <v>112</v>
      </c>
      <c r="BE336" t="s">
        <v>157</v>
      </c>
      <c r="BF336" t="s">
        <v>133</v>
      </c>
      <c r="BG336" t="s">
        <v>134</v>
      </c>
      <c r="BH336" t="s">
        <v>112</v>
      </c>
      <c r="BI336" t="s">
        <v>112</v>
      </c>
      <c r="BJ336" t="s">
        <v>112</v>
      </c>
      <c r="BK336" t="s">
        <v>169</v>
      </c>
      <c r="BL336" t="s">
        <v>159</v>
      </c>
      <c r="BM336" t="s">
        <v>212</v>
      </c>
      <c r="BN336" t="s">
        <v>161</v>
      </c>
      <c r="BP336" t="s">
        <v>466</v>
      </c>
      <c r="BR336" t="s">
        <v>150</v>
      </c>
      <c r="BS336">
        <v>33</v>
      </c>
      <c r="BT336">
        <v>0</v>
      </c>
      <c r="BU336">
        <v>0</v>
      </c>
      <c r="BW336">
        <v>0</v>
      </c>
      <c r="BY336" t="s">
        <v>106</v>
      </c>
      <c r="BZ336" t="s">
        <v>142</v>
      </c>
      <c r="CA336" t="s">
        <v>112</v>
      </c>
      <c r="CB336" t="s">
        <v>112</v>
      </c>
      <c r="CC336" t="s">
        <v>121</v>
      </c>
      <c r="CD336">
        <v>16660.98</v>
      </c>
      <c r="CE336" t="s">
        <v>144</v>
      </c>
      <c r="CF336">
        <v>4000000</v>
      </c>
      <c r="CG336">
        <v>16570.98</v>
      </c>
      <c r="CH336">
        <v>0</v>
      </c>
      <c r="CI336" t="s">
        <v>112</v>
      </c>
      <c r="CJ336" t="s">
        <v>112</v>
      </c>
      <c r="CK336">
        <v>46337.8</v>
      </c>
      <c r="CM336">
        <v>0</v>
      </c>
      <c r="CN336">
        <v>1</v>
      </c>
      <c r="CO336">
        <v>5270603.79</v>
      </c>
      <c r="CP336">
        <v>54551.4</v>
      </c>
      <c r="CQ336" t="s">
        <v>145</v>
      </c>
      <c r="CR336">
        <v>54518.5242</v>
      </c>
      <c r="CS336">
        <v>3.29</v>
      </c>
      <c r="CT336">
        <v>45</v>
      </c>
      <c r="CV336" t="s">
        <v>729</v>
      </c>
      <c r="CW336">
        <v>579</v>
      </c>
    </row>
    <row r="337" spans="1:101" x14ac:dyDescent="0.2">
      <c r="A337" t="s">
        <v>106</v>
      </c>
      <c r="B337" s="46">
        <v>44649</v>
      </c>
      <c r="C337" t="s">
        <v>1768</v>
      </c>
      <c r="D337" t="s">
        <v>108</v>
      </c>
      <c r="E337" t="s">
        <v>1769</v>
      </c>
      <c r="F337" t="s">
        <v>110</v>
      </c>
      <c r="G337" t="s">
        <v>111</v>
      </c>
      <c r="H337" t="s">
        <v>112</v>
      </c>
      <c r="I337" t="s">
        <v>112</v>
      </c>
      <c r="J337" t="s">
        <v>112</v>
      </c>
      <c r="K337" t="s">
        <v>150</v>
      </c>
      <c r="L337" t="s">
        <v>151</v>
      </c>
      <c r="M337" t="s">
        <v>112</v>
      </c>
      <c r="N337" t="s">
        <v>112</v>
      </c>
      <c r="Q337">
        <v>1</v>
      </c>
      <c r="R337">
        <v>33</v>
      </c>
      <c r="S337" t="s">
        <v>166</v>
      </c>
      <c r="T337" t="s">
        <v>152</v>
      </c>
      <c r="U337" t="s">
        <v>153</v>
      </c>
      <c r="V337" t="s">
        <v>154</v>
      </c>
      <c r="W337" t="s">
        <v>119</v>
      </c>
      <c r="X337" t="s">
        <v>112</v>
      </c>
      <c r="Y337" t="s">
        <v>166</v>
      </c>
      <c r="Z337" t="s">
        <v>152</v>
      </c>
      <c r="AA337" t="s">
        <v>153</v>
      </c>
      <c r="AB337" t="s">
        <v>154</v>
      </c>
      <c r="AC337" t="s">
        <v>119</v>
      </c>
      <c r="AD337" t="s">
        <v>112</v>
      </c>
      <c r="AE337" t="s">
        <v>121</v>
      </c>
      <c r="AF337" t="s">
        <v>122</v>
      </c>
      <c r="AG337">
        <v>4496668.8499999996</v>
      </c>
      <c r="AH337" t="s">
        <v>166</v>
      </c>
      <c r="AI337" t="s">
        <v>152</v>
      </c>
      <c r="AJ337" t="s">
        <v>153</v>
      </c>
      <c r="AK337" t="s">
        <v>154</v>
      </c>
      <c r="AL337" t="s">
        <v>119</v>
      </c>
      <c r="AM337" t="s">
        <v>112</v>
      </c>
      <c r="AN337" t="s">
        <v>121</v>
      </c>
      <c r="AO337" t="s">
        <v>122</v>
      </c>
      <c r="AP337" t="s">
        <v>122</v>
      </c>
      <c r="AQ337" t="s">
        <v>124</v>
      </c>
      <c r="AR337" t="s">
        <v>125</v>
      </c>
      <c r="AT337" t="s">
        <v>126</v>
      </c>
      <c r="AU337" t="s">
        <v>155</v>
      </c>
      <c r="AV337" t="s">
        <v>156</v>
      </c>
      <c r="AX337" t="s">
        <v>129</v>
      </c>
      <c r="AY337">
        <v>40180.800000000003</v>
      </c>
      <c r="BB337">
        <v>101.4802</v>
      </c>
      <c r="BC337" t="s">
        <v>112</v>
      </c>
      <c r="BD337" t="s">
        <v>112</v>
      </c>
      <c r="BE337" t="s">
        <v>112</v>
      </c>
      <c r="BF337" t="s">
        <v>133</v>
      </c>
      <c r="BG337" t="s">
        <v>134</v>
      </c>
      <c r="BH337" t="s">
        <v>112</v>
      </c>
      <c r="BI337" t="s">
        <v>112</v>
      </c>
      <c r="BJ337" t="s">
        <v>112</v>
      </c>
      <c r="BK337" t="s">
        <v>112</v>
      </c>
      <c r="BL337" t="s">
        <v>112</v>
      </c>
      <c r="BM337" t="s">
        <v>112</v>
      </c>
      <c r="BN337" t="s">
        <v>161</v>
      </c>
      <c r="BP337" t="s">
        <v>232</v>
      </c>
      <c r="BR337" t="s">
        <v>150</v>
      </c>
      <c r="BS337">
        <v>33</v>
      </c>
      <c r="BT337">
        <v>0</v>
      </c>
      <c r="BU337">
        <v>0</v>
      </c>
      <c r="BY337" t="s">
        <v>106</v>
      </c>
      <c r="BZ337" t="s">
        <v>142</v>
      </c>
      <c r="CA337" t="s">
        <v>112</v>
      </c>
      <c r="CB337" t="s">
        <v>112</v>
      </c>
      <c r="CC337" t="s">
        <v>121</v>
      </c>
      <c r="CD337">
        <v>16546.71</v>
      </c>
      <c r="CE337" t="s">
        <v>144</v>
      </c>
      <c r="CF337">
        <v>4000000</v>
      </c>
      <c r="CG337">
        <v>16420.11</v>
      </c>
      <c r="CH337">
        <v>0</v>
      </c>
      <c r="CI337" t="s">
        <v>112</v>
      </c>
      <c r="CJ337" t="s">
        <v>112</v>
      </c>
      <c r="CK337">
        <v>40180.800000000003</v>
      </c>
      <c r="CM337">
        <v>0</v>
      </c>
      <c r="CN337">
        <v>1</v>
      </c>
      <c r="CO337">
        <v>4496668.8499999996</v>
      </c>
      <c r="CP337">
        <v>48141.78</v>
      </c>
      <c r="CQ337" t="s">
        <v>145</v>
      </c>
      <c r="CR337">
        <v>48110.922300000006</v>
      </c>
      <c r="CS337">
        <v>2.93</v>
      </c>
      <c r="CW337">
        <v>586</v>
      </c>
    </row>
    <row r="338" spans="1:101" x14ac:dyDescent="0.2">
      <c r="A338" t="s">
        <v>106</v>
      </c>
      <c r="B338" s="46">
        <v>44823</v>
      </c>
      <c r="C338" t="s">
        <v>1541</v>
      </c>
      <c r="D338" t="s">
        <v>108</v>
      </c>
      <c r="E338" t="s">
        <v>1542</v>
      </c>
      <c r="F338" t="s">
        <v>110</v>
      </c>
      <c r="G338" t="s">
        <v>111</v>
      </c>
      <c r="H338" t="s">
        <v>112</v>
      </c>
      <c r="I338" t="s">
        <v>112</v>
      </c>
      <c r="J338" t="s">
        <v>112</v>
      </c>
      <c r="K338" t="s">
        <v>150</v>
      </c>
      <c r="L338" t="s">
        <v>1060</v>
      </c>
      <c r="M338" t="s">
        <v>112</v>
      </c>
      <c r="N338" t="s">
        <v>112</v>
      </c>
      <c r="O338">
        <v>1</v>
      </c>
      <c r="P338">
        <v>0</v>
      </c>
      <c r="Q338">
        <v>1</v>
      </c>
      <c r="R338">
        <v>33</v>
      </c>
      <c r="S338" t="s">
        <v>166</v>
      </c>
      <c r="T338" t="s">
        <v>152</v>
      </c>
      <c r="U338" t="s">
        <v>153</v>
      </c>
      <c r="V338" t="s">
        <v>154</v>
      </c>
      <c r="W338" t="s">
        <v>119</v>
      </c>
      <c r="X338" t="s">
        <v>112</v>
      </c>
      <c r="Y338" t="s">
        <v>166</v>
      </c>
      <c r="Z338" t="s">
        <v>152</v>
      </c>
      <c r="AA338" t="s">
        <v>153</v>
      </c>
      <c r="AB338" t="s">
        <v>154</v>
      </c>
      <c r="AC338" t="s">
        <v>119</v>
      </c>
      <c r="AD338" t="s">
        <v>112</v>
      </c>
      <c r="AE338" t="s">
        <v>121</v>
      </c>
      <c r="AF338" t="s">
        <v>122</v>
      </c>
      <c r="AG338">
        <v>5012173.42</v>
      </c>
      <c r="AH338" t="s">
        <v>166</v>
      </c>
      <c r="AI338" t="s">
        <v>152</v>
      </c>
      <c r="AJ338" t="s">
        <v>153</v>
      </c>
      <c r="AK338" t="s">
        <v>154</v>
      </c>
      <c r="AL338" t="s">
        <v>119</v>
      </c>
      <c r="AM338" t="s">
        <v>112</v>
      </c>
      <c r="AN338" t="s">
        <v>121</v>
      </c>
      <c r="AO338" t="s">
        <v>122</v>
      </c>
      <c r="AP338" t="s">
        <v>122</v>
      </c>
      <c r="AQ338" t="s">
        <v>124</v>
      </c>
      <c r="AR338" t="s">
        <v>125</v>
      </c>
      <c r="AS338">
        <v>2</v>
      </c>
      <c r="AT338" t="s">
        <v>126</v>
      </c>
      <c r="AU338" t="s">
        <v>155</v>
      </c>
      <c r="AV338" t="s">
        <v>156</v>
      </c>
      <c r="AW338">
        <v>1</v>
      </c>
      <c r="AX338" t="s">
        <v>129</v>
      </c>
      <c r="AY338">
        <v>45089.54</v>
      </c>
      <c r="AZ338">
        <v>4591603</v>
      </c>
      <c r="BA338">
        <v>55167.040000000001</v>
      </c>
      <c r="BB338">
        <v>101.833</v>
      </c>
      <c r="BC338" t="s">
        <v>130</v>
      </c>
      <c r="BD338" t="s">
        <v>112</v>
      </c>
      <c r="BE338" t="s">
        <v>157</v>
      </c>
      <c r="BF338" t="s">
        <v>133</v>
      </c>
      <c r="BG338" t="s">
        <v>134</v>
      </c>
      <c r="BH338" t="s">
        <v>112</v>
      </c>
      <c r="BI338" t="s">
        <v>112</v>
      </c>
      <c r="BJ338" t="s">
        <v>112</v>
      </c>
      <c r="BK338" t="s">
        <v>169</v>
      </c>
      <c r="BL338" t="s">
        <v>159</v>
      </c>
      <c r="BM338" t="s">
        <v>722</v>
      </c>
      <c r="BN338" t="s">
        <v>161</v>
      </c>
      <c r="BO338">
        <v>1</v>
      </c>
      <c r="BP338" t="s">
        <v>466</v>
      </c>
      <c r="BR338" t="s">
        <v>150</v>
      </c>
      <c r="BS338">
        <v>33</v>
      </c>
      <c r="BT338">
        <v>0</v>
      </c>
      <c r="BU338">
        <v>0</v>
      </c>
      <c r="BW338">
        <v>0</v>
      </c>
      <c r="BY338" t="s">
        <v>106</v>
      </c>
      <c r="BZ338" t="s">
        <v>142</v>
      </c>
      <c r="CA338" t="s">
        <v>112</v>
      </c>
      <c r="CB338" t="s">
        <v>112</v>
      </c>
      <c r="CC338" t="s">
        <v>121</v>
      </c>
      <c r="CD338">
        <v>16818</v>
      </c>
      <c r="CE338" t="s">
        <v>144</v>
      </c>
      <c r="CF338">
        <v>4000000</v>
      </c>
      <c r="CG338">
        <v>16818</v>
      </c>
      <c r="CH338">
        <v>0</v>
      </c>
      <c r="CI338" t="s">
        <v>112</v>
      </c>
      <c r="CJ338" t="s">
        <v>112</v>
      </c>
      <c r="CK338">
        <v>45089.54</v>
      </c>
      <c r="CL338">
        <v>4591603</v>
      </c>
      <c r="CM338">
        <v>0</v>
      </c>
      <c r="CN338">
        <v>1</v>
      </c>
      <c r="CO338">
        <v>5012173.42</v>
      </c>
      <c r="CP338">
        <v>55167.040000000001</v>
      </c>
      <c r="CQ338" t="s">
        <v>145</v>
      </c>
      <c r="CR338">
        <v>55163.039999999994</v>
      </c>
      <c r="CS338">
        <v>3.28</v>
      </c>
      <c r="CT338">
        <v>45</v>
      </c>
      <c r="CU338" t="s">
        <v>171</v>
      </c>
      <c r="CV338" t="s">
        <v>369</v>
      </c>
      <c r="CW338">
        <v>303</v>
      </c>
    </row>
    <row r="339" spans="1:101" x14ac:dyDescent="0.2">
      <c r="A339" t="s">
        <v>106</v>
      </c>
      <c r="B339" s="46">
        <v>44693</v>
      </c>
      <c r="C339" t="s">
        <v>1535</v>
      </c>
      <c r="D339" t="s">
        <v>108</v>
      </c>
      <c r="E339" t="s">
        <v>1536</v>
      </c>
      <c r="F339" t="s">
        <v>110</v>
      </c>
      <c r="G339" t="s">
        <v>111</v>
      </c>
      <c r="H339" t="s">
        <v>112</v>
      </c>
      <c r="I339" t="s">
        <v>112</v>
      </c>
      <c r="J339" t="s">
        <v>112</v>
      </c>
      <c r="K339" t="s">
        <v>150</v>
      </c>
      <c r="L339" t="s">
        <v>1060</v>
      </c>
      <c r="M339" t="s">
        <v>112</v>
      </c>
      <c r="N339" t="s">
        <v>112</v>
      </c>
      <c r="O339">
        <v>1</v>
      </c>
      <c r="P339">
        <v>0</v>
      </c>
      <c r="Q339">
        <v>1</v>
      </c>
      <c r="R339">
        <v>33</v>
      </c>
      <c r="S339" t="s">
        <v>166</v>
      </c>
      <c r="T339" t="s">
        <v>152</v>
      </c>
      <c r="U339" t="s">
        <v>153</v>
      </c>
      <c r="V339" t="s">
        <v>154</v>
      </c>
      <c r="W339" t="s">
        <v>119</v>
      </c>
      <c r="X339" t="s">
        <v>112</v>
      </c>
      <c r="Y339" t="s">
        <v>166</v>
      </c>
      <c r="Z339" t="s">
        <v>152</v>
      </c>
      <c r="AA339" t="s">
        <v>153</v>
      </c>
      <c r="AB339" t="s">
        <v>154</v>
      </c>
      <c r="AC339" t="s">
        <v>119</v>
      </c>
      <c r="AD339" t="s">
        <v>112</v>
      </c>
      <c r="AE339" t="s">
        <v>121</v>
      </c>
      <c r="AF339" t="s">
        <v>122</v>
      </c>
      <c r="AG339">
        <v>4767453.4400000004</v>
      </c>
      <c r="AH339" t="s">
        <v>166</v>
      </c>
      <c r="AI339" t="s">
        <v>152</v>
      </c>
      <c r="AJ339" t="s">
        <v>153</v>
      </c>
      <c r="AK339" t="s">
        <v>154</v>
      </c>
      <c r="AL339" t="s">
        <v>119</v>
      </c>
      <c r="AM339" t="s">
        <v>112</v>
      </c>
      <c r="AN339" t="s">
        <v>121</v>
      </c>
      <c r="AO339" t="s">
        <v>122</v>
      </c>
      <c r="AP339" t="s">
        <v>122</v>
      </c>
      <c r="AQ339" t="s">
        <v>124</v>
      </c>
      <c r="AR339" t="s">
        <v>125</v>
      </c>
      <c r="AS339">
        <v>2</v>
      </c>
      <c r="AT339" t="s">
        <v>126</v>
      </c>
      <c r="AU339" t="s">
        <v>155</v>
      </c>
      <c r="AV339" t="s">
        <v>156</v>
      </c>
      <c r="AW339">
        <v>1</v>
      </c>
      <c r="AX339" t="s">
        <v>129</v>
      </c>
      <c r="AY339">
        <v>42166.39</v>
      </c>
      <c r="AZ339">
        <v>4293930</v>
      </c>
      <c r="BA339">
        <v>52473.5</v>
      </c>
      <c r="BB339">
        <v>101.833</v>
      </c>
      <c r="BC339" t="s">
        <v>130</v>
      </c>
      <c r="BD339" t="s">
        <v>112</v>
      </c>
      <c r="BE339" t="s">
        <v>157</v>
      </c>
      <c r="BF339" t="s">
        <v>133</v>
      </c>
      <c r="BG339" t="s">
        <v>134</v>
      </c>
      <c r="BH339" t="s">
        <v>112</v>
      </c>
      <c r="BI339" t="s">
        <v>112</v>
      </c>
      <c r="BJ339" t="s">
        <v>112</v>
      </c>
      <c r="BK339" t="s">
        <v>169</v>
      </c>
      <c r="BL339" t="s">
        <v>159</v>
      </c>
      <c r="BM339" t="s">
        <v>722</v>
      </c>
      <c r="BN339" t="s">
        <v>161</v>
      </c>
      <c r="BO339">
        <v>1</v>
      </c>
      <c r="BP339" t="s">
        <v>162</v>
      </c>
      <c r="BR339" t="s">
        <v>150</v>
      </c>
      <c r="BS339">
        <v>33</v>
      </c>
      <c r="BT339">
        <v>0</v>
      </c>
      <c r="BU339">
        <v>0</v>
      </c>
      <c r="BW339">
        <v>0</v>
      </c>
      <c r="BY339" t="s">
        <v>106</v>
      </c>
      <c r="BZ339" t="s">
        <v>142</v>
      </c>
      <c r="CA339" t="s">
        <v>112</v>
      </c>
      <c r="CB339" t="s">
        <v>112</v>
      </c>
      <c r="CC339" t="s">
        <v>121</v>
      </c>
      <c r="CD339">
        <v>15846.68</v>
      </c>
      <c r="CE339" t="s">
        <v>144</v>
      </c>
      <c r="CF339">
        <v>4000000</v>
      </c>
      <c r="CG339">
        <v>15774.68</v>
      </c>
      <c r="CH339">
        <v>0</v>
      </c>
      <c r="CI339" t="s">
        <v>112</v>
      </c>
      <c r="CJ339" t="s">
        <v>112</v>
      </c>
      <c r="CK339">
        <v>42166.39</v>
      </c>
      <c r="CL339">
        <v>4293930</v>
      </c>
      <c r="CM339">
        <v>0</v>
      </c>
      <c r="CN339">
        <v>1</v>
      </c>
      <c r="CO339">
        <v>4767453.4400000004</v>
      </c>
      <c r="CP339">
        <v>52473.5</v>
      </c>
      <c r="CQ339" t="s">
        <v>145</v>
      </c>
      <c r="CR339">
        <v>52529.684400000006</v>
      </c>
      <c r="CS339">
        <v>3.33</v>
      </c>
      <c r="CT339">
        <v>45</v>
      </c>
      <c r="CU339" t="s">
        <v>171</v>
      </c>
      <c r="CV339" t="s">
        <v>372</v>
      </c>
      <c r="CW339">
        <v>582</v>
      </c>
    </row>
    <row r="340" spans="1:101" x14ac:dyDescent="0.2">
      <c r="A340" t="s">
        <v>106</v>
      </c>
      <c r="B340" s="46">
        <v>44826</v>
      </c>
      <c r="C340" t="s">
        <v>1549</v>
      </c>
      <c r="D340" t="s">
        <v>108</v>
      </c>
      <c r="E340" t="s">
        <v>1550</v>
      </c>
      <c r="F340" t="s">
        <v>110</v>
      </c>
      <c r="G340" t="s">
        <v>111</v>
      </c>
      <c r="H340" t="s">
        <v>112</v>
      </c>
      <c r="I340" t="s">
        <v>112</v>
      </c>
      <c r="J340" t="s">
        <v>112</v>
      </c>
      <c r="K340" t="s">
        <v>150</v>
      </c>
      <c r="L340" t="s">
        <v>1060</v>
      </c>
      <c r="M340" t="s">
        <v>112</v>
      </c>
      <c r="N340" t="s">
        <v>112</v>
      </c>
      <c r="O340">
        <v>1</v>
      </c>
      <c r="P340">
        <v>0</v>
      </c>
      <c r="Q340">
        <v>1</v>
      </c>
      <c r="R340">
        <v>33</v>
      </c>
      <c r="S340" t="s">
        <v>166</v>
      </c>
      <c r="T340" t="s">
        <v>152</v>
      </c>
      <c r="U340" t="s">
        <v>153</v>
      </c>
      <c r="V340" t="s">
        <v>154</v>
      </c>
      <c r="W340" t="s">
        <v>119</v>
      </c>
      <c r="X340" t="s">
        <v>112</v>
      </c>
      <c r="Y340" t="s">
        <v>166</v>
      </c>
      <c r="Z340" t="s">
        <v>152</v>
      </c>
      <c r="AA340" t="s">
        <v>153</v>
      </c>
      <c r="AB340" t="s">
        <v>154</v>
      </c>
      <c r="AC340" t="s">
        <v>119</v>
      </c>
      <c r="AD340" t="s">
        <v>112</v>
      </c>
      <c r="AE340" t="s">
        <v>121</v>
      </c>
      <c r="AF340" t="s">
        <v>122</v>
      </c>
      <c r="AG340">
        <v>4885256.91</v>
      </c>
      <c r="AH340" t="s">
        <v>166</v>
      </c>
      <c r="AI340" t="s">
        <v>152</v>
      </c>
      <c r="AJ340" t="s">
        <v>153</v>
      </c>
      <c r="AK340" t="s">
        <v>154</v>
      </c>
      <c r="AL340" t="s">
        <v>119</v>
      </c>
      <c r="AM340" t="s">
        <v>112</v>
      </c>
      <c r="AN340" t="s">
        <v>121</v>
      </c>
      <c r="AO340" t="s">
        <v>122</v>
      </c>
      <c r="AP340" t="s">
        <v>122</v>
      </c>
      <c r="AQ340" t="s">
        <v>124</v>
      </c>
      <c r="AR340" t="s">
        <v>125</v>
      </c>
      <c r="AS340">
        <v>2</v>
      </c>
      <c r="AT340" t="s">
        <v>126</v>
      </c>
      <c r="AU340" t="s">
        <v>155</v>
      </c>
      <c r="AV340" t="s">
        <v>156</v>
      </c>
      <c r="AW340">
        <v>1</v>
      </c>
      <c r="AX340" t="s">
        <v>129</v>
      </c>
      <c r="AY340">
        <v>43843.22</v>
      </c>
      <c r="AZ340">
        <v>4464687</v>
      </c>
      <c r="BA340">
        <v>53770.11</v>
      </c>
      <c r="BB340">
        <v>101.833</v>
      </c>
      <c r="BC340" t="s">
        <v>130</v>
      </c>
      <c r="BD340" t="s">
        <v>112</v>
      </c>
      <c r="BE340" t="s">
        <v>157</v>
      </c>
      <c r="BF340" t="s">
        <v>133</v>
      </c>
      <c r="BG340" t="s">
        <v>134</v>
      </c>
      <c r="BH340" t="s">
        <v>112</v>
      </c>
      <c r="BI340" t="s">
        <v>112</v>
      </c>
      <c r="BJ340" t="s">
        <v>112</v>
      </c>
      <c r="BK340" t="s">
        <v>169</v>
      </c>
      <c r="BL340" t="s">
        <v>159</v>
      </c>
      <c r="BM340" t="s">
        <v>722</v>
      </c>
      <c r="BN340" t="s">
        <v>161</v>
      </c>
      <c r="BO340">
        <v>1</v>
      </c>
      <c r="BP340" t="s">
        <v>1551</v>
      </c>
      <c r="BR340" t="s">
        <v>150</v>
      </c>
      <c r="BS340">
        <v>33</v>
      </c>
      <c r="BT340">
        <v>0</v>
      </c>
      <c r="BU340">
        <v>0</v>
      </c>
      <c r="BW340">
        <v>0</v>
      </c>
      <c r="BY340" t="s">
        <v>106</v>
      </c>
      <c r="BZ340" t="s">
        <v>142</v>
      </c>
      <c r="CA340" t="s">
        <v>112</v>
      </c>
      <c r="CB340" t="s">
        <v>112</v>
      </c>
      <c r="CC340" t="s">
        <v>121</v>
      </c>
      <c r="CD340">
        <v>16847.38</v>
      </c>
      <c r="CE340" t="s">
        <v>144</v>
      </c>
      <c r="CF340">
        <v>4000000</v>
      </c>
      <c r="CG340">
        <v>16847.38</v>
      </c>
      <c r="CH340">
        <v>0</v>
      </c>
      <c r="CI340" t="s">
        <v>112</v>
      </c>
      <c r="CJ340" t="s">
        <v>112</v>
      </c>
      <c r="CK340">
        <v>43843.22</v>
      </c>
      <c r="CL340">
        <v>4464687</v>
      </c>
      <c r="CM340">
        <v>0</v>
      </c>
      <c r="CN340">
        <v>1</v>
      </c>
      <c r="CO340">
        <v>4885256.91</v>
      </c>
      <c r="CP340">
        <v>53770.11</v>
      </c>
      <c r="CQ340" t="s">
        <v>145</v>
      </c>
      <c r="CR340">
        <v>53743.142200000002</v>
      </c>
      <c r="CS340">
        <v>3.19</v>
      </c>
      <c r="CT340">
        <v>45</v>
      </c>
      <c r="CU340" t="s">
        <v>171</v>
      </c>
      <c r="CV340" t="s">
        <v>172</v>
      </c>
      <c r="CW340">
        <v>178</v>
      </c>
    </row>
    <row r="341" spans="1:101" x14ac:dyDescent="0.2">
      <c r="A341" t="s">
        <v>106</v>
      </c>
      <c r="B341" s="46">
        <v>45151</v>
      </c>
      <c r="C341" t="s">
        <v>1354</v>
      </c>
      <c r="D341" t="s">
        <v>108</v>
      </c>
      <c r="E341" t="s">
        <v>1355</v>
      </c>
      <c r="F341" t="s">
        <v>110</v>
      </c>
      <c r="G341" t="s">
        <v>111</v>
      </c>
      <c r="H341" t="s">
        <v>112</v>
      </c>
      <c r="I341" t="s">
        <v>112</v>
      </c>
      <c r="J341" t="s">
        <v>112</v>
      </c>
      <c r="K341" t="s">
        <v>150</v>
      </c>
      <c r="L341" t="s">
        <v>1020</v>
      </c>
      <c r="M341" t="s">
        <v>112</v>
      </c>
      <c r="N341" t="s">
        <v>112</v>
      </c>
      <c r="O341">
        <v>1</v>
      </c>
      <c r="P341">
        <v>0</v>
      </c>
      <c r="Q341">
        <v>1</v>
      </c>
      <c r="R341">
        <v>33</v>
      </c>
      <c r="S341" t="s">
        <v>166</v>
      </c>
      <c r="T341" t="s">
        <v>152</v>
      </c>
      <c r="U341" t="s">
        <v>153</v>
      </c>
      <c r="V341" t="s">
        <v>154</v>
      </c>
      <c r="W341" t="s">
        <v>119</v>
      </c>
      <c r="X341" t="s">
        <v>112</v>
      </c>
      <c r="Y341" t="s">
        <v>166</v>
      </c>
      <c r="Z341" t="s">
        <v>152</v>
      </c>
      <c r="AA341" t="s">
        <v>153</v>
      </c>
      <c r="AB341" t="s">
        <v>154</v>
      </c>
      <c r="AC341" t="s">
        <v>119</v>
      </c>
      <c r="AD341" t="s">
        <v>112</v>
      </c>
      <c r="AE341" t="s">
        <v>121</v>
      </c>
      <c r="AF341" t="s">
        <v>122</v>
      </c>
      <c r="AG341">
        <v>4317701.0999999996</v>
      </c>
      <c r="AH341" t="s">
        <v>166</v>
      </c>
      <c r="AI341" t="s">
        <v>152</v>
      </c>
      <c r="AJ341" t="s">
        <v>153</v>
      </c>
      <c r="AK341" t="s">
        <v>154</v>
      </c>
      <c r="AL341" t="s">
        <v>119</v>
      </c>
      <c r="AM341" t="s">
        <v>112</v>
      </c>
      <c r="AN341" t="s">
        <v>121</v>
      </c>
      <c r="AO341" t="s">
        <v>122</v>
      </c>
      <c r="AP341" t="s">
        <v>122</v>
      </c>
      <c r="AQ341" t="s">
        <v>124</v>
      </c>
      <c r="AR341" t="s">
        <v>125</v>
      </c>
      <c r="AS341">
        <v>2</v>
      </c>
      <c r="AT341" t="s">
        <v>126</v>
      </c>
      <c r="AU341" t="s">
        <v>155</v>
      </c>
      <c r="AV341" t="s">
        <v>156</v>
      </c>
      <c r="AW341">
        <v>1</v>
      </c>
      <c r="AX341" t="s">
        <v>129</v>
      </c>
      <c r="AY341">
        <v>42763.56</v>
      </c>
      <c r="AZ341">
        <v>3937433</v>
      </c>
      <c r="BA341">
        <v>51258.66</v>
      </c>
      <c r="BB341">
        <v>92.0745</v>
      </c>
      <c r="BC341" t="s">
        <v>130</v>
      </c>
      <c r="BD341" t="s">
        <v>112</v>
      </c>
      <c r="BE341" t="s">
        <v>157</v>
      </c>
      <c r="BF341" t="s">
        <v>133</v>
      </c>
      <c r="BG341" t="s">
        <v>134</v>
      </c>
      <c r="BH341" t="s">
        <v>112</v>
      </c>
      <c r="BI341" t="s">
        <v>112</v>
      </c>
      <c r="BJ341" t="s">
        <v>112</v>
      </c>
      <c r="BK341" t="s">
        <v>169</v>
      </c>
      <c r="BL341" t="s">
        <v>159</v>
      </c>
      <c r="BM341" t="s">
        <v>722</v>
      </c>
      <c r="BN341" t="s">
        <v>161</v>
      </c>
      <c r="BO341">
        <v>1</v>
      </c>
      <c r="BP341" t="s">
        <v>1356</v>
      </c>
      <c r="BR341" t="s">
        <v>150</v>
      </c>
      <c r="BS341">
        <v>33</v>
      </c>
      <c r="BT341">
        <v>0</v>
      </c>
      <c r="BU341">
        <v>0</v>
      </c>
      <c r="BW341">
        <v>0</v>
      </c>
      <c r="BY341" t="s">
        <v>106</v>
      </c>
      <c r="BZ341" t="s">
        <v>142</v>
      </c>
      <c r="CA341" t="s">
        <v>112</v>
      </c>
      <c r="CB341" t="s">
        <v>112</v>
      </c>
      <c r="CC341" t="s">
        <v>121</v>
      </c>
      <c r="CD341">
        <v>17238.04</v>
      </c>
      <c r="CE341" t="s">
        <v>144</v>
      </c>
      <c r="CF341">
        <v>4000000</v>
      </c>
      <c r="CG341">
        <v>17238.04</v>
      </c>
      <c r="CH341">
        <v>0</v>
      </c>
      <c r="CI341" t="s">
        <v>112</v>
      </c>
      <c r="CJ341" t="s">
        <v>112</v>
      </c>
      <c r="CK341">
        <v>42763.56</v>
      </c>
      <c r="CL341">
        <v>3937433</v>
      </c>
      <c r="CM341">
        <v>0</v>
      </c>
      <c r="CN341">
        <v>1</v>
      </c>
      <c r="CO341">
        <v>4317701.0999999996</v>
      </c>
      <c r="CP341">
        <v>51258.66</v>
      </c>
      <c r="CQ341" t="s">
        <v>145</v>
      </c>
      <c r="CR341">
        <v>51196.978800000004</v>
      </c>
      <c r="CS341">
        <v>2.97</v>
      </c>
      <c r="CT341">
        <v>45</v>
      </c>
      <c r="CU341" t="s">
        <v>171</v>
      </c>
      <c r="CV341" t="s">
        <v>350</v>
      </c>
      <c r="CW341">
        <v>77</v>
      </c>
    </row>
    <row r="342" spans="1:101" x14ac:dyDescent="0.2">
      <c r="A342" t="s">
        <v>106</v>
      </c>
      <c r="B342" s="46">
        <v>44951</v>
      </c>
      <c r="C342" t="s">
        <v>1362</v>
      </c>
      <c r="D342" t="s">
        <v>108</v>
      </c>
      <c r="E342" t="s">
        <v>1363</v>
      </c>
      <c r="F342" t="s">
        <v>110</v>
      </c>
      <c r="G342" t="s">
        <v>111</v>
      </c>
      <c r="H342" t="s">
        <v>112</v>
      </c>
      <c r="I342" t="s">
        <v>112</v>
      </c>
      <c r="J342" t="s">
        <v>112</v>
      </c>
      <c r="K342" t="s">
        <v>150</v>
      </c>
      <c r="L342" t="s">
        <v>1020</v>
      </c>
      <c r="M342" t="s">
        <v>112</v>
      </c>
      <c r="N342" t="s">
        <v>112</v>
      </c>
      <c r="O342">
        <v>1</v>
      </c>
      <c r="P342">
        <v>0</v>
      </c>
      <c r="Q342">
        <v>1</v>
      </c>
      <c r="R342">
        <v>33</v>
      </c>
      <c r="S342" t="s">
        <v>166</v>
      </c>
      <c r="T342" t="s">
        <v>152</v>
      </c>
      <c r="U342" t="s">
        <v>153</v>
      </c>
      <c r="V342" t="s">
        <v>154</v>
      </c>
      <c r="W342" t="s">
        <v>119</v>
      </c>
      <c r="X342" t="s">
        <v>112</v>
      </c>
      <c r="Y342" t="s">
        <v>166</v>
      </c>
      <c r="Z342" t="s">
        <v>152</v>
      </c>
      <c r="AA342" t="s">
        <v>153</v>
      </c>
      <c r="AB342" t="s">
        <v>154</v>
      </c>
      <c r="AC342" t="s">
        <v>119</v>
      </c>
      <c r="AD342" t="s">
        <v>112</v>
      </c>
      <c r="AE342" t="s">
        <v>121</v>
      </c>
      <c r="AF342" t="s">
        <v>122</v>
      </c>
      <c r="AG342">
        <v>4378054.09</v>
      </c>
      <c r="AH342" t="s">
        <v>166</v>
      </c>
      <c r="AI342" t="s">
        <v>152</v>
      </c>
      <c r="AJ342" t="s">
        <v>153</v>
      </c>
      <c r="AK342" t="s">
        <v>154</v>
      </c>
      <c r="AL342" t="s">
        <v>119</v>
      </c>
      <c r="AM342" t="s">
        <v>112</v>
      </c>
      <c r="AN342" t="s">
        <v>121</v>
      </c>
      <c r="AO342" t="s">
        <v>122</v>
      </c>
      <c r="AP342" t="s">
        <v>122</v>
      </c>
      <c r="AQ342" t="s">
        <v>124</v>
      </c>
      <c r="AR342" t="s">
        <v>125</v>
      </c>
      <c r="AS342">
        <v>2</v>
      </c>
      <c r="AT342" t="s">
        <v>126</v>
      </c>
      <c r="AU342" t="s">
        <v>155</v>
      </c>
      <c r="AV342" t="s">
        <v>156</v>
      </c>
      <c r="AW342">
        <v>1</v>
      </c>
      <c r="AX342" t="s">
        <v>129</v>
      </c>
      <c r="AY342">
        <v>43419.040000000001</v>
      </c>
      <c r="AZ342">
        <v>3997786</v>
      </c>
      <c r="BA342">
        <v>51975.15</v>
      </c>
      <c r="BB342">
        <v>92.0745</v>
      </c>
      <c r="BC342" t="s">
        <v>130</v>
      </c>
      <c r="BD342" t="s">
        <v>112</v>
      </c>
      <c r="BE342" t="s">
        <v>157</v>
      </c>
      <c r="BF342" t="s">
        <v>133</v>
      </c>
      <c r="BG342" t="s">
        <v>134</v>
      </c>
      <c r="BH342" t="s">
        <v>112</v>
      </c>
      <c r="BI342" t="s">
        <v>112</v>
      </c>
      <c r="BJ342" t="s">
        <v>112</v>
      </c>
      <c r="BK342" t="s">
        <v>169</v>
      </c>
      <c r="BL342" t="s">
        <v>159</v>
      </c>
      <c r="BM342" t="s">
        <v>722</v>
      </c>
      <c r="BN342" t="s">
        <v>161</v>
      </c>
      <c r="BO342">
        <v>1</v>
      </c>
      <c r="BP342" t="s">
        <v>863</v>
      </c>
      <c r="BR342" t="s">
        <v>150</v>
      </c>
      <c r="BS342">
        <v>33</v>
      </c>
      <c r="BT342">
        <v>0</v>
      </c>
      <c r="BU342">
        <v>0</v>
      </c>
      <c r="BW342">
        <v>0</v>
      </c>
      <c r="BY342" t="s">
        <v>106</v>
      </c>
      <c r="BZ342" t="s">
        <v>142</v>
      </c>
      <c r="CA342" t="s">
        <v>112</v>
      </c>
      <c r="CB342" t="s">
        <v>112</v>
      </c>
      <c r="CC342" t="s">
        <v>121</v>
      </c>
      <c r="CD342">
        <v>16903.810000000001</v>
      </c>
      <c r="CE342" t="s">
        <v>144</v>
      </c>
      <c r="CF342">
        <v>4000000</v>
      </c>
      <c r="CG342">
        <v>16903.810000000001</v>
      </c>
      <c r="CH342">
        <v>0</v>
      </c>
      <c r="CI342" t="s">
        <v>112</v>
      </c>
      <c r="CJ342" t="s">
        <v>112</v>
      </c>
      <c r="CK342">
        <v>43419.040000000001</v>
      </c>
      <c r="CL342">
        <v>3997786</v>
      </c>
      <c r="CM342">
        <v>0</v>
      </c>
      <c r="CN342">
        <v>1</v>
      </c>
      <c r="CO342">
        <v>4378054.09</v>
      </c>
      <c r="CP342">
        <v>51975.15</v>
      </c>
      <c r="CQ342" t="s">
        <v>145</v>
      </c>
      <c r="CR342">
        <v>51894.6967</v>
      </c>
      <c r="CS342">
        <v>3.07</v>
      </c>
      <c r="CT342">
        <v>45</v>
      </c>
      <c r="CU342" t="s">
        <v>171</v>
      </c>
      <c r="CV342" t="s">
        <v>463</v>
      </c>
      <c r="CW342">
        <v>152</v>
      </c>
    </row>
    <row r="343" spans="1:101" x14ac:dyDescent="0.2">
      <c r="A343" t="s">
        <v>106</v>
      </c>
      <c r="B343" s="46">
        <v>45128</v>
      </c>
      <c r="C343" t="s">
        <v>1359</v>
      </c>
      <c r="D343" t="s">
        <v>108</v>
      </c>
      <c r="E343" t="s">
        <v>1360</v>
      </c>
      <c r="F343" t="s">
        <v>110</v>
      </c>
      <c r="G343" t="s">
        <v>111</v>
      </c>
      <c r="H343" t="s">
        <v>112</v>
      </c>
      <c r="I343" t="s">
        <v>112</v>
      </c>
      <c r="J343" t="s">
        <v>112</v>
      </c>
      <c r="K343" t="s">
        <v>150</v>
      </c>
      <c r="L343" t="s">
        <v>1020</v>
      </c>
      <c r="M343" t="s">
        <v>112</v>
      </c>
      <c r="N343" t="s">
        <v>112</v>
      </c>
      <c r="O343">
        <v>1</v>
      </c>
      <c r="P343">
        <v>0</v>
      </c>
      <c r="Q343">
        <v>1</v>
      </c>
      <c r="R343">
        <v>33</v>
      </c>
      <c r="S343" t="s">
        <v>166</v>
      </c>
      <c r="T343" t="s">
        <v>152</v>
      </c>
      <c r="U343" t="s">
        <v>153</v>
      </c>
      <c r="V343" t="s">
        <v>154</v>
      </c>
      <c r="W343" t="s">
        <v>119</v>
      </c>
      <c r="X343" t="s">
        <v>112</v>
      </c>
      <c r="Y343" t="s">
        <v>166</v>
      </c>
      <c r="Z343" t="s">
        <v>152</v>
      </c>
      <c r="AA343" t="s">
        <v>153</v>
      </c>
      <c r="AB343" t="s">
        <v>154</v>
      </c>
      <c r="AC343" t="s">
        <v>119</v>
      </c>
      <c r="AD343" t="s">
        <v>112</v>
      </c>
      <c r="AE343" t="s">
        <v>121</v>
      </c>
      <c r="AF343" t="s">
        <v>122</v>
      </c>
      <c r="AG343">
        <v>4523270.3099999996</v>
      </c>
      <c r="AH343" t="s">
        <v>166</v>
      </c>
      <c r="AI343" t="s">
        <v>152</v>
      </c>
      <c r="AJ343" t="s">
        <v>153</v>
      </c>
      <c r="AK343" t="s">
        <v>154</v>
      </c>
      <c r="AL343" t="s">
        <v>119</v>
      </c>
      <c r="AM343" t="s">
        <v>112</v>
      </c>
      <c r="AN343" t="s">
        <v>121</v>
      </c>
      <c r="AO343" t="s">
        <v>122</v>
      </c>
      <c r="AP343" t="s">
        <v>122</v>
      </c>
      <c r="AQ343" t="s">
        <v>124</v>
      </c>
      <c r="AR343" t="s">
        <v>125</v>
      </c>
      <c r="AS343">
        <v>2</v>
      </c>
      <c r="AT343" t="s">
        <v>126</v>
      </c>
      <c r="AU343" t="s">
        <v>155</v>
      </c>
      <c r="AV343" t="s">
        <v>156</v>
      </c>
      <c r="AW343">
        <v>1</v>
      </c>
      <c r="AX343" t="s">
        <v>129</v>
      </c>
      <c r="AY343">
        <v>44996.2</v>
      </c>
      <c r="AZ343">
        <v>4143003</v>
      </c>
      <c r="BA343">
        <v>53699.12</v>
      </c>
      <c r="BB343">
        <v>92.0745</v>
      </c>
      <c r="BC343" t="s">
        <v>130</v>
      </c>
      <c r="BD343" t="s">
        <v>112</v>
      </c>
      <c r="BE343" t="s">
        <v>157</v>
      </c>
      <c r="BF343" t="s">
        <v>133</v>
      </c>
      <c r="BG343" t="s">
        <v>134</v>
      </c>
      <c r="BH343" t="s">
        <v>112</v>
      </c>
      <c r="BI343" t="s">
        <v>112</v>
      </c>
      <c r="BJ343" t="s">
        <v>112</v>
      </c>
      <c r="BK343" t="s">
        <v>169</v>
      </c>
      <c r="BL343" t="s">
        <v>159</v>
      </c>
      <c r="BM343" t="s">
        <v>722</v>
      </c>
      <c r="BN343" t="s">
        <v>161</v>
      </c>
      <c r="BO343">
        <v>1</v>
      </c>
      <c r="BP343" t="s">
        <v>1361</v>
      </c>
      <c r="BR343" t="s">
        <v>150</v>
      </c>
      <c r="BS343">
        <v>33</v>
      </c>
      <c r="BT343">
        <v>0</v>
      </c>
      <c r="BU343">
        <v>0</v>
      </c>
      <c r="BW343">
        <v>0</v>
      </c>
      <c r="BY343" t="s">
        <v>106</v>
      </c>
      <c r="BZ343" t="s">
        <v>142</v>
      </c>
      <c r="CA343" t="s">
        <v>112</v>
      </c>
      <c r="CB343" t="s">
        <v>112</v>
      </c>
      <c r="CC343" t="s">
        <v>121</v>
      </c>
      <c r="CD343">
        <v>17143.68</v>
      </c>
      <c r="CE343" t="s">
        <v>144</v>
      </c>
      <c r="CF343">
        <v>4000000</v>
      </c>
      <c r="CG343">
        <v>17143.68</v>
      </c>
      <c r="CH343">
        <v>0</v>
      </c>
      <c r="CI343" t="s">
        <v>112</v>
      </c>
      <c r="CJ343" t="s">
        <v>112</v>
      </c>
      <c r="CK343">
        <v>44996.2</v>
      </c>
      <c r="CL343">
        <v>4143003</v>
      </c>
      <c r="CM343">
        <v>0</v>
      </c>
      <c r="CN343">
        <v>1</v>
      </c>
      <c r="CO343">
        <v>4523270.3099999996</v>
      </c>
      <c r="CP343">
        <v>53699.12</v>
      </c>
      <c r="CQ343" t="s">
        <v>145</v>
      </c>
      <c r="CR343">
        <v>53659.718399999998</v>
      </c>
      <c r="CS343">
        <v>3.13</v>
      </c>
      <c r="CT343">
        <v>45</v>
      </c>
      <c r="CU343" t="s">
        <v>171</v>
      </c>
      <c r="CV343" t="s">
        <v>350</v>
      </c>
      <c r="CW343">
        <v>177</v>
      </c>
    </row>
    <row r="344" spans="1:101" x14ac:dyDescent="0.2">
      <c r="A344" t="s">
        <v>106</v>
      </c>
      <c r="B344" s="46">
        <v>45237</v>
      </c>
      <c r="C344" t="s">
        <v>1357</v>
      </c>
      <c r="D344" t="s">
        <v>108</v>
      </c>
      <c r="E344" t="s">
        <v>1358</v>
      </c>
      <c r="F344" t="s">
        <v>110</v>
      </c>
      <c r="G344" t="s">
        <v>111</v>
      </c>
      <c r="H344" t="s">
        <v>112</v>
      </c>
      <c r="I344" t="s">
        <v>112</v>
      </c>
      <c r="J344" t="s">
        <v>112</v>
      </c>
      <c r="K344" t="s">
        <v>150</v>
      </c>
      <c r="L344" t="s">
        <v>1020</v>
      </c>
      <c r="M344" t="s">
        <v>112</v>
      </c>
      <c r="N344" t="s">
        <v>112</v>
      </c>
      <c r="O344">
        <v>1</v>
      </c>
      <c r="P344">
        <v>0</v>
      </c>
      <c r="Q344">
        <v>1</v>
      </c>
      <c r="R344">
        <v>33</v>
      </c>
      <c r="S344" t="s">
        <v>166</v>
      </c>
      <c r="T344" t="s">
        <v>152</v>
      </c>
      <c r="U344" t="s">
        <v>153</v>
      </c>
      <c r="V344" t="s">
        <v>154</v>
      </c>
      <c r="W344" t="s">
        <v>119</v>
      </c>
      <c r="X344" t="s">
        <v>112</v>
      </c>
      <c r="Y344" t="s">
        <v>166</v>
      </c>
      <c r="Z344" t="s">
        <v>152</v>
      </c>
      <c r="AA344" t="s">
        <v>153</v>
      </c>
      <c r="AB344" t="s">
        <v>154</v>
      </c>
      <c r="AC344" t="s">
        <v>119</v>
      </c>
      <c r="AD344" t="s">
        <v>112</v>
      </c>
      <c r="AE344" t="s">
        <v>121</v>
      </c>
      <c r="AF344" t="s">
        <v>122</v>
      </c>
      <c r="AG344">
        <v>4560356.07</v>
      </c>
      <c r="AH344" t="s">
        <v>166</v>
      </c>
      <c r="AI344" t="s">
        <v>152</v>
      </c>
      <c r="AJ344" t="s">
        <v>153</v>
      </c>
      <c r="AK344" t="s">
        <v>154</v>
      </c>
      <c r="AL344" t="s">
        <v>119</v>
      </c>
      <c r="AM344" t="s">
        <v>112</v>
      </c>
      <c r="AN344" t="s">
        <v>121</v>
      </c>
      <c r="AO344" t="s">
        <v>122</v>
      </c>
      <c r="AP344" t="s">
        <v>122</v>
      </c>
      <c r="AQ344" t="s">
        <v>124</v>
      </c>
      <c r="AR344" t="s">
        <v>125</v>
      </c>
      <c r="AS344">
        <v>2</v>
      </c>
      <c r="AT344" t="s">
        <v>126</v>
      </c>
      <c r="AU344" t="s">
        <v>155</v>
      </c>
      <c r="AV344" t="s">
        <v>156</v>
      </c>
      <c r="AW344">
        <v>1</v>
      </c>
      <c r="AX344" t="s">
        <v>129</v>
      </c>
      <c r="AY344">
        <v>45398.98</v>
      </c>
      <c r="AZ344">
        <v>4180088</v>
      </c>
      <c r="BA344">
        <v>54139.39</v>
      </c>
      <c r="BB344">
        <v>92.0745</v>
      </c>
      <c r="BC344" t="s">
        <v>130</v>
      </c>
      <c r="BD344" t="s">
        <v>112</v>
      </c>
      <c r="BE344" t="s">
        <v>157</v>
      </c>
      <c r="BF344" t="s">
        <v>133</v>
      </c>
      <c r="BG344" t="s">
        <v>134</v>
      </c>
      <c r="BH344" t="s">
        <v>112</v>
      </c>
      <c r="BI344" t="s">
        <v>112</v>
      </c>
      <c r="BJ344" t="s">
        <v>112</v>
      </c>
      <c r="BK344" t="s">
        <v>169</v>
      </c>
      <c r="BL344" t="s">
        <v>159</v>
      </c>
      <c r="BM344" t="s">
        <v>722</v>
      </c>
      <c r="BN344" t="s">
        <v>161</v>
      </c>
      <c r="BO344">
        <v>1</v>
      </c>
      <c r="BP344" t="s">
        <v>205</v>
      </c>
      <c r="BR344" t="s">
        <v>150</v>
      </c>
      <c r="BS344">
        <v>33</v>
      </c>
      <c r="BT344">
        <v>0</v>
      </c>
      <c r="BU344">
        <v>0</v>
      </c>
      <c r="BW344">
        <v>0</v>
      </c>
      <c r="BY344" t="s">
        <v>106</v>
      </c>
      <c r="BZ344" t="s">
        <v>142</v>
      </c>
      <c r="CA344" t="s">
        <v>112</v>
      </c>
      <c r="CB344" t="s">
        <v>112</v>
      </c>
      <c r="CC344" t="s">
        <v>121</v>
      </c>
      <c r="CD344">
        <v>17229.78</v>
      </c>
      <c r="CE344" t="s">
        <v>144</v>
      </c>
      <c r="CF344">
        <v>4000000</v>
      </c>
      <c r="CG344">
        <v>17229.78</v>
      </c>
      <c r="CH344">
        <v>0</v>
      </c>
      <c r="CI344" t="s">
        <v>112</v>
      </c>
      <c r="CJ344" t="s">
        <v>112</v>
      </c>
      <c r="CK344">
        <v>45398.98</v>
      </c>
      <c r="CL344">
        <v>4180088</v>
      </c>
      <c r="CM344">
        <v>0</v>
      </c>
      <c r="CN344">
        <v>1</v>
      </c>
      <c r="CO344">
        <v>4560356.07</v>
      </c>
      <c r="CP344">
        <v>54139.39</v>
      </c>
      <c r="CQ344" t="s">
        <v>145</v>
      </c>
      <c r="CR344">
        <v>54101.5092</v>
      </c>
      <c r="CS344">
        <v>3.14</v>
      </c>
      <c r="CT344">
        <v>45</v>
      </c>
      <c r="CU344" t="s">
        <v>171</v>
      </c>
      <c r="CV344" t="s">
        <v>369</v>
      </c>
      <c r="CW344">
        <v>77</v>
      </c>
    </row>
    <row r="345" spans="1:101" x14ac:dyDescent="0.2">
      <c r="A345" t="s">
        <v>106</v>
      </c>
      <c r="B345" s="46">
        <v>45290</v>
      </c>
      <c r="C345" t="s">
        <v>981</v>
      </c>
      <c r="D345" t="s">
        <v>108</v>
      </c>
      <c r="E345" t="s">
        <v>982</v>
      </c>
      <c r="F345" t="s">
        <v>110</v>
      </c>
      <c r="G345" t="s">
        <v>111</v>
      </c>
      <c r="H345" t="s">
        <v>112</v>
      </c>
      <c r="I345" t="s">
        <v>112</v>
      </c>
      <c r="J345" t="s">
        <v>112</v>
      </c>
      <c r="K345" t="s">
        <v>150</v>
      </c>
      <c r="L345" t="s">
        <v>151</v>
      </c>
      <c r="M345" t="s">
        <v>112</v>
      </c>
      <c r="N345" t="s">
        <v>112</v>
      </c>
      <c r="O345">
        <v>1</v>
      </c>
      <c r="P345">
        <v>0</v>
      </c>
      <c r="Q345">
        <v>1</v>
      </c>
      <c r="R345">
        <v>33</v>
      </c>
      <c r="S345" t="s">
        <v>166</v>
      </c>
      <c r="T345" t="s">
        <v>152</v>
      </c>
      <c r="U345" t="s">
        <v>153</v>
      </c>
      <c r="V345" t="s">
        <v>154</v>
      </c>
      <c r="W345" t="s">
        <v>119</v>
      </c>
      <c r="X345" t="s">
        <v>112</v>
      </c>
      <c r="Y345" t="s">
        <v>166</v>
      </c>
      <c r="Z345" t="s">
        <v>152</v>
      </c>
      <c r="AA345" t="s">
        <v>153</v>
      </c>
      <c r="AB345" t="s">
        <v>154</v>
      </c>
      <c r="AC345" t="s">
        <v>119</v>
      </c>
      <c r="AD345" t="s">
        <v>112</v>
      </c>
      <c r="AE345" t="s">
        <v>121</v>
      </c>
      <c r="AF345" t="s">
        <v>122</v>
      </c>
      <c r="AG345">
        <v>3550305.45</v>
      </c>
      <c r="AH345" t="s">
        <v>166</v>
      </c>
      <c r="AI345" t="s">
        <v>152</v>
      </c>
      <c r="AJ345" t="s">
        <v>153</v>
      </c>
      <c r="AK345" t="s">
        <v>154</v>
      </c>
      <c r="AL345" t="s">
        <v>119</v>
      </c>
      <c r="AM345" t="s">
        <v>112</v>
      </c>
      <c r="AN345" t="s">
        <v>121</v>
      </c>
      <c r="AO345" t="s">
        <v>122</v>
      </c>
      <c r="AP345" t="s">
        <v>122</v>
      </c>
      <c r="AQ345" t="s">
        <v>124</v>
      </c>
      <c r="AR345" t="s">
        <v>125</v>
      </c>
      <c r="AS345">
        <v>2</v>
      </c>
      <c r="AT345" t="s">
        <v>126</v>
      </c>
      <c r="AU345" t="s">
        <v>155</v>
      </c>
      <c r="AV345" t="s">
        <v>156</v>
      </c>
      <c r="AW345">
        <v>1</v>
      </c>
      <c r="AX345" t="s">
        <v>129</v>
      </c>
      <c r="AY345">
        <v>38750.04</v>
      </c>
      <c r="AZ345">
        <v>3191980</v>
      </c>
      <c r="BA345">
        <v>45963.29</v>
      </c>
      <c r="BB345">
        <v>82.373599999999996</v>
      </c>
      <c r="BC345" t="s">
        <v>130</v>
      </c>
      <c r="BD345" t="s">
        <v>112</v>
      </c>
      <c r="BE345" t="s">
        <v>157</v>
      </c>
      <c r="BF345" t="s">
        <v>133</v>
      </c>
      <c r="BG345" t="s">
        <v>134</v>
      </c>
      <c r="BH345" t="s">
        <v>112</v>
      </c>
      <c r="BI345" t="s">
        <v>112</v>
      </c>
      <c r="BJ345" t="s">
        <v>112</v>
      </c>
      <c r="BK345" t="s">
        <v>169</v>
      </c>
      <c r="BL345" t="s">
        <v>159</v>
      </c>
      <c r="BM345" t="s">
        <v>212</v>
      </c>
      <c r="BN345" t="s">
        <v>161</v>
      </c>
      <c r="BO345">
        <v>1</v>
      </c>
      <c r="BP345" t="s">
        <v>213</v>
      </c>
      <c r="BR345" t="s">
        <v>150</v>
      </c>
      <c r="BS345">
        <v>33</v>
      </c>
      <c r="BT345">
        <v>0</v>
      </c>
      <c r="BU345">
        <v>0</v>
      </c>
      <c r="BW345">
        <v>0</v>
      </c>
      <c r="BY345" t="s">
        <v>106</v>
      </c>
      <c r="BZ345" t="s">
        <v>142</v>
      </c>
      <c r="CA345" t="s">
        <v>112</v>
      </c>
      <c r="CB345" t="s">
        <v>112</v>
      </c>
      <c r="CC345" t="s">
        <v>121</v>
      </c>
      <c r="CD345">
        <v>16051.73</v>
      </c>
      <c r="CE345" t="s">
        <v>144</v>
      </c>
      <c r="CF345">
        <v>4000000</v>
      </c>
      <c r="CG345">
        <v>15792.53</v>
      </c>
      <c r="CH345">
        <v>0</v>
      </c>
      <c r="CI345" t="s">
        <v>112</v>
      </c>
      <c r="CJ345" t="s">
        <v>112</v>
      </c>
      <c r="CK345">
        <v>38750.04</v>
      </c>
      <c r="CL345">
        <v>3191980</v>
      </c>
      <c r="CM345">
        <v>0</v>
      </c>
      <c r="CN345">
        <v>1</v>
      </c>
      <c r="CO345">
        <v>3550305.45</v>
      </c>
      <c r="CP345">
        <v>45963.29</v>
      </c>
      <c r="CQ345" t="s">
        <v>145</v>
      </c>
      <c r="CR345">
        <v>45962.579312000002</v>
      </c>
      <c r="CS345">
        <v>2.9104000000000001</v>
      </c>
      <c r="CT345">
        <v>45</v>
      </c>
      <c r="CU345" t="s">
        <v>171</v>
      </c>
      <c r="CV345" t="s">
        <v>463</v>
      </c>
      <c r="CW345">
        <v>15</v>
      </c>
    </row>
    <row r="346" spans="1:101" x14ac:dyDescent="0.2">
      <c r="A346" t="s">
        <v>106</v>
      </c>
      <c r="B346" s="46">
        <v>45008</v>
      </c>
      <c r="C346" t="s">
        <v>978</v>
      </c>
      <c r="D346" t="s">
        <v>108</v>
      </c>
      <c r="E346" t="s">
        <v>979</v>
      </c>
      <c r="F346" t="s">
        <v>110</v>
      </c>
      <c r="G346" t="s">
        <v>111</v>
      </c>
      <c r="H346" t="s">
        <v>112</v>
      </c>
      <c r="I346" t="s">
        <v>112</v>
      </c>
      <c r="J346" t="s">
        <v>112</v>
      </c>
      <c r="K346" t="s">
        <v>150</v>
      </c>
      <c r="L346" t="s">
        <v>151</v>
      </c>
      <c r="M346" t="s">
        <v>112</v>
      </c>
      <c r="N346" t="s">
        <v>112</v>
      </c>
      <c r="O346">
        <v>1</v>
      </c>
      <c r="P346">
        <v>0</v>
      </c>
      <c r="Q346">
        <v>1</v>
      </c>
      <c r="R346">
        <v>33</v>
      </c>
      <c r="S346" t="s">
        <v>166</v>
      </c>
      <c r="T346" t="s">
        <v>152</v>
      </c>
      <c r="U346" t="s">
        <v>153</v>
      </c>
      <c r="V346" t="s">
        <v>154</v>
      </c>
      <c r="W346" t="s">
        <v>119</v>
      </c>
      <c r="X346" t="s">
        <v>112</v>
      </c>
      <c r="Y346" t="s">
        <v>166</v>
      </c>
      <c r="Z346" t="s">
        <v>152</v>
      </c>
      <c r="AA346" t="s">
        <v>153</v>
      </c>
      <c r="AB346" t="s">
        <v>154</v>
      </c>
      <c r="AC346" t="s">
        <v>119</v>
      </c>
      <c r="AD346" t="s">
        <v>112</v>
      </c>
      <c r="AE346" t="s">
        <v>121</v>
      </c>
      <c r="AF346" t="s">
        <v>122</v>
      </c>
      <c r="AG346">
        <v>3558259.45</v>
      </c>
      <c r="AH346" t="s">
        <v>166</v>
      </c>
      <c r="AI346" t="s">
        <v>152</v>
      </c>
      <c r="AJ346" t="s">
        <v>153</v>
      </c>
      <c r="AK346" t="s">
        <v>154</v>
      </c>
      <c r="AL346" t="s">
        <v>119</v>
      </c>
      <c r="AM346" t="s">
        <v>112</v>
      </c>
      <c r="AN346" t="s">
        <v>121</v>
      </c>
      <c r="AO346" t="s">
        <v>122</v>
      </c>
      <c r="AP346" t="s">
        <v>122</v>
      </c>
      <c r="AQ346" t="s">
        <v>124</v>
      </c>
      <c r="AR346" t="s">
        <v>125</v>
      </c>
      <c r="AS346">
        <v>2</v>
      </c>
      <c r="AT346" t="s">
        <v>126</v>
      </c>
      <c r="AU346" t="s">
        <v>155</v>
      </c>
      <c r="AV346" t="s">
        <v>156</v>
      </c>
      <c r="AW346">
        <v>1</v>
      </c>
      <c r="AX346" t="s">
        <v>129</v>
      </c>
      <c r="AY346">
        <v>38846.6</v>
      </c>
      <c r="AZ346">
        <v>3199934</v>
      </c>
      <c r="BA346">
        <v>46066.26</v>
      </c>
      <c r="BB346">
        <v>82.373599999999996</v>
      </c>
      <c r="BC346" t="s">
        <v>130</v>
      </c>
      <c r="BD346" t="s">
        <v>112</v>
      </c>
      <c r="BE346" t="s">
        <v>157</v>
      </c>
      <c r="BF346" t="s">
        <v>133</v>
      </c>
      <c r="BG346" t="s">
        <v>134</v>
      </c>
      <c r="BH346" t="s">
        <v>112</v>
      </c>
      <c r="BI346" t="s">
        <v>112</v>
      </c>
      <c r="BJ346" t="s">
        <v>112</v>
      </c>
      <c r="BK346" t="s">
        <v>169</v>
      </c>
      <c r="BL346" t="s">
        <v>159</v>
      </c>
      <c r="BM346" t="s">
        <v>212</v>
      </c>
      <c r="BN346" t="s">
        <v>161</v>
      </c>
      <c r="BO346">
        <v>1</v>
      </c>
      <c r="BP346" t="s">
        <v>980</v>
      </c>
      <c r="BR346" t="s">
        <v>150</v>
      </c>
      <c r="BS346">
        <v>33</v>
      </c>
      <c r="BT346">
        <v>0</v>
      </c>
      <c r="BU346">
        <v>0</v>
      </c>
      <c r="BW346">
        <v>0</v>
      </c>
      <c r="BY346" t="s">
        <v>106</v>
      </c>
      <c r="BZ346" t="s">
        <v>142</v>
      </c>
      <c r="CA346" t="s">
        <v>112</v>
      </c>
      <c r="CB346" t="s">
        <v>112</v>
      </c>
      <c r="CC346" t="s">
        <v>121</v>
      </c>
      <c r="CD346">
        <v>17146.54</v>
      </c>
      <c r="CE346" t="s">
        <v>144</v>
      </c>
      <c r="CF346">
        <v>4000000</v>
      </c>
      <c r="CG346">
        <v>17103.34</v>
      </c>
      <c r="CH346">
        <v>0</v>
      </c>
      <c r="CI346" t="s">
        <v>112</v>
      </c>
      <c r="CJ346" t="s">
        <v>112</v>
      </c>
      <c r="CK346">
        <v>38846.6</v>
      </c>
      <c r="CL346">
        <v>3199934</v>
      </c>
      <c r="CM346">
        <v>0</v>
      </c>
      <c r="CN346">
        <v>1</v>
      </c>
      <c r="CO346">
        <v>3558259.45</v>
      </c>
      <c r="CP346">
        <v>46066.26</v>
      </c>
      <c r="CQ346" t="s">
        <v>145</v>
      </c>
      <c r="CR346">
        <v>46066.135955999998</v>
      </c>
      <c r="CS346">
        <v>2.6934</v>
      </c>
      <c r="CT346">
        <v>45</v>
      </c>
      <c r="CU346" t="s">
        <v>171</v>
      </c>
      <c r="CV346" t="s">
        <v>372</v>
      </c>
      <c r="CW346">
        <v>166</v>
      </c>
    </row>
    <row r="347" spans="1:101" x14ac:dyDescent="0.2">
      <c r="A347" t="s">
        <v>106</v>
      </c>
      <c r="B347" s="46">
        <v>45014</v>
      </c>
      <c r="C347" t="s">
        <v>983</v>
      </c>
      <c r="D347" t="s">
        <v>108</v>
      </c>
      <c r="E347" t="s">
        <v>984</v>
      </c>
      <c r="F347" t="s">
        <v>110</v>
      </c>
      <c r="G347" t="s">
        <v>111</v>
      </c>
      <c r="H347" t="s">
        <v>112</v>
      </c>
      <c r="I347" t="s">
        <v>112</v>
      </c>
      <c r="J347" t="s">
        <v>112</v>
      </c>
      <c r="K347" t="s">
        <v>150</v>
      </c>
      <c r="L347" t="s">
        <v>151</v>
      </c>
      <c r="M347" t="s">
        <v>112</v>
      </c>
      <c r="N347" t="s">
        <v>112</v>
      </c>
      <c r="O347">
        <v>1</v>
      </c>
      <c r="P347">
        <v>0</v>
      </c>
      <c r="Q347">
        <v>1</v>
      </c>
      <c r="R347">
        <v>33</v>
      </c>
      <c r="S347" t="s">
        <v>166</v>
      </c>
      <c r="T347" t="s">
        <v>152</v>
      </c>
      <c r="U347" t="s">
        <v>153</v>
      </c>
      <c r="V347" t="s">
        <v>154</v>
      </c>
      <c r="W347" t="s">
        <v>119</v>
      </c>
      <c r="X347" t="s">
        <v>112</v>
      </c>
      <c r="Y347" t="s">
        <v>166</v>
      </c>
      <c r="Z347" t="s">
        <v>152</v>
      </c>
      <c r="AA347" t="s">
        <v>153</v>
      </c>
      <c r="AB347" t="s">
        <v>154</v>
      </c>
      <c r="AC347" t="s">
        <v>119</v>
      </c>
      <c r="AD347" t="s">
        <v>112</v>
      </c>
      <c r="AE347" t="s">
        <v>121</v>
      </c>
      <c r="AF347" t="s">
        <v>122</v>
      </c>
      <c r="AG347">
        <v>3834484.49</v>
      </c>
      <c r="AH347" t="s">
        <v>166</v>
      </c>
      <c r="AI347" t="s">
        <v>152</v>
      </c>
      <c r="AJ347" t="s">
        <v>153</v>
      </c>
      <c r="AK347" t="s">
        <v>154</v>
      </c>
      <c r="AL347" t="s">
        <v>119</v>
      </c>
      <c r="AM347" t="s">
        <v>112</v>
      </c>
      <c r="AN347" t="s">
        <v>121</v>
      </c>
      <c r="AO347" t="s">
        <v>122</v>
      </c>
      <c r="AP347" t="s">
        <v>122</v>
      </c>
      <c r="AQ347" t="s">
        <v>124</v>
      </c>
      <c r="AR347" t="s">
        <v>125</v>
      </c>
      <c r="AS347">
        <v>2</v>
      </c>
      <c r="AT347" t="s">
        <v>126</v>
      </c>
      <c r="AU347" t="s">
        <v>155</v>
      </c>
      <c r="AV347" t="s">
        <v>156</v>
      </c>
      <c r="AW347">
        <v>1</v>
      </c>
      <c r="AX347" t="s">
        <v>129</v>
      </c>
      <c r="AY347">
        <v>42199.92</v>
      </c>
      <c r="AZ347">
        <v>3476159</v>
      </c>
      <c r="BA347">
        <v>49642.35</v>
      </c>
      <c r="BB347">
        <v>82.373599999999996</v>
      </c>
      <c r="BC347" t="s">
        <v>130</v>
      </c>
      <c r="BD347" t="s">
        <v>112</v>
      </c>
      <c r="BE347" t="s">
        <v>157</v>
      </c>
      <c r="BF347" t="s">
        <v>133</v>
      </c>
      <c r="BG347" t="s">
        <v>134</v>
      </c>
      <c r="BH347" t="s">
        <v>112</v>
      </c>
      <c r="BI347" t="s">
        <v>112</v>
      </c>
      <c r="BJ347" t="s">
        <v>112</v>
      </c>
      <c r="BK347" t="s">
        <v>169</v>
      </c>
      <c r="BL347" t="s">
        <v>159</v>
      </c>
      <c r="BM347" t="s">
        <v>212</v>
      </c>
      <c r="BN347" t="s">
        <v>161</v>
      </c>
      <c r="BO347">
        <v>1</v>
      </c>
      <c r="BP347" t="s">
        <v>232</v>
      </c>
      <c r="BR347" t="s">
        <v>150</v>
      </c>
      <c r="BS347">
        <v>33</v>
      </c>
      <c r="BT347">
        <v>0</v>
      </c>
      <c r="BU347">
        <v>0</v>
      </c>
      <c r="BW347">
        <v>0</v>
      </c>
      <c r="BY347" t="s">
        <v>106</v>
      </c>
      <c r="BZ347" t="s">
        <v>142</v>
      </c>
      <c r="CA347" t="s">
        <v>112</v>
      </c>
      <c r="CB347" t="s">
        <v>112</v>
      </c>
      <c r="CC347" t="s">
        <v>121</v>
      </c>
      <c r="CD347">
        <v>17202.48</v>
      </c>
      <c r="CE347" t="s">
        <v>144</v>
      </c>
      <c r="CF347">
        <v>4000000</v>
      </c>
      <c r="CG347">
        <v>17202.48</v>
      </c>
      <c r="CH347">
        <v>0</v>
      </c>
      <c r="CI347" t="s">
        <v>112</v>
      </c>
      <c r="CJ347" t="s">
        <v>112</v>
      </c>
      <c r="CK347">
        <v>42199.92</v>
      </c>
      <c r="CL347">
        <v>3476159</v>
      </c>
      <c r="CM347">
        <v>0</v>
      </c>
      <c r="CN347">
        <v>1</v>
      </c>
      <c r="CO347">
        <v>3834484.49</v>
      </c>
      <c r="CP347">
        <v>49642.35</v>
      </c>
      <c r="CQ347" t="s">
        <v>145</v>
      </c>
      <c r="CR347">
        <v>49642.916784000001</v>
      </c>
      <c r="CS347">
        <v>2.8858000000000001</v>
      </c>
      <c r="CT347">
        <v>45</v>
      </c>
      <c r="CU347" t="s">
        <v>171</v>
      </c>
      <c r="CV347" t="s">
        <v>350</v>
      </c>
      <c r="CW347">
        <v>275</v>
      </c>
    </row>
    <row r="348" spans="1:101" x14ac:dyDescent="0.2">
      <c r="A348" t="s">
        <v>106</v>
      </c>
      <c r="B348" s="46">
        <v>44962</v>
      </c>
      <c r="C348" t="s">
        <v>976</v>
      </c>
      <c r="D348" t="s">
        <v>108</v>
      </c>
      <c r="E348" t="s">
        <v>977</v>
      </c>
      <c r="F348" t="s">
        <v>110</v>
      </c>
      <c r="G348" t="s">
        <v>111</v>
      </c>
      <c r="H348" t="s">
        <v>112</v>
      </c>
      <c r="I348" t="s">
        <v>112</v>
      </c>
      <c r="J348" t="s">
        <v>112</v>
      </c>
      <c r="K348" t="s">
        <v>150</v>
      </c>
      <c r="L348" t="s">
        <v>151</v>
      </c>
      <c r="M348" t="s">
        <v>112</v>
      </c>
      <c r="N348" t="s">
        <v>112</v>
      </c>
      <c r="O348">
        <v>1</v>
      </c>
      <c r="P348">
        <v>0</v>
      </c>
      <c r="Q348">
        <v>1</v>
      </c>
      <c r="R348">
        <v>33</v>
      </c>
      <c r="S348" t="s">
        <v>166</v>
      </c>
      <c r="T348" t="s">
        <v>152</v>
      </c>
      <c r="U348" t="s">
        <v>153</v>
      </c>
      <c r="V348" t="s">
        <v>154</v>
      </c>
      <c r="W348" t="s">
        <v>119</v>
      </c>
      <c r="X348" t="s">
        <v>112</v>
      </c>
      <c r="Y348" t="s">
        <v>166</v>
      </c>
      <c r="Z348" t="s">
        <v>152</v>
      </c>
      <c r="AA348" t="s">
        <v>153</v>
      </c>
      <c r="AB348" t="s">
        <v>154</v>
      </c>
      <c r="AC348" t="s">
        <v>119</v>
      </c>
      <c r="AD348" t="s">
        <v>112</v>
      </c>
      <c r="AE348" t="s">
        <v>121</v>
      </c>
      <c r="AF348" t="s">
        <v>122</v>
      </c>
      <c r="AG348">
        <v>3411669.86</v>
      </c>
      <c r="AH348" t="s">
        <v>166</v>
      </c>
      <c r="AI348" t="s">
        <v>152</v>
      </c>
      <c r="AJ348" t="s">
        <v>153</v>
      </c>
      <c r="AK348" t="s">
        <v>154</v>
      </c>
      <c r="AL348" t="s">
        <v>119</v>
      </c>
      <c r="AM348" t="s">
        <v>112</v>
      </c>
      <c r="AN348" t="s">
        <v>121</v>
      </c>
      <c r="AO348" t="s">
        <v>122</v>
      </c>
      <c r="AP348" t="s">
        <v>122</v>
      </c>
      <c r="AQ348" t="s">
        <v>124</v>
      </c>
      <c r="AR348" t="s">
        <v>125</v>
      </c>
      <c r="AS348">
        <v>2</v>
      </c>
      <c r="AT348" t="s">
        <v>126</v>
      </c>
      <c r="AU348" t="s">
        <v>155</v>
      </c>
      <c r="AV348" t="s">
        <v>156</v>
      </c>
      <c r="AW348">
        <v>1</v>
      </c>
      <c r="AX348" t="s">
        <v>129</v>
      </c>
      <c r="AY348">
        <v>36367.03</v>
      </c>
      <c r="AZ348">
        <v>2995683</v>
      </c>
      <c r="BA348">
        <v>44168.47</v>
      </c>
      <c r="BB348">
        <v>82.373599999999996</v>
      </c>
      <c r="BC348" t="s">
        <v>130</v>
      </c>
      <c r="BD348" t="s">
        <v>112</v>
      </c>
      <c r="BE348" t="s">
        <v>157</v>
      </c>
      <c r="BF348" t="s">
        <v>133</v>
      </c>
      <c r="BG348" t="s">
        <v>134</v>
      </c>
      <c r="BH348" t="s">
        <v>112</v>
      </c>
      <c r="BI348" t="s">
        <v>112</v>
      </c>
      <c r="BJ348" t="s">
        <v>112</v>
      </c>
      <c r="BK348" t="s">
        <v>169</v>
      </c>
      <c r="BL348" t="s">
        <v>159</v>
      </c>
      <c r="BM348" t="s">
        <v>212</v>
      </c>
      <c r="BN348" t="s">
        <v>161</v>
      </c>
      <c r="BO348">
        <v>1</v>
      </c>
      <c r="BP348" t="s">
        <v>466</v>
      </c>
      <c r="BR348" t="s">
        <v>150</v>
      </c>
      <c r="BS348">
        <v>33</v>
      </c>
      <c r="BT348">
        <v>0</v>
      </c>
      <c r="BU348">
        <v>0</v>
      </c>
      <c r="BW348">
        <v>0</v>
      </c>
      <c r="BY348" t="s">
        <v>106</v>
      </c>
      <c r="BZ348" t="s">
        <v>142</v>
      </c>
      <c r="CA348" t="s">
        <v>112</v>
      </c>
      <c r="CB348" t="s">
        <v>112</v>
      </c>
      <c r="CC348" t="s">
        <v>121</v>
      </c>
      <c r="CD348">
        <v>16373.38</v>
      </c>
      <c r="CE348" t="s">
        <v>144</v>
      </c>
      <c r="CF348">
        <v>4000000</v>
      </c>
      <c r="CG348">
        <v>16308.58</v>
      </c>
      <c r="CH348">
        <v>0</v>
      </c>
      <c r="CI348" t="s">
        <v>112</v>
      </c>
      <c r="CJ348" t="s">
        <v>112</v>
      </c>
      <c r="CK348">
        <v>36367.03</v>
      </c>
      <c r="CL348">
        <v>2995683</v>
      </c>
      <c r="CM348">
        <v>0</v>
      </c>
      <c r="CN348">
        <v>1</v>
      </c>
      <c r="CO348">
        <v>3411669.86</v>
      </c>
      <c r="CP348">
        <v>44168.47</v>
      </c>
      <c r="CQ348" t="s">
        <v>145</v>
      </c>
      <c r="CR348">
        <v>44168.527214000002</v>
      </c>
      <c r="CS348">
        <v>2.7082999999999999</v>
      </c>
      <c r="CT348">
        <v>45</v>
      </c>
      <c r="CU348" t="s">
        <v>171</v>
      </c>
      <c r="CV348" t="s">
        <v>369</v>
      </c>
      <c r="CW348">
        <v>177</v>
      </c>
    </row>
    <row r="349" spans="1:101" x14ac:dyDescent="0.2">
      <c r="A349" t="s">
        <v>106</v>
      </c>
      <c r="B349" s="46">
        <v>45195</v>
      </c>
      <c r="C349" t="s">
        <v>637</v>
      </c>
      <c r="D349" t="s">
        <v>108</v>
      </c>
      <c r="E349" t="s">
        <v>638</v>
      </c>
      <c r="F349" t="s">
        <v>110</v>
      </c>
      <c r="G349" t="s">
        <v>111</v>
      </c>
      <c r="H349" t="s">
        <v>112</v>
      </c>
      <c r="I349" t="s">
        <v>112</v>
      </c>
      <c r="J349" t="s">
        <v>112</v>
      </c>
      <c r="K349" t="s">
        <v>150</v>
      </c>
      <c r="L349" t="s">
        <v>151</v>
      </c>
      <c r="M349" t="s">
        <v>112</v>
      </c>
      <c r="N349" t="s">
        <v>112</v>
      </c>
      <c r="O349">
        <v>1</v>
      </c>
      <c r="P349">
        <v>0</v>
      </c>
      <c r="Q349">
        <v>1</v>
      </c>
      <c r="R349">
        <v>33</v>
      </c>
      <c r="S349" t="s">
        <v>166</v>
      </c>
      <c r="T349" t="s">
        <v>152</v>
      </c>
      <c r="U349" t="s">
        <v>153</v>
      </c>
      <c r="V349" t="s">
        <v>154</v>
      </c>
      <c r="W349" t="s">
        <v>119</v>
      </c>
      <c r="X349" t="s">
        <v>112</v>
      </c>
      <c r="Y349" t="s">
        <v>166</v>
      </c>
      <c r="Z349" t="s">
        <v>152</v>
      </c>
      <c r="AA349" t="s">
        <v>153</v>
      </c>
      <c r="AB349" t="s">
        <v>154</v>
      </c>
      <c r="AC349" t="s">
        <v>119</v>
      </c>
      <c r="AD349" t="s">
        <v>112</v>
      </c>
      <c r="AE349" t="s">
        <v>121</v>
      </c>
      <c r="AF349" t="s">
        <v>122</v>
      </c>
      <c r="AG349">
        <v>3732741.59</v>
      </c>
      <c r="AH349" t="s">
        <v>166</v>
      </c>
      <c r="AI349" t="s">
        <v>152</v>
      </c>
      <c r="AJ349" t="s">
        <v>153</v>
      </c>
      <c r="AK349" t="s">
        <v>154</v>
      </c>
      <c r="AL349" t="s">
        <v>119</v>
      </c>
      <c r="AM349" t="s">
        <v>112</v>
      </c>
      <c r="AN349" t="s">
        <v>121</v>
      </c>
      <c r="AO349" t="s">
        <v>122</v>
      </c>
      <c r="AP349" t="s">
        <v>122</v>
      </c>
      <c r="AQ349" t="s">
        <v>124</v>
      </c>
      <c r="AR349" t="s">
        <v>125</v>
      </c>
      <c r="AS349">
        <v>2</v>
      </c>
      <c r="AT349" t="s">
        <v>126</v>
      </c>
      <c r="AU349" t="s">
        <v>155</v>
      </c>
      <c r="AV349" t="s">
        <v>156</v>
      </c>
      <c r="AW349">
        <v>1</v>
      </c>
      <c r="AX349" t="s">
        <v>129</v>
      </c>
      <c r="AY349">
        <v>42820.480000000003</v>
      </c>
      <c r="AZ349">
        <v>3388513</v>
      </c>
      <c r="BA349">
        <v>50413.02</v>
      </c>
      <c r="BB349">
        <v>79.132999999999996</v>
      </c>
      <c r="BC349" t="s">
        <v>130</v>
      </c>
      <c r="BD349" t="s">
        <v>112</v>
      </c>
      <c r="BE349" t="s">
        <v>157</v>
      </c>
      <c r="BF349" t="s">
        <v>133</v>
      </c>
      <c r="BG349" t="s">
        <v>134</v>
      </c>
      <c r="BH349" t="s">
        <v>112</v>
      </c>
      <c r="BI349" t="s">
        <v>112</v>
      </c>
      <c r="BJ349" t="s">
        <v>112</v>
      </c>
      <c r="BK349" t="s">
        <v>169</v>
      </c>
      <c r="BL349" t="s">
        <v>159</v>
      </c>
      <c r="BM349" t="s">
        <v>212</v>
      </c>
      <c r="BN349" t="s">
        <v>161</v>
      </c>
      <c r="BO349">
        <v>1</v>
      </c>
      <c r="BP349" t="s">
        <v>205</v>
      </c>
      <c r="BR349" t="s">
        <v>150</v>
      </c>
      <c r="BS349">
        <v>33</v>
      </c>
      <c r="BT349">
        <v>0</v>
      </c>
      <c r="BU349">
        <v>0</v>
      </c>
      <c r="BW349">
        <v>0</v>
      </c>
      <c r="BY349" t="s">
        <v>106</v>
      </c>
      <c r="BZ349" t="s">
        <v>142</v>
      </c>
      <c r="CA349" t="s">
        <v>112</v>
      </c>
      <c r="CB349" t="s">
        <v>112</v>
      </c>
      <c r="CC349" t="s">
        <v>121</v>
      </c>
      <c r="CD349">
        <v>16500.169999999998</v>
      </c>
      <c r="CE349" t="s">
        <v>144</v>
      </c>
      <c r="CF349">
        <v>4000000</v>
      </c>
      <c r="CG349">
        <v>16374.19</v>
      </c>
      <c r="CH349">
        <v>0</v>
      </c>
      <c r="CI349" t="s">
        <v>112</v>
      </c>
      <c r="CJ349" t="s">
        <v>112</v>
      </c>
      <c r="CK349">
        <v>42820.480000000003</v>
      </c>
      <c r="CL349">
        <v>3388513</v>
      </c>
      <c r="CM349">
        <v>0</v>
      </c>
      <c r="CN349">
        <v>1</v>
      </c>
      <c r="CO349">
        <v>3732741.59</v>
      </c>
      <c r="CP349">
        <v>50413.02</v>
      </c>
      <c r="CQ349" t="s">
        <v>145</v>
      </c>
      <c r="CR349">
        <v>50412.856172000007</v>
      </c>
      <c r="CS349">
        <v>3.0788000000000002</v>
      </c>
      <c r="CT349">
        <v>45</v>
      </c>
      <c r="CU349" t="s">
        <v>171</v>
      </c>
      <c r="CV349" t="s">
        <v>463</v>
      </c>
      <c r="CW349">
        <v>570</v>
      </c>
    </row>
    <row r="350" spans="1:101" x14ac:dyDescent="0.2">
      <c r="A350" t="s">
        <v>106</v>
      </c>
      <c r="B350" s="46">
        <v>44932</v>
      </c>
      <c r="C350" t="s">
        <v>642</v>
      </c>
      <c r="D350" t="s">
        <v>108</v>
      </c>
      <c r="E350" t="s">
        <v>643</v>
      </c>
      <c r="F350" t="s">
        <v>110</v>
      </c>
      <c r="G350" t="s">
        <v>111</v>
      </c>
      <c r="H350" t="s">
        <v>112</v>
      </c>
      <c r="I350" t="s">
        <v>112</v>
      </c>
      <c r="J350" t="s">
        <v>112</v>
      </c>
      <c r="K350" t="s">
        <v>150</v>
      </c>
      <c r="L350" t="s">
        <v>151</v>
      </c>
      <c r="M350" t="s">
        <v>112</v>
      </c>
      <c r="N350" t="s">
        <v>112</v>
      </c>
      <c r="O350">
        <v>1</v>
      </c>
      <c r="P350">
        <v>0</v>
      </c>
      <c r="Q350">
        <v>1</v>
      </c>
      <c r="R350">
        <v>33</v>
      </c>
      <c r="S350" t="s">
        <v>166</v>
      </c>
      <c r="T350" t="s">
        <v>152</v>
      </c>
      <c r="U350" t="s">
        <v>153</v>
      </c>
      <c r="V350" t="s">
        <v>154</v>
      </c>
      <c r="W350" t="s">
        <v>119</v>
      </c>
      <c r="X350" t="s">
        <v>112</v>
      </c>
      <c r="Y350" t="s">
        <v>166</v>
      </c>
      <c r="Z350" t="s">
        <v>152</v>
      </c>
      <c r="AA350" t="s">
        <v>153</v>
      </c>
      <c r="AB350" t="s">
        <v>154</v>
      </c>
      <c r="AC350" t="s">
        <v>119</v>
      </c>
      <c r="AD350" t="s">
        <v>112</v>
      </c>
      <c r="AE350" t="s">
        <v>121</v>
      </c>
      <c r="AF350" t="s">
        <v>122</v>
      </c>
      <c r="AG350">
        <v>3610211.27</v>
      </c>
      <c r="AH350" t="s">
        <v>166</v>
      </c>
      <c r="AI350" t="s">
        <v>152</v>
      </c>
      <c r="AJ350" t="s">
        <v>153</v>
      </c>
      <c r="AK350" t="s">
        <v>154</v>
      </c>
      <c r="AL350" t="s">
        <v>119</v>
      </c>
      <c r="AM350" t="s">
        <v>112</v>
      </c>
      <c r="AN350" t="s">
        <v>121</v>
      </c>
      <c r="AO350" t="s">
        <v>122</v>
      </c>
      <c r="AP350" t="s">
        <v>122</v>
      </c>
      <c r="AQ350" t="s">
        <v>124</v>
      </c>
      <c r="AR350" t="s">
        <v>125</v>
      </c>
      <c r="AS350">
        <v>2</v>
      </c>
      <c r="AT350" t="s">
        <v>126</v>
      </c>
      <c r="AU350" t="s">
        <v>155</v>
      </c>
      <c r="AV350" t="s">
        <v>156</v>
      </c>
      <c r="AW350">
        <v>1</v>
      </c>
      <c r="AX350" t="s">
        <v>129</v>
      </c>
      <c r="AY350">
        <v>40772.07</v>
      </c>
      <c r="AZ350">
        <v>3226416</v>
      </c>
      <c r="BA350">
        <v>48758.17</v>
      </c>
      <c r="BB350">
        <v>79.132999999999996</v>
      </c>
      <c r="BC350" t="s">
        <v>130</v>
      </c>
      <c r="BD350" t="s">
        <v>112</v>
      </c>
      <c r="BE350" t="s">
        <v>157</v>
      </c>
      <c r="BF350" t="s">
        <v>133</v>
      </c>
      <c r="BG350" t="s">
        <v>134</v>
      </c>
      <c r="BH350" t="s">
        <v>112</v>
      </c>
      <c r="BI350" t="s">
        <v>112</v>
      </c>
      <c r="BJ350" t="s">
        <v>112</v>
      </c>
      <c r="BK350" t="s">
        <v>169</v>
      </c>
      <c r="BL350" t="s">
        <v>159</v>
      </c>
      <c r="BM350" t="s">
        <v>212</v>
      </c>
      <c r="BN350" t="s">
        <v>161</v>
      </c>
      <c r="BO350">
        <v>1</v>
      </c>
      <c r="BP350" t="s">
        <v>232</v>
      </c>
      <c r="BR350" t="s">
        <v>150</v>
      </c>
      <c r="BS350">
        <v>33</v>
      </c>
      <c r="BT350">
        <v>0</v>
      </c>
      <c r="BU350">
        <v>0</v>
      </c>
      <c r="BW350">
        <v>0</v>
      </c>
      <c r="BY350" t="s">
        <v>106</v>
      </c>
      <c r="BZ350" t="s">
        <v>142</v>
      </c>
      <c r="CA350" t="s">
        <v>112</v>
      </c>
      <c r="CB350" t="s">
        <v>112</v>
      </c>
      <c r="CC350" t="s">
        <v>121</v>
      </c>
      <c r="CD350">
        <v>16388.310000000001</v>
      </c>
      <c r="CE350" t="s">
        <v>144</v>
      </c>
      <c r="CF350">
        <v>4000000</v>
      </c>
      <c r="CG350">
        <v>16264.11</v>
      </c>
      <c r="CH350">
        <v>0</v>
      </c>
      <c r="CI350" t="s">
        <v>112</v>
      </c>
      <c r="CJ350" t="s">
        <v>112</v>
      </c>
      <c r="CK350">
        <v>40772.07</v>
      </c>
      <c r="CL350">
        <v>3226416</v>
      </c>
      <c r="CM350">
        <v>0</v>
      </c>
      <c r="CN350">
        <v>1</v>
      </c>
      <c r="CO350">
        <v>3610211.27</v>
      </c>
      <c r="CP350">
        <v>48758.17</v>
      </c>
      <c r="CQ350" t="s">
        <v>145</v>
      </c>
      <c r="CR350">
        <v>48758.175369000004</v>
      </c>
      <c r="CS350">
        <v>2.9979</v>
      </c>
      <c r="CT350">
        <v>45</v>
      </c>
      <c r="CU350" t="s">
        <v>171</v>
      </c>
      <c r="CV350" t="s">
        <v>372</v>
      </c>
      <c r="CW350">
        <v>189</v>
      </c>
    </row>
    <row r="351" spans="1:101" x14ac:dyDescent="0.2">
      <c r="A351" t="s">
        <v>106</v>
      </c>
      <c r="B351" s="46">
        <v>45265</v>
      </c>
      <c r="C351" t="s">
        <v>639</v>
      </c>
      <c r="D351" t="s">
        <v>108</v>
      </c>
      <c r="E351" t="s">
        <v>640</v>
      </c>
      <c r="F351" t="s">
        <v>110</v>
      </c>
      <c r="G351" t="s">
        <v>111</v>
      </c>
      <c r="H351" t="s">
        <v>112</v>
      </c>
      <c r="I351" t="s">
        <v>112</v>
      </c>
      <c r="J351" t="s">
        <v>112</v>
      </c>
      <c r="K351" t="s">
        <v>150</v>
      </c>
      <c r="L351" t="s">
        <v>151</v>
      </c>
      <c r="M351" t="s">
        <v>112</v>
      </c>
      <c r="N351" t="s">
        <v>112</v>
      </c>
      <c r="O351">
        <v>1</v>
      </c>
      <c r="P351">
        <v>0</v>
      </c>
      <c r="Q351">
        <v>1</v>
      </c>
      <c r="R351">
        <v>33</v>
      </c>
      <c r="S351" t="s">
        <v>166</v>
      </c>
      <c r="T351" t="s">
        <v>152</v>
      </c>
      <c r="U351" t="s">
        <v>153</v>
      </c>
      <c r="V351" t="s">
        <v>154</v>
      </c>
      <c r="W351" t="s">
        <v>119</v>
      </c>
      <c r="X351" t="s">
        <v>112</v>
      </c>
      <c r="Y351" t="s">
        <v>166</v>
      </c>
      <c r="Z351" t="s">
        <v>152</v>
      </c>
      <c r="AA351" t="s">
        <v>153</v>
      </c>
      <c r="AB351" t="s">
        <v>154</v>
      </c>
      <c r="AC351" t="s">
        <v>119</v>
      </c>
      <c r="AD351" t="s">
        <v>112</v>
      </c>
      <c r="AE351" t="s">
        <v>121</v>
      </c>
      <c r="AF351" t="s">
        <v>122</v>
      </c>
      <c r="AG351">
        <v>3795638.08</v>
      </c>
      <c r="AH351" t="s">
        <v>166</v>
      </c>
      <c r="AI351" t="s">
        <v>152</v>
      </c>
      <c r="AJ351" t="s">
        <v>153</v>
      </c>
      <c r="AK351" t="s">
        <v>154</v>
      </c>
      <c r="AL351" t="s">
        <v>119</v>
      </c>
      <c r="AM351" t="s">
        <v>112</v>
      </c>
      <c r="AN351" t="s">
        <v>121</v>
      </c>
      <c r="AO351" t="s">
        <v>122</v>
      </c>
      <c r="AP351" t="s">
        <v>122</v>
      </c>
      <c r="AQ351" t="s">
        <v>124</v>
      </c>
      <c r="AR351" t="s">
        <v>125</v>
      </c>
      <c r="AS351">
        <v>2</v>
      </c>
      <c r="AT351" t="s">
        <v>126</v>
      </c>
      <c r="AU351" t="s">
        <v>155</v>
      </c>
      <c r="AV351" t="s">
        <v>156</v>
      </c>
      <c r="AW351">
        <v>1</v>
      </c>
      <c r="AX351" t="s">
        <v>129</v>
      </c>
      <c r="AY351">
        <v>42915.3</v>
      </c>
      <c r="AZ351">
        <v>3396016</v>
      </c>
      <c r="BA351">
        <v>51262.48</v>
      </c>
      <c r="BB351">
        <v>79.132999999999996</v>
      </c>
      <c r="BC351" t="s">
        <v>130</v>
      </c>
      <c r="BD351" t="s">
        <v>112</v>
      </c>
      <c r="BE351" t="s">
        <v>157</v>
      </c>
      <c r="BF351" t="s">
        <v>133</v>
      </c>
      <c r="BG351" t="s">
        <v>134</v>
      </c>
      <c r="BH351" t="s">
        <v>112</v>
      </c>
      <c r="BI351" t="s">
        <v>112</v>
      </c>
      <c r="BJ351" t="s">
        <v>112</v>
      </c>
      <c r="BK351" t="s">
        <v>169</v>
      </c>
      <c r="BL351" t="s">
        <v>159</v>
      </c>
      <c r="BM351" t="s">
        <v>212</v>
      </c>
      <c r="BN351" t="s">
        <v>161</v>
      </c>
      <c r="BO351">
        <v>1</v>
      </c>
      <c r="BP351" t="s">
        <v>641</v>
      </c>
      <c r="BR351" t="s">
        <v>150</v>
      </c>
      <c r="BS351">
        <v>33</v>
      </c>
      <c r="BT351">
        <v>0</v>
      </c>
      <c r="BU351">
        <v>0</v>
      </c>
      <c r="BW351">
        <v>0</v>
      </c>
      <c r="BY351" t="s">
        <v>106</v>
      </c>
      <c r="BZ351" t="s">
        <v>142</v>
      </c>
      <c r="CA351" t="s">
        <v>112</v>
      </c>
      <c r="CB351" t="s">
        <v>112</v>
      </c>
      <c r="CC351" t="s">
        <v>121</v>
      </c>
      <c r="CD351">
        <v>16946.009999999998</v>
      </c>
      <c r="CE351" t="s">
        <v>144</v>
      </c>
      <c r="CF351">
        <v>4000000</v>
      </c>
      <c r="CG351">
        <v>16841.61</v>
      </c>
      <c r="CH351">
        <v>0</v>
      </c>
      <c r="CI351" t="s">
        <v>112</v>
      </c>
      <c r="CJ351" t="s">
        <v>112</v>
      </c>
      <c r="CK351">
        <v>42915.3</v>
      </c>
      <c r="CL351">
        <v>3396016</v>
      </c>
      <c r="CM351">
        <v>0</v>
      </c>
      <c r="CN351">
        <v>1</v>
      </c>
      <c r="CO351">
        <v>3795638.08</v>
      </c>
      <c r="CP351">
        <v>51262.48</v>
      </c>
      <c r="CQ351" t="s">
        <v>145</v>
      </c>
      <c r="CR351">
        <v>51262.492518000006</v>
      </c>
      <c r="CS351">
        <v>3.0438000000000001</v>
      </c>
      <c r="CT351">
        <v>45</v>
      </c>
      <c r="CU351" t="s">
        <v>171</v>
      </c>
      <c r="CV351" t="s">
        <v>350</v>
      </c>
      <c r="CW351">
        <v>80</v>
      </c>
    </row>
    <row r="352" spans="1:101" x14ac:dyDescent="0.2">
      <c r="A352" t="s">
        <v>106</v>
      </c>
      <c r="B352" s="46">
        <v>45140</v>
      </c>
      <c r="C352" t="s">
        <v>359</v>
      </c>
      <c r="D352" t="s">
        <v>108</v>
      </c>
      <c r="E352" t="s">
        <v>360</v>
      </c>
      <c r="F352" t="s">
        <v>110</v>
      </c>
      <c r="G352" t="s">
        <v>111</v>
      </c>
      <c r="H352" t="s">
        <v>112</v>
      </c>
      <c r="I352" t="s">
        <v>112</v>
      </c>
      <c r="J352" t="s">
        <v>112</v>
      </c>
      <c r="K352" t="s">
        <v>175</v>
      </c>
      <c r="L352" t="s">
        <v>176</v>
      </c>
      <c r="M352" t="s">
        <v>112</v>
      </c>
      <c r="N352" t="s">
        <v>112</v>
      </c>
      <c r="O352">
        <v>1</v>
      </c>
      <c r="P352">
        <v>0</v>
      </c>
      <c r="Q352">
        <v>1</v>
      </c>
      <c r="R352">
        <v>33</v>
      </c>
      <c r="S352" t="s">
        <v>166</v>
      </c>
      <c r="T352" t="s">
        <v>152</v>
      </c>
      <c r="U352" t="s">
        <v>153</v>
      </c>
      <c r="V352" t="s">
        <v>177</v>
      </c>
      <c r="W352" t="s">
        <v>119</v>
      </c>
      <c r="X352" t="s">
        <v>112</v>
      </c>
      <c r="Y352" t="s">
        <v>166</v>
      </c>
      <c r="Z352" t="s">
        <v>152</v>
      </c>
      <c r="AA352" t="s">
        <v>153</v>
      </c>
      <c r="AB352" t="s">
        <v>177</v>
      </c>
      <c r="AC352" t="s">
        <v>119</v>
      </c>
      <c r="AD352" t="s">
        <v>112</v>
      </c>
      <c r="AE352" t="s">
        <v>121</v>
      </c>
      <c r="AF352" t="s">
        <v>122</v>
      </c>
      <c r="AG352">
        <v>3447219.73</v>
      </c>
      <c r="AH352" t="s">
        <v>166</v>
      </c>
      <c r="AI352" t="s">
        <v>152</v>
      </c>
      <c r="AJ352" t="s">
        <v>153</v>
      </c>
      <c r="AK352" t="s">
        <v>177</v>
      </c>
      <c r="AL352" t="s">
        <v>119</v>
      </c>
      <c r="AM352" t="s">
        <v>112</v>
      </c>
      <c r="AN352" t="s">
        <v>121</v>
      </c>
      <c r="AO352" t="s">
        <v>122</v>
      </c>
      <c r="AP352" t="s">
        <v>122</v>
      </c>
      <c r="AQ352" t="s">
        <v>124</v>
      </c>
      <c r="AR352" t="s">
        <v>125</v>
      </c>
      <c r="AS352">
        <v>2</v>
      </c>
      <c r="AT352" t="s">
        <v>106</v>
      </c>
      <c r="AU352" t="s">
        <v>155</v>
      </c>
      <c r="AV352" t="s">
        <v>156</v>
      </c>
      <c r="AW352">
        <v>1</v>
      </c>
      <c r="AX352" t="s">
        <v>129</v>
      </c>
      <c r="AY352">
        <v>43039.88</v>
      </c>
      <c r="AZ352">
        <v>3199731</v>
      </c>
      <c r="BA352">
        <v>50203.01</v>
      </c>
      <c r="BB352">
        <v>74.343400000000003</v>
      </c>
      <c r="BC352" t="s">
        <v>130</v>
      </c>
      <c r="BD352" t="s">
        <v>112</v>
      </c>
      <c r="BE352" t="s">
        <v>157</v>
      </c>
      <c r="BF352" t="s">
        <v>133</v>
      </c>
      <c r="BG352" t="s">
        <v>134</v>
      </c>
      <c r="BH352" t="s">
        <v>112</v>
      </c>
      <c r="BI352" t="s">
        <v>178</v>
      </c>
      <c r="BJ352" t="s">
        <v>112</v>
      </c>
      <c r="BK352" t="s">
        <v>125</v>
      </c>
      <c r="BL352" t="s">
        <v>179</v>
      </c>
      <c r="BM352" t="s">
        <v>180</v>
      </c>
      <c r="BN352" t="s">
        <v>181</v>
      </c>
      <c r="BO352">
        <v>1</v>
      </c>
      <c r="BP352" t="s">
        <v>258</v>
      </c>
      <c r="BR352" t="s">
        <v>150</v>
      </c>
      <c r="BS352">
        <v>33</v>
      </c>
      <c r="BT352">
        <v>1</v>
      </c>
      <c r="BU352">
        <v>0</v>
      </c>
      <c r="BW352">
        <v>0</v>
      </c>
      <c r="BY352" t="s">
        <v>106</v>
      </c>
      <c r="BZ352" t="s">
        <v>142</v>
      </c>
      <c r="CA352" t="s">
        <v>112</v>
      </c>
      <c r="CB352" t="s">
        <v>112</v>
      </c>
      <c r="CC352" t="s">
        <v>121</v>
      </c>
      <c r="CD352">
        <v>16147.22</v>
      </c>
      <c r="CE352" t="s">
        <v>144</v>
      </c>
      <c r="CF352">
        <v>4000000</v>
      </c>
      <c r="CG352">
        <v>16041.62</v>
      </c>
      <c r="CH352">
        <v>0</v>
      </c>
      <c r="CI352" t="s">
        <v>112</v>
      </c>
      <c r="CJ352" t="s">
        <v>112</v>
      </c>
      <c r="CK352">
        <v>43039.88</v>
      </c>
      <c r="CL352">
        <v>3199731</v>
      </c>
      <c r="CM352">
        <v>0</v>
      </c>
      <c r="CN352">
        <v>1</v>
      </c>
      <c r="CO352">
        <v>3447219.73</v>
      </c>
      <c r="CP352">
        <v>50203.01</v>
      </c>
      <c r="CQ352" t="s">
        <v>145</v>
      </c>
      <c r="CR352">
        <v>50202.249790000002</v>
      </c>
      <c r="CS352">
        <v>3.1295000000000002</v>
      </c>
      <c r="CT352">
        <v>941</v>
      </c>
      <c r="CU352" t="s">
        <v>183</v>
      </c>
      <c r="CV352" t="s">
        <v>147</v>
      </c>
      <c r="CW352">
        <v>553</v>
      </c>
    </row>
    <row r="353" spans="1:101" x14ac:dyDescent="0.2">
      <c r="A353" t="s">
        <v>106</v>
      </c>
      <c r="B353" s="46">
        <v>44613</v>
      </c>
      <c r="C353" t="s">
        <v>290</v>
      </c>
      <c r="D353" t="s">
        <v>108</v>
      </c>
      <c r="E353" t="s">
        <v>291</v>
      </c>
      <c r="F353" t="s">
        <v>110</v>
      </c>
      <c r="G353" t="s">
        <v>111</v>
      </c>
      <c r="H353" t="s">
        <v>112</v>
      </c>
      <c r="I353" t="s">
        <v>112</v>
      </c>
      <c r="J353" t="s">
        <v>112</v>
      </c>
      <c r="K353" t="s">
        <v>175</v>
      </c>
      <c r="L353" t="s">
        <v>176</v>
      </c>
      <c r="M353" t="s">
        <v>112</v>
      </c>
      <c r="N353" t="s">
        <v>112</v>
      </c>
      <c r="O353">
        <v>1</v>
      </c>
      <c r="P353">
        <v>0</v>
      </c>
      <c r="Q353">
        <v>1</v>
      </c>
      <c r="R353">
        <v>33</v>
      </c>
      <c r="S353" t="s">
        <v>166</v>
      </c>
      <c r="T353" t="s">
        <v>152</v>
      </c>
      <c r="U353" t="s">
        <v>153</v>
      </c>
      <c r="V353" t="s">
        <v>177</v>
      </c>
      <c r="W353" t="s">
        <v>119</v>
      </c>
      <c r="X353" t="s">
        <v>112</v>
      </c>
      <c r="Y353" t="s">
        <v>166</v>
      </c>
      <c r="Z353" t="s">
        <v>152</v>
      </c>
      <c r="AA353" t="s">
        <v>153</v>
      </c>
      <c r="AB353" t="s">
        <v>177</v>
      </c>
      <c r="AC353" t="s">
        <v>119</v>
      </c>
      <c r="AD353" t="s">
        <v>112</v>
      </c>
      <c r="AE353" t="s">
        <v>121</v>
      </c>
      <c r="AF353" t="s">
        <v>122</v>
      </c>
      <c r="AG353">
        <v>3068744.92</v>
      </c>
      <c r="AH353" t="s">
        <v>166</v>
      </c>
      <c r="AI353" t="s">
        <v>152</v>
      </c>
      <c r="AJ353" t="s">
        <v>153</v>
      </c>
      <c r="AK353" t="s">
        <v>177</v>
      </c>
      <c r="AL353" t="s">
        <v>119</v>
      </c>
      <c r="AM353" t="s">
        <v>112</v>
      </c>
      <c r="AN353" t="s">
        <v>121</v>
      </c>
      <c r="AO353" t="s">
        <v>122</v>
      </c>
      <c r="AP353" t="s">
        <v>122</v>
      </c>
      <c r="AQ353" t="s">
        <v>124</v>
      </c>
      <c r="AR353" t="s">
        <v>125</v>
      </c>
      <c r="AS353">
        <v>2</v>
      </c>
      <c r="AT353" t="s">
        <v>106</v>
      </c>
      <c r="AU353" t="s">
        <v>155</v>
      </c>
      <c r="AV353" t="s">
        <v>156</v>
      </c>
      <c r="AW353">
        <v>1</v>
      </c>
      <c r="AX353" t="s">
        <v>129</v>
      </c>
      <c r="AY353">
        <v>37948.980000000003</v>
      </c>
      <c r="AZ353">
        <v>2821256</v>
      </c>
      <c r="BA353">
        <v>44691.15</v>
      </c>
      <c r="BB353">
        <v>74.343400000000003</v>
      </c>
      <c r="BC353" t="s">
        <v>130</v>
      </c>
      <c r="BD353" t="s">
        <v>112</v>
      </c>
      <c r="BE353" t="s">
        <v>157</v>
      </c>
      <c r="BF353" t="s">
        <v>133</v>
      </c>
      <c r="BG353" t="s">
        <v>134</v>
      </c>
      <c r="BH353" t="s">
        <v>112</v>
      </c>
      <c r="BI353" t="s">
        <v>178</v>
      </c>
      <c r="BJ353" t="s">
        <v>112</v>
      </c>
      <c r="BK353" t="s">
        <v>125</v>
      </c>
      <c r="BL353" t="s">
        <v>179</v>
      </c>
      <c r="BM353" t="s">
        <v>180</v>
      </c>
      <c r="BN353" t="s">
        <v>181</v>
      </c>
      <c r="BO353">
        <v>1</v>
      </c>
      <c r="BP353" t="s">
        <v>274</v>
      </c>
      <c r="BR353" t="s">
        <v>150</v>
      </c>
      <c r="BS353">
        <v>33</v>
      </c>
      <c r="BT353">
        <v>1</v>
      </c>
      <c r="BU353">
        <v>0</v>
      </c>
      <c r="BW353">
        <v>0</v>
      </c>
      <c r="BY353" t="s">
        <v>106</v>
      </c>
      <c r="BZ353" t="s">
        <v>142</v>
      </c>
      <c r="CA353" t="s">
        <v>112</v>
      </c>
      <c r="CB353" t="s">
        <v>112</v>
      </c>
      <c r="CC353" t="s">
        <v>121</v>
      </c>
      <c r="CD353">
        <v>14665.91</v>
      </c>
      <c r="CE353" t="s">
        <v>144</v>
      </c>
      <c r="CF353">
        <v>4000000</v>
      </c>
      <c r="CG353">
        <v>14265.71</v>
      </c>
      <c r="CH353">
        <v>0</v>
      </c>
      <c r="CI353" t="s">
        <v>112</v>
      </c>
      <c r="CJ353" t="s">
        <v>112</v>
      </c>
      <c r="CK353">
        <v>37948.980000000003</v>
      </c>
      <c r="CL353">
        <v>2821256</v>
      </c>
      <c r="CM353">
        <v>0</v>
      </c>
      <c r="CN353">
        <v>1</v>
      </c>
      <c r="CO353">
        <v>3068744.92</v>
      </c>
      <c r="CP353">
        <v>44691.15</v>
      </c>
      <c r="CQ353" t="s">
        <v>145</v>
      </c>
      <c r="CR353">
        <v>44691.616287999997</v>
      </c>
      <c r="CS353">
        <v>3.1328</v>
      </c>
      <c r="CT353">
        <v>941</v>
      </c>
      <c r="CU353" t="s">
        <v>183</v>
      </c>
      <c r="CV353" t="s">
        <v>147</v>
      </c>
      <c r="CW353">
        <v>343</v>
      </c>
    </row>
    <row r="354" spans="1:101" x14ac:dyDescent="0.2">
      <c r="A354" t="s">
        <v>106</v>
      </c>
      <c r="B354" s="46">
        <v>45101</v>
      </c>
      <c r="C354" t="s">
        <v>353</v>
      </c>
      <c r="D354" t="s">
        <v>108</v>
      </c>
      <c r="E354" t="s">
        <v>354</v>
      </c>
      <c r="F354" t="s">
        <v>110</v>
      </c>
      <c r="G354" t="s">
        <v>111</v>
      </c>
      <c r="H354" t="s">
        <v>112</v>
      </c>
      <c r="I354" t="s">
        <v>112</v>
      </c>
      <c r="J354" t="s">
        <v>112</v>
      </c>
      <c r="K354" t="s">
        <v>175</v>
      </c>
      <c r="L354" t="s">
        <v>176</v>
      </c>
      <c r="M354" t="s">
        <v>112</v>
      </c>
      <c r="N354" t="s">
        <v>112</v>
      </c>
      <c r="O354">
        <v>1</v>
      </c>
      <c r="P354">
        <v>0</v>
      </c>
      <c r="Q354">
        <v>1</v>
      </c>
      <c r="R354">
        <v>33</v>
      </c>
      <c r="S354" t="s">
        <v>166</v>
      </c>
      <c r="T354" t="s">
        <v>152</v>
      </c>
      <c r="U354" t="s">
        <v>153</v>
      </c>
      <c r="V354" t="s">
        <v>177</v>
      </c>
      <c r="W354" t="s">
        <v>119</v>
      </c>
      <c r="X354" t="s">
        <v>112</v>
      </c>
      <c r="Y354" t="s">
        <v>166</v>
      </c>
      <c r="Z354" t="s">
        <v>152</v>
      </c>
      <c r="AA354" t="s">
        <v>153</v>
      </c>
      <c r="AB354" t="s">
        <v>177</v>
      </c>
      <c r="AC354" t="s">
        <v>119</v>
      </c>
      <c r="AD354" t="s">
        <v>112</v>
      </c>
      <c r="AE354" t="s">
        <v>121</v>
      </c>
      <c r="AF354" t="s">
        <v>122</v>
      </c>
      <c r="AG354">
        <v>3372543.28</v>
      </c>
      <c r="AH354" t="s">
        <v>166</v>
      </c>
      <c r="AI354" t="s">
        <v>152</v>
      </c>
      <c r="AJ354" t="s">
        <v>153</v>
      </c>
      <c r="AK354" t="s">
        <v>177</v>
      </c>
      <c r="AL354" t="s">
        <v>119</v>
      </c>
      <c r="AM354" t="s">
        <v>112</v>
      </c>
      <c r="AN354" t="s">
        <v>121</v>
      </c>
      <c r="AO354" t="s">
        <v>122</v>
      </c>
      <c r="AP354" t="s">
        <v>122</v>
      </c>
      <c r="AQ354" t="s">
        <v>124</v>
      </c>
      <c r="AR354" t="s">
        <v>125</v>
      </c>
      <c r="AS354">
        <v>2</v>
      </c>
      <c r="AT354" t="s">
        <v>106</v>
      </c>
      <c r="AU354" t="s">
        <v>155</v>
      </c>
      <c r="AV354" t="s">
        <v>156</v>
      </c>
      <c r="AW354">
        <v>1</v>
      </c>
      <c r="AX354" t="s">
        <v>129</v>
      </c>
      <c r="AY354">
        <v>42035.4</v>
      </c>
      <c r="AZ354">
        <v>3125055</v>
      </c>
      <c r="BA354">
        <v>49115.47</v>
      </c>
      <c r="BB354">
        <v>74.343400000000003</v>
      </c>
      <c r="BC354" t="s">
        <v>130</v>
      </c>
      <c r="BD354" t="s">
        <v>112</v>
      </c>
      <c r="BE354" t="s">
        <v>157</v>
      </c>
      <c r="BF354" t="s">
        <v>133</v>
      </c>
      <c r="BG354" t="s">
        <v>134</v>
      </c>
      <c r="BH354" t="s">
        <v>112</v>
      </c>
      <c r="BI354" t="s">
        <v>178</v>
      </c>
      <c r="BJ354" t="s">
        <v>112</v>
      </c>
      <c r="BK354" t="s">
        <v>125</v>
      </c>
      <c r="BL354" t="s">
        <v>179</v>
      </c>
      <c r="BM354" t="s">
        <v>180</v>
      </c>
      <c r="BN354" t="s">
        <v>181</v>
      </c>
      <c r="BO354">
        <v>1</v>
      </c>
      <c r="BP354" t="s">
        <v>199</v>
      </c>
      <c r="BR354" t="s">
        <v>150</v>
      </c>
      <c r="BS354">
        <v>33</v>
      </c>
      <c r="BT354">
        <v>1</v>
      </c>
      <c r="BU354">
        <v>0</v>
      </c>
      <c r="BW354">
        <v>0</v>
      </c>
      <c r="BY354" t="s">
        <v>106</v>
      </c>
      <c r="BZ354" t="s">
        <v>142</v>
      </c>
      <c r="CA354" t="s">
        <v>112</v>
      </c>
      <c r="CB354" t="s">
        <v>112</v>
      </c>
      <c r="CC354" t="s">
        <v>121</v>
      </c>
      <c r="CD354">
        <v>16705.259999999998</v>
      </c>
      <c r="CE354" t="s">
        <v>144</v>
      </c>
      <c r="CF354">
        <v>4000000</v>
      </c>
      <c r="CG354">
        <v>16705.259999999998</v>
      </c>
      <c r="CH354">
        <v>0</v>
      </c>
      <c r="CI354" t="s">
        <v>112</v>
      </c>
      <c r="CJ354" t="s">
        <v>112</v>
      </c>
      <c r="CK354">
        <v>42035.4</v>
      </c>
      <c r="CL354">
        <v>3125055</v>
      </c>
      <c r="CM354">
        <v>0</v>
      </c>
      <c r="CN354">
        <v>1</v>
      </c>
      <c r="CO354">
        <v>3372543.28</v>
      </c>
      <c r="CP354">
        <v>49115.47</v>
      </c>
      <c r="CQ354" t="s">
        <v>145</v>
      </c>
      <c r="CR354">
        <v>49115.134925999999</v>
      </c>
      <c r="CS354">
        <v>2.9401000000000002</v>
      </c>
      <c r="CT354">
        <v>941</v>
      </c>
      <c r="CU354" t="s">
        <v>183</v>
      </c>
      <c r="CV354" t="s">
        <v>147</v>
      </c>
      <c r="CW354">
        <v>302</v>
      </c>
    </row>
    <row r="355" spans="1:101" x14ac:dyDescent="0.2">
      <c r="A355" t="s">
        <v>106</v>
      </c>
      <c r="B355" s="46">
        <v>45282</v>
      </c>
      <c r="C355" t="s">
        <v>351</v>
      </c>
      <c r="D355" t="s">
        <v>108</v>
      </c>
      <c r="E355" t="s">
        <v>352</v>
      </c>
      <c r="F355" t="s">
        <v>110</v>
      </c>
      <c r="G355" t="s">
        <v>111</v>
      </c>
      <c r="H355" t="s">
        <v>112</v>
      </c>
      <c r="I355" t="s">
        <v>112</v>
      </c>
      <c r="J355" t="s">
        <v>112</v>
      </c>
      <c r="K355" t="s">
        <v>175</v>
      </c>
      <c r="L355" t="s">
        <v>176</v>
      </c>
      <c r="M355" t="s">
        <v>112</v>
      </c>
      <c r="N355" t="s">
        <v>112</v>
      </c>
      <c r="O355">
        <v>1</v>
      </c>
      <c r="P355">
        <v>0</v>
      </c>
      <c r="Q355">
        <v>1</v>
      </c>
      <c r="R355">
        <v>33</v>
      </c>
      <c r="S355" t="s">
        <v>166</v>
      </c>
      <c r="T355" t="s">
        <v>152</v>
      </c>
      <c r="U355" t="s">
        <v>153</v>
      </c>
      <c r="V355" t="s">
        <v>177</v>
      </c>
      <c r="W355" t="s">
        <v>119</v>
      </c>
      <c r="X355" t="s">
        <v>112</v>
      </c>
      <c r="Y355" t="s">
        <v>166</v>
      </c>
      <c r="Z355" t="s">
        <v>152</v>
      </c>
      <c r="AA355" t="s">
        <v>153</v>
      </c>
      <c r="AB355" t="s">
        <v>177</v>
      </c>
      <c r="AC355" t="s">
        <v>119</v>
      </c>
      <c r="AD355" t="s">
        <v>112</v>
      </c>
      <c r="AE355" t="s">
        <v>121</v>
      </c>
      <c r="AF355" t="s">
        <v>122</v>
      </c>
      <c r="AG355">
        <v>3059408.88</v>
      </c>
      <c r="AH355" t="s">
        <v>166</v>
      </c>
      <c r="AI355" t="s">
        <v>152</v>
      </c>
      <c r="AJ355" t="s">
        <v>153</v>
      </c>
      <c r="AK355" t="s">
        <v>177</v>
      </c>
      <c r="AL355" t="s">
        <v>119</v>
      </c>
      <c r="AM355" t="s">
        <v>112</v>
      </c>
      <c r="AN355" t="s">
        <v>121</v>
      </c>
      <c r="AO355" t="s">
        <v>122</v>
      </c>
      <c r="AP355" t="s">
        <v>122</v>
      </c>
      <c r="AQ355" t="s">
        <v>124</v>
      </c>
      <c r="AR355" t="s">
        <v>125</v>
      </c>
      <c r="AS355">
        <v>2</v>
      </c>
      <c r="AT355" t="s">
        <v>106</v>
      </c>
      <c r="AU355" t="s">
        <v>155</v>
      </c>
      <c r="AV355" t="s">
        <v>156</v>
      </c>
      <c r="AW355">
        <v>1</v>
      </c>
      <c r="AX355" t="s">
        <v>129</v>
      </c>
      <c r="AY355">
        <v>37823.4</v>
      </c>
      <c r="AZ355">
        <v>2811920</v>
      </c>
      <c r="BA355">
        <v>44555.19</v>
      </c>
      <c r="BB355">
        <v>74.343400000000003</v>
      </c>
      <c r="BC355" t="s">
        <v>130</v>
      </c>
      <c r="BD355" t="s">
        <v>112</v>
      </c>
      <c r="BE355" t="s">
        <v>157</v>
      </c>
      <c r="BF355" t="s">
        <v>133</v>
      </c>
      <c r="BG355" t="s">
        <v>134</v>
      </c>
      <c r="BH355" t="s">
        <v>112</v>
      </c>
      <c r="BI355" t="s">
        <v>178</v>
      </c>
      <c r="BJ355" t="s">
        <v>112</v>
      </c>
      <c r="BK355" t="s">
        <v>125</v>
      </c>
      <c r="BL355" t="s">
        <v>179</v>
      </c>
      <c r="BM355" t="s">
        <v>180</v>
      </c>
      <c r="BN355" t="s">
        <v>181</v>
      </c>
      <c r="BO355">
        <v>1</v>
      </c>
      <c r="BP355" t="s">
        <v>274</v>
      </c>
      <c r="BR355" t="s">
        <v>150</v>
      </c>
      <c r="BS355">
        <v>33</v>
      </c>
      <c r="BT355">
        <v>1</v>
      </c>
      <c r="BU355">
        <v>0</v>
      </c>
      <c r="BW355">
        <v>0</v>
      </c>
      <c r="BY355" t="s">
        <v>106</v>
      </c>
      <c r="BZ355" t="s">
        <v>142</v>
      </c>
      <c r="CA355" t="s">
        <v>112</v>
      </c>
      <c r="CB355" t="s">
        <v>112</v>
      </c>
      <c r="CC355" t="s">
        <v>121</v>
      </c>
      <c r="CD355">
        <v>16086.24</v>
      </c>
      <c r="CE355" t="s">
        <v>144</v>
      </c>
      <c r="CF355">
        <v>4000000</v>
      </c>
      <c r="CG355">
        <v>15848.64</v>
      </c>
      <c r="CH355">
        <v>0</v>
      </c>
      <c r="CI355" t="s">
        <v>112</v>
      </c>
      <c r="CJ355" t="s">
        <v>112</v>
      </c>
      <c r="CK355">
        <v>37823.4</v>
      </c>
      <c r="CL355">
        <v>2811920</v>
      </c>
      <c r="CM355">
        <v>0</v>
      </c>
      <c r="CN355">
        <v>1</v>
      </c>
      <c r="CO355">
        <v>3059408.88</v>
      </c>
      <c r="CP355">
        <v>44555.19</v>
      </c>
      <c r="CQ355" t="s">
        <v>145</v>
      </c>
      <c r="CR355">
        <v>44555.281631999998</v>
      </c>
      <c r="CS355">
        <v>2.8113000000000001</v>
      </c>
      <c r="CT355">
        <v>941</v>
      </c>
      <c r="CU355" t="s">
        <v>183</v>
      </c>
      <c r="CV355" t="s">
        <v>147</v>
      </c>
      <c r="CW355">
        <v>211</v>
      </c>
    </row>
    <row r="356" spans="1:101" x14ac:dyDescent="0.2">
      <c r="A356" t="s">
        <v>106</v>
      </c>
      <c r="B356" s="46">
        <v>44905</v>
      </c>
      <c r="C356" t="s">
        <v>288</v>
      </c>
      <c r="D356" t="s">
        <v>108</v>
      </c>
      <c r="E356" t="s">
        <v>289</v>
      </c>
      <c r="F356" t="s">
        <v>110</v>
      </c>
      <c r="G356" t="s">
        <v>111</v>
      </c>
      <c r="H356" t="s">
        <v>112</v>
      </c>
      <c r="I356" t="s">
        <v>112</v>
      </c>
      <c r="J356" t="s">
        <v>112</v>
      </c>
      <c r="K356" t="s">
        <v>175</v>
      </c>
      <c r="L356" t="s">
        <v>176</v>
      </c>
      <c r="M356" t="s">
        <v>112</v>
      </c>
      <c r="N356" t="s">
        <v>112</v>
      </c>
      <c r="O356">
        <v>1</v>
      </c>
      <c r="P356">
        <v>0</v>
      </c>
      <c r="Q356">
        <v>1</v>
      </c>
      <c r="R356">
        <v>33</v>
      </c>
      <c r="S356" t="s">
        <v>166</v>
      </c>
      <c r="T356" t="s">
        <v>152</v>
      </c>
      <c r="U356" t="s">
        <v>153</v>
      </c>
      <c r="V356" t="s">
        <v>177</v>
      </c>
      <c r="W356" t="s">
        <v>119</v>
      </c>
      <c r="X356" t="s">
        <v>112</v>
      </c>
      <c r="Y356" t="s">
        <v>166</v>
      </c>
      <c r="Z356" t="s">
        <v>152</v>
      </c>
      <c r="AA356" t="s">
        <v>153</v>
      </c>
      <c r="AB356" t="s">
        <v>177</v>
      </c>
      <c r="AC356" t="s">
        <v>119</v>
      </c>
      <c r="AD356" t="s">
        <v>112</v>
      </c>
      <c r="AE356" t="s">
        <v>121</v>
      </c>
      <c r="AF356" t="s">
        <v>122</v>
      </c>
      <c r="AG356">
        <v>3466621.88</v>
      </c>
      <c r="AH356" t="s">
        <v>166</v>
      </c>
      <c r="AI356" t="s">
        <v>152</v>
      </c>
      <c r="AJ356" t="s">
        <v>153</v>
      </c>
      <c r="AK356" t="s">
        <v>177</v>
      </c>
      <c r="AL356" t="s">
        <v>119</v>
      </c>
      <c r="AM356" t="s">
        <v>112</v>
      </c>
      <c r="AN356" t="s">
        <v>121</v>
      </c>
      <c r="AO356" t="s">
        <v>122</v>
      </c>
      <c r="AP356" t="s">
        <v>122</v>
      </c>
      <c r="AQ356" t="s">
        <v>124</v>
      </c>
      <c r="AR356" t="s">
        <v>125</v>
      </c>
      <c r="AS356">
        <v>2</v>
      </c>
      <c r="AT356" t="s">
        <v>106</v>
      </c>
      <c r="AU356" t="s">
        <v>155</v>
      </c>
      <c r="AV356" t="s">
        <v>156</v>
      </c>
      <c r="AW356">
        <v>1</v>
      </c>
      <c r="AX356" t="s">
        <v>129</v>
      </c>
      <c r="AY356">
        <v>43300.86</v>
      </c>
      <c r="AZ356">
        <v>3219133</v>
      </c>
      <c r="BA356">
        <v>50485.57</v>
      </c>
      <c r="BB356">
        <v>74.343400000000003</v>
      </c>
      <c r="BC356" t="s">
        <v>130</v>
      </c>
      <c r="BD356" t="s">
        <v>112</v>
      </c>
      <c r="BE356" t="s">
        <v>157</v>
      </c>
      <c r="BF356" t="s">
        <v>133</v>
      </c>
      <c r="BG356" t="s">
        <v>134</v>
      </c>
      <c r="BH356" t="s">
        <v>112</v>
      </c>
      <c r="BI356" t="s">
        <v>178</v>
      </c>
      <c r="BJ356" t="s">
        <v>112</v>
      </c>
      <c r="BK356" t="s">
        <v>125</v>
      </c>
      <c r="BL356" t="s">
        <v>179</v>
      </c>
      <c r="BM356" t="s">
        <v>180</v>
      </c>
      <c r="BN356" t="s">
        <v>181</v>
      </c>
      <c r="BO356">
        <v>1</v>
      </c>
      <c r="BP356" t="s">
        <v>199</v>
      </c>
      <c r="BR356" t="s">
        <v>150</v>
      </c>
      <c r="BS356">
        <v>33</v>
      </c>
      <c r="BT356">
        <v>1</v>
      </c>
      <c r="BU356">
        <v>0</v>
      </c>
      <c r="BW356">
        <v>0</v>
      </c>
      <c r="BY356" t="s">
        <v>106</v>
      </c>
      <c r="BZ356" t="s">
        <v>142</v>
      </c>
      <c r="CA356" t="s">
        <v>112</v>
      </c>
      <c r="CB356" t="s">
        <v>112</v>
      </c>
      <c r="CC356" t="s">
        <v>121</v>
      </c>
      <c r="CD356">
        <v>16178.48</v>
      </c>
      <c r="CE356" t="s">
        <v>144</v>
      </c>
      <c r="CF356">
        <v>4000000</v>
      </c>
      <c r="CG356">
        <v>16088.47</v>
      </c>
      <c r="CH356">
        <v>0</v>
      </c>
      <c r="CI356" t="s">
        <v>112</v>
      </c>
      <c r="CJ356" t="s">
        <v>112</v>
      </c>
      <c r="CK356">
        <v>43300.86</v>
      </c>
      <c r="CL356">
        <v>3219133</v>
      </c>
      <c r="CM356">
        <v>0</v>
      </c>
      <c r="CN356">
        <v>1</v>
      </c>
      <c r="CO356">
        <v>3466621.88</v>
      </c>
      <c r="CP356">
        <v>50485.57</v>
      </c>
      <c r="CQ356" t="s">
        <v>145</v>
      </c>
      <c r="CR356">
        <v>50485.618859999995</v>
      </c>
      <c r="CS356">
        <v>3.1379999999999999</v>
      </c>
      <c r="CT356">
        <v>941</v>
      </c>
      <c r="CU356" t="s">
        <v>183</v>
      </c>
      <c r="CV356" t="s">
        <v>147</v>
      </c>
      <c r="CW356">
        <v>229</v>
      </c>
    </row>
    <row r="357" spans="1:101" x14ac:dyDescent="0.2">
      <c r="A357" t="s">
        <v>106</v>
      </c>
      <c r="B357" s="46">
        <v>44603</v>
      </c>
      <c r="C357" t="s">
        <v>564</v>
      </c>
      <c r="D357" t="s">
        <v>108</v>
      </c>
      <c r="E357" t="s">
        <v>565</v>
      </c>
      <c r="F357" t="s">
        <v>110</v>
      </c>
      <c r="G357" t="s">
        <v>111</v>
      </c>
      <c r="H357" t="s">
        <v>112</v>
      </c>
      <c r="I357" t="s">
        <v>112</v>
      </c>
      <c r="J357" t="s">
        <v>112</v>
      </c>
      <c r="K357" t="s">
        <v>150</v>
      </c>
      <c r="L357" t="s">
        <v>151</v>
      </c>
      <c r="M357" t="s">
        <v>112</v>
      </c>
      <c r="N357" t="s">
        <v>112</v>
      </c>
      <c r="O357">
        <v>1</v>
      </c>
      <c r="Q357">
        <v>1</v>
      </c>
      <c r="R357">
        <v>33</v>
      </c>
      <c r="S357" t="s">
        <v>112</v>
      </c>
      <c r="T357" t="s">
        <v>152</v>
      </c>
      <c r="U357" t="s">
        <v>153</v>
      </c>
      <c r="V357" t="s">
        <v>154</v>
      </c>
      <c r="W357" t="s">
        <v>119</v>
      </c>
      <c r="X357" t="s">
        <v>112</v>
      </c>
      <c r="Y357" t="s">
        <v>112</v>
      </c>
      <c r="Z357" t="s">
        <v>152</v>
      </c>
      <c r="AA357" t="s">
        <v>153</v>
      </c>
      <c r="AB357" t="s">
        <v>154</v>
      </c>
      <c r="AC357" t="s">
        <v>119</v>
      </c>
      <c r="AD357" t="s">
        <v>112</v>
      </c>
      <c r="AE357" t="s">
        <v>121</v>
      </c>
      <c r="AF357" t="s">
        <v>122</v>
      </c>
      <c r="AG357">
        <v>5004319.67</v>
      </c>
      <c r="AH357" t="s">
        <v>112</v>
      </c>
      <c r="AI357" t="s">
        <v>152</v>
      </c>
      <c r="AJ357" t="s">
        <v>153</v>
      </c>
      <c r="AK357" t="s">
        <v>154</v>
      </c>
      <c r="AL357" t="s">
        <v>119</v>
      </c>
      <c r="AM357" t="s">
        <v>112</v>
      </c>
      <c r="AN357" t="s">
        <v>121</v>
      </c>
      <c r="AO357" t="s">
        <v>122</v>
      </c>
      <c r="AP357" t="s">
        <v>122</v>
      </c>
      <c r="AQ357" t="s">
        <v>124</v>
      </c>
      <c r="AR357" t="s">
        <v>125</v>
      </c>
      <c r="AS357">
        <v>2</v>
      </c>
      <c r="AT357" t="s">
        <v>126</v>
      </c>
      <c r="AU357" t="s">
        <v>155</v>
      </c>
      <c r="AV357" t="s">
        <v>156</v>
      </c>
      <c r="AX357" t="s">
        <v>129</v>
      </c>
      <c r="AY357">
        <v>46775.9</v>
      </c>
      <c r="BB357">
        <v>98.576400000000007</v>
      </c>
      <c r="BC357" t="s">
        <v>112</v>
      </c>
      <c r="BD357" t="s">
        <v>112</v>
      </c>
      <c r="BE357" t="s">
        <v>157</v>
      </c>
      <c r="BF357" t="s">
        <v>133</v>
      </c>
      <c r="BG357" t="s">
        <v>134</v>
      </c>
      <c r="BH357" t="s">
        <v>112</v>
      </c>
      <c r="BI357" t="s">
        <v>112</v>
      </c>
      <c r="BJ357" t="s">
        <v>112</v>
      </c>
      <c r="BK357" t="s">
        <v>158</v>
      </c>
      <c r="BL357" t="s">
        <v>159</v>
      </c>
      <c r="BM357" t="s">
        <v>212</v>
      </c>
      <c r="BN357" t="s">
        <v>161</v>
      </c>
      <c r="BP357" t="s">
        <v>232</v>
      </c>
      <c r="BR357" t="s">
        <v>150</v>
      </c>
      <c r="BS357">
        <v>33</v>
      </c>
      <c r="BT357">
        <v>0</v>
      </c>
      <c r="BU357">
        <v>0</v>
      </c>
      <c r="BW357">
        <v>0</v>
      </c>
      <c r="BY357" t="s">
        <v>106</v>
      </c>
      <c r="BZ357" t="s">
        <v>142</v>
      </c>
      <c r="CA357" t="s">
        <v>112</v>
      </c>
      <c r="CB357" t="s">
        <v>112</v>
      </c>
      <c r="CC357" t="s">
        <v>121</v>
      </c>
      <c r="CD357">
        <v>15209.07</v>
      </c>
      <c r="CE357" t="s">
        <v>144</v>
      </c>
      <c r="CF357">
        <v>4000000</v>
      </c>
      <c r="CG357">
        <v>15036.87</v>
      </c>
      <c r="CH357">
        <v>0</v>
      </c>
      <c r="CI357" t="s">
        <v>112</v>
      </c>
      <c r="CJ357" t="s">
        <v>112</v>
      </c>
      <c r="CK357">
        <v>46775.9</v>
      </c>
      <c r="CM357">
        <v>0</v>
      </c>
      <c r="CN357">
        <v>1</v>
      </c>
      <c r="CO357">
        <v>5004319.67</v>
      </c>
      <c r="CP357">
        <v>55549.85</v>
      </c>
      <c r="CQ357" t="s">
        <v>145</v>
      </c>
      <c r="CR357">
        <v>55486.050300000003</v>
      </c>
      <c r="CS357">
        <v>3.69</v>
      </c>
      <c r="CT357">
        <v>45</v>
      </c>
      <c r="CV357" t="s">
        <v>233</v>
      </c>
      <c r="CW357">
        <v>586</v>
      </c>
    </row>
    <row r="358" spans="1:101" x14ac:dyDescent="0.2">
      <c r="A358" s="8" t="s">
        <v>106</v>
      </c>
      <c r="B358" s="46">
        <v>45236</v>
      </c>
      <c r="C358" s="8" t="s">
        <v>3018</v>
      </c>
      <c r="D358" s="8" t="s">
        <v>108</v>
      </c>
      <c r="E358" s="8" t="s">
        <v>3019</v>
      </c>
      <c r="F358" t="s">
        <v>110</v>
      </c>
      <c r="G358" s="8" t="s">
        <v>111</v>
      </c>
      <c r="H358" s="8" t="s">
        <v>112</v>
      </c>
      <c r="I358" s="8" t="s">
        <v>112</v>
      </c>
      <c r="J358" s="8" t="s">
        <v>112</v>
      </c>
      <c r="K358" s="8" t="s">
        <v>2389</v>
      </c>
      <c r="L358" s="8" t="s">
        <v>2390</v>
      </c>
      <c r="M358" s="8" t="s">
        <v>112</v>
      </c>
      <c r="N358" s="8" t="s">
        <v>112</v>
      </c>
      <c r="O358">
        <v>2</v>
      </c>
      <c r="P358">
        <v>0</v>
      </c>
      <c r="Q358">
        <v>2</v>
      </c>
      <c r="R358">
        <v>30</v>
      </c>
      <c r="S358" s="8" t="s">
        <v>2391</v>
      </c>
      <c r="T358" s="8" t="s">
        <v>2392</v>
      </c>
      <c r="U358" s="8" t="s">
        <v>2393</v>
      </c>
      <c r="V358" s="8" t="s">
        <v>2394</v>
      </c>
      <c r="W358" s="8" t="s">
        <v>119</v>
      </c>
      <c r="X358" s="8" t="s">
        <v>2395</v>
      </c>
      <c r="Y358" s="8" t="s">
        <v>2391</v>
      </c>
      <c r="Z358" s="8" t="s">
        <v>2392</v>
      </c>
      <c r="AA358" s="8" t="s">
        <v>2393</v>
      </c>
      <c r="AB358" s="8" t="s">
        <v>2394</v>
      </c>
      <c r="AC358" s="8" t="s">
        <v>119</v>
      </c>
      <c r="AD358" s="8" t="s">
        <v>2395</v>
      </c>
      <c r="AE358" s="8" t="s">
        <v>2396</v>
      </c>
      <c r="AF358" s="8" t="s">
        <v>2397</v>
      </c>
      <c r="AG358">
        <v>5805072.3600000003</v>
      </c>
      <c r="AH358" s="8" t="s">
        <v>2391</v>
      </c>
      <c r="AI358" s="8" t="s">
        <v>2392</v>
      </c>
      <c r="AJ358" s="8" t="s">
        <v>2393</v>
      </c>
      <c r="AK358" s="8" t="s">
        <v>2394</v>
      </c>
      <c r="AL358" s="8" t="s">
        <v>119</v>
      </c>
      <c r="AM358" s="8" t="s">
        <v>2395</v>
      </c>
      <c r="AN358" s="8" t="s">
        <v>2398</v>
      </c>
      <c r="AO358" s="8" t="s">
        <v>2399</v>
      </c>
      <c r="AP358" s="8" t="s">
        <v>2186</v>
      </c>
      <c r="AQ358" s="8" t="s">
        <v>124</v>
      </c>
      <c r="AR358" s="8" t="s">
        <v>125</v>
      </c>
      <c r="AS358">
        <v>2</v>
      </c>
      <c r="AT358" s="8" t="s">
        <v>126</v>
      </c>
      <c r="AU358" s="8" t="s">
        <v>2400</v>
      </c>
      <c r="AV358" s="8" t="s">
        <v>2401</v>
      </c>
      <c r="AW358">
        <v>1</v>
      </c>
      <c r="AX358" s="8" t="s">
        <v>129</v>
      </c>
      <c r="AY358">
        <v>82202</v>
      </c>
      <c r="AZ358">
        <v>5805072</v>
      </c>
      <c r="BA358">
        <v>87495.1</v>
      </c>
      <c r="BB358">
        <v>70.619600000000005</v>
      </c>
      <c r="BC358" s="8" t="s">
        <v>130</v>
      </c>
      <c r="BD358" s="8" t="s">
        <v>112</v>
      </c>
      <c r="BE358" s="8" t="s">
        <v>2402</v>
      </c>
      <c r="BF358" s="8" t="s">
        <v>133</v>
      </c>
      <c r="BG358" s="8" t="s">
        <v>134</v>
      </c>
      <c r="BH358" s="8" t="s">
        <v>112</v>
      </c>
      <c r="BI358" s="8" t="s">
        <v>2403</v>
      </c>
      <c r="BJ358" s="8" t="s">
        <v>112</v>
      </c>
      <c r="BK358" s="8" t="s">
        <v>2404</v>
      </c>
      <c r="BL358" s="8" t="s">
        <v>2405</v>
      </c>
      <c r="BM358" s="8" t="s">
        <v>2406</v>
      </c>
      <c r="BN358" s="8" t="s">
        <v>2407</v>
      </c>
      <c r="BO358">
        <v>1</v>
      </c>
      <c r="BP358" s="8" t="s">
        <v>3020</v>
      </c>
      <c r="BR358" s="8" t="s">
        <v>2409</v>
      </c>
      <c r="BS358">
        <v>28</v>
      </c>
      <c r="BT358">
        <v>0</v>
      </c>
      <c r="BU358">
        <v>280</v>
      </c>
      <c r="BV358" t="s">
        <v>2147</v>
      </c>
      <c r="BW358">
        <v>0</v>
      </c>
      <c r="BY358" s="8" t="s">
        <v>106</v>
      </c>
      <c r="BZ358" s="8" t="s">
        <v>2148</v>
      </c>
      <c r="CA358" s="8" t="s">
        <v>112</v>
      </c>
      <c r="CB358" s="8" t="s">
        <v>112</v>
      </c>
      <c r="CC358" s="8" t="s">
        <v>2185</v>
      </c>
      <c r="CD358">
        <v>9380</v>
      </c>
      <c r="CE358" t="s">
        <v>144</v>
      </c>
      <c r="CF358">
        <v>4000000</v>
      </c>
      <c r="CG358">
        <v>8680</v>
      </c>
      <c r="CH358">
        <v>0</v>
      </c>
      <c r="CI358" s="8" t="s">
        <v>112</v>
      </c>
      <c r="CJ358" s="8" t="s">
        <v>112</v>
      </c>
      <c r="CK358">
        <v>80620</v>
      </c>
      <c r="CL358">
        <v>5693352</v>
      </c>
      <c r="CM358">
        <v>0</v>
      </c>
      <c r="CN358">
        <v>1</v>
      </c>
      <c r="CO358">
        <v>5693352.1500000004</v>
      </c>
      <c r="CP358">
        <v>85811.23</v>
      </c>
      <c r="CQ358" s="8" t="s">
        <v>145</v>
      </c>
      <c r="CR358">
        <v>9.8861000000000008</v>
      </c>
      <c r="CS358">
        <v>538</v>
      </c>
      <c r="CT358">
        <v>4</v>
      </c>
      <c r="CV358" t="s">
        <v>2411</v>
      </c>
      <c r="CW358">
        <v>140</v>
      </c>
    </row>
    <row r="359" spans="1:101" x14ac:dyDescent="0.2">
      <c r="A359" s="8" t="s">
        <v>106</v>
      </c>
      <c r="B359" s="46">
        <v>45044</v>
      </c>
      <c r="C359" s="8" t="s">
        <v>3051</v>
      </c>
      <c r="D359" s="8" t="s">
        <v>108</v>
      </c>
      <c r="E359" s="8" t="s">
        <v>3052</v>
      </c>
      <c r="F359" t="s">
        <v>110</v>
      </c>
      <c r="G359" s="8" t="s">
        <v>111</v>
      </c>
      <c r="H359" s="8" t="s">
        <v>112</v>
      </c>
      <c r="I359" s="8" t="s">
        <v>112</v>
      </c>
      <c r="J359" s="8" t="s">
        <v>112</v>
      </c>
      <c r="K359" s="8" t="s">
        <v>2237</v>
      </c>
      <c r="L359" s="8" t="s">
        <v>3053</v>
      </c>
      <c r="M359" s="8" t="s">
        <v>112</v>
      </c>
      <c r="N359" s="8" t="s">
        <v>112</v>
      </c>
      <c r="O359">
        <v>2</v>
      </c>
      <c r="P359">
        <v>0</v>
      </c>
      <c r="Q359">
        <v>2</v>
      </c>
      <c r="R359">
        <v>546</v>
      </c>
      <c r="S359" s="8" t="s">
        <v>2239</v>
      </c>
      <c r="T359" s="8" t="s">
        <v>2240</v>
      </c>
      <c r="U359" s="8" t="s">
        <v>2241</v>
      </c>
      <c r="V359" s="8" t="s">
        <v>2242</v>
      </c>
      <c r="W359" s="8" t="s">
        <v>2243</v>
      </c>
      <c r="X359" s="8" t="s">
        <v>2244</v>
      </c>
      <c r="Y359" s="8" t="s">
        <v>2245</v>
      </c>
      <c r="Z359" s="8" t="s">
        <v>2246</v>
      </c>
      <c r="AA359" s="8" t="s">
        <v>2247</v>
      </c>
      <c r="AB359" s="8" t="s">
        <v>2248</v>
      </c>
      <c r="AC359" s="8" t="s">
        <v>2249</v>
      </c>
      <c r="AD359" s="8" t="s">
        <v>2250</v>
      </c>
      <c r="AE359" s="8" t="s">
        <v>2142</v>
      </c>
      <c r="AF359" s="8" t="s">
        <v>2143</v>
      </c>
      <c r="AG359">
        <v>7721421.3799999896</v>
      </c>
      <c r="AH359" s="8" t="s">
        <v>2245</v>
      </c>
      <c r="AI359" s="8" t="s">
        <v>2246</v>
      </c>
      <c r="AJ359" s="8" t="s">
        <v>2247</v>
      </c>
      <c r="AK359" s="8" t="s">
        <v>2248</v>
      </c>
      <c r="AL359" s="8" t="s">
        <v>2249</v>
      </c>
      <c r="AM359" s="8" t="s">
        <v>2250</v>
      </c>
      <c r="AN359" s="8" t="s">
        <v>2142</v>
      </c>
      <c r="AO359" s="8" t="s">
        <v>2143</v>
      </c>
      <c r="AP359" s="8" t="s">
        <v>2143</v>
      </c>
      <c r="AQ359" s="8" t="s">
        <v>124</v>
      </c>
      <c r="AR359" s="8" t="s">
        <v>125</v>
      </c>
      <c r="AS359">
        <v>1</v>
      </c>
      <c r="AT359" s="8" t="s">
        <v>106</v>
      </c>
      <c r="AU359" s="8" t="s">
        <v>2251</v>
      </c>
      <c r="AV359" s="8" t="s">
        <v>2252</v>
      </c>
      <c r="AW359">
        <v>0</v>
      </c>
      <c r="AX359" s="8" t="s">
        <v>2253</v>
      </c>
      <c r="AY359">
        <v>782680</v>
      </c>
      <c r="AZ359">
        <v>7435178</v>
      </c>
      <c r="BA359">
        <v>116378.65</v>
      </c>
      <c r="BB359">
        <v>94.996399999999895</v>
      </c>
      <c r="BC359" s="8" t="s">
        <v>130</v>
      </c>
      <c r="BD359" s="8" t="s">
        <v>112</v>
      </c>
      <c r="BE359" s="8" t="s">
        <v>2998</v>
      </c>
      <c r="BF359" s="8" t="s">
        <v>133</v>
      </c>
      <c r="BG359" s="8" t="s">
        <v>167</v>
      </c>
      <c r="BH359" s="8" t="s">
        <v>2255</v>
      </c>
      <c r="BI359" s="8" t="s">
        <v>112</v>
      </c>
      <c r="BJ359" s="8" t="s">
        <v>2256</v>
      </c>
      <c r="BK359" s="8" t="s">
        <v>169</v>
      </c>
      <c r="BL359" s="8" t="s">
        <v>159</v>
      </c>
      <c r="BM359" s="8" t="s">
        <v>160</v>
      </c>
      <c r="BN359" s="8" t="s">
        <v>161</v>
      </c>
      <c r="BO359">
        <v>1</v>
      </c>
      <c r="BP359" s="8" t="s">
        <v>2257</v>
      </c>
      <c r="BR359" s="8" t="s">
        <v>2258</v>
      </c>
      <c r="BS359">
        <v>538</v>
      </c>
      <c r="BT359">
        <v>1</v>
      </c>
      <c r="BU359">
        <v>538</v>
      </c>
      <c r="BV359" t="s">
        <v>2147</v>
      </c>
      <c r="BW359">
        <v>0</v>
      </c>
      <c r="BY359" s="8" t="s">
        <v>106</v>
      </c>
      <c r="BZ359" s="8" t="s">
        <v>2148</v>
      </c>
      <c r="CA359" s="8" t="s">
        <v>112</v>
      </c>
      <c r="CB359" s="8" t="s">
        <v>112</v>
      </c>
      <c r="CC359" s="8" t="s">
        <v>2142</v>
      </c>
      <c r="CD359">
        <v>15359.4</v>
      </c>
      <c r="CE359" t="s">
        <v>144</v>
      </c>
      <c r="CF359">
        <v>4000000</v>
      </c>
      <c r="CG359">
        <v>15359.4</v>
      </c>
      <c r="CH359">
        <v>0</v>
      </c>
      <c r="CI359" s="8" t="s">
        <v>112</v>
      </c>
      <c r="CJ359" s="8" t="s">
        <v>112</v>
      </c>
      <c r="CK359">
        <v>782072</v>
      </c>
      <c r="CL359">
        <v>7429402</v>
      </c>
      <c r="CM359">
        <v>0</v>
      </c>
      <c r="CN359">
        <v>1</v>
      </c>
      <c r="CO359">
        <v>7715199.0199999902</v>
      </c>
      <c r="CP359">
        <v>116284.87</v>
      </c>
      <c r="CQ359" s="8" t="s">
        <v>145</v>
      </c>
      <c r="CR359">
        <v>7.5709</v>
      </c>
      <c r="CV359" t="s">
        <v>2259</v>
      </c>
      <c r="CW359">
        <v>128</v>
      </c>
    </row>
    <row r="360" spans="1:101" x14ac:dyDescent="0.2">
      <c r="A360" s="8" t="s">
        <v>106</v>
      </c>
      <c r="B360" s="46">
        <v>45109</v>
      </c>
      <c r="C360" s="8" t="s">
        <v>3048</v>
      </c>
      <c r="D360" s="8" t="s">
        <v>108</v>
      </c>
      <c r="E360" s="8" t="s">
        <v>3049</v>
      </c>
      <c r="F360" t="s">
        <v>110</v>
      </c>
      <c r="G360" s="8" t="s">
        <v>111</v>
      </c>
      <c r="H360" s="8" t="s">
        <v>112</v>
      </c>
      <c r="I360" s="8" t="s">
        <v>112</v>
      </c>
      <c r="J360" s="8" t="s">
        <v>112</v>
      </c>
      <c r="K360" s="8" t="s">
        <v>2161</v>
      </c>
      <c r="L360" s="8" t="s">
        <v>2162</v>
      </c>
      <c r="M360" s="8" t="s">
        <v>112</v>
      </c>
      <c r="N360" s="8" t="s">
        <v>112</v>
      </c>
      <c r="O360">
        <v>3</v>
      </c>
      <c r="P360">
        <v>0</v>
      </c>
      <c r="Q360">
        <v>5</v>
      </c>
      <c r="R360">
        <v>188</v>
      </c>
      <c r="S360" s="8" t="s">
        <v>2136</v>
      </c>
      <c r="T360" s="8" t="s">
        <v>2137</v>
      </c>
      <c r="U360" s="8" t="s">
        <v>2141</v>
      </c>
      <c r="V360" s="8" t="s">
        <v>2139</v>
      </c>
      <c r="W360" s="8" t="s">
        <v>119</v>
      </c>
      <c r="X360" s="8" t="s">
        <v>2140</v>
      </c>
      <c r="Y360" s="8" t="s">
        <v>2136</v>
      </c>
      <c r="Z360" s="8" t="s">
        <v>2137</v>
      </c>
      <c r="AA360" s="8" t="s">
        <v>2141</v>
      </c>
      <c r="AB360" s="8" t="s">
        <v>2139</v>
      </c>
      <c r="AC360" s="8" t="s">
        <v>119</v>
      </c>
      <c r="AD360" s="8" t="s">
        <v>2140</v>
      </c>
      <c r="AE360" s="8" t="s">
        <v>2163</v>
      </c>
      <c r="AF360" s="8" t="s">
        <v>2164</v>
      </c>
      <c r="AG360">
        <v>10909403.3699999</v>
      </c>
      <c r="AH360" s="8" t="s">
        <v>2136</v>
      </c>
      <c r="AI360" s="8" t="s">
        <v>2137</v>
      </c>
      <c r="AJ360" s="8" t="s">
        <v>2141</v>
      </c>
      <c r="AK360" s="8" t="s">
        <v>2139</v>
      </c>
      <c r="AL360" s="8" t="s">
        <v>119</v>
      </c>
      <c r="AM360" s="8" t="s">
        <v>2140</v>
      </c>
      <c r="AN360" s="8" t="s">
        <v>2163</v>
      </c>
      <c r="AO360" s="8" t="s">
        <v>2164</v>
      </c>
      <c r="AP360" s="8" t="s">
        <v>2164</v>
      </c>
      <c r="AQ360" s="8" t="s">
        <v>124</v>
      </c>
      <c r="AR360" s="8" t="s">
        <v>125</v>
      </c>
      <c r="AS360">
        <v>2</v>
      </c>
      <c r="AT360" s="8" t="s">
        <v>126</v>
      </c>
      <c r="AU360" s="8" t="s">
        <v>127</v>
      </c>
      <c r="AV360" s="8" t="s">
        <v>2165</v>
      </c>
      <c r="AW360">
        <v>1</v>
      </c>
      <c r="AX360" s="8" t="s">
        <v>129</v>
      </c>
      <c r="AY360">
        <v>149081.24</v>
      </c>
      <c r="AZ360">
        <v>10528058</v>
      </c>
      <c r="BA360">
        <v>164428.5</v>
      </c>
      <c r="BB360">
        <v>70.619600000000005</v>
      </c>
      <c r="BC360" s="8" t="s">
        <v>130</v>
      </c>
      <c r="BD360" s="8" t="s">
        <v>131</v>
      </c>
      <c r="BE360" s="8" t="s">
        <v>2166</v>
      </c>
      <c r="BF360" s="8" t="s">
        <v>133</v>
      </c>
      <c r="BG360" s="8" t="s">
        <v>134</v>
      </c>
      <c r="BH360" s="8" t="s">
        <v>112</v>
      </c>
      <c r="BI360" s="8" t="s">
        <v>112</v>
      </c>
      <c r="BJ360" s="8" t="s">
        <v>112</v>
      </c>
      <c r="BK360" s="8" t="s">
        <v>2655</v>
      </c>
      <c r="BL360" s="8" t="s">
        <v>2656</v>
      </c>
      <c r="BM360" s="8" t="s">
        <v>2496</v>
      </c>
      <c r="BN360" s="8" t="s">
        <v>2497</v>
      </c>
      <c r="BO360">
        <v>1</v>
      </c>
      <c r="BP360" s="8" t="s">
        <v>3050</v>
      </c>
      <c r="BR360" s="8" t="s">
        <v>2161</v>
      </c>
      <c r="BS360">
        <v>85</v>
      </c>
      <c r="BT360">
        <v>0</v>
      </c>
      <c r="BU360">
        <v>304</v>
      </c>
      <c r="BV360" t="s">
        <v>2147</v>
      </c>
      <c r="BW360">
        <v>0</v>
      </c>
      <c r="BY360" s="8" t="s">
        <v>106</v>
      </c>
      <c r="BZ360" s="8" t="s">
        <v>2148</v>
      </c>
      <c r="CA360" s="8" t="s">
        <v>112</v>
      </c>
      <c r="CB360" s="8" t="s">
        <v>112</v>
      </c>
      <c r="CC360" s="8" t="s">
        <v>2163</v>
      </c>
      <c r="CD360">
        <v>14612.4</v>
      </c>
      <c r="CE360" t="s">
        <v>144</v>
      </c>
      <c r="CF360">
        <v>4000000</v>
      </c>
      <c r="CG360">
        <v>14538</v>
      </c>
      <c r="CH360">
        <v>0</v>
      </c>
      <c r="CI360" s="8" t="s">
        <v>112</v>
      </c>
      <c r="CJ360" s="8" t="s">
        <v>112</v>
      </c>
      <c r="CK360">
        <v>133553.579999999</v>
      </c>
      <c r="CL360">
        <v>9431500</v>
      </c>
      <c r="CM360">
        <v>0</v>
      </c>
      <c r="CN360">
        <v>1</v>
      </c>
      <c r="CO360">
        <v>9792927.27999999</v>
      </c>
      <c r="CP360">
        <v>147600.769999999</v>
      </c>
      <c r="CQ360" s="8" t="s">
        <v>145</v>
      </c>
      <c r="CR360">
        <v>10.152799999999999</v>
      </c>
      <c r="CS360">
        <v>1053</v>
      </c>
      <c r="CT360" t="s">
        <v>2149</v>
      </c>
      <c r="CV360" t="s">
        <v>2150</v>
      </c>
      <c r="CW360">
        <v>370</v>
      </c>
    </row>
    <row r="361" spans="1:101" x14ac:dyDescent="0.2">
      <c r="A361" s="8" t="s">
        <v>106</v>
      </c>
      <c r="B361" s="46">
        <v>44948</v>
      </c>
      <c r="C361" s="8" t="s">
        <v>3015</v>
      </c>
      <c r="D361" s="8" t="s">
        <v>108</v>
      </c>
      <c r="E361" s="8" t="s">
        <v>3016</v>
      </c>
      <c r="F361" t="s">
        <v>110</v>
      </c>
      <c r="G361" s="8" t="s">
        <v>111</v>
      </c>
      <c r="H361" s="8" t="s">
        <v>112</v>
      </c>
      <c r="I361" s="8" t="s">
        <v>112</v>
      </c>
      <c r="J361" s="8" t="s">
        <v>112</v>
      </c>
      <c r="K361" s="8" t="s">
        <v>2161</v>
      </c>
      <c r="L361" s="8" t="s">
        <v>2162</v>
      </c>
      <c r="M361" s="8" t="s">
        <v>112</v>
      </c>
      <c r="N361" s="8" t="s">
        <v>112</v>
      </c>
      <c r="O361">
        <v>2</v>
      </c>
      <c r="P361">
        <v>0</v>
      </c>
      <c r="Q361">
        <v>3</v>
      </c>
      <c r="R361">
        <v>93</v>
      </c>
      <c r="S361" s="8" t="s">
        <v>2136</v>
      </c>
      <c r="T361" s="8" t="s">
        <v>2137</v>
      </c>
      <c r="U361" s="8" t="s">
        <v>2141</v>
      </c>
      <c r="V361" s="8" t="s">
        <v>2139</v>
      </c>
      <c r="W361" s="8" t="s">
        <v>119</v>
      </c>
      <c r="X361" s="8" t="s">
        <v>2140</v>
      </c>
      <c r="Y361" s="8" t="s">
        <v>2136</v>
      </c>
      <c r="Z361" s="8" t="s">
        <v>2137</v>
      </c>
      <c r="AA361" s="8" t="s">
        <v>2141</v>
      </c>
      <c r="AB361" s="8" t="s">
        <v>2139</v>
      </c>
      <c r="AC361" s="8" t="s">
        <v>119</v>
      </c>
      <c r="AD361" s="8" t="s">
        <v>2140</v>
      </c>
      <c r="AE361" s="8" t="s">
        <v>2163</v>
      </c>
      <c r="AF361" s="8" t="s">
        <v>2164</v>
      </c>
      <c r="AG361">
        <v>10817225.720000001</v>
      </c>
      <c r="AH361" s="8" t="s">
        <v>2136</v>
      </c>
      <c r="AI361" s="8" t="s">
        <v>2137</v>
      </c>
      <c r="AJ361" s="8" t="s">
        <v>2141</v>
      </c>
      <c r="AK361" s="8" t="s">
        <v>2139</v>
      </c>
      <c r="AL361" s="8" t="s">
        <v>119</v>
      </c>
      <c r="AM361" s="8" t="s">
        <v>2140</v>
      </c>
      <c r="AN361" s="8" t="s">
        <v>2163</v>
      </c>
      <c r="AO361" s="8" t="s">
        <v>2164</v>
      </c>
      <c r="AP361" s="8" t="s">
        <v>2164</v>
      </c>
      <c r="AQ361" s="8" t="s">
        <v>124</v>
      </c>
      <c r="AR361" s="8" t="s">
        <v>125</v>
      </c>
      <c r="AS361">
        <v>2</v>
      </c>
      <c r="AT361" s="8" t="s">
        <v>126</v>
      </c>
      <c r="AU361" s="8" t="s">
        <v>127</v>
      </c>
      <c r="AV361" s="8" t="s">
        <v>2165</v>
      </c>
      <c r="AW361">
        <v>1</v>
      </c>
      <c r="AX361" s="8" t="s">
        <v>129</v>
      </c>
      <c r="AY361">
        <v>147875.97</v>
      </c>
      <c r="AZ361">
        <v>10442942</v>
      </c>
      <c r="BA361">
        <v>163039.18</v>
      </c>
      <c r="BB361">
        <v>70.619600000000005</v>
      </c>
      <c r="BC361" s="8" t="s">
        <v>130</v>
      </c>
      <c r="BD361" s="8" t="s">
        <v>131</v>
      </c>
      <c r="BE361" s="8" t="s">
        <v>2166</v>
      </c>
      <c r="BF361" s="8" t="s">
        <v>133</v>
      </c>
      <c r="BG361" s="8" t="s">
        <v>134</v>
      </c>
      <c r="BH361" s="8" t="s">
        <v>112</v>
      </c>
      <c r="BI361" s="8" t="s">
        <v>112</v>
      </c>
      <c r="BJ361" s="8" t="s">
        <v>112</v>
      </c>
      <c r="BK361" s="8" t="s">
        <v>2655</v>
      </c>
      <c r="BL361" s="8" t="s">
        <v>2656</v>
      </c>
      <c r="BM361" s="8" t="s">
        <v>2496</v>
      </c>
      <c r="BN361" s="8" t="s">
        <v>2497</v>
      </c>
      <c r="BO361">
        <v>1</v>
      </c>
      <c r="BP361" s="8" t="s">
        <v>3017</v>
      </c>
      <c r="BR361" s="8" t="s">
        <v>2161</v>
      </c>
      <c r="BS361">
        <v>64</v>
      </c>
      <c r="BT361">
        <v>0</v>
      </c>
      <c r="BU361">
        <v>264</v>
      </c>
      <c r="BV361" t="s">
        <v>2147</v>
      </c>
      <c r="BW361">
        <v>0</v>
      </c>
      <c r="BY361" s="8" t="s">
        <v>106</v>
      </c>
      <c r="BZ361" s="8" t="s">
        <v>2148</v>
      </c>
      <c r="CA361" s="8" t="s">
        <v>112</v>
      </c>
      <c r="CB361" s="8" t="s">
        <v>112</v>
      </c>
      <c r="CC361" s="8" t="s">
        <v>2163</v>
      </c>
      <c r="CD361">
        <v>14034.4</v>
      </c>
      <c r="CE361" t="s">
        <v>144</v>
      </c>
      <c r="CF361">
        <v>4000000</v>
      </c>
      <c r="CG361">
        <v>13900</v>
      </c>
      <c r="CH361">
        <v>0</v>
      </c>
      <c r="CI361" s="8" t="s">
        <v>112</v>
      </c>
      <c r="CJ361" s="8" t="s">
        <v>112</v>
      </c>
      <c r="CK361">
        <v>143150.20000000001</v>
      </c>
      <c r="CL361">
        <v>10109210</v>
      </c>
      <c r="CM361">
        <v>0</v>
      </c>
      <c r="CN361">
        <v>1</v>
      </c>
      <c r="CO361">
        <v>10469123.359999901</v>
      </c>
      <c r="CP361">
        <v>157792.519999999</v>
      </c>
      <c r="CQ361" s="8" t="s">
        <v>145</v>
      </c>
      <c r="CR361">
        <v>11.352</v>
      </c>
      <c r="CS361">
        <v>1053</v>
      </c>
      <c r="CT361" t="s">
        <v>2149</v>
      </c>
      <c r="CV361" t="s">
        <v>2150</v>
      </c>
      <c r="CW361">
        <v>0</v>
      </c>
    </row>
    <row r="362" spans="1:101" x14ac:dyDescent="0.2">
      <c r="A362" t="s">
        <v>106</v>
      </c>
      <c r="B362" s="46">
        <v>45258</v>
      </c>
      <c r="C362" t="s">
        <v>1479</v>
      </c>
      <c r="D362" t="s">
        <v>108</v>
      </c>
      <c r="E362" t="s">
        <v>1480</v>
      </c>
      <c r="F362" t="s">
        <v>110</v>
      </c>
      <c r="G362" t="s">
        <v>111</v>
      </c>
      <c r="H362" t="s">
        <v>112</v>
      </c>
      <c r="I362" t="s">
        <v>112</v>
      </c>
      <c r="J362" t="s">
        <v>112</v>
      </c>
      <c r="K362" t="s">
        <v>150</v>
      </c>
      <c r="L362" t="s">
        <v>151</v>
      </c>
      <c r="M362" t="s">
        <v>112</v>
      </c>
      <c r="N362" t="s">
        <v>112</v>
      </c>
      <c r="O362">
        <v>1</v>
      </c>
      <c r="Q362">
        <v>1</v>
      </c>
      <c r="R362">
        <v>33</v>
      </c>
      <c r="S362" t="s">
        <v>112</v>
      </c>
      <c r="T362" t="s">
        <v>152</v>
      </c>
      <c r="U362" t="s">
        <v>153</v>
      </c>
      <c r="V362" t="s">
        <v>154</v>
      </c>
      <c r="W362" t="s">
        <v>119</v>
      </c>
      <c r="X362" t="s">
        <v>112</v>
      </c>
      <c r="Y362" t="s">
        <v>112</v>
      </c>
      <c r="Z362" t="s">
        <v>152</v>
      </c>
      <c r="AA362" t="s">
        <v>153</v>
      </c>
      <c r="AB362" t="s">
        <v>154</v>
      </c>
      <c r="AC362" t="s">
        <v>119</v>
      </c>
      <c r="AD362" t="s">
        <v>112</v>
      </c>
      <c r="AE362" t="s">
        <v>121</v>
      </c>
      <c r="AF362" t="s">
        <v>122</v>
      </c>
      <c r="AG362">
        <v>4664261.8899999997</v>
      </c>
      <c r="AH362" t="s">
        <v>112</v>
      </c>
      <c r="AI362" t="s">
        <v>152</v>
      </c>
      <c r="AJ362" t="s">
        <v>153</v>
      </c>
      <c r="AK362" t="s">
        <v>154</v>
      </c>
      <c r="AL362" t="s">
        <v>119</v>
      </c>
      <c r="AM362" t="s">
        <v>112</v>
      </c>
      <c r="AN362" t="s">
        <v>121</v>
      </c>
      <c r="AO362" t="s">
        <v>122</v>
      </c>
      <c r="AP362" t="s">
        <v>122</v>
      </c>
      <c r="AQ362" t="s">
        <v>124</v>
      </c>
      <c r="AR362" t="s">
        <v>125</v>
      </c>
      <c r="AS362">
        <v>2</v>
      </c>
      <c r="AT362" t="s">
        <v>126</v>
      </c>
      <c r="AU362" t="s">
        <v>155</v>
      </c>
      <c r="AV362" t="s">
        <v>156</v>
      </c>
      <c r="AX362" t="s">
        <v>129</v>
      </c>
      <c r="AY362">
        <v>43679.86</v>
      </c>
      <c r="BB362">
        <v>96.769199999999998</v>
      </c>
      <c r="BC362" t="s">
        <v>112</v>
      </c>
      <c r="BD362" t="s">
        <v>112</v>
      </c>
      <c r="BE362" t="s">
        <v>157</v>
      </c>
      <c r="BF362" t="s">
        <v>133</v>
      </c>
      <c r="BG362" t="s">
        <v>134</v>
      </c>
      <c r="BH362" t="s">
        <v>112</v>
      </c>
      <c r="BI362" t="s">
        <v>112</v>
      </c>
      <c r="BJ362" t="s">
        <v>112</v>
      </c>
      <c r="BK362" t="s">
        <v>158</v>
      </c>
      <c r="BL362" t="s">
        <v>159</v>
      </c>
      <c r="BM362" t="s">
        <v>212</v>
      </c>
      <c r="BN362" t="s">
        <v>161</v>
      </c>
      <c r="BP362" t="s">
        <v>466</v>
      </c>
      <c r="BR362" t="s">
        <v>150</v>
      </c>
      <c r="BS362">
        <v>33</v>
      </c>
      <c r="BT362">
        <v>0</v>
      </c>
      <c r="BU362">
        <v>0</v>
      </c>
      <c r="BW362">
        <v>0</v>
      </c>
      <c r="BY362" t="s">
        <v>106</v>
      </c>
      <c r="BZ362" t="s">
        <v>142</v>
      </c>
      <c r="CA362" t="s">
        <v>112</v>
      </c>
      <c r="CB362" t="s">
        <v>112</v>
      </c>
      <c r="CC362" t="s">
        <v>121</v>
      </c>
      <c r="CD362">
        <v>16197.41</v>
      </c>
      <c r="CE362" t="s">
        <v>144</v>
      </c>
      <c r="CF362">
        <v>4000000</v>
      </c>
      <c r="CG362">
        <v>16122.41</v>
      </c>
      <c r="CH362">
        <v>0</v>
      </c>
      <c r="CI362" t="s">
        <v>112</v>
      </c>
      <c r="CJ362" t="s">
        <v>112</v>
      </c>
      <c r="CK362">
        <v>43679.86</v>
      </c>
      <c r="CM362">
        <v>0</v>
      </c>
      <c r="CN362">
        <v>1</v>
      </c>
      <c r="CO362">
        <v>4664261.8899999997</v>
      </c>
      <c r="CP362">
        <v>52334.7</v>
      </c>
      <c r="CQ362" t="s">
        <v>145</v>
      </c>
      <c r="CR362">
        <v>52397.832499999997</v>
      </c>
      <c r="CS362">
        <v>3.25</v>
      </c>
      <c r="CT362">
        <v>45</v>
      </c>
      <c r="CV362" t="s">
        <v>729</v>
      </c>
      <c r="CW362">
        <v>559</v>
      </c>
    </row>
    <row r="363" spans="1:101" x14ac:dyDescent="0.2">
      <c r="A363" t="s">
        <v>106</v>
      </c>
      <c r="B363" s="46">
        <v>45119</v>
      </c>
      <c r="C363" t="s">
        <v>1373</v>
      </c>
      <c r="D363" t="s">
        <v>108</v>
      </c>
      <c r="E363" t="s">
        <v>1374</v>
      </c>
      <c r="F363" t="s">
        <v>110</v>
      </c>
      <c r="G363" t="s">
        <v>111</v>
      </c>
      <c r="H363" t="s">
        <v>112</v>
      </c>
      <c r="I363" t="s">
        <v>112</v>
      </c>
      <c r="J363" t="s">
        <v>112</v>
      </c>
      <c r="K363" t="s">
        <v>150</v>
      </c>
      <c r="L363" t="s">
        <v>151</v>
      </c>
      <c r="M363" t="s">
        <v>112</v>
      </c>
      <c r="N363" t="s">
        <v>112</v>
      </c>
      <c r="O363">
        <v>1</v>
      </c>
      <c r="Q363">
        <v>1</v>
      </c>
      <c r="R363">
        <v>33</v>
      </c>
      <c r="S363" t="s">
        <v>112</v>
      </c>
      <c r="T363" t="s">
        <v>152</v>
      </c>
      <c r="U363" t="s">
        <v>153</v>
      </c>
      <c r="V363" t="s">
        <v>154</v>
      </c>
      <c r="W363" t="s">
        <v>119</v>
      </c>
      <c r="X363" t="s">
        <v>112</v>
      </c>
      <c r="Y363" t="s">
        <v>112</v>
      </c>
      <c r="Z363" t="s">
        <v>152</v>
      </c>
      <c r="AA363" t="s">
        <v>153</v>
      </c>
      <c r="AB363" t="s">
        <v>154</v>
      </c>
      <c r="AC363" t="s">
        <v>119</v>
      </c>
      <c r="AD363" t="s">
        <v>112</v>
      </c>
      <c r="AE363" t="s">
        <v>121</v>
      </c>
      <c r="AF363" t="s">
        <v>122</v>
      </c>
      <c r="AG363">
        <v>4228570.18</v>
      </c>
      <c r="AH363" t="s">
        <v>112</v>
      </c>
      <c r="AI363" t="s">
        <v>152</v>
      </c>
      <c r="AJ363" t="s">
        <v>153</v>
      </c>
      <c r="AK363" t="s">
        <v>154</v>
      </c>
      <c r="AL363" t="s">
        <v>119</v>
      </c>
      <c r="AM363" t="s">
        <v>112</v>
      </c>
      <c r="AN363" t="s">
        <v>121</v>
      </c>
      <c r="AO363" t="s">
        <v>122</v>
      </c>
      <c r="AP363" t="s">
        <v>122</v>
      </c>
      <c r="AQ363" t="s">
        <v>124</v>
      </c>
      <c r="AR363" t="s">
        <v>125</v>
      </c>
      <c r="AS363">
        <v>2</v>
      </c>
      <c r="AT363" t="s">
        <v>126</v>
      </c>
      <c r="AU363" t="s">
        <v>155</v>
      </c>
      <c r="AV363" t="s">
        <v>156</v>
      </c>
      <c r="AX363" t="s">
        <v>129</v>
      </c>
      <c r="AY363">
        <v>39177.480000000003</v>
      </c>
      <c r="BB363">
        <v>96.769199999999998</v>
      </c>
      <c r="BC363" t="s">
        <v>112</v>
      </c>
      <c r="BD363" t="s">
        <v>112</v>
      </c>
      <c r="BE363" t="s">
        <v>157</v>
      </c>
      <c r="BF363" t="s">
        <v>133</v>
      </c>
      <c r="BG363" t="s">
        <v>167</v>
      </c>
      <c r="BH363" t="s">
        <v>112</v>
      </c>
      <c r="BI363" t="s">
        <v>112</v>
      </c>
      <c r="BJ363" t="s">
        <v>112</v>
      </c>
      <c r="BK363" t="s">
        <v>158</v>
      </c>
      <c r="BL363" t="s">
        <v>159</v>
      </c>
      <c r="BM363" t="s">
        <v>160</v>
      </c>
      <c r="BN363" t="s">
        <v>161</v>
      </c>
      <c r="BP363" t="s">
        <v>232</v>
      </c>
      <c r="BR363" t="s">
        <v>150</v>
      </c>
      <c r="BS363">
        <v>33</v>
      </c>
      <c r="BT363">
        <v>0</v>
      </c>
      <c r="BU363">
        <v>0</v>
      </c>
      <c r="BW363">
        <v>0</v>
      </c>
      <c r="BY363" t="s">
        <v>106</v>
      </c>
      <c r="BZ363" t="s">
        <v>142</v>
      </c>
      <c r="CA363" t="s">
        <v>112</v>
      </c>
      <c r="CB363" t="s">
        <v>112</v>
      </c>
      <c r="CC363" t="s">
        <v>121</v>
      </c>
      <c r="CD363">
        <v>16501.78</v>
      </c>
      <c r="CE363" t="s">
        <v>144</v>
      </c>
      <c r="CF363">
        <v>4000000</v>
      </c>
      <c r="CG363">
        <v>16375.78</v>
      </c>
      <c r="CH363">
        <v>0</v>
      </c>
      <c r="CI363" t="s">
        <v>112</v>
      </c>
      <c r="CJ363" t="s">
        <v>112</v>
      </c>
      <c r="CK363">
        <v>39177.480000000003</v>
      </c>
      <c r="CM363">
        <v>0</v>
      </c>
      <c r="CN363">
        <v>1</v>
      </c>
      <c r="CO363">
        <v>4228570.18</v>
      </c>
      <c r="CP363">
        <v>47446.080000000002</v>
      </c>
      <c r="CQ363" t="s">
        <v>145</v>
      </c>
      <c r="CR363">
        <v>47489.762000000002</v>
      </c>
      <c r="CS363">
        <v>2.9</v>
      </c>
      <c r="CT363">
        <v>45</v>
      </c>
      <c r="CV363" t="s">
        <v>1140</v>
      </c>
      <c r="CW363">
        <v>18</v>
      </c>
    </row>
    <row r="364" spans="1:101" x14ac:dyDescent="0.2">
      <c r="A364" t="s">
        <v>106</v>
      </c>
      <c r="B364" s="46">
        <v>45205</v>
      </c>
      <c r="C364" t="s">
        <v>1459</v>
      </c>
      <c r="D364" t="s">
        <v>108</v>
      </c>
      <c r="E364" t="s">
        <v>1460</v>
      </c>
      <c r="F364" t="s">
        <v>110</v>
      </c>
      <c r="G364" t="s">
        <v>111</v>
      </c>
      <c r="H364" t="s">
        <v>112</v>
      </c>
      <c r="I364" t="s">
        <v>112</v>
      </c>
      <c r="J364" t="s">
        <v>112</v>
      </c>
      <c r="K364" t="s">
        <v>150</v>
      </c>
      <c r="L364" t="s">
        <v>151</v>
      </c>
      <c r="M364" t="s">
        <v>112</v>
      </c>
      <c r="N364" t="s">
        <v>112</v>
      </c>
      <c r="O364">
        <v>1</v>
      </c>
      <c r="Q364">
        <v>1</v>
      </c>
      <c r="R364">
        <v>33</v>
      </c>
      <c r="S364" t="s">
        <v>112</v>
      </c>
      <c r="T364" t="s">
        <v>152</v>
      </c>
      <c r="U364" t="s">
        <v>153</v>
      </c>
      <c r="V364" t="s">
        <v>154</v>
      </c>
      <c r="W364" t="s">
        <v>119</v>
      </c>
      <c r="X364" t="s">
        <v>112</v>
      </c>
      <c r="Y364" t="s">
        <v>112</v>
      </c>
      <c r="Z364" t="s">
        <v>152</v>
      </c>
      <c r="AA364" t="s">
        <v>153</v>
      </c>
      <c r="AB364" t="s">
        <v>154</v>
      </c>
      <c r="AC364" t="s">
        <v>119</v>
      </c>
      <c r="AD364" t="s">
        <v>112</v>
      </c>
      <c r="AE364" t="s">
        <v>121</v>
      </c>
      <c r="AF364" t="s">
        <v>122</v>
      </c>
      <c r="AG364">
        <v>4299351.05</v>
      </c>
      <c r="AH364" t="s">
        <v>112</v>
      </c>
      <c r="AI364" t="s">
        <v>152</v>
      </c>
      <c r="AJ364" t="s">
        <v>153</v>
      </c>
      <c r="AK364" t="s">
        <v>154</v>
      </c>
      <c r="AL364" t="s">
        <v>119</v>
      </c>
      <c r="AM364" t="s">
        <v>112</v>
      </c>
      <c r="AN364" t="s">
        <v>121</v>
      </c>
      <c r="AO364" t="s">
        <v>122</v>
      </c>
      <c r="AP364" t="s">
        <v>122</v>
      </c>
      <c r="AQ364" t="s">
        <v>124</v>
      </c>
      <c r="AR364" t="s">
        <v>125</v>
      </c>
      <c r="AS364">
        <v>2</v>
      </c>
      <c r="AT364" t="s">
        <v>126</v>
      </c>
      <c r="AU364" t="s">
        <v>155</v>
      </c>
      <c r="AV364" t="s">
        <v>156</v>
      </c>
      <c r="AX364" t="s">
        <v>129</v>
      </c>
      <c r="AY364">
        <v>40438.92</v>
      </c>
      <c r="BB364">
        <v>96.769199999999998</v>
      </c>
      <c r="BC364" t="s">
        <v>112</v>
      </c>
      <c r="BD364" t="s">
        <v>112</v>
      </c>
      <c r="BE364" t="s">
        <v>157</v>
      </c>
      <c r="BF364" t="s">
        <v>133</v>
      </c>
      <c r="BG364" t="s">
        <v>134</v>
      </c>
      <c r="BH364" t="s">
        <v>112</v>
      </c>
      <c r="BI364" t="s">
        <v>112</v>
      </c>
      <c r="BJ364" t="s">
        <v>112</v>
      </c>
      <c r="BK364" t="s">
        <v>158</v>
      </c>
      <c r="BL364" t="s">
        <v>159</v>
      </c>
      <c r="BM364" t="s">
        <v>212</v>
      </c>
      <c r="BN364" t="s">
        <v>161</v>
      </c>
      <c r="BP364" t="s">
        <v>205</v>
      </c>
      <c r="BR364" t="s">
        <v>150</v>
      </c>
      <c r="BS364">
        <v>33</v>
      </c>
      <c r="BT364">
        <v>0</v>
      </c>
      <c r="BU364">
        <v>0</v>
      </c>
      <c r="BW364">
        <v>0</v>
      </c>
      <c r="BY364" t="s">
        <v>106</v>
      </c>
      <c r="BZ364" t="s">
        <v>142</v>
      </c>
      <c r="CA364" t="s">
        <v>112</v>
      </c>
      <c r="CB364" t="s">
        <v>112</v>
      </c>
      <c r="CC364" t="s">
        <v>121</v>
      </c>
      <c r="CD364">
        <v>16819.68</v>
      </c>
      <c r="CE364" t="s">
        <v>144</v>
      </c>
      <c r="CF364">
        <v>4000000</v>
      </c>
      <c r="CG364">
        <v>16798.080000000002</v>
      </c>
      <c r="CH364">
        <v>0</v>
      </c>
      <c r="CI364" t="s">
        <v>112</v>
      </c>
      <c r="CJ364" t="s">
        <v>112</v>
      </c>
      <c r="CK364">
        <v>40438.92</v>
      </c>
      <c r="CM364">
        <v>0</v>
      </c>
      <c r="CN364">
        <v>1</v>
      </c>
      <c r="CO364">
        <v>4299351.05</v>
      </c>
      <c r="CP364">
        <v>48240.27</v>
      </c>
      <c r="CQ364" t="s">
        <v>145</v>
      </c>
      <c r="CR364">
        <v>48210.489600000008</v>
      </c>
      <c r="CS364">
        <v>2.87</v>
      </c>
      <c r="CT364">
        <v>45</v>
      </c>
      <c r="CV364" t="s">
        <v>233</v>
      </c>
      <c r="CW364">
        <v>557</v>
      </c>
    </row>
    <row r="365" spans="1:101" x14ac:dyDescent="0.2">
      <c r="A365" t="s">
        <v>106</v>
      </c>
      <c r="B365" s="46">
        <v>45123</v>
      </c>
      <c r="C365" t="s">
        <v>2093</v>
      </c>
      <c r="D365" t="s">
        <v>108</v>
      </c>
      <c r="E365" t="s">
        <v>2094</v>
      </c>
      <c r="F365" t="s">
        <v>110</v>
      </c>
      <c r="G365" t="s">
        <v>111</v>
      </c>
      <c r="H365" t="s">
        <v>112</v>
      </c>
      <c r="I365" t="s">
        <v>112</v>
      </c>
      <c r="J365" t="s">
        <v>112</v>
      </c>
      <c r="K365" t="s">
        <v>150</v>
      </c>
      <c r="L365" t="s">
        <v>151</v>
      </c>
      <c r="M365" t="s">
        <v>112</v>
      </c>
      <c r="N365" t="s">
        <v>112</v>
      </c>
      <c r="O365">
        <v>1</v>
      </c>
      <c r="Q365">
        <v>1</v>
      </c>
      <c r="R365">
        <v>33</v>
      </c>
      <c r="S365" t="s">
        <v>112</v>
      </c>
      <c r="T365" t="s">
        <v>152</v>
      </c>
      <c r="U365" t="s">
        <v>153</v>
      </c>
      <c r="V365" t="s">
        <v>154</v>
      </c>
      <c r="W365" t="s">
        <v>119</v>
      </c>
      <c r="X365" t="s">
        <v>112</v>
      </c>
      <c r="Y365" t="s">
        <v>112</v>
      </c>
      <c r="Z365" t="s">
        <v>152</v>
      </c>
      <c r="AA365" t="s">
        <v>153</v>
      </c>
      <c r="AB365" t="s">
        <v>154</v>
      </c>
      <c r="AC365" t="s">
        <v>119</v>
      </c>
      <c r="AD365" t="s">
        <v>112</v>
      </c>
      <c r="AE365" t="s">
        <v>121</v>
      </c>
      <c r="AF365" t="s">
        <v>122</v>
      </c>
      <c r="AG365">
        <v>4947874</v>
      </c>
      <c r="AH365" t="s">
        <v>112</v>
      </c>
      <c r="AI365" t="s">
        <v>152</v>
      </c>
      <c r="AJ365" t="s">
        <v>153</v>
      </c>
      <c r="AK365" t="s">
        <v>154</v>
      </c>
      <c r="AL365" t="s">
        <v>119</v>
      </c>
      <c r="AM365" t="s">
        <v>112</v>
      </c>
      <c r="AN365" t="s">
        <v>121</v>
      </c>
      <c r="AO365" t="s">
        <v>122</v>
      </c>
      <c r="AP365" t="s">
        <v>122</v>
      </c>
      <c r="AQ365" t="s">
        <v>124</v>
      </c>
      <c r="AR365" t="s">
        <v>125</v>
      </c>
      <c r="AS365">
        <v>2</v>
      </c>
      <c r="AT365" t="s">
        <v>126</v>
      </c>
      <c r="AU365" t="s">
        <v>155</v>
      </c>
      <c r="AV365" t="s">
        <v>156</v>
      </c>
      <c r="AX365" t="s">
        <v>129</v>
      </c>
      <c r="AY365">
        <v>43692.91</v>
      </c>
      <c r="BB365">
        <v>102.6255</v>
      </c>
      <c r="BC365" t="s">
        <v>112</v>
      </c>
      <c r="BD365" t="s">
        <v>112</v>
      </c>
      <c r="BE365" t="s">
        <v>157</v>
      </c>
      <c r="BF365" t="s">
        <v>133</v>
      </c>
      <c r="BG365" t="s">
        <v>134</v>
      </c>
      <c r="BH365" t="s">
        <v>112</v>
      </c>
      <c r="BI365" t="s">
        <v>112</v>
      </c>
      <c r="BJ365" t="s">
        <v>112</v>
      </c>
      <c r="BK365" t="s">
        <v>158</v>
      </c>
      <c r="BL365" t="s">
        <v>159</v>
      </c>
      <c r="BM365" t="s">
        <v>212</v>
      </c>
      <c r="BN365" t="s">
        <v>161</v>
      </c>
      <c r="BP365" t="s">
        <v>205</v>
      </c>
      <c r="BR365" t="s">
        <v>150</v>
      </c>
      <c r="BS365">
        <v>33</v>
      </c>
      <c r="BT365">
        <v>0</v>
      </c>
      <c r="BU365">
        <v>0</v>
      </c>
      <c r="BW365">
        <v>0</v>
      </c>
      <c r="BY365" t="s">
        <v>106</v>
      </c>
      <c r="BZ365" t="s">
        <v>142</v>
      </c>
      <c r="CA365" t="s">
        <v>112</v>
      </c>
      <c r="CB365" t="s">
        <v>112</v>
      </c>
      <c r="CC365" t="s">
        <v>121</v>
      </c>
      <c r="CD365">
        <v>16364.43</v>
      </c>
      <c r="CE365" t="s">
        <v>144</v>
      </c>
      <c r="CF365">
        <v>4000000</v>
      </c>
      <c r="CG365">
        <v>16278.03</v>
      </c>
      <c r="CH365">
        <v>0</v>
      </c>
      <c r="CI365" t="s">
        <v>112</v>
      </c>
      <c r="CJ365" t="s">
        <v>112</v>
      </c>
      <c r="CK365">
        <v>43692.91</v>
      </c>
      <c r="CM365">
        <v>0</v>
      </c>
      <c r="CN365">
        <v>1</v>
      </c>
      <c r="CO365">
        <v>4947874</v>
      </c>
      <c r="CP365">
        <v>50847.87</v>
      </c>
      <c r="CQ365" t="s">
        <v>145</v>
      </c>
      <c r="CR365">
        <v>50787.453600000001</v>
      </c>
      <c r="CS365">
        <v>3.12</v>
      </c>
      <c r="CT365">
        <v>45</v>
      </c>
      <c r="CV365" t="s">
        <v>729</v>
      </c>
      <c r="CW365">
        <v>166</v>
      </c>
    </row>
    <row r="366" spans="1:101" x14ac:dyDescent="0.2">
      <c r="A366" t="s">
        <v>106</v>
      </c>
      <c r="B366" s="46">
        <v>45108</v>
      </c>
      <c r="C366" t="s">
        <v>2093</v>
      </c>
      <c r="D366" t="s">
        <v>108</v>
      </c>
      <c r="E366" t="s">
        <v>2094</v>
      </c>
      <c r="F366" t="s">
        <v>110</v>
      </c>
      <c r="G366" t="s">
        <v>111</v>
      </c>
      <c r="H366" t="s">
        <v>112</v>
      </c>
      <c r="I366" t="s">
        <v>112</v>
      </c>
      <c r="J366" t="s">
        <v>112</v>
      </c>
      <c r="K366" t="s">
        <v>150</v>
      </c>
      <c r="L366" t="s">
        <v>151</v>
      </c>
      <c r="M366" t="s">
        <v>112</v>
      </c>
      <c r="N366" t="s">
        <v>112</v>
      </c>
      <c r="O366">
        <v>1</v>
      </c>
      <c r="Q366">
        <v>1</v>
      </c>
      <c r="R366">
        <v>33</v>
      </c>
      <c r="S366" t="s">
        <v>112</v>
      </c>
      <c r="T366" t="s">
        <v>152</v>
      </c>
      <c r="U366" t="s">
        <v>153</v>
      </c>
      <c r="V366" t="s">
        <v>154</v>
      </c>
      <c r="W366" t="s">
        <v>119</v>
      </c>
      <c r="X366" t="s">
        <v>112</v>
      </c>
      <c r="Y366" t="s">
        <v>112</v>
      </c>
      <c r="Z366" t="s">
        <v>152</v>
      </c>
      <c r="AA366" t="s">
        <v>153</v>
      </c>
      <c r="AB366" t="s">
        <v>154</v>
      </c>
      <c r="AC366" t="s">
        <v>119</v>
      </c>
      <c r="AD366" t="s">
        <v>112</v>
      </c>
      <c r="AE366" t="s">
        <v>121</v>
      </c>
      <c r="AF366" t="s">
        <v>122</v>
      </c>
      <c r="AG366">
        <v>4947874</v>
      </c>
      <c r="AH366" t="s">
        <v>112</v>
      </c>
      <c r="AI366" t="s">
        <v>152</v>
      </c>
      <c r="AJ366" t="s">
        <v>153</v>
      </c>
      <c r="AK366" t="s">
        <v>154</v>
      </c>
      <c r="AL366" t="s">
        <v>119</v>
      </c>
      <c r="AM366" t="s">
        <v>112</v>
      </c>
      <c r="AN366" t="s">
        <v>121</v>
      </c>
      <c r="AO366" t="s">
        <v>122</v>
      </c>
      <c r="AP366" t="s">
        <v>122</v>
      </c>
      <c r="AQ366" t="s">
        <v>124</v>
      </c>
      <c r="AR366" t="s">
        <v>125</v>
      </c>
      <c r="AS366">
        <v>2</v>
      </c>
      <c r="AT366" t="s">
        <v>126</v>
      </c>
      <c r="AU366" t="s">
        <v>155</v>
      </c>
      <c r="AV366" t="s">
        <v>156</v>
      </c>
      <c r="AX366" t="s">
        <v>129</v>
      </c>
      <c r="AY366">
        <v>43692.91</v>
      </c>
      <c r="BB366">
        <v>102.6255</v>
      </c>
      <c r="BC366" t="s">
        <v>112</v>
      </c>
      <c r="BD366" t="s">
        <v>112</v>
      </c>
      <c r="BE366" t="s">
        <v>157</v>
      </c>
      <c r="BF366" t="s">
        <v>133</v>
      </c>
      <c r="BG366" t="s">
        <v>134</v>
      </c>
      <c r="BH366" t="s">
        <v>112</v>
      </c>
      <c r="BI366" t="s">
        <v>112</v>
      </c>
      <c r="BJ366" t="s">
        <v>112</v>
      </c>
      <c r="BK366" t="s">
        <v>158</v>
      </c>
      <c r="BL366" t="s">
        <v>159</v>
      </c>
      <c r="BM366" t="s">
        <v>212</v>
      </c>
      <c r="BN366" t="s">
        <v>161</v>
      </c>
      <c r="BP366" t="s">
        <v>205</v>
      </c>
      <c r="BR366" t="s">
        <v>150</v>
      </c>
      <c r="BS366">
        <v>33</v>
      </c>
      <c r="BT366">
        <v>0</v>
      </c>
      <c r="BU366">
        <v>0</v>
      </c>
      <c r="BW366">
        <v>0</v>
      </c>
      <c r="BY366" t="s">
        <v>106</v>
      </c>
      <c r="BZ366" t="s">
        <v>142</v>
      </c>
      <c r="CA366" t="s">
        <v>112</v>
      </c>
      <c r="CB366" t="s">
        <v>112</v>
      </c>
      <c r="CC366" t="s">
        <v>121</v>
      </c>
      <c r="CD366">
        <v>16364.43</v>
      </c>
      <c r="CE366" t="s">
        <v>144</v>
      </c>
      <c r="CF366">
        <v>4000000</v>
      </c>
      <c r="CG366">
        <v>16278.03</v>
      </c>
      <c r="CH366">
        <v>0</v>
      </c>
      <c r="CI366" t="s">
        <v>112</v>
      </c>
      <c r="CJ366" t="s">
        <v>112</v>
      </c>
      <c r="CK366">
        <v>43692.91</v>
      </c>
      <c r="CM366">
        <v>0</v>
      </c>
      <c r="CN366">
        <v>1</v>
      </c>
      <c r="CO366">
        <v>4947874</v>
      </c>
      <c r="CP366">
        <v>50847.87</v>
      </c>
      <c r="CQ366" t="s">
        <v>145</v>
      </c>
      <c r="CR366">
        <v>50787.453600000001</v>
      </c>
      <c r="CS366">
        <v>3.12</v>
      </c>
      <c r="CT366">
        <v>45</v>
      </c>
      <c r="CV366" t="s">
        <v>729</v>
      </c>
      <c r="CW366">
        <v>166</v>
      </c>
    </row>
    <row r="367" spans="1:101" x14ac:dyDescent="0.2">
      <c r="A367" t="s">
        <v>106</v>
      </c>
      <c r="B367" s="46">
        <v>45230</v>
      </c>
      <c r="C367" t="s">
        <v>2002</v>
      </c>
      <c r="D367" t="s">
        <v>108</v>
      </c>
      <c r="E367" t="s">
        <v>2003</v>
      </c>
      <c r="F367" t="s">
        <v>110</v>
      </c>
      <c r="G367" t="s">
        <v>111</v>
      </c>
      <c r="H367" t="s">
        <v>112</v>
      </c>
      <c r="I367" t="s">
        <v>112</v>
      </c>
      <c r="J367" t="s">
        <v>112</v>
      </c>
      <c r="K367" t="s">
        <v>150</v>
      </c>
      <c r="L367" t="s">
        <v>151</v>
      </c>
      <c r="M367" t="s">
        <v>112</v>
      </c>
      <c r="N367" t="s">
        <v>112</v>
      </c>
      <c r="O367">
        <v>1</v>
      </c>
      <c r="Q367">
        <v>1</v>
      </c>
      <c r="R367">
        <v>33</v>
      </c>
      <c r="S367" t="s">
        <v>112</v>
      </c>
      <c r="T367" t="s">
        <v>152</v>
      </c>
      <c r="U367" t="s">
        <v>153</v>
      </c>
      <c r="V367" t="s">
        <v>154</v>
      </c>
      <c r="W367" t="s">
        <v>119</v>
      </c>
      <c r="X367" t="s">
        <v>112</v>
      </c>
      <c r="Y367" t="s">
        <v>112</v>
      </c>
      <c r="Z367" t="s">
        <v>152</v>
      </c>
      <c r="AA367" t="s">
        <v>153</v>
      </c>
      <c r="AB367" t="s">
        <v>154</v>
      </c>
      <c r="AC367" t="s">
        <v>119</v>
      </c>
      <c r="AD367" t="s">
        <v>112</v>
      </c>
      <c r="AE367" t="s">
        <v>121</v>
      </c>
      <c r="AF367" t="s">
        <v>122</v>
      </c>
      <c r="AG367">
        <v>5097241.58</v>
      </c>
      <c r="AH367" t="s">
        <v>112</v>
      </c>
      <c r="AI367" t="s">
        <v>152</v>
      </c>
      <c r="AJ367" t="s">
        <v>153</v>
      </c>
      <c r="AK367" t="s">
        <v>154</v>
      </c>
      <c r="AL367" t="s">
        <v>119</v>
      </c>
      <c r="AM367" t="s">
        <v>112</v>
      </c>
      <c r="AN367" t="s">
        <v>121</v>
      </c>
      <c r="AO367" t="s">
        <v>122</v>
      </c>
      <c r="AP367" t="s">
        <v>122</v>
      </c>
      <c r="AQ367" t="s">
        <v>124</v>
      </c>
      <c r="AR367" t="s">
        <v>125</v>
      </c>
      <c r="AS367">
        <v>2</v>
      </c>
      <c r="AT367" t="s">
        <v>126</v>
      </c>
      <c r="AU367" t="s">
        <v>155</v>
      </c>
      <c r="AV367" t="s">
        <v>156</v>
      </c>
      <c r="AX367" t="s">
        <v>129</v>
      </c>
      <c r="AY367">
        <v>45395.72</v>
      </c>
      <c r="BB367">
        <v>102.9211</v>
      </c>
      <c r="BC367" t="s">
        <v>112</v>
      </c>
      <c r="BD367" t="s">
        <v>112</v>
      </c>
      <c r="BE367" t="s">
        <v>157</v>
      </c>
      <c r="BF367" t="s">
        <v>133</v>
      </c>
      <c r="BG367" t="s">
        <v>134</v>
      </c>
      <c r="BH367" t="s">
        <v>112</v>
      </c>
      <c r="BI367" t="s">
        <v>112</v>
      </c>
      <c r="BJ367" t="s">
        <v>112</v>
      </c>
      <c r="BK367" t="s">
        <v>169</v>
      </c>
      <c r="BL367" t="s">
        <v>159</v>
      </c>
      <c r="BM367" t="s">
        <v>212</v>
      </c>
      <c r="BN367" t="s">
        <v>161</v>
      </c>
      <c r="BP367" t="s">
        <v>232</v>
      </c>
      <c r="BR367" t="s">
        <v>150</v>
      </c>
      <c r="BS367">
        <v>33</v>
      </c>
      <c r="BT367">
        <v>0</v>
      </c>
      <c r="BU367">
        <v>0</v>
      </c>
      <c r="BW367">
        <v>0</v>
      </c>
      <c r="BY367" t="s">
        <v>106</v>
      </c>
      <c r="BZ367" t="s">
        <v>142</v>
      </c>
      <c r="CA367" t="s">
        <v>112</v>
      </c>
      <c r="CB367" t="s">
        <v>112</v>
      </c>
      <c r="CC367" t="s">
        <v>121</v>
      </c>
      <c r="CD367">
        <v>16080.12</v>
      </c>
      <c r="CE367" t="s">
        <v>144</v>
      </c>
      <c r="CF367">
        <v>4000000</v>
      </c>
      <c r="CG367">
        <v>16062.12</v>
      </c>
      <c r="CH367">
        <v>0</v>
      </c>
      <c r="CI367" t="s">
        <v>112</v>
      </c>
      <c r="CJ367" t="s">
        <v>112</v>
      </c>
      <c r="CK367">
        <v>45395.72</v>
      </c>
      <c r="CM367">
        <v>0</v>
      </c>
      <c r="CN367">
        <v>1</v>
      </c>
      <c r="CO367">
        <v>5097241.58</v>
      </c>
      <c r="CP367">
        <v>52972.88</v>
      </c>
      <c r="CQ367" t="s">
        <v>145</v>
      </c>
      <c r="CR367">
        <v>53004.995999999999</v>
      </c>
      <c r="CS367">
        <v>3.3</v>
      </c>
      <c r="CT367">
        <v>45</v>
      </c>
      <c r="CV367" t="s">
        <v>206</v>
      </c>
      <c r="CW367">
        <v>42</v>
      </c>
    </row>
    <row r="368" spans="1:101" x14ac:dyDescent="0.2">
      <c r="A368" t="s">
        <v>106</v>
      </c>
      <c r="B368" s="46">
        <v>45124</v>
      </c>
      <c r="C368" t="s">
        <v>2004</v>
      </c>
      <c r="D368" t="s">
        <v>108</v>
      </c>
      <c r="E368" t="s">
        <v>2005</v>
      </c>
      <c r="F368" t="s">
        <v>110</v>
      </c>
      <c r="G368" t="s">
        <v>111</v>
      </c>
      <c r="H368" t="s">
        <v>112</v>
      </c>
      <c r="I368" t="s">
        <v>112</v>
      </c>
      <c r="J368" t="s">
        <v>112</v>
      </c>
      <c r="K368" t="s">
        <v>150</v>
      </c>
      <c r="L368" t="s">
        <v>151</v>
      </c>
      <c r="M368" t="s">
        <v>112</v>
      </c>
      <c r="N368" t="s">
        <v>112</v>
      </c>
      <c r="O368">
        <v>1</v>
      </c>
      <c r="Q368">
        <v>1</v>
      </c>
      <c r="R368">
        <v>33</v>
      </c>
      <c r="S368" t="s">
        <v>112</v>
      </c>
      <c r="T368" t="s">
        <v>152</v>
      </c>
      <c r="U368" t="s">
        <v>153</v>
      </c>
      <c r="V368" t="s">
        <v>154</v>
      </c>
      <c r="W368" t="s">
        <v>119</v>
      </c>
      <c r="X368" t="s">
        <v>112</v>
      </c>
      <c r="Y368" t="s">
        <v>112</v>
      </c>
      <c r="Z368" t="s">
        <v>152</v>
      </c>
      <c r="AA368" t="s">
        <v>153</v>
      </c>
      <c r="AB368" t="s">
        <v>154</v>
      </c>
      <c r="AC368" t="s">
        <v>119</v>
      </c>
      <c r="AD368" t="s">
        <v>112</v>
      </c>
      <c r="AE368" t="s">
        <v>121</v>
      </c>
      <c r="AF368" t="s">
        <v>122</v>
      </c>
      <c r="AG368">
        <v>5118945.58</v>
      </c>
      <c r="AH368" t="s">
        <v>112</v>
      </c>
      <c r="AI368" t="s">
        <v>152</v>
      </c>
      <c r="AJ368" t="s">
        <v>153</v>
      </c>
      <c r="AK368" t="s">
        <v>154</v>
      </c>
      <c r="AL368" t="s">
        <v>119</v>
      </c>
      <c r="AM368" t="s">
        <v>112</v>
      </c>
      <c r="AN368" t="s">
        <v>121</v>
      </c>
      <c r="AO368" t="s">
        <v>122</v>
      </c>
      <c r="AP368" t="s">
        <v>122</v>
      </c>
      <c r="AQ368" t="s">
        <v>124</v>
      </c>
      <c r="AR368" t="s">
        <v>125</v>
      </c>
      <c r="AS368">
        <v>2</v>
      </c>
      <c r="AT368" t="s">
        <v>126</v>
      </c>
      <c r="AU368" t="s">
        <v>155</v>
      </c>
      <c r="AV368" t="s">
        <v>156</v>
      </c>
      <c r="AX368" t="s">
        <v>129</v>
      </c>
      <c r="AY368">
        <v>45606.6</v>
      </c>
      <c r="BB368">
        <v>102.9211</v>
      </c>
      <c r="BC368" t="s">
        <v>112</v>
      </c>
      <c r="BD368" t="s">
        <v>112</v>
      </c>
      <c r="BE368" t="s">
        <v>157</v>
      </c>
      <c r="BF368" t="s">
        <v>133</v>
      </c>
      <c r="BG368" t="s">
        <v>134</v>
      </c>
      <c r="BH368" t="s">
        <v>112</v>
      </c>
      <c r="BI368" t="s">
        <v>112</v>
      </c>
      <c r="BJ368" t="s">
        <v>112</v>
      </c>
      <c r="BK368" t="s">
        <v>169</v>
      </c>
      <c r="BL368" t="s">
        <v>159</v>
      </c>
      <c r="BM368" t="s">
        <v>212</v>
      </c>
      <c r="BN368" t="s">
        <v>161</v>
      </c>
      <c r="BP368" t="s">
        <v>232</v>
      </c>
      <c r="BR368" t="s">
        <v>150</v>
      </c>
      <c r="BS368">
        <v>33</v>
      </c>
      <c r="BT368">
        <v>0</v>
      </c>
      <c r="BU368">
        <v>0</v>
      </c>
      <c r="BW368">
        <v>0</v>
      </c>
      <c r="BY368" t="s">
        <v>106</v>
      </c>
      <c r="BZ368" t="s">
        <v>142</v>
      </c>
      <c r="CA368" t="s">
        <v>112</v>
      </c>
      <c r="CB368" t="s">
        <v>112</v>
      </c>
      <c r="CC368" t="s">
        <v>121</v>
      </c>
      <c r="CD368">
        <v>17092.62</v>
      </c>
      <c r="CE368" t="s">
        <v>144</v>
      </c>
      <c r="CF368">
        <v>4000000</v>
      </c>
      <c r="CG368">
        <v>17092.62</v>
      </c>
      <c r="CH368">
        <v>0</v>
      </c>
      <c r="CI368" t="s">
        <v>112</v>
      </c>
      <c r="CJ368" t="s">
        <v>112</v>
      </c>
      <c r="CK368">
        <v>45606.6</v>
      </c>
      <c r="CM368">
        <v>0</v>
      </c>
      <c r="CN368">
        <v>1</v>
      </c>
      <c r="CO368">
        <v>5118945.58</v>
      </c>
      <c r="CP368">
        <v>53198.44</v>
      </c>
      <c r="CQ368" t="s">
        <v>145</v>
      </c>
      <c r="CR368">
        <v>53158.048199999997</v>
      </c>
      <c r="CS368">
        <v>3.11</v>
      </c>
      <c r="CT368">
        <v>45</v>
      </c>
      <c r="CV368" t="s">
        <v>1140</v>
      </c>
      <c r="CW368">
        <v>205</v>
      </c>
    </row>
    <row r="369" spans="1:101" x14ac:dyDescent="0.2">
      <c r="A369" t="s">
        <v>106</v>
      </c>
      <c r="B369" s="46">
        <v>44953</v>
      </c>
      <c r="C369" t="s">
        <v>2000</v>
      </c>
      <c r="D369" t="s">
        <v>108</v>
      </c>
      <c r="E369" t="s">
        <v>2001</v>
      </c>
      <c r="F369" t="s">
        <v>110</v>
      </c>
      <c r="G369" t="s">
        <v>111</v>
      </c>
      <c r="H369" t="s">
        <v>112</v>
      </c>
      <c r="I369" t="s">
        <v>112</v>
      </c>
      <c r="J369" t="s">
        <v>112</v>
      </c>
      <c r="K369" t="s">
        <v>150</v>
      </c>
      <c r="L369" t="s">
        <v>151</v>
      </c>
      <c r="M369" t="s">
        <v>112</v>
      </c>
      <c r="N369" t="s">
        <v>112</v>
      </c>
      <c r="O369">
        <v>1</v>
      </c>
      <c r="Q369">
        <v>1</v>
      </c>
      <c r="R369">
        <v>33</v>
      </c>
      <c r="S369" t="s">
        <v>112</v>
      </c>
      <c r="T369" t="s">
        <v>152</v>
      </c>
      <c r="U369" t="s">
        <v>153</v>
      </c>
      <c r="V369" t="s">
        <v>154</v>
      </c>
      <c r="W369" t="s">
        <v>119</v>
      </c>
      <c r="X369" t="s">
        <v>112</v>
      </c>
      <c r="Y369" t="s">
        <v>112</v>
      </c>
      <c r="Z369" t="s">
        <v>152</v>
      </c>
      <c r="AA369" t="s">
        <v>153</v>
      </c>
      <c r="AB369" t="s">
        <v>154</v>
      </c>
      <c r="AC369" t="s">
        <v>119</v>
      </c>
      <c r="AD369" t="s">
        <v>112</v>
      </c>
      <c r="AE369" t="s">
        <v>121</v>
      </c>
      <c r="AF369" t="s">
        <v>122</v>
      </c>
      <c r="AG369">
        <v>5813337.7800000003</v>
      </c>
      <c r="AH369" t="s">
        <v>112</v>
      </c>
      <c r="AI369" t="s">
        <v>152</v>
      </c>
      <c r="AJ369" t="s">
        <v>153</v>
      </c>
      <c r="AK369" t="s">
        <v>154</v>
      </c>
      <c r="AL369" t="s">
        <v>119</v>
      </c>
      <c r="AM369" t="s">
        <v>112</v>
      </c>
      <c r="AN369" t="s">
        <v>121</v>
      </c>
      <c r="AO369" t="s">
        <v>122</v>
      </c>
      <c r="AP369" t="s">
        <v>122</v>
      </c>
      <c r="AQ369" t="s">
        <v>124</v>
      </c>
      <c r="AR369" t="s">
        <v>125</v>
      </c>
      <c r="AS369">
        <v>2</v>
      </c>
      <c r="AT369" t="s">
        <v>126</v>
      </c>
      <c r="AU369" t="s">
        <v>155</v>
      </c>
      <c r="AV369" t="s">
        <v>156</v>
      </c>
      <c r="AX369" t="s">
        <v>129</v>
      </c>
      <c r="AY369">
        <v>51833.440000000002</v>
      </c>
      <c r="BB369">
        <v>102.9211</v>
      </c>
      <c r="BC369" t="s">
        <v>112</v>
      </c>
      <c r="BD369" t="s">
        <v>112</v>
      </c>
      <c r="BE369" t="s">
        <v>157</v>
      </c>
      <c r="BF369" t="s">
        <v>133</v>
      </c>
      <c r="BG369" t="s">
        <v>134</v>
      </c>
      <c r="BH369" t="s">
        <v>112</v>
      </c>
      <c r="BI369" t="s">
        <v>112</v>
      </c>
      <c r="BJ369" t="s">
        <v>112</v>
      </c>
      <c r="BK369" t="s">
        <v>169</v>
      </c>
      <c r="BL369" t="s">
        <v>159</v>
      </c>
      <c r="BM369" t="s">
        <v>212</v>
      </c>
      <c r="BN369" t="s">
        <v>161</v>
      </c>
      <c r="BP369" t="s">
        <v>1426</v>
      </c>
      <c r="BR369" t="s">
        <v>150</v>
      </c>
      <c r="BS369">
        <v>33</v>
      </c>
      <c r="BT369">
        <v>0</v>
      </c>
      <c r="BU369">
        <v>0</v>
      </c>
      <c r="BW369">
        <v>0</v>
      </c>
      <c r="BY369" t="s">
        <v>106</v>
      </c>
      <c r="BZ369" t="s">
        <v>142</v>
      </c>
      <c r="CA369" t="s">
        <v>112</v>
      </c>
      <c r="CB369" t="s">
        <v>112</v>
      </c>
      <c r="CC369" t="s">
        <v>121</v>
      </c>
      <c r="CD369">
        <v>16160.64</v>
      </c>
      <c r="CE369" t="s">
        <v>144</v>
      </c>
      <c r="CF369">
        <v>4000000</v>
      </c>
      <c r="CG369">
        <v>16160.64</v>
      </c>
      <c r="CH369">
        <v>0</v>
      </c>
      <c r="CI369" t="s">
        <v>112</v>
      </c>
      <c r="CJ369" t="s">
        <v>112</v>
      </c>
      <c r="CK369">
        <v>51833.440000000002</v>
      </c>
      <c r="CM369">
        <v>0</v>
      </c>
      <c r="CN369">
        <v>1</v>
      </c>
      <c r="CO369">
        <v>5813337.7800000003</v>
      </c>
      <c r="CP369">
        <v>60414.89</v>
      </c>
      <c r="CQ369" t="s">
        <v>145</v>
      </c>
      <c r="CR369">
        <v>60440.793600000005</v>
      </c>
      <c r="CS369">
        <v>3.74</v>
      </c>
      <c r="CT369">
        <v>45</v>
      </c>
      <c r="CV369" t="s">
        <v>233</v>
      </c>
      <c r="CW369">
        <v>155</v>
      </c>
    </row>
    <row r="370" spans="1:101" x14ac:dyDescent="0.2">
      <c r="A370" t="s">
        <v>106</v>
      </c>
      <c r="B370" s="46">
        <v>45177</v>
      </c>
      <c r="C370" t="s">
        <v>1525</v>
      </c>
      <c r="D370" t="s">
        <v>108</v>
      </c>
      <c r="E370" t="s">
        <v>1526</v>
      </c>
      <c r="F370" t="s">
        <v>110</v>
      </c>
      <c r="G370" t="s">
        <v>111</v>
      </c>
      <c r="H370" t="s">
        <v>112</v>
      </c>
      <c r="I370" t="s">
        <v>112</v>
      </c>
      <c r="J370" t="s">
        <v>112</v>
      </c>
      <c r="K370" t="s">
        <v>150</v>
      </c>
      <c r="L370" t="s">
        <v>1060</v>
      </c>
      <c r="M370" t="s">
        <v>112</v>
      </c>
      <c r="N370" t="s">
        <v>112</v>
      </c>
      <c r="O370">
        <v>1</v>
      </c>
      <c r="P370">
        <v>0</v>
      </c>
      <c r="Q370">
        <v>1</v>
      </c>
      <c r="R370">
        <v>33</v>
      </c>
      <c r="S370" t="s">
        <v>166</v>
      </c>
      <c r="T370" t="s">
        <v>152</v>
      </c>
      <c r="U370" t="s">
        <v>153</v>
      </c>
      <c r="V370" t="s">
        <v>154</v>
      </c>
      <c r="W370" t="s">
        <v>119</v>
      </c>
      <c r="X370" t="s">
        <v>112</v>
      </c>
      <c r="Y370" t="s">
        <v>166</v>
      </c>
      <c r="Z370" t="s">
        <v>152</v>
      </c>
      <c r="AA370" t="s">
        <v>153</v>
      </c>
      <c r="AB370" t="s">
        <v>154</v>
      </c>
      <c r="AC370" t="s">
        <v>119</v>
      </c>
      <c r="AD370" t="s">
        <v>112</v>
      </c>
      <c r="AE370" t="s">
        <v>121</v>
      </c>
      <c r="AF370" t="s">
        <v>122</v>
      </c>
      <c r="AG370">
        <v>4669426.67</v>
      </c>
      <c r="AH370" t="s">
        <v>166</v>
      </c>
      <c r="AI370" t="s">
        <v>152</v>
      </c>
      <c r="AJ370" t="s">
        <v>153</v>
      </c>
      <c r="AK370" t="s">
        <v>154</v>
      </c>
      <c r="AL370" t="s">
        <v>119</v>
      </c>
      <c r="AM370" t="s">
        <v>112</v>
      </c>
      <c r="AN370" t="s">
        <v>121</v>
      </c>
      <c r="AO370" t="s">
        <v>122</v>
      </c>
      <c r="AP370" t="s">
        <v>122</v>
      </c>
      <c r="AQ370" t="s">
        <v>124</v>
      </c>
      <c r="AR370" t="s">
        <v>125</v>
      </c>
      <c r="AS370">
        <v>2</v>
      </c>
      <c r="AT370" t="s">
        <v>126</v>
      </c>
      <c r="AU370" t="s">
        <v>155</v>
      </c>
      <c r="AV370" t="s">
        <v>156</v>
      </c>
      <c r="AW370">
        <v>1</v>
      </c>
      <c r="AX370" t="s">
        <v>129</v>
      </c>
      <c r="AY370">
        <v>40930.239999999998</v>
      </c>
      <c r="AZ370">
        <v>4193062</v>
      </c>
      <c r="BA370">
        <v>51197.27</v>
      </c>
      <c r="BB370">
        <v>102.44410000000001</v>
      </c>
      <c r="BC370" t="s">
        <v>130</v>
      </c>
      <c r="BD370" t="s">
        <v>112</v>
      </c>
      <c r="BE370" t="s">
        <v>157</v>
      </c>
      <c r="BF370" t="s">
        <v>133</v>
      </c>
      <c r="BG370" t="s">
        <v>134</v>
      </c>
      <c r="BH370" t="s">
        <v>112</v>
      </c>
      <c r="BI370" t="s">
        <v>112</v>
      </c>
      <c r="BJ370" t="s">
        <v>112</v>
      </c>
      <c r="BK370" t="s">
        <v>169</v>
      </c>
      <c r="BL370" t="s">
        <v>159</v>
      </c>
      <c r="BM370" t="s">
        <v>722</v>
      </c>
      <c r="BN370" t="s">
        <v>161</v>
      </c>
      <c r="BO370">
        <v>1</v>
      </c>
      <c r="BP370" t="s">
        <v>1527</v>
      </c>
      <c r="BR370" t="s">
        <v>150</v>
      </c>
      <c r="BS370">
        <v>33</v>
      </c>
      <c r="BT370">
        <v>0</v>
      </c>
      <c r="BU370">
        <v>0</v>
      </c>
      <c r="BW370">
        <v>0</v>
      </c>
      <c r="BY370" t="s">
        <v>106</v>
      </c>
      <c r="BZ370" t="s">
        <v>142</v>
      </c>
      <c r="CA370" t="s">
        <v>112</v>
      </c>
      <c r="CB370" t="s">
        <v>112</v>
      </c>
      <c r="CC370" t="s">
        <v>121</v>
      </c>
      <c r="CD370">
        <v>16681.939999999999</v>
      </c>
      <c r="CE370" t="s">
        <v>144</v>
      </c>
      <c r="CF370">
        <v>4000000</v>
      </c>
      <c r="CG370">
        <v>16577.54</v>
      </c>
      <c r="CH370">
        <v>0</v>
      </c>
      <c r="CI370" t="s">
        <v>112</v>
      </c>
      <c r="CJ370" t="s">
        <v>112</v>
      </c>
      <c r="CK370">
        <v>40930.239999999998</v>
      </c>
      <c r="CL370">
        <v>4193062</v>
      </c>
      <c r="CM370">
        <v>0</v>
      </c>
      <c r="CN370">
        <v>1</v>
      </c>
      <c r="CO370">
        <v>4669426.67</v>
      </c>
      <c r="CP370">
        <v>51197.27</v>
      </c>
      <c r="CQ370" t="s">
        <v>145</v>
      </c>
      <c r="CR370">
        <v>51224.598599999998</v>
      </c>
      <c r="CS370">
        <v>3.09</v>
      </c>
      <c r="CT370">
        <v>45</v>
      </c>
      <c r="CU370" t="s">
        <v>171</v>
      </c>
      <c r="CV370" t="s">
        <v>350</v>
      </c>
      <c r="CW370">
        <v>340</v>
      </c>
    </row>
    <row r="371" spans="1:101" x14ac:dyDescent="0.2">
      <c r="A371" t="s">
        <v>106</v>
      </c>
      <c r="B371" s="46">
        <v>45211</v>
      </c>
      <c r="C371" t="s">
        <v>1528</v>
      </c>
      <c r="D371" t="s">
        <v>108</v>
      </c>
      <c r="E371" t="s">
        <v>1529</v>
      </c>
      <c r="F371" t="s">
        <v>110</v>
      </c>
      <c r="G371" t="s">
        <v>111</v>
      </c>
      <c r="H371" t="s">
        <v>112</v>
      </c>
      <c r="I371" t="s">
        <v>112</v>
      </c>
      <c r="J371" t="s">
        <v>112</v>
      </c>
      <c r="K371" t="s">
        <v>150</v>
      </c>
      <c r="L371" t="s">
        <v>1060</v>
      </c>
      <c r="M371" t="s">
        <v>112</v>
      </c>
      <c r="N371" t="s">
        <v>112</v>
      </c>
      <c r="O371">
        <v>1</v>
      </c>
      <c r="P371">
        <v>0</v>
      </c>
      <c r="Q371">
        <v>1</v>
      </c>
      <c r="R371">
        <v>33</v>
      </c>
      <c r="S371" t="s">
        <v>166</v>
      </c>
      <c r="T371" t="s">
        <v>152</v>
      </c>
      <c r="U371" t="s">
        <v>153</v>
      </c>
      <c r="V371" t="s">
        <v>154</v>
      </c>
      <c r="W371" t="s">
        <v>119</v>
      </c>
      <c r="X371" t="s">
        <v>112</v>
      </c>
      <c r="Y371" t="s">
        <v>166</v>
      </c>
      <c r="Z371" t="s">
        <v>152</v>
      </c>
      <c r="AA371" t="s">
        <v>153</v>
      </c>
      <c r="AB371" t="s">
        <v>154</v>
      </c>
      <c r="AC371" t="s">
        <v>119</v>
      </c>
      <c r="AD371" t="s">
        <v>112</v>
      </c>
      <c r="AE371" t="s">
        <v>121</v>
      </c>
      <c r="AF371" t="s">
        <v>122</v>
      </c>
      <c r="AG371">
        <v>4707310.49</v>
      </c>
      <c r="AH371" t="s">
        <v>166</v>
      </c>
      <c r="AI371" t="s">
        <v>152</v>
      </c>
      <c r="AJ371" t="s">
        <v>153</v>
      </c>
      <c r="AK371" t="s">
        <v>154</v>
      </c>
      <c r="AL371" t="s">
        <v>119</v>
      </c>
      <c r="AM371" t="s">
        <v>112</v>
      </c>
      <c r="AN371" t="s">
        <v>121</v>
      </c>
      <c r="AO371" t="s">
        <v>122</v>
      </c>
      <c r="AP371" t="s">
        <v>122</v>
      </c>
      <c r="AQ371" t="s">
        <v>124</v>
      </c>
      <c r="AR371" t="s">
        <v>125</v>
      </c>
      <c r="AS371">
        <v>2</v>
      </c>
      <c r="AT371" t="s">
        <v>126</v>
      </c>
      <c r="AU371" t="s">
        <v>155</v>
      </c>
      <c r="AV371" t="s">
        <v>156</v>
      </c>
      <c r="AW371">
        <v>1</v>
      </c>
      <c r="AX371" t="s">
        <v>129</v>
      </c>
      <c r="AY371">
        <v>41820.04</v>
      </c>
      <c r="AZ371">
        <v>4284216</v>
      </c>
      <c r="BA371">
        <v>51612.639999999999</v>
      </c>
      <c r="BB371">
        <v>102.44410000000001</v>
      </c>
      <c r="BC371" t="s">
        <v>130</v>
      </c>
      <c r="BD371" t="s">
        <v>112</v>
      </c>
      <c r="BE371" t="s">
        <v>157</v>
      </c>
      <c r="BF371" t="s">
        <v>133</v>
      </c>
      <c r="BG371" t="s">
        <v>134</v>
      </c>
      <c r="BH371" t="s">
        <v>112</v>
      </c>
      <c r="BI371" t="s">
        <v>112</v>
      </c>
      <c r="BJ371" t="s">
        <v>112</v>
      </c>
      <c r="BK371" t="s">
        <v>169</v>
      </c>
      <c r="BL371" t="s">
        <v>159</v>
      </c>
      <c r="BM371" t="s">
        <v>722</v>
      </c>
      <c r="BN371" t="s">
        <v>161</v>
      </c>
      <c r="BO371">
        <v>1</v>
      </c>
      <c r="BP371" t="s">
        <v>1530</v>
      </c>
      <c r="BR371" t="s">
        <v>150</v>
      </c>
      <c r="BS371">
        <v>33</v>
      </c>
      <c r="BT371">
        <v>0</v>
      </c>
      <c r="BU371">
        <v>0</v>
      </c>
      <c r="BW371">
        <v>0</v>
      </c>
      <c r="BY371" t="s">
        <v>106</v>
      </c>
      <c r="BZ371" t="s">
        <v>142</v>
      </c>
      <c r="CA371" t="s">
        <v>112</v>
      </c>
      <c r="CB371" t="s">
        <v>112</v>
      </c>
      <c r="CC371" t="s">
        <v>121</v>
      </c>
      <c r="CD371">
        <v>17162.77</v>
      </c>
      <c r="CE371" t="s">
        <v>144</v>
      </c>
      <c r="CF371">
        <v>4000000</v>
      </c>
      <c r="CG371">
        <v>17108.77</v>
      </c>
      <c r="CH371">
        <v>0</v>
      </c>
      <c r="CI371" t="s">
        <v>112</v>
      </c>
      <c r="CJ371" t="s">
        <v>112</v>
      </c>
      <c r="CK371">
        <v>41820.04</v>
      </c>
      <c r="CL371">
        <v>4284216</v>
      </c>
      <c r="CM371">
        <v>0</v>
      </c>
      <c r="CN371">
        <v>1</v>
      </c>
      <c r="CO371">
        <v>4707310.49</v>
      </c>
      <c r="CP371">
        <v>51612.639999999999</v>
      </c>
      <c r="CQ371" t="s">
        <v>145</v>
      </c>
      <c r="CR371">
        <v>51668.485400000005</v>
      </c>
      <c r="CS371">
        <v>3.02</v>
      </c>
      <c r="CT371">
        <v>45</v>
      </c>
      <c r="CU371" t="s">
        <v>171</v>
      </c>
      <c r="CV371" t="s">
        <v>369</v>
      </c>
      <c r="CW371">
        <v>551</v>
      </c>
    </row>
    <row r="372" spans="1:101" x14ac:dyDescent="0.2">
      <c r="A372" t="s">
        <v>106</v>
      </c>
      <c r="B372" s="46">
        <v>44781</v>
      </c>
      <c r="C372" t="s">
        <v>1533</v>
      </c>
      <c r="D372" t="s">
        <v>108</v>
      </c>
      <c r="E372" t="s">
        <v>1534</v>
      </c>
      <c r="F372" t="s">
        <v>110</v>
      </c>
      <c r="G372" t="s">
        <v>111</v>
      </c>
      <c r="H372" t="s">
        <v>112</v>
      </c>
      <c r="I372" t="s">
        <v>112</v>
      </c>
      <c r="J372" t="s">
        <v>112</v>
      </c>
      <c r="K372" t="s">
        <v>150</v>
      </c>
      <c r="L372" t="s">
        <v>1060</v>
      </c>
      <c r="M372" t="s">
        <v>112</v>
      </c>
      <c r="N372" t="s">
        <v>112</v>
      </c>
      <c r="O372">
        <v>1</v>
      </c>
      <c r="P372">
        <v>0</v>
      </c>
      <c r="Q372">
        <v>1</v>
      </c>
      <c r="R372">
        <v>33</v>
      </c>
      <c r="S372" t="s">
        <v>166</v>
      </c>
      <c r="T372" t="s">
        <v>152</v>
      </c>
      <c r="U372" t="s">
        <v>153</v>
      </c>
      <c r="V372" t="s">
        <v>154</v>
      </c>
      <c r="W372" t="s">
        <v>119</v>
      </c>
      <c r="X372" t="s">
        <v>112</v>
      </c>
      <c r="Y372" t="s">
        <v>166</v>
      </c>
      <c r="Z372" t="s">
        <v>152</v>
      </c>
      <c r="AA372" t="s">
        <v>153</v>
      </c>
      <c r="AB372" t="s">
        <v>154</v>
      </c>
      <c r="AC372" t="s">
        <v>119</v>
      </c>
      <c r="AD372" t="s">
        <v>112</v>
      </c>
      <c r="AE372" t="s">
        <v>121</v>
      </c>
      <c r="AF372" t="s">
        <v>122</v>
      </c>
      <c r="AG372">
        <v>4326091.41</v>
      </c>
      <c r="AH372" t="s">
        <v>166</v>
      </c>
      <c r="AI372" t="s">
        <v>152</v>
      </c>
      <c r="AJ372" t="s">
        <v>153</v>
      </c>
      <c r="AK372" t="s">
        <v>154</v>
      </c>
      <c r="AL372" t="s">
        <v>119</v>
      </c>
      <c r="AM372" t="s">
        <v>112</v>
      </c>
      <c r="AN372" t="s">
        <v>121</v>
      </c>
      <c r="AO372" t="s">
        <v>122</v>
      </c>
      <c r="AP372" t="s">
        <v>122</v>
      </c>
      <c r="AQ372" t="s">
        <v>124</v>
      </c>
      <c r="AR372" t="s">
        <v>125</v>
      </c>
      <c r="AS372">
        <v>2</v>
      </c>
      <c r="AT372" t="s">
        <v>126</v>
      </c>
      <c r="AU372" t="s">
        <v>155</v>
      </c>
      <c r="AV372" t="s">
        <v>156</v>
      </c>
      <c r="AW372">
        <v>1</v>
      </c>
      <c r="AX372" t="s">
        <v>129</v>
      </c>
      <c r="AY372">
        <v>38098.800000000003</v>
      </c>
      <c r="AZ372">
        <v>3902997</v>
      </c>
      <c r="BA372">
        <v>47432.82</v>
      </c>
      <c r="BB372">
        <v>102.44410000000001</v>
      </c>
      <c r="BC372" t="s">
        <v>130</v>
      </c>
      <c r="BD372" t="s">
        <v>112</v>
      </c>
      <c r="BE372" t="s">
        <v>157</v>
      </c>
      <c r="BF372" t="s">
        <v>133</v>
      </c>
      <c r="BG372" t="s">
        <v>134</v>
      </c>
      <c r="BH372" t="s">
        <v>112</v>
      </c>
      <c r="BI372" t="s">
        <v>112</v>
      </c>
      <c r="BJ372" t="s">
        <v>112</v>
      </c>
      <c r="BK372" t="s">
        <v>169</v>
      </c>
      <c r="BL372" t="s">
        <v>159</v>
      </c>
      <c r="BM372" t="s">
        <v>722</v>
      </c>
      <c r="BN372" t="s">
        <v>161</v>
      </c>
      <c r="BO372">
        <v>1</v>
      </c>
      <c r="BP372" t="s">
        <v>162</v>
      </c>
      <c r="BR372" t="s">
        <v>150</v>
      </c>
      <c r="BS372">
        <v>33</v>
      </c>
      <c r="BT372">
        <v>0</v>
      </c>
      <c r="BU372">
        <v>0</v>
      </c>
      <c r="BW372">
        <v>0</v>
      </c>
      <c r="BY372" t="s">
        <v>106</v>
      </c>
      <c r="BZ372" t="s">
        <v>142</v>
      </c>
      <c r="CA372" t="s">
        <v>112</v>
      </c>
      <c r="CB372" t="s">
        <v>112</v>
      </c>
      <c r="CC372" t="s">
        <v>121</v>
      </c>
      <c r="CD372">
        <v>16153.01</v>
      </c>
      <c r="CE372" t="s">
        <v>144</v>
      </c>
      <c r="CF372">
        <v>4000000</v>
      </c>
      <c r="CG372">
        <v>16058.21</v>
      </c>
      <c r="CH372">
        <v>0</v>
      </c>
      <c r="CI372" t="s">
        <v>112</v>
      </c>
      <c r="CJ372" t="s">
        <v>112</v>
      </c>
      <c r="CK372">
        <v>38098.800000000003</v>
      </c>
      <c r="CL372">
        <v>3902997</v>
      </c>
      <c r="CM372">
        <v>0</v>
      </c>
      <c r="CN372">
        <v>1</v>
      </c>
      <c r="CO372">
        <v>4326091.41</v>
      </c>
      <c r="CP372">
        <v>47432.82</v>
      </c>
      <c r="CQ372" t="s">
        <v>145</v>
      </c>
      <c r="CR372">
        <v>47371.719499999999</v>
      </c>
      <c r="CS372">
        <v>2.95</v>
      </c>
      <c r="CT372">
        <v>45</v>
      </c>
      <c r="CU372" t="s">
        <v>171</v>
      </c>
      <c r="CV372" t="s">
        <v>372</v>
      </c>
      <c r="CW372">
        <v>581</v>
      </c>
    </row>
    <row r="373" spans="1:101" x14ac:dyDescent="0.2">
      <c r="A373" t="s">
        <v>106</v>
      </c>
      <c r="B373" s="46">
        <v>45288</v>
      </c>
      <c r="C373" t="s">
        <v>1347</v>
      </c>
      <c r="D373" t="s">
        <v>108</v>
      </c>
      <c r="E373" t="s">
        <v>1348</v>
      </c>
      <c r="F373" t="s">
        <v>110</v>
      </c>
      <c r="G373" t="s">
        <v>111</v>
      </c>
      <c r="H373" t="s">
        <v>112</v>
      </c>
      <c r="I373" t="s">
        <v>112</v>
      </c>
      <c r="J373" t="s">
        <v>112</v>
      </c>
      <c r="K373" t="s">
        <v>150</v>
      </c>
      <c r="L373" t="s">
        <v>1020</v>
      </c>
      <c r="M373" t="s">
        <v>112</v>
      </c>
      <c r="N373" t="s">
        <v>112</v>
      </c>
      <c r="O373">
        <v>1</v>
      </c>
      <c r="P373">
        <v>0</v>
      </c>
      <c r="Q373">
        <v>1</v>
      </c>
      <c r="R373">
        <v>33</v>
      </c>
      <c r="S373" t="s">
        <v>166</v>
      </c>
      <c r="T373" t="s">
        <v>152</v>
      </c>
      <c r="U373" t="s">
        <v>153</v>
      </c>
      <c r="V373" t="s">
        <v>154</v>
      </c>
      <c r="W373" t="s">
        <v>119</v>
      </c>
      <c r="X373" t="s">
        <v>112</v>
      </c>
      <c r="Y373" t="s">
        <v>166</v>
      </c>
      <c r="Z373" t="s">
        <v>152</v>
      </c>
      <c r="AA373" t="s">
        <v>153</v>
      </c>
      <c r="AB373" t="s">
        <v>154</v>
      </c>
      <c r="AC373" t="s">
        <v>119</v>
      </c>
      <c r="AD373" t="s">
        <v>112</v>
      </c>
      <c r="AE373" t="s">
        <v>121</v>
      </c>
      <c r="AF373" t="s">
        <v>122</v>
      </c>
      <c r="AG373">
        <v>4186515.21</v>
      </c>
      <c r="AH373" t="s">
        <v>166</v>
      </c>
      <c r="AI373" t="s">
        <v>152</v>
      </c>
      <c r="AJ373" t="s">
        <v>153</v>
      </c>
      <c r="AK373" t="s">
        <v>154</v>
      </c>
      <c r="AL373" t="s">
        <v>119</v>
      </c>
      <c r="AM373" t="s">
        <v>112</v>
      </c>
      <c r="AN373" t="s">
        <v>121</v>
      </c>
      <c r="AO373" t="s">
        <v>122</v>
      </c>
      <c r="AP373" t="s">
        <v>122</v>
      </c>
      <c r="AQ373" t="s">
        <v>124</v>
      </c>
      <c r="AR373" t="s">
        <v>125</v>
      </c>
      <c r="AS373">
        <v>2</v>
      </c>
      <c r="AT373" t="s">
        <v>126</v>
      </c>
      <c r="AU373" t="s">
        <v>155</v>
      </c>
      <c r="AV373" t="s">
        <v>156</v>
      </c>
      <c r="AW373">
        <v>1</v>
      </c>
      <c r="AX373" t="s">
        <v>129</v>
      </c>
      <c r="AY373">
        <v>40956.43</v>
      </c>
      <c r="AZ373">
        <v>3759661</v>
      </c>
      <c r="BA373">
        <v>49847.42</v>
      </c>
      <c r="BB373">
        <v>91.796599999999998</v>
      </c>
      <c r="BC373" t="s">
        <v>130</v>
      </c>
      <c r="BD373" t="s">
        <v>112</v>
      </c>
      <c r="BE373" t="s">
        <v>157</v>
      </c>
      <c r="BF373" t="s">
        <v>133</v>
      </c>
      <c r="BG373" t="s">
        <v>134</v>
      </c>
      <c r="BH373" t="s">
        <v>112</v>
      </c>
      <c r="BI373" t="s">
        <v>112</v>
      </c>
      <c r="BJ373" t="s">
        <v>112</v>
      </c>
      <c r="BK373" t="s">
        <v>169</v>
      </c>
      <c r="BL373" t="s">
        <v>159</v>
      </c>
      <c r="BM373" t="s">
        <v>722</v>
      </c>
      <c r="BN373" t="s">
        <v>161</v>
      </c>
      <c r="BO373">
        <v>1</v>
      </c>
      <c r="BP373" t="s">
        <v>1349</v>
      </c>
      <c r="BR373" t="s">
        <v>150</v>
      </c>
      <c r="BS373">
        <v>33</v>
      </c>
      <c r="BT373">
        <v>0</v>
      </c>
      <c r="BU373">
        <v>0</v>
      </c>
      <c r="BW373">
        <v>0</v>
      </c>
      <c r="BY373" t="s">
        <v>106</v>
      </c>
      <c r="BZ373" t="s">
        <v>142</v>
      </c>
      <c r="CA373" t="s">
        <v>112</v>
      </c>
      <c r="CB373" t="s">
        <v>112</v>
      </c>
      <c r="CC373" t="s">
        <v>121</v>
      </c>
      <c r="CD373">
        <v>16635.57</v>
      </c>
      <c r="CE373" t="s">
        <v>144</v>
      </c>
      <c r="CF373">
        <v>4000000</v>
      </c>
      <c r="CG373">
        <v>16613.97</v>
      </c>
      <c r="CH373">
        <v>0</v>
      </c>
      <c r="CI373" t="s">
        <v>112</v>
      </c>
      <c r="CJ373" t="s">
        <v>112</v>
      </c>
      <c r="CK373">
        <v>40956.43</v>
      </c>
      <c r="CL373">
        <v>3759661</v>
      </c>
      <c r="CM373">
        <v>0</v>
      </c>
      <c r="CN373">
        <v>1</v>
      </c>
      <c r="CO373">
        <v>4186515.21</v>
      </c>
      <c r="CP373">
        <v>49847.42</v>
      </c>
      <c r="CQ373" t="s">
        <v>145</v>
      </c>
      <c r="CR373">
        <v>49841.91</v>
      </c>
      <c r="CS373">
        <v>3</v>
      </c>
      <c r="CT373">
        <v>45</v>
      </c>
      <c r="CU373" t="s">
        <v>171</v>
      </c>
      <c r="CV373" t="s">
        <v>463</v>
      </c>
      <c r="CW373">
        <v>128</v>
      </c>
    </row>
    <row r="374" spans="1:101" x14ac:dyDescent="0.2">
      <c r="A374" t="s">
        <v>106</v>
      </c>
      <c r="B374" s="46">
        <v>45169</v>
      </c>
      <c r="C374" t="s">
        <v>1352</v>
      </c>
      <c r="D374" t="s">
        <v>108</v>
      </c>
      <c r="E374" t="s">
        <v>1353</v>
      </c>
      <c r="F374" t="s">
        <v>110</v>
      </c>
      <c r="G374" t="s">
        <v>111</v>
      </c>
      <c r="H374" t="s">
        <v>112</v>
      </c>
      <c r="I374" t="s">
        <v>112</v>
      </c>
      <c r="J374" t="s">
        <v>112</v>
      </c>
      <c r="K374" t="s">
        <v>150</v>
      </c>
      <c r="L374" t="s">
        <v>1020</v>
      </c>
      <c r="M374" t="s">
        <v>112</v>
      </c>
      <c r="N374" t="s">
        <v>112</v>
      </c>
      <c r="O374">
        <v>1</v>
      </c>
      <c r="P374">
        <v>0</v>
      </c>
      <c r="Q374">
        <v>1</v>
      </c>
      <c r="R374">
        <v>33</v>
      </c>
      <c r="S374" t="s">
        <v>166</v>
      </c>
      <c r="T374" t="s">
        <v>152</v>
      </c>
      <c r="U374" t="s">
        <v>153</v>
      </c>
      <c r="V374" t="s">
        <v>154</v>
      </c>
      <c r="W374" t="s">
        <v>119</v>
      </c>
      <c r="X374" t="s">
        <v>112</v>
      </c>
      <c r="Y374" t="s">
        <v>166</v>
      </c>
      <c r="Z374" t="s">
        <v>152</v>
      </c>
      <c r="AA374" t="s">
        <v>153</v>
      </c>
      <c r="AB374" t="s">
        <v>154</v>
      </c>
      <c r="AC374" t="s">
        <v>119</v>
      </c>
      <c r="AD374" t="s">
        <v>112</v>
      </c>
      <c r="AE374" t="s">
        <v>121</v>
      </c>
      <c r="AF374" t="s">
        <v>122</v>
      </c>
      <c r="AG374">
        <v>4535356.0599999996</v>
      </c>
      <c r="AH374" t="s">
        <v>166</v>
      </c>
      <c r="AI374" t="s">
        <v>152</v>
      </c>
      <c r="AJ374" t="s">
        <v>153</v>
      </c>
      <c r="AK374" t="s">
        <v>154</v>
      </c>
      <c r="AL374" t="s">
        <v>119</v>
      </c>
      <c r="AM374" t="s">
        <v>112</v>
      </c>
      <c r="AN374" t="s">
        <v>121</v>
      </c>
      <c r="AO374" t="s">
        <v>122</v>
      </c>
      <c r="AP374" t="s">
        <v>122</v>
      </c>
      <c r="AQ374" t="s">
        <v>124</v>
      </c>
      <c r="AR374" t="s">
        <v>125</v>
      </c>
      <c r="AS374">
        <v>2</v>
      </c>
      <c r="AT374" t="s">
        <v>126</v>
      </c>
      <c r="AU374" t="s">
        <v>155</v>
      </c>
      <c r="AV374" t="s">
        <v>156</v>
      </c>
      <c r="AW374">
        <v>1</v>
      </c>
      <c r="AX374" t="s">
        <v>129</v>
      </c>
      <c r="AY374">
        <v>44756.58</v>
      </c>
      <c r="AZ374">
        <v>4108502</v>
      </c>
      <c r="BA374">
        <v>54000.95</v>
      </c>
      <c r="BB374">
        <v>91.796599999999998</v>
      </c>
      <c r="BC374" t="s">
        <v>130</v>
      </c>
      <c r="BD374" t="s">
        <v>112</v>
      </c>
      <c r="BE374" t="s">
        <v>157</v>
      </c>
      <c r="BF374" t="s">
        <v>133</v>
      </c>
      <c r="BG374" t="s">
        <v>134</v>
      </c>
      <c r="BH374" t="s">
        <v>112</v>
      </c>
      <c r="BI374" t="s">
        <v>112</v>
      </c>
      <c r="BJ374" t="s">
        <v>112</v>
      </c>
      <c r="BK374" t="s">
        <v>169</v>
      </c>
      <c r="BL374" t="s">
        <v>159</v>
      </c>
      <c r="BM374" t="s">
        <v>722</v>
      </c>
      <c r="BN374" t="s">
        <v>161</v>
      </c>
      <c r="BO374">
        <v>1</v>
      </c>
      <c r="BP374" t="s">
        <v>205</v>
      </c>
      <c r="BR374" t="s">
        <v>150</v>
      </c>
      <c r="BS374">
        <v>33</v>
      </c>
      <c r="BT374">
        <v>0</v>
      </c>
      <c r="BU374">
        <v>0</v>
      </c>
      <c r="BW374">
        <v>0</v>
      </c>
      <c r="BY374" t="s">
        <v>106</v>
      </c>
      <c r="BZ374" t="s">
        <v>142</v>
      </c>
      <c r="CA374" t="s">
        <v>112</v>
      </c>
      <c r="CB374" t="s">
        <v>112</v>
      </c>
      <c r="CC374" t="s">
        <v>121</v>
      </c>
      <c r="CD374">
        <v>16411.22</v>
      </c>
      <c r="CE374" t="s">
        <v>144</v>
      </c>
      <c r="CF374">
        <v>4000000</v>
      </c>
      <c r="CG374">
        <v>16357.22</v>
      </c>
      <c r="CH374">
        <v>0</v>
      </c>
      <c r="CI374" t="s">
        <v>112</v>
      </c>
      <c r="CJ374" t="s">
        <v>112</v>
      </c>
      <c r="CK374">
        <v>44756.58</v>
      </c>
      <c r="CL374">
        <v>4108502</v>
      </c>
      <c r="CM374">
        <v>0</v>
      </c>
      <c r="CN374">
        <v>1</v>
      </c>
      <c r="CO374">
        <v>4535356.0599999996</v>
      </c>
      <c r="CP374">
        <v>54000.95</v>
      </c>
      <c r="CQ374" t="s">
        <v>145</v>
      </c>
      <c r="CR374">
        <v>53978.825999999994</v>
      </c>
      <c r="CS374">
        <v>3.3</v>
      </c>
      <c r="CT374">
        <v>45</v>
      </c>
      <c r="CU374" t="s">
        <v>171</v>
      </c>
      <c r="CV374" t="s">
        <v>369</v>
      </c>
      <c r="CW374">
        <v>342</v>
      </c>
    </row>
    <row r="375" spans="1:101" x14ac:dyDescent="0.2">
      <c r="A375" t="s">
        <v>106</v>
      </c>
      <c r="B375" s="46">
        <v>44975</v>
      </c>
      <c r="C375" t="s">
        <v>1089</v>
      </c>
      <c r="D375" t="s">
        <v>108</v>
      </c>
      <c r="E375" t="s">
        <v>1090</v>
      </c>
      <c r="F375" t="s">
        <v>110</v>
      </c>
      <c r="G375" t="s">
        <v>111</v>
      </c>
      <c r="H375" t="s">
        <v>112</v>
      </c>
      <c r="I375" t="s">
        <v>112</v>
      </c>
      <c r="J375" t="s">
        <v>112</v>
      </c>
      <c r="K375" t="s">
        <v>150</v>
      </c>
      <c r="L375" t="s">
        <v>1060</v>
      </c>
      <c r="M375" t="s">
        <v>112</v>
      </c>
      <c r="N375" t="s">
        <v>112</v>
      </c>
      <c r="O375">
        <v>1</v>
      </c>
      <c r="Q375">
        <v>1</v>
      </c>
      <c r="R375">
        <v>33</v>
      </c>
      <c r="S375" t="s">
        <v>166</v>
      </c>
      <c r="T375" t="s">
        <v>152</v>
      </c>
      <c r="U375" t="s">
        <v>153</v>
      </c>
      <c r="V375" t="s">
        <v>154</v>
      </c>
      <c r="W375" t="s">
        <v>119</v>
      </c>
      <c r="X375" t="s">
        <v>112</v>
      </c>
      <c r="Y375" t="s">
        <v>166</v>
      </c>
      <c r="Z375" t="s">
        <v>152</v>
      </c>
      <c r="AA375" t="s">
        <v>153</v>
      </c>
      <c r="AB375" t="s">
        <v>154</v>
      </c>
      <c r="AC375" t="s">
        <v>119</v>
      </c>
      <c r="AD375" t="s">
        <v>112</v>
      </c>
      <c r="AE375" t="s">
        <v>121</v>
      </c>
      <c r="AF375" t="s">
        <v>122</v>
      </c>
      <c r="AG375">
        <v>4284656.18</v>
      </c>
      <c r="AH375" t="s">
        <v>166</v>
      </c>
      <c r="AI375" t="s">
        <v>152</v>
      </c>
      <c r="AJ375" t="s">
        <v>153</v>
      </c>
      <c r="AK375" t="s">
        <v>154</v>
      </c>
      <c r="AL375" t="s">
        <v>119</v>
      </c>
      <c r="AM375" t="s">
        <v>112</v>
      </c>
      <c r="AN375" t="s">
        <v>121</v>
      </c>
      <c r="AO375" t="s">
        <v>122</v>
      </c>
      <c r="AP375" t="s">
        <v>122</v>
      </c>
      <c r="AQ375" t="s">
        <v>124</v>
      </c>
      <c r="AR375" t="s">
        <v>125</v>
      </c>
      <c r="AS375">
        <v>2</v>
      </c>
      <c r="AT375" t="s">
        <v>126</v>
      </c>
      <c r="AU375" t="s">
        <v>155</v>
      </c>
      <c r="AV375" t="s">
        <v>156</v>
      </c>
      <c r="AW375">
        <v>1</v>
      </c>
      <c r="AX375" t="s">
        <v>129</v>
      </c>
      <c r="AY375">
        <v>43590.96</v>
      </c>
      <c r="AZ375">
        <v>3895881</v>
      </c>
      <c r="BA375">
        <v>52472.74</v>
      </c>
      <c r="BB375">
        <v>89.373599999999996</v>
      </c>
      <c r="BC375" t="s">
        <v>130</v>
      </c>
      <c r="BD375" t="s">
        <v>112</v>
      </c>
      <c r="BE375" t="s">
        <v>157</v>
      </c>
      <c r="BF375" t="s">
        <v>133</v>
      </c>
      <c r="BG375" t="s">
        <v>134</v>
      </c>
      <c r="BH375" t="s">
        <v>112</v>
      </c>
      <c r="BI375" t="s">
        <v>112</v>
      </c>
      <c r="BJ375" t="s">
        <v>112</v>
      </c>
      <c r="BK375" t="s">
        <v>169</v>
      </c>
      <c r="BL375" t="s">
        <v>159</v>
      </c>
      <c r="BM375" t="s">
        <v>722</v>
      </c>
      <c r="BN375" t="s">
        <v>161</v>
      </c>
      <c r="BO375">
        <v>1</v>
      </c>
      <c r="BP375" t="s">
        <v>205</v>
      </c>
      <c r="BR375" t="s">
        <v>150</v>
      </c>
      <c r="BS375">
        <v>33</v>
      </c>
      <c r="BY375" t="s">
        <v>106</v>
      </c>
      <c r="BZ375" t="s">
        <v>142</v>
      </c>
      <c r="CA375" t="s">
        <v>112</v>
      </c>
      <c r="CB375" t="s">
        <v>112</v>
      </c>
      <c r="CC375" t="s">
        <v>121</v>
      </c>
      <c r="CD375">
        <v>16454.39</v>
      </c>
      <c r="CE375" t="s">
        <v>144</v>
      </c>
      <c r="CF375">
        <v>4000000</v>
      </c>
      <c r="CG375">
        <v>16364.39</v>
      </c>
      <c r="CI375" t="s">
        <v>112</v>
      </c>
      <c r="CJ375" t="s">
        <v>112</v>
      </c>
      <c r="CK375">
        <v>43590.96</v>
      </c>
      <c r="CL375">
        <v>3895881</v>
      </c>
      <c r="CM375">
        <v>0</v>
      </c>
      <c r="CN375">
        <v>1</v>
      </c>
      <c r="CO375">
        <v>4284656.18</v>
      </c>
      <c r="CP375">
        <v>52472.74</v>
      </c>
      <c r="CQ375" t="s">
        <v>145</v>
      </c>
      <c r="CR375">
        <v>52472.416534999997</v>
      </c>
      <c r="CS375">
        <v>3.2065000000000001</v>
      </c>
      <c r="CT375">
        <v>45</v>
      </c>
      <c r="CU375" t="s">
        <v>171</v>
      </c>
      <c r="CV375" t="s">
        <v>369</v>
      </c>
      <c r="CW375">
        <v>212</v>
      </c>
    </row>
    <row r="376" spans="1:101" x14ac:dyDescent="0.2">
      <c r="A376" t="s">
        <v>106</v>
      </c>
      <c r="B376" s="46">
        <v>45121</v>
      </c>
      <c r="C376" t="s">
        <v>1083</v>
      </c>
      <c r="D376" t="s">
        <v>108</v>
      </c>
      <c r="E376" t="s">
        <v>1084</v>
      </c>
      <c r="F376" t="s">
        <v>110</v>
      </c>
      <c r="G376" t="s">
        <v>111</v>
      </c>
      <c r="H376" t="s">
        <v>112</v>
      </c>
      <c r="I376" t="s">
        <v>112</v>
      </c>
      <c r="J376" t="s">
        <v>112</v>
      </c>
      <c r="K376" t="s">
        <v>175</v>
      </c>
      <c r="L376" t="s">
        <v>1085</v>
      </c>
      <c r="M376" t="s">
        <v>112</v>
      </c>
      <c r="N376" t="s">
        <v>112</v>
      </c>
      <c r="O376">
        <v>1</v>
      </c>
      <c r="P376">
        <v>0</v>
      </c>
      <c r="Q376">
        <v>1</v>
      </c>
      <c r="R376">
        <v>33</v>
      </c>
      <c r="S376" t="s">
        <v>166</v>
      </c>
      <c r="T376" t="s">
        <v>152</v>
      </c>
      <c r="U376" t="s">
        <v>153</v>
      </c>
      <c r="V376" t="s">
        <v>154</v>
      </c>
      <c r="W376" t="s">
        <v>119</v>
      </c>
      <c r="X376" t="s">
        <v>112</v>
      </c>
      <c r="Y376" t="s">
        <v>166</v>
      </c>
      <c r="Z376" t="s">
        <v>152</v>
      </c>
      <c r="AA376" t="s">
        <v>153</v>
      </c>
      <c r="AB376" t="s">
        <v>154</v>
      </c>
      <c r="AC376" t="s">
        <v>119</v>
      </c>
      <c r="AD376" t="s">
        <v>112</v>
      </c>
      <c r="AE376" t="s">
        <v>121</v>
      </c>
      <c r="AF376" t="s">
        <v>122</v>
      </c>
      <c r="AG376">
        <v>4233638.16</v>
      </c>
      <c r="AH376" t="s">
        <v>166</v>
      </c>
      <c r="AI376" t="s">
        <v>152</v>
      </c>
      <c r="AJ376" t="s">
        <v>153</v>
      </c>
      <c r="AK376" t="s">
        <v>154</v>
      </c>
      <c r="AL376" t="s">
        <v>119</v>
      </c>
      <c r="AM376" t="s">
        <v>112</v>
      </c>
      <c r="AN376" t="s">
        <v>121</v>
      </c>
      <c r="AO376" t="s">
        <v>122</v>
      </c>
      <c r="AP376" t="s">
        <v>122</v>
      </c>
      <c r="AQ376" t="s">
        <v>124</v>
      </c>
      <c r="AR376" t="s">
        <v>125</v>
      </c>
      <c r="AS376">
        <v>2</v>
      </c>
      <c r="AT376" t="s">
        <v>126</v>
      </c>
      <c r="AU376" t="s">
        <v>155</v>
      </c>
      <c r="AV376" t="s">
        <v>156</v>
      </c>
      <c r="AW376">
        <v>1</v>
      </c>
      <c r="AX376" t="s">
        <v>129</v>
      </c>
      <c r="AY376">
        <v>43020.12</v>
      </c>
      <c r="AZ376">
        <v>3844863</v>
      </c>
      <c r="BA376">
        <v>51847.94</v>
      </c>
      <c r="BB376">
        <v>89.373599999999996</v>
      </c>
      <c r="BC376" t="s">
        <v>130</v>
      </c>
      <c r="BD376" t="s">
        <v>112</v>
      </c>
      <c r="BE376" t="s">
        <v>157</v>
      </c>
      <c r="BF376" t="s">
        <v>133</v>
      </c>
      <c r="BG376" t="s">
        <v>134</v>
      </c>
      <c r="BH376" t="s">
        <v>112</v>
      </c>
      <c r="BI376" t="s">
        <v>112</v>
      </c>
      <c r="BJ376" t="s">
        <v>112</v>
      </c>
      <c r="BK376" t="s">
        <v>169</v>
      </c>
      <c r="BL376" t="s">
        <v>159</v>
      </c>
      <c r="BM376" t="s">
        <v>722</v>
      </c>
      <c r="BN376" t="s">
        <v>161</v>
      </c>
      <c r="BO376">
        <v>1</v>
      </c>
      <c r="BP376" t="s">
        <v>205</v>
      </c>
      <c r="BR376" t="s">
        <v>150</v>
      </c>
      <c r="BS376">
        <v>33</v>
      </c>
      <c r="BT376">
        <v>0</v>
      </c>
      <c r="BU376">
        <v>0</v>
      </c>
      <c r="BW376">
        <v>0</v>
      </c>
      <c r="BY376" t="s">
        <v>106</v>
      </c>
      <c r="BZ376" t="s">
        <v>142</v>
      </c>
      <c r="CA376" t="s">
        <v>112</v>
      </c>
      <c r="CB376" t="s">
        <v>112</v>
      </c>
      <c r="CC376" t="s">
        <v>121</v>
      </c>
      <c r="CD376">
        <v>15509.08</v>
      </c>
      <c r="CE376" t="s">
        <v>144</v>
      </c>
      <c r="CF376">
        <v>4000000</v>
      </c>
      <c r="CG376">
        <v>15271.48</v>
      </c>
      <c r="CH376">
        <v>0</v>
      </c>
      <c r="CI376" t="s">
        <v>112</v>
      </c>
      <c r="CJ376" t="s">
        <v>112</v>
      </c>
      <c r="CK376">
        <v>43020.12</v>
      </c>
      <c r="CL376">
        <v>3844863</v>
      </c>
      <c r="CM376">
        <v>0</v>
      </c>
      <c r="CN376">
        <v>1</v>
      </c>
      <c r="CO376">
        <v>4233638.16</v>
      </c>
      <c r="CP376">
        <v>51847.94</v>
      </c>
      <c r="CQ376" t="s">
        <v>145</v>
      </c>
      <c r="CR376">
        <v>51848.201747999992</v>
      </c>
      <c r="CS376">
        <v>3.3950999999999998</v>
      </c>
      <c r="CT376">
        <v>45</v>
      </c>
      <c r="CU376" t="s">
        <v>171</v>
      </c>
      <c r="CV376" t="s">
        <v>463</v>
      </c>
      <c r="CW376">
        <v>163</v>
      </c>
    </row>
    <row r="377" spans="1:101" x14ac:dyDescent="0.2">
      <c r="A377" t="s">
        <v>106</v>
      </c>
      <c r="B377" s="46">
        <v>45054</v>
      </c>
      <c r="C377" t="s">
        <v>1081</v>
      </c>
      <c r="D377" t="s">
        <v>108</v>
      </c>
      <c r="E377" t="s">
        <v>1082</v>
      </c>
      <c r="F377" t="s">
        <v>110</v>
      </c>
      <c r="G377" t="s">
        <v>111</v>
      </c>
      <c r="H377" t="s">
        <v>112</v>
      </c>
      <c r="I377" t="s">
        <v>112</v>
      </c>
      <c r="J377" t="s">
        <v>112</v>
      </c>
      <c r="K377" t="s">
        <v>150</v>
      </c>
      <c r="L377" t="s">
        <v>1060</v>
      </c>
      <c r="M377" t="s">
        <v>112</v>
      </c>
      <c r="N377" t="s">
        <v>112</v>
      </c>
      <c r="O377">
        <v>1</v>
      </c>
      <c r="P377">
        <v>0</v>
      </c>
      <c r="Q377">
        <v>1</v>
      </c>
      <c r="R377">
        <v>33</v>
      </c>
      <c r="S377" t="s">
        <v>166</v>
      </c>
      <c r="T377" t="s">
        <v>152</v>
      </c>
      <c r="U377" t="s">
        <v>153</v>
      </c>
      <c r="V377" t="s">
        <v>154</v>
      </c>
      <c r="W377" t="s">
        <v>119</v>
      </c>
      <c r="X377" t="s">
        <v>112</v>
      </c>
      <c r="Y377" t="s">
        <v>166</v>
      </c>
      <c r="Z377" t="s">
        <v>152</v>
      </c>
      <c r="AA377" t="s">
        <v>153</v>
      </c>
      <c r="AB377" t="s">
        <v>154</v>
      </c>
      <c r="AC377" t="s">
        <v>119</v>
      </c>
      <c r="AD377" t="s">
        <v>112</v>
      </c>
      <c r="AE377" t="s">
        <v>121</v>
      </c>
      <c r="AF377" t="s">
        <v>122</v>
      </c>
      <c r="AG377">
        <v>4089467.82</v>
      </c>
      <c r="AH377" t="s">
        <v>166</v>
      </c>
      <c r="AI377" t="s">
        <v>152</v>
      </c>
      <c r="AJ377" t="s">
        <v>153</v>
      </c>
      <c r="AK377" t="s">
        <v>154</v>
      </c>
      <c r="AL377" t="s">
        <v>119</v>
      </c>
      <c r="AM377" t="s">
        <v>112</v>
      </c>
      <c r="AN377" t="s">
        <v>121</v>
      </c>
      <c r="AO377" t="s">
        <v>122</v>
      </c>
      <c r="AP377" t="s">
        <v>122</v>
      </c>
      <c r="AQ377" t="s">
        <v>124</v>
      </c>
      <c r="AR377" t="s">
        <v>125</v>
      </c>
      <c r="AS377">
        <v>2</v>
      </c>
      <c r="AT377" t="s">
        <v>126</v>
      </c>
      <c r="AU377" t="s">
        <v>155</v>
      </c>
      <c r="AV377" t="s">
        <v>156</v>
      </c>
      <c r="AW377">
        <v>1</v>
      </c>
      <c r="AX377" t="s">
        <v>129</v>
      </c>
      <c r="AY377">
        <v>41407</v>
      </c>
      <c r="AZ377">
        <v>3700693</v>
      </c>
      <c r="BA377">
        <v>50082.33</v>
      </c>
      <c r="BB377">
        <v>89.373599999999996</v>
      </c>
      <c r="BC377" t="s">
        <v>130</v>
      </c>
      <c r="BD377" t="s">
        <v>112</v>
      </c>
      <c r="BE377" t="s">
        <v>157</v>
      </c>
      <c r="BF377" t="s">
        <v>133</v>
      </c>
      <c r="BG377" t="s">
        <v>134</v>
      </c>
      <c r="BH377" t="s">
        <v>112</v>
      </c>
      <c r="BI377" t="s">
        <v>112</v>
      </c>
      <c r="BJ377" t="s">
        <v>112</v>
      </c>
      <c r="BK377" t="s">
        <v>169</v>
      </c>
      <c r="BL377" t="s">
        <v>159</v>
      </c>
      <c r="BM377" t="s">
        <v>722</v>
      </c>
      <c r="BN377" t="s">
        <v>161</v>
      </c>
      <c r="BO377">
        <v>1</v>
      </c>
      <c r="BP377" t="s">
        <v>466</v>
      </c>
      <c r="BR377" t="s">
        <v>150</v>
      </c>
      <c r="BS377">
        <v>33</v>
      </c>
      <c r="BT377">
        <v>0</v>
      </c>
      <c r="BU377">
        <v>0</v>
      </c>
      <c r="BW377">
        <v>0</v>
      </c>
      <c r="BY377" t="s">
        <v>106</v>
      </c>
      <c r="BZ377" t="s">
        <v>142</v>
      </c>
      <c r="CA377" t="s">
        <v>112</v>
      </c>
      <c r="CB377" t="s">
        <v>112</v>
      </c>
      <c r="CC377" t="s">
        <v>121</v>
      </c>
      <c r="CD377">
        <v>16125.42</v>
      </c>
      <c r="CE377" t="s">
        <v>144</v>
      </c>
      <c r="CF377">
        <v>4000000</v>
      </c>
      <c r="CG377">
        <v>15909.42</v>
      </c>
      <c r="CH377">
        <v>0</v>
      </c>
      <c r="CI377" t="s">
        <v>112</v>
      </c>
      <c r="CJ377" t="s">
        <v>112</v>
      </c>
      <c r="CK377">
        <v>41407</v>
      </c>
      <c r="CL377">
        <v>3700693</v>
      </c>
      <c r="CM377">
        <v>0</v>
      </c>
      <c r="CN377">
        <v>1</v>
      </c>
      <c r="CO377">
        <v>4089467.82</v>
      </c>
      <c r="CP377">
        <v>50082.33</v>
      </c>
      <c r="CQ377" t="s">
        <v>145</v>
      </c>
      <c r="CR377">
        <v>50082.854160000003</v>
      </c>
      <c r="CS377">
        <v>3.1480000000000001</v>
      </c>
      <c r="CT377">
        <v>45</v>
      </c>
      <c r="CU377" t="s">
        <v>171</v>
      </c>
      <c r="CV377" t="s">
        <v>369</v>
      </c>
      <c r="CW377">
        <v>221</v>
      </c>
    </row>
    <row r="378" spans="1:101" x14ac:dyDescent="0.2">
      <c r="A378" t="s">
        <v>106</v>
      </c>
      <c r="B378" s="46">
        <v>44970</v>
      </c>
      <c r="C378" t="s">
        <v>1086</v>
      </c>
      <c r="D378" t="s">
        <v>108</v>
      </c>
      <c r="E378" t="s">
        <v>1087</v>
      </c>
      <c r="F378" t="s">
        <v>110</v>
      </c>
      <c r="G378" t="s">
        <v>111</v>
      </c>
      <c r="H378" t="s">
        <v>112</v>
      </c>
      <c r="I378" t="s">
        <v>112</v>
      </c>
      <c r="J378" t="s">
        <v>112</v>
      </c>
      <c r="K378" t="s">
        <v>150</v>
      </c>
      <c r="L378" t="s">
        <v>1060</v>
      </c>
      <c r="M378" t="s">
        <v>112</v>
      </c>
      <c r="N378" t="s">
        <v>112</v>
      </c>
      <c r="O378">
        <v>1</v>
      </c>
      <c r="P378">
        <v>0</v>
      </c>
      <c r="Q378">
        <v>1</v>
      </c>
      <c r="R378">
        <v>33</v>
      </c>
      <c r="S378" t="s">
        <v>166</v>
      </c>
      <c r="T378" t="s">
        <v>152</v>
      </c>
      <c r="U378" t="s">
        <v>153</v>
      </c>
      <c r="V378" t="s">
        <v>154</v>
      </c>
      <c r="W378" t="s">
        <v>119</v>
      </c>
      <c r="X378" t="s">
        <v>112</v>
      </c>
      <c r="Y378" t="s">
        <v>166</v>
      </c>
      <c r="Z378" t="s">
        <v>152</v>
      </c>
      <c r="AA378" t="s">
        <v>153</v>
      </c>
      <c r="AB378" t="s">
        <v>154</v>
      </c>
      <c r="AC378" t="s">
        <v>119</v>
      </c>
      <c r="AD378" t="s">
        <v>112</v>
      </c>
      <c r="AE378" t="s">
        <v>121</v>
      </c>
      <c r="AF378" t="s">
        <v>122</v>
      </c>
      <c r="AG378">
        <v>3827833.75</v>
      </c>
      <c r="AH378" t="s">
        <v>166</v>
      </c>
      <c r="AI378" t="s">
        <v>152</v>
      </c>
      <c r="AJ378" t="s">
        <v>153</v>
      </c>
      <c r="AK378" t="s">
        <v>154</v>
      </c>
      <c r="AL378" t="s">
        <v>119</v>
      </c>
      <c r="AM378" t="s">
        <v>112</v>
      </c>
      <c r="AN378" t="s">
        <v>121</v>
      </c>
      <c r="AO378" t="s">
        <v>122</v>
      </c>
      <c r="AP378" t="s">
        <v>122</v>
      </c>
      <c r="AQ378" t="s">
        <v>124</v>
      </c>
      <c r="AR378" t="s">
        <v>125</v>
      </c>
      <c r="AS378">
        <v>2</v>
      </c>
      <c r="AT378" t="s">
        <v>126</v>
      </c>
      <c r="AU378" t="s">
        <v>155</v>
      </c>
      <c r="AV378" t="s">
        <v>156</v>
      </c>
      <c r="AW378">
        <v>1</v>
      </c>
      <c r="AX378" t="s">
        <v>129</v>
      </c>
      <c r="AY378">
        <v>38479.58</v>
      </c>
      <c r="AZ378">
        <v>3439059</v>
      </c>
      <c r="BA378">
        <v>46878.19</v>
      </c>
      <c r="BB378">
        <v>89.373599999999996</v>
      </c>
      <c r="BC378" t="s">
        <v>130</v>
      </c>
      <c r="BD378" t="s">
        <v>112</v>
      </c>
      <c r="BE378" t="s">
        <v>157</v>
      </c>
      <c r="BF378" t="s">
        <v>133</v>
      </c>
      <c r="BG378" t="s">
        <v>134</v>
      </c>
      <c r="BH378" t="s">
        <v>112</v>
      </c>
      <c r="BI378" t="s">
        <v>112</v>
      </c>
      <c r="BJ378" t="s">
        <v>112</v>
      </c>
      <c r="BK378" t="s">
        <v>169</v>
      </c>
      <c r="BL378" t="s">
        <v>159</v>
      </c>
      <c r="BM378" t="s">
        <v>722</v>
      </c>
      <c r="BN378" t="s">
        <v>161</v>
      </c>
      <c r="BO378">
        <v>1</v>
      </c>
      <c r="BP378" t="s">
        <v>1088</v>
      </c>
      <c r="BR378" t="s">
        <v>150</v>
      </c>
      <c r="BS378">
        <v>33</v>
      </c>
      <c r="BT378">
        <v>0</v>
      </c>
      <c r="BU378">
        <v>0</v>
      </c>
      <c r="BW378">
        <v>0</v>
      </c>
      <c r="BY378" t="s">
        <v>106</v>
      </c>
      <c r="BZ378" t="s">
        <v>142</v>
      </c>
      <c r="CA378" t="s">
        <v>112</v>
      </c>
      <c r="CB378" t="s">
        <v>112</v>
      </c>
      <c r="CC378" t="s">
        <v>121</v>
      </c>
      <c r="CD378">
        <v>15757.73</v>
      </c>
      <c r="CE378" t="s">
        <v>144</v>
      </c>
      <c r="CF378">
        <v>4000000</v>
      </c>
      <c r="CG378">
        <v>15455.93</v>
      </c>
      <c r="CH378">
        <v>0</v>
      </c>
      <c r="CI378" t="s">
        <v>112</v>
      </c>
      <c r="CJ378" t="s">
        <v>112</v>
      </c>
      <c r="CK378">
        <v>38479.58</v>
      </c>
      <c r="CL378">
        <v>3439059</v>
      </c>
      <c r="CM378">
        <v>0</v>
      </c>
      <c r="CN378">
        <v>1</v>
      </c>
      <c r="CO378">
        <v>3827833.75</v>
      </c>
      <c r="CP378">
        <v>46878.19</v>
      </c>
      <c r="CQ378" t="s">
        <v>145</v>
      </c>
      <c r="CR378">
        <v>46877.83569</v>
      </c>
      <c r="CS378">
        <v>3.0329999999999999</v>
      </c>
      <c r="CT378">
        <v>45</v>
      </c>
      <c r="CU378" t="s">
        <v>171</v>
      </c>
      <c r="CV378" t="s">
        <v>369</v>
      </c>
      <c r="CW378">
        <v>221</v>
      </c>
    </row>
    <row r="379" spans="1:101" x14ac:dyDescent="0.2">
      <c r="A379" t="s">
        <v>106</v>
      </c>
      <c r="B379" s="46">
        <v>45140</v>
      </c>
      <c r="C379" t="s">
        <v>964</v>
      </c>
      <c r="D379" t="s">
        <v>108</v>
      </c>
      <c r="E379" t="s">
        <v>965</v>
      </c>
      <c r="F379" t="s">
        <v>110</v>
      </c>
      <c r="G379" t="s">
        <v>111</v>
      </c>
      <c r="H379" t="s">
        <v>112</v>
      </c>
      <c r="I379" t="s">
        <v>112</v>
      </c>
      <c r="J379" t="s">
        <v>112</v>
      </c>
      <c r="K379" t="s">
        <v>150</v>
      </c>
      <c r="L379" t="s">
        <v>151</v>
      </c>
      <c r="M379" t="s">
        <v>112</v>
      </c>
      <c r="N379" t="s">
        <v>112</v>
      </c>
      <c r="O379">
        <v>1</v>
      </c>
      <c r="P379">
        <v>0</v>
      </c>
      <c r="Q379">
        <v>1</v>
      </c>
      <c r="R379">
        <v>33</v>
      </c>
      <c r="S379" t="s">
        <v>166</v>
      </c>
      <c r="T379" t="s">
        <v>152</v>
      </c>
      <c r="U379" t="s">
        <v>153</v>
      </c>
      <c r="V379" t="s">
        <v>154</v>
      </c>
      <c r="W379" t="s">
        <v>119</v>
      </c>
      <c r="X379" t="s">
        <v>112</v>
      </c>
      <c r="Y379" t="s">
        <v>166</v>
      </c>
      <c r="Z379" t="s">
        <v>152</v>
      </c>
      <c r="AA379" t="s">
        <v>153</v>
      </c>
      <c r="AB379" t="s">
        <v>154</v>
      </c>
      <c r="AC379" t="s">
        <v>119</v>
      </c>
      <c r="AD379" t="s">
        <v>112</v>
      </c>
      <c r="AE379" t="s">
        <v>121</v>
      </c>
      <c r="AF379" t="s">
        <v>122</v>
      </c>
      <c r="AG379">
        <v>3607037.6</v>
      </c>
      <c r="AH379" t="s">
        <v>166</v>
      </c>
      <c r="AI379" t="s">
        <v>152</v>
      </c>
      <c r="AJ379" t="s">
        <v>153</v>
      </c>
      <c r="AK379" t="s">
        <v>154</v>
      </c>
      <c r="AL379" t="s">
        <v>119</v>
      </c>
      <c r="AM379" t="s">
        <v>112</v>
      </c>
      <c r="AN379" t="s">
        <v>121</v>
      </c>
      <c r="AO379" t="s">
        <v>122</v>
      </c>
      <c r="AP379" t="s">
        <v>122</v>
      </c>
      <c r="AQ379" t="s">
        <v>124</v>
      </c>
      <c r="AR379" t="s">
        <v>125</v>
      </c>
      <c r="AS379">
        <v>2</v>
      </c>
      <c r="AT379" t="s">
        <v>126</v>
      </c>
      <c r="AU379" t="s">
        <v>155</v>
      </c>
      <c r="AV379" t="s">
        <v>156</v>
      </c>
      <c r="AW379">
        <v>1</v>
      </c>
      <c r="AX379" t="s">
        <v>129</v>
      </c>
      <c r="AY379">
        <v>39427.96</v>
      </c>
      <c r="AZ379">
        <v>3211940</v>
      </c>
      <c r="BA379">
        <v>47086.559999999998</v>
      </c>
      <c r="BB379">
        <v>81.463499999999996</v>
      </c>
      <c r="BC379" t="s">
        <v>130</v>
      </c>
      <c r="BD379" t="s">
        <v>112</v>
      </c>
      <c r="BE379" t="s">
        <v>157</v>
      </c>
      <c r="BF379" t="s">
        <v>133</v>
      </c>
      <c r="BG379" t="s">
        <v>167</v>
      </c>
      <c r="BH379" t="s">
        <v>168</v>
      </c>
      <c r="BI379" t="s">
        <v>112</v>
      </c>
      <c r="BJ379" t="s">
        <v>112</v>
      </c>
      <c r="BK379" t="s">
        <v>169</v>
      </c>
      <c r="BL379" t="s">
        <v>159</v>
      </c>
      <c r="BM379" t="s">
        <v>160</v>
      </c>
      <c r="BN379" t="s">
        <v>161</v>
      </c>
      <c r="BO379">
        <v>1</v>
      </c>
      <c r="BP379" t="s">
        <v>966</v>
      </c>
      <c r="BR379" t="s">
        <v>150</v>
      </c>
      <c r="BS379">
        <v>33</v>
      </c>
      <c r="BT379">
        <v>0</v>
      </c>
      <c r="BU379">
        <v>0</v>
      </c>
      <c r="BW379">
        <v>0</v>
      </c>
      <c r="BY379" t="s">
        <v>106</v>
      </c>
      <c r="BZ379" t="s">
        <v>142</v>
      </c>
      <c r="CA379" t="s">
        <v>112</v>
      </c>
      <c r="CB379" t="s">
        <v>112</v>
      </c>
      <c r="CC379" t="s">
        <v>121</v>
      </c>
      <c r="CD379">
        <v>17110.669999999998</v>
      </c>
      <c r="CE379" t="s">
        <v>144</v>
      </c>
      <c r="CF379">
        <v>4000000</v>
      </c>
      <c r="CG379">
        <v>17071.07</v>
      </c>
      <c r="CH379">
        <v>0</v>
      </c>
      <c r="CI379" t="s">
        <v>112</v>
      </c>
      <c r="CJ379" t="s">
        <v>112</v>
      </c>
      <c r="CK379">
        <v>39427.96</v>
      </c>
      <c r="CL379">
        <v>3211940</v>
      </c>
      <c r="CM379">
        <v>0</v>
      </c>
      <c r="CN379">
        <v>1</v>
      </c>
      <c r="CO379">
        <v>3607037.6</v>
      </c>
      <c r="CP379">
        <v>47086.559999999998</v>
      </c>
      <c r="CQ379" t="s">
        <v>145</v>
      </c>
      <c r="CR379">
        <v>47087.132381000003</v>
      </c>
      <c r="CS379">
        <v>2.7583000000000002</v>
      </c>
      <c r="CT379">
        <v>45</v>
      </c>
      <c r="CU379" t="s">
        <v>171</v>
      </c>
      <c r="CV379" t="s">
        <v>463</v>
      </c>
      <c r="CW379">
        <v>166</v>
      </c>
    </row>
    <row r="380" spans="1:101" x14ac:dyDescent="0.2">
      <c r="A380" t="s">
        <v>106</v>
      </c>
      <c r="B380" s="46">
        <v>45053</v>
      </c>
      <c r="C380" t="s">
        <v>956</v>
      </c>
      <c r="D380" t="s">
        <v>108</v>
      </c>
      <c r="E380" t="s">
        <v>957</v>
      </c>
      <c r="F380" t="s">
        <v>110</v>
      </c>
      <c r="G380" t="s">
        <v>111</v>
      </c>
      <c r="H380" t="s">
        <v>112</v>
      </c>
      <c r="I380" t="s">
        <v>112</v>
      </c>
      <c r="J380" t="s">
        <v>112</v>
      </c>
      <c r="K380" t="s">
        <v>150</v>
      </c>
      <c r="L380" t="s">
        <v>151</v>
      </c>
      <c r="M380" t="s">
        <v>112</v>
      </c>
      <c r="N380" t="s">
        <v>112</v>
      </c>
      <c r="O380">
        <v>1</v>
      </c>
      <c r="P380">
        <v>0</v>
      </c>
      <c r="Q380">
        <v>1</v>
      </c>
      <c r="R380">
        <v>33</v>
      </c>
      <c r="S380" t="s">
        <v>166</v>
      </c>
      <c r="T380" t="s">
        <v>152</v>
      </c>
      <c r="U380" t="s">
        <v>153</v>
      </c>
      <c r="V380" t="s">
        <v>154</v>
      </c>
      <c r="W380" t="s">
        <v>119</v>
      </c>
      <c r="X380" t="s">
        <v>112</v>
      </c>
      <c r="Y380" t="s">
        <v>166</v>
      </c>
      <c r="Z380" t="s">
        <v>152</v>
      </c>
      <c r="AA380" t="s">
        <v>153</v>
      </c>
      <c r="AB380" t="s">
        <v>154</v>
      </c>
      <c r="AC380" t="s">
        <v>119</v>
      </c>
      <c r="AD380" t="s">
        <v>112</v>
      </c>
      <c r="AE380" t="s">
        <v>121</v>
      </c>
      <c r="AF380" t="s">
        <v>122</v>
      </c>
      <c r="AG380">
        <v>3465622.67</v>
      </c>
      <c r="AH380" t="s">
        <v>166</v>
      </c>
      <c r="AI380" t="s">
        <v>152</v>
      </c>
      <c r="AJ380" t="s">
        <v>153</v>
      </c>
      <c r="AK380" t="s">
        <v>154</v>
      </c>
      <c r="AL380" t="s">
        <v>119</v>
      </c>
      <c r="AM380" t="s">
        <v>112</v>
      </c>
      <c r="AN380" t="s">
        <v>121</v>
      </c>
      <c r="AO380" t="s">
        <v>122</v>
      </c>
      <c r="AP380" t="s">
        <v>122</v>
      </c>
      <c r="AQ380" t="s">
        <v>124</v>
      </c>
      <c r="AR380" t="s">
        <v>125</v>
      </c>
      <c r="AS380">
        <v>2</v>
      </c>
      <c r="AT380" t="s">
        <v>126</v>
      </c>
      <c r="AU380" t="s">
        <v>155</v>
      </c>
      <c r="AV380" t="s">
        <v>156</v>
      </c>
      <c r="AW380">
        <v>1</v>
      </c>
      <c r="AX380" t="s">
        <v>129</v>
      </c>
      <c r="AY380">
        <v>38192.03</v>
      </c>
      <c r="AZ380">
        <v>3111256</v>
      </c>
      <c r="BA380">
        <v>45240.52</v>
      </c>
      <c r="BB380">
        <v>81.463499999999996</v>
      </c>
      <c r="BC380" t="s">
        <v>130</v>
      </c>
      <c r="BD380" t="s">
        <v>112</v>
      </c>
      <c r="BE380" t="s">
        <v>157</v>
      </c>
      <c r="BF380" t="s">
        <v>133</v>
      </c>
      <c r="BG380" t="s">
        <v>167</v>
      </c>
      <c r="BH380" t="s">
        <v>168</v>
      </c>
      <c r="BI380" t="s">
        <v>112</v>
      </c>
      <c r="BJ380" t="s">
        <v>112</v>
      </c>
      <c r="BK380" t="s">
        <v>169</v>
      </c>
      <c r="BL380" t="s">
        <v>159</v>
      </c>
      <c r="BM380" t="s">
        <v>160</v>
      </c>
      <c r="BN380" t="s">
        <v>161</v>
      </c>
      <c r="BO380">
        <v>1</v>
      </c>
      <c r="BP380" t="s">
        <v>213</v>
      </c>
      <c r="BR380" t="s">
        <v>150</v>
      </c>
      <c r="BS380">
        <v>33</v>
      </c>
      <c r="BT380">
        <v>0</v>
      </c>
      <c r="BU380">
        <v>0</v>
      </c>
      <c r="BW380">
        <v>0</v>
      </c>
      <c r="BY380" t="s">
        <v>106</v>
      </c>
      <c r="BZ380" t="s">
        <v>142</v>
      </c>
      <c r="CA380" t="s">
        <v>112</v>
      </c>
      <c r="CB380" t="s">
        <v>112</v>
      </c>
      <c r="CC380" t="s">
        <v>121</v>
      </c>
      <c r="CD380">
        <v>17224.3</v>
      </c>
      <c r="CE380" t="s">
        <v>144</v>
      </c>
      <c r="CF380">
        <v>4000000</v>
      </c>
      <c r="CG380">
        <v>17205.099999999999</v>
      </c>
      <c r="CH380">
        <v>0</v>
      </c>
      <c r="CI380" t="s">
        <v>112</v>
      </c>
      <c r="CJ380" t="s">
        <v>112</v>
      </c>
      <c r="CK380">
        <v>38192.03</v>
      </c>
      <c r="CL380">
        <v>3111256</v>
      </c>
      <c r="CM380">
        <v>0</v>
      </c>
      <c r="CN380">
        <v>1</v>
      </c>
      <c r="CO380">
        <v>3465622.67</v>
      </c>
      <c r="CP380">
        <v>45240.52</v>
      </c>
      <c r="CQ380" t="s">
        <v>145</v>
      </c>
      <c r="CR380">
        <v>45240.810449999997</v>
      </c>
      <c r="CS380">
        <v>2.6295000000000002</v>
      </c>
      <c r="CT380">
        <v>45</v>
      </c>
      <c r="CU380" t="s">
        <v>171</v>
      </c>
      <c r="CV380" t="s">
        <v>172</v>
      </c>
      <c r="CW380">
        <v>236</v>
      </c>
    </row>
    <row r="381" spans="1:101" x14ac:dyDescent="0.2">
      <c r="A381" t="s">
        <v>106</v>
      </c>
      <c r="B381" s="46">
        <v>45034</v>
      </c>
      <c r="C381" t="s">
        <v>952</v>
      </c>
      <c r="D381" t="s">
        <v>108</v>
      </c>
      <c r="E381" t="s">
        <v>953</v>
      </c>
      <c r="F381" t="s">
        <v>110</v>
      </c>
      <c r="G381" t="s">
        <v>111</v>
      </c>
      <c r="H381" t="s">
        <v>112</v>
      </c>
      <c r="I381" t="s">
        <v>112</v>
      </c>
      <c r="J381" t="s">
        <v>112</v>
      </c>
      <c r="K381" t="s">
        <v>175</v>
      </c>
      <c r="L381" t="s">
        <v>954</v>
      </c>
      <c r="M381" t="s">
        <v>112</v>
      </c>
      <c r="N381" t="s">
        <v>112</v>
      </c>
      <c r="O381">
        <v>1</v>
      </c>
      <c r="P381">
        <v>0</v>
      </c>
      <c r="Q381">
        <v>1</v>
      </c>
      <c r="R381">
        <v>33</v>
      </c>
      <c r="S381" t="s">
        <v>166</v>
      </c>
      <c r="T381" t="s">
        <v>152</v>
      </c>
      <c r="U381" t="s">
        <v>153</v>
      </c>
      <c r="V381" t="s">
        <v>154</v>
      </c>
      <c r="W381" t="s">
        <v>119</v>
      </c>
      <c r="X381" t="s">
        <v>112</v>
      </c>
      <c r="Y381" t="s">
        <v>166</v>
      </c>
      <c r="Z381" t="s">
        <v>152</v>
      </c>
      <c r="AA381" t="s">
        <v>153</v>
      </c>
      <c r="AB381" t="s">
        <v>154</v>
      </c>
      <c r="AC381" t="s">
        <v>119</v>
      </c>
      <c r="AD381" t="s">
        <v>112</v>
      </c>
      <c r="AE381" t="s">
        <v>121</v>
      </c>
      <c r="AF381" t="s">
        <v>122</v>
      </c>
      <c r="AG381">
        <v>3664146.77</v>
      </c>
      <c r="AH381" t="s">
        <v>166</v>
      </c>
      <c r="AI381" t="s">
        <v>152</v>
      </c>
      <c r="AJ381" t="s">
        <v>153</v>
      </c>
      <c r="AK381" t="s">
        <v>154</v>
      </c>
      <c r="AL381" t="s">
        <v>119</v>
      </c>
      <c r="AM381" t="s">
        <v>112</v>
      </c>
      <c r="AN381" t="s">
        <v>121</v>
      </c>
      <c r="AO381" t="s">
        <v>122</v>
      </c>
      <c r="AP381" t="s">
        <v>122</v>
      </c>
      <c r="AQ381" t="s">
        <v>124</v>
      </c>
      <c r="AR381" t="s">
        <v>125</v>
      </c>
      <c r="AS381">
        <v>2</v>
      </c>
      <c r="AT381" t="s">
        <v>126</v>
      </c>
      <c r="AU381" t="s">
        <v>155</v>
      </c>
      <c r="AV381" t="s">
        <v>156</v>
      </c>
      <c r="AW381">
        <v>1</v>
      </c>
      <c r="AX381" t="s">
        <v>129</v>
      </c>
      <c r="AY381">
        <v>40629</v>
      </c>
      <c r="AZ381">
        <v>3309781</v>
      </c>
      <c r="BA381">
        <v>47832.07</v>
      </c>
      <c r="BB381">
        <v>81.463499999999996</v>
      </c>
      <c r="BC381" t="s">
        <v>130</v>
      </c>
      <c r="BD381" t="s">
        <v>112</v>
      </c>
      <c r="BE381" t="s">
        <v>157</v>
      </c>
      <c r="BF381" t="s">
        <v>133</v>
      </c>
      <c r="BG381" t="s">
        <v>167</v>
      </c>
      <c r="BH381" t="s">
        <v>168</v>
      </c>
      <c r="BI381" t="s">
        <v>112</v>
      </c>
      <c r="BJ381" t="s">
        <v>112</v>
      </c>
      <c r="BK381" t="s">
        <v>169</v>
      </c>
      <c r="BL381" t="s">
        <v>159</v>
      </c>
      <c r="BM381" t="s">
        <v>160</v>
      </c>
      <c r="BN381" t="s">
        <v>161</v>
      </c>
      <c r="BO381">
        <v>1</v>
      </c>
      <c r="BP381" t="s">
        <v>955</v>
      </c>
      <c r="BR381" t="s">
        <v>150</v>
      </c>
      <c r="BS381">
        <v>33</v>
      </c>
      <c r="BT381">
        <v>0</v>
      </c>
      <c r="BU381">
        <v>0</v>
      </c>
      <c r="BW381">
        <v>0</v>
      </c>
      <c r="BY381" t="s">
        <v>106</v>
      </c>
      <c r="BZ381" t="s">
        <v>142</v>
      </c>
      <c r="CA381" t="s">
        <v>112</v>
      </c>
      <c r="CB381" t="s">
        <v>112</v>
      </c>
      <c r="CC381" t="s">
        <v>121</v>
      </c>
      <c r="CD381">
        <v>16885.439999999999</v>
      </c>
      <c r="CE381" t="s">
        <v>144</v>
      </c>
      <c r="CF381">
        <v>4000000</v>
      </c>
      <c r="CG381">
        <v>16885.439999999999</v>
      </c>
      <c r="CH381">
        <v>0</v>
      </c>
      <c r="CI381" t="s">
        <v>112</v>
      </c>
      <c r="CJ381" t="s">
        <v>112</v>
      </c>
      <c r="CK381">
        <v>40629</v>
      </c>
      <c r="CL381">
        <v>3309781</v>
      </c>
      <c r="CM381">
        <v>0</v>
      </c>
      <c r="CN381">
        <v>1</v>
      </c>
      <c r="CO381">
        <v>3664146.77</v>
      </c>
      <c r="CP381">
        <v>47832.07</v>
      </c>
      <c r="CQ381" t="s">
        <v>145</v>
      </c>
      <c r="CR381">
        <v>47831.385887999997</v>
      </c>
      <c r="CS381">
        <v>2.8327</v>
      </c>
      <c r="CT381">
        <v>45</v>
      </c>
      <c r="CU381" t="s">
        <v>171</v>
      </c>
      <c r="CV381" t="s">
        <v>372</v>
      </c>
      <c r="CW381">
        <v>21</v>
      </c>
    </row>
    <row r="382" spans="1:101" x14ac:dyDescent="0.2">
      <c r="A382" t="s">
        <v>106</v>
      </c>
      <c r="B382" s="46">
        <v>45077</v>
      </c>
      <c r="C382" t="s">
        <v>961</v>
      </c>
      <c r="D382" t="s">
        <v>108</v>
      </c>
      <c r="E382" t="s">
        <v>962</v>
      </c>
      <c r="F382" t="s">
        <v>110</v>
      </c>
      <c r="G382" t="s">
        <v>111</v>
      </c>
      <c r="H382" t="s">
        <v>112</v>
      </c>
      <c r="I382" t="s">
        <v>112</v>
      </c>
      <c r="J382" t="s">
        <v>112</v>
      </c>
      <c r="K382" t="s">
        <v>150</v>
      </c>
      <c r="L382" t="s">
        <v>151</v>
      </c>
      <c r="M382" t="s">
        <v>112</v>
      </c>
      <c r="N382" t="s">
        <v>112</v>
      </c>
      <c r="O382">
        <v>1</v>
      </c>
      <c r="P382">
        <v>0</v>
      </c>
      <c r="Q382">
        <v>1</v>
      </c>
      <c r="R382">
        <v>33</v>
      </c>
      <c r="S382" t="s">
        <v>166</v>
      </c>
      <c r="T382" t="s">
        <v>152</v>
      </c>
      <c r="U382" t="s">
        <v>153</v>
      </c>
      <c r="V382" t="s">
        <v>154</v>
      </c>
      <c r="W382" t="s">
        <v>119</v>
      </c>
      <c r="X382" t="s">
        <v>112</v>
      </c>
      <c r="Y382" t="s">
        <v>166</v>
      </c>
      <c r="Z382" t="s">
        <v>152</v>
      </c>
      <c r="AA382" t="s">
        <v>153</v>
      </c>
      <c r="AB382" t="s">
        <v>154</v>
      </c>
      <c r="AC382" t="s">
        <v>119</v>
      </c>
      <c r="AD382" t="s">
        <v>112</v>
      </c>
      <c r="AE382" t="s">
        <v>121</v>
      </c>
      <c r="AF382" t="s">
        <v>122</v>
      </c>
      <c r="AG382">
        <v>3676454.28</v>
      </c>
      <c r="AH382" t="s">
        <v>166</v>
      </c>
      <c r="AI382" t="s">
        <v>152</v>
      </c>
      <c r="AJ382" t="s">
        <v>153</v>
      </c>
      <c r="AK382" t="s">
        <v>154</v>
      </c>
      <c r="AL382" t="s">
        <v>119</v>
      </c>
      <c r="AM382" t="s">
        <v>112</v>
      </c>
      <c r="AN382" t="s">
        <v>121</v>
      </c>
      <c r="AO382" t="s">
        <v>122</v>
      </c>
      <c r="AP382" t="s">
        <v>122</v>
      </c>
      <c r="AQ382" t="s">
        <v>124</v>
      </c>
      <c r="AR382" t="s">
        <v>125</v>
      </c>
      <c r="AS382">
        <v>2</v>
      </c>
      <c r="AT382" t="s">
        <v>126</v>
      </c>
      <c r="AU382" t="s">
        <v>155</v>
      </c>
      <c r="AV382" t="s">
        <v>156</v>
      </c>
      <c r="AW382">
        <v>1</v>
      </c>
      <c r="AX382" t="s">
        <v>129</v>
      </c>
      <c r="AY382">
        <v>40780.080000000002</v>
      </c>
      <c r="AZ382">
        <v>3322088</v>
      </c>
      <c r="BA382">
        <v>47992.73</v>
      </c>
      <c r="BB382">
        <v>81.463499999999996</v>
      </c>
      <c r="BC382" t="s">
        <v>130</v>
      </c>
      <c r="BD382" t="s">
        <v>112</v>
      </c>
      <c r="BE382" t="s">
        <v>157</v>
      </c>
      <c r="BF382" t="s">
        <v>133</v>
      </c>
      <c r="BG382" t="s">
        <v>167</v>
      </c>
      <c r="BH382" t="s">
        <v>168</v>
      </c>
      <c r="BI382" t="s">
        <v>112</v>
      </c>
      <c r="BJ382" t="s">
        <v>112</v>
      </c>
      <c r="BK382" t="s">
        <v>169</v>
      </c>
      <c r="BL382" t="s">
        <v>159</v>
      </c>
      <c r="BM382" t="s">
        <v>160</v>
      </c>
      <c r="BN382" t="s">
        <v>161</v>
      </c>
      <c r="BO382">
        <v>1</v>
      </c>
      <c r="BP382" t="s">
        <v>963</v>
      </c>
      <c r="BR382" t="s">
        <v>150</v>
      </c>
      <c r="BS382">
        <v>33</v>
      </c>
      <c r="BT382">
        <v>0</v>
      </c>
      <c r="BU382">
        <v>0</v>
      </c>
      <c r="BW382">
        <v>0</v>
      </c>
      <c r="BY382" t="s">
        <v>106</v>
      </c>
      <c r="BZ382" t="s">
        <v>142</v>
      </c>
      <c r="CA382" t="s">
        <v>112</v>
      </c>
      <c r="CB382" t="s">
        <v>112</v>
      </c>
      <c r="CC382" t="s">
        <v>121</v>
      </c>
      <c r="CD382">
        <v>16007.48</v>
      </c>
      <c r="CE382" t="s">
        <v>144</v>
      </c>
      <c r="CF382">
        <v>4000000</v>
      </c>
      <c r="CG382">
        <v>15863.48</v>
      </c>
      <c r="CH382">
        <v>0</v>
      </c>
      <c r="CI382" t="s">
        <v>112</v>
      </c>
      <c r="CJ382" t="s">
        <v>112</v>
      </c>
      <c r="CK382">
        <v>40780.080000000002</v>
      </c>
      <c r="CL382">
        <v>3322088</v>
      </c>
      <c r="CM382">
        <v>0</v>
      </c>
      <c r="CN382">
        <v>1</v>
      </c>
      <c r="CO382">
        <v>3676454.28</v>
      </c>
      <c r="CP382">
        <v>47992.73</v>
      </c>
      <c r="CQ382" t="s">
        <v>145</v>
      </c>
      <c r="CR382">
        <v>47993.372391999997</v>
      </c>
      <c r="CS382">
        <v>3.0253999999999999</v>
      </c>
      <c r="CT382">
        <v>45</v>
      </c>
      <c r="CU382" t="s">
        <v>171</v>
      </c>
      <c r="CV382" t="s">
        <v>369</v>
      </c>
      <c r="CW382">
        <v>313</v>
      </c>
    </row>
    <row r="383" spans="1:101" x14ac:dyDescent="0.2">
      <c r="A383" t="s">
        <v>106</v>
      </c>
      <c r="B383" s="46">
        <v>45194</v>
      </c>
      <c r="C383" t="s">
        <v>628</v>
      </c>
      <c r="D383" t="s">
        <v>108</v>
      </c>
      <c r="E383" t="s">
        <v>629</v>
      </c>
      <c r="F383" t="s">
        <v>110</v>
      </c>
      <c r="G383" t="s">
        <v>111</v>
      </c>
      <c r="H383" t="s">
        <v>112</v>
      </c>
      <c r="I383" t="s">
        <v>112</v>
      </c>
      <c r="J383" t="s">
        <v>112</v>
      </c>
      <c r="K383" t="s">
        <v>150</v>
      </c>
      <c r="L383" t="s">
        <v>151</v>
      </c>
      <c r="M383" t="s">
        <v>112</v>
      </c>
      <c r="N383" t="s">
        <v>112</v>
      </c>
      <c r="O383">
        <v>1</v>
      </c>
      <c r="P383">
        <v>0</v>
      </c>
      <c r="Q383">
        <v>1</v>
      </c>
      <c r="R383">
        <v>33</v>
      </c>
      <c r="S383" t="s">
        <v>166</v>
      </c>
      <c r="T383" t="s">
        <v>152</v>
      </c>
      <c r="U383" t="s">
        <v>153</v>
      </c>
      <c r="V383" t="s">
        <v>154</v>
      </c>
      <c r="W383" t="s">
        <v>119</v>
      </c>
      <c r="X383" t="s">
        <v>112</v>
      </c>
      <c r="Y383" t="s">
        <v>166</v>
      </c>
      <c r="Z383" t="s">
        <v>152</v>
      </c>
      <c r="AA383" t="s">
        <v>153</v>
      </c>
      <c r="AB383" t="s">
        <v>154</v>
      </c>
      <c r="AC383" t="s">
        <v>119</v>
      </c>
      <c r="AD383" t="s">
        <v>112</v>
      </c>
      <c r="AE383" t="s">
        <v>121</v>
      </c>
      <c r="AF383" t="s">
        <v>122</v>
      </c>
      <c r="AG383">
        <v>3788167.74</v>
      </c>
      <c r="AH383" t="s">
        <v>166</v>
      </c>
      <c r="AI383" t="s">
        <v>152</v>
      </c>
      <c r="AJ383" t="s">
        <v>153</v>
      </c>
      <c r="AK383" t="s">
        <v>154</v>
      </c>
      <c r="AL383" t="s">
        <v>119</v>
      </c>
      <c r="AM383" t="s">
        <v>112</v>
      </c>
      <c r="AN383" t="s">
        <v>121</v>
      </c>
      <c r="AO383" t="s">
        <v>122</v>
      </c>
      <c r="AP383" t="s">
        <v>122</v>
      </c>
      <c r="AQ383" t="s">
        <v>124</v>
      </c>
      <c r="AR383" t="s">
        <v>125</v>
      </c>
      <c r="AS383">
        <v>2</v>
      </c>
      <c r="AT383" t="s">
        <v>126</v>
      </c>
      <c r="AU383" t="s">
        <v>155</v>
      </c>
      <c r="AV383" t="s">
        <v>156</v>
      </c>
      <c r="AW383">
        <v>1</v>
      </c>
      <c r="AX383" t="s">
        <v>129</v>
      </c>
      <c r="AY383">
        <v>43233.83</v>
      </c>
      <c r="AZ383">
        <v>3441862</v>
      </c>
      <c r="BA383">
        <v>50671.86</v>
      </c>
      <c r="BB383">
        <v>79.610399999999998</v>
      </c>
      <c r="BC383" t="s">
        <v>130</v>
      </c>
      <c r="BD383" t="s">
        <v>112</v>
      </c>
      <c r="BE383" t="s">
        <v>157</v>
      </c>
      <c r="BF383" t="s">
        <v>133</v>
      </c>
      <c r="BG383" t="s">
        <v>134</v>
      </c>
      <c r="BH383" t="s">
        <v>112</v>
      </c>
      <c r="BI383" t="s">
        <v>112</v>
      </c>
      <c r="BJ383" t="s">
        <v>112</v>
      </c>
      <c r="BK383" t="s">
        <v>169</v>
      </c>
      <c r="BL383" t="s">
        <v>159</v>
      </c>
      <c r="BM383" t="s">
        <v>212</v>
      </c>
      <c r="BN383" t="s">
        <v>161</v>
      </c>
      <c r="BO383">
        <v>1</v>
      </c>
      <c r="BP383" t="s">
        <v>630</v>
      </c>
      <c r="BR383" t="s">
        <v>150</v>
      </c>
      <c r="BS383">
        <v>33</v>
      </c>
      <c r="BT383">
        <v>0</v>
      </c>
      <c r="BU383">
        <v>0</v>
      </c>
      <c r="BW383">
        <v>0</v>
      </c>
      <c r="BY383" t="s">
        <v>106</v>
      </c>
      <c r="BZ383" t="s">
        <v>142</v>
      </c>
      <c r="CA383" t="s">
        <v>112</v>
      </c>
      <c r="CB383" t="s">
        <v>112</v>
      </c>
      <c r="CC383" t="s">
        <v>121</v>
      </c>
      <c r="CD383">
        <v>16555.03</v>
      </c>
      <c r="CE383" t="s">
        <v>144</v>
      </c>
      <c r="CF383">
        <v>4000000</v>
      </c>
      <c r="CG383">
        <v>16490.23</v>
      </c>
      <c r="CH383">
        <v>0</v>
      </c>
      <c r="CI383" t="s">
        <v>112</v>
      </c>
      <c r="CJ383" t="s">
        <v>112</v>
      </c>
      <c r="CK383">
        <v>43233.83</v>
      </c>
      <c r="CL383">
        <v>3441862</v>
      </c>
      <c r="CM383">
        <v>0</v>
      </c>
      <c r="CN383">
        <v>1</v>
      </c>
      <c r="CO383">
        <v>3788167.74</v>
      </c>
      <c r="CP383">
        <v>50671.86</v>
      </c>
      <c r="CQ383" t="s">
        <v>145</v>
      </c>
      <c r="CR383">
        <v>50671.178743999997</v>
      </c>
      <c r="CS383">
        <v>3.0728</v>
      </c>
      <c r="CT383">
        <v>45</v>
      </c>
      <c r="CU383" t="s">
        <v>171</v>
      </c>
      <c r="CV383" t="s">
        <v>372</v>
      </c>
      <c r="CW383">
        <v>544</v>
      </c>
    </row>
    <row r="384" spans="1:101" x14ac:dyDescent="0.2">
      <c r="A384" t="s">
        <v>106</v>
      </c>
      <c r="B384" s="46">
        <v>44710</v>
      </c>
      <c r="C384" t="s">
        <v>272</v>
      </c>
      <c r="D384" t="s">
        <v>108</v>
      </c>
      <c r="E384" t="s">
        <v>273</v>
      </c>
      <c r="F384" t="s">
        <v>110</v>
      </c>
      <c r="G384" t="s">
        <v>111</v>
      </c>
      <c r="H384" t="s">
        <v>112</v>
      </c>
      <c r="I384" t="s">
        <v>112</v>
      </c>
      <c r="J384" t="s">
        <v>112</v>
      </c>
      <c r="K384" t="s">
        <v>175</v>
      </c>
      <c r="L384" t="s">
        <v>176</v>
      </c>
      <c r="M384" t="s">
        <v>112</v>
      </c>
      <c r="N384" t="s">
        <v>112</v>
      </c>
      <c r="O384">
        <v>1</v>
      </c>
      <c r="P384">
        <v>0</v>
      </c>
      <c r="Q384">
        <v>1</v>
      </c>
      <c r="R384">
        <v>33</v>
      </c>
      <c r="S384" t="s">
        <v>166</v>
      </c>
      <c r="T384" t="s">
        <v>152</v>
      </c>
      <c r="U384" t="s">
        <v>153</v>
      </c>
      <c r="V384" t="s">
        <v>177</v>
      </c>
      <c r="W384" t="s">
        <v>119</v>
      </c>
      <c r="X384" t="s">
        <v>112</v>
      </c>
      <c r="Y384" t="s">
        <v>166</v>
      </c>
      <c r="Z384" t="s">
        <v>152</v>
      </c>
      <c r="AA384" t="s">
        <v>153</v>
      </c>
      <c r="AB384" t="s">
        <v>177</v>
      </c>
      <c r="AC384" t="s">
        <v>119</v>
      </c>
      <c r="AD384" t="s">
        <v>112</v>
      </c>
      <c r="AE384" t="s">
        <v>121</v>
      </c>
      <c r="AF384" t="s">
        <v>122</v>
      </c>
      <c r="AG384">
        <v>3030496.3</v>
      </c>
      <c r="AH384" t="s">
        <v>166</v>
      </c>
      <c r="AI384" t="s">
        <v>152</v>
      </c>
      <c r="AJ384" t="s">
        <v>153</v>
      </c>
      <c r="AK384" t="s">
        <v>177</v>
      </c>
      <c r="AL384" t="s">
        <v>119</v>
      </c>
      <c r="AM384" t="s">
        <v>112</v>
      </c>
      <c r="AN384" t="s">
        <v>121</v>
      </c>
      <c r="AO384" t="s">
        <v>122</v>
      </c>
      <c r="AP384" t="s">
        <v>122</v>
      </c>
      <c r="AQ384" t="s">
        <v>124</v>
      </c>
      <c r="AR384" t="s">
        <v>125</v>
      </c>
      <c r="AS384">
        <v>2</v>
      </c>
      <c r="AT384" t="s">
        <v>106</v>
      </c>
      <c r="AU384" t="s">
        <v>155</v>
      </c>
      <c r="AV384" t="s">
        <v>156</v>
      </c>
      <c r="AW384">
        <v>1</v>
      </c>
      <c r="AX384" t="s">
        <v>129</v>
      </c>
      <c r="AY384">
        <v>37403.1</v>
      </c>
      <c r="AZ384">
        <v>2783008</v>
      </c>
      <c r="BA384">
        <v>44018.03</v>
      </c>
      <c r="BB384">
        <v>74.405799999999999</v>
      </c>
      <c r="BC384" t="s">
        <v>130</v>
      </c>
      <c r="BD384" t="s">
        <v>112</v>
      </c>
      <c r="BE384" t="s">
        <v>157</v>
      </c>
      <c r="BF384" t="s">
        <v>133</v>
      </c>
      <c r="BG384" t="s">
        <v>134</v>
      </c>
      <c r="BH384" t="s">
        <v>112</v>
      </c>
      <c r="BI384" t="s">
        <v>178</v>
      </c>
      <c r="BJ384" t="s">
        <v>112</v>
      </c>
      <c r="BK384" t="s">
        <v>125</v>
      </c>
      <c r="BL384" t="s">
        <v>179</v>
      </c>
      <c r="BM384" t="s">
        <v>180</v>
      </c>
      <c r="BN384" t="s">
        <v>181</v>
      </c>
      <c r="BO384">
        <v>1</v>
      </c>
      <c r="BP384" t="s">
        <v>274</v>
      </c>
      <c r="BR384" t="s">
        <v>150</v>
      </c>
      <c r="BS384">
        <v>33</v>
      </c>
      <c r="BT384">
        <v>1</v>
      </c>
      <c r="BU384">
        <v>0</v>
      </c>
      <c r="BW384">
        <v>0</v>
      </c>
      <c r="BY384" t="s">
        <v>106</v>
      </c>
      <c r="BZ384" t="s">
        <v>142</v>
      </c>
      <c r="CA384" t="s">
        <v>112</v>
      </c>
      <c r="CB384" t="s">
        <v>112</v>
      </c>
      <c r="CC384" t="s">
        <v>121</v>
      </c>
      <c r="CD384">
        <v>16376.03</v>
      </c>
      <c r="CE384" t="s">
        <v>144</v>
      </c>
      <c r="CF384">
        <v>4000000</v>
      </c>
      <c r="CG384">
        <v>16224.83</v>
      </c>
      <c r="CH384">
        <v>0</v>
      </c>
      <c r="CI384" t="s">
        <v>112</v>
      </c>
      <c r="CJ384" t="s">
        <v>112</v>
      </c>
      <c r="CK384">
        <v>37403.1</v>
      </c>
      <c r="CL384">
        <v>2783008</v>
      </c>
      <c r="CM384">
        <v>0</v>
      </c>
      <c r="CN384">
        <v>1</v>
      </c>
      <c r="CO384">
        <v>3030496.3</v>
      </c>
      <c r="CP384">
        <v>44018.03</v>
      </c>
      <c r="CQ384" t="s">
        <v>145</v>
      </c>
      <c r="CR384">
        <v>44017.963790000002</v>
      </c>
      <c r="CS384">
        <v>2.7130000000000001</v>
      </c>
      <c r="CT384">
        <v>941</v>
      </c>
      <c r="CU384" t="s">
        <v>183</v>
      </c>
      <c r="CV384" t="s">
        <v>147</v>
      </c>
      <c r="CW384">
        <v>567</v>
      </c>
    </row>
    <row r="385" spans="1:101" x14ac:dyDescent="0.2">
      <c r="A385" t="s">
        <v>106</v>
      </c>
      <c r="B385" s="46">
        <v>44735</v>
      </c>
      <c r="C385" t="s">
        <v>286</v>
      </c>
      <c r="D385" t="s">
        <v>108</v>
      </c>
      <c r="E385" t="s">
        <v>287</v>
      </c>
      <c r="F385" t="s">
        <v>110</v>
      </c>
      <c r="G385" t="s">
        <v>111</v>
      </c>
      <c r="H385" t="s">
        <v>112</v>
      </c>
      <c r="I385" t="s">
        <v>112</v>
      </c>
      <c r="J385" t="s">
        <v>112</v>
      </c>
      <c r="K385" t="s">
        <v>175</v>
      </c>
      <c r="L385" t="s">
        <v>176</v>
      </c>
      <c r="M385" t="s">
        <v>112</v>
      </c>
      <c r="N385" t="s">
        <v>112</v>
      </c>
      <c r="O385">
        <v>1</v>
      </c>
      <c r="P385">
        <v>0</v>
      </c>
      <c r="Q385">
        <v>1</v>
      </c>
      <c r="R385">
        <v>33</v>
      </c>
      <c r="S385" t="s">
        <v>166</v>
      </c>
      <c r="T385" t="s">
        <v>152</v>
      </c>
      <c r="U385" t="s">
        <v>153</v>
      </c>
      <c r="V385" t="s">
        <v>177</v>
      </c>
      <c r="W385" t="s">
        <v>119</v>
      </c>
      <c r="X385" t="s">
        <v>112</v>
      </c>
      <c r="Y385" t="s">
        <v>166</v>
      </c>
      <c r="Z385" t="s">
        <v>152</v>
      </c>
      <c r="AA385" t="s">
        <v>153</v>
      </c>
      <c r="AB385" t="s">
        <v>177</v>
      </c>
      <c r="AC385" t="s">
        <v>119</v>
      </c>
      <c r="AD385" t="s">
        <v>112</v>
      </c>
      <c r="AE385" t="s">
        <v>121</v>
      </c>
      <c r="AF385" t="s">
        <v>122</v>
      </c>
      <c r="AG385">
        <v>3385169.4</v>
      </c>
      <c r="AH385" t="s">
        <v>166</v>
      </c>
      <c r="AI385" t="s">
        <v>152</v>
      </c>
      <c r="AJ385" t="s">
        <v>153</v>
      </c>
      <c r="AK385" t="s">
        <v>177</v>
      </c>
      <c r="AL385" t="s">
        <v>119</v>
      </c>
      <c r="AM385" t="s">
        <v>112</v>
      </c>
      <c r="AN385" t="s">
        <v>121</v>
      </c>
      <c r="AO385" t="s">
        <v>122</v>
      </c>
      <c r="AP385" t="s">
        <v>122</v>
      </c>
      <c r="AQ385" t="s">
        <v>124</v>
      </c>
      <c r="AR385" t="s">
        <v>125</v>
      </c>
      <c r="AS385">
        <v>2</v>
      </c>
      <c r="AT385" t="s">
        <v>106</v>
      </c>
      <c r="AU385" t="s">
        <v>155</v>
      </c>
      <c r="AV385" t="s">
        <v>156</v>
      </c>
      <c r="AW385">
        <v>1</v>
      </c>
      <c r="AX385" t="s">
        <v>129</v>
      </c>
      <c r="AY385">
        <v>42169.84</v>
      </c>
      <c r="AZ385">
        <v>3137681</v>
      </c>
      <c r="BA385">
        <v>49169.67</v>
      </c>
      <c r="BB385">
        <v>74.405799999999999</v>
      </c>
      <c r="BC385" t="s">
        <v>130</v>
      </c>
      <c r="BD385" t="s">
        <v>112</v>
      </c>
      <c r="BE385" t="s">
        <v>157</v>
      </c>
      <c r="BF385" t="s">
        <v>133</v>
      </c>
      <c r="BG385" t="s">
        <v>134</v>
      </c>
      <c r="BH385" t="s">
        <v>112</v>
      </c>
      <c r="BI385" t="s">
        <v>178</v>
      </c>
      <c r="BJ385" t="s">
        <v>112</v>
      </c>
      <c r="BK385" t="s">
        <v>125</v>
      </c>
      <c r="BL385" t="s">
        <v>179</v>
      </c>
      <c r="BM385" t="s">
        <v>180</v>
      </c>
      <c r="BN385" t="s">
        <v>181</v>
      </c>
      <c r="BO385">
        <v>1</v>
      </c>
      <c r="BP385" t="s">
        <v>199</v>
      </c>
      <c r="BR385" t="s">
        <v>150</v>
      </c>
      <c r="BS385">
        <v>33</v>
      </c>
      <c r="BT385">
        <v>1</v>
      </c>
      <c r="BU385">
        <v>0</v>
      </c>
      <c r="BW385">
        <v>0</v>
      </c>
      <c r="BY385" t="s">
        <v>106</v>
      </c>
      <c r="BZ385" t="s">
        <v>142</v>
      </c>
      <c r="CA385" t="s">
        <v>112</v>
      </c>
      <c r="CB385" t="s">
        <v>112</v>
      </c>
      <c r="CC385" t="s">
        <v>121</v>
      </c>
      <c r="CD385">
        <v>16957.509999999998</v>
      </c>
      <c r="CE385" t="s">
        <v>144</v>
      </c>
      <c r="CF385">
        <v>4000000</v>
      </c>
      <c r="CG385">
        <v>16957.509999999998</v>
      </c>
      <c r="CH385">
        <v>0</v>
      </c>
      <c r="CI385" t="s">
        <v>112</v>
      </c>
      <c r="CJ385" t="s">
        <v>112</v>
      </c>
      <c r="CK385">
        <v>42169.84</v>
      </c>
      <c r="CL385">
        <v>3137681</v>
      </c>
      <c r="CM385">
        <v>0</v>
      </c>
      <c r="CN385">
        <v>1</v>
      </c>
      <c r="CO385">
        <v>3385169.4</v>
      </c>
      <c r="CP385">
        <v>49169.67</v>
      </c>
      <c r="CQ385" t="s">
        <v>145</v>
      </c>
      <c r="CR385">
        <v>49169.995995999998</v>
      </c>
      <c r="CS385">
        <v>2.8996</v>
      </c>
      <c r="CT385">
        <v>941</v>
      </c>
      <c r="CU385" t="s">
        <v>183</v>
      </c>
      <c r="CV385" t="s">
        <v>147</v>
      </c>
      <c r="CW385">
        <v>263</v>
      </c>
    </row>
    <row r="386" spans="1:101" x14ac:dyDescent="0.2">
      <c r="A386" t="s">
        <v>106</v>
      </c>
      <c r="B386" s="46">
        <v>44824</v>
      </c>
      <c r="C386" t="s">
        <v>282</v>
      </c>
      <c r="D386" t="s">
        <v>108</v>
      </c>
      <c r="E386" t="s">
        <v>283</v>
      </c>
      <c r="F386" t="s">
        <v>110</v>
      </c>
      <c r="G386" t="s">
        <v>111</v>
      </c>
      <c r="H386" t="s">
        <v>112</v>
      </c>
      <c r="I386" t="s">
        <v>112</v>
      </c>
      <c r="J386" t="s">
        <v>112</v>
      </c>
      <c r="K386" t="s">
        <v>175</v>
      </c>
      <c r="L386" t="s">
        <v>176</v>
      </c>
      <c r="M386" t="s">
        <v>112</v>
      </c>
      <c r="N386" t="s">
        <v>112</v>
      </c>
      <c r="O386">
        <v>1</v>
      </c>
      <c r="P386">
        <v>0</v>
      </c>
      <c r="Q386">
        <v>1</v>
      </c>
      <c r="R386">
        <v>33</v>
      </c>
      <c r="S386" t="s">
        <v>166</v>
      </c>
      <c r="T386" t="s">
        <v>152</v>
      </c>
      <c r="U386" t="s">
        <v>153</v>
      </c>
      <c r="V386" t="s">
        <v>177</v>
      </c>
      <c r="W386" t="s">
        <v>119</v>
      </c>
      <c r="X386" t="s">
        <v>112</v>
      </c>
      <c r="Y386" t="s">
        <v>166</v>
      </c>
      <c r="Z386" t="s">
        <v>152</v>
      </c>
      <c r="AA386" t="s">
        <v>153</v>
      </c>
      <c r="AB386" t="s">
        <v>177</v>
      </c>
      <c r="AC386" t="s">
        <v>119</v>
      </c>
      <c r="AD386" t="s">
        <v>112</v>
      </c>
      <c r="AE386" t="s">
        <v>121</v>
      </c>
      <c r="AF386" t="s">
        <v>122</v>
      </c>
      <c r="AG386">
        <v>3469417.6</v>
      </c>
      <c r="AH386" t="s">
        <v>166</v>
      </c>
      <c r="AI386" t="s">
        <v>152</v>
      </c>
      <c r="AJ386" t="s">
        <v>153</v>
      </c>
      <c r="AK386" t="s">
        <v>177</v>
      </c>
      <c r="AL386" t="s">
        <v>119</v>
      </c>
      <c r="AM386" t="s">
        <v>112</v>
      </c>
      <c r="AN386" t="s">
        <v>121</v>
      </c>
      <c r="AO386" t="s">
        <v>122</v>
      </c>
      <c r="AP386" t="s">
        <v>122</v>
      </c>
      <c r="AQ386" t="s">
        <v>124</v>
      </c>
      <c r="AR386" t="s">
        <v>125</v>
      </c>
      <c r="AS386">
        <v>2</v>
      </c>
      <c r="AT386" t="s">
        <v>106</v>
      </c>
      <c r="AU386" t="s">
        <v>155</v>
      </c>
      <c r="AV386" t="s">
        <v>156</v>
      </c>
      <c r="AW386">
        <v>1</v>
      </c>
      <c r="AX386" t="s">
        <v>129</v>
      </c>
      <c r="AY386">
        <v>43302.12</v>
      </c>
      <c r="AZ386">
        <v>3221929</v>
      </c>
      <c r="BA386">
        <v>50393.38</v>
      </c>
      <c r="BB386">
        <v>74.405799999999999</v>
      </c>
      <c r="BC386" t="s">
        <v>130</v>
      </c>
      <c r="BD386" t="s">
        <v>112</v>
      </c>
      <c r="BE386" t="s">
        <v>157</v>
      </c>
      <c r="BF386" t="s">
        <v>133</v>
      </c>
      <c r="BG386" t="s">
        <v>134</v>
      </c>
      <c r="BH386" t="s">
        <v>112</v>
      </c>
      <c r="BI386" t="s">
        <v>178</v>
      </c>
      <c r="BJ386" t="s">
        <v>112</v>
      </c>
      <c r="BK386" t="s">
        <v>125</v>
      </c>
      <c r="BL386" t="s">
        <v>179</v>
      </c>
      <c r="BM386" t="s">
        <v>180</v>
      </c>
      <c r="BN386" t="s">
        <v>181</v>
      </c>
      <c r="BO386">
        <v>1</v>
      </c>
      <c r="BP386" t="s">
        <v>199</v>
      </c>
      <c r="BR386" t="s">
        <v>150</v>
      </c>
      <c r="BS386">
        <v>33</v>
      </c>
      <c r="BT386">
        <v>1</v>
      </c>
      <c r="BU386">
        <v>0</v>
      </c>
      <c r="BW386">
        <v>0</v>
      </c>
      <c r="BY386" t="s">
        <v>106</v>
      </c>
      <c r="BZ386" t="s">
        <v>142</v>
      </c>
      <c r="CA386" t="s">
        <v>112</v>
      </c>
      <c r="CB386" t="s">
        <v>112</v>
      </c>
      <c r="CC386" t="s">
        <v>121</v>
      </c>
      <c r="CD386">
        <v>16951.46</v>
      </c>
      <c r="CE386" t="s">
        <v>144</v>
      </c>
      <c r="CF386">
        <v>4000000</v>
      </c>
      <c r="CG386">
        <v>16951.46</v>
      </c>
      <c r="CH386">
        <v>0</v>
      </c>
      <c r="CI386" t="s">
        <v>112</v>
      </c>
      <c r="CJ386" t="s">
        <v>112</v>
      </c>
      <c r="CK386">
        <v>43302.12</v>
      </c>
      <c r="CL386">
        <v>3221929</v>
      </c>
      <c r="CM386">
        <v>0</v>
      </c>
      <c r="CN386">
        <v>1</v>
      </c>
      <c r="CO386">
        <v>3469417.6</v>
      </c>
      <c r="CP386">
        <v>50393.38</v>
      </c>
      <c r="CQ386" t="s">
        <v>145</v>
      </c>
      <c r="CR386">
        <v>50393.300287999999</v>
      </c>
      <c r="CS386">
        <v>2.9727999999999999</v>
      </c>
      <c r="CT386">
        <v>941</v>
      </c>
      <c r="CU386" t="s">
        <v>183</v>
      </c>
      <c r="CV386" t="s">
        <v>147</v>
      </c>
      <c r="CW386">
        <v>298</v>
      </c>
    </row>
    <row r="387" spans="1:101" x14ac:dyDescent="0.2">
      <c r="A387" t="s">
        <v>106</v>
      </c>
      <c r="B387" s="46">
        <v>45161</v>
      </c>
      <c r="C387" t="s">
        <v>600</v>
      </c>
      <c r="D387" t="s">
        <v>108</v>
      </c>
      <c r="E387" t="s">
        <v>601</v>
      </c>
      <c r="F387" t="s">
        <v>110</v>
      </c>
      <c r="G387" t="s">
        <v>111</v>
      </c>
      <c r="H387" t="s">
        <v>112</v>
      </c>
      <c r="I387" t="s">
        <v>112</v>
      </c>
      <c r="J387" t="s">
        <v>112</v>
      </c>
      <c r="K387" t="s">
        <v>150</v>
      </c>
      <c r="L387" t="s">
        <v>151</v>
      </c>
      <c r="M387" t="s">
        <v>112</v>
      </c>
      <c r="N387" t="s">
        <v>112</v>
      </c>
      <c r="O387">
        <v>1</v>
      </c>
      <c r="Q387">
        <v>1</v>
      </c>
      <c r="R387">
        <v>33</v>
      </c>
      <c r="S387" t="s">
        <v>112</v>
      </c>
      <c r="T387" t="s">
        <v>152</v>
      </c>
      <c r="U387" t="s">
        <v>153</v>
      </c>
      <c r="V387" t="s">
        <v>154</v>
      </c>
      <c r="W387" t="s">
        <v>119</v>
      </c>
      <c r="X387" t="s">
        <v>112</v>
      </c>
      <c r="Y387" t="s">
        <v>112</v>
      </c>
      <c r="Z387" t="s">
        <v>152</v>
      </c>
      <c r="AA387" t="s">
        <v>153</v>
      </c>
      <c r="AB387" t="s">
        <v>154</v>
      </c>
      <c r="AC387" t="s">
        <v>119</v>
      </c>
      <c r="AD387" t="s">
        <v>112</v>
      </c>
      <c r="AE387" t="s">
        <v>121</v>
      </c>
      <c r="AF387" t="s">
        <v>122</v>
      </c>
      <c r="AG387">
        <v>4443449.2</v>
      </c>
      <c r="AH387" t="s">
        <v>112</v>
      </c>
      <c r="AI387" t="s">
        <v>152</v>
      </c>
      <c r="AJ387" t="s">
        <v>153</v>
      </c>
      <c r="AK387" t="s">
        <v>154</v>
      </c>
      <c r="AL387" t="s">
        <v>119</v>
      </c>
      <c r="AM387" t="s">
        <v>112</v>
      </c>
      <c r="AN387" t="s">
        <v>121</v>
      </c>
      <c r="AO387" t="s">
        <v>122</v>
      </c>
      <c r="AP387" t="s">
        <v>122</v>
      </c>
      <c r="AQ387" t="s">
        <v>124</v>
      </c>
      <c r="AR387" t="s">
        <v>125</v>
      </c>
      <c r="AS387">
        <v>2</v>
      </c>
      <c r="AT387" t="s">
        <v>126</v>
      </c>
      <c r="AU387" t="s">
        <v>155</v>
      </c>
      <c r="AV387" t="s">
        <v>156</v>
      </c>
      <c r="AX387" t="s">
        <v>129</v>
      </c>
      <c r="AY387">
        <v>41003.4</v>
      </c>
      <c r="BB387">
        <v>98.757800000000003</v>
      </c>
      <c r="BC387" t="s">
        <v>112</v>
      </c>
      <c r="BD387" t="s">
        <v>112</v>
      </c>
      <c r="BE387" t="s">
        <v>157</v>
      </c>
      <c r="BF387" t="s">
        <v>133</v>
      </c>
      <c r="BG387" t="s">
        <v>134</v>
      </c>
      <c r="BH387" t="s">
        <v>112</v>
      </c>
      <c r="BI387" t="s">
        <v>112</v>
      </c>
      <c r="BJ387" t="s">
        <v>112</v>
      </c>
      <c r="BK387" t="s">
        <v>158</v>
      </c>
      <c r="BL387" t="s">
        <v>159</v>
      </c>
      <c r="BM387" t="s">
        <v>212</v>
      </c>
      <c r="BN387" t="s">
        <v>161</v>
      </c>
      <c r="BP387" t="s">
        <v>232</v>
      </c>
      <c r="BR387" t="s">
        <v>150</v>
      </c>
      <c r="BS387">
        <v>33</v>
      </c>
      <c r="BT387">
        <v>0</v>
      </c>
      <c r="BU387">
        <v>0</v>
      </c>
      <c r="BW387">
        <v>0</v>
      </c>
      <c r="BY387" t="s">
        <v>106</v>
      </c>
      <c r="BZ387" t="s">
        <v>142</v>
      </c>
      <c r="CA387" t="s">
        <v>112</v>
      </c>
      <c r="CB387" t="s">
        <v>112</v>
      </c>
      <c r="CC387" t="s">
        <v>121</v>
      </c>
      <c r="CD387">
        <v>14517.36</v>
      </c>
      <c r="CE387" t="s">
        <v>144</v>
      </c>
      <c r="CF387">
        <v>4000000</v>
      </c>
      <c r="CG387">
        <v>14270.16</v>
      </c>
      <c r="CH387">
        <v>0</v>
      </c>
      <c r="CI387" t="s">
        <v>112</v>
      </c>
      <c r="CJ387" t="s">
        <v>112</v>
      </c>
      <c r="CK387">
        <v>41003.4</v>
      </c>
      <c r="CM387">
        <v>0</v>
      </c>
      <c r="CN387">
        <v>1</v>
      </c>
      <c r="CO387">
        <v>4443449.2</v>
      </c>
      <c r="CP387">
        <v>49144.39</v>
      </c>
      <c r="CQ387" t="s">
        <v>145</v>
      </c>
      <c r="CR387">
        <v>49089.350399999996</v>
      </c>
      <c r="CS387">
        <v>3.44</v>
      </c>
      <c r="CT387">
        <v>45</v>
      </c>
      <c r="CV387" t="s">
        <v>163</v>
      </c>
      <c r="CW387">
        <v>128</v>
      </c>
    </row>
    <row r="388" spans="1:101" x14ac:dyDescent="0.2">
      <c r="A388" t="s">
        <v>106</v>
      </c>
      <c r="B388" s="46">
        <v>45173</v>
      </c>
      <c r="C388" t="s">
        <v>667</v>
      </c>
      <c r="D388" t="s">
        <v>108</v>
      </c>
      <c r="E388" t="s">
        <v>668</v>
      </c>
      <c r="F388" t="s">
        <v>110</v>
      </c>
      <c r="G388" t="s">
        <v>111</v>
      </c>
      <c r="H388" t="s">
        <v>112</v>
      </c>
      <c r="I388" t="s">
        <v>112</v>
      </c>
      <c r="J388" t="s">
        <v>112</v>
      </c>
      <c r="K388" t="s">
        <v>150</v>
      </c>
      <c r="L388" t="s">
        <v>151</v>
      </c>
      <c r="M388" t="s">
        <v>112</v>
      </c>
      <c r="N388" t="s">
        <v>112</v>
      </c>
      <c r="O388">
        <v>1</v>
      </c>
      <c r="Q388">
        <v>1</v>
      </c>
      <c r="R388">
        <v>33</v>
      </c>
      <c r="S388" t="s">
        <v>112</v>
      </c>
      <c r="T388" t="s">
        <v>152</v>
      </c>
      <c r="U388" t="s">
        <v>153</v>
      </c>
      <c r="V388" t="s">
        <v>154</v>
      </c>
      <c r="W388" t="s">
        <v>119</v>
      </c>
      <c r="X388" t="s">
        <v>112</v>
      </c>
      <c r="Y388" t="s">
        <v>112</v>
      </c>
      <c r="Z388" t="s">
        <v>152</v>
      </c>
      <c r="AA388" t="s">
        <v>153</v>
      </c>
      <c r="AB388" t="s">
        <v>154</v>
      </c>
      <c r="AC388" t="s">
        <v>119</v>
      </c>
      <c r="AD388" t="s">
        <v>112</v>
      </c>
      <c r="AE388" t="s">
        <v>121</v>
      </c>
      <c r="AF388" t="s">
        <v>122</v>
      </c>
      <c r="AG388">
        <v>4822781.8600000003</v>
      </c>
      <c r="AH388" t="s">
        <v>112</v>
      </c>
      <c r="AI388" t="s">
        <v>152</v>
      </c>
      <c r="AJ388" t="s">
        <v>153</v>
      </c>
      <c r="AK388" t="s">
        <v>154</v>
      </c>
      <c r="AL388" t="s">
        <v>119</v>
      </c>
      <c r="AM388" t="s">
        <v>112</v>
      </c>
      <c r="AN388" t="s">
        <v>121</v>
      </c>
      <c r="AO388" t="s">
        <v>122</v>
      </c>
      <c r="AP388" t="s">
        <v>122</v>
      </c>
      <c r="AQ388" t="s">
        <v>124</v>
      </c>
      <c r="AR388" t="s">
        <v>125</v>
      </c>
      <c r="AS388">
        <v>2</v>
      </c>
      <c r="AT388" t="s">
        <v>126</v>
      </c>
      <c r="AU388" t="s">
        <v>155</v>
      </c>
      <c r="AV388" t="s">
        <v>156</v>
      </c>
      <c r="AX388" t="s">
        <v>129</v>
      </c>
      <c r="AY388">
        <v>44144.44</v>
      </c>
      <c r="BB388">
        <v>98.757800000000003</v>
      </c>
      <c r="BC388" t="s">
        <v>112</v>
      </c>
      <c r="BD388" t="s">
        <v>112</v>
      </c>
      <c r="BE388" t="s">
        <v>157</v>
      </c>
      <c r="BF388" t="s">
        <v>133</v>
      </c>
      <c r="BG388" t="s">
        <v>167</v>
      </c>
      <c r="BH388" t="s">
        <v>112</v>
      </c>
      <c r="BI388" t="s">
        <v>112</v>
      </c>
      <c r="BJ388" t="s">
        <v>112</v>
      </c>
      <c r="BK388" t="s">
        <v>158</v>
      </c>
      <c r="BL388" t="s">
        <v>159</v>
      </c>
      <c r="BM388" t="s">
        <v>160</v>
      </c>
      <c r="BN388" t="s">
        <v>161</v>
      </c>
      <c r="BP388" t="s">
        <v>205</v>
      </c>
      <c r="BR388" t="s">
        <v>150</v>
      </c>
      <c r="BS388">
        <v>33</v>
      </c>
      <c r="BT388">
        <v>0</v>
      </c>
      <c r="BU388">
        <v>0</v>
      </c>
      <c r="BW388">
        <v>0</v>
      </c>
      <c r="BY388" t="s">
        <v>106</v>
      </c>
      <c r="BZ388" t="s">
        <v>142</v>
      </c>
      <c r="CA388" t="s">
        <v>112</v>
      </c>
      <c r="CB388" t="s">
        <v>112</v>
      </c>
      <c r="CC388" t="s">
        <v>121</v>
      </c>
      <c r="CD388">
        <v>16086.1</v>
      </c>
      <c r="CE388" t="s">
        <v>144</v>
      </c>
      <c r="CF388">
        <v>4000000</v>
      </c>
      <c r="CG388">
        <v>15964.9</v>
      </c>
      <c r="CH388">
        <v>0</v>
      </c>
      <c r="CI388" t="s">
        <v>112</v>
      </c>
      <c r="CJ388" t="s">
        <v>112</v>
      </c>
      <c r="CK388">
        <v>44144.44</v>
      </c>
      <c r="CM388">
        <v>1</v>
      </c>
      <c r="CN388">
        <v>1</v>
      </c>
      <c r="CO388">
        <v>4822781.8600000003</v>
      </c>
      <c r="CP388">
        <v>53339.8</v>
      </c>
      <c r="CQ388" t="s">
        <v>145</v>
      </c>
      <c r="CR388">
        <v>53322.765999999996</v>
      </c>
      <c r="CS388">
        <v>3.34</v>
      </c>
      <c r="CT388">
        <v>45</v>
      </c>
      <c r="CV388" t="s">
        <v>233</v>
      </c>
      <c r="CW388">
        <v>586</v>
      </c>
    </row>
    <row r="389" spans="1:101" x14ac:dyDescent="0.2">
      <c r="A389" s="8" t="s">
        <v>106</v>
      </c>
      <c r="B389" s="46">
        <v>45128</v>
      </c>
      <c r="C389" s="8" t="s">
        <v>3021</v>
      </c>
      <c r="D389" s="8" t="s">
        <v>108</v>
      </c>
      <c r="E389" s="8" t="s">
        <v>3022</v>
      </c>
      <c r="F389" t="s">
        <v>110</v>
      </c>
      <c r="G389" s="8" t="s">
        <v>111</v>
      </c>
      <c r="H389" s="8" t="s">
        <v>112</v>
      </c>
      <c r="I389" s="8" t="s">
        <v>112</v>
      </c>
      <c r="J389" s="8" t="s">
        <v>112</v>
      </c>
      <c r="K389" s="8" t="s">
        <v>2546</v>
      </c>
      <c r="L389" s="8" t="s">
        <v>3023</v>
      </c>
      <c r="M389" s="8" t="s">
        <v>112</v>
      </c>
      <c r="N389" s="8" t="s">
        <v>112</v>
      </c>
      <c r="O389">
        <v>1</v>
      </c>
      <c r="P389">
        <v>0</v>
      </c>
      <c r="Q389">
        <v>1</v>
      </c>
      <c r="R389">
        <v>10</v>
      </c>
      <c r="S389" s="8" t="s">
        <v>3024</v>
      </c>
      <c r="T389" s="8" t="s">
        <v>3025</v>
      </c>
      <c r="U389" s="8" t="s">
        <v>3026</v>
      </c>
      <c r="V389" s="8" t="s">
        <v>3027</v>
      </c>
      <c r="W389" s="8" t="s">
        <v>119</v>
      </c>
      <c r="X389" s="8" t="s">
        <v>3028</v>
      </c>
      <c r="Y389" s="8" t="s">
        <v>3024</v>
      </c>
      <c r="Z389" s="8" t="s">
        <v>3025</v>
      </c>
      <c r="AA389" s="8" t="s">
        <v>3026</v>
      </c>
      <c r="AB389" s="8" t="s">
        <v>3027</v>
      </c>
      <c r="AC389" s="8" t="s">
        <v>119</v>
      </c>
      <c r="AD389" s="8" t="s">
        <v>3028</v>
      </c>
      <c r="AE389" s="8" t="s">
        <v>2163</v>
      </c>
      <c r="AF389" s="8" t="s">
        <v>2164</v>
      </c>
      <c r="AG389">
        <v>3871271.04</v>
      </c>
      <c r="AH389" s="8" t="s">
        <v>3024</v>
      </c>
      <c r="AI389" s="8" t="s">
        <v>3025</v>
      </c>
      <c r="AJ389" s="8" t="s">
        <v>3026</v>
      </c>
      <c r="AK389" s="8" t="s">
        <v>3027</v>
      </c>
      <c r="AL389" s="8" t="s">
        <v>119</v>
      </c>
      <c r="AM389" s="8" t="s">
        <v>3028</v>
      </c>
      <c r="AN389" s="8" t="s">
        <v>2163</v>
      </c>
      <c r="AO389" s="8" t="s">
        <v>2164</v>
      </c>
      <c r="AP389" s="8" t="s">
        <v>2164</v>
      </c>
      <c r="AQ389" s="8" t="s">
        <v>124</v>
      </c>
      <c r="AR389" s="8" t="s">
        <v>125</v>
      </c>
      <c r="AS389">
        <v>2</v>
      </c>
      <c r="AT389" s="8" t="s">
        <v>126</v>
      </c>
      <c r="AU389" s="8" t="s">
        <v>155</v>
      </c>
      <c r="AV389" s="8" t="s">
        <v>3029</v>
      </c>
      <c r="AW389">
        <v>0</v>
      </c>
      <c r="AX389" s="8" t="s">
        <v>129</v>
      </c>
      <c r="AY389">
        <v>51485</v>
      </c>
      <c r="AZ389">
        <v>3541128</v>
      </c>
      <c r="BA389">
        <v>59919.56</v>
      </c>
      <c r="BB389">
        <v>68.779799999999895</v>
      </c>
      <c r="BC389" s="8" t="s">
        <v>130</v>
      </c>
      <c r="BD389" s="8" t="s">
        <v>131</v>
      </c>
      <c r="BE389" s="8" t="s">
        <v>3030</v>
      </c>
      <c r="BF389" s="8" t="s">
        <v>133</v>
      </c>
      <c r="BG389" s="8" t="s">
        <v>134</v>
      </c>
      <c r="BH389" s="8" t="s">
        <v>112</v>
      </c>
      <c r="BI389" s="8" t="s">
        <v>112</v>
      </c>
      <c r="BJ389" s="8" t="s">
        <v>3031</v>
      </c>
      <c r="BK389" s="8" t="s">
        <v>2168</v>
      </c>
      <c r="BL389" s="8" t="s">
        <v>3032</v>
      </c>
      <c r="BM389" s="8" t="s">
        <v>3033</v>
      </c>
      <c r="BN389" s="8" t="s">
        <v>3034</v>
      </c>
      <c r="BO389">
        <v>1</v>
      </c>
      <c r="BP389" s="8" t="s">
        <v>3035</v>
      </c>
      <c r="BR389" s="8" t="s">
        <v>2546</v>
      </c>
      <c r="BS389">
        <v>10</v>
      </c>
      <c r="BT389">
        <v>0</v>
      </c>
      <c r="BU389">
        <v>11</v>
      </c>
      <c r="BV389" t="s">
        <v>2147</v>
      </c>
      <c r="BW389">
        <v>0</v>
      </c>
      <c r="BY389" s="8" t="s">
        <v>106</v>
      </c>
      <c r="BZ389" s="8" t="s">
        <v>2148</v>
      </c>
      <c r="CA389" s="8" t="s">
        <v>112</v>
      </c>
      <c r="CB389" s="8" t="s">
        <v>112</v>
      </c>
      <c r="CC389" s="8" t="s">
        <v>2163</v>
      </c>
      <c r="CD389">
        <v>13820</v>
      </c>
      <c r="CE389" t="s">
        <v>144</v>
      </c>
      <c r="CF389">
        <v>4000000</v>
      </c>
      <c r="CG389">
        <v>13680</v>
      </c>
      <c r="CH389">
        <v>0</v>
      </c>
      <c r="CI389" s="8" t="s">
        <v>112</v>
      </c>
      <c r="CJ389" s="8" t="s">
        <v>112</v>
      </c>
      <c r="CK389">
        <v>51485</v>
      </c>
      <c r="CL389">
        <v>3541128</v>
      </c>
      <c r="CM389">
        <v>0</v>
      </c>
      <c r="CN389">
        <v>1</v>
      </c>
      <c r="CO389">
        <v>3871271.04</v>
      </c>
      <c r="CP389">
        <v>59919.56</v>
      </c>
      <c r="CQ389" s="8" t="s">
        <v>145</v>
      </c>
      <c r="CR389">
        <v>4.3800999999999997</v>
      </c>
      <c r="CS389">
        <v>526</v>
      </c>
      <c r="CT389" t="s">
        <v>3036</v>
      </c>
      <c r="CV389" t="s">
        <v>3037</v>
      </c>
      <c r="CW389">
        <v>37</v>
      </c>
    </row>
    <row r="390" spans="1:101" x14ac:dyDescent="0.2">
      <c r="A390" s="8" t="s">
        <v>106</v>
      </c>
      <c r="B390" s="46">
        <v>45242</v>
      </c>
      <c r="C390" s="8" t="s">
        <v>3054</v>
      </c>
      <c r="D390" s="8" t="s">
        <v>108</v>
      </c>
      <c r="E390" s="8" t="s">
        <v>3055</v>
      </c>
      <c r="F390" t="s">
        <v>110</v>
      </c>
      <c r="G390" s="8" t="s">
        <v>111</v>
      </c>
      <c r="H390" s="8" t="s">
        <v>112</v>
      </c>
      <c r="I390" s="8" t="s">
        <v>112</v>
      </c>
      <c r="J390" s="8" t="s">
        <v>112</v>
      </c>
      <c r="K390" s="8" t="s">
        <v>3056</v>
      </c>
      <c r="L390" s="8" t="s">
        <v>3057</v>
      </c>
      <c r="M390" s="8" t="s">
        <v>112</v>
      </c>
      <c r="N390" s="8" t="s">
        <v>112</v>
      </c>
      <c r="O390">
        <v>2</v>
      </c>
      <c r="P390">
        <v>0</v>
      </c>
      <c r="Q390">
        <v>3</v>
      </c>
      <c r="R390">
        <v>46</v>
      </c>
      <c r="S390" s="8" t="s">
        <v>3058</v>
      </c>
      <c r="T390" s="8" t="s">
        <v>3059</v>
      </c>
      <c r="U390" s="8" t="s">
        <v>3060</v>
      </c>
      <c r="V390" s="8" t="s">
        <v>3061</v>
      </c>
      <c r="W390" s="8" t="s">
        <v>119</v>
      </c>
      <c r="X390" s="8" t="s">
        <v>3062</v>
      </c>
      <c r="Y390" s="8" t="s">
        <v>3058</v>
      </c>
      <c r="Z390" s="8" t="s">
        <v>3059</v>
      </c>
      <c r="AA390" s="8" t="s">
        <v>3060</v>
      </c>
      <c r="AB390" s="8" t="s">
        <v>3061</v>
      </c>
      <c r="AC390" s="8" t="s">
        <v>119</v>
      </c>
      <c r="AD390" s="8" t="s">
        <v>3062</v>
      </c>
      <c r="AE390" s="8" t="s">
        <v>2800</v>
      </c>
      <c r="AF390" s="8" t="s">
        <v>2801</v>
      </c>
      <c r="AG390">
        <v>3928548.11</v>
      </c>
      <c r="AH390" s="8" t="s">
        <v>3058</v>
      </c>
      <c r="AI390" s="8" t="s">
        <v>3059</v>
      </c>
      <c r="AJ390" s="8" t="s">
        <v>3060</v>
      </c>
      <c r="AK390" s="8" t="s">
        <v>3061</v>
      </c>
      <c r="AL390" s="8" t="s">
        <v>119</v>
      </c>
      <c r="AM390" s="8" t="s">
        <v>3062</v>
      </c>
      <c r="AN390" s="8" t="s">
        <v>2800</v>
      </c>
      <c r="AO390" s="8" t="s">
        <v>2801</v>
      </c>
      <c r="AP390" s="8" t="s">
        <v>2801</v>
      </c>
      <c r="AQ390" s="8" t="s">
        <v>124</v>
      </c>
      <c r="AR390" s="8" t="s">
        <v>125</v>
      </c>
      <c r="AS390">
        <v>2</v>
      </c>
      <c r="AT390" s="8" t="s">
        <v>126</v>
      </c>
      <c r="AU390" s="8" t="s">
        <v>2674</v>
      </c>
      <c r="AV390" s="8" t="s">
        <v>2401</v>
      </c>
      <c r="AW390">
        <v>1</v>
      </c>
      <c r="AX390" s="8" t="s">
        <v>129</v>
      </c>
      <c r="AY390">
        <v>57117.760000000002</v>
      </c>
      <c r="AZ390">
        <v>3928548</v>
      </c>
      <c r="BA390">
        <v>60806.1</v>
      </c>
      <c r="BB390">
        <v>68.779799999999895</v>
      </c>
      <c r="BC390" s="8" t="s">
        <v>130</v>
      </c>
      <c r="BD390" s="8" t="s">
        <v>131</v>
      </c>
      <c r="BE390" s="8" t="s">
        <v>3063</v>
      </c>
      <c r="BF390" s="8" t="s">
        <v>133</v>
      </c>
      <c r="BG390" s="8" t="s">
        <v>134</v>
      </c>
      <c r="BH390" s="8" t="s">
        <v>112</v>
      </c>
      <c r="BI390" s="8" t="s">
        <v>112</v>
      </c>
      <c r="BJ390" s="8" t="s">
        <v>112</v>
      </c>
      <c r="BK390" s="8" t="s">
        <v>3064</v>
      </c>
      <c r="BL390" s="8" t="s">
        <v>3065</v>
      </c>
      <c r="BM390" s="8" t="s">
        <v>3066</v>
      </c>
      <c r="BN390" s="8" t="s">
        <v>161</v>
      </c>
      <c r="BO390">
        <v>1</v>
      </c>
      <c r="BP390" s="8" t="s">
        <v>2750</v>
      </c>
      <c r="BR390" s="8" t="s">
        <v>3067</v>
      </c>
      <c r="BS390">
        <v>44</v>
      </c>
      <c r="BT390">
        <v>0</v>
      </c>
      <c r="BU390">
        <v>54</v>
      </c>
      <c r="BV390" t="s">
        <v>2147</v>
      </c>
      <c r="BW390">
        <v>0</v>
      </c>
      <c r="BY390" s="8" t="s">
        <v>106</v>
      </c>
      <c r="BZ390" s="8" t="s">
        <v>2148</v>
      </c>
      <c r="CA390" s="8" t="s">
        <v>112</v>
      </c>
      <c r="CB390" s="8" t="s">
        <v>112</v>
      </c>
      <c r="CC390" s="8" t="s">
        <v>2800</v>
      </c>
      <c r="CD390">
        <v>11130</v>
      </c>
      <c r="CE390" t="s">
        <v>3068</v>
      </c>
      <c r="CF390">
        <v>4000000</v>
      </c>
      <c r="CG390">
        <v>10137</v>
      </c>
      <c r="CH390">
        <v>0</v>
      </c>
      <c r="CI390" s="8" t="s">
        <v>112</v>
      </c>
      <c r="CJ390" s="8" t="s">
        <v>112</v>
      </c>
      <c r="CK390">
        <v>52637.04</v>
      </c>
      <c r="CL390">
        <v>3620365</v>
      </c>
      <c r="CM390">
        <v>0</v>
      </c>
      <c r="CN390">
        <v>1</v>
      </c>
      <c r="CO390">
        <v>3620365.08</v>
      </c>
      <c r="CP390">
        <v>56036.04</v>
      </c>
      <c r="CQ390" s="8" t="s">
        <v>145</v>
      </c>
      <c r="CR390">
        <v>5.5278999999999998</v>
      </c>
      <c r="CS390">
        <v>991</v>
      </c>
      <c r="CT390" t="s">
        <v>3069</v>
      </c>
      <c r="CV390" t="s">
        <v>3070</v>
      </c>
      <c r="CW390">
        <v>324</v>
      </c>
    </row>
    <row r="391" spans="1:101" x14ac:dyDescent="0.2">
      <c r="A391" s="8" t="s">
        <v>106</v>
      </c>
      <c r="B391" s="46">
        <v>45226</v>
      </c>
      <c r="C391" s="8" t="s">
        <v>3122</v>
      </c>
      <c r="D391" s="8" t="s">
        <v>108</v>
      </c>
      <c r="E391" s="8" t="s">
        <v>3123</v>
      </c>
      <c r="F391" t="s">
        <v>110</v>
      </c>
      <c r="G391" s="8" t="s">
        <v>111</v>
      </c>
      <c r="H391" s="8" t="s">
        <v>112</v>
      </c>
      <c r="I391" s="8" t="s">
        <v>112</v>
      </c>
      <c r="J391" s="8" t="s">
        <v>112</v>
      </c>
      <c r="K391" s="8" t="s">
        <v>2161</v>
      </c>
      <c r="L391" s="8" t="s">
        <v>2162</v>
      </c>
      <c r="M391" s="8" t="s">
        <v>112</v>
      </c>
      <c r="N391" s="8" t="s">
        <v>112</v>
      </c>
      <c r="O391">
        <v>2</v>
      </c>
      <c r="P391">
        <v>0</v>
      </c>
      <c r="Q391">
        <v>2</v>
      </c>
      <c r="R391">
        <v>83</v>
      </c>
      <c r="S391" s="8" t="s">
        <v>2136</v>
      </c>
      <c r="T391" s="8" t="s">
        <v>2137</v>
      </c>
      <c r="U391" s="8" t="s">
        <v>2141</v>
      </c>
      <c r="V391" s="8" t="s">
        <v>2139</v>
      </c>
      <c r="W391" s="8" t="s">
        <v>119</v>
      </c>
      <c r="X391" s="8" t="s">
        <v>2140</v>
      </c>
      <c r="Y391" s="8" t="s">
        <v>2136</v>
      </c>
      <c r="Z391" s="8" t="s">
        <v>2137</v>
      </c>
      <c r="AA391" s="8" t="s">
        <v>2141</v>
      </c>
      <c r="AB391" s="8" t="s">
        <v>2139</v>
      </c>
      <c r="AC391" s="8" t="s">
        <v>119</v>
      </c>
      <c r="AD391" s="8" t="s">
        <v>2140</v>
      </c>
      <c r="AE391" s="8" t="s">
        <v>2163</v>
      </c>
      <c r="AF391" s="8" t="s">
        <v>2164</v>
      </c>
      <c r="AG391">
        <v>10248688.17</v>
      </c>
      <c r="AH391" s="8" t="s">
        <v>2136</v>
      </c>
      <c r="AI391" s="8" t="s">
        <v>2137</v>
      </c>
      <c r="AJ391" s="8" t="s">
        <v>2141</v>
      </c>
      <c r="AK391" s="8" t="s">
        <v>2139</v>
      </c>
      <c r="AL391" s="8" t="s">
        <v>119</v>
      </c>
      <c r="AM391" s="8" t="s">
        <v>2140</v>
      </c>
      <c r="AN391" s="8" t="s">
        <v>2163</v>
      </c>
      <c r="AO391" s="8" t="s">
        <v>2164</v>
      </c>
      <c r="AP391" s="8" t="s">
        <v>2164</v>
      </c>
      <c r="AQ391" s="8" t="s">
        <v>124</v>
      </c>
      <c r="AR391" s="8" t="s">
        <v>125</v>
      </c>
      <c r="AS391">
        <v>2</v>
      </c>
      <c r="AT391" s="8" t="s">
        <v>126</v>
      </c>
      <c r="AU391" s="8" t="s">
        <v>127</v>
      </c>
      <c r="AV391" s="8" t="s">
        <v>2165</v>
      </c>
      <c r="AW391">
        <v>1</v>
      </c>
      <c r="AX391" s="8" t="s">
        <v>129</v>
      </c>
      <c r="AY391">
        <v>143707.24</v>
      </c>
      <c r="AZ391">
        <v>9884155</v>
      </c>
      <c r="BA391">
        <v>158629.269999999</v>
      </c>
      <c r="BB391">
        <v>68.779799999999895</v>
      </c>
      <c r="BC391" s="8" t="s">
        <v>130</v>
      </c>
      <c r="BD391" s="8" t="s">
        <v>131</v>
      </c>
      <c r="BE391" s="8" t="s">
        <v>2166</v>
      </c>
      <c r="BF391" s="8" t="s">
        <v>133</v>
      </c>
      <c r="BG391" s="8" t="s">
        <v>134</v>
      </c>
      <c r="BH391" s="8" t="s">
        <v>112</v>
      </c>
      <c r="BI391" s="8" t="s">
        <v>112</v>
      </c>
      <c r="BJ391" s="8" t="s">
        <v>112</v>
      </c>
      <c r="BK391" s="8" t="s">
        <v>2655</v>
      </c>
      <c r="BL391" s="8" t="s">
        <v>2656</v>
      </c>
      <c r="BM391" s="8" t="s">
        <v>2496</v>
      </c>
      <c r="BN391" s="8" t="s">
        <v>2497</v>
      </c>
      <c r="BO391">
        <v>1</v>
      </c>
      <c r="BP391" s="8" t="s">
        <v>3124</v>
      </c>
      <c r="BR391" s="8" t="s">
        <v>2161</v>
      </c>
      <c r="BS391">
        <v>82</v>
      </c>
      <c r="BT391">
        <v>0</v>
      </c>
      <c r="BU391">
        <v>335</v>
      </c>
      <c r="BV391" t="s">
        <v>2147</v>
      </c>
      <c r="BW391">
        <v>0</v>
      </c>
      <c r="BY391" s="8" t="s">
        <v>106</v>
      </c>
      <c r="BZ391" s="8" t="s">
        <v>2148</v>
      </c>
      <c r="CA391" s="8" t="s">
        <v>112</v>
      </c>
      <c r="CB391" s="8" t="s">
        <v>112</v>
      </c>
      <c r="CC391" s="8" t="s">
        <v>2163</v>
      </c>
      <c r="CD391">
        <v>15315.4</v>
      </c>
      <c r="CE391" t="s">
        <v>144</v>
      </c>
      <c r="CF391">
        <v>4000000</v>
      </c>
      <c r="CG391">
        <v>15194</v>
      </c>
      <c r="CH391">
        <v>0</v>
      </c>
      <c r="CI391" s="8" t="s">
        <v>112</v>
      </c>
      <c r="CJ391" s="8" t="s">
        <v>112</v>
      </c>
      <c r="CK391">
        <v>142406.74</v>
      </c>
      <c r="CL391">
        <v>9794707</v>
      </c>
      <c r="CM391">
        <v>0</v>
      </c>
      <c r="CN391">
        <v>1</v>
      </c>
      <c r="CO391">
        <v>10157722.76</v>
      </c>
      <c r="CP391">
        <v>157221.31</v>
      </c>
      <c r="CQ391" s="8" t="s">
        <v>145</v>
      </c>
      <c r="CR391">
        <v>10.3476</v>
      </c>
      <c r="CS391">
        <v>1053</v>
      </c>
      <c r="CT391" t="s">
        <v>2149</v>
      </c>
      <c r="CV391" t="s">
        <v>2150</v>
      </c>
      <c r="CW391">
        <v>0</v>
      </c>
    </row>
    <row r="392" spans="1:101" x14ac:dyDescent="0.2">
      <c r="A392" s="8" t="s">
        <v>106</v>
      </c>
      <c r="B392" s="46">
        <v>45239</v>
      </c>
      <c r="C392" s="8" t="s">
        <v>3101</v>
      </c>
      <c r="D392" s="8" t="s">
        <v>108</v>
      </c>
      <c r="E392" s="8" t="s">
        <v>3102</v>
      </c>
      <c r="F392" t="s">
        <v>110</v>
      </c>
      <c r="G392" s="8" t="s">
        <v>111</v>
      </c>
      <c r="H392" s="8" t="s">
        <v>112</v>
      </c>
      <c r="I392" s="8" t="s">
        <v>112</v>
      </c>
      <c r="J392" s="8" t="s">
        <v>112</v>
      </c>
      <c r="K392" s="8" t="s">
        <v>3103</v>
      </c>
      <c r="L392" s="8" t="s">
        <v>3104</v>
      </c>
      <c r="M392" s="8" t="s">
        <v>112</v>
      </c>
      <c r="N392" s="8" t="s">
        <v>112</v>
      </c>
      <c r="O392">
        <v>2</v>
      </c>
      <c r="P392">
        <v>0</v>
      </c>
      <c r="Q392">
        <v>4</v>
      </c>
      <c r="R392">
        <v>27</v>
      </c>
      <c r="S392" s="8" t="s">
        <v>3105</v>
      </c>
      <c r="T392" s="8" t="s">
        <v>3106</v>
      </c>
      <c r="U392" s="8" t="s">
        <v>3107</v>
      </c>
      <c r="V392" s="8" t="s">
        <v>3108</v>
      </c>
      <c r="W392" s="8" t="s">
        <v>3109</v>
      </c>
      <c r="X392" s="8" t="s">
        <v>3110</v>
      </c>
      <c r="Y392" s="8" t="s">
        <v>3105</v>
      </c>
      <c r="Z392" s="8" t="s">
        <v>3106</v>
      </c>
      <c r="AA392" s="8" t="s">
        <v>3107</v>
      </c>
      <c r="AB392" s="8" t="s">
        <v>3108</v>
      </c>
      <c r="AC392" s="8" t="s">
        <v>3109</v>
      </c>
      <c r="AD392" s="8" t="s">
        <v>3110</v>
      </c>
      <c r="AE392" s="8" t="s">
        <v>2163</v>
      </c>
      <c r="AF392" s="8" t="s">
        <v>2164</v>
      </c>
      <c r="AG392">
        <v>7949885.6799999904</v>
      </c>
      <c r="AH392" s="8" t="s">
        <v>3105</v>
      </c>
      <c r="AI392" s="8" t="s">
        <v>3106</v>
      </c>
      <c r="AJ392" s="8" t="s">
        <v>3107</v>
      </c>
      <c r="AK392" s="8" t="s">
        <v>3108</v>
      </c>
      <c r="AL392" s="8" t="s">
        <v>3109</v>
      </c>
      <c r="AM392" s="8" t="s">
        <v>3110</v>
      </c>
      <c r="AN392" s="8" t="s">
        <v>2163</v>
      </c>
      <c r="AO392" s="8" t="s">
        <v>2164</v>
      </c>
      <c r="AP392" s="8" t="s">
        <v>2164</v>
      </c>
      <c r="AQ392" s="8" t="s">
        <v>124</v>
      </c>
      <c r="AR392" s="8" t="s">
        <v>125</v>
      </c>
      <c r="AS392">
        <v>2</v>
      </c>
      <c r="AT392" s="8" t="s">
        <v>126</v>
      </c>
      <c r="AU392" s="8" t="s">
        <v>155</v>
      </c>
      <c r="AV392" s="8" t="s">
        <v>3111</v>
      </c>
      <c r="AW392">
        <v>1</v>
      </c>
      <c r="AX392" s="8" t="s">
        <v>129</v>
      </c>
      <c r="AY392">
        <v>110602.6</v>
      </c>
      <c r="AZ392">
        <v>7607225</v>
      </c>
      <c r="BA392">
        <v>123048.39</v>
      </c>
      <c r="BB392">
        <v>68.779799999999895</v>
      </c>
      <c r="BC392" s="8" t="s">
        <v>130</v>
      </c>
      <c r="BD392" s="8" t="s">
        <v>131</v>
      </c>
      <c r="BE392" s="8" t="s">
        <v>3112</v>
      </c>
      <c r="BF392" s="8" t="s">
        <v>133</v>
      </c>
      <c r="BG392" s="8" t="s">
        <v>3113</v>
      </c>
      <c r="BH392" s="8" t="s">
        <v>112</v>
      </c>
      <c r="BI392" s="8" t="s">
        <v>3114</v>
      </c>
      <c r="BJ392" s="8" t="s">
        <v>112</v>
      </c>
      <c r="BK392" s="8" t="s">
        <v>3115</v>
      </c>
      <c r="BL392" s="8" t="s">
        <v>3116</v>
      </c>
      <c r="BM392" s="8" t="s">
        <v>3117</v>
      </c>
      <c r="BN392" s="8" t="s">
        <v>3118</v>
      </c>
      <c r="BO392">
        <v>2</v>
      </c>
      <c r="BP392" s="8" t="s">
        <v>3121</v>
      </c>
      <c r="BR392" s="8" t="s">
        <v>3103</v>
      </c>
      <c r="BS392">
        <v>24</v>
      </c>
      <c r="BT392">
        <v>0</v>
      </c>
      <c r="BU392">
        <v>86</v>
      </c>
      <c r="BV392" t="s">
        <v>2147</v>
      </c>
      <c r="BW392">
        <v>0</v>
      </c>
      <c r="BY392" s="8" t="s">
        <v>596</v>
      </c>
      <c r="BZ392" s="8" t="s">
        <v>2467</v>
      </c>
      <c r="CA392" s="8" t="s">
        <v>112</v>
      </c>
      <c r="CB392" s="8" t="s">
        <v>112</v>
      </c>
      <c r="CC392" s="8" t="s">
        <v>2163</v>
      </c>
      <c r="CD392">
        <v>16889.8</v>
      </c>
      <c r="CE392" t="s">
        <v>144</v>
      </c>
      <c r="CF392">
        <v>4000000</v>
      </c>
      <c r="CG392">
        <v>15338</v>
      </c>
      <c r="CH392">
        <v>0</v>
      </c>
      <c r="CI392" s="8" t="s">
        <v>112</v>
      </c>
      <c r="CJ392" s="8" t="s">
        <v>112</v>
      </c>
      <c r="CK392">
        <v>90188</v>
      </c>
      <c r="CL392">
        <v>6203113</v>
      </c>
      <c r="CM392">
        <v>0</v>
      </c>
      <c r="CN392">
        <v>1</v>
      </c>
      <c r="CO392">
        <v>6497303.75</v>
      </c>
      <c r="CP392">
        <v>100565.31</v>
      </c>
      <c r="CQ392" s="8" t="s">
        <v>145</v>
      </c>
      <c r="CR392">
        <v>6.5566000000000004</v>
      </c>
      <c r="CV392" t="s">
        <v>3120</v>
      </c>
      <c r="CW392">
        <v>257</v>
      </c>
    </row>
    <row r="393" spans="1:101" x14ac:dyDescent="0.2">
      <c r="A393" s="8" t="s">
        <v>106</v>
      </c>
      <c r="B393" s="46">
        <v>45112</v>
      </c>
      <c r="C393" s="8" t="s">
        <v>3101</v>
      </c>
      <c r="D393" s="8" t="s">
        <v>108</v>
      </c>
      <c r="E393" s="8" t="s">
        <v>3102</v>
      </c>
      <c r="F393" t="s">
        <v>110</v>
      </c>
      <c r="G393" s="8" t="s">
        <v>111</v>
      </c>
      <c r="H393" s="8" t="s">
        <v>112</v>
      </c>
      <c r="I393" s="8" t="s">
        <v>112</v>
      </c>
      <c r="J393" s="8" t="s">
        <v>112</v>
      </c>
      <c r="K393" s="8" t="s">
        <v>3103</v>
      </c>
      <c r="L393" s="8" t="s">
        <v>3104</v>
      </c>
      <c r="M393" s="8" t="s">
        <v>112</v>
      </c>
      <c r="N393" s="8" t="s">
        <v>112</v>
      </c>
      <c r="O393">
        <v>2</v>
      </c>
      <c r="P393">
        <v>0</v>
      </c>
      <c r="Q393">
        <v>4</v>
      </c>
      <c r="R393">
        <v>27</v>
      </c>
      <c r="S393" s="8" t="s">
        <v>3105</v>
      </c>
      <c r="T393" s="8" t="s">
        <v>3106</v>
      </c>
      <c r="U393" s="8" t="s">
        <v>3107</v>
      </c>
      <c r="V393" s="8" t="s">
        <v>3108</v>
      </c>
      <c r="W393" s="8" t="s">
        <v>3109</v>
      </c>
      <c r="X393" s="8" t="s">
        <v>3110</v>
      </c>
      <c r="Y393" s="8" t="s">
        <v>3105</v>
      </c>
      <c r="Z393" s="8" t="s">
        <v>3106</v>
      </c>
      <c r="AA393" s="8" t="s">
        <v>3107</v>
      </c>
      <c r="AB393" s="8" t="s">
        <v>3108</v>
      </c>
      <c r="AC393" s="8" t="s">
        <v>3109</v>
      </c>
      <c r="AD393" s="8" t="s">
        <v>3110</v>
      </c>
      <c r="AE393" s="8" t="s">
        <v>2163</v>
      </c>
      <c r="AF393" s="8" t="s">
        <v>2164</v>
      </c>
      <c r="AG393">
        <v>7949885.6799999904</v>
      </c>
      <c r="AH393" s="8" t="s">
        <v>3105</v>
      </c>
      <c r="AI393" s="8" t="s">
        <v>3106</v>
      </c>
      <c r="AJ393" s="8" t="s">
        <v>3107</v>
      </c>
      <c r="AK393" s="8" t="s">
        <v>3108</v>
      </c>
      <c r="AL393" s="8" t="s">
        <v>3109</v>
      </c>
      <c r="AM393" s="8" t="s">
        <v>3110</v>
      </c>
      <c r="AN393" s="8" t="s">
        <v>2163</v>
      </c>
      <c r="AO393" s="8" t="s">
        <v>2164</v>
      </c>
      <c r="AP393" s="8" t="s">
        <v>2164</v>
      </c>
      <c r="AQ393" s="8" t="s">
        <v>124</v>
      </c>
      <c r="AR393" s="8" t="s">
        <v>125</v>
      </c>
      <c r="AS393">
        <v>2</v>
      </c>
      <c r="AT393" s="8" t="s">
        <v>126</v>
      </c>
      <c r="AU393" s="8" t="s">
        <v>155</v>
      </c>
      <c r="AV393" s="8" t="s">
        <v>3111</v>
      </c>
      <c r="AW393">
        <v>1</v>
      </c>
      <c r="AX393" s="8" t="s">
        <v>129</v>
      </c>
      <c r="AY393">
        <v>110602.6</v>
      </c>
      <c r="AZ393">
        <v>7607225</v>
      </c>
      <c r="BA393">
        <v>123048.39</v>
      </c>
      <c r="BB393">
        <v>68.779799999999895</v>
      </c>
      <c r="BC393" s="8" t="s">
        <v>130</v>
      </c>
      <c r="BD393" s="8" t="s">
        <v>131</v>
      </c>
      <c r="BE393" s="8" t="s">
        <v>3112</v>
      </c>
      <c r="BF393" s="8" t="s">
        <v>133</v>
      </c>
      <c r="BG393" s="8" t="s">
        <v>3113</v>
      </c>
      <c r="BH393" s="8" t="s">
        <v>112</v>
      </c>
      <c r="BI393" s="8" t="s">
        <v>3114</v>
      </c>
      <c r="BJ393" s="8" t="s">
        <v>112</v>
      </c>
      <c r="BK393" s="8" t="s">
        <v>3115</v>
      </c>
      <c r="BL393" s="8" t="s">
        <v>3116</v>
      </c>
      <c r="BM393" s="8" t="s">
        <v>3117</v>
      </c>
      <c r="BN393" s="8" t="s">
        <v>3118</v>
      </c>
      <c r="BO393">
        <v>2</v>
      </c>
      <c r="BP393" s="8" t="s">
        <v>3119</v>
      </c>
      <c r="BR393" s="8" t="s">
        <v>3103</v>
      </c>
      <c r="BS393">
        <v>1</v>
      </c>
      <c r="BT393">
        <v>0</v>
      </c>
      <c r="BU393">
        <v>5</v>
      </c>
      <c r="BV393" t="s">
        <v>2147</v>
      </c>
      <c r="BW393">
        <v>0</v>
      </c>
      <c r="BY393" s="8" t="s">
        <v>2515</v>
      </c>
      <c r="BZ393" s="8" t="s">
        <v>2148</v>
      </c>
      <c r="CA393" s="8" t="s">
        <v>112</v>
      </c>
      <c r="CB393" s="8" t="s">
        <v>112</v>
      </c>
      <c r="CC393" s="8" t="s">
        <v>2163</v>
      </c>
      <c r="CD393">
        <v>189</v>
      </c>
      <c r="CE393" t="s">
        <v>144</v>
      </c>
      <c r="CF393">
        <v>4000000</v>
      </c>
      <c r="CG393">
        <v>169</v>
      </c>
      <c r="CH393">
        <v>0</v>
      </c>
      <c r="CI393" s="8" t="s">
        <v>112</v>
      </c>
      <c r="CJ393" s="8" t="s">
        <v>112</v>
      </c>
      <c r="CK393">
        <v>3307</v>
      </c>
      <c r="CL393">
        <v>227455</v>
      </c>
      <c r="CM393">
        <v>0</v>
      </c>
      <c r="CN393">
        <v>1</v>
      </c>
      <c r="CO393">
        <v>230884.85</v>
      </c>
      <c r="CP393">
        <v>3573.64</v>
      </c>
      <c r="CQ393" s="8" t="s">
        <v>145</v>
      </c>
      <c r="CR393">
        <v>21.145800000000001</v>
      </c>
      <c r="CV393" t="s">
        <v>3120</v>
      </c>
      <c r="CW393">
        <v>257</v>
      </c>
    </row>
    <row r="394" spans="1:101" x14ac:dyDescent="0.2">
      <c r="A394" s="8" t="s">
        <v>106</v>
      </c>
      <c r="B394" s="46">
        <v>44964</v>
      </c>
      <c r="C394" s="8" t="s">
        <v>3084</v>
      </c>
      <c r="D394" s="8" t="s">
        <v>108</v>
      </c>
      <c r="E394" s="8" t="s">
        <v>3085</v>
      </c>
      <c r="F394" t="s">
        <v>110</v>
      </c>
      <c r="G394" s="8" t="s">
        <v>111</v>
      </c>
      <c r="H394" s="8" t="s">
        <v>112</v>
      </c>
      <c r="I394" s="8" t="s">
        <v>112</v>
      </c>
      <c r="J394" s="8" t="s">
        <v>112</v>
      </c>
      <c r="K394" s="8" t="s">
        <v>3086</v>
      </c>
      <c r="L394" s="8" t="s">
        <v>3087</v>
      </c>
      <c r="M394" s="8" t="s">
        <v>112</v>
      </c>
      <c r="N394" s="8" t="s">
        <v>112</v>
      </c>
      <c r="O394">
        <v>1</v>
      </c>
      <c r="P394">
        <v>0</v>
      </c>
      <c r="Q394">
        <v>1</v>
      </c>
      <c r="R394">
        <v>22</v>
      </c>
      <c r="S394" s="8" t="s">
        <v>3088</v>
      </c>
      <c r="T394" s="8" t="s">
        <v>3089</v>
      </c>
      <c r="U394" s="8" t="s">
        <v>3090</v>
      </c>
      <c r="V394" s="8" t="s">
        <v>3091</v>
      </c>
      <c r="W394" s="8" t="s">
        <v>119</v>
      </c>
      <c r="X394" s="8" t="s">
        <v>3092</v>
      </c>
      <c r="Y394" s="8" t="s">
        <v>3088</v>
      </c>
      <c r="Z394" s="8" t="s">
        <v>3089</v>
      </c>
      <c r="AA394" s="8" t="s">
        <v>3090</v>
      </c>
      <c r="AB394" s="8" t="s">
        <v>3091</v>
      </c>
      <c r="AC394" s="8" t="s">
        <v>119</v>
      </c>
      <c r="AD394" s="8" t="s">
        <v>3092</v>
      </c>
      <c r="AE394" s="8" t="s">
        <v>2163</v>
      </c>
      <c r="AF394" s="8" t="s">
        <v>2164</v>
      </c>
      <c r="AG394">
        <v>2925067.33</v>
      </c>
      <c r="AH394" s="8" t="s">
        <v>3088</v>
      </c>
      <c r="AI394" s="8" t="s">
        <v>3089</v>
      </c>
      <c r="AJ394" s="8" t="s">
        <v>3090</v>
      </c>
      <c r="AK394" s="8" t="s">
        <v>3091</v>
      </c>
      <c r="AL394" s="8" t="s">
        <v>119</v>
      </c>
      <c r="AM394" s="8" t="s">
        <v>3092</v>
      </c>
      <c r="AN394" s="8" t="s">
        <v>2163</v>
      </c>
      <c r="AO394" s="8" t="s">
        <v>2164</v>
      </c>
      <c r="AP394" s="8" t="s">
        <v>2164</v>
      </c>
      <c r="AQ394" s="8" t="s">
        <v>124</v>
      </c>
      <c r="AR394" s="8" t="s">
        <v>125</v>
      </c>
      <c r="AS394">
        <v>2</v>
      </c>
      <c r="AT394" s="8" t="s">
        <v>126</v>
      </c>
      <c r="AU394" s="8" t="s">
        <v>2318</v>
      </c>
      <c r="AV394" s="8" t="s">
        <v>3093</v>
      </c>
      <c r="AW394">
        <v>1</v>
      </c>
      <c r="AX394" s="8" t="s">
        <v>129</v>
      </c>
      <c r="AY394">
        <v>42528</v>
      </c>
      <c r="AZ394">
        <v>2925067</v>
      </c>
      <c r="BA394">
        <v>45274.21</v>
      </c>
      <c r="BB394">
        <v>68.779799999999895</v>
      </c>
      <c r="BC394" s="8" t="s">
        <v>130</v>
      </c>
      <c r="BD394" s="8" t="s">
        <v>131</v>
      </c>
      <c r="BE394" s="8" t="s">
        <v>3094</v>
      </c>
      <c r="BF394" s="8" t="s">
        <v>133</v>
      </c>
      <c r="BG394" s="8" t="s">
        <v>134</v>
      </c>
      <c r="BH394" s="8" t="s">
        <v>112</v>
      </c>
      <c r="BI394" s="8" t="s">
        <v>112</v>
      </c>
      <c r="BJ394" s="8" t="s">
        <v>112</v>
      </c>
      <c r="BK394" s="8" t="s">
        <v>2556</v>
      </c>
      <c r="BL394" s="8" t="s">
        <v>2192</v>
      </c>
      <c r="BM394" s="8" t="s">
        <v>3095</v>
      </c>
      <c r="BN394" s="8" t="s">
        <v>2194</v>
      </c>
      <c r="BO394">
        <v>1</v>
      </c>
      <c r="BP394" s="8" t="s">
        <v>3096</v>
      </c>
      <c r="BR394" s="8" t="s">
        <v>3097</v>
      </c>
      <c r="BS394">
        <v>22</v>
      </c>
      <c r="BT394">
        <v>0</v>
      </c>
      <c r="BU394">
        <v>11</v>
      </c>
      <c r="BV394" t="s">
        <v>2147</v>
      </c>
      <c r="BW394">
        <v>0</v>
      </c>
      <c r="BY394" s="8" t="s">
        <v>106</v>
      </c>
      <c r="BZ394" s="8" t="s">
        <v>2148</v>
      </c>
      <c r="CA394" s="8" t="s">
        <v>112</v>
      </c>
      <c r="CB394" s="8" t="s">
        <v>112</v>
      </c>
      <c r="CC394" s="8" t="s">
        <v>2163</v>
      </c>
      <c r="CD394">
        <v>14348</v>
      </c>
      <c r="CE394" t="s">
        <v>144</v>
      </c>
      <c r="CF394">
        <v>4000000</v>
      </c>
      <c r="CG394">
        <v>14156</v>
      </c>
      <c r="CH394">
        <v>0</v>
      </c>
      <c r="CI394" s="8" t="s">
        <v>112</v>
      </c>
      <c r="CJ394" s="8" t="s">
        <v>112</v>
      </c>
      <c r="CK394">
        <v>42528</v>
      </c>
      <c r="CL394">
        <v>2925067</v>
      </c>
      <c r="CM394">
        <v>0</v>
      </c>
      <c r="CN394">
        <v>1</v>
      </c>
      <c r="CO394">
        <v>2925067.33</v>
      </c>
      <c r="CP394">
        <v>45274.21</v>
      </c>
      <c r="CQ394" s="8" t="s">
        <v>145</v>
      </c>
      <c r="CR394">
        <v>3.1981999999999999</v>
      </c>
      <c r="CV394" t="s">
        <v>3098</v>
      </c>
      <c r="CW394">
        <v>257</v>
      </c>
    </row>
    <row r="395" spans="1:101" x14ac:dyDescent="0.2">
      <c r="A395" t="s">
        <v>106</v>
      </c>
      <c r="B395" s="46">
        <v>44946</v>
      </c>
      <c r="C395" t="s">
        <v>2091</v>
      </c>
      <c r="D395" t="s">
        <v>108</v>
      </c>
      <c r="E395" t="s">
        <v>2092</v>
      </c>
      <c r="F395" t="s">
        <v>110</v>
      </c>
      <c r="G395" t="s">
        <v>111</v>
      </c>
      <c r="H395" t="s">
        <v>112</v>
      </c>
      <c r="I395" t="s">
        <v>112</v>
      </c>
      <c r="J395" t="s">
        <v>112</v>
      </c>
      <c r="K395" t="s">
        <v>150</v>
      </c>
      <c r="L395" t="s">
        <v>151</v>
      </c>
      <c r="M395" t="s">
        <v>112</v>
      </c>
      <c r="N395" t="s">
        <v>112</v>
      </c>
      <c r="O395">
        <v>1</v>
      </c>
      <c r="Q395">
        <v>1</v>
      </c>
      <c r="R395">
        <v>33</v>
      </c>
      <c r="S395" t="s">
        <v>112</v>
      </c>
      <c r="T395" t="s">
        <v>152</v>
      </c>
      <c r="U395" t="s">
        <v>153</v>
      </c>
      <c r="V395" t="s">
        <v>154</v>
      </c>
      <c r="W395" t="s">
        <v>119</v>
      </c>
      <c r="X395" t="s">
        <v>112</v>
      </c>
      <c r="Y395" t="s">
        <v>112</v>
      </c>
      <c r="Z395" t="s">
        <v>152</v>
      </c>
      <c r="AA395" t="s">
        <v>153</v>
      </c>
      <c r="AB395" t="s">
        <v>154</v>
      </c>
      <c r="AC395" t="s">
        <v>119</v>
      </c>
      <c r="AD395" t="s">
        <v>112</v>
      </c>
      <c r="AE395" t="s">
        <v>121</v>
      </c>
      <c r="AF395" t="s">
        <v>122</v>
      </c>
      <c r="AG395">
        <v>5074258.03</v>
      </c>
      <c r="AH395" t="s">
        <v>112</v>
      </c>
      <c r="AI395" t="s">
        <v>152</v>
      </c>
      <c r="AJ395" t="s">
        <v>153</v>
      </c>
      <c r="AK395" t="s">
        <v>154</v>
      </c>
      <c r="AL395" t="s">
        <v>119</v>
      </c>
      <c r="AM395" t="s">
        <v>112</v>
      </c>
      <c r="AN395" t="s">
        <v>121</v>
      </c>
      <c r="AO395" t="s">
        <v>122</v>
      </c>
      <c r="AP395" t="s">
        <v>122</v>
      </c>
      <c r="AQ395" t="s">
        <v>124</v>
      </c>
      <c r="AR395" t="s">
        <v>125</v>
      </c>
      <c r="AS395">
        <v>2</v>
      </c>
      <c r="AT395" t="s">
        <v>126</v>
      </c>
      <c r="AU395" t="s">
        <v>155</v>
      </c>
      <c r="AV395" t="s">
        <v>156</v>
      </c>
      <c r="AX395" t="s">
        <v>129</v>
      </c>
      <c r="AY395">
        <v>45319.69</v>
      </c>
      <c r="BB395">
        <v>102.9059</v>
      </c>
      <c r="BC395" t="s">
        <v>112</v>
      </c>
      <c r="BD395" t="s">
        <v>112</v>
      </c>
      <c r="BE395" t="s">
        <v>157</v>
      </c>
      <c r="BF395" t="s">
        <v>133</v>
      </c>
      <c r="BG395" t="s">
        <v>134</v>
      </c>
      <c r="BH395" t="s">
        <v>112</v>
      </c>
      <c r="BI395" t="s">
        <v>112</v>
      </c>
      <c r="BJ395" t="s">
        <v>112</v>
      </c>
      <c r="BK395" t="s">
        <v>158</v>
      </c>
      <c r="BL395" t="s">
        <v>159</v>
      </c>
      <c r="BM395" t="s">
        <v>212</v>
      </c>
      <c r="BN395" t="s">
        <v>161</v>
      </c>
      <c r="BP395" t="s">
        <v>232</v>
      </c>
      <c r="BR395" t="s">
        <v>150</v>
      </c>
      <c r="BS395">
        <v>33</v>
      </c>
      <c r="BT395">
        <v>0</v>
      </c>
      <c r="BU395">
        <v>0</v>
      </c>
      <c r="BW395">
        <v>0</v>
      </c>
      <c r="BY395" t="s">
        <v>106</v>
      </c>
      <c r="BZ395" t="s">
        <v>142</v>
      </c>
      <c r="CA395" t="s">
        <v>112</v>
      </c>
      <c r="CB395" t="s">
        <v>112</v>
      </c>
      <c r="CC395" t="s">
        <v>121</v>
      </c>
      <c r="CD395">
        <v>16408.23</v>
      </c>
      <c r="CE395" t="s">
        <v>144</v>
      </c>
      <c r="CF395">
        <v>4000000</v>
      </c>
      <c r="CG395">
        <v>16343.43</v>
      </c>
      <c r="CH395">
        <v>0</v>
      </c>
      <c r="CI395" t="s">
        <v>112</v>
      </c>
      <c r="CJ395" t="s">
        <v>112</v>
      </c>
      <c r="CK395">
        <v>45319.69</v>
      </c>
      <c r="CM395">
        <v>0</v>
      </c>
      <c r="CN395">
        <v>1</v>
      </c>
      <c r="CO395">
        <v>5074258.03</v>
      </c>
      <c r="CP395">
        <v>52111.87</v>
      </c>
      <c r="CQ395" t="s">
        <v>145</v>
      </c>
      <c r="CR395">
        <v>52135.541700000002</v>
      </c>
      <c r="CS395">
        <v>3.19</v>
      </c>
      <c r="CT395">
        <v>45</v>
      </c>
      <c r="CV395" t="s">
        <v>1140</v>
      </c>
      <c r="CW395">
        <v>108</v>
      </c>
    </row>
    <row r="396" spans="1:101" x14ac:dyDescent="0.2">
      <c r="A396" t="s">
        <v>106</v>
      </c>
      <c r="B396" s="46">
        <v>45268</v>
      </c>
      <c r="C396" t="s">
        <v>2091</v>
      </c>
      <c r="D396" t="s">
        <v>108</v>
      </c>
      <c r="E396" t="s">
        <v>2092</v>
      </c>
      <c r="F396" t="s">
        <v>110</v>
      </c>
      <c r="G396" t="s">
        <v>111</v>
      </c>
      <c r="H396" t="s">
        <v>112</v>
      </c>
      <c r="I396" t="s">
        <v>112</v>
      </c>
      <c r="J396" t="s">
        <v>112</v>
      </c>
      <c r="K396" t="s">
        <v>150</v>
      </c>
      <c r="L396" t="s">
        <v>151</v>
      </c>
      <c r="M396" t="s">
        <v>112</v>
      </c>
      <c r="N396" t="s">
        <v>112</v>
      </c>
      <c r="O396">
        <v>1</v>
      </c>
      <c r="Q396">
        <v>1</v>
      </c>
      <c r="R396">
        <v>33</v>
      </c>
      <c r="S396" t="s">
        <v>112</v>
      </c>
      <c r="T396" t="s">
        <v>152</v>
      </c>
      <c r="U396" t="s">
        <v>153</v>
      </c>
      <c r="V396" t="s">
        <v>154</v>
      </c>
      <c r="W396" t="s">
        <v>119</v>
      </c>
      <c r="X396" t="s">
        <v>112</v>
      </c>
      <c r="Y396" t="s">
        <v>112</v>
      </c>
      <c r="Z396" t="s">
        <v>152</v>
      </c>
      <c r="AA396" t="s">
        <v>153</v>
      </c>
      <c r="AB396" t="s">
        <v>154</v>
      </c>
      <c r="AC396" t="s">
        <v>119</v>
      </c>
      <c r="AD396" t="s">
        <v>112</v>
      </c>
      <c r="AE396" t="s">
        <v>121</v>
      </c>
      <c r="AF396" t="s">
        <v>122</v>
      </c>
      <c r="AG396">
        <v>5074258.03</v>
      </c>
      <c r="AH396" t="s">
        <v>112</v>
      </c>
      <c r="AI396" t="s">
        <v>152</v>
      </c>
      <c r="AJ396" t="s">
        <v>153</v>
      </c>
      <c r="AK396" t="s">
        <v>154</v>
      </c>
      <c r="AL396" t="s">
        <v>119</v>
      </c>
      <c r="AM396" t="s">
        <v>112</v>
      </c>
      <c r="AN396" t="s">
        <v>121</v>
      </c>
      <c r="AO396" t="s">
        <v>122</v>
      </c>
      <c r="AP396" t="s">
        <v>122</v>
      </c>
      <c r="AQ396" t="s">
        <v>124</v>
      </c>
      <c r="AR396" t="s">
        <v>125</v>
      </c>
      <c r="AS396">
        <v>2</v>
      </c>
      <c r="AT396" t="s">
        <v>126</v>
      </c>
      <c r="AU396" t="s">
        <v>155</v>
      </c>
      <c r="AV396" t="s">
        <v>156</v>
      </c>
      <c r="AX396" t="s">
        <v>129</v>
      </c>
      <c r="AY396">
        <v>45319.69</v>
      </c>
      <c r="BB396">
        <v>102.9059</v>
      </c>
      <c r="BC396" t="s">
        <v>112</v>
      </c>
      <c r="BD396" t="s">
        <v>112</v>
      </c>
      <c r="BE396" t="s">
        <v>157</v>
      </c>
      <c r="BF396" t="s">
        <v>133</v>
      </c>
      <c r="BG396" t="s">
        <v>134</v>
      </c>
      <c r="BH396" t="s">
        <v>112</v>
      </c>
      <c r="BI396" t="s">
        <v>112</v>
      </c>
      <c r="BJ396" t="s">
        <v>112</v>
      </c>
      <c r="BK396" t="s">
        <v>158</v>
      </c>
      <c r="BL396" t="s">
        <v>159</v>
      </c>
      <c r="BM396" t="s">
        <v>212</v>
      </c>
      <c r="BN396" t="s">
        <v>161</v>
      </c>
      <c r="BP396" t="s">
        <v>232</v>
      </c>
      <c r="BR396" t="s">
        <v>150</v>
      </c>
      <c r="BS396">
        <v>33</v>
      </c>
      <c r="BT396">
        <v>0</v>
      </c>
      <c r="BU396">
        <v>0</v>
      </c>
      <c r="BW396">
        <v>0</v>
      </c>
      <c r="BY396" t="s">
        <v>106</v>
      </c>
      <c r="BZ396" t="s">
        <v>142</v>
      </c>
      <c r="CA396" t="s">
        <v>112</v>
      </c>
      <c r="CB396" t="s">
        <v>112</v>
      </c>
      <c r="CC396" t="s">
        <v>121</v>
      </c>
      <c r="CD396">
        <v>16408.23</v>
      </c>
      <c r="CE396" t="s">
        <v>144</v>
      </c>
      <c r="CF396">
        <v>4000000</v>
      </c>
      <c r="CG396">
        <v>16343.43</v>
      </c>
      <c r="CH396">
        <v>0</v>
      </c>
      <c r="CI396" t="s">
        <v>112</v>
      </c>
      <c r="CJ396" t="s">
        <v>112</v>
      </c>
      <c r="CK396">
        <v>45319.69</v>
      </c>
      <c r="CM396">
        <v>0</v>
      </c>
      <c r="CN396">
        <v>1</v>
      </c>
      <c r="CO396">
        <v>5074258.03</v>
      </c>
      <c r="CP396">
        <v>52111.87</v>
      </c>
      <c r="CQ396" t="s">
        <v>145</v>
      </c>
      <c r="CR396">
        <v>52135.541700000002</v>
      </c>
      <c r="CS396">
        <v>3.19</v>
      </c>
      <c r="CT396">
        <v>45</v>
      </c>
      <c r="CV396" t="s">
        <v>1140</v>
      </c>
      <c r="CW396">
        <v>108</v>
      </c>
    </row>
    <row r="397" spans="1:101" x14ac:dyDescent="0.2">
      <c r="A397" t="s">
        <v>106</v>
      </c>
      <c r="B397" s="46">
        <v>44933</v>
      </c>
      <c r="C397" t="s">
        <v>2081</v>
      </c>
      <c r="D397" t="s">
        <v>108</v>
      </c>
      <c r="E397" t="s">
        <v>2082</v>
      </c>
      <c r="F397" t="s">
        <v>110</v>
      </c>
      <c r="G397" t="s">
        <v>111</v>
      </c>
      <c r="H397" t="s">
        <v>112</v>
      </c>
      <c r="I397" t="s">
        <v>112</v>
      </c>
      <c r="J397" t="s">
        <v>112</v>
      </c>
      <c r="K397" t="s">
        <v>150</v>
      </c>
      <c r="L397" t="s">
        <v>151</v>
      </c>
      <c r="M397" t="s">
        <v>112</v>
      </c>
      <c r="N397" t="s">
        <v>112</v>
      </c>
      <c r="O397">
        <v>1</v>
      </c>
      <c r="Q397">
        <v>1</v>
      </c>
      <c r="R397">
        <v>33</v>
      </c>
      <c r="S397" t="s">
        <v>112</v>
      </c>
      <c r="T397" t="s">
        <v>152</v>
      </c>
      <c r="U397" t="s">
        <v>153</v>
      </c>
      <c r="V397" t="s">
        <v>154</v>
      </c>
      <c r="W397" t="s">
        <v>119</v>
      </c>
      <c r="X397" t="s">
        <v>112</v>
      </c>
      <c r="Y397" t="s">
        <v>112</v>
      </c>
      <c r="Z397" t="s">
        <v>152</v>
      </c>
      <c r="AA397" t="s">
        <v>153</v>
      </c>
      <c r="AB397" t="s">
        <v>154</v>
      </c>
      <c r="AC397" t="s">
        <v>119</v>
      </c>
      <c r="AD397" t="s">
        <v>112</v>
      </c>
      <c r="AE397" t="s">
        <v>121</v>
      </c>
      <c r="AF397" t="s">
        <v>122</v>
      </c>
      <c r="AG397">
        <v>4453278.55</v>
      </c>
      <c r="AH397" t="s">
        <v>112</v>
      </c>
      <c r="AI397" t="s">
        <v>152</v>
      </c>
      <c r="AJ397" t="s">
        <v>153</v>
      </c>
      <c r="AK397" t="s">
        <v>154</v>
      </c>
      <c r="AL397" t="s">
        <v>119</v>
      </c>
      <c r="AM397" t="s">
        <v>112</v>
      </c>
      <c r="AN397" t="s">
        <v>121</v>
      </c>
      <c r="AO397" t="s">
        <v>122</v>
      </c>
      <c r="AP397" t="s">
        <v>122</v>
      </c>
      <c r="AQ397" t="s">
        <v>124</v>
      </c>
      <c r="AR397" t="s">
        <v>125</v>
      </c>
      <c r="AS397">
        <v>2</v>
      </c>
      <c r="AT397" t="s">
        <v>126</v>
      </c>
      <c r="AU397" t="s">
        <v>155</v>
      </c>
      <c r="AV397" t="s">
        <v>156</v>
      </c>
      <c r="AX397" t="s">
        <v>129</v>
      </c>
      <c r="AY397">
        <v>39285.25</v>
      </c>
      <c r="BB397">
        <v>102.9059</v>
      </c>
      <c r="BC397" t="s">
        <v>112</v>
      </c>
      <c r="BD397" t="s">
        <v>112</v>
      </c>
      <c r="BE397" t="s">
        <v>157</v>
      </c>
      <c r="BF397" t="s">
        <v>133</v>
      </c>
      <c r="BG397" t="s">
        <v>134</v>
      </c>
      <c r="BH397" t="s">
        <v>112</v>
      </c>
      <c r="BI397" t="s">
        <v>112</v>
      </c>
      <c r="BJ397" t="s">
        <v>112</v>
      </c>
      <c r="BK397" t="s">
        <v>158</v>
      </c>
      <c r="BL397" t="s">
        <v>159</v>
      </c>
      <c r="BM397" t="s">
        <v>212</v>
      </c>
      <c r="BN397" t="s">
        <v>161</v>
      </c>
      <c r="BP397" t="s">
        <v>232</v>
      </c>
      <c r="BR397" t="s">
        <v>150</v>
      </c>
      <c r="BS397">
        <v>33</v>
      </c>
      <c r="BT397">
        <v>0</v>
      </c>
      <c r="BU397">
        <v>0</v>
      </c>
      <c r="BW397">
        <v>0</v>
      </c>
      <c r="BY397" t="s">
        <v>106</v>
      </c>
      <c r="BZ397" t="s">
        <v>142</v>
      </c>
      <c r="CA397" t="s">
        <v>112</v>
      </c>
      <c r="CB397" t="s">
        <v>112</v>
      </c>
      <c r="CC397" t="s">
        <v>121</v>
      </c>
      <c r="CD397">
        <v>14659.37</v>
      </c>
      <c r="CE397" t="s">
        <v>144</v>
      </c>
      <c r="CF397">
        <v>4000000</v>
      </c>
      <c r="CG397">
        <v>14370.77</v>
      </c>
      <c r="CH397">
        <v>0</v>
      </c>
      <c r="CI397" t="s">
        <v>112</v>
      </c>
      <c r="CJ397" t="s">
        <v>112</v>
      </c>
      <c r="CK397">
        <v>39285.25</v>
      </c>
      <c r="CM397">
        <v>0</v>
      </c>
      <c r="CN397">
        <v>1</v>
      </c>
      <c r="CO397">
        <v>4453278.55</v>
      </c>
      <c r="CP397">
        <v>45734.51</v>
      </c>
      <c r="CQ397" t="s">
        <v>145</v>
      </c>
      <c r="CR397">
        <v>45699.048600000002</v>
      </c>
      <c r="CS397">
        <v>3.18</v>
      </c>
      <c r="CT397">
        <v>45</v>
      </c>
      <c r="CV397" t="s">
        <v>163</v>
      </c>
      <c r="CW397">
        <v>243</v>
      </c>
    </row>
    <row r="398" spans="1:101" x14ac:dyDescent="0.2">
      <c r="A398" t="s">
        <v>106</v>
      </c>
      <c r="B398" s="46">
        <v>44994</v>
      </c>
      <c r="C398" t="s">
        <v>2081</v>
      </c>
      <c r="D398" t="s">
        <v>108</v>
      </c>
      <c r="E398" t="s">
        <v>2082</v>
      </c>
      <c r="F398" t="s">
        <v>110</v>
      </c>
      <c r="G398" t="s">
        <v>111</v>
      </c>
      <c r="H398" t="s">
        <v>112</v>
      </c>
      <c r="I398" t="s">
        <v>112</v>
      </c>
      <c r="J398" t="s">
        <v>112</v>
      </c>
      <c r="K398" t="s">
        <v>150</v>
      </c>
      <c r="L398" t="s">
        <v>151</v>
      </c>
      <c r="M398" t="s">
        <v>112</v>
      </c>
      <c r="N398" t="s">
        <v>112</v>
      </c>
      <c r="O398">
        <v>1</v>
      </c>
      <c r="Q398">
        <v>1</v>
      </c>
      <c r="R398">
        <v>33</v>
      </c>
      <c r="S398" t="s">
        <v>112</v>
      </c>
      <c r="T398" t="s">
        <v>152</v>
      </c>
      <c r="U398" t="s">
        <v>153</v>
      </c>
      <c r="V398" t="s">
        <v>154</v>
      </c>
      <c r="W398" t="s">
        <v>119</v>
      </c>
      <c r="X398" t="s">
        <v>112</v>
      </c>
      <c r="Y398" t="s">
        <v>112</v>
      </c>
      <c r="Z398" t="s">
        <v>152</v>
      </c>
      <c r="AA398" t="s">
        <v>153</v>
      </c>
      <c r="AB398" t="s">
        <v>154</v>
      </c>
      <c r="AC398" t="s">
        <v>119</v>
      </c>
      <c r="AD398" t="s">
        <v>112</v>
      </c>
      <c r="AE398" t="s">
        <v>121</v>
      </c>
      <c r="AF398" t="s">
        <v>122</v>
      </c>
      <c r="AG398">
        <v>4453278.55</v>
      </c>
      <c r="AH398" t="s">
        <v>112</v>
      </c>
      <c r="AI398" t="s">
        <v>152</v>
      </c>
      <c r="AJ398" t="s">
        <v>153</v>
      </c>
      <c r="AK398" t="s">
        <v>154</v>
      </c>
      <c r="AL398" t="s">
        <v>119</v>
      </c>
      <c r="AM398" t="s">
        <v>112</v>
      </c>
      <c r="AN398" t="s">
        <v>121</v>
      </c>
      <c r="AO398" t="s">
        <v>122</v>
      </c>
      <c r="AP398" t="s">
        <v>122</v>
      </c>
      <c r="AQ398" t="s">
        <v>124</v>
      </c>
      <c r="AR398" t="s">
        <v>125</v>
      </c>
      <c r="AS398">
        <v>2</v>
      </c>
      <c r="AT398" t="s">
        <v>126</v>
      </c>
      <c r="AU398" t="s">
        <v>155</v>
      </c>
      <c r="AV398" t="s">
        <v>156</v>
      </c>
      <c r="AX398" t="s">
        <v>129</v>
      </c>
      <c r="AY398">
        <v>39285.25</v>
      </c>
      <c r="BB398">
        <v>102.9059</v>
      </c>
      <c r="BC398" t="s">
        <v>112</v>
      </c>
      <c r="BD398" t="s">
        <v>112</v>
      </c>
      <c r="BE398" t="s">
        <v>157</v>
      </c>
      <c r="BF398" t="s">
        <v>133</v>
      </c>
      <c r="BG398" t="s">
        <v>134</v>
      </c>
      <c r="BH398" t="s">
        <v>112</v>
      </c>
      <c r="BI398" t="s">
        <v>112</v>
      </c>
      <c r="BJ398" t="s">
        <v>112</v>
      </c>
      <c r="BK398" t="s">
        <v>158</v>
      </c>
      <c r="BL398" t="s">
        <v>159</v>
      </c>
      <c r="BM398" t="s">
        <v>212</v>
      </c>
      <c r="BN398" t="s">
        <v>161</v>
      </c>
      <c r="BP398" t="s">
        <v>232</v>
      </c>
      <c r="BR398" t="s">
        <v>150</v>
      </c>
      <c r="BS398">
        <v>33</v>
      </c>
      <c r="BT398">
        <v>0</v>
      </c>
      <c r="BU398">
        <v>0</v>
      </c>
      <c r="BW398">
        <v>0</v>
      </c>
      <c r="BY398" t="s">
        <v>106</v>
      </c>
      <c r="BZ398" t="s">
        <v>142</v>
      </c>
      <c r="CA398" t="s">
        <v>112</v>
      </c>
      <c r="CB398" t="s">
        <v>112</v>
      </c>
      <c r="CC398" t="s">
        <v>121</v>
      </c>
      <c r="CD398">
        <v>14659.37</v>
      </c>
      <c r="CE398" t="s">
        <v>144</v>
      </c>
      <c r="CF398">
        <v>4000000</v>
      </c>
      <c r="CG398">
        <v>14370.77</v>
      </c>
      <c r="CH398">
        <v>0</v>
      </c>
      <c r="CI398" t="s">
        <v>112</v>
      </c>
      <c r="CJ398" t="s">
        <v>112</v>
      </c>
      <c r="CK398">
        <v>39285.25</v>
      </c>
      <c r="CM398">
        <v>0</v>
      </c>
      <c r="CN398">
        <v>1</v>
      </c>
      <c r="CO398">
        <v>4453278.55</v>
      </c>
      <c r="CP398">
        <v>45734.51</v>
      </c>
      <c r="CQ398" t="s">
        <v>145</v>
      </c>
      <c r="CR398">
        <v>45699.048600000002</v>
      </c>
      <c r="CS398">
        <v>3.18</v>
      </c>
      <c r="CT398">
        <v>45</v>
      </c>
      <c r="CV398" t="s">
        <v>163</v>
      </c>
      <c r="CW398">
        <v>243</v>
      </c>
    </row>
    <row r="399" spans="1:101" x14ac:dyDescent="0.2">
      <c r="A399" t="s">
        <v>106</v>
      </c>
      <c r="B399" s="46">
        <v>45153</v>
      </c>
      <c r="C399" t="s">
        <v>2095</v>
      </c>
      <c r="D399" t="s">
        <v>108</v>
      </c>
      <c r="E399" t="s">
        <v>2096</v>
      </c>
      <c r="F399" t="s">
        <v>110</v>
      </c>
      <c r="G399" t="s">
        <v>111</v>
      </c>
      <c r="H399" t="s">
        <v>112</v>
      </c>
      <c r="I399" t="s">
        <v>112</v>
      </c>
      <c r="J399" t="s">
        <v>112</v>
      </c>
      <c r="K399" t="s">
        <v>150</v>
      </c>
      <c r="L399" t="s">
        <v>151</v>
      </c>
      <c r="M399" t="s">
        <v>112</v>
      </c>
      <c r="N399" t="s">
        <v>112</v>
      </c>
      <c r="O399">
        <v>1</v>
      </c>
      <c r="Q399">
        <v>1</v>
      </c>
      <c r="R399">
        <v>33</v>
      </c>
      <c r="S399" t="s">
        <v>112</v>
      </c>
      <c r="T399" t="s">
        <v>152</v>
      </c>
      <c r="U399" t="s">
        <v>153</v>
      </c>
      <c r="V399" t="s">
        <v>154</v>
      </c>
      <c r="W399" t="s">
        <v>119</v>
      </c>
      <c r="X399" t="s">
        <v>112</v>
      </c>
      <c r="Y399" t="s">
        <v>112</v>
      </c>
      <c r="Z399" t="s">
        <v>152</v>
      </c>
      <c r="AA399" t="s">
        <v>153</v>
      </c>
      <c r="AB399" t="s">
        <v>154</v>
      </c>
      <c r="AC399" t="s">
        <v>119</v>
      </c>
      <c r="AD399" t="s">
        <v>112</v>
      </c>
      <c r="AE399" t="s">
        <v>121</v>
      </c>
      <c r="AF399" t="s">
        <v>122</v>
      </c>
      <c r="AG399">
        <v>5227953.1399999997</v>
      </c>
      <c r="AH399" t="s">
        <v>112</v>
      </c>
      <c r="AI399" t="s">
        <v>152</v>
      </c>
      <c r="AJ399" t="s">
        <v>153</v>
      </c>
      <c r="AK399" t="s">
        <v>154</v>
      </c>
      <c r="AL399" t="s">
        <v>119</v>
      </c>
      <c r="AM399" t="s">
        <v>112</v>
      </c>
      <c r="AN399" t="s">
        <v>121</v>
      </c>
      <c r="AO399" t="s">
        <v>122</v>
      </c>
      <c r="AP399" t="s">
        <v>122</v>
      </c>
      <c r="AQ399" t="s">
        <v>124</v>
      </c>
      <c r="AR399" t="s">
        <v>125</v>
      </c>
      <c r="AS399">
        <v>2</v>
      </c>
      <c r="AT399" t="s">
        <v>126</v>
      </c>
      <c r="AU399" t="s">
        <v>155</v>
      </c>
      <c r="AV399" t="s">
        <v>156</v>
      </c>
      <c r="AX399" t="s">
        <v>129</v>
      </c>
      <c r="AY399">
        <v>46283.24</v>
      </c>
      <c r="BB399">
        <v>102.9059</v>
      </c>
      <c r="BC399" t="s">
        <v>112</v>
      </c>
      <c r="BD399" t="s">
        <v>112</v>
      </c>
      <c r="BE399" t="s">
        <v>157</v>
      </c>
      <c r="BF399" t="s">
        <v>133</v>
      </c>
      <c r="BG399" t="s">
        <v>134</v>
      </c>
      <c r="BH399" t="s">
        <v>112</v>
      </c>
      <c r="BI399" t="s">
        <v>112</v>
      </c>
      <c r="BJ399" t="s">
        <v>112</v>
      </c>
      <c r="BK399" t="s">
        <v>158</v>
      </c>
      <c r="BL399" t="s">
        <v>159</v>
      </c>
      <c r="BM399" t="s">
        <v>212</v>
      </c>
      <c r="BN399" t="s">
        <v>161</v>
      </c>
      <c r="BP399" t="s">
        <v>2097</v>
      </c>
      <c r="BR399" t="s">
        <v>150</v>
      </c>
      <c r="BS399">
        <v>33</v>
      </c>
      <c r="BT399">
        <v>0</v>
      </c>
      <c r="BU399">
        <v>0</v>
      </c>
      <c r="BW399">
        <v>0</v>
      </c>
      <c r="BY399" t="s">
        <v>106</v>
      </c>
      <c r="BZ399" t="s">
        <v>142</v>
      </c>
      <c r="CA399" t="s">
        <v>112</v>
      </c>
      <c r="CB399" t="s">
        <v>112</v>
      </c>
      <c r="CC399" t="s">
        <v>121</v>
      </c>
      <c r="CD399">
        <v>14795.47</v>
      </c>
      <c r="CE399" t="s">
        <v>144</v>
      </c>
      <c r="CF399">
        <v>4000000</v>
      </c>
      <c r="CG399">
        <v>14529.07</v>
      </c>
      <c r="CH399">
        <v>0</v>
      </c>
      <c r="CI399" t="s">
        <v>112</v>
      </c>
      <c r="CJ399" t="s">
        <v>112</v>
      </c>
      <c r="CK399">
        <v>46283.24</v>
      </c>
      <c r="CM399">
        <v>0</v>
      </c>
      <c r="CN399">
        <v>1</v>
      </c>
      <c r="CO399">
        <v>5227953.1399999997</v>
      </c>
      <c r="CP399">
        <v>53690.3</v>
      </c>
      <c r="CQ399" t="s">
        <v>145</v>
      </c>
      <c r="CR399">
        <v>53757.559000000001</v>
      </c>
      <c r="CS399">
        <v>3.7</v>
      </c>
      <c r="CT399">
        <v>45</v>
      </c>
      <c r="CV399" t="s">
        <v>233</v>
      </c>
      <c r="CW399">
        <v>42</v>
      </c>
    </row>
    <row r="400" spans="1:101" x14ac:dyDescent="0.2">
      <c r="A400" t="s">
        <v>106</v>
      </c>
      <c r="B400" s="46">
        <v>45278</v>
      </c>
      <c r="C400" t="s">
        <v>2095</v>
      </c>
      <c r="D400" t="s">
        <v>108</v>
      </c>
      <c r="E400" t="s">
        <v>2096</v>
      </c>
      <c r="F400" t="s">
        <v>110</v>
      </c>
      <c r="G400" t="s">
        <v>111</v>
      </c>
      <c r="H400" t="s">
        <v>112</v>
      </c>
      <c r="I400" t="s">
        <v>112</v>
      </c>
      <c r="J400" t="s">
        <v>112</v>
      </c>
      <c r="K400" t="s">
        <v>150</v>
      </c>
      <c r="L400" t="s">
        <v>151</v>
      </c>
      <c r="M400" t="s">
        <v>112</v>
      </c>
      <c r="N400" t="s">
        <v>112</v>
      </c>
      <c r="O400">
        <v>1</v>
      </c>
      <c r="Q400">
        <v>1</v>
      </c>
      <c r="R400">
        <v>33</v>
      </c>
      <c r="S400" t="s">
        <v>112</v>
      </c>
      <c r="T400" t="s">
        <v>152</v>
      </c>
      <c r="U400" t="s">
        <v>153</v>
      </c>
      <c r="V400" t="s">
        <v>154</v>
      </c>
      <c r="W400" t="s">
        <v>119</v>
      </c>
      <c r="X400" t="s">
        <v>112</v>
      </c>
      <c r="Y400" t="s">
        <v>112</v>
      </c>
      <c r="Z400" t="s">
        <v>152</v>
      </c>
      <c r="AA400" t="s">
        <v>153</v>
      </c>
      <c r="AB400" t="s">
        <v>154</v>
      </c>
      <c r="AC400" t="s">
        <v>119</v>
      </c>
      <c r="AD400" t="s">
        <v>112</v>
      </c>
      <c r="AE400" t="s">
        <v>121</v>
      </c>
      <c r="AF400" t="s">
        <v>122</v>
      </c>
      <c r="AG400">
        <v>5227953.1399999997</v>
      </c>
      <c r="AH400" t="s">
        <v>112</v>
      </c>
      <c r="AI400" t="s">
        <v>152</v>
      </c>
      <c r="AJ400" t="s">
        <v>153</v>
      </c>
      <c r="AK400" t="s">
        <v>154</v>
      </c>
      <c r="AL400" t="s">
        <v>119</v>
      </c>
      <c r="AM400" t="s">
        <v>112</v>
      </c>
      <c r="AN400" t="s">
        <v>121</v>
      </c>
      <c r="AO400" t="s">
        <v>122</v>
      </c>
      <c r="AP400" t="s">
        <v>122</v>
      </c>
      <c r="AQ400" t="s">
        <v>124</v>
      </c>
      <c r="AR400" t="s">
        <v>125</v>
      </c>
      <c r="AS400">
        <v>2</v>
      </c>
      <c r="AT400" t="s">
        <v>126</v>
      </c>
      <c r="AU400" t="s">
        <v>155</v>
      </c>
      <c r="AV400" t="s">
        <v>156</v>
      </c>
      <c r="AX400" t="s">
        <v>129</v>
      </c>
      <c r="AY400">
        <v>46283.24</v>
      </c>
      <c r="BB400">
        <v>102.9059</v>
      </c>
      <c r="BC400" t="s">
        <v>112</v>
      </c>
      <c r="BD400" t="s">
        <v>112</v>
      </c>
      <c r="BE400" t="s">
        <v>157</v>
      </c>
      <c r="BF400" t="s">
        <v>133</v>
      </c>
      <c r="BG400" t="s">
        <v>134</v>
      </c>
      <c r="BH400" t="s">
        <v>112</v>
      </c>
      <c r="BI400" t="s">
        <v>112</v>
      </c>
      <c r="BJ400" t="s">
        <v>112</v>
      </c>
      <c r="BK400" t="s">
        <v>158</v>
      </c>
      <c r="BL400" t="s">
        <v>159</v>
      </c>
      <c r="BM400" t="s">
        <v>212</v>
      </c>
      <c r="BN400" t="s">
        <v>161</v>
      </c>
      <c r="BP400" t="s">
        <v>2097</v>
      </c>
      <c r="BR400" t="s">
        <v>150</v>
      </c>
      <c r="BS400">
        <v>33</v>
      </c>
      <c r="BT400">
        <v>0</v>
      </c>
      <c r="BU400">
        <v>0</v>
      </c>
      <c r="BW400">
        <v>0</v>
      </c>
      <c r="BY400" t="s">
        <v>106</v>
      </c>
      <c r="BZ400" t="s">
        <v>142</v>
      </c>
      <c r="CA400" t="s">
        <v>112</v>
      </c>
      <c r="CB400" t="s">
        <v>112</v>
      </c>
      <c r="CC400" t="s">
        <v>121</v>
      </c>
      <c r="CD400">
        <v>14795.47</v>
      </c>
      <c r="CE400" t="s">
        <v>144</v>
      </c>
      <c r="CF400">
        <v>4000000</v>
      </c>
      <c r="CG400">
        <v>14529.07</v>
      </c>
      <c r="CH400">
        <v>0</v>
      </c>
      <c r="CI400" t="s">
        <v>112</v>
      </c>
      <c r="CJ400" t="s">
        <v>112</v>
      </c>
      <c r="CK400">
        <v>46283.24</v>
      </c>
      <c r="CM400">
        <v>0</v>
      </c>
      <c r="CN400">
        <v>1</v>
      </c>
      <c r="CO400">
        <v>5227953.1399999997</v>
      </c>
      <c r="CP400">
        <v>53690.3</v>
      </c>
      <c r="CQ400" t="s">
        <v>145</v>
      </c>
      <c r="CR400">
        <v>53757.559000000001</v>
      </c>
      <c r="CS400">
        <v>3.7</v>
      </c>
      <c r="CT400">
        <v>45</v>
      </c>
      <c r="CV400" t="s">
        <v>233</v>
      </c>
      <c r="CW400">
        <v>42</v>
      </c>
    </row>
    <row r="401" spans="1:101" x14ac:dyDescent="0.2">
      <c r="A401" t="s">
        <v>106</v>
      </c>
      <c r="B401" s="46">
        <v>45126</v>
      </c>
      <c r="C401" t="s">
        <v>1519</v>
      </c>
      <c r="D401" t="s">
        <v>108</v>
      </c>
      <c r="E401" t="s">
        <v>1520</v>
      </c>
      <c r="F401" t="s">
        <v>110</v>
      </c>
      <c r="G401" t="s">
        <v>111</v>
      </c>
      <c r="H401" t="s">
        <v>112</v>
      </c>
      <c r="I401" t="s">
        <v>112</v>
      </c>
      <c r="J401" t="s">
        <v>112</v>
      </c>
      <c r="K401" t="s">
        <v>150</v>
      </c>
      <c r="L401" t="s">
        <v>1060</v>
      </c>
      <c r="M401" t="s">
        <v>112</v>
      </c>
      <c r="N401" t="s">
        <v>112</v>
      </c>
      <c r="O401">
        <v>1</v>
      </c>
      <c r="P401">
        <v>0</v>
      </c>
      <c r="Q401">
        <v>1</v>
      </c>
      <c r="R401">
        <v>33</v>
      </c>
      <c r="S401" t="s">
        <v>166</v>
      </c>
      <c r="T401" t="s">
        <v>152</v>
      </c>
      <c r="U401" t="s">
        <v>153</v>
      </c>
      <c r="V401" t="s">
        <v>154</v>
      </c>
      <c r="W401" t="s">
        <v>119</v>
      </c>
      <c r="X401" t="s">
        <v>112</v>
      </c>
      <c r="Y401" t="s">
        <v>166</v>
      </c>
      <c r="Z401" t="s">
        <v>152</v>
      </c>
      <c r="AA401" t="s">
        <v>153</v>
      </c>
      <c r="AB401" t="s">
        <v>154</v>
      </c>
      <c r="AC401" t="s">
        <v>119</v>
      </c>
      <c r="AD401" t="s">
        <v>112</v>
      </c>
      <c r="AE401" t="s">
        <v>121</v>
      </c>
      <c r="AF401" t="s">
        <v>122</v>
      </c>
      <c r="AG401">
        <v>5165742.26</v>
      </c>
      <c r="AH401" t="s">
        <v>166</v>
      </c>
      <c r="AI401" t="s">
        <v>152</v>
      </c>
      <c r="AJ401" t="s">
        <v>153</v>
      </c>
      <c r="AK401" t="s">
        <v>154</v>
      </c>
      <c r="AL401" t="s">
        <v>119</v>
      </c>
      <c r="AM401" t="s">
        <v>112</v>
      </c>
      <c r="AN401" t="s">
        <v>121</v>
      </c>
      <c r="AO401" t="s">
        <v>122</v>
      </c>
      <c r="AP401" t="s">
        <v>122</v>
      </c>
      <c r="AQ401" t="s">
        <v>124</v>
      </c>
      <c r="AR401" t="s">
        <v>125</v>
      </c>
      <c r="AS401">
        <v>2</v>
      </c>
      <c r="AT401" t="s">
        <v>126</v>
      </c>
      <c r="AU401" t="s">
        <v>155</v>
      </c>
      <c r="AV401" t="s">
        <v>156</v>
      </c>
      <c r="AW401">
        <v>1</v>
      </c>
      <c r="AX401" t="s">
        <v>129</v>
      </c>
      <c r="AY401">
        <v>46501.08</v>
      </c>
      <c r="AZ401">
        <v>4744370</v>
      </c>
      <c r="BA401">
        <v>56960.06</v>
      </c>
      <c r="BB401">
        <v>102.0271</v>
      </c>
      <c r="BC401" t="s">
        <v>130</v>
      </c>
      <c r="BD401" t="s">
        <v>112</v>
      </c>
      <c r="BE401" t="s">
        <v>157</v>
      </c>
      <c r="BF401" t="s">
        <v>133</v>
      </c>
      <c r="BG401" t="s">
        <v>134</v>
      </c>
      <c r="BH401" t="s">
        <v>112</v>
      </c>
      <c r="BI401" t="s">
        <v>112</v>
      </c>
      <c r="BJ401" t="s">
        <v>112</v>
      </c>
      <c r="BK401" t="s">
        <v>169</v>
      </c>
      <c r="BL401" t="s">
        <v>159</v>
      </c>
      <c r="BM401" t="s">
        <v>722</v>
      </c>
      <c r="BN401" t="s">
        <v>161</v>
      </c>
      <c r="BO401">
        <v>1</v>
      </c>
      <c r="BP401" t="s">
        <v>1521</v>
      </c>
      <c r="BR401" t="s">
        <v>150</v>
      </c>
      <c r="BS401">
        <v>33</v>
      </c>
      <c r="BT401">
        <v>0</v>
      </c>
      <c r="BU401">
        <v>0</v>
      </c>
      <c r="BW401">
        <v>0</v>
      </c>
      <c r="BY401" t="s">
        <v>106</v>
      </c>
      <c r="BZ401" t="s">
        <v>142</v>
      </c>
      <c r="CA401" t="s">
        <v>112</v>
      </c>
      <c r="CB401" t="s">
        <v>112</v>
      </c>
      <c r="CC401" t="s">
        <v>121</v>
      </c>
      <c r="CD401">
        <v>17133.86</v>
      </c>
      <c r="CE401" t="s">
        <v>144</v>
      </c>
      <c r="CF401">
        <v>4000000</v>
      </c>
      <c r="CG401">
        <v>17133.86</v>
      </c>
      <c r="CH401">
        <v>0</v>
      </c>
      <c r="CI401" t="s">
        <v>112</v>
      </c>
      <c r="CJ401" t="s">
        <v>112</v>
      </c>
      <c r="CK401">
        <v>46501.08</v>
      </c>
      <c r="CL401">
        <v>4744370</v>
      </c>
      <c r="CM401">
        <v>0</v>
      </c>
      <c r="CN401">
        <v>1</v>
      </c>
      <c r="CO401">
        <v>5165742.26</v>
      </c>
      <c r="CP401">
        <v>56960.06</v>
      </c>
      <c r="CQ401" t="s">
        <v>145</v>
      </c>
      <c r="CR401">
        <v>56884.415199999996</v>
      </c>
      <c r="CS401">
        <v>3.32</v>
      </c>
      <c r="CT401">
        <v>45</v>
      </c>
      <c r="CU401" t="s">
        <v>171</v>
      </c>
      <c r="CV401" t="s">
        <v>372</v>
      </c>
      <c r="CW401">
        <v>9</v>
      </c>
    </row>
    <row r="402" spans="1:101" x14ac:dyDescent="0.2">
      <c r="A402" t="s">
        <v>106</v>
      </c>
      <c r="B402" s="46">
        <v>45170</v>
      </c>
      <c r="C402" t="s">
        <v>1517</v>
      </c>
      <c r="D402" t="s">
        <v>108</v>
      </c>
      <c r="E402" t="s">
        <v>1518</v>
      </c>
      <c r="F402" t="s">
        <v>110</v>
      </c>
      <c r="G402" t="s">
        <v>111</v>
      </c>
      <c r="H402" t="s">
        <v>112</v>
      </c>
      <c r="I402" t="s">
        <v>112</v>
      </c>
      <c r="J402" t="s">
        <v>112</v>
      </c>
      <c r="K402" t="s">
        <v>150</v>
      </c>
      <c r="L402" t="s">
        <v>1060</v>
      </c>
      <c r="M402" t="s">
        <v>112</v>
      </c>
      <c r="N402" t="s">
        <v>112</v>
      </c>
      <c r="O402">
        <v>1</v>
      </c>
      <c r="P402">
        <v>0</v>
      </c>
      <c r="Q402">
        <v>1</v>
      </c>
      <c r="R402">
        <v>33</v>
      </c>
      <c r="S402" t="s">
        <v>166</v>
      </c>
      <c r="T402" t="s">
        <v>152</v>
      </c>
      <c r="U402" t="s">
        <v>153</v>
      </c>
      <c r="V402" t="s">
        <v>154</v>
      </c>
      <c r="W402" t="s">
        <v>119</v>
      </c>
      <c r="X402" t="s">
        <v>112</v>
      </c>
      <c r="Y402" t="s">
        <v>166</v>
      </c>
      <c r="Z402" t="s">
        <v>152</v>
      </c>
      <c r="AA402" t="s">
        <v>153</v>
      </c>
      <c r="AB402" t="s">
        <v>154</v>
      </c>
      <c r="AC402" t="s">
        <v>119</v>
      </c>
      <c r="AD402" t="s">
        <v>112</v>
      </c>
      <c r="AE402" t="s">
        <v>121</v>
      </c>
      <c r="AF402" t="s">
        <v>122</v>
      </c>
      <c r="AG402">
        <v>5183198.08</v>
      </c>
      <c r="AH402" t="s">
        <v>166</v>
      </c>
      <c r="AI402" t="s">
        <v>152</v>
      </c>
      <c r="AJ402" t="s">
        <v>153</v>
      </c>
      <c r="AK402" t="s">
        <v>154</v>
      </c>
      <c r="AL402" t="s">
        <v>119</v>
      </c>
      <c r="AM402" t="s">
        <v>112</v>
      </c>
      <c r="AN402" t="s">
        <v>121</v>
      </c>
      <c r="AO402" t="s">
        <v>122</v>
      </c>
      <c r="AP402" t="s">
        <v>122</v>
      </c>
      <c r="AQ402" t="s">
        <v>124</v>
      </c>
      <c r="AR402" t="s">
        <v>125</v>
      </c>
      <c r="AS402">
        <v>2</v>
      </c>
      <c r="AT402" t="s">
        <v>126</v>
      </c>
      <c r="AU402" t="s">
        <v>155</v>
      </c>
      <c r="AV402" t="s">
        <v>156</v>
      </c>
      <c r="AW402">
        <v>1</v>
      </c>
      <c r="AX402" t="s">
        <v>129</v>
      </c>
      <c r="AY402">
        <v>46672.17</v>
      </c>
      <c r="AZ402">
        <v>4761826</v>
      </c>
      <c r="BA402">
        <v>57152.54</v>
      </c>
      <c r="BB402">
        <v>102.0271</v>
      </c>
      <c r="BC402" t="s">
        <v>130</v>
      </c>
      <c r="BD402" t="s">
        <v>112</v>
      </c>
      <c r="BE402" t="s">
        <v>157</v>
      </c>
      <c r="BF402" t="s">
        <v>133</v>
      </c>
      <c r="BG402" t="s">
        <v>134</v>
      </c>
      <c r="BH402" t="s">
        <v>112</v>
      </c>
      <c r="BI402" t="s">
        <v>112</v>
      </c>
      <c r="BJ402" t="s">
        <v>112</v>
      </c>
      <c r="BK402" t="s">
        <v>169</v>
      </c>
      <c r="BL402" t="s">
        <v>159</v>
      </c>
      <c r="BM402" t="s">
        <v>722</v>
      </c>
      <c r="BN402" t="s">
        <v>161</v>
      </c>
      <c r="BO402">
        <v>1</v>
      </c>
      <c r="BP402" t="s">
        <v>205</v>
      </c>
      <c r="BR402" t="s">
        <v>150</v>
      </c>
      <c r="BS402">
        <v>33</v>
      </c>
      <c r="BT402">
        <v>0</v>
      </c>
      <c r="BU402">
        <v>0</v>
      </c>
      <c r="BW402">
        <v>0</v>
      </c>
      <c r="BY402" t="s">
        <v>106</v>
      </c>
      <c r="BZ402" t="s">
        <v>142</v>
      </c>
      <c r="CA402" t="s">
        <v>112</v>
      </c>
      <c r="CB402" t="s">
        <v>112</v>
      </c>
      <c r="CC402" t="s">
        <v>121</v>
      </c>
      <c r="CD402">
        <v>17113.47</v>
      </c>
      <c r="CE402" t="s">
        <v>144</v>
      </c>
      <c r="CF402">
        <v>4000000</v>
      </c>
      <c r="CG402">
        <v>17113.47</v>
      </c>
      <c r="CH402">
        <v>0</v>
      </c>
      <c r="CI402" t="s">
        <v>112</v>
      </c>
      <c r="CJ402" t="s">
        <v>112</v>
      </c>
      <c r="CK402">
        <v>46672.17</v>
      </c>
      <c r="CL402">
        <v>4761826</v>
      </c>
      <c r="CM402">
        <v>0</v>
      </c>
      <c r="CN402">
        <v>1</v>
      </c>
      <c r="CO402">
        <v>5183198.08</v>
      </c>
      <c r="CP402">
        <v>57152.54</v>
      </c>
      <c r="CQ402" t="s">
        <v>145</v>
      </c>
      <c r="CR402">
        <v>57158.989800000003</v>
      </c>
      <c r="CS402">
        <v>3.34</v>
      </c>
      <c r="CT402">
        <v>45</v>
      </c>
      <c r="CU402" t="s">
        <v>171</v>
      </c>
      <c r="CV402" t="s">
        <v>369</v>
      </c>
      <c r="CW402">
        <v>152</v>
      </c>
    </row>
    <row r="403" spans="1:101" x14ac:dyDescent="0.2">
      <c r="A403" t="s">
        <v>106</v>
      </c>
      <c r="B403" s="46">
        <v>45051</v>
      </c>
      <c r="C403" t="s">
        <v>1514</v>
      </c>
      <c r="D403" t="s">
        <v>108</v>
      </c>
      <c r="E403" t="s">
        <v>1515</v>
      </c>
      <c r="F403" t="s">
        <v>110</v>
      </c>
      <c r="G403" t="s">
        <v>111</v>
      </c>
      <c r="H403" t="s">
        <v>112</v>
      </c>
      <c r="I403" t="s">
        <v>112</v>
      </c>
      <c r="J403" t="s">
        <v>112</v>
      </c>
      <c r="K403" t="s">
        <v>150</v>
      </c>
      <c r="L403" t="s">
        <v>1060</v>
      </c>
      <c r="M403" t="s">
        <v>112</v>
      </c>
      <c r="N403" t="s">
        <v>112</v>
      </c>
      <c r="O403">
        <v>1</v>
      </c>
      <c r="P403">
        <v>0</v>
      </c>
      <c r="Q403">
        <v>1</v>
      </c>
      <c r="R403">
        <v>33</v>
      </c>
      <c r="S403" t="s">
        <v>166</v>
      </c>
      <c r="T403" t="s">
        <v>152</v>
      </c>
      <c r="U403" t="s">
        <v>153</v>
      </c>
      <c r="V403" t="s">
        <v>154</v>
      </c>
      <c r="W403" t="s">
        <v>119</v>
      </c>
      <c r="X403" t="s">
        <v>112</v>
      </c>
      <c r="Y403" t="s">
        <v>166</v>
      </c>
      <c r="Z403" t="s">
        <v>152</v>
      </c>
      <c r="AA403" t="s">
        <v>153</v>
      </c>
      <c r="AB403" t="s">
        <v>154</v>
      </c>
      <c r="AC403" t="s">
        <v>119</v>
      </c>
      <c r="AD403" t="s">
        <v>112</v>
      </c>
      <c r="AE403" t="s">
        <v>121</v>
      </c>
      <c r="AF403" t="s">
        <v>122</v>
      </c>
      <c r="AG403">
        <v>4823427.05</v>
      </c>
      <c r="AH403" t="s">
        <v>166</v>
      </c>
      <c r="AI403" t="s">
        <v>152</v>
      </c>
      <c r="AJ403" t="s">
        <v>153</v>
      </c>
      <c r="AK403" t="s">
        <v>154</v>
      </c>
      <c r="AL403" t="s">
        <v>119</v>
      </c>
      <c r="AM403" t="s">
        <v>112</v>
      </c>
      <c r="AN403" t="s">
        <v>121</v>
      </c>
      <c r="AO403" t="s">
        <v>122</v>
      </c>
      <c r="AP403" t="s">
        <v>122</v>
      </c>
      <c r="AQ403" t="s">
        <v>124</v>
      </c>
      <c r="AR403" t="s">
        <v>125</v>
      </c>
      <c r="AS403">
        <v>2</v>
      </c>
      <c r="AT403" t="s">
        <v>126</v>
      </c>
      <c r="AU403" t="s">
        <v>155</v>
      </c>
      <c r="AV403" t="s">
        <v>156</v>
      </c>
      <c r="AW403">
        <v>1</v>
      </c>
      <c r="AX403" t="s">
        <v>129</v>
      </c>
      <c r="AY403">
        <v>43145.94</v>
      </c>
      <c r="AZ403">
        <v>4402055</v>
      </c>
      <c r="BA403">
        <v>53185.52</v>
      </c>
      <c r="BB403">
        <v>102.0271</v>
      </c>
      <c r="BC403" t="s">
        <v>130</v>
      </c>
      <c r="BD403" t="s">
        <v>112</v>
      </c>
      <c r="BE403" t="s">
        <v>157</v>
      </c>
      <c r="BF403" t="s">
        <v>133</v>
      </c>
      <c r="BG403" t="s">
        <v>134</v>
      </c>
      <c r="BH403" t="s">
        <v>112</v>
      </c>
      <c r="BI403" t="s">
        <v>112</v>
      </c>
      <c r="BJ403" t="s">
        <v>112</v>
      </c>
      <c r="BK403" t="s">
        <v>169</v>
      </c>
      <c r="BL403" t="s">
        <v>159</v>
      </c>
      <c r="BM403" t="s">
        <v>722</v>
      </c>
      <c r="BN403" t="s">
        <v>161</v>
      </c>
      <c r="BO403">
        <v>1</v>
      </c>
      <c r="BP403" t="s">
        <v>1516</v>
      </c>
      <c r="BR403" t="s">
        <v>150</v>
      </c>
      <c r="BS403">
        <v>33</v>
      </c>
      <c r="BT403">
        <v>0</v>
      </c>
      <c r="BU403">
        <v>0</v>
      </c>
      <c r="BW403">
        <v>0</v>
      </c>
      <c r="BY403" t="s">
        <v>106</v>
      </c>
      <c r="BZ403" t="s">
        <v>142</v>
      </c>
      <c r="CA403" t="s">
        <v>112</v>
      </c>
      <c r="CB403" t="s">
        <v>112</v>
      </c>
      <c r="CC403" t="s">
        <v>121</v>
      </c>
      <c r="CD403">
        <v>16592.060000000001</v>
      </c>
      <c r="CE403" t="s">
        <v>144</v>
      </c>
      <c r="CF403">
        <v>4000000</v>
      </c>
      <c r="CG403">
        <v>16556.060000000001</v>
      </c>
      <c r="CH403">
        <v>0</v>
      </c>
      <c r="CI403" t="s">
        <v>112</v>
      </c>
      <c r="CJ403" t="s">
        <v>112</v>
      </c>
      <c r="CK403">
        <v>43145.94</v>
      </c>
      <c r="CL403">
        <v>4402055</v>
      </c>
      <c r="CM403">
        <v>0</v>
      </c>
      <c r="CN403">
        <v>1</v>
      </c>
      <c r="CO403">
        <v>4823427.05</v>
      </c>
      <c r="CP403">
        <v>53185.52</v>
      </c>
      <c r="CQ403" t="s">
        <v>145</v>
      </c>
      <c r="CR403">
        <v>53144.952600000004</v>
      </c>
      <c r="CS403">
        <v>3.21</v>
      </c>
      <c r="CT403">
        <v>45</v>
      </c>
      <c r="CU403" t="s">
        <v>171</v>
      </c>
      <c r="CV403" t="s">
        <v>350</v>
      </c>
      <c r="CW403">
        <v>80</v>
      </c>
    </row>
    <row r="404" spans="1:101" x14ac:dyDescent="0.2">
      <c r="A404" t="s">
        <v>106</v>
      </c>
      <c r="B404" s="46">
        <v>45180</v>
      </c>
      <c r="C404" t="s">
        <v>1522</v>
      </c>
      <c r="D404" t="s">
        <v>108</v>
      </c>
      <c r="E404" t="s">
        <v>1523</v>
      </c>
      <c r="F404" t="s">
        <v>110</v>
      </c>
      <c r="G404" t="s">
        <v>111</v>
      </c>
      <c r="H404" t="s">
        <v>112</v>
      </c>
      <c r="I404" t="s">
        <v>112</v>
      </c>
      <c r="J404" t="s">
        <v>112</v>
      </c>
      <c r="K404" t="s">
        <v>175</v>
      </c>
      <c r="L404" t="s">
        <v>1085</v>
      </c>
      <c r="M404" t="s">
        <v>112</v>
      </c>
      <c r="N404" t="s">
        <v>112</v>
      </c>
      <c r="O404">
        <v>1</v>
      </c>
      <c r="P404">
        <v>0</v>
      </c>
      <c r="Q404">
        <v>1</v>
      </c>
      <c r="R404">
        <v>33</v>
      </c>
      <c r="S404" t="s">
        <v>166</v>
      </c>
      <c r="T404" t="s">
        <v>152</v>
      </c>
      <c r="U404" t="s">
        <v>153</v>
      </c>
      <c r="V404" t="s">
        <v>154</v>
      </c>
      <c r="W404" t="s">
        <v>119</v>
      </c>
      <c r="X404" t="s">
        <v>112</v>
      </c>
      <c r="Y404" t="s">
        <v>166</v>
      </c>
      <c r="Z404" t="s">
        <v>152</v>
      </c>
      <c r="AA404" t="s">
        <v>153</v>
      </c>
      <c r="AB404" t="s">
        <v>154</v>
      </c>
      <c r="AC404" t="s">
        <v>119</v>
      </c>
      <c r="AD404" t="s">
        <v>112</v>
      </c>
      <c r="AE404" t="s">
        <v>121</v>
      </c>
      <c r="AF404" t="s">
        <v>122</v>
      </c>
      <c r="AG404">
        <v>4450120.0999999996</v>
      </c>
      <c r="AH404" t="s">
        <v>166</v>
      </c>
      <c r="AI404" t="s">
        <v>152</v>
      </c>
      <c r="AJ404" t="s">
        <v>153</v>
      </c>
      <c r="AK404" t="s">
        <v>154</v>
      </c>
      <c r="AL404" t="s">
        <v>119</v>
      </c>
      <c r="AM404" t="s">
        <v>112</v>
      </c>
      <c r="AN404" t="s">
        <v>121</v>
      </c>
      <c r="AO404" t="s">
        <v>122</v>
      </c>
      <c r="AP404" t="s">
        <v>122</v>
      </c>
      <c r="AQ404" t="s">
        <v>124</v>
      </c>
      <c r="AR404" t="s">
        <v>125</v>
      </c>
      <c r="AS404">
        <v>2</v>
      </c>
      <c r="AT404" t="s">
        <v>126</v>
      </c>
      <c r="AU404" t="s">
        <v>155</v>
      </c>
      <c r="AV404" t="s">
        <v>156</v>
      </c>
      <c r="AW404">
        <v>1</v>
      </c>
      <c r="AX404" t="s">
        <v>129</v>
      </c>
      <c r="AY404">
        <v>39487.040000000001</v>
      </c>
      <c r="AZ404">
        <v>4028748</v>
      </c>
      <c r="BA404">
        <v>49069.25</v>
      </c>
      <c r="BB404">
        <v>102.0271</v>
      </c>
      <c r="BC404" t="s">
        <v>130</v>
      </c>
      <c r="BD404" t="s">
        <v>112</v>
      </c>
      <c r="BE404" t="s">
        <v>157</v>
      </c>
      <c r="BF404" t="s">
        <v>133</v>
      </c>
      <c r="BG404" t="s">
        <v>134</v>
      </c>
      <c r="BH404" t="s">
        <v>112</v>
      </c>
      <c r="BI404" t="s">
        <v>112</v>
      </c>
      <c r="BJ404" t="s">
        <v>112</v>
      </c>
      <c r="BK404" t="s">
        <v>169</v>
      </c>
      <c r="BL404" t="s">
        <v>159</v>
      </c>
      <c r="BM404" t="s">
        <v>722</v>
      </c>
      <c r="BN404" t="s">
        <v>161</v>
      </c>
      <c r="BO404">
        <v>1</v>
      </c>
      <c r="BP404" t="s">
        <v>1524</v>
      </c>
      <c r="BR404" t="s">
        <v>150</v>
      </c>
      <c r="BS404">
        <v>33</v>
      </c>
      <c r="BT404">
        <v>0</v>
      </c>
      <c r="BU404">
        <v>0</v>
      </c>
      <c r="BW404">
        <v>0</v>
      </c>
      <c r="BY404" t="s">
        <v>106</v>
      </c>
      <c r="BZ404" t="s">
        <v>142</v>
      </c>
      <c r="CA404" t="s">
        <v>112</v>
      </c>
      <c r="CB404" t="s">
        <v>112</v>
      </c>
      <c r="CC404" t="s">
        <v>121</v>
      </c>
      <c r="CD404">
        <v>16557.650000000001</v>
      </c>
      <c r="CE404" t="s">
        <v>144</v>
      </c>
      <c r="CF404">
        <v>4000000</v>
      </c>
      <c r="CG404">
        <v>16444.849999999999</v>
      </c>
      <c r="CH404">
        <v>0</v>
      </c>
      <c r="CI404" t="s">
        <v>112</v>
      </c>
      <c r="CJ404" t="s">
        <v>112</v>
      </c>
      <c r="CK404">
        <v>39487.040000000001</v>
      </c>
      <c r="CL404">
        <v>4028748</v>
      </c>
      <c r="CM404">
        <v>0</v>
      </c>
      <c r="CN404">
        <v>1</v>
      </c>
      <c r="CO404">
        <v>4450120.0999999996</v>
      </c>
      <c r="CP404">
        <v>49069.25</v>
      </c>
      <c r="CQ404" t="s">
        <v>145</v>
      </c>
      <c r="CR404">
        <v>49005.652999999998</v>
      </c>
      <c r="CS404">
        <v>2.98</v>
      </c>
      <c r="CT404">
        <v>45</v>
      </c>
      <c r="CU404" t="s">
        <v>171</v>
      </c>
      <c r="CV404" t="s">
        <v>463</v>
      </c>
      <c r="CW404">
        <v>127</v>
      </c>
    </row>
    <row r="405" spans="1:101" x14ac:dyDescent="0.2">
      <c r="A405" t="s">
        <v>106</v>
      </c>
      <c r="B405" s="46">
        <v>45275</v>
      </c>
      <c r="C405" t="s">
        <v>1336</v>
      </c>
      <c r="D405" t="s">
        <v>108</v>
      </c>
      <c r="E405" t="s">
        <v>1337</v>
      </c>
      <c r="F405" t="s">
        <v>110</v>
      </c>
      <c r="G405" t="s">
        <v>111</v>
      </c>
      <c r="H405" t="s">
        <v>112</v>
      </c>
      <c r="I405" t="s">
        <v>112</v>
      </c>
      <c r="J405" t="s">
        <v>112</v>
      </c>
      <c r="K405" t="s">
        <v>150</v>
      </c>
      <c r="L405" t="s">
        <v>1020</v>
      </c>
      <c r="M405" t="s">
        <v>112</v>
      </c>
      <c r="N405" t="s">
        <v>112</v>
      </c>
      <c r="O405">
        <v>1</v>
      </c>
      <c r="P405">
        <v>0</v>
      </c>
      <c r="Q405">
        <v>1</v>
      </c>
      <c r="R405">
        <v>33</v>
      </c>
      <c r="S405" t="s">
        <v>166</v>
      </c>
      <c r="T405" t="s">
        <v>152</v>
      </c>
      <c r="U405" t="s">
        <v>153</v>
      </c>
      <c r="V405" t="s">
        <v>154</v>
      </c>
      <c r="W405" t="s">
        <v>119</v>
      </c>
      <c r="X405" t="s">
        <v>112</v>
      </c>
      <c r="Y405" t="s">
        <v>166</v>
      </c>
      <c r="Z405" t="s">
        <v>152</v>
      </c>
      <c r="AA405" t="s">
        <v>153</v>
      </c>
      <c r="AB405" t="s">
        <v>154</v>
      </c>
      <c r="AC405" t="s">
        <v>119</v>
      </c>
      <c r="AD405" t="s">
        <v>112</v>
      </c>
      <c r="AE405" t="s">
        <v>121</v>
      </c>
      <c r="AF405" t="s">
        <v>122</v>
      </c>
      <c r="AG405">
        <v>4232620.78</v>
      </c>
      <c r="AH405" t="s">
        <v>166</v>
      </c>
      <c r="AI405" t="s">
        <v>152</v>
      </c>
      <c r="AJ405" t="s">
        <v>153</v>
      </c>
      <c r="AK405" t="s">
        <v>154</v>
      </c>
      <c r="AL405" t="s">
        <v>119</v>
      </c>
      <c r="AM405" t="s">
        <v>112</v>
      </c>
      <c r="AN405" t="s">
        <v>121</v>
      </c>
      <c r="AO405" t="s">
        <v>122</v>
      </c>
      <c r="AP405" t="s">
        <v>122</v>
      </c>
      <c r="AQ405" t="s">
        <v>124</v>
      </c>
      <c r="AR405" t="s">
        <v>125</v>
      </c>
      <c r="AS405">
        <v>2</v>
      </c>
      <c r="AT405" t="s">
        <v>126</v>
      </c>
      <c r="AU405" t="s">
        <v>155</v>
      </c>
      <c r="AV405" t="s">
        <v>156</v>
      </c>
      <c r="AW405">
        <v>1</v>
      </c>
      <c r="AX405" t="s">
        <v>129</v>
      </c>
      <c r="AY405">
        <v>41361.06</v>
      </c>
      <c r="AZ405">
        <v>3790034</v>
      </c>
      <c r="BA405">
        <v>50599.29</v>
      </c>
      <c r="BB405">
        <v>91.632900000000006</v>
      </c>
      <c r="BC405" t="s">
        <v>130</v>
      </c>
      <c r="BD405" t="s">
        <v>112</v>
      </c>
      <c r="BE405" t="s">
        <v>157</v>
      </c>
      <c r="BF405" t="s">
        <v>133</v>
      </c>
      <c r="BG405" t="s">
        <v>134</v>
      </c>
      <c r="BH405" t="s">
        <v>112</v>
      </c>
      <c r="BI405" t="s">
        <v>112</v>
      </c>
      <c r="BJ405" t="s">
        <v>112</v>
      </c>
      <c r="BK405" t="s">
        <v>169</v>
      </c>
      <c r="BL405" t="s">
        <v>159</v>
      </c>
      <c r="BM405" t="s">
        <v>726</v>
      </c>
      <c r="BN405" t="s">
        <v>161</v>
      </c>
      <c r="BO405">
        <v>1</v>
      </c>
      <c r="BP405" t="s">
        <v>1338</v>
      </c>
      <c r="BR405" t="s">
        <v>150</v>
      </c>
      <c r="BS405">
        <v>33</v>
      </c>
      <c r="BT405">
        <v>0</v>
      </c>
      <c r="BU405">
        <v>0</v>
      </c>
      <c r="BW405">
        <v>0</v>
      </c>
      <c r="BY405" t="s">
        <v>106</v>
      </c>
      <c r="BZ405" t="s">
        <v>142</v>
      </c>
      <c r="CA405" t="s">
        <v>112</v>
      </c>
      <c r="CB405" t="s">
        <v>112</v>
      </c>
      <c r="CC405" t="s">
        <v>121</v>
      </c>
      <c r="CD405">
        <v>16788.03</v>
      </c>
      <c r="CE405" t="s">
        <v>144</v>
      </c>
      <c r="CF405">
        <v>4000000</v>
      </c>
      <c r="CG405">
        <v>16770.03</v>
      </c>
      <c r="CH405">
        <v>0</v>
      </c>
      <c r="CI405" t="s">
        <v>112</v>
      </c>
      <c r="CJ405" t="s">
        <v>112</v>
      </c>
      <c r="CK405">
        <v>41361.06</v>
      </c>
      <c r="CL405">
        <v>3790034</v>
      </c>
      <c r="CM405">
        <v>0</v>
      </c>
      <c r="CN405">
        <v>1</v>
      </c>
      <c r="CO405">
        <v>4232620.78</v>
      </c>
      <c r="CP405">
        <v>50599.29</v>
      </c>
      <c r="CQ405" t="s">
        <v>145</v>
      </c>
      <c r="CR405">
        <v>50645.490599999997</v>
      </c>
      <c r="CS405">
        <v>3.02</v>
      </c>
      <c r="CT405">
        <v>45</v>
      </c>
      <c r="CU405" t="s">
        <v>171</v>
      </c>
      <c r="CV405" t="s">
        <v>369</v>
      </c>
      <c r="CW405">
        <v>115</v>
      </c>
    </row>
    <row r="406" spans="1:101" x14ac:dyDescent="0.2">
      <c r="A406" t="s">
        <v>106</v>
      </c>
      <c r="B406" s="46">
        <v>45238</v>
      </c>
      <c r="C406" t="s">
        <v>1327</v>
      </c>
      <c r="D406" t="s">
        <v>108</v>
      </c>
      <c r="E406" t="s">
        <v>1328</v>
      </c>
      <c r="F406" t="s">
        <v>110</v>
      </c>
      <c r="G406" t="s">
        <v>111</v>
      </c>
      <c r="H406" t="s">
        <v>112</v>
      </c>
      <c r="I406" t="s">
        <v>112</v>
      </c>
      <c r="J406" t="s">
        <v>112</v>
      </c>
      <c r="K406" t="s">
        <v>150</v>
      </c>
      <c r="L406" t="s">
        <v>1020</v>
      </c>
      <c r="M406" t="s">
        <v>112</v>
      </c>
      <c r="N406" t="s">
        <v>112</v>
      </c>
      <c r="O406">
        <v>1</v>
      </c>
      <c r="P406">
        <v>0</v>
      </c>
      <c r="Q406">
        <v>1</v>
      </c>
      <c r="R406">
        <v>33</v>
      </c>
      <c r="S406" t="s">
        <v>166</v>
      </c>
      <c r="T406" t="s">
        <v>152</v>
      </c>
      <c r="U406" t="s">
        <v>153</v>
      </c>
      <c r="V406" t="s">
        <v>154</v>
      </c>
      <c r="W406" t="s">
        <v>119</v>
      </c>
      <c r="X406" t="s">
        <v>112</v>
      </c>
      <c r="Y406" t="s">
        <v>166</v>
      </c>
      <c r="Z406" t="s">
        <v>152</v>
      </c>
      <c r="AA406" t="s">
        <v>153</v>
      </c>
      <c r="AB406" t="s">
        <v>154</v>
      </c>
      <c r="AC406" t="s">
        <v>119</v>
      </c>
      <c r="AD406" t="s">
        <v>112</v>
      </c>
      <c r="AE406" t="s">
        <v>121</v>
      </c>
      <c r="AF406" t="s">
        <v>122</v>
      </c>
      <c r="AG406">
        <v>4126890.17</v>
      </c>
      <c r="AH406" t="s">
        <v>166</v>
      </c>
      <c r="AI406" t="s">
        <v>152</v>
      </c>
      <c r="AJ406" t="s">
        <v>153</v>
      </c>
      <c r="AK406" t="s">
        <v>154</v>
      </c>
      <c r="AL406" t="s">
        <v>119</v>
      </c>
      <c r="AM406" t="s">
        <v>112</v>
      </c>
      <c r="AN406" t="s">
        <v>121</v>
      </c>
      <c r="AO406" t="s">
        <v>122</v>
      </c>
      <c r="AP406" t="s">
        <v>122</v>
      </c>
      <c r="AQ406" t="s">
        <v>124</v>
      </c>
      <c r="AR406" t="s">
        <v>125</v>
      </c>
      <c r="AS406">
        <v>2</v>
      </c>
      <c r="AT406" t="s">
        <v>126</v>
      </c>
      <c r="AU406" t="s">
        <v>155</v>
      </c>
      <c r="AV406" t="s">
        <v>156</v>
      </c>
      <c r="AW406">
        <v>1</v>
      </c>
      <c r="AX406" t="s">
        <v>129</v>
      </c>
      <c r="AY406">
        <v>40387.21</v>
      </c>
      <c r="AZ406">
        <v>3700797</v>
      </c>
      <c r="BA406">
        <v>49335.33</v>
      </c>
      <c r="BB406">
        <v>91.632900000000006</v>
      </c>
      <c r="BC406" t="s">
        <v>130</v>
      </c>
      <c r="BD406" t="s">
        <v>112</v>
      </c>
      <c r="BE406" t="s">
        <v>157</v>
      </c>
      <c r="BF406" t="s">
        <v>133</v>
      </c>
      <c r="BG406" t="s">
        <v>167</v>
      </c>
      <c r="BH406" t="s">
        <v>168</v>
      </c>
      <c r="BI406" t="s">
        <v>112</v>
      </c>
      <c r="BJ406" t="s">
        <v>112</v>
      </c>
      <c r="BK406" t="s">
        <v>169</v>
      </c>
      <c r="BL406" t="s">
        <v>159</v>
      </c>
      <c r="BM406" t="s">
        <v>726</v>
      </c>
      <c r="BN406" t="s">
        <v>161</v>
      </c>
      <c r="BO406">
        <v>1</v>
      </c>
      <c r="BP406" t="s">
        <v>1329</v>
      </c>
      <c r="BR406" t="s">
        <v>150</v>
      </c>
      <c r="BS406">
        <v>33</v>
      </c>
      <c r="BT406">
        <v>0</v>
      </c>
      <c r="BU406">
        <v>0</v>
      </c>
      <c r="BW406">
        <v>0</v>
      </c>
      <c r="BY406" t="s">
        <v>106</v>
      </c>
      <c r="BZ406" t="s">
        <v>142</v>
      </c>
      <c r="CA406" t="s">
        <v>112</v>
      </c>
      <c r="CB406" t="s">
        <v>112</v>
      </c>
      <c r="CC406" t="s">
        <v>121</v>
      </c>
      <c r="CD406">
        <v>16645.86</v>
      </c>
      <c r="CE406" t="s">
        <v>144</v>
      </c>
      <c r="CF406">
        <v>4000000</v>
      </c>
      <c r="CG406">
        <v>16537.86</v>
      </c>
      <c r="CH406">
        <v>0</v>
      </c>
      <c r="CI406" t="s">
        <v>112</v>
      </c>
      <c r="CJ406" t="s">
        <v>112</v>
      </c>
      <c r="CK406">
        <v>40387.21</v>
      </c>
      <c r="CL406">
        <v>3700797</v>
      </c>
      <c r="CM406">
        <v>0</v>
      </c>
      <c r="CN406">
        <v>1</v>
      </c>
      <c r="CO406">
        <v>4126890.17</v>
      </c>
      <c r="CP406">
        <v>49335.33</v>
      </c>
      <c r="CQ406" t="s">
        <v>145</v>
      </c>
      <c r="CR406">
        <v>49282.822800000002</v>
      </c>
      <c r="CS406">
        <v>2.98</v>
      </c>
      <c r="CT406">
        <v>45</v>
      </c>
      <c r="CU406" t="s">
        <v>171</v>
      </c>
      <c r="CV406" t="s">
        <v>172</v>
      </c>
      <c r="CW406">
        <v>117</v>
      </c>
    </row>
    <row r="407" spans="1:101" x14ac:dyDescent="0.2">
      <c r="A407" t="s">
        <v>106</v>
      </c>
      <c r="B407" s="46">
        <v>45257</v>
      </c>
      <c r="C407" t="s">
        <v>1191</v>
      </c>
      <c r="D407" t="s">
        <v>108</v>
      </c>
      <c r="E407" t="s">
        <v>1192</v>
      </c>
      <c r="F407" t="s">
        <v>110</v>
      </c>
      <c r="G407" t="s">
        <v>111</v>
      </c>
      <c r="H407" t="s">
        <v>112</v>
      </c>
      <c r="I407" t="s">
        <v>112</v>
      </c>
      <c r="J407" t="s">
        <v>112</v>
      </c>
      <c r="K407" t="s">
        <v>150</v>
      </c>
      <c r="L407" t="s">
        <v>1176</v>
      </c>
      <c r="M407" t="s">
        <v>112</v>
      </c>
      <c r="N407" t="s">
        <v>112</v>
      </c>
      <c r="O407">
        <v>1</v>
      </c>
      <c r="P407">
        <v>0</v>
      </c>
      <c r="Q407">
        <v>1</v>
      </c>
      <c r="R407">
        <v>33</v>
      </c>
      <c r="S407" t="s">
        <v>166</v>
      </c>
      <c r="T407" t="s">
        <v>152</v>
      </c>
      <c r="U407" t="s">
        <v>153</v>
      </c>
      <c r="V407" t="s">
        <v>154</v>
      </c>
      <c r="W407" t="s">
        <v>119</v>
      </c>
      <c r="X407" t="s">
        <v>112</v>
      </c>
      <c r="Y407" t="s">
        <v>166</v>
      </c>
      <c r="Z407" t="s">
        <v>152</v>
      </c>
      <c r="AA407" t="s">
        <v>153</v>
      </c>
      <c r="AB407" t="s">
        <v>154</v>
      </c>
      <c r="AC407" t="s">
        <v>119</v>
      </c>
      <c r="AD407" t="s">
        <v>112</v>
      </c>
      <c r="AE407" t="s">
        <v>121</v>
      </c>
      <c r="AF407" t="s">
        <v>122</v>
      </c>
      <c r="AG407">
        <v>3507965.3</v>
      </c>
      <c r="AH407" t="s">
        <v>166</v>
      </c>
      <c r="AI407" t="s">
        <v>152</v>
      </c>
      <c r="AJ407" t="s">
        <v>153</v>
      </c>
      <c r="AK407" t="s">
        <v>154</v>
      </c>
      <c r="AL407" t="s">
        <v>119</v>
      </c>
      <c r="AM407" t="s">
        <v>112</v>
      </c>
      <c r="AN407" t="s">
        <v>121</v>
      </c>
      <c r="AO407" t="s">
        <v>122</v>
      </c>
      <c r="AP407" t="s">
        <v>122</v>
      </c>
      <c r="AQ407" t="s">
        <v>124</v>
      </c>
      <c r="AR407" t="s">
        <v>125</v>
      </c>
      <c r="AS407">
        <v>2</v>
      </c>
      <c r="AT407" t="s">
        <v>126</v>
      </c>
      <c r="AU407" t="s">
        <v>155</v>
      </c>
      <c r="AV407" t="s">
        <v>156</v>
      </c>
      <c r="AW407">
        <v>1</v>
      </c>
      <c r="AX407" t="s">
        <v>129</v>
      </c>
      <c r="AY407">
        <v>36426.199999999997</v>
      </c>
      <c r="AZ407">
        <v>3150735</v>
      </c>
      <c r="BA407">
        <v>43829.51</v>
      </c>
      <c r="BB407">
        <v>86.496399999999994</v>
      </c>
      <c r="BC407" t="s">
        <v>130</v>
      </c>
      <c r="BD407" t="s">
        <v>112</v>
      </c>
      <c r="BE407" t="s">
        <v>157</v>
      </c>
      <c r="BF407" t="s">
        <v>133</v>
      </c>
      <c r="BG407" t="s">
        <v>134</v>
      </c>
      <c r="BH407" t="s">
        <v>112</v>
      </c>
      <c r="BI407" t="s">
        <v>112</v>
      </c>
      <c r="BJ407" t="s">
        <v>112</v>
      </c>
      <c r="BK407" t="s">
        <v>169</v>
      </c>
      <c r="BL407" t="s">
        <v>159</v>
      </c>
      <c r="BM407" t="s">
        <v>722</v>
      </c>
      <c r="BN407" t="s">
        <v>161</v>
      </c>
      <c r="BO407">
        <v>1</v>
      </c>
      <c r="BP407" t="s">
        <v>213</v>
      </c>
      <c r="BR407" t="s">
        <v>150</v>
      </c>
      <c r="BS407">
        <v>33</v>
      </c>
      <c r="BT407">
        <v>0</v>
      </c>
      <c r="BU407">
        <v>0</v>
      </c>
      <c r="BW407">
        <v>0</v>
      </c>
      <c r="BY407" t="s">
        <v>106</v>
      </c>
      <c r="BZ407" t="s">
        <v>142</v>
      </c>
      <c r="CA407" t="s">
        <v>112</v>
      </c>
      <c r="CB407" t="s">
        <v>112</v>
      </c>
      <c r="CC407" t="s">
        <v>121</v>
      </c>
      <c r="CD407">
        <v>16563.849999999999</v>
      </c>
      <c r="CE407" t="s">
        <v>144</v>
      </c>
      <c r="CF407">
        <v>4000000</v>
      </c>
      <c r="CG407">
        <v>16434.25</v>
      </c>
      <c r="CH407">
        <v>0</v>
      </c>
      <c r="CI407" t="s">
        <v>112</v>
      </c>
      <c r="CJ407" t="s">
        <v>112</v>
      </c>
      <c r="CK407">
        <v>36426.199999999997</v>
      </c>
      <c r="CL407">
        <v>3150735</v>
      </c>
      <c r="CM407">
        <v>0</v>
      </c>
      <c r="CN407">
        <v>1</v>
      </c>
      <c r="CO407">
        <v>3507965.3</v>
      </c>
      <c r="CP407">
        <v>43829.51</v>
      </c>
      <c r="CQ407" t="s">
        <v>145</v>
      </c>
      <c r="CR407">
        <v>43830.144749999999</v>
      </c>
      <c r="CS407">
        <v>2.6669999999999998</v>
      </c>
      <c r="CT407">
        <v>45</v>
      </c>
      <c r="CU407" t="s">
        <v>171</v>
      </c>
      <c r="CV407" t="s">
        <v>172</v>
      </c>
      <c r="CW407">
        <v>340</v>
      </c>
    </row>
    <row r="408" spans="1:101" x14ac:dyDescent="0.2">
      <c r="A408" t="s">
        <v>106</v>
      </c>
      <c r="B408" s="46">
        <v>44936</v>
      </c>
      <c r="C408" t="s">
        <v>1079</v>
      </c>
      <c r="D408" t="s">
        <v>108</v>
      </c>
      <c r="E408" t="s">
        <v>1080</v>
      </c>
      <c r="F408" t="s">
        <v>110</v>
      </c>
      <c r="G408" t="s">
        <v>111</v>
      </c>
      <c r="H408" t="s">
        <v>112</v>
      </c>
      <c r="I408" t="s">
        <v>112</v>
      </c>
      <c r="J408" t="s">
        <v>112</v>
      </c>
      <c r="K408" t="s">
        <v>150</v>
      </c>
      <c r="L408" t="s">
        <v>1060</v>
      </c>
      <c r="M408" t="s">
        <v>112</v>
      </c>
      <c r="N408" t="s">
        <v>112</v>
      </c>
      <c r="O408">
        <v>1</v>
      </c>
      <c r="P408">
        <v>0</v>
      </c>
      <c r="Q408">
        <v>1</v>
      </c>
      <c r="R408">
        <v>33</v>
      </c>
      <c r="S408" t="s">
        <v>166</v>
      </c>
      <c r="T408" t="s">
        <v>152</v>
      </c>
      <c r="U408" t="s">
        <v>153</v>
      </c>
      <c r="V408" t="s">
        <v>154</v>
      </c>
      <c r="W408" t="s">
        <v>119</v>
      </c>
      <c r="X408" t="s">
        <v>112</v>
      </c>
      <c r="Y408" t="s">
        <v>166</v>
      </c>
      <c r="Z408" t="s">
        <v>152</v>
      </c>
      <c r="AA408" t="s">
        <v>153</v>
      </c>
      <c r="AB408" t="s">
        <v>154</v>
      </c>
      <c r="AC408" t="s">
        <v>119</v>
      </c>
      <c r="AD408" t="s">
        <v>112</v>
      </c>
      <c r="AE408" t="s">
        <v>121</v>
      </c>
      <c r="AF408" t="s">
        <v>122</v>
      </c>
      <c r="AG408">
        <v>4289361.76</v>
      </c>
      <c r="AH408" t="s">
        <v>166</v>
      </c>
      <c r="AI408" t="s">
        <v>152</v>
      </c>
      <c r="AJ408" t="s">
        <v>153</v>
      </c>
      <c r="AK408" t="s">
        <v>154</v>
      </c>
      <c r="AL408" t="s">
        <v>119</v>
      </c>
      <c r="AM408" t="s">
        <v>112</v>
      </c>
      <c r="AN408" t="s">
        <v>121</v>
      </c>
      <c r="AO408" t="s">
        <v>122</v>
      </c>
      <c r="AP408" t="s">
        <v>122</v>
      </c>
      <c r="AQ408" t="s">
        <v>124</v>
      </c>
      <c r="AR408" t="s">
        <v>125</v>
      </c>
      <c r="AS408">
        <v>2</v>
      </c>
      <c r="AT408" t="s">
        <v>126</v>
      </c>
      <c r="AU408" t="s">
        <v>155</v>
      </c>
      <c r="AV408" t="s">
        <v>156</v>
      </c>
      <c r="AW408">
        <v>1</v>
      </c>
      <c r="AX408" t="s">
        <v>129</v>
      </c>
      <c r="AY408">
        <v>43537.68</v>
      </c>
      <c r="AZ408">
        <v>3899727</v>
      </c>
      <c r="BA408">
        <v>52563.9</v>
      </c>
      <c r="BB408">
        <v>89.571299999999994</v>
      </c>
      <c r="BC408" t="s">
        <v>130</v>
      </c>
      <c r="BD408" t="s">
        <v>112</v>
      </c>
      <c r="BE408" t="s">
        <v>157</v>
      </c>
      <c r="BF408" t="s">
        <v>133</v>
      </c>
      <c r="BG408" t="s">
        <v>134</v>
      </c>
      <c r="BH408" t="s">
        <v>112</v>
      </c>
      <c r="BI408" t="s">
        <v>112</v>
      </c>
      <c r="BJ408" t="s">
        <v>112</v>
      </c>
      <c r="BK408" t="s">
        <v>169</v>
      </c>
      <c r="BL408" t="s">
        <v>159</v>
      </c>
      <c r="BM408" t="s">
        <v>722</v>
      </c>
      <c r="BN408" t="s">
        <v>161</v>
      </c>
      <c r="BO408">
        <v>1</v>
      </c>
      <c r="BP408" t="s">
        <v>232</v>
      </c>
      <c r="BR408" t="s">
        <v>150</v>
      </c>
      <c r="BS408">
        <v>33</v>
      </c>
      <c r="BT408">
        <v>0</v>
      </c>
      <c r="BU408">
        <v>0</v>
      </c>
      <c r="BW408">
        <v>0</v>
      </c>
      <c r="BY408" t="s">
        <v>106</v>
      </c>
      <c r="BZ408" t="s">
        <v>142</v>
      </c>
      <c r="CA408" t="s">
        <v>112</v>
      </c>
      <c r="CB408" t="s">
        <v>112</v>
      </c>
      <c r="CC408" t="s">
        <v>121</v>
      </c>
      <c r="CD408">
        <v>16284.56</v>
      </c>
      <c r="CE408" t="s">
        <v>144</v>
      </c>
      <c r="CF408">
        <v>4000000</v>
      </c>
      <c r="CG408">
        <v>16162.16</v>
      </c>
      <c r="CH408">
        <v>0</v>
      </c>
      <c r="CI408" t="s">
        <v>112</v>
      </c>
      <c r="CJ408" t="s">
        <v>112</v>
      </c>
      <c r="CK408">
        <v>43537.68</v>
      </c>
      <c r="CL408">
        <v>3899727</v>
      </c>
      <c r="CM408">
        <v>0</v>
      </c>
      <c r="CN408">
        <v>1</v>
      </c>
      <c r="CO408">
        <v>4289361.76</v>
      </c>
      <c r="CP408">
        <v>52563.9</v>
      </c>
      <c r="CQ408" t="s">
        <v>145</v>
      </c>
      <c r="CR408">
        <v>52564.192967999996</v>
      </c>
      <c r="CS408">
        <v>3.2523</v>
      </c>
      <c r="CT408">
        <v>45</v>
      </c>
      <c r="CU408" t="s">
        <v>171</v>
      </c>
      <c r="CV408" t="s">
        <v>350</v>
      </c>
      <c r="CW408">
        <v>324</v>
      </c>
    </row>
    <row r="409" spans="1:101" x14ac:dyDescent="0.2">
      <c r="A409" t="s">
        <v>106</v>
      </c>
      <c r="B409" s="46">
        <v>44933</v>
      </c>
      <c r="C409" t="s">
        <v>1077</v>
      </c>
      <c r="D409" t="s">
        <v>108</v>
      </c>
      <c r="E409" t="s">
        <v>1078</v>
      </c>
      <c r="F409" t="s">
        <v>110</v>
      </c>
      <c r="G409" t="s">
        <v>111</v>
      </c>
      <c r="H409" t="s">
        <v>112</v>
      </c>
      <c r="I409" t="s">
        <v>112</v>
      </c>
      <c r="J409" t="s">
        <v>112</v>
      </c>
      <c r="K409" t="s">
        <v>150</v>
      </c>
      <c r="L409" t="s">
        <v>1060</v>
      </c>
      <c r="M409" t="s">
        <v>112</v>
      </c>
      <c r="N409" t="s">
        <v>112</v>
      </c>
      <c r="O409">
        <v>1</v>
      </c>
      <c r="P409">
        <v>0</v>
      </c>
      <c r="Q409">
        <v>1</v>
      </c>
      <c r="R409">
        <v>33</v>
      </c>
      <c r="S409" t="s">
        <v>166</v>
      </c>
      <c r="T409" t="s">
        <v>152</v>
      </c>
      <c r="U409" t="s">
        <v>153</v>
      </c>
      <c r="V409" t="s">
        <v>154</v>
      </c>
      <c r="W409" t="s">
        <v>119</v>
      </c>
      <c r="X409" t="s">
        <v>112</v>
      </c>
      <c r="Y409" t="s">
        <v>166</v>
      </c>
      <c r="Z409" t="s">
        <v>152</v>
      </c>
      <c r="AA409" t="s">
        <v>153</v>
      </c>
      <c r="AB409" t="s">
        <v>154</v>
      </c>
      <c r="AC409" t="s">
        <v>119</v>
      </c>
      <c r="AD409" t="s">
        <v>112</v>
      </c>
      <c r="AE409" t="s">
        <v>121</v>
      </c>
      <c r="AF409" t="s">
        <v>122</v>
      </c>
      <c r="AG409">
        <v>4583238.03</v>
      </c>
      <c r="AH409" t="s">
        <v>166</v>
      </c>
      <c r="AI409" t="s">
        <v>152</v>
      </c>
      <c r="AJ409" t="s">
        <v>153</v>
      </c>
      <c r="AK409" t="s">
        <v>154</v>
      </c>
      <c r="AL409" t="s">
        <v>119</v>
      </c>
      <c r="AM409" t="s">
        <v>112</v>
      </c>
      <c r="AN409" t="s">
        <v>121</v>
      </c>
      <c r="AO409" t="s">
        <v>122</v>
      </c>
      <c r="AP409" t="s">
        <v>122</v>
      </c>
      <c r="AQ409" t="s">
        <v>124</v>
      </c>
      <c r="AR409" t="s">
        <v>125</v>
      </c>
      <c r="AS409">
        <v>2</v>
      </c>
      <c r="AT409" t="s">
        <v>126</v>
      </c>
      <c r="AU409" t="s">
        <v>155</v>
      </c>
      <c r="AV409" t="s">
        <v>156</v>
      </c>
      <c r="AW409">
        <v>1</v>
      </c>
      <c r="AX409" t="s">
        <v>129</v>
      </c>
      <c r="AY409">
        <v>46818.6</v>
      </c>
      <c r="AZ409">
        <v>4193603</v>
      </c>
      <c r="BA409">
        <v>56165.21</v>
      </c>
      <c r="BB409">
        <v>89.571299999999994</v>
      </c>
      <c r="BC409" t="s">
        <v>130</v>
      </c>
      <c r="BD409" t="s">
        <v>112</v>
      </c>
      <c r="BE409" t="s">
        <v>157</v>
      </c>
      <c r="BF409" t="s">
        <v>133</v>
      </c>
      <c r="BG409" t="s">
        <v>134</v>
      </c>
      <c r="BH409" t="s">
        <v>112</v>
      </c>
      <c r="BI409" t="s">
        <v>112</v>
      </c>
      <c r="BJ409" t="s">
        <v>112</v>
      </c>
      <c r="BK409" t="s">
        <v>169</v>
      </c>
      <c r="BL409" t="s">
        <v>159</v>
      </c>
      <c r="BM409" t="s">
        <v>722</v>
      </c>
      <c r="BN409" t="s">
        <v>161</v>
      </c>
      <c r="BO409">
        <v>1</v>
      </c>
      <c r="BP409" t="s">
        <v>205</v>
      </c>
      <c r="BR409" t="s">
        <v>150</v>
      </c>
      <c r="BS409">
        <v>33</v>
      </c>
      <c r="BT409">
        <v>0</v>
      </c>
      <c r="BU409">
        <v>0</v>
      </c>
      <c r="BW409">
        <v>0</v>
      </c>
      <c r="BY409" t="s">
        <v>106</v>
      </c>
      <c r="BZ409" t="s">
        <v>142</v>
      </c>
      <c r="CA409" t="s">
        <v>112</v>
      </c>
      <c r="CB409" t="s">
        <v>112</v>
      </c>
      <c r="CC409" t="s">
        <v>121</v>
      </c>
      <c r="CD409">
        <v>16783.32</v>
      </c>
      <c r="CE409" t="s">
        <v>144</v>
      </c>
      <c r="CF409">
        <v>4000000</v>
      </c>
      <c r="CG409">
        <v>16783.32</v>
      </c>
      <c r="CH409">
        <v>0</v>
      </c>
      <c r="CI409" t="s">
        <v>112</v>
      </c>
      <c r="CJ409" t="s">
        <v>112</v>
      </c>
      <c r="CK409">
        <v>46818.6</v>
      </c>
      <c r="CL409">
        <v>4193603</v>
      </c>
      <c r="CM409">
        <v>0</v>
      </c>
      <c r="CN409">
        <v>1</v>
      </c>
      <c r="CO409">
        <v>4583238.03</v>
      </c>
      <c r="CP409">
        <v>56165.21</v>
      </c>
      <c r="CQ409" t="s">
        <v>145</v>
      </c>
      <c r="CR409">
        <v>56165.380379999995</v>
      </c>
      <c r="CS409">
        <v>3.3464999999999998</v>
      </c>
      <c r="CT409">
        <v>45</v>
      </c>
      <c r="CU409" t="s">
        <v>171</v>
      </c>
      <c r="CV409" t="s">
        <v>463</v>
      </c>
      <c r="CW409">
        <v>301</v>
      </c>
    </row>
    <row r="410" spans="1:101" x14ac:dyDescent="0.2">
      <c r="A410" t="s">
        <v>106</v>
      </c>
      <c r="B410" s="46">
        <v>45129</v>
      </c>
      <c r="C410" t="s">
        <v>1075</v>
      </c>
      <c r="D410" t="s">
        <v>108</v>
      </c>
      <c r="E410" t="s">
        <v>1076</v>
      </c>
      <c r="F410" t="s">
        <v>110</v>
      </c>
      <c r="G410" t="s">
        <v>111</v>
      </c>
      <c r="H410" t="s">
        <v>112</v>
      </c>
      <c r="I410" t="s">
        <v>112</v>
      </c>
      <c r="J410" t="s">
        <v>112</v>
      </c>
      <c r="K410" t="s">
        <v>150</v>
      </c>
      <c r="L410" t="s">
        <v>1060</v>
      </c>
      <c r="M410" t="s">
        <v>112</v>
      </c>
      <c r="N410" t="s">
        <v>112</v>
      </c>
      <c r="O410">
        <v>1</v>
      </c>
      <c r="P410">
        <v>0</v>
      </c>
      <c r="Q410">
        <v>1</v>
      </c>
      <c r="R410">
        <v>33</v>
      </c>
      <c r="S410" t="s">
        <v>166</v>
      </c>
      <c r="T410" t="s">
        <v>152</v>
      </c>
      <c r="U410" t="s">
        <v>153</v>
      </c>
      <c r="V410" t="s">
        <v>154</v>
      </c>
      <c r="W410" t="s">
        <v>119</v>
      </c>
      <c r="X410" t="s">
        <v>112</v>
      </c>
      <c r="Y410" t="s">
        <v>166</v>
      </c>
      <c r="Z410" t="s">
        <v>152</v>
      </c>
      <c r="AA410" t="s">
        <v>153</v>
      </c>
      <c r="AB410" t="s">
        <v>154</v>
      </c>
      <c r="AC410" t="s">
        <v>119</v>
      </c>
      <c r="AD410" t="s">
        <v>112</v>
      </c>
      <c r="AE410" t="s">
        <v>121</v>
      </c>
      <c r="AF410" t="s">
        <v>122</v>
      </c>
      <c r="AG410">
        <v>4228741.6900000004</v>
      </c>
      <c r="AH410" t="s">
        <v>166</v>
      </c>
      <c r="AI410" t="s">
        <v>152</v>
      </c>
      <c r="AJ410" t="s">
        <v>153</v>
      </c>
      <c r="AK410" t="s">
        <v>154</v>
      </c>
      <c r="AL410" t="s">
        <v>119</v>
      </c>
      <c r="AM410" t="s">
        <v>112</v>
      </c>
      <c r="AN410" t="s">
        <v>121</v>
      </c>
      <c r="AO410" t="s">
        <v>122</v>
      </c>
      <c r="AP410" t="s">
        <v>122</v>
      </c>
      <c r="AQ410" t="s">
        <v>124</v>
      </c>
      <c r="AR410" t="s">
        <v>125</v>
      </c>
      <c r="AS410">
        <v>2</v>
      </c>
      <c r="AT410" t="s">
        <v>126</v>
      </c>
      <c r="AU410" t="s">
        <v>155</v>
      </c>
      <c r="AV410" t="s">
        <v>156</v>
      </c>
      <c r="AW410">
        <v>1</v>
      </c>
      <c r="AX410" t="s">
        <v>129</v>
      </c>
      <c r="AY410">
        <v>42360.9</v>
      </c>
      <c r="AZ410">
        <v>3794321</v>
      </c>
      <c r="BA410">
        <v>51821.04</v>
      </c>
      <c r="BB410">
        <v>89.571299999999994</v>
      </c>
      <c r="BC410" t="s">
        <v>130</v>
      </c>
      <c r="BD410" t="s">
        <v>112</v>
      </c>
      <c r="BE410" t="s">
        <v>157</v>
      </c>
      <c r="BF410" t="s">
        <v>133</v>
      </c>
      <c r="BG410" t="s">
        <v>134</v>
      </c>
      <c r="BH410" t="s">
        <v>112</v>
      </c>
      <c r="BI410" t="s">
        <v>112</v>
      </c>
      <c r="BJ410" t="s">
        <v>112</v>
      </c>
      <c r="BK410" t="s">
        <v>169</v>
      </c>
      <c r="BL410" t="s">
        <v>159</v>
      </c>
      <c r="BM410" t="s">
        <v>722</v>
      </c>
      <c r="BN410" t="s">
        <v>161</v>
      </c>
      <c r="BO410">
        <v>1</v>
      </c>
      <c r="BP410" t="s">
        <v>232</v>
      </c>
      <c r="BR410" t="s">
        <v>150</v>
      </c>
      <c r="BS410">
        <v>33</v>
      </c>
      <c r="BT410">
        <v>0</v>
      </c>
      <c r="BU410">
        <v>0</v>
      </c>
      <c r="BW410">
        <v>0</v>
      </c>
      <c r="BY410" t="s">
        <v>106</v>
      </c>
      <c r="BZ410" t="s">
        <v>142</v>
      </c>
      <c r="CA410" t="s">
        <v>112</v>
      </c>
      <c r="CB410" t="s">
        <v>112</v>
      </c>
      <c r="CC410" t="s">
        <v>121</v>
      </c>
      <c r="CD410">
        <v>16400.509999999998</v>
      </c>
      <c r="CE410" t="s">
        <v>144</v>
      </c>
      <c r="CF410">
        <v>4000000</v>
      </c>
      <c r="CG410">
        <v>16400.509999999998</v>
      </c>
      <c r="CH410">
        <v>0</v>
      </c>
      <c r="CI410" t="s">
        <v>112</v>
      </c>
      <c r="CJ410" t="s">
        <v>112</v>
      </c>
      <c r="CK410">
        <v>42360.9</v>
      </c>
      <c r="CL410">
        <v>3794321</v>
      </c>
      <c r="CM410">
        <v>0</v>
      </c>
      <c r="CN410">
        <v>1</v>
      </c>
      <c r="CO410">
        <v>4228741.6900000004</v>
      </c>
      <c r="CP410">
        <v>51821.04</v>
      </c>
      <c r="CQ410" t="s">
        <v>145</v>
      </c>
      <c r="CR410">
        <v>51820.691446999997</v>
      </c>
      <c r="CS410">
        <v>3.1597</v>
      </c>
      <c r="CT410">
        <v>45</v>
      </c>
      <c r="CU410" t="s">
        <v>171</v>
      </c>
      <c r="CV410" t="s">
        <v>350</v>
      </c>
      <c r="CW410">
        <v>129</v>
      </c>
    </row>
    <row r="411" spans="1:101" x14ac:dyDescent="0.2">
      <c r="A411" t="s">
        <v>106</v>
      </c>
      <c r="B411" s="46">
        <v>44914</v>
      </c>
      <c r="C411" t="s">
        <v>270</v>
      </c>
      <c r="D411" t="s">
        <v>108</v>
      </c>
      <c r="E411" t="s">
        <v>271</v>
      </c>
      <c r="F411" t="s">
        <v>110</v>
      </c>
      <c r="G411" t="s">
        <v>111</v>
      </c>
      <c r="H411" t="s">
        <v>112</v>
      </c>
      <c r="I411" t="s">
        <v>112</v>
      </c>
      <c r="J411" t="s">
        <v>112</v>
      </c>
      <c r="K411" t="s">
        <v>175</v>
      </c>
      <c r="L411" t="s">
        <v>176</v>
      </c>
      <c r="M411" t="s">
        <v>112</v>
      </c>
      <c r="N411" t="s">
        <v>112</v>
      </c>
      <c r="O411">
        <v>1</v>
      </c>
      <c r="P411">
        <v>0</v>
      </c>
      <c r="Q411">
        <v>1</v>
      </c>
      <c r="R411">
        <v>33</v>
      </c>
      <c r="S411" t="s">
        <v>166</v>
      </c>
      <c r="T411" t="s">
        <v>152</v>
      </c>
      <c r="U411" t="s">
        <v>153</v>
      </c>
      <c r="V411" t="s">
        <v>177</v>
      </c>
      <c r="W411" t="s">
        <v>119</v>
      </c>
      <c r="X411" t="s">
        <v>112</v>
      </c>
      <c r="Y411" t="s">
        <v>166</v>
      </c>
      <c r="Z411" t="s">
        <v>152</v>
      </c>
      <c r="AA411" t="s">
        <v>153</v>
      </c>
      <c r="AB411" t="s">
        <v>177</v>
      </c>
      <c r="AC411" t="s">
        <v>119</v>
      </c>
      <c r="AD411" t="s">
        <v>112</v>
      </c>
      <c r="AE411" t="s">
        <v>121</v>
      </c>
      <c r="AF411" t="s">
        <v>122</v>
      </c>
      <c r="AG411">
        <v>3432080.72</v>
      </c>
      <c r="AH411" t="s">
        <v>166</v>
      </c>
      <c r="AI411" t="s">
        <v>152</v>
      </c>
      <c r="AJ411" t="s">
        <v>153</v>
      </c>
      <c r="AK411" t="s">
        <v>177</v>
      </c>
      <c r="AL411" t="s">
        <v>119</v>
      </c>
      <c r="AM411" t="s">
        <v>112</v>
      </c>
      <c r="AN411" t="s">
        <v>121</v>
      </c>
      <c r="AO411" t="s">
        <v>122</v>
      </c>
      <c r="AP411" t="s">
        <v>122</v>
      </c>
      <c r="AQ411" t="s">
        <v>124</v>
      </c>
      <c r="AR411" t="s">
        <v>125</v>
      </c>
      <c r="AS411">
        <v>2</v>
      </c>
      <c r="AT411" t="s">
        <v>106</v>
      </c>
      <c r="AU411" t="s">
        <v>155</v>
      </c>
      <c r="AV411" t="s">
        <v>156</v>
      </c>
      <c r="AW411">
        <v>1</v>
      </c>
      <c r="AX411" t="s">
        <v>129</v>
      </c>
      <c r="AY411">
        <v>42565.08</v>
      </c>
      <c r="AZ411">
        <v>3174853</v>
      </c>
      <c r="BA411">
        <v>49832.160000000003</v>
      </c>
      <c r="BB411">
        <v>74.588200000000001</v>
      </c>
      <c r="BC411" t="s">
        <v>130</v>
      </c>
      <c r="BD411" t="s">
        <v>112</v>
      </c>
      <c r="BE411" t="s">
        <v>157</v>
      </c>
      <c r="BF411" t="s">
        <v>133</v>
      </c>
      <c r="BG411" t="s">
        <v>134</v>
      </c>
      <c r="BH411" t="s">
        <v>112</v>
      </c>
      <c r="BI411" t="s">
        <v>178</v>
      </c>
      <c r="BJ411" t="s">
        <v>112</v>
      </c>
      <c r="BK411" t="s">
        <v>125</v>
      </c>
      <c r="BL411" t="s">
        <v>179</v>
      </c>
      <c r="BM411" t="s">
        <v>180</v>
      </c>
      <c r="BN411" t="s">
        <v>181</v>
      </c>
      <c r="BO411">
        <v>1</v>
      </c>
      <c r="BP411" t="s">
        <v>199</v>
      </c>
      <c r="BR411" t="s">
        <v>150</v>
      </c>
      <c r="BS411">
        <v>33</v>
      </c>
      <c r="BT411">
        <v>1</v>
      </c>
      <c r="BU411">
        <v>0</v>
      </c>
      <c r="BW411">
        <v>0</v>
      </c>
      <c r="BY411" t="s">
        <v>106</v>
      </c>
      <c r="BZ411" t="s">
        <v>142</v>
      </c>
      <c r="CA411" t="s">
        <v>112</v>
      </c>
      <c r="CB411" t="s">
        <v>112</v>
      </c>
      <c r="CC411" t="s">
        <v>121</v>
      </c>
      <c r="CD411">
        <v>17139.62</v>
      </c>
      <c r="CE411" t="s">
        <v>144</v>
      </c>
      <c r="CF411">
        <v>4000000</v>
      </c>
      <c r="CG411">
        <v>17139.62</v>
      </c>
      <c r="CH411">
        <v>0</v>
      </c>
      <c r="CI411" t="s">
        <v>112</v>
      </c>
      <c r="CJ411" t="s">
        <v>112</v>
      </c>
      <c r="CK411">
        <v>42565.08</v>
      </c>
      <c r="CL411">
        <v>3174853</v>
      </c>
      <c r="CM411">
        <v>0</v>
      </c>
      <c r="CN411">
        <v>1</v>
      </c>
      <c r="CO411">
        <v>3432080.72</v>
      </c>
      <c r="CP411">
        <v>49832.160000000003</v>
      </c>
      <c r="CQ411" t="s">
        <v>145</v>
      </c>
      <c r="CR411">
        <v>49831.731187999998</v>
      </c>
      <c r="CS411">
        <v>2.9074</v>
      </c>
      <c r="CT411">
        <v>941</v>
      </c>
      <c r="CU411" t="s">
        <v>183</v>
      </c>
      <c r="CV411" t="s">
        <v>147</v>
      </c>
      <c r="CW411">
        <v>549</v>
      </c>
    </row>
    <row r="412" spans="1:101" x14ac:dyDescent="0.2">
      <c r="A412" t="s">
        <v>106</v>
      </c>
      <c r="B412" s="46">
        <v>45202</v>
      </c>
      <c r="C412" t="s">
        <v>626</v>
      </c>
      <c r="D412" t="s">
        <v>108</v>
      </c>
      <c r="E412" t="s">
        <v>627</v>
      </c>
      <c r="F412" t="s">
        <v>110</v>
      </c>
      <c r="G412" t="s">
        <v>111</v>
      </c>
      <c r="H412" t="s">
        <v>112</v>
      </c>
      <c r="I412" t="s">
        <v>112</v>
      </c>
      <c r="J412" t="s">
        <v>112</v>
      </c>
      <c r="K412" t="s">
        <v>150</v>
      </c>
      <c r="L412" t="s">
        <v>151</v>
      </c>
      <c r="M412" t="s">
        <v>112</v>
      </c>
      <c r="N412" t="s">
        <v>112</v>
      </c>
      <c r="O412">
        <v>1</v>
      </c>
      <c r="Q412">
        <v>1</v>
      </c>
      <c r="R412">
        <v>33</v>
      </c>
      <c r="S412" t="s">
        <v>112</v>
      </c>
      <c r="T412" t="s">
        <v>152</v>
      </c>
      <c r="U412" t="s">
        <v>153</v>
      </c>
      <c r="V412" t="s">
        <v>154</v>
      </c>
      <c r="W412" t="s">
        <v>119</v>
      </c>
      <c r="X412" t="s">
        <v>112</v>
      </c>
      <c r="Y412" t="s">
        <v>112</v>
      </c>
      <c r="Z412" t="s">
        <v>152</v>
      </c>
      <c r="AA412" t="s">
        <v>153</v>
      </c>
      <c r="AB412" t="s">
        <v>154</v>
      </c>
      <c r="AC412" t="s">
        <v>119</v>
      </c>
      <c r="AD412" t="s">
        <v>112</v>
      </c>
      <c r="AE412" t="s">
        <v>121</v>
      </c>
      <c r="AF412" t="s">
        <v>122</v>
      </c>
      <c r="AG412">
        <v>4150671.59</v>
      </c>
      <c r="AH412" t="s">
        <v>112</v>
      </c>
      <c r="AI412" t="s">
        <v>152</v>
      </c>
      <c r="AJ412" t="s">
        <v>153</v>
      </c>
      <c r="AK412" t="s">
        <v>154</v>
      </c>
      <c r="AL412" t="s">
        <v>119</v>
      </c>
      <c r="AM412" t="s">
        <v>112</v>
      </c>
      <c r="AN412" t="s">
        <v>121</v>
      </c>
      <c r="AO412" t="s">
        <v>122</v>
      </c>
      <c r="AP412" t="s">
        <v>122</v>
      </c>
      <c r="AQ412" t="s">
        <v>124</v>
      </c>
      <c r="AR412" t="s">
        <v>125</v>
      </c>
      <c r="AS412">
        <v>2</v>
      </c>
      <c r="AT412" t="s">
        <v>126</v>
      </c>
      <c r="AU412" t="s">
        <v>155</v>
      </c>
      <c r="AV412" t="s">
        <v>156</v>
      </c>
      <c r="AX412" t="s">
        <v>129</v>
      </c>
      <c r="AY412">
        <v>37483.65</v>
      </c>
      <c r="BB412">
        <v>98.418599999999998</v>
      </c>
      <c r="BC412" t="s">
        <v>112</v>
      </c>
      <c r="BD412" t="s">
        <v>112</v>
      </c>
      <c r="BE412" t="s">
        <v>157</v>
      </c>
      <c r="BF412" t="s">
        <v>133</v>
      </c>
      <c r="BG412" t="s">
        <v>134</v>
      </c>
      <c r="BH412" t="s">
        <v>112</v>
      </c>
      <c r="BI412" t="s">
        <v>112</v>
      </c>
      <c r="BJ412" t="s">
        <v>112</v>
      </c>
      <c r="BK412" t="s">
        <v>158</v>
      </c>
      <c r="BL412" t="s">
        <v>159</v>
      </c>
      <c r="BM412" t="s">
        <v>212</v>
      </c>
      <c r="BN412" t="s">
        <v>161</v>
      </c>
      <c r="BP412" t="s">
        <v>205</v>
      </c>
      <c r="BR412" t="s">
        <v>150</v>
      </c>
      <c r="BS412">
        <v>33</v>
      </c>
      <c r="BT412">
        <v>0</v>
      </c>
      <c r="BU412">
        <v>0</v>
      </c>
      <c r="BW412">
        <v>0</v>
      </c>
      <c r="BY412" t="s">
        <v>106</v>
      </c>
      <c r="BZ412" t="s">
        <v>142</v>
      </c>
      <c r="CA412" t="s">
        <v>112</v>
      </c>
      <c r="CB412" t="s">
        <v>112</v>
      </c>
      <c r="CC412" t="s">
        <v>121</v>
      </c>
      <c r="CD412">
        <v>16562.259999999998</v>
      </c>
      <c r="CE412" t="s">
        <v>144</v>
      </c>
      <c r="CF412">
        <v>4000000</v>
      </c>
      <c r="CG412">
        <v>16461.46</v>
      </c>
      <c r="CH412">
        <v>0</v>
      </c>
      <c r="CI412" t="s">
        <v>112</v>
      </c>
      <c r="CJ412" t="s">
        <v>112</v>
      </c>
      <c r="CK412">
        <v>37483.65</v>
      </c>
      <c r="CM412">
        <v>0</v>
      </c>
      <c r="CN412">
        <v>1</v>
      </c>
      <c r="CO412">
        <v>4150671.59</v>
      </c>
      <c r="CP412">
        <v>46274.57</v>
      </c>
      <c r="CQ412" t="s">
        <v>145</v>
      </c>
      <c r="CR412">
        <v>46256.702599999997</v>
      </c>
      <c r="CS412">
        <v>2.81</v>
      </c>
      <c r="CT412">
        <v>45</v>
      </c>
      <c r="CV412" t="s">
        <v>233</v>
      </c>
      <c r="CW412">
        <v>317</v>
      </c>
    </row>
    <row r="413" spans="1:101" x14ac:dyDescent="0.2">
      <c r="A413" t="s">
        <v>106</v>
      </c>
      <c r="B413" s="46">
        <v>45214</v>
      </c>
      <c r="C413" t="s">
        <v>679</v>
      </c>
      <c r="D413" t="s">
        <v>108</v>
      </c>
      <c r="E413" t="s">
        <v>680</v>
      </c>
      <c r="F413" t="s">
        <v>110</v>
      </c>
      <c r="G413" t="s">
        <v>111</v>
      </c>
      <c r="H413" t="s">
        <v>112</v>
      </c>
      <c r="I413" t="s">
        <v>112</v>
      </c>
      <c r="J413" t="s">
        <v>112</v>
      </c>
      <c r="K413" t="s">
        <v>150</v>
      </c>
      <c r="L413" t="s">
        <v>151</v>
      </c>
      <c r="M413" t="s">
        <v>112</v>
      </c>
      <c r="N413" t="s">
        <v>112</v>
      </c>
      <c r="O413">
        <v>1</v>
      </c>
      <c r="Q413">
        <v>1</v>
      </c>
      <c r="R413">
        <v>33</v>
      </c>
      <c r="S413" t="s">
        <v>112</v>
      </c>
      <c r="T413" t="s">
        <v>152</v>
      </c>
      <c r="U413" t="s">
        <v>153</v>
      </c>
      <c r="V413" t="s">
        <v>154</v>
      </c>
      <c r="W413" t="s">
        <v>119</v>
      </c>
      <c r="X413" t="s">
        <v>112</v>
      </c>
      <c r="Y413" t="s">
        <v>112</v>
      </c>
      <c r="Z413" t="s">
        <v>152</v>
      </c>
      <c r="AA413" t="s">
        <v>153</v>
      </c>
      <c r="AB413" t="s">
        <v>154</v>
      </c>
      <c r="AC413" t="s">
        <v>119</v>
      </c>
      <c r="AD413" t="s">
        <v>112</v>
      </c>
      <c r="AE413" t="s">
        <v>121</v>
      </c>
      <c r="AF413" t="s">
        <v>122</v>
      </c>
      <c r="AG413">
        <v>4556682.76</v>
      </c>
      <c r="AH413" t="s">
        <v>112</v>
      </c>
      <c r="AI413" t="s">
        <v>152</v>
      </c>
      <c r="AJ413" t="s">
        <v>153</v>
      </c>
      <c r="AK413" t="s">
        <v>154</v>
      </c>
      <c r="AL413" t="s">
        <v>119</v>
      </c>
      <c r="AM413" t="s">
        <v>112</v>
      </c>
      <c r="AN413" t="s">
        <v>121</v>
      </c>
      <c r="AO413" t="s">
        <v>122</v>
      </c>
      <c r="AP413" t="s">
        <v>122</v>
      </c>
      <c r="AQ413" t="s">
        <v>124</v>
      </c>
      <c r="AR413" t="s">
        <v>125</v>
      </c>
      <c r="AS413">
        <v>2</v>
      </c>
      <c r="AT413" t="s">
        <v>126</v>
      </c>
      <c r="AU413" t="s">
        <v>155</v>
      </c>
      <c r="AV413" t="s">
        <v>156</v>
      </c>
      <c r="AX413" t="s">
        <v>129</v>
      </c>
      <c r="AY413">
        <v>42309</v>
      </c>
      <c r="BB413">
        <v>98.418599999999998</v>
      </c>
      <c r="BC413" t="s">
        <v>112</v>
      </c>
      <c r="BD413" t="s">
        <v>112</v>
      </c>
      <c r="BE413" t="s">
        <v>157</v>
      </c>
      <c r="BF413" t="s">
        <v>133</v>
      </c>
      <c r="BG413" t="s">
        <v>167</v>
      </c>
      <c r="BH413" t="s">
        <v>112</v>
      </c>
      <c r="BI413" t="s">
        <v>112</v>
      </c>
      <c r="BJ413" t="s">
        <v>112</v>
      </c>
      <c r="BK413" t="s">
        <v>158</v>
      </c>
      <c r="BL413" t="s">
        <v>159</v>
      </c>
      <c r="BM413" t="s">
        <v>160</v>
      </c>
      <c r="BN413" t="s">
        <v>161</v>
      </c>
      <c r="BP413" t="s">
        <v>232</v>
      </c>
      <c r="BR413" t="s">
        <v>150</v>
      </c>
      <c r="BS413">
        <v>33</v>
      </c>
      <c r="BT413">
        <v>0</v>
      </c>
      <c r="BU413">
        <v>0</v>
      </c>
      <c r="BW413">
        <v>0</v>
      </c>
      <c r="BY413" t="s">
        <v>106</v>
      </c>
      <c r="BZ413" t="s">
        <v>142</v>
      </c>
      <c r="CA413" t="s">
        <v>112</v>
      </c>
      <c r="CB413" t="s">
        <v>112</v>
      </c>
      <c r="CC413" t="s">
        <v>121</v>
      </c>
      <c r="CD413">
        <v>16664.580000000002</v>
      </c>
      <c r="CE413" t="s">
        <v>144</v>
      </c>
      <c r="CF413">
        <v>4000000</v>
      </c>
      <c r="CG413">
        <v>16560.18</v>
      </c>
      <c r="CH413">
        <v>0</v>
      </c>
      <c r="CI413" t="s">
        <v>112</v>
      </c>
      <c r="CJ413" t="s">
        <v>112</v>
      </c>
      <c r="CK413">
        <v>42309</v>
      </c>
      <c r="CM413">
        <v>0</v>
      </c>
      <c r="CN413">
        <v>1</v>
      </c>
      <c r="CO413">
        <v>4556682.76</v>
      </c>
      <c r="CP413">
        <v>50801.06</v>
      </c>
      <c r="CQ413" t="s">
        <v>145</v>
      </c>
      <c r="CR413">
        <v>50839.7526</v>
      </c>
      <c r="CS413">
        <v>3.07</v>
      </c>
      <c r="CT413">
        <v>45</v>
      </c>
      <c r="CV413" t="s">
        <v>163</v>
      </c>
      <c r="CW413">
        <v>163</v>
      </c>
    </row>
    <row r="414" spans="1:101" x14ac:dyDescent="0.2">
      <c r="A414" t="s">
        <v>106</v>
      </c>
      <c r="B414" s="46">
        <v>44695</v>
      </c>
      <c r="C414" t="s">
        <v>572</v>
      </c>
      <c r="D414" t="s">
        <v>108</v>
      </c>
      <c r="E414" t="s">
        <v>573</v>
      </c>
      <c r="F414" t="s">
        <v>110</v>
      </c>
      <c r="G414" t="s">
        <v>111</v>
      </c>
      <c r="H414" t="s">
        <v>112</v>
      </c>
      <c r="I414" t="s">
        <v>112</v>
      </c>
      <c r="J414" t="s">
        <v>112</v>
      </c>
      <c r="K414" t="s">
        <v>150</v>
      </c>
      <c r="L414" t="s">
        <v>151</v>
      </c>
      <c r="M414" t="s">
        <v>112</v>
      </c>
      <c r="N414" t="s">
        <v>112</v>
      </c>
      <c r="O414">
        <v>1</v>
      </c>
      <c r="Q414">
        <v>1</v>
      </c>
      <c r="R414">
        <v>33</v>
      </c>
      <c r="S414" t="s">
        <v>112</v>
      </c>
      <c r="T414" t="s">
        <v>152</v>
      </c>
      <c r="U414" t="s">
        <v>153</v>
      </c>
      <c r="V414" t="s">
        <v>154</v>
      </c>
      <c r="W414" t="s">
        <v>119</v>
      </c>
      <c r="X414" t="s">
        <v>112</v>
      </c>
      <c r="Y414" t="s">
        <v>112</v>
      </c>
      <c r="Z414" t="s">
        <v>152</v>
      </c>
      <c r="AA414" t="s">
        <v>153</v>
      </c>
      <c r="AB414" t="s">
        <v>154</v>
      </c>
      <c r="AC414" t="s">
        <v>119</v>
      </c>
      <c r="AD414" t="s">
        <v>112</v>
      </c>
      <c r="AE414" t="s">
        <v>121</v>
      </c>
      <c r="AF414" t="s">
        <v>122</v>
      </c>
      <c r="AG414">
        <v>4668259.93</v>
      </c>
      <c r="AH414" t="s">
        <v>112</v>
      </c>
      <c r="AI414" t="s">
        <v>152</v>
      </c>
      <c r="AJ414" t="s">
        <v>153</v>
      </c>
      <c r="AK414" t="s">
        <v>154</v>
      </c>
      <c r="AL414" t="s">
        <v>119</v>
      </c>
      <c r="AM414" t="s">
        <v>112</v>
      </c>
      <c r="AN414" t="s">
        <v>121</v>
      </c>
      <c r="AO414" t="s">
        <v>122</v>
      </c>
      <c r="AP414" t="s">
        <v>122</v>
      </c>
      <c r="AQ414" t="s">
        <v>124</v>
      </c>
      <c r="AR414" t="s">
        <v>125</v>
      </c>
      <c r="AS414">
        <v>2</v>
      </c>
      <c r="AT414" t="s">
        <v>126</v>
      </c>
      <c r="AU414" t="s">
        <v>155</v>
      </c>
      <c r="AV414" t="s">
        <v>156</v>
      </c>
      <c r="AX414" t="s">
        <v>129</v>
      </c>
      <c r="AY414">
        <v>42912.7</v>
      </c>
      <c r="BB414">
        <v>98.418599999999998</v>
      </c>
      <c r="BC414" t="s">
        <v>112</v>
      </c>
      <c r="BD414" t="s">
        <v>112</v>
      </c>
      <c r="BE414" t="s">
        <v>157</v>
      </c>
      <c r="BF414" t="s">
        <v>133</v>
      </c>
      <c r="BG414" t="s">
        <v>167</v>
      </c>
      <c r="BH414" t="s">
        <v>112</v>
      </c>
      <c r="BI414" t="s">
        <v>112</v>
      </c>
      <c r="BJ414" t="s">
        <v>112</v>
      </c>
      <c r="BK414" t="s">
        <v>158</v>
      </c>
      <c r="BL414" t="s">
        <v>159</v>
      </c>
      <c r="BM414" t="s">
        <v>160</v>
      </c>
      <c r="BN414" t="s">
        <v>161</v>
      </c>
      <c r="BP414" t="s">
        <v>232</v>
      </c>
      <c r="BR414" t="s">
        <v>150</v>
      </c>
      <c r="BS414">
        <v>33</v>
      </c>
      <c r="BT414">
        <v>0</v>
      </c>
      <c r="BU414">
        <v>0</v>
      </c>
      <c r="BW414">
        <v>0</v>
      </c>
      <c r="BY414" t="s">
        <v>106</v>
      </c>
      <c r="BZ414" t="s">
        <v>142</v>
      </c>
      <c r="CA414" t="s">
        <v>112</v>
      </c>
      <c r="CB414" t="s">
        <v>112</v>
      </c>
      <c r="CC414" t="s">
        <v>121</v>
      </c>
      <c r="CD414">
        <v>16540.919999999998</v>
      </c>
      <c r="CE414" t="s">
        <v>144</v>
      </c>
      <c r="CF414">
        <v>4000000</v>
      </c>
      <c r="CG414">
        <v>16486.919999999998</v>
      </c>
      <c r="CH414">
        <v>0</v>
      </c>
      <c r="CI414" t="s">
        <v>112</v>
      </c>
      <c r="CJ414" t="s">
        <v>112</v>
      </c>
      <c r="CK414">
        <v>42912.7</v>
      </c>
      <c r="CM414">
        <v>0</v>
      </c>
      <c r="CN414">
        <v>1</v>
      </c>
      <c r="CO414">
        <v>4668259.93</v>
      </c>
      <c r="CP414">
        <v>52045</v>
      </c>
      <c r="CQ414" t="s">
        <v>145</v>
      </c>
      <c r="CR414">
        <v>52098.667199999996</v>
      </c>
      <c r="CS414">
        <v>3.16</v>
      </c>
      <c r="CT414">
        <v>45</v>
      </c>
      <c r="CV414" t="s">
        <v>233</v>
      </c>
      <c r="CW414">
        <v>36</v>
      </c>
    </row>
    <row r="415" spans="1:101" x14ac:dyDescent="0.2">
      <c r="A415" t="s">
        <v>106</v>
      </c>
      <c r="B415" s="46">
        <v>45039</v>
      </c>
      <c r="C415" t="s">
        <v>686</v>
      </c>
      <c r="D415" t="s">
        <v>108</v>
      </c>
      <c r="E415" t="s">
        <v>687</v>
      </c>
      <c r="F415" t="s">
        <v>110</v>
      </c>
      <c r="G415" t="s">
        <v>111</v>
      </c>
      <c r="H415" t="s">
        <v>112</v>
      </c>
      <c r="I415" t="s">
        <v>112</v>
      </c>
      <c r="J415" t="s">
        <v>112</v>
      </c>
      <c r="K415" t="s">
        <v>150</v>
      </c>
      <c r="L415" t="s">
        <v>151</v>
      </c>
      <c r="M415" t="s">
        <v>112</v>
      </c>
      <c r="N415" t="s">
        <v>112</v>
      </c>
      <c r="O415">
        <v>1</v>
      </c>
      <c r="Q415">
        <v>1</v>
      </c>
      <c r="R415">
        <v>33</v>
      </c>
      <c r="S415" t="s">
        <v>112</v>
      </c>
      <c r="T415" t="s">
        <v>152</v>
      </c>
      <c r="U415" t="s">
        <v>153</v>
      </c>
      <c r="V415" t="s">
        <v>154</v>
      </c>
      <c r="W415" t="s">
        <v>119</v>
      </c>
      <c r="X415" t="s">
        <v>112</v>
      </c>
      <c r="Y415" t="s">
        <v>112</v>
      </c>
      <c r="Z415" t="s">
        <v>152</v>
      </c>
      <c r="AA415" t="s">
        <v>153</v>
      </c>
      <c r="AB415" t="s">
        <v>154</v>
      </c>
      <c r="AC415" t="s">
        <v>119</v>
      </c>
      <c r="AD415" t="s">
        <v>112</v>
      </c>
      <c r="AE415" t="s">
        <v>121</v>
      </c>
      <c r="AF415" t="s">
        <v>122</v>
      </c>
      <c r="AG415">
        <v>4274457.58</v>
      </c>
      <c r="AH415" t="s">
        <v>112</v>
      </c>
      <c r="AI415" t="s">
        <v>152</v>
      </c>
      <c r="AJ415" t="s">
        <v>153</v>
      </c>
      <c r="AK415" t="s">
        <v>154</v>
      </c>
      <c r="AL415" t="s">
        <v>119</v>
      </c>
      <c r="AM415" t="s">
        <v>112</v>
      </c>
      <c r="AN415" t="s">
        <v>121</v>
      </c>
      <c r="AO415" t="s">
        <v>122</v>
      </c>
      <c r="AP415" t="s">
        <v>122</v>
      </c>
      <c r="AQ415" t="s">
        <v>124</v>
      </c>
      <c r="AR415" t="s">
        <v>125</v>
      </c>
      <c r="AS415">
        <v>2</v>
      </c>
      <c r="AT415" t="s">
        <v>126</v>
      </c>
      <c r="AU415" t="s">
        <v>155</v>
      </c>
      <c r="AV415" t="s">
        <v>156</v>
      </c>
      <c r="AX415" t="s">
        <v>129</v>
      </c>
      <c r="AY415">
        <v>39441.4</v>
      </c>
      <c r="BB415">
        <v>98.418599999999998</v>
      </c>
      <c r="BC415" t="s">
        <v>112</v>
      </c>
      <c r="BD415" t="s">
        <v>112</v>
      </c>
      <c r="BE415" t="s">
        <v>157</v>
      </c>
      <c r="BF415" t="s">
        <v>133</v>
      </c>
      <c r="BG415" t="s">
        <v>167</v>
      </c>
      <c r="BH415" t="s">
        <v>112</v>
      </c>
      <c r="BI415" t="s">
        <v>112</v>
      </c>
      <c r="BJ415" t="s">
        <v>112</v>
      </c>
      <c r="BK415" t="s">
        <v>158</v>
      </c>
      <c r="BL415" t="s">
        <v>159</v>
      </c>
      <c r="BM415" t="s">
        <v>160</v>
      </c>
      <c r="BN415" t="s">
        <v>161</v>
      </c>
      <c r="BP415" t="s">
        <v>616</v>
      </c>
      <c r="BR415" t="s">
        <v>150</v>
      </c>
      <c r="BS415">
        <v>33</v>
      </c>
      <c r="BT415">
        <v>0</v>
      </c>
      <c r="BU415">
        <v>0</v>
      </c>
      <c r="BW415">
        <v>0</v>
      </c>
      <c r="BY415" t="s">
        <v>106</v>
      </c>
      <c r="BZ415" t="s">
        <v>142</v>
      </c>
      <c r="CA415" t="s">
        <v>112</v>
      </c>
      <c r="CB415" t="s">
        <v>112</v>
      </c>
      <c r="CC415" t="s">
        <v>121</v>
      </c>
      <c r="CD415">
        <v>15900.36</v>
      </c>
      <c r="CE415" t="s">
        <v>144</v>
      </c>
      <c r="CF415">
        <v>4000000</v>
      </c>
      <c r="CG415">
        <v>15619.56</v>
      </c>
      <c r="CH415">
        <v>0</v>
      </c>
      <c r="CI415" t="s">
        <v>112</v>
      </c>
      <c r="CJ415" t="s">
        <v>112</v>
      </c>
      <c r="CK415">
        <v>39441.4</v>
      </c>
      <c r="CM415">
        <v>0</v>
      </c>
      <c r="CN415">
        <v>1</v>
      </c>
      <c r="CO415">
        <v>4274457.58</v>
      </c>
      <c r="CP415">
        <v>47654.62</v>
      </c>
      <c r="CQ415" t="s">
        <v>145</v>
      </c>
      <c r="CR415">
        <v>47639.657999999996</v>
      </c>
      <c r="CS415">
        <v>3.05</v>
      </c>
      <c r="CT415">
        <v>45</v>
      </c>
      <c r="CV415" t="s">
        <v>163</v>
      </c>
      <c r="CW415">
        <v>52</v>
      </c>
    </row>
    <row r="416" spans="1:101" x14ac:dyDescent="0.2">
      <c r="A416" t="s">
        <v>106</v>
      </c>
      <c r="B416" s="46">
        <v>45138</v>
      </c>
      <c r="C416" t="s">
        <v>688</v>
      </c>
      <c r="D416" t="s">
        <v>108</v>
      </c>
      <c r="E416" t="s">
        <v>689</v>
      </c>
      <c r="F416" t="s">
        <v>110</v>
      </c>
      <c r="G416" t="s">
        <v>111</v>
      </c>
      <c r="H416" t="s">
        <v>112</v>
      </c>
      <c r="I416" t="s">
        <v>112</v>
      </c>
      <c r="J416" t="s">
        <v>112</v>
      </c>
      <c r="K416" t="s">
        <v>150</v>
      </c>
      <c r="L416" t="s">
        <v>151</v>
      </c>
      <c r="M416" t="s">
        <v>112</v>
      </c>
      <c r="N416" t="s">
        <v>112</v>
      </c>
      <c r="O416">
        <v>1</v>
      </c>
      <c r="Q416">
        <v>1</v>
      </c>
      <c r="R416">
        <v>33</v>
      </c>
      <c r="S416" t="s">
        <v>112</v>
      </c>
      <c r="T416" t="s">
        <v>152</v>
      </c>
      <c r="U416" t="s">
        <v>153</v>
      </c>
      <c r="V416" t="s">
        <v>154</v>
      </c>
      <c r="W416" t="s">
        <v>119</v>
      </c>
      <c r="X416" t="s">
        <v>112</v>
      </c>
      <c r="Y416" t="s">
        <v>112</v>
      </c>
      <c r="Z416" t="s">
        <v>152</v>
      </c>
      <c r="AA416" t="s">
        <v>153</v>
      </c>
      <c r="AB416" t="s">
        <v>154</v>
      </c>
      <c r="AC416" t="s">
        <v>119</v>
      </c>
      <c r="AD416" t="s">
        <v>112</v>
      </c>
      <c r="AE416" t="s">
        <v>121</v>
      </c>
      <c r="AF416" t="s">
        <v>122</v>
      </c>
      <c r="AG416">
        <v>4442556.55</v>
      </c>
      <c r="AH416" t="s">
        <v>112</v>
      </c>
      <c r="AI416" t="s">
        <v>152</v>
      </c>
      <c r="AJ416" t="s">
        <v>153</v>
      </c>
      <c r="AK416" t="s">
        <v>154</v>
      </c>
      <c r="AL416" t="s">
        <v>119</v>
      </c>
      <c r="AM416" t="s">
        <v>112</v>
      </c>
      <c r="AN416" t="s">
        <v>121</v>
      </c>
      <c r="AO416" t="s">
        <v>122</v>
      </c>
      <c r="AP416" t="s">
        <v>122</v>
      </c>
      <c r="AQ416" t="s">
        <v>124</v>
      </c>
      <c r="AR416" t="s">
        <v>125</v>
      </c>
      <c r="AS416">
        <v>2</v>
      </c>
      <c r="AT416" t="s">
        <v>126</v>
      </c>
      <c r="AU416" t="s">
        <v>155</v>
      </c>
      <c r="AV416" t="s">
        <v>156</v>
      </c>
      <c r="AX416" t="s">
        <v>129</v>
      </c>
      <c r="AY416">
        <v>41149.4</v>
      </c>
      <c r="BB416">
        <v>98.418599999999998</v>
      </c>
      <c r="BC416" t="s">
        <v>112</v>
      </c>
      <c r="BD416" t="s">
        <v>112</v>
      </c>
      <c r="BE416" t="s">
        <v>157</v>
      </c>
      <c r="BF416" t="s">
        <v>133</v>
      </c>
      <c r="BG416" t="s">
        <v>167</v>
      </c>
      <c r="BH416" t="s">
        <v>112</v>
      </c>
      <c r="BI416" t="s">
        <v>112</v>
      </c>
      <c r="BJ416" t="s">
        <v>112</v>
      </c>
      <c r="BK416" t="s">
        <v>158</v>
      </c>
      <c r="BL416" t="s">
        <v>159</v>
      </c>
      <c r="BM416" t="s">
        <v>160</v>
      </c>
      <c r="BN416" t="s">
        <v>161</v>
      </c>
      <c r="BP416" t="s">
        <v>205</v>
      </c>
      <c r="BR416" t="s">
        <v>150</v>
      </c>
      <c r="BS416">
        <v>33</v>
      </c>
      <c r="BT416">
        <v>0</v>
      </c>
      <c r="BU416">
        <v>0</v>
      </c>
      <c r="BW416">
        <v>0</v>
      </c>
      <c r="BY416" t="s">
        <v>106</v>
      </c>
      <c r="BZ416" t="s">
        <v>142</v>
      </c>
      <c r="CA416" t="s">
        <v>112</v>
      </c>
      <c r="CB416" t="s">
        <v>112</v>
      </c>
      <c r="CC416" t="s">
        <v>121</v>
      </c>
      <c r="CD416">
        <v>16526.04</v>
      </c>
      <c r="CE416" t="s">
        <v>144</v>
      </c>
      <c r="CF416">
        <v>4000000</v>
      </c>
      <c r="CG416">
        <v>16398.84</v>
      </c>
      <c r="CH416">
        <v>0</v>
      </c>
      <c r="CI416" t="s">
        <v>112</v>
      </c>
      <c r="CJ416" t="s">
        <v>112</v>
      </c>
      <c r="CK416">
        <v>41149.4</v>
      </c>
      <c r="CM416">
        <v>0</v>
      </c>
      <c r="CN416">
        <v>1</v>
      </c>
      <c r="CO416">
        <v>4442556.55</v>
      </c>
      <c r="CP416">
        <v>49528.71</v>
      </c>
      <c r="CQ416" t="s">
        <v>145</v>
      </c>
      <c r="CR416">
        <v>49524.496800000001</v>
      </c>
      <c r="CS416">
        <v>3.02</v>
      </c>
      <c r="CT416">
        <v>45</v>
      </c>
      <c r="CV416" t="s">
        <v>233</v>
      </c>
      <c r="CW416">
        <v>567</v>
      </c>
    </row>
    <row r="417" spans="1:101" x14ac:dyDescent="0.2">
      <c r="A417" t="s">
        <v>106</v>
      </c>
      <c r="B417" s="46">
        <v>45178</v>
      </c>
      <c r="C417" t="s">
        <v>654</v>
      </c>
      <c r="D417" t="s">
        <v>108</v>
      </c>
      <c r="E417" t="s">
        <v>655</v>
      </c>
      <c r="F417" t="s">
        <v>110</v>
      </c>
      <c r="G417" t="s">
        <v>111</v>
      </c>
      <c r="H417" t="s">
        <v>112</v>
      </c>
      <c r="I417" t="s">
        <v>112</v>
      </c>
      <c r="J417" t="s">
        <v>112</v>
      </c>
      <c r="K417" t="s">
        <v>150</v>
      </c>
      <c r="L417" t="s">
        <v>151</v>
      </c>
      <c r="M417" t="s">
        <v>112</v>
      </c>
      <c r="N417" t="s">
        <v>112</v>
      </c>
      <c r="O417">
        <v>1</v>
      </c>
      <c r="Q417">
        <v>1</v>
      </c>
      <c r="R417">
        <v>33</v>
      </c>
      <c r="S417" t="s">
        <v>112</v>
      </c>
      <c r="T417" t="s">
        <v>152</v>
      </c>
      <c r="U417" t="s">
        <v>153</v>
      </c>
      <c r="V417" t="s">
        <v>154</v>
      </c>
      <c r="W417" t="s">
        <v>119</v>
      </c>
      <c r="X417" t="s">
        <v>112</v>
      </c>
      <c r="Y417" t="s">
        <v>112</v>
      </c>
      <c r="Z417" t="s">
        <v>152</v>
      </c>
      <c r="AA417" t="s">
        <v>153</v>
      </c>
      <c r="AB417" t="s">
        <v>154</v>
      </c>
      <c r="AC417" t="s">
        <v>119</v>
      </c>
      <c r="AD417" t="s">
        <v>112</v>
      </c>
      <c r="AE417" t="s">
        <v>121</v>
      </c>
      <c r="AF417" t="s">
        <v>122</v>
      </c>
      <c r="AG417">
        <v>4760715.34</v>
      </c>
      <c r="AH417" t="s">
        <v>112</v>
      </c>
      <c r="AI417" t="s">
        <v>152</v>
      </c>
      <c r="AJ417" t="s">
        <v>153</v>
      </c>
      <c r="AK417" t="s">
        <v>154</v>
      </c>
      <c r="AL417" t="s">
        <v>119</v>
      </c>
      <c r="AM417" t="s">
        <v>112</v>
      </c>
      <c r="AN417" t="s">
        <v>121</v>
      </c>
      <c r="AO417" t="s">
        <v>122</v>
      </c>
      <c r="AP417" t="s">
        <v>122</v>
      </c>
      <c r="AQ417" t="s">
        <v>124</v>
      </c>
      <c r="AR417" t="s">
        <v>125</v>
      </c>
      <c r="AS417">
        <v>2</v>
      </c>
      <c r="AT417" t="s">
        <v>126</v>
      </c>
      <c r="AU417" t="s">
        <v>155</v>
      </c>
      <c r="AV417" t="s">
        <v>156</v>
      </c>
      <c r="AX417" t="s">
        <v>129</v>
      </c>
      <c r="AY417">
        <v>44382.11</v>
      </c>
      <c r="BB417">
        <v>98.418599999999998</v>
      </c>
      <c r="BC417" t="s">
        <v>112</v>
      </c>
      <c r="BD417" t="s">
        <v>112</v>
      </c>
      <c r="BE417" t="s">
        <v>157</v>
      </c>
      <c r="BF417" t="s">
        <v>133</v>
      </c>
      <c r="BG417" t="s">
        <v>167</v>
      </c>
      <c r="BH417" t="s">
        <v>112</v>
      </c>
      <c r="BI417" t="s">
        <v>112</v>
      </c>
      <c r="BJ417" t="s">
        <v>112</v>
      </c>
      <c r="BK417" t="s">
        <v>158</v>
      </c>
      <c r="BL417" t="s">
        <v>159</v>
      </c>
      <c r="BM417" t="s">
        <v>160</v>
      </c>
      <c r="BN417" t="s">
        <v>161</v>
      </c>
      <c r="BP417" t="s">
        <v>232</v>
      </c>
      <c r="BR417" t="s">
        <v>150</v>
      </c>
      <c r="BS417">
        <v>33</v>
      </c>
      <c r="BT417">
        <v>0</v>
      </c>
      <c r="BU417">
        <v>0</v>
      </c>
      <c r="BW417">
        <v>0</v>
      </c>
      <c r="BY417" t="s">
        <v>106</v>
      </c>
      <c r="BZ417" t="s">
        <v>142</v>
      </c>
      <c r="CA417" t="s">
        <v>112</v>
      </c>
      <c r="CB417" t="s">
        <v>112</v>
      </c>
      <c r="CC417" t="s">
        <v>121</v>
      </c>
      <c r="CD417">
        <v>15792.02</v>
      </c>
      <c r="CE417" t="s">
        <v>144</v>
      </c>
      <c r="CF417">
        <v>4000000</v>
      </c>
      <c r="CG417">
        <v>15540.02</v>
      </c>
      <c r="CH417">
        <v>0</v>
      </c>
      <c r="CI417" t="s">
        <v>112</v>
      </c>
      <c r="CJ417" t="s">
        <v>112</v>
      </c>
      <c r="CK417">
        <v>44382.11</v>
      </c>
      <c r="CM417">
        <v>0</v>
      </c>
      <c r="CN417">
        <v>1</v>
      </c>
      <c r="CO417">
        <v>4760715.34</v>
      </c>
      <c r="CP417">
        <v>53075.76</v>
      </c>
      <c r="CQ417" t="s">
        <v>145</v>
      </c>
      <c r="CR417">
        <v>53146.868399999999</v>
      </c>
      <c r="CS417">
        <v>3.42</v>
      </c>
      <c r="CT417">
        <v>45</v>
      </c>
      <c r="CV417" t="s">
        <v>233</v>
      </c>
      <c r="CW417">
        <v>70</v>
      </c>
    </row>
    <row r="418" spans="1:101" x14ac:dyDescent="0.2">
      <c r="A418" t="s">
        <v>106</v>
      </c>
      <c r="B418" s="46">
        <v>45125</v>
      </c>
      <c r="C418" t="s">
        <v>712</v>
      </c>
      <c r="D418" t="s">
        <v>108</v>
      </c>
      <c r="E418" t="s">
        <v>713</v>
      </c>
      <c r="F418" t="s">
        <v>110</v>
      </c>
      <c r="G418" t="s">
        <v>111</v>
      </c>
      <c r="H418" t="s">
        <v>112</v>
      </c>
      <c r="I418" t="s">
        <v>112</v>
      </c>
      <c r="J418" t="s">
        <v>112</v>
      </c>
      <c r="K418" t="s">
        <v>150</v>
      </c>
      <c r="L418" t="s">
        <v>151</v>
      </c>
      <c r="M418" t="s">
        <v>112</v>
      </c>
      <c r="N418" t="s">
        <v>112</v>
      </c>
      <c r="O418">
        <v>1</v>
      </c>
      <c r="Q418">
        <v>1</v>
      </c>
      <c r="R418">
        <v>33</v>
      </c>
      <c r="S418" t="s">
        <v>112</v>
      </c>
      <c r="T418" t="s">
        <v>152</v>
      </c>
      <c r="U418" t="s">
        <v>153</v>
      </c>
      <c r="V418" t="s">
        <v>154</v>
      </c>
      <c r="W418" t="s">
        <v>119</v>
      </c>
      <c r="X418" t="s">
        <v>112</v>
      </c>
      <c r="Y418" t="s">
        <v>112</v>
      </c>
      <c r="Z418" t="s">
        <v>152</v>
      </c>
      <c r="AA418" t="s">
        <v>153</v>
      </c>
      <c r="AB418" t="s">
        <v>154</v>
      </c>
      <c r="AC418" t="s">
        <v>119</v>
      </c>
      <c r="AD418" t="s">
        <v>112</v>
      </c>
      <c r="AE418" t="s">
        <v>121</v>
      </c>
      <c r="AF418" t="s">
        <v>122</v>
      </c>
      <c r="AG418">
        <v>5029780.97</v>
      </c>
      <c r="AH418" t="s">
        <v>112</v>
      </c>
      <c r="AI418" t="s">
        <v>152</v>
      </c>
      <c r="AJ418" t="s">
        <v>153</v>
      </c>
      <c r="AK418" t="s">
        <v>154</v>
      </c>
      <c r="AL418" t="s">
        <v>119</v>
      </c>
      <c r="AM418" t="s">
        <v>112</v>
      </c>
      <c r="AN418" t="s">
        <v>121</v>
      </c>
      <c r="AO418" t="s">
        <v>122</v>
      </c>
      <c r="AP418" t="s">
        <v>122</v>
      </c>
      <c r="AQ418" t="s">
        <v>124</v>
      </c>
      <c r="AR418" t="s">
        <v>125</v>
      </c>
      <c r="AS418">
        <v>2</v>
      </c>
      <c r="AT418" t="s">
        <v>126</v>
      </c>
      <c r="AU418" t="s">
        <v>155</v>
      </c>
      <c r="AV418" t="s">
        <v>156</v>
      </c>
      <c r="AX418" t="s">
        <v>129</v>
      </c>
      <c r="AY418">
        <v>46586</v>
      </c>
      <c r="BB418">
        <v>98.418599999999998</v>
      </c>
      <c r="BC418" t="s">
        <v>112</v>
      </c>
      <c r="BD418" t="s">
        <v>112</v>
      </c>
      <c r="BE418" t="s">
        <v>157</v>
      </c>
      <c r="BF418" t="s">
        <v>133</v>
      </c>
      <c r="BG418" t="s">
        <v>167</v>
      </c>
      <c r="BH418" t="s">
        <v>112</v>
      </c>
      <c r="BI418" t="s">
        <v>112</v>
      </c>
      <c r="BJ418" t="s">
        <v>112</v>
      </c>
      <c r="BK418" t="s">
        <v>158</v>
      </c>
      <c r="BL418" t="s">
        <v>159</v>
      </c>
      <c r="BM418" t="s">
        <v>160</v>
      </c>
      <c r="BN418" t="s">
        <v>161</v>
      </c>
      <c r="BP418" t="s">
        <v>162</v>
      </c>
      <c r="BR418" t="s">
        <v>150</v>
      </c>
      <c r="BS418">
        <v>33</v>
      </c>
      <c r="BT418">
        <v>0</v>
      </c>
      <c r="BU418">
        <v>0</v>
      </c>
      <c r="BW418">
        <v>0</v>
      </c>
      <c r="BY418" t="s">
        <v>106</v>
      </c>
      <c r="BZ418" t="s">
        <v>142</v>
      </c>
      <c r="CA418" t="s">
        <v>112</v>
      </c>
      <c r="CB418" t="s">
        <v>112</v>
      </c>
      <c r="CC418" t="s">
        <v>121</v>
      </c>
      <c r="CD418">
        <v>16329.9</v>
      </c>
      <c r="CE418" t="s">
        <v>144</v>
      </c>
      <c r="CF418">
        <v>4000000</v>
      </c>
      <c r="CG418">
        <v>16257.9</v>
      </c>
      <c r="CH418">
        <v>0</v>
      </c>
      <c r="CI418" t="s">
        <v>112</v>
      </c>
      <c r="CJ418" t="s">
        <v>112</v>
      </c>
      <c r="CK418">
        <v>46586</v>
      </c>
      <c r="CM418">
        <v>0</v>
      </c>
      <c r="CN418">
        <v>1</v>
      </c>
      <c r="CO418">
        <v>5029780.97</v>
      </c>
      <c r="CP418">
        <v>56075.49</v>
      </c>
      <c r="CQ418" t="s">
        <v>145</v>
      </c>
      <c r="CR418">
        <v>56089.755000000005</v>
      </c>
      <c r="CS418">
        <v>3.45</v>
      </c>
      <c r="CT418">
        <v>45</v>
      </c>
      <c r="CV418" t="s">
        <v>163</v>
      </c>
      <c r="CW418">
        <v>163</v>
      </c>
    </row>
    <row r="419" spans="1:101" x14ac:dyDescent="0.2">
      <c r="A419" t="s">
        <v>106</v>
      </c>
      <c r="B419" s="46">
        <v>44655</v>
      </c>
      <c r="C419" t="s">
        <v>546</v>
      </c>
      <c r="D419" t="s">
        <v>108</v>
      </c>
      <c r="E419" t="s">
        <v>547</v>
      </c>
      <c r="F419" t="s">
        <v>110</v>
      </c>
      <c r="G419" t="s">
        <v>111</v>
      </c>
      <c r="H419" t="s">
        <v>112</v>
      </c>
      <c r="I419" t="s">
        <v>112</v>
      </c>
      <c r="J419" t="s">
        <v>112</v>
      </c>
      <c r="K419" t="s">
        <v>150</v>
      </c>
      <c r="L419" t="s">
        <v>151</v>
      </c>
      <c r="M419" t="s">
        <v>112</v>
      </c>
      <c r="N419" t="s">
        <v>112</v>
      </c>
      <c r="O419">
        <v>1</v>
      </c>
      <c r="Q419">
        <v>1</v>
      </c>
      <c r="R419">
        <v>33</v>
      </c>
      <c r="S419" t="s">
        <v>112</v>
      </c>
      <c r="T419" t="s">
        <v>152</v>
      </c>
      <c r="U419" t="s">
        <v>153</v>
      </c>
      <c r="V419" t="s">
        <v>154</v>
      </c>
      <c r="W419" t="s">
        <v>119</v>
      </c>
      <c r="X419" t="s">
        <v>112</v>
      </c>
      <c r="Y419" t="s">
        <v>112</v>
      </c>
      <c r="Z419" t="s">
        <v>152</v>
      </c>
      <c r="AA419" t="s">
        <v>153</v>
      </c>
      <c r="AB419" t="s">
        <v>154</v>
      </c>
      <c r="AC419" t="s">
        <v>119</v>
      </c>
      <c r="AD419" t="s">
        <v>112</v>
      </c>
      <c r="AE419" t="s">
        <v>121</v>
      </c>
      <c r="AF419" t="s">
        <v>122</v>
      </c>
      <c r="AG419">
        <v>4110527.62</v>
      </c>
      <c r="AH419" t="s">
        <v>112</v>
      </c>
      <c r="AI419" t="s">
        <v>152</v>
      </c>
      <c r="AJ419" t="s">
        <v>153</v>
      </c>
      <c r="AK419" t="s">
        <v>154</v>
      </c>
      <c r="AL419" t="s">
        <v>119</v>
      </c>
      <c r="AM419" t="s">
        <v>112</v>
      </c>
      <c r="AN419" t="s">
        <v>121</v>
      </c>
      <c r="AO419" t="s">
        <v>122</v>
      </c>
      <c r="AP419" t="s">
        <v>122</v>
      </c>
      <c r="AQ419" t="s">
        <v>124</v>
      </c>
      <c r="AR419" t="s">
        <v>125</v>
      </c>
      <c r="AS419">
        <v>2</v>
      </c>
      <c r="AT419" t="s">
        <v>126</v>
      </c>
      <c r="AU419" t="s">
        <v>155</v>
      </c>
      <c r="AV419" t="s">
        <v>156</v>
      </c>
      <c r="AX419" t="s">
        <v>129</v>
      </c>
      <c r="AY419">
        <v>37775.760000000002</v>
      </c>
      <c r="BB419">
        <v>98.418599999999998</v>
      </c>
      <c r="BC419" t="s">
        <v>112</v>
      </c>
      <c r="BD419" t="s">
        <v>112</v>
      </c>
      <c r="BE419" t="s">
        <v>157</v>
      </c>
      <c r="BF419" t="s">
        <v>133</v>
      </c>
      <c r="BG419" t="s">
        <v>167</v>
      </c>
      <c r="BH419" t="s">
        <v>112</v>
      </c>
      <c r="BI419" t="s">
        <v>112</v>
      </c>
      <c r="BJ419" t="s">
        <v>112</v>
      </c>
      <c r="BK419" t="s">
        <v>158</v>
      </c>
      <c r="BL419" t="s">
        <v>159</v>
      </c>
      <c r="BM419" t="s">
        <v>160</v>
      </c>
      <c r="BN419" t="s">
        <v>161</v>
      </c>
      <c r="BP419" t="s">
        <v>213</v>
      </c>
      <c r="BR419" t="s">
        <v>150</v>
      </c>
      <c r="BS419">
        <v>33</v>
      </c>
      <c r="BT419">
        <v>0</v>
      </c>
      <c r="BU419">
        <v>0</v>
      </c>
      <c r="BW419">
        <v>0</v>
      </c>
      <c r="BY419" t="s">
        <v>106</v>
      </c>
      <c r="BZ419" t="s">
        <v>142</v>
      </c>
      <c r="CA419" t="s">
        <v>112</v>
      </c>
      <c r="CB419" t="s">
        <v>112</v>
      </c>
      <c r="CC419" t="s">
        <v>121</v>
      </c>
      <c r="CD419">
        <v>17353.91</v>
      </c>
      <c r="CE419" t="s">
        <v>144</v>
      </c>
      <c r="CF419">
        <v>4000000</v>
      </c>
      <c r="CG419">
        <v>17353.91</v>
      </c>
      <c r="CH419">
        <v>0</v>
      </c>
      <c r="CI419" t="s">
        <v>112</v>
      </c>
      <c r="CJ419" t="s">
        <v>112</v>
      </c>
      <c r="CK419">
        <v>37775.760000000002</v>
      </c>
      <c r="CM419">
        <v>0</v>
      </c>
      <c r="CN419">
        <v>1</v>
      </c>
      <c r="CO419">
        <v>4110527.62</v>
      </c>
      <c r="CP419">
        <v>45827.02</v>
      </c>
      <c r="CQ419" t="s">
        <v>145</v>
      </c>
      <c r="CR419">
        <v>45814.322400000005</v>
      </c>
      <c r="CS419">
        <v>2.64</v>
      </c>
      <c r="CT419">
        <v>45</v>
      </c>
      <c r="CV419" t="s">
        <v>163</v>
      </c>
      <c r="CW419">
        <v>212</v>
      </c>
    </row>
    <row r="420" spans="1:101" x14ac:dyDescent="0.2">
      <c r="A420" t="s">
        <v>106</v>
      </c>
      <c r="B420" s="46">
        <v>44888</v>
      </c>
      <c r="C420" t="s">
        <v>529</v>
      </c>
      <c r="D420" t="s">
        <v>108</v>
      </c>
      <c r="E420" t="s">
        <v>530</v>
      </c>
      <c r="F420" t="s">
        <v>110</v>
      </c>
      <c r="G420" t="s">
        <v>111</v>
      </c>
      <c r="H420" t="s">
        <v>112</v>
      </c>
      <c r="I420" t="s">
        <v>112</v>
      </c>
      <c r="J420" t="s">
        <v>112</v>
      </c>
      <c r="K420" t="s">
        <v>150</v>
      </c>
      <c r="L420" t="s">
        <v>151</v>
      </c>
      <c r="M420" t="s">
        <v>112</v>
      </c>
      <c r="N420" t="s">
        <v>112</v>
      </c>
      <c r="O420">
        <v>1</v>
      </c>
      <c r="Q420">
        <v>1</v>
      </c>
      <c r="R420">
        <v>33</v>
      </c>
      <c r="S420" t="s">
        <v>112</v>
      </c>
      <c r="T420" t="s">
        <v>152</v>
      </c>
      <c r="U420" t="s">
        <v>153</v>
      </c>
      <c r="V420" t="s">
        <v>154</v>
      </c>
      <c r="W420" t="s">
        <v>119</v>
      </c>
      <c r="X420" t="s">
        <v>112</v>
      </c>
      <c r="Y420" t="s">
        <v>112</v>
      </c>
      <c r="Z420" t="s">
        <v>152</v>
      </c>
      <c r="AA420" t="s">
        <v>153</v>
      </c>
      <c r="AB420" t="s">
        <v>154</v>
      </c>
      <c r="AC420" t="s">
        <v>119</v>
      </c>
      <c r="AD420" t="s">
        <v>112</v>
      </c>
      <c r="AE420" t="s">
        <v>121</v>
      </c>
      <c r="AF420" t="s">
        <v>122</v>
      </c>
      <c r="AG420">
        <v>4756629.99</v>
      </c>
      <c r="AH420" t="s">
        <v>112</v>
      </c>
      <c r="AI420" t="s">
        <v>152</v>
      </c>
      <c r="AJ420" t="s">
        <v>153</v>
      </c>
      <c r="AK420" t="s">
        <v>154</v>
      </c>
      <c r="AL420" t="s">
        <v>119</v>
      </c>
      <c r="AM420" t="s">
        <v>112</v>
      </c>
      <c r="AN420" t="s">
        <v>121</v>
      </c>
      <c r="AO420" t="s">
        <v>122</v>
      </c>
      <c r="AP420" t="s">
        <v>122</v>
      </c>
      <c r="AQ420" t="s">
        <v>124</v>
      </c>
      <c r="AR420" t="s">
        <v>125</v>
      </c>
      <c r="AS420">
        <v>2</v>
      </c>
      <c r="AT420" t="s">
        <v>126</v>
      </c>
      <c r="AU420" t="s">
        <v>155</v>
      </c>
      <c r="AV420" t="s">
        <v>156</v>
      </c>
      <c r="AX420" t="s">
        <v>129</v>
      </c>
      <c r="AY420">
        <v>44340.6</v>
      </c>
      <c r="BB420">
        <v>98.418599999999998</v>
      </c>
      <c r="BC420" t="s">
        <v>112</v>
      </c>
      <c r="BD420" t="s">
        <v>112</v>
      </c>
      <c r="BE420" t="s">
        <v>157</v>
      </c>
      <c r="BF420" t="s">
        <v>133</v>
      </c>
      <c r="BG420" t="s">
        <v>167</v>
      </c>
      <c r="BH420" t="s">
        <v>112</v>
      </c>
      <c r="BI420" t="s">
        <v>112</v>
      </c>
      <c r="BJ420" t="s">
        <v>112</v>
      </c>
      <c r="BK420" t="s">
        <v>158</v>
      </c>
      <c r="BL420" t="s">
        <v>159</v>
      </c>
      <c r="BM420" t="s">
        <v>160</v>
      </c>
      <c r="BN420" t="s">
        <v>161</v>
      </c>
      <c r="BP420" t="s">
        <v>232</v>
      </c>
      <c r="BR420" t="s">
        <v>150</v>
      </c>
      <c r="BS420">
        <v>33</v>
      </c>
      <c r="BT420">
        <v>0</v>
      </c>
      <c r="BU420">
        <v>0</v>
      </c>
      <c r="BW420">
        <v>0</v>
      </c>
      <c r="BY420" t="s">
        <v>106</v>
      </c>
      <c r="BZ420" t="s">
        <v>142</v>
      </c>
      <c r="CA420" t="s">
        <v>112</v>
      </c>
      <c r="CB420" t="s">
        <v>112</v>
      </c>
      <c r="CC420" t="s">
        <v>121</v>
      </c>
      <c r="CD420">
        <v>16952.400000000001</v>
      </c>
      <c r="CE420" t="s">
        <v>144</v>
      </c>
      <c r="CF420">
        <v>4000000</v>
      </c>
      <c r="CG420">
        <v>16909.2</v>
      </c>
      <c r="CH420">
        <v>0</v>
      </c>
      <c r="CI420" t="s">
        <v>112</v>
      </c>
      <c r="CJ420" t="s">
        <v>112</v>
      </c>
      <c r="CK420">
        <v>44340.6</v>
      </c>
      <c r="CM420">
        <v>0</v>
      </c>
      <c r="CN420">
        <v>1</v>
      </c>
      <c r="CO420">
        <v>4756629.99</v>
      </c>
      <c r="CP420">
        <v>53030.22</v>
      </c>
      <c r="CQ420" t="s">
        <v>145</v>
      </c>
      <c r="CR420">
        <v>53094.888000000006</v>
      </c>
      <c r="CS420">
        <v>3.14</v>
      </c>
      <c r="CT420">
        <v>45</v>
      </c>
      <c r="CV420" t="s">
        <v>233</v>
      </c>
      <c r="CW420">
        <v>571</v>
      </c>
    </row>
    <row r="421" spans="1:101" x14ac:dyDescent="0.2">
      <c r="A421" t="s">
        <v>106</v>
      </c>
      <c r="B421" s="46">
        <v>44991</v>
      </c>
      <c r="C421" t="s">
        <v>614</v>
      </c>
      <c r="D421" t="s">
        <v>108</v>
      </c>
      <c r="E421" t="s">
        <v>615</v>
      </c>
      <c r="F421" t="s">
        <v>110</v>
      </c>
      <c r="G421" t="s">
        <v>111</v>
      </c>
      <c r="H421" t="s">
        <v>112</v>
      </c>
      <c r="I421" t="s">
        <v>112</v>
      </c>
      <c r="J421" t="s">
        <v>112</v>
      </c>
      <c r="K421" t="s">
        <v>150</v>
      </c>
      <c r="L421" t="s">
        <v>151</v>
      </c>
      <c r="M421" t="s">
        <v>112</v>
      </c>
      <c r="N421" t="s">
        <v>112</v>
      </c>
      <c r="O421">
        <v>1</v>
      </c>
      <c r="Q421">
        <v>1</v>
      </c>
      <c r="R421">
        <v>33</v>
      </c>
      <c r="S421" t="s">
        <v>112</v>
      </c>
      <c r="T421" t="s">
        <v>152</v>
      </c>
      <c r="U421" t="s">
        <v>153</v>
      </c>
      <c r="V421" t="s">
        <v>154</v>
      </c>
      <c r="W421" t="s">
        <v>119</v>
      </c>
      <c r="X421" t="s">
        <v>112</v>
      </c>
      <c r="Y421" t="s">
        <v>112</v>
      </c>
      <c r="Z421" t="s">
        <v>152</v>
      </c>
      <c r="AA421" t="s">
        <v>153</v>
      </c>
      <c r="AB421" t="s">
        <v>154</v>
      </c>
      <c r="AC421" t="s">
        <v>119</v>
      </c>
      <c r="AD421" t="s">
        <v>112</v>
      </c>
      <c r="AE421" t="s">
        <v>121</v>
      </c>
      <c r="AF421" t="s">
        <v>122</v>
      </c>
      <c r="AG421">
        <v>4844257.97</v>
      </c>
      <c r="AH421" t="s">
        <v>112</v>
      </c>
      <c r="AI421" t="s">
        <v>152</v>
      </c>
      <c r="AJ421" t="s">
        <v>153</v>
      </c>
      <c r="AK421" t="s">
        <v>154</v>
      </c>
      <c r="AL421" t="s">
        <v>119</v>
      </c>
      <c r="AM421" t="s">
        <v>112</v>
      </c>
      <c r="AN421" t="s">
        <v>121</v>
      </c>
      <c r="AO421" t="s">
        <v>122</v>
      </c>
      <c r="AP421" t="s">
        <v>122</v>
      </c>
      <c r="AQ421" t="s">
        <v>124</v>
      </c>
      <c r="AR421" t="s">
        <v>125</v>
      </c>
      <c r="AS421">
        <v>2</v>
      </c>
      <c r="AT421" t="s">
        <v>126</v>
      </c>
      <c r="AU421" t="s">
        <v>155</v>
      </c>
      <c r="AV421" t="s">
        <v>156</v>
      </c>
      <c r="AX421" t="s">
        <v>129</v>
      </c>
      <c r="AY421">
        <v>44700.959999999999</v>
      </c>
      <c r="BB421">
        <v>98.418599999999998</v>
      </c>
      <c r="BC421" t="s">
        <v>112</v>
      </c>
      <c r="BD421" t="s">
        <v>112</v>
      </c>
      <c r="BE421" t="s">
        <v>157</v>
      </c>
      <c r="BF421" t="s">
        <v>133</v>
      </c>
      <c r="BG421" t="s">
        <v>167</v>
      </c>
      <c r="BH421" t="s">
        <v>112</v>
      </c>
      <c r="BI421" t="s">
        <v>112</v>
      </c>
      <c r="BJ421" t="s">
        <v>112</v>
      </c>
      <c r="BK421" t="s">
        <v>158</v>
      </c>
      <c r="BL421" t="s">
        <v>159</v>
      </c>
      <c r="BM421" t="s">
        <v>160</v>
      </c>
      <c r="BN421" t="s">
        <v>161</v>
      </c>
      <c r="BP421" t="s">
        <v>616</v>
      </c>
      <c r="BR421" t="s">
        <v>150</v>
      </c>
      <c r="BS421">
        <v>33</v>
      </c>
      <c r="BT421">
        <v>0</v>
      </c>
      <c r="BU421">
        <v>0</v>
      </c>
      <c r="BW421">
        <v>0</v>
      </c>
      <c r="BY421" t="s">
        <v>106</v>
      </c>
      <c r="BZ421" t="s">
        <v>142</v>
      </c>
      <c r="CA421" t="s">
        <v>112</v>
      </c>
      <c r="CB421" t="s">
        <v>112</v>
      </c>
      <c r="CC421" t="s">
        <v>121</v>
      </c>
      <c r="CD421">
        <v>16779.21</v>
      </c>
      <c r="CE421" t="s">
        <v>144</v>
      </c>
      <c r="CF421">
        <v>4000000</v>
      </c>
      <c r="CG421">
        <v>16779.21</v>
      </c>
      <c r="CH421">
        <v>0</v>
      </c>
      <c r="CI421" t="s">
        <v>112</v>
      </c>
      <c r="CJ421" t="s">
        <v>112</v>
      </c>
      <c r="CK421">
        <v>44700.959999999999</v>
      </c>
      <c r="CM421">
        <v>0</v>
      </c>
      <c r="CN421">
        <v>1</v>
      </c>
      <c r="CO421">
        <v>4844257.97</v>
      </c>
      <c r="CP421">
        <v>54007.15</v>
      </c>
      <c r="CQ421" t="s">
        <v>145</v>
      </c>
      <c r="CR421">
        <v>54029.056199999999</v>
      </c>
      <c r="CS421">
        <v>3.22</v>
      </c>
      <c r="CT421">
        <v>45</v>
      </c>
      <c r="CV421" t="s">
        <v>163</v>
      </c>
      <c r="CW421">
        <v>212</v>
      </c>
    </row>
    <row r="422" spans="1:101" x14ac:dyDescent="0.2">
      <c r="A422" t="s">
        <v>106</v>
      </c>
      <c r="B422" s="46">
        <v>45240</v>
      </c>
      <c r="C422" t="s">
        <v>703</v>
      </c>
      <c r="D422" t="s">
        <v>108</v>
      </c>
      <c r="E422" t="s">
        <v>704</v>
      </c>
      <c r="F422" t="s">
        <v>110</v>
      </c>
      <c r="G422" t="s">
        <v>111</v>
      </c>
      <c r="H422" t="s">
        <v>112</v>
      </c>
      <c r="I422" t="s">
        <v>112</v>
      </c>
      <c r="J422" t="s">
        <v>112</v>
      </c>
      <c r="K422" t="s">
        <v>150</v>
      </c>
      <c r="L422" t="s">
        <v>151</v>
      </c>
      <c r="M422" t="s">
        <v>112</v>
      </c>
      <c r="N422" t="s">
        <v>112</v>
      </c>
      <c r="O422">
        <v>1</v>
      </c>
      <c r="Q422">
        <v>1</v>
      </c>
      <c r="R422">
        <v>33</v>
      </c>
      <c r="S422" t="s">
        <v>112</v>
      </c>
      <c r="T422" t="s">
        <v>152</v>
      </c>
      <c r="U422" t="s">
        <v>153</v>
      </c>
      <c r="V422" t="s">
        <v>154</v>
      </c>
      <c r="W422" t="s">
        <v>119</v>
      </c>
      <c r="X422" t="s">
        <v>112</v>
      </c>
      <c r="Y422" t="s">
        <v>112</v>
      </c>
      <c r="Z422" t="s">
        <v>152</v>
      </c>
      <c r="AA422" t="s">
        <v>153</v>
      </c>
      <c r="AB422" t="s">
        <v>154</v>
      </c>
      <c r="AC422" t="s">
        <v>119</v>
      </c>
      <c r="AD422" t="s">
        <v>112</v>
      </c>
      <c r="AE422" t="s">
        <v>121</v>
      </c>
      <c r="AF422" t="s">
        <v>122</v>
      </c>
      <c r="AG422">
        <v>4719427.75</v>
      </c>
      <c r="AH422" t="s">
        <v>112</v>
      </c>
      <c r="AI422" t="s">
        <v>152</v>
      </c>
      <c r="AJ422" t="s">
        <v>153</v>
      </c>
      <c r="AK422" t="s">
        <v>154</v>
      </c>
      <c r="AL422" t="s">
        <v>119</v>
      </c>
      <c r="AM422" t="s">
        <v>112</v>
      </c>
      <c r="AN422" t="s">
        <v>121</v>
      </c>
      <c r="AO422" t="s">
        <v>122</v>
      </c>
      <c r="AP422" t="s">
        <v>122</v>
      </c>
      <c r="AQ422" t="s">
        <v>124</v>
      </c>
      <c r="AR422" t="s">
        <v>125</v>
      </c>
      <c r="AS422">
        <v>2</v>
      </c>
      <c r="AT422" t="s">
        <v>126</v>
      </c>
      <c r="AU422" t="s">
        <v>155</v>
      </c>
      <c r="AV422" t="s">
        <v>156</v>
      </c>
      <c r="AX422" t="s">
        <v>129</v>
      </c>
      <c r="AY422">
        <v>43962.6</v>
      </c>
      <c r="BB422">
        <v>98.418599999999998</v>
      </c>
      <c r="BC422" t="s">
        <v>112</v>
      </c>
      <c r="BD422" t="s">
        <v>112</v>
      </c>
      <c r="BE422" t="s">
        <v>157</v>
      </c>
      <c r="BF422" t="s">
        <v>133</v>
      </c>
      <c r="BG422" t="s">
        <v>167</v>
      </c>
      <c r="BH422" t="s">
        <v>112</v>
      </c>
      <c r="BI422" t="s">
        <v>112</v>
      </c>
      <c r="BJ422" t="s">
        <v>112</v>
      </c>
      <c r="BK422" t="s">
        <v>158</v>
      </c>
      <c r="BL422" t="s">
        <v>159</v>
      </c>
      <c r="BM422" t="s">
        <v>160</v>
      </c>
      <c r="BN422" t="s">
        <v>161</v>
      </c>
      <c r="BP422" t="s">
        <v>162</v>
      </c>
      <c r="BR422" t="s">
        <v>150</v>
      </c>
      <c r="BS422">
        <v>33</v>
      </c>
      <c r="BT422">
        <v>0</v>
      </c>
      <c r="BU422">
        <v>0</v>
      </c>
      <c r="BW422">
        <v>0</v>
      </c>
      <c r="BY422" t="s">
        <v>106</v>
      </c>
      <c r="BZ422" t="s">
        <v>142</v>
      </c>
      <c r="CA422" t="s">
        <v>112</v>
      </c>
      <c r="CB422" t="s">
        <v>112</v>
      </c>
      <c r="CC422" t="s">
        <v>121</v>
      </c>
      <c r="CD422">
        <v>17329.259999999998</v>
      </c>
      <c r="CE422" t="s">
        <v>144</v>
      </c>
      <c r="CF422">
        <v>4000000</v>
      </c>
      <c r="CG422">
        <v>17329.259999999998</v>
      </c>
      <c r="CH422">
        <v>0</v>
      </c>
      <c r="CI422" t="s">
        <v>112</v>
      </c>
      <c r="CJ422" t="s">
        <v>112</v>
      </c>
      <c r="CK422">
        <v>43962.6</v>
      </c>
      <c r="CM422">
        <v>0</v>
      </c>
      <c r="CN422">
        <v>1</v>
      </c>
      <c r="CO422">
        <v>4719427.75</v>
      </c>
      <c r="CP422">
        <v>52615.46</v>
      </c>
      <c r="CQ422" t="s">
        <v>145</v>
      </c>
      <c r="CR422">
        <v>52680.950399999994</v>
      </c>
      <c r="CS422">
        <v>3.04</v>
      </c>
      <c r="CT422">
        <v>45</v>
      </c>
      <c r="CV422" t="s">
        <v>163</v>
      </c>
      <c r="CW422">
        <v>552</v>
      </c>
    </row>
    <row r="423" spans="1:101" x14ac:dyDescent="0.2">
      <c r="A423" s="8" t="s">
        <v>106</v>
      </c>
      <c r="B423" s="46">
        <v>45265</v>
      </c>
      <c r="C423" s="8" t="s">
        <v>3099</v>
      </c>
      <c r="D423" s="8" t="s">
        <v>108</v>
      </c>
      <c r="E423" s="8" t="s">
        <v>3100</v>
      </c>
      <c r="F423" t="s">
        <v>110</v>
      </c>
      <c r="G423" s="8" t="s">
        <v>111</v>
      </c>
      <c r="H423" s="8" t="s">
        <v>112</v>
      </c>
      <c r="I423" s="8" t="s">
        <v>112</v>
      </c>
      <c r="J423" s="8" t="s">
        <v>112</v>
      </c>
      <c r="K423" s="8" t="s">
        <v>2201</v>
      </c>
      <c r="L423" s="8" t="s">
        <v>2202</v>
      </c>
      <c r="M423" s="8" t="s">
        <v>112</v>
      </c>
      <c r="N423" s="8" t="s">
        <v>112</v>
      </c>
      <c r="O423">
        <v>10</v>
      </c>
      <c r="P423">
        <v>0</v>
      </c>
      <c r="Q423">
        <v>26</v>
      </c>
      <c r="R423">
        <v>38</v>
      </c>
      <c r="S423" s="8" t="s">
        <v>2136</v>
      </c>
      <c r="T423" s="8" t="s">
        <v>2137</v>
      </c>
      <c r="U423" s="8" t="s">
        <v>2141</v>
      </c>
      <c r="V423" s="8" t="s">
        <v>2203</v>
      </c>
      <c r="W423" s="8" t="s">
        <v>119</v>
      </c>
      <c r="X423" s="8" t="s">
        <v>2140</v>
      </c>
      <c r="Y423" s="8" t="s">
        <v>2136</v>
      </c>
      <c r="Z423" s="8" t="s">
        <v>2137</v>
      </c>
      <c r="AA423" s="8" t="s">
        <v>2141</v>
      </c>
      <c r="AB423" s="8" t="s">
        <v>2203</v>
      </c>
      <c r="AC423" s="8" t="s">
        <v>119</v>
      </c>
      <c r="AD423" s="8" t="s">
        <v>2140</v>
      </c>
      <c r="AE423" s="8" t="s">
        <v>143</v>
      </c>
      <c r="AF423" s="8" t="s">
        <v>123</v>
      </c>
      <c r="AG423">
        <v>8655996.2699999902</v>
      </c>
      <c r="AH423" s="8" t="s">
        <v>2136</v>
      </c>
      <c r="AI423" s="8" t="s">
        <v>2137</v>
      </c>
      <c r="AJ423" s="8" t="s">
        <v>2141</v>
      </c>
      <c r="AK423" s="8" t="s">
        <v>2203</v>
      </c>
      <c r="AL423" s="8" t="s">
        <v>119</v>
      </c>
      <c r="AM423" s="8" t="s">
        <v>2140</v>
      </c>
      <c r="AN423" s="8" t="s">
        <v>143</v>
      </c>
      <c r="AO423" s="8" t="s">
        <v>123</v>
      </c>
      <c r="AP423" s="8" t="s">
        <v>123</v>
      </c>
      <c r="AQ423" s="8" t="s">
        <v>124</v>
      </c>
      <c r="AR423" s="8" t="s">
        <v>125</v>
      </c>
      <c r="AS423">
        <v>2</v>
      </c>
      <c r="AT423" s="8" t="s">
        <v>126</v>
      </c>
      <c r="AU423" s="8" t="s">
        <v>155</v>
      </c>
      <c r="AV423" s="8" t="s">
        <v>2204</v>
      </c>
      <c r="AW423">
        <v>1</v>
      </c>
      <c r="AX423" s="8" t="s">
        <v>129</v>
      </c>
      <c r="AY423">
        <v>120750.85</v>
      </c>
      <c r="AZ423">
        <v>8305219</v>
      </c>
      <c r="BA423">
        <v>133977.56</v>
      </c>
      <c r="BB423">
        <v>68.779799999999895</v>
      </c>
      <c r="BC423" s="8" t="s">
        <v>130</v>
      </c>
      <c r="BD423" s="8" t="s">
        <v>112</v>
      </c>
      <c r="BE423" s="8" t="s">
        <v>2205</v>
      </c>
      <c r="BF423" s="8" t="s">
        <v>133</v>
      </c>
      <c r="BG423" s="8" t="s">
        <v>134</v>
      </c>
      <c r="BH423" s="8" t="s">
        <v>112</v>
      </c>
      <c r="BI423" s="8" t="s">
        <v>112</v>
      </c>
      <c r="BJ423" s="8" t="s">
        <v>112</v>
      </c>
      <c r="BK423" s="8" t="s">
        <v>2168</v>
      </c>
      <c r="BL423" s="8" t="s">
        <v>2206</v>
      </c>
      <c r="BM423" s="8" t="s">
        <v>2207</v>
      </c>
      <c r="BN423" s="8" t="s">
        <v>2208</v>
      </c>
      <c r="BO423">
        <v>1</v>
      </c>
      <c r="BP423" s="8" t="s">
        <v>2209</v>
      </c>
      <c r="BR423" s="8" t="s">
        <v>2210</v>
      </c>
      <c r="BS423">
        <v>32</v>
      </c>
      <c r="BT423">
        <v>0</v>
      </c>
      <c r="BU423">
        <v>97</v>
      </c>
      <c r="BV423" t="s">
        <v>2147</v>
      </c>
      <c r="BW423">
        <v>0</v>
      </c>
      <c r="BY423" s="8" t="s">
        <v>106</v>
      </c>
      <c r="BZ423" s="8" t="s">
        <v>2148</v>
      </c>
      <c r="CA423" s="8" t="s">
        <v>112</v>
      </c>
      <c r="CB423" s="8" t="s">
        <v>112</v>
      </c>
      <c r="CC423" s="8" t="s">
        <v>143</v>
      </c>
      <c r="CD423">
        <v>8084.2</v>
      </c>
      <c r="CE423" t="s">
        <v>144</v>
      </c>
      <c r="CF423">
        <v>4000000</v>
      </c>
      <c r="CG423">
        <v>7393.1</v>
      </c>
      <c r="CH423">
        <v>0</v>
      </c>
      <c r="CI423" s="8" t="s">
        <v>112</v>
      </c>
      <c r="CJ423" s="8" t="s">
        <v>112</v>
      </c>
      <c r="CK423">
        <v>112401.24</v>
      </c>
      <c r="CL423">
        <v>7730935</v>
      </c>
      <c r="CM423">
        <v>0</v>
      </c>
      <c r="CN423">
        <v>1</v>
      </c>
      <c r="CO423">
        <v>8058068.7300000004</v>
      </c>
      <c r="CP423">
        <v>124722.85</v>
      </c>
      <c r="CQ423" s="8" t="s">
        <v>145</v>
      </c>
      <c r="CR423">
        <v>16.870200000000001</v>
      </c>
      <c r="CS423">
        <v>1053</v>
      </c>
      <c r="CT423" t="s">
        <v>2149</v>
      </c>
      <c r="CV423" t="s">
        <v>2150</v>
      </c>
      <c r="CW423">
        <v>138</v>
      </c>
    </row>
    <row r="424" spans="1:101" x14ac:dyDescent="0.2">
      <c r="A424" s="8" t="s">
        <v>106</v>
      </c>
      <c r="B424" s="46">
        <v>44940</v>
      </c>
      <c r="C424" s="8" t="s">
        <v>3186</v>
      </c>
      <c r="D424" s="8" t="s">
        <v>108</v>
      </c>
      <c r="E424" s="8" t="s">
        <v>3187</v>
      </c>
      <c r="F424" t="s">
        <v>110</v>
      </c>
      <c r="G424" s="8" t="s">
        <v>111</v>
      </c>
      <c r="H424" s="8" t="s">
        <v>112</v>
      </c>
      <c r="I424" s="8" t="s">
        <v>112</v>
      </c>
      <c r="J424" s="8" t="s">
        <v>112</v>
      </c>
      <c r="K424" s="8" t="s">
        <v>2201</v>
      </c>
      <c r="L424" s="8" t="s">
        <v>2202</v>
      </c>
      <c r="M424" s="8" t="s">
        <v>112</v>
      </c>
      <c r="N424" s="8" t="s">
        <v>112</v>
      </c>
      <c r="O424">
        <v>4</v>
      </c>
      <c r="P424">
        <v>0</v>
      </c>
      <c r="Q424">
        <v>10</v>
      </c>
      <c r="R424">
        <v>26</v>
      </c>
      <c r="S424" s="8" t="s">
        <v>2136</v>
      </c>
      <c r="T424" s="8" t="s">
        <v>2137</v>
      </c>
      <c r="U424" s="8" t="s">
        <v>2141</v>
      </c>
      <c r="V424" s="8" t="s">
        <v>2203</v>
      </c>
      <c r="W424" s="8" t="s">
        <v>119</v>
      </c>
      <c r="X424" s="8" t="s">
        <v>2140</v>
      </c>
      <c r="Y424" s="8" t="s">
        <v>2136</v>
      </c>
      <c r="Z424" s="8" t="s">
        <v>2137</v>
      </c>
      <c r="AA424" s="8" t="s">
        <v>2141</v>
      </c>
      <c r="AB424" s="8" t="s">
        <v>2203</v>
      </c>
      <c r="AC424" s="8" t="s">
        <v>119</v>
      </c>
      <c r="AD424" s="8" t="s">
        <v>2140</v>
      </c>
      <c r="AE424" s="8" t="s">
        <v>143</v>
      </c>
      <c r="AF424" s="8" t="s">
        <v>123</v>
      </c>
      <c r="AG424">
        <v>5507373.9699999904</v>
      </c>
      <c r="AH424" s="8" t="s">
        <v>2136</v>
      </c>
      <c r="AI424" s="8" t="s">
        <v>2137</v>
      </c>
      <c r="AJ424" s="8" t="s">
        <v>2141</v>
      </c>
      <c r="AK424" s="8" t="s">
        <v>2203</v>
      </c>
      <c r="AL424" s="8" t="s">
        <v>119</v>
      </c>
      <c r="AM424" s="8" t="s">
        <v>2140</v>
      </c>
      <c r="AN424" s="8" t="s">
        <v>143</v>
      </c>
      <c r="AO424" s="8" t="s">
        <v>123</v>
      </c>
      <c r="AP424" s="8" t="s">
        <v>123</v>
      </c>
      <c r="AQ424" s="8" t="s">
        <v>124</v>
      </c>
      <c r="AR424" s="8" t="s">
        <v>125</v>
      </c>
      <c r="AS424">
        <v>2</v>
      </c>
      <c r="AT424" s="8" t="s">
        <v>126</v>
      </c>
      <c r="AU424" s="8" t="s">
        <v>155</v>
      </c>
      <c r="AV424" s="8" t="s">
        <v>2204</v>
      </c>
      <c r="AW424">
        <v>1</v>
      </c>
      <c r="AX424" s="8" t="s">
        <v>129</v>
      </c>
      <c r="AY424">
        <v>75032.55</v>
      </c>
      <c r="AZ424">
        <v>5160724</v>
      </c>
      <c r="BA424">
        <v>85243.199999999895</v>
      </c>
      <c r="BB424">
        <v>68.779799999999895</v>
      </c>
      <c r="BC424" s="8" t="s">
        <v>130</v>
      </c>
      <c r="BD424" s="8" t="s">
        <v>112</v>
      </c>
      <c r="BE424" s="8" t="s">
        <v>2205</v>
      </c>
      <c r="BF424" s="8" t="s">
        <v>133</v>
      </c>
      <c r="BG424" s="8" t="s">
        <v>134</v>
      </c>
      <c r="BH424" s="8" t="s">
        <v>112</v>
      </c>
      <c r="BI424" s="8" t="s">
        <v>112</v>
      </c>
      <c r="BJ424" s="8" t="s">
        <v>112</v>
      </c>
      <c r="BK424" s="8" t="s">
        <v>2168</v>
      </c>
      <c r="BL424" s="8" t="s">
        <v>2206</v>
      </c>
      <c r="BM424" s="8" t="s">
        <v>2207</v>
      </c>
      <c r="BN424" s="8" t="s">
        <v>2208</v>
      </c>
      <c r="BO424">
        <v>1</v>
      </c>
      <c r="BP424" s="8" t="s">
        <v>3188</v>
      </c>
      <c r="BR424" s="8" t="s">
        <v>2210</v>
      </c>
      <c r="BS424">
        <v>23</v>
      </c>
      <c r="BT424">
        <v>0</v>
      </c>
      <c r="BU424">
        <v>23</v>
      </c>
      <c r="BV424" t="s">
        <v>2147</v>
      </c>
      <c r="BW424">
        <v>0</v>
      </c>
      <c r="BY424" s="8" t="s">
        <v>106</v>
      </c>
      <c r="BZ424" s="8" t="s">
        <v>2148</v>
      </c>
      <c r="CA424" s="8" t="s">
        <v>112</v>
      </c>
      <c r="CB424" s="8" t="s">
        <v>112</v>
      </c>
      <c r="CC424" s="8" t="s">
        <v>143</v>
      </c>
      <c r="CD424">
        <v>5042</v>
      </c>
      <c r="CE424" t="s">
        <v>144</v>
      </c>
      <c r="CF424">
        <v>4000000</v>
      </c>
      <c r="CG424">
        <v>4461</v>
      </c>
      <c r="CH424">
        <v>0</v>
      </c>
      <c r="CI424" s="8" t="s">
        <v>112</v>
      </c>
      <c r="CJ424" s="8" t="s">
        <v>112</v>
      </c>
      <c r="CK424">
        <v>69433.61</v>
      </c>
      <c r="CL424">
        <v>4775630</v>
      </c>
      <c r="CM424">
        <v>0</v>
      </c>
      <c r="CN424">
        <v>1</v>
      </c>
      <c r="CO424">
        <v>5031157.08</v>
      </c>
      <c r="CP424">
        <v>77872.289999999906</v>
      </c>
      <c r="CQ424" s="8" t="s">
        <v>145</v>
      </c>
      <c r="CR424">
        <v>17.456199999999999</v>
      </c>
      <c r="CS424">
        <v>1053</v>
      </c>
      <c r="CT424" t="s">
        <v>2149</v>
      </c>
      <c r="CV424" t="s">
        <v>2150</v>
      </c>
      <c r="CW424">
        <v>0</v>
      </c>
    </row>
    <row r="425" spans="1:101" x14ac:dyDescent="0.2">
      <c r="A425" t="s">
        <v>106</v>
      </c>
      <c r="B425" s="46">
        <v>45038</v>
      </c>
      <c r="C425" t="s">
        <v>2118</v>
      </c>
      <c r="D425" t="s">
        <v>108</v>
      </c>
      <c r="E425" t="s">
        <v>2119</v>
      </c>
      <c r="F425" t="s">
        <v>110</v>
      </c>
      <c r="G425" t="s">
        <v>111</v>
      </c>
      <c r="H425" t="s">
        <v>112</v>
      </c>
      <c r="I425" t="s">
        <v>112</v>
      </c>
      <c r="J425" t="s">
        <v>112</v>
      </c>
      <c r="K425" t="s">
        <v>150</v>
      </c>
      <c r="L425" t="s">
        <v>151</v>
      </c>
      <c r="M425" t="s">
        <v>112</v>
      </c>
      <c r="N425" t="s">
        <v>112</v>
      </c>
      <c r="O425">
        <v>1</v>
      </c>
      <c r="Q425">
        <v>1</v>
      </c>
      <c r="R425">
        <v>33</v>
      </c>
      <c r="S425" t="s">
        <v>112</v>
      </c>
      <c r="T425" t="s">
        <v>152</v>
      </c>
      <c r="U425" t="s">
        <v>153</v>
      </c>
      <c r="V425" t="s">
        <v>154</v>
      </c>
      <c r="W425" t="s">
        <v>119</v>
      </c>
      <c r="X425" t="s">
        <v>112</v>
      </c>
      <c r="Y425" t="s">
        <v>112</v>
      </c>
      <c r="Z425" t="s">
        <v>152</v>
      </c>
      <c r="AA425" t="s">
        <v>153</v>
      </c>
      <c r="AB425" t="s">
        <v>154</v>
      </c>
      <c r="AC425" t="s">
        <v>119</v>
      </c>
      <c r="AD425" t="s">
        <v>112</v>
      </c>
      <c r="AE425" t="s">
        <v>121</v>
      </c>
      <c r="AF425" t="s">
        <v>122</v>
      </c>
      <c r="AG425">
        <v>5162028.49</v>
      </c>
      <c r="AH425" t="s">
        <v>112</v>
      </c>
      <c r="AI425" t="s">
        <v>152</v>
      </c>
      <c r="AJ425" t="s">
        <v>153</v>
      </c>
      <c r="AK425" t="s">
        <v>154</v>
      </c>
      <c r="AL425" t="s">
        <v>119</v>
      </c>
      <c r="AM425" t="s">
        <v>112</v>
      </c>
      <c r="AN425" t="s">
        <v>121</v>
      </c>
      <c r="AO425" t="s">
        <v>122</v>
      </c>
      <c r="AP425" t="s">
        <v>122</v>
      </c>
      <c r="AQ425" t="s">
        <v>124</v>
      </c>
      <c r="AR425" t="s">
        <v>125</v>
      </c>
      <c r="AS425">
        <v>2</v>
      </c>
      <c r="AT425" t="s">
        <v>126</v>
      </c>
      <c r="AU425" t="s">
        <v>155</v>
      </c>
      <c r="AV425" t="s">
        <v>156</v>
      </c>
      <c r="AX425" t="s">
        <v>129</v>
      </c>
      <c r="AY425">
        <v>46247.4</v>
      </c>
      <c r="BB425">
        <v>102.7527</v>
      </c>
      <c r="BC425" t="s">
        <v>112</v>
      </c>
      <c r="BD425" t="s">
        <v>112</v>
      </c>
      <c r="BE425" t="s">
        <v>157</v>
      </c>
      <c r="BF425" t="s">
        <v>133</v>
      </c>
      <c r="BG425" t="s">
        <v>167</v>
      </c>
      <c r="BH425" t="s">
        <v>112</v>
      </c>
      <c r="BI425" t="s">
        <v>112</v>
      </c>
      <c r="BJ425" t="s">
        <v>112</v>
      </c>
      <c r="BK425" t="s">
        <v>158</v>
      </c>
      <c r="BL425" t="s">
        <v>159</v>
      </c>
      <c r="BM425" t="s">
        <v>160</v>
      </c>
      <c r="BN425" t="s">
        <v>161</v>
      </c>
      <c r="BP425" t="s">
        <v>232</v>
      </c>
      <c r="BR425" t="s">
        <v>150</v>
      </c>
      <c r="BS425">
        <v>33</v>
      </c>
      <c r="BT425">
        <v>0</v>
      </c>
      <c r="BU425">
        <v>0</v>
      </c>
      <c r="BW425">
        <v>0</v>
      </c>
      <c r="BY425" t="s">
        <v>106</v>
      </c>
      <c r="BZ425" t="s">
        <v>142</v>
      </c>
      <c r="CA425" t="s">
        <v>112</v>
      </c>
      <c r="CB425" t="s">
        <v>112</v>
      </c>
      <c r="CC425" t="s">
        <v>121</v>
      </c>
      <c r="CD425">
        <v>16018.2</v>
      </c>
      <c r="CE425" t="s">
        <v>144</v>
      </c>
      <c r="CF425">
        <v>4000000</v>
      </c>
      <c r="CG425">
        <v>15845.4</v>
      </c>
      <c r="CH425">
        <v>0</v>
      </c>
      <c r="CI425" t="s">
        <v>112</v>
      </c>
      <c r="CJ425" t="s">
        <v>112</v>
      </c>
      <c r="CK425">
        <v>46247.4</v>
      </c>
      <c r="CM425">
        <v>0</v>
      </c>
      <c r="CN425">
        <v>1</v>
      </c>
      <c r="CO425">
        <v>5162028.49</v>
      </c>
      <c r="CP425">
        <v>53027.75</v>
      </c>
      <c r="CQ425" t="s">
        <v>145</v>
      </c>
      <c r="CR425">
        <v>53082.090000000004</v>
      </c>
      <c r="CS425">
        <v>3.35</v>
      </c>
      <c r="CT425">
        <v>45</v>
      </c>
      <c r="CV425" t="s">
        <v>206</v>
      </c>
      <c r="CW425">
        <v>314</v>
      </c>
    </row>
    <row r="426" spans="1:101" x14ac:dyDescent="0.2">
      <c r="A426" t="s">
        <v>106</v>
      </c>
      <c r="B426" s="46">
        <v>44963</v>
      </c>
      <c r="C426" t="s">
        <v>2118</v>
      </c>
      <c r="D426" t="s">
        <v>108</v>
      </c>
      <c r="E426" t="s">
        <v>2119</v>
      </c>
      <c r="F426" t="s">
        <v>110</v>
      </c>
      <c r="G426" t="s">
        <v>111</v>
      </c>
      <c r="H426" t="s">
        <v>112</v>
      </c>
      <c r="I426" t="s">
        <v>112</v>
      </c>
      <c r="J426" t="s">
        <v>112</v>
      </c>
      <c r="K426" t="s">
        <v>150</v>
      </c>
      <c r="L426" t="s">
        <v>151</v>
      </c>
      <c r="M426" t="s">
        <v>112</v>
      </c>
      <c r="N426" t="s">
        <v>112</v>
      </c>
      <c r="O426">
        <v>1</v>
      </c>
      <c r="Q426">
        <v>1</v>
      </c>
      <c r="R426">
        <v>33</v>
      </c>
      <c r="S426" t="s">
        <v>112</v>
      </c>
      <c r="T426" t="s">
        <v>152</v>
      </c>
      <c r="U426" t="s">
        <v>153</v>
      </c>
      <c r="V426" t="s">
        <v>154</v>
      </c>
      <c r="W426" t="s">
        <v>119</v>
      </c>
      <c r="X426" t="s">
        <v>112</v>
      </c>
      <c r="Y426" t="s">
        <v>112</v>
      </c>
      <c r="Z426" t="s">
        <v>152</v>
      </c>
      <c r="AA426" t="s">
        <v>153</v>
      </c>
      <c r="AB426" t="s">
        <v>154</v>
      </c>
      <c r="AC426" t="s">
        <v>119</v>
      </c>
      <c r="AD426" t="s">
        <v>112</v>
      </c>
      <c r="AE426" t="s">
        <v>121</v>
      </c>
      <c r="AF426" t="s">
        <v>122</v>
      </c>
      <c r="AG426">
        <v>5162028.49</v>
      </c>
      <c r="AH426" t="s">
        <v>112</v>
      </c>
      <c r="AI426" t="s">
        <v>152</v>
      </c>
      <c r="AJ426" t="s">
        <v>153</v>
      </c>
      <c r="AK426" t="s">
        <v>154</v>
      </c>
      <c r="AL426" t="s">
        <v>119</v>
      </c>
      <c r="AM426" t="s">
        <v>112</v>
      </c>
      <c r="AN426" t="s">
        <v>121</v>
      </c>
      <c r="AO426" t="s">
        <v>122</v>
      </c>
      <c r="AP426" t="s">
        <v>122</v>
      </c>
      <c r="AQ426" t="s">
        <v>124</v>
      </c>
      <c r="AR426" t="s">
        <v>125</v>
      </c>
      <c r="AS426">
        <v>2</v>
      </c>
      <c r="AT426" t="s">
        <v>126</v>
      </c>
      <c r="AU426" t="s">
        <v>155</v>
      </c>
      <c r="AV426" t="s">
        <v>156</v>
      </c>
      <c r="AX426" t="s">
        <v>129</v>
      </c>
      <c r="AY426">
        <v>46247.4</v>
      </c>
      <c r="BB426">
        <v>102.7527</v>
      </c>
      <c r="BC426" t="s">
        <v>112</v>
      </c>
      <c r="BD426" t="s">
        <v>112</v>
      </c>
      <c r="BE426" t="s">
        <v>157</v>
      </c>
      <c r="BF426" t="s">
        <v>133</v>
      </c>
      <c r="BG426" t="s">
        <v>167</v>
      </c>
      <c r="BH426" t="s">
        <v>112</v>
      </c>
      <c r="BI426" t="s">
        <v>112</v>
      </c>
      <c r="BJ426" t="s">
        <v>112</v>
      </c>
      <c r="BK426" t="s">
        <v>158</v>
      </c>
      <c r="BL426" t="s">
        <v>159</v>
      </c>
      <c r="BM426" t="s">
        <v>160</v>
      </c>
      <c r="BN426" t="s">
        <v>161</v>
      </c>
      <c r="BP426" t="s">
        <v>232</v>
      </c>
      <c r="BR426" t="s">
        <v>150</v>
      </c>
      <c r="BS426">
        <v>33</v>
      </c>
      <c r="BT426">
        <v>0</v>
      </c>
      <c r="BU426">
        <v>0</v>
      </c>
      <c r="BW426">
        <v>0</v>
      </c>
      <c r="BY426" t="s">
        <v>106</v>
      </c>
      <c r="BZ426" t="s">
        <v>142</v>
      </c>
      <c r="CA426" t="s">
        <v>112</v>
      </c>
      <c r="CB426" t="s">
        <v>112</v>
      </c>
      <c r="CC426" t="s">
        <v>121</v>
      </c>
      <c r="CD426">
        <v>16018.2</v>
      </c>
      <c r="CE426" t="s">
        <v>144</v>
      </c>
      <c r="CF426">
        <v>4000000</v>
      </c>
      <c r="CG426">
        <v>15845.4</v>
      </c>
      <c r="CH426">
        <v>0</v>
      </c>
      <c r="CI426" t="s">
        <v>112</v>
      </c>
      <c r="CJ426" t="s">
        <v>112</v>
      </c>
      <c r="CK426">
        <v>46247.4</v>
      </c>
      <c r="CM426">
        <v>0</v>
      </c>
      <c r="CN426">
        <v>1</v>
      </c>
      <c r="CO426">
        <v>5162028.49</v>
      </c>
      <c r="CP426">
        <v>53027.75</v>
      </c>
      <c r="CQ426" t="s">
        <v>145</v>
      </c>
      <c r="CR426">
        <v>53082.090000000004</v>
      </c>
      <c r="CS426">
        <v>3.35</v>
      </c>
      <c r="CT426">
        <v>45</v>
      </c>
      <c r="CV426" t="s">
        <v>206</v>
      </c>
      <c r="CW426">
        <v>314</v>
      </c>
    </row>
    <row r="427" spans="1:101" x14ac:dyDescent="0.2">
      <c r="A427" t="s">
        <v>106</v>
      </c>
      <c r="B427" s="46">
        <v>45013</v>
      </c>
      <c r="C427" t="s">
        <v>1949</v>
      </c>
      <c r="D427" t="s">
        <v>108</v>
      </c>
      <c r="E427" t="s">
        <v>1950</v>
      </c>
      <c r="F427" t="s">
        <v>110</v>
      </c>
      <c r="G427" t="s">
        <v>111</v>
      </c>
      <c r="H427" t="s">
        <v>112</v>
      </c>
      <c r="I427" t="s">
        <v>112</v>
      </c>
      <c r="J427" t="s">
        <v>112</v>
      </c>
      <c r="K427" t="s">
        <v>150</v>
      </c>
      <c r="L427" t="s">
        <v>151</v>
      </c>
      <c r="M427" t="s">
        <v>112</v>
      </c>
      <c r="N427" t="s">
        <v>112</v>
      </c>
      <c r="O427">
        <v>1</v>
      </c>
      <c r="Q427">
        <v>1</v>
      </c>
      <c r="R427">
        <v>33</v>
      </c>
      <c r="S427" t="s">
        <v>112</v>
      </c>
      <c r="T427" t="s">
        <v>152</v>
      </c>
      <c r="U427" t="s">
        <v>153</v>
      </c>
      <c r="V427" t="s">
        <v>154</v>
      </c>
      <c r="W427" t="s">
        <v>119</v>
      </c>
      <c r="X427" t="s">
        <v>112</v>
      </c>
      <c r="Y427" t="s">
        <v>112</v>
      </c>
      <c r="Z427" t="s">
        <v>152</v>
      </c>
      <c r="AA427" t="s">
        <v>153</v>
      </c>
      <c r="AB427" t="s">
        <v>154</v>
      </c>
      <c r="AC427" t="s">
        <v>119</v>
      </c>
      <c r="AD427" t="s">
        <v>112</v>
      </c>
      <c r="AE427" t="s">
        <v>121</v>
      </c>
      <c r="AF427" t="s">
        <v>122</v>
      </c>
      <c r="AG427">
        <v>4367955.45</v>
      </c>
      <c r="AH427" t="s">
        <v>112</v>
      </c>
      <c r="AI427" t="s">
        <v>152</v>
      </c>
      <c r="AJ427" t="s">
        <v>153</v>
      </c>
      <c r="AK427" t="s">
        <v>154</v>
      </c>
      <c r="AL427" t="s">
        <v>119</v>
      </c>
      <c r="AM427" t="s">
        <v>112</v>
      </c>
      <c r="AN427" t="s">
        <v>121</v>
      </c>
      <c r="AO427" t="s">
        <v>122</v>
      </c>
      <c r="AP427" t="s">
        <v>122</v>
      </c>
      <c r="AQ427" t="s">
        <v>124</v>
      </c>
      <c r="AR427" t="s">
        <v>125</v>
      </c>
      <c r="AS427">
        <v>2</v>
      </c>
      <c r="AT427" t="s">
        <v>126</v>
      </c>
      <c r="AU427" t="s">
        <v>155</v>
      </c>
      <c r="AV427" t="s">
        <v>156</v>
      </c>
      <c r="AX427" t="s">
        <v>129</v>
      </c>
      <c r="AY427">
        <v>38262.6</v>
      </c>
      <c r="BB427">
        <v>103.03579999999999</v>
      </c>
      <c r="BC427" t="s">
        <v>112</v>
      </c>
      <c r="BD427" t="s">
        <v>112</v>
      </c>
      <c r="BE427" t="s">
        <v>157</v>
      </c>
      <c r="BF427" t="s">
        <v>133</v>
      </c>
      <c r="BG427" t="s">
        <v>134</v>
      </c>
      <c r="BH427" t="s">
        <v>112</v>
      </c>
      <c r="BI427" t="s">
        <v>112</v>
      </c>
      <c r="BJ427" t="s">
        <v>112</v>
      </c>
      <c r="BK427" t="s">
        <v>169</v>
      </c>
      <c r="BL427" t="s">
        <v>159</v>
      </c>
      <c r="BM427" t="s">
        <v>212</v>
      </c>
      <c r="BN427" t="s">
        <v>161</v>
      </c>
      <c r="BP427" t="s">
        <v>281</v>
      </c>
      <c r="BR427" t="s">
        <v>150</v>
      </c>
      <c r="BS427">
        <v>33</v>
      </c>
      <c r="BT427">
        <v>0</v>
      </c>
      <c r="BU427">
        <v>0</v>
      </c>
      <c r="BW427">
        <v>0</v>
      </c>
      <c r="BY427" t="s">
        <v>106</v>
      </c>
      <c r="BZ427" t="s">
        <v>142</v>
      </c>
      <c r="CA427" t="s">
        <v>112</v>
      </c>
      <c r="CB427" t="s">
        <v>112</v>
      </c>
      <c r="CC427" t="s">
        <v>121</v>
      </c>
      <c r="CD427">
        <v>16587.12</v>
      </c>
      <c r="CE427" t="s">
        <v>144</v>
      </c>
      <c r="CF427">
        <v>4000000</v>
      </c>
      <c r="CG427">
        <v>16435.919999999998</v>
      </c>
      <c r="CH427">
        <v>0</v>
      </c>
      <c r="CI427" t="s">
        <v>112</v>
      </c>
      <c r="CJ427" t="s">
        <v>112</v>
      </c>
      <c r="CK427">
        <v>38262.6</v>
      </c>
      <c r="CM427">
        <v>0</v>
      </c>
      <c r="CN427">
        <v>1</v>
      </c>
      <c r="CO427">
        <v>4367955.45</v>
      </c>
      <c r="CP427">
        <v>45201.11</v>
      </c>
      <c r="CQ427" t="s">
        <v>145</v>
      </c>
      <c r="CR427">
        <v>45198.78</v>
      </c>
      <c r="CS427">
        <v>2.75</v>
      </c>
      <c r="CT427">
        <v>45</v>
      </c>
      <c r="CV427" t="s">
        <v>233</v>
      </c>
      <c r="CW427">
        <v>65</v>
      </c>
    </row>
    <row r="428" spans="1:101" x14ac:dyDescent="0.2">
      <c r="A428" t="s">
        <v>106</v>
      </c>
      <c r="B428" s="46">
        <v>44673</v>
      </c>
      <c r="C428" t="s">
        <v>1949</v>
      </c>
      <c r="D428" t="s">
        <v>108</v>
      </c>
      <c r="E428" t="s">
        <v>1950</v>
      </c>
      <c r="F428" t="s">
        <v>110</v>
      </c>
      <c r="G428" t="s">
        <v>111</v>
      </c>
      <c r="H428" t="s">
        <v>112</v>
      </c>
      <c r="I428" t="s">
        <v>112</v>
      </c>
      <c r="J428" t="s">
        <v>112</v>
      </c>
      <c r="K428" t="s">
        <v>150</v>
      </c>
      <c r="L428" t="s">
        <v>151</v>
      </c>
      <c r="M428" t="s">
        <v>112</v>
      </c>
      <c r="N428" t="s">
        <v>112</v>
      </c>
      <c r="O428">
        <v>1</v>
      </c>
      <c r="Q428">
        <v>1</v>
      </c>
      <c r="R428">
        <v>33</v>
      </c>
      <c r="S428" t="s">
        <v>112</v>
      </c>
      <c r="T428" t="s">
        <v>152</v>
      </c>
      <c r="U428" t="s">
        <v>153</v>
      </c>
      <c r="V428" t="s">
        <v>154</v>
      </c>
      <c r="W428" t="s">
        <v>119</v>
      </c>
      <c r="X428" t="s">
        <v>112</v>
      </c>
      <c r="Y428" t="s">
        <v>112</v>
      </c>
      <c r="Z428" t="s">
        <v>152</v>
      </c>
      <c r="AA428" t="s">
        <v>153</v>
      </c>
      <c r="AB428" t="s">
        <v>154</v>
      </c>
      <c r="AC428" t="s">
        <v>119</v>
      </c>
      <c r="AD428" t="s">
        <v>112</v>
      </c>
      <c r="AE428" t="s">
        <v>121</v>
      </c>
      <c r="AF428" t="s">
        <v>122</v>
      </c>
      <c r="AG428">
        <v>4367955.45</v>
      </c>
      <c r="AH428" t="s">
        <v>112</v>
      </c>
      <c r="AI428" t="s">
        <v>152</v>
      </c>
      <c r="AJ428" t="s">
        <v>153</v>
      </c>
      <c r="AK428" t="s">
        <v>154</v>
      </c>
      <c r="AL428" t="s">
        <v>119</v>
      </c>
      <c r="AM428" t="s">
        <v>112</v>
      </c>
      <c r="AN428" t="s">
        <v>121</v>
      </c>
      <c r="AO428" t="s">
        <v>122</v>
      </c>
      <c r="AP428" t="s">
        <v>122</v>
      </c>
      <c r="AQ428" t="s">
        <v>124</v>
      </c>
      <c r="AR428" t="s">
        <v>125</v>
      </c>
      <c r="AS428">
        <v>2</v>
      </c>
      <c r="AT428" t="s">
        <v>126</v>
      </c>
      <c r="AU428" t="s">
        <v>155</v>
      </c>
      <c r="AV428" t="s">
        <v>156</v>
      </c>
      <c r="AX428" t="s">
        <v>129</v>
      </c>
      <c r="AY428">
        <v>38262.6</v>
      </c>
      <c r="BB428">
        <v>103.03579999999999</v>
      </c>
      <c r="BC428" t="s">
        <v>112</v>
      </c>
      <c r="BD428" t="s">
        <v>112</v>
      </c>
      <c r="BE428" t="s">
        <v>157</v>
      </c>
      <c r="BF428" t="s">
        <v>133</v>
      </c>
      <c r="BG428" t="s">
        <v>134</v>
      </c>
      <c r="BH428" t="s">
        <v>112</v>
      </c>
      <c r="BI428" t="s">
        <v>112</v>
      </c>
      <c r="BJ428" t="s">
        <v>112</v>
      </c>
      <c r="BK428" t="s">
        <v>169</v>
      </c>
      <c r="BL428" t="s">
        <v>159</v>
      </c>
      <c r="BM428" t="s">
        <v>212</v>
      </c>
      <c r="BN428" t="s">
        <v>161</v>
      </c>
      <c r="BP428" t="s">
        <v>281</v>
      </c>
      <c r="BR428" t="s">
        <v>150</v>
      </c>
      <c r="BS428">
        <v>33</v>
      </c>
      <c r="BT428">
        <v>0</v>
      </c>
      <c r="BU428">
        <v>0</v>
      </c>
      <c r="BW428">
        <v>0</v>
      </c>
      <c r="BY428" t="s">
        <v>106</v>
      </c>
      <c r="BZ428" t="s">
        <v>142</v>
      </c>
      <c r="CA428" t="s">
        <v>112</v>
      </c>
      <c r="CB428" t="s">
        <v>112</v>
      </c>
      <c r="CC428" t="s">
        <v>121</v>
      </c>
      <c r="CD428">
        <v>16587.12</v>
      </c>
      <c r="CE428" t="s">
        <v>144</v>
      </c>
      <c r="CF428">
        <v>4000000</v>
      </c>
      <c r="CG428">
        <v>16435.919999999998</v>
      </c>
      <c r="CH428">
        <v>0</v>
      </c>
      <c r="CI428" t="s">
        <v>112</v>
      </c>
      <c r="CJ428" t="s">
        <v>112</v>
      </c>
      <c r="CK428">
        <v>38262.6</v>
      </c>
      <c r="CM428">
        <v>0</v>
      </c>
      <c r="CN428">
        <v>1</v>
      </c>
      <c r="CO428">
        <v>4367955.45</v>
      </c>
      <c r="CP428">
        <v>45201.11</v>
      </c>
      <c r="CQ428" t="s">
        <v>145</v>
      </c>
      <c r="CR428">
        <v>45198.78</v>
      </c>
      <c r="CS428">
        <v>2.75</v>
      </c>
      <c r="CT428">
        <v>45</v>
      </c>
      <c r="CV428" t="s">
        <v>233</v>
      </c>
      <c r="CW428">
        <v>65</v>
      </c>
    </row>
    <row r="429" spans="1:101" x14ac:dyDescent="0.2">
      <c r="A429" t="s">
        <v>106</v>
      </c>
      <c r="B429" s="46">
        <v>45213</v>
      </c>
      <c r="C429" t="s">
        <v>1961</v>
      </c>
      <c r="D429" t="s">
        <v>108</v>
      </c>
      <c r="E429" t="s">
        <v>1962</v>
      </c>
      <c r="F429" t="s">
        <v>110</v>
      </c>
      <c r="G429" t="s">
        <v>111</v>
      </c>
      <c r="H429" t="s">
        <v>112</v>
      </c>
      <c r="I429" t="s">
        <v>112</v>
      </c>
      <c r="J429" t="s">
        <v>112</v>
      </c>
      <c r="K429" t="s">
        <v>150</v>
      </c>
      <c r="L429" t="s">
        <v>151</v>
      </c>
      <c r="M429" t="s">
        <v>112</v>
      </c>
      <c r="N429" t="s">
        <v>112</v>
      </c>
      <c r="O429">
        <v>1</v>
      </c>
      <c r="Q429">
        <v>1</v>
      </c>
      <c r="R429">
        <v>33</v>
      </c>
      <c r="S429" t="s">
        <v>112</v>
      </c>
      <c r="T429" t="s">
        <v>152</v>
      </c>
      <c r="U429" t="s">
        <v>153</v>
      </c>
      <c r="V429" t="s">
        <v>154</v>
      </c>
      <c r="W429" t="s">
        <v>119</v>
      </c>
      <c r="X429" t="s">
        <v>112</v>
      </c>
      <c r="Y429" t="s">
        <v>112</v>
      </c>
      <c r="Z429" t="s">
        <v>152</v>
      </c>
      <c r="AA429" t="s">
        <v>153</v>
      </c>
      <c r="AB429" t="s">
        <v>154</v>
      </c>
      <c r="AC429" t="s">
        <v>119</v>
      </c>
      <c r="AD429" t="s">
        <v>112</v>
      </c>
      <c r="AE429" t="s">
        <v>121</v>
      </c>
      <c r="AF429" t="s">
        <v>122</v>
      </c>
      <c r="AG429">
        <v>4969981.2699999996</v>
      </c>
      <c r="AH429" t="s">
        <v>112</v>
      </c>
      <c r="AI429" t="s">
        <v>152</v>
      </c>
      <c r="AJ429" t="s">
        <v>153</v>
      </c>
      <c r="AK429" t="s">
        <v>154</v>
      </c>
      <c r="AL429" t="s">
        <v>119</v>
      </c>
      <c r="AM429" t="s">
        <v>112</v>
      </c>
      <c r="AN429" t="s">
        <v>121</v>
      </c>
      <c r="AO429" t="s">
        <v>122</v>
      </c>
      <c r="AP429" t="s">
        <v>122</v>
      </c>
      <c r="AQ429" t="s">
        <v>124</v>
      </c>
      <c r="AR429" t="s">
        <v>125</v>
      </c>
      <c r="AS429">
        <v>2</v>
      </c>
      <c r="AT429" t="s">
        <v>126</v>
      </c>
      <c r="AU429" t="s">
        <v>155</v>
      </c>
      <c r="AV429" t="s">
        <v>156</v>
      </c>
      <c r="AX429" t="s">
        <v>129</v>
      </c>
      <c r="AY429">
        <v>44105.48</v>
      </c>
      <c r="BB429">
        <v>103.03579999999999</v>
      </c>
      <c r="BC429" t="s">
        <v>112</v>
      </c>
      <c r="BD429" t="s">
        <v>112</v>
      </c>
      <c r="BE429" t="s">
        <v>157</v>
      </c>
      <c r="BF429" t="s">
        <v>133</v>
      </c>
      <c r="BG429" t="s">
        <v>134</v>
      </c>
      <c r="BH429" t="s">
        <v>112</v>
      </c>
      <c r="BI429" t="s">
        <v>112</v>
      </c>
      <c r="BJ429" t="s">
        <v>112</v>
      </c>
      <c r="BK429" t="s">
        <v>169</v>
      </c>
      <c r="BL429" t="s">
        <v>159</v>
      </c>
      <c r="BM429" t="s">
        <v>212</v>
      </c>
      <c r="BN429" t="s">
        <v>161</v>
      </c>
      <c r="BP429" t="s">
        <v>232</v>
      </c>
      <c r="BR429" t="s">
        <v>150</v>
      </c>
      <c r="BS429">
        <v>33</v>
      </c>
      <c r="BT429">
        <v>0</v>
      </c>
      <c r="BU429">
        <v>0</v>
      </c>
      <c r="BW429">
        <v>0</v>
      </c>
      <c r="BY429" t="s">
        <v>106</v>
      </c>
      <c r="BZ429" t="s">
        <v>142</v>
      </c>
      <c r="CA429" t="s">
        <v>112</v>
      </c>
      <c r="CB429" t="s">
        <v>112</v>
      </c>
      <c r="CC429" t="s">
        <v>121</v>
      </c>
      <c r="CD429">
        <v>16312.82</v>
      </c>
      <c r="CE429" t="s">
        <v>144</v>
      </c>
      <c r="CF429">
        <v>4000000</v>
      </c>
      <c r="CG429">
        <v>16312.82</v>
      </c>
      <c r="CH429">
        <v>0</v>
      </c>
      <c r="CI429" t="s">
        <v>112</v>
      </c>
      <c r="CJ429" t="s">
        <v>112</v>
      </c>
      <c r="CK429">
        <v>44105.48</v>
      </c>
      <c r="CM429">
        <v>0</v>
      </c>
      <c r="CN429">
        <v>1</v>
      </c>
      <c r="CO429">
        <v>4969981.2699999996</v>
      </c>
      <c r="CP429">
        <v>51431.09</v>
      </c>
      <c r="CQ429" t="s">
        <v>145</v>
      </c>
      <c r="CR429">
        <v>51385.382999999994</v>
      </c>
      <c r="CS429">
        <v>3.15</v>
      </c>
      <c r="CT429">
        <v>45</v>
      </c>
      <c r="CV429" t="s">
        <v>163</v>
      </c>
      <c r="CW429">
        <v>134</v>
      </c>
    </row>
    <row r="430" spans="1:101" x14ac:dyDescent="0.2">
      <c r="A430" t="s">
        <v>106</v>
      </c>
      <c r="B430" s="46">
        <v>45168</v>
      </c>
      <c r="C430" t="s">
        <v>1961</v>
      </c>
      <c r="D430" t="s">
        <v>108</v>
      </c>
      <c r="E430" t="s">
        <v>1962</v>
      </c>
      <c r="F430" t="s">
        <v>110</v>
      </c>
      <c r="G430" t="s">
        <v>111</v>
      </c>
      <c r="H430" t="s">
        <v>112</v>
      </c>
      <c r="I430" t="s">
        <v>112</v>
      </c>
      <c r="J430" t="s">
        <v>112</v>
      </c>
      <c r="K430" t="s">
        <v>150</v>
      </c>
      <c r="L430" t="s">
        <v>151</v>
      </c>
      <c r="M430" t="s">
        <v>112</v>
      </c>
      <c r="N430" t="s">
        <v>112</v>
      </c>
      <c r="O430">
        <v>1</v>
      </c>
      <c r="Q430">
        <v>1</v>
      </c>
      <c r="R430">
        <v>33</v>
      </c>
      <c r="S430" t="s">
        <v>112</v>
      </c>
      <c r="T430" t="s">
        <v>152</v>
      </c>
      <c r="U430" t="s">
        <v>153</v>
      </c>
      <c r="V430" t="s">
        <v>154</v>
      </c>
      <c r="W430" t="s">
        <v>119</v>
      </c>
      <c r="X430" t="s">
        <v>112</v>
      </c>
      <c r="Y430" t="s">
        <v>112</v>
      </c>
      <c r="Z430" t="s">
        <v>152</v>
      </c>
      <c r="AA430" t="s">
        <v>153</v>
      </c>
      <c r="AB430" t="s">
        <v>154</v>
      </c>
      <c r="AC430" t="s">
        <v>119</v>
      </c>
      <c r="AD430" t="s">
        <v>112</v>
      </c>
      <c r="AE430" t="s">
        <v>121</v>
      </c>
      <c r="AF430" t="s">
        <v>122</v>
      </c>
      <c r="AG430">
        <v>4969981.2699999996</v>
      </c>
      <c r="AH430" t="s">
        <v>112</v>
      </c>
      <c r="AI430" t="s">
        <v>152</v>
      </c>
      <c r="AJ430" t="s">
        <v>153</v>
      </c>
      <c r="AK430" t="s">
        <v>154</v>
      </c>
      <c r="AL430" t="s">
        <v>119</v>
      </c>
      <c r="AM430" t="s">
        <v>112</v>
      </c>
      <c r="AN430" t="s">
        <v>121</v>
      </c>
      <c r="AO430" t="s">
        <v>122</v>
      </c>
      <c r="AP430" t="s">
        <v>122</v>
      </c>
      <c r="AQ430" t="s">
        <v>124</v>
      </c>
      <c r="AR430" t="s">
        <v>125</v>
      </c>
      <c r="AS430">
        <v>2</v>
      </c>
      <c r="AT430" t="s">
        <v>126</v>
      </c>
      <c r="AU430" t="s">
        <v>155</v>
      </c>
      <c r="AV430" t="s">
        <v>156</v>
      </c>
      <c r="AX430" t="s">
        <v>129</v>
      </c>
      <c r="AY430">
        <v>44105.48</v>
      </c>
      <c r="BB430">
        <v>103.03579999999999</v>
      </c>
      <c r="BC430" t="s">
        <v>112</v>
      </c>
      <c r="BD430" t="s">
        <v>112</v>
      </c>
      <c r="BE430" t="s">
        <v>157</v>
      </c>
      <c r="BF430" t="s">
        <v>133</v>
      </c>
      <c r="BG430" t="s">
        <v>134</v>
      </c>
      <c r="BH430" t="s">
        <v>112</v>
      </c>
      <c r="BI430" t="s">
        <v>112</v>
      </c>
      <c r="BJ430" t="s">
        <v>112</v>
      </c>
      <c r="BK430" t="s">
        <v>169</v>
      </c>
      <c r="BL430" t="s">
        <v>159</v>
      </c>
      <c r="BM430" t="s">
        <v>212</v>
      </c>
      <c r="BN430" t="s">
        <v>161</v>
      </c>
      <c r="BP430" t="s">
        <v>232</v>
      </c>
      <c r="BR430" t="s">
        <v>150</v>
      </c>
      <c r="BS430">
        <v>33</v>
      </c>
      <c r="BT430">
        <v>0</v>
      </c>
      <c r="BU430">
        <v>0</v>
      </c>
      <c r="BW430">
        <v>0</v>
      </c>
      <c r="BY430" t="s">
        <v>106</v>
      </c>
      <c r="BZ430" t="s">
        <v>142</v>
      </c>
      <c r="CA430" t="s">
        <v>112</v>
      </c>
      <c r="CB430" t="s">
        <v>112</v>
      </c>
      <c r="CC430" t="s">
        <v>121</v>
      </c>
      <c r="CD430">
        <v>16312.82</v>
      </c>
      <c r="CE430" t="s">
        <v>144</v>
      </c>
      <c r="CF430">
        <v>4000000</v>
      </c>
      <c r="CG430">
        <v>16312.82</v>
      </c>
      <c r="CH430">
        <v>0</v>
      </c>
      <c r="CI430" t="s">
        <v>112</v>
      </c>
      <c r="CJ430" t="s">
        <v>112</v>
      </c>
      <c r="CK430">
        <v>44105.48</v>
      </c>
      <c r="CM430">
        <v>0</v>
      </c>
      <c r="CN430">
        <v>1</v>
      </c>
      <c r="CO430">
        <v>4969981.2699999996</v>
      </c>
      <c r="CP430">
        <v>51431.09</v>
      </c>
      <c r="CQ430" t="s">
        <v>145</v>
      </c>
      <c r="CR430">
        <v>51385.382999999994</v>
      </c>
      <c r="CS430">
        <v>3.15</v>
      </c>
      <c r="CT430">
        <v>45</v>
      </c>
      <c r="CV430" t="s">
        <v>163</v>
      </c>
      <c r="CW430">
        <v>134</v>
      </c>
    </row>
    <row r="431" spans="1:101" x14ac:dyDescent="0.2">
      <c r="A431" t="s">
        <v>106</v>
      </c>
      <c r="B431" s="46">
        <v>44975</v>
      </c>
      <c r="C431" t="s">
        <v>1968</v>
      </c>
      <c r="D431" t="s">
        <v>108</v>
      </c>
      <c r="E431" t="s">
        <v>1969</v>
      </c>
      <c r="F431" t="s">
        <v>110</v>
      </c>
      <c r="G431" t="s">
        <v>111</v>
      </c>
      <c r="H431" t="s">
        <v>112</v>
      </c>
      <c r="I431" t="s">
        <v>112</v>
      </c>
      <c r="J431" t="s">
        <v>112</v>
      </c>
      <c r="K431" t="s">
        <v>150</v>
      </c>
      <c r="L431" t="s">
        <v>151</v>
      </c>
      <c r="M431" t="s">
        <v>112</v>
      </c>
      <c r="N431" t="s">
        <v>112</v>
      </c>
      <c r="O431">
        <v>1</v>
      </c>
      <c r="Q431">
        <v>1</v>
      </c>
      <c r="R431">
        <v>33</v>
      </c>
      <c r="S431" t="s">
        <v>112</v>
      </c>
      <c r="T431" t="s">
        <v>152</v>
      </c>
      <c r="U431" t="s">
        <v>153</v>
      </c>
      <c r="V431" t="s">
        <v>154</v>
      </c>
      <c r="W431" t="s">
        <v>119</v>
      </c>
      <c r="X431" t="s">
        <v>112</v>
      </c>
      <c r="Y431" t="s">
        <v>112</v>
      </c>
      <c r="Z431" t="s">
        <v>152</v>
      </c>
      <c r="AA431" t="s">
        <v>153</v>
      </c>
      <c r="AB431" t="s">
        <v>154</v>
      </c>
      <c r="AC431" t="s">
        <v>119</v>
      </c>
      <c r="AD431" t="s">
        <v>112</v>
      </c>
      <c r="AE431" t="s">
        <v>121</v>
      </c>
      <c r="AF431" t="s">
        <v>122</v>
      </c>
      <c r="AG431">
        <v>4089907.16</v>
      </c>
      <c r="AH431" t="s">
        <v>112</v>
      </c>
      <c r="AI431" t="s">
        <v>152</v>
      </c>
      <c r="AJ431" t="s">
        <v>153</v>
      </c>
      <c r="AK431" t="s">
        <v>154</v>
      </c>
      <c r="AL431" t="s">
        <v>119</v>
      </c>
      <c r="AM431" t="s">
        <v>112</v>
      </c>
      <c r="AN431" t="s">
        <v>121</v>
      </c>
      <c r="AO431" t="s">
        <v>122</v>
      </c>
      <c r="AP431" t="s">
        <v>122</v>
      </c>
      <c r="AQ431" t="s">
        <v>124</v>
      </c>
      <c r="AR431" t="s">
        <v>125</v>
      </c>
      <c r="AS431">
        <v>2</v>
      </c>
      <c r="AT431" t="s">
        <v>126</v>
      </c>
      <c r="AU431" t="s">
        <v>155</v>
      </c>
      <c r="AV431" t="s">
        <v>156</v>
      </c>
      <c r="AX431" t="s">
        <v>129</v>
      </c>
      <c r="AY431">
        <v>35564.04</v>
      </c>
      <c r="BB431">
        <v>103.03579999999999</v>
      </c>
      <c r="BC431" t="s">
        <v>112</v>
      </c>
      <c r="BD431" t="s">
        <v>112</v>
      </c>
      <c r="BE431" t="s">
        <v>157</v>
      </c>
      <c r="BF431" t="s">
        <v>133</v>
      </c>
      <c r="BG431" t="s">
        <v>134</v>
      </c>
      <c r="BH431" t="s">
        <v>112</v>
      </c>
      <c r="BI431" t="s">
        <v>112</v>
      </c>
      <c r="BJ431" t="s">
        <v>112</v>
      </c>
      <c r="BK431" t="s">
        <v>169</v>
      </c>
      <c r="BL431" t="s">
        <v>159</v>
      </c>
      <c r="BM431" t="s">
        <v>212</v>
      </c>
      <c r="BN431" t="s">
        <v>161</v>
      </c>
      <c r="BP431" t="s">
        <v>213</v>
      </c>
      <c r="BR431" t="s">
        <v>150</v>
      </c>
      <c r="BS431">
        <v>33</v>
      </c>
      <c r="BT431">
        <v>0</v>
      </c>
      <c r="BU431">
        <v>0</v>
      </c>
      <c r="BW431">
        <v>0</v>
      </c>
      <c r="BY431" t="s">
        <v>106</v>
      </c>
      <c r="BZ431" t="s">
        <v>142</v>
      </c>
      <c r="CA431" t="s">
        <v>112</v>
      </c>
      <c r="CB431" t="s">
        <v>112</v>
      </c>
      <c r="CC431" t="s">
        <v>121</v>
      </c>
      <c r="CD431">
        <v>16563.849999999999</v>
      </c>
      <c r="CE431" t="s">
        <v>144</v>
      </c>
      <c r="CF431">
        <v>4000000</v>
      </c>
      <c r="CG431">
        <v>16434.25</v>
      </c>
      <c r="CH431">
        <v>0</v>
      </c>
      <c r="CI431" t="s">
        <v>112</v>
      </c>
      <c r="CJ431" t="s">
        <v>112</v>
      </c>
      <c r="CK431">
        <v>35564.04</v>
      </c>
      <c r="CM431">
        <v>0</v>
      </c>
      <c r="CN431">
        <v>1</v>
      </c>
      <c r="CO431">
        <v>4089907.16</v>
      </c>
      <c r="CP431">
        <v>42323.77</v>
      </c>
      <c r="CQ431" t="s">
        <v>145</v>
      </c>
      <c r="CR431">
        <v>42400.364999999998</v>
      </c>
      <c r="CS431">
        <v>2.58</v>
      </c>
      <c r="CT431">
        <v>45</v>
      </c>
      <c r="CV431" t="s">
        <v>233</v>
      </c>
      <c r="CW431">
        <v>65</v>
      </c>
    </row>
    <row r="432" spans="1:101" x14ac:dyDescent="0.2">
      <c r="A432" t="s">
        <v>106</v>
      </c>
      <c r="B432" s="46">
        <v>45170</v>
      </c>
      <c r="C432" t="s">
        <v>1968</v>
      </c>
      <c r="D432" t="s">
        <v>108</v>
      </c>
      <c r="E432" t="s">
        <v>1969</v>
      </c>
      <c r="F432" t="s">
        <v>110</v>
      </c>
      <c r="G432" t="s">
        <v>111</v>
      </c>
      <c r="H432" t="s">
        <v>112</v>
      </c>
      <c r="I432" t="s">
        <v>112</v>
      </c>
      <c r="J432" t="s">
        <v>112</v>
      </c>
      <c r="K432" t="s">
        <v>150</v>
      </c>
      <c r="L432" t="s">
        <v>151</v>
      </c>
      <c r="M432" t="s">
        <v>112</v>
      </c>
      <c r="N432" t="s">
        <v>112</v>
      </c>
      <c r="O432">
        <v>1</v>
      </c>
      <c r="Q432">
        <v>1</v>
      </c>
      <c r="R432">
        <v>33</v>
      </c>
      <c r="S432" t="s">
        <v>112</v>
      </c>
      <c r="T432" t="s">
        <v>152</v>
      </c>
      <c r="U432" t="s">
        <v>153</v>
      </c>
      <c r="V432" t="s">
        <v>154</v>
      </c>
      <c r="W432" t="s">
        <v>119</v>
      </c>
      <c r="X432" t="s">
        <v>112</v>
      </c>
      <c r="Y432" t="s">
        <v>112</v>
      </c>
      <c r="Z432" t="s">
        <v>152</v>
      </c>
      <c r="AA432" t="s">
        <v>153</v>
      </c>
      <c r="AB432" t="s">
        <v>154</v>
      </c>
      <c r="AC432" t="s">
        <v>119</v>
      </c>
      <c r="AD432" t="s">
        <v>112</v>
      </c>
      <c r="AE432" t="s">
        <v>121</v>
      </c>
      <c r="AF432" t="s">
        <v>122</v>
      </c>
      <c r="AG432">
        <v>4089907.16</v>
      </c>
      <c r="AH432" t="s">
        <v>112</v>
      </c>
      <c r="AI432" t="s">
        <v>152</v>
      </c>
      <c r="AJ432" t="s">
        <v>153</v>
      </c>
      <c r="AK432" t="s">
        <v>154</v>
      </c>
      <c r="AL432" t="s">
        <v>119</v>
      </c>
      <c r="AM432" t="s">
        <v>112</v>
      </c>
      <c r="AN432" t="s">
        <v>121</v>
      </c>
      <c r="AO432" t="s">
        <v>122</v>
      </c>
      <c r="AP432" t="s">
        <v>122</v>
      </c>
      <c r="AQ432" t="s">
        <v>124</v>
      </c>
      <c r="AR432" t="s">
        <v>125</v>
      </c>
      <c r="AS432">
        <v>2</v>
      </c>
      <c r="AT432" t="s">
        <v>126</v>
      </c>
      <c r="AU432" t="s">
        <v>155</v>
      </c>
      <c r="AV432" t="s">
        <v>156</v>
      </c>
      <c r="AX432" t="s">
        <v>129</v>
      </c>
      <c r="AY432">
        <v>35564.04</v>
      </c>
      <c r="BB432">
        <v>103.03579999999999</v>
      </c>
      <c r="BC432" t="s">
        <v>112</v>
      </c>
      <c r="BD432" t="s">
        <v>112</v>
      </c>
      <c r="BE432" t="s">
        <v>157</v>
      </c>
      <c r="BF432" t="s">
        <v>133</v>
      </c>
      <c r="BG432" t="s">
        <v>134</v>
      </c>
      <c r="BH432" t="s">
        <v>112</v>
      </c>
      <c r="BI432" t="s">
        <v>112</v>
      </c>
      <c r="BJ432" t="s">
        <v>112</v>
      </c>
      <c r="BK432" t="s">
        <v>169</v>
      </c>
      <c r="BL432" t="s">
        <v>159</v>
      </c>
      <c r="BM432" t="s">
        <v>212</v>
      </c>
      <c r="BN432" t="s">
        <v>161</v>
      </c>
      <c r="BP432" t="s">
        <v>213</v>
      </c>
      <c r="BR432" t="s">
        <v>150</v>
      </c>
      <c r="BS432">
        <v>33</v>
      </c>
      <c r="BT432">
        <v>0</v>
      </c>
      <c r="BU432">
        <v>0</v>
      </c>
      <c r="BW432">
        <v>0</v>
      </c>
      <c r="BY432" t="s">
        <v>106</v>
      </c>
      <c r="BZ432" t="s">
        <v>142</v>
      </c>
      <c r="CA432" t="s">
        <v>112</v>
      </c>
      <c r="CB432" t="s">
        <v>112</v>
      </c>
      <c r="CC432" t="s">
        <v>121</v>
      </c>
      <c r="CD432">
        <v>16563.849999999999</v>
      </c>
      <c r="CE432" t="s">
        <v>144</v>
      </c>
      <c r="CF432">
        <v>4000000</v>
      </c>
      <c r="CG432">
        <v>16434.25</v>
      </c>
      <c r="CH432">
        <v>0</v>
      </c>
      <c r="CI432" t="s">
        <v>112</v>
      </c>
      <c r="CJ432" t="s">
        <v>112</v>
      </c>
      <c r="CK432">
        <v>35564.04</v>
      </c>
      <c r="CM432">
        <v>0</v>
      </c>
      <c r="CN432">
        <v>1</v>
      </c>
      <c r="CO432">
        <v>4089907.16</v>
      </c>
      <c r="CP432">
        <v>42323.77</v>
      </c>
      <c r="CQ432" t="s">
        <v>145</v>
      </c>
      <c r="CR432">
        <v>42400.364999999998</v>
      </c>
      <c r="CS432">
        <v>2.58</v>
      </c>
      <c r="CT432">
        <v>45</v>
      </c>
      <c r="CV432" t="s">
        <v>233</v>
      </c>
      <c r="CW432">
        <v>65</v>
      </c>
    </row>
    <row r="433" spans="1:101" x14ac:dyDescent="0.2">
      <c r="A433" t="s">
        <v>106</v>
      </c>
      <c r="B433" s="46">
        <v>45090</v>
      </c>
      <c r="C433" t="s">
        <v>1998</v>
      </c>
      <c r="D433" t="s">
        <v>108</v>
      </c>
      <c r="E433" t="s">
        <v>1999</v>
      </c>
      <c r="F433" t="s">
        <v>110</v>
      </c>
      <c r="G433" t="s">
        <v>111</v>
      </c>
      <c r="H433" t="s">
        <v>112</v>
      </c>
      <c r="I433" t="s">
        <v>112</v>
      </c>
      <c r="J433" t="s">
        <v>112</v>
      </c>
      <c r="K433" t="s">
        <v>150</v>
      </c>
      <c r="L433" t="s">
        <v>151</v>
      </c>
      <c r="M433" t="s">
        <v>112</v>
      </c>
      <c r="N433" t="s">
        <v>112</v>
      </c>
      <c r="O433">
        <v>1</v>
      </c>
      <c r="Q433">
        <v>1</v>
      </c>
      <c r="R433">
        <v>33</v>
      </c>
      <c r="S433" t="s">
        <v>112</v>
      </c>
      <c r="T433" t="s">
        <v>152</v>
      </c>
      <c r="U433" t="s">
        <v>153</v>
      </c>
      <c r="V433" t="s">
        <v>154</v>
      </c>
      <c r="W433" t="s">
        <v>119</v>
      </c>
      <c r="X433" t="s">
        <v>112</v>
      </c>
      <c r="Y433" t="s">
        <v>112</v>
      </c>
      <c r="Z433" t="s">
        <v>152</v>
      </c>
      <c r="AA433" t="s">
        <v>153</v>
      </c>
      <c r="AB433" t="s">
        <v>154</v>
      </c>
      <c r="AC433" t="s">
        <v>119</v>
      </c>
      <c r="AD433" t="s">
        <v>112</v>
      </c>
      <c r="AE433" t="s">
        <v>121</v>
      </c>
      <c r="AF433" t="s">
        <v>122</v>
      </c>
      <c r="AG433">
        <v>4973660.67</v>
      </c>
      <c r="AH433" t="s">
        <v>112</v>
      </c>
      <c r="AI433" t="s">
        <v>152</v>
      </c>
      <c r="AJ433" t="s">
        <v>153</v>
      </c>
      <c r="AK433" t="s">
        <v>154</v>
      </c>
      <c r="AL433" t="s">
        <v>119</v>
      </c>
      <c r="AM433" t="s">
        <v>112</v>
      </c>
      <c r="AN433" t="s">
        <v>121</v>
      </c>
      <c r="AO433" t="s">
        <v>122</v>
      </c>
      <c r="AP433" t="s">
        <v>122</v>
      </c>
      <c r="AQ433" t="s">
        <v>124</v>
      </c>
      <c r="AR433" t="s">
        <v>125</v>
      </c>
      <c r="AS433">
        <v>2</v>
      </c>
      <c r="AT433" t="s">
        <v>126</v>
      </c>
      <c r="AU433" t="s">
        <v>155</v>
      </c>
      <c r="AV433" t="s">
        <v>156</v>
      </c>
      <c r="AX433" t="s">
        <v>129</v>
      </c>
      <c r="AY433">
        <v>44141.19</v>
      </c>
      <c r="BB433">
        <v>103.03579999999999</v>
      </c>
      <c r="BC433" t="s">
        <v>112</v>
      </c>
      <c r="BD433" t="s">
        <v>112</v>
      </c>
      <c r="BE433" t="s">
        <v>157</v>
      </c>
      <c r="BF433" t="s">
        <v>133</v>
      </c>
      <c r="BG433" t="s">
        <v>134</v>
      </c>
      <c r="BH433" t="s">
        <v>112</v>
      </c>
      <c r="BI433" t="s">
        <v>112</v>
      </c>
      <c r="BJ433" t="s">
        <v>112</v>
      </c>
      <c r="BK433" t="s">
        <v>169</v>
      </c>
      <c r="BL433" t="s">
        <v>159</v>
      </c>
      <c r="BM433" t="s">
        <v>212</v>
      </c>
      <c r="BN433" t="s">
        <v>161</v>
      </c>
      <c r="BP433" t="s">
        <v>205</v>
      </c>
      <c r="BR433" t="s">
        <v>150</v>
      </c>
      <c r="BS433">
        <v>33</v>
      </c>
      <c r="BT433">
        <v>0</v>
      </c>
      <c r="BU433">
        <v>0</v>
      </c>
      <c r="BW433">
        <v>0</v>
      </c>
      <c r="BY433" t="s">
        <v>106</v>
      </c>
      <c r="BZ433" t="s">
        <v>142</v>
      </c>
      <c r="CA433" t="s">
        <v>112</v>
      </c>
      <c r="CB433" t="s">
        <v>112</v>
      </c>
      <c r="CC433" t="s">
        <v>121</v>
      </c>
      <c r="CD433">
        <v>17133.57</v>
      </c>
      <c r="CE433" t="s">
        <v>144</v>
      </c>
      <c r="CF433">
        <v>4000000</v>
      </c>
      <c r="CG433">
        <v>17133.57</v>
      </c>
      <c r="CH433">
        <v>0</v>
      </c>
      <c r="CI433" t="s">
        <v>112</v>
      </c>
      <c r="CJ433" t="s">
        <v>112</v>
      </c>
      <c r="CK433">
        <v>44141.19</v>
      </c>
      <c r="CM433">
        <v>0</v>
      </c>
      <c r="CN433">
        <v>1</v>
      </c>
      <c r="CO433">
        <v>4973660.67</v>
      </c>
      <c r="CP433">
        <v>51469.16</v>
      </c>
      <c r="CQ433" t="s">
        <v>145</v>
      </c>
      <c r="CR433">
        <v>51400.71</v>
      </c>
      <c r="CS433">
        <v>3</v>
      </c>
      <c r="CT433">
        <v>45</v>
      </c>
      <c r="CV433" t="s">
        <v>233</v>
      </c>
      <c r="CW433">
        <v>182</v>
      </c>
    </row>
    <row r="434" spans="1:101" x14ac:dyDescent="0.2">
      <c r="A434" t="s">
        <v>106</v>
      </c>
      <c r="B434" s="46">
        <v>45072</v>
      </c>
      <c r="C434" t="s">
        <v>1965</v>
      </c>
      <c r="D434" t="s">
        <v>108</v>
      </c>
      <c r="E434" t="s">
        <v>1966</v>
      </c>
      <c r="F434" t="s">
        <v>110</v>
      </c>
      <c r="G434" t="s">
        <v>111</v>
      </c>
      <c r="H434" t="s">
        <v>112</v>
      </c>
      <c r="I434" t="s">
        <v>112</v>
      </c>
      <c r="J434" t="s">
        <v>112</v>
      </c>
      <c r="K434" t="s">
        <v>150</v>
      </c>
      <c r="L434" t="s">
        <v>151</v>
      </c>
      <c r="M434" t="s">
        <v>112</v>
      </c>
      <c r="N434" t="s">
        <v>112</v>
      </c>
      <c r="O434">
        <v>1</v>
      </c>
      <c r="Q434">
        <v>1</v>
      </c>
      <c r="R434">
        <v>33</v>
      </c>
      <c r="S434" t="s">
        <v>112</v>
      </c>
      <c r="T434" t="s">
        <v>152</v>
      </c>
      <c r="U434" t="s">
        <v>153</v>
      </c>
      <c r="V434" t="s">
        <v>154</v>
      </c>
      <c r="W434" t="s">
        <v>119</v>
      </c>
      <c r="X434" t="s">
        <v>112</v>
      </c>
      <c r="Y434" t="s">
        <v>112</v>
      </c>
      <c r="Z434" t="s">
        <v>152</v>
      </c>
      <c r="AA434" t="s">
        <v>153</v>
      </c>
      <c r="AB434" t="s">
        <v>154</v>
      </c>
      <c r="AC434" t="s">
        <v>119</v>
      </c>
      <c r="AD434" t="s">
        <v>112</v>
      </c>
      <c r="AE434" t="s">
        <v>121</v>
      </c>
      <c r="AF434" t="s">
        <v>122</v>
      </c>
      <c r="AG434">
        <v>4927498.58</v>
      </c>
      <c r="AH434" t="s">
        <v>112</v>
      </c>
      <c r="AI434" t="s">
        <v>152</v>
      </c>
      <c r="AJ434" t="s">
        <v>153</v>
      </c>
      <c r="AK434" t="s">
        <v>154</v>
      </c>
      <c r="AL434" t="s">
        <v>119</v>
      </c>
      <c r="AM434" t="s">
        <v>112</v>
      </c>
      <c r="AN434" t="s">
        <v>121</v>
      </c>
      <c r="AO434" t="s">
        <v>122</v>
      </c>
      <c r="AP434" t="s">
        <v>122</v>
      </c>
      <c r="AQ434" t="s">
        <v>124</v>
      </c>
      <c r="AR434" t="s">
        <v>125</v>
      </c>
      <c r="AS434">
        <v>2</v>
      </c>
      <c r="AT434" t="s">
        <v>126</v>
      </c>
      <c r="AU434" t="s">
        <v>155</v>
      </c>
      <c r="AV434" t="s">
        <v>156</v>
      </c>
      <c r="AX434" t="s">
        <v>129</v>
      </c>
      <c r="AY434">
        <v>43693.17</v>
      </c>
      <c r="BB434">
        <v>103.03579999999999</v>
      </c>
      <c r="BC434" t="s">
        <v>112</v>
      </c>
      <c r="BD434" t="s">
        <v>112</v>
      </c>
      <c r="BE434" t="s">
        <v>157</v>
      </c>
      <c r="BF434" t="s">
        <v>133</v>
      </c>
      <c r="BG434" t="s">
        <v>167</v>
      </c>
      <c r="BH434" t="s">
        <v>112</v>
      </c>
      <c r="BI434" t="s">
        <v>112</v>
      </c>
      <c r="BJ434" t="s">
        <v>112</v>
      </c>
      <c r="BK434" t="s">
        <v>169</v>
      </c>
      <c r="BL434" t="s">
        <v>159</v>
      </c>
      <c r="BM434" t="s">
        <v>160</v>
      </c>
      <c r="BN434" t="s">
        <v>161</v>
      </c>
      <c r="BP434" t="s">
        <v>1967</v>
      </c>
      <c r="BR434" t="s">
        <v>150</v>
      </c>
      <c r="BS434">
        <v>33</v>
      </c>
      <c r="BT434">
        <v>0</v>
      </c>
      <c r="BU434">
        <v>0</v>
      </c>
      <c r="BW434">
        <v>0</v>
      </c>
      <c r="BY434" t="s">
        <v>106</v>
      </c>
      <c r="BZ434" t="s">
        <v>142</v>
      </c>
      <c r="CA434" t="s">
        <v>112</v>
      </c>
      <c r="CB434" t="s">
        <v>112</v>
      </c>
      <c r="CC434" t="s">
        <v>121</v>
      </c>
      <c r="CD434">
        <v>16162.68</v>
      </c>
      <c r="CE434" t="s">
        <v>144</v>
      </c>
      <c r="CF434">
        <v>4000000</v>
      </c>
      <c r="CG434">
        <v>16162.68</v>
      </c>
      <c r="CH434">
        <v>0</v>
      </c>
      <c r="CI434" t="s">
        <v>112</v>
      </c>
      <c r="CJ434" t="s">
        <v>112</v>
      </c>
      <c r="CK434">
        <v>43693.17</v>
      </c>
      <c r="CM434">
        <v>0</v>
      </c>
      <c r="CN434">
        <v>1</v>
      </c>
      <c r="CO434">
        <v>4927498.58</v>
      </c>
      <c r="CP434">
        <v>50991.46</v>
      </c>
      <c r="CQ434" t="s">
        <v>145</v>
      </c>
      <c r="CR434">
        <v>50912.442000000003</v>
      </c>
      <c r="CS434">
        <v>3.15</v>
      </c>
      <c r="CT434">
        <v>45</v>
      </c>
      <c r="CV434" t="s">
        <v>729</v>
      </c>
      <c r="CW434">
        <v>96</v>
      </c>
    </row>
    <row r="435" spans="1:101" x14ac:dyDescent="0.2">
      <c r="A435" t="s">
        <v>106</v>
      </c>
      <c r="B435" s="46">
        <v>45274</v>
      </c>
      <c r="C435" t="s">
        <v>1965</v>
      </c>
      <c r="D435" t="s">
        <v>108</v>
      </c>
      <c r="E435" t="s">
        <v>1966</v>
      </c>
      <c r="F435" t="s">
        <v>110</v>
      </c>
      <c r="G435" t="s">
        <v>111</v>
      </c>
      <c r="H435" t="s">
        <v>112</v>
      </c>
      <c r="I435" t="s">
        <v>112</v>
      </c>
      <c r="J435" t="s">
        <v>112</v>
      </c>
      <c r="K435" t="s">
        <v>150</v>
      </c>
      <c r="L435" t="s">
        <v>151</v>
      </c>
      <c r="M435" t="s">
        <v>112</v>
      </c>
      <c r="N435" t="s">
        <v>112</v>
      </c>
      <c r="O435">
        <v>1</v>
      </c>
      <c r="Q435">
        <v>1</v>
      </c>
      <c r="R435">
        <v>33</v>
      </c>
      <c r="S435" t="s">
        <v>112</v>
      </c>
      <c r="T435" t="s">
        <v>152</v>
      </c>
      <c r="U435" t="s">
        <v>153</v>
      </c>
      <c r="V435" t="s">
        <v>154</v>
      </c>
      <c r="W435" t="s">
        <v>119</v>
      </c>
      <c r="X435" t="s">
        <v>112</v>
      </c>
      <c r="Y435" t="s">
        <v>112</v>
      </c>
      <c r="Z435" t="s">
        <v>152</v>
      </c>
      <c r="AA435" t="s">
        <v>153</v>
      </c>
      <c r="AB435" t="s">
        <v>154</v>
      </c>
      <c r="AC435" t="s">
        <v>119</v>
      </c>
      <c r="AD435" t="s">
        <v>112</v>
      </c>
      <c r="AE435" t="s">
        <v>121</v>
      </c>
      <c r="AF435" t="s">
        <v>122</v>
      </c>
      <c r="AG435">
        <v>4927498.58</v>
      </c>
      <c r="AH435" t="s">
        <v>112</v>
      </c>
      <c r="AI435" t="s">
        <v>152</v>
      </c>
      <c r="AJ435" t="s">
        <v>153</v>
      </c>
      <c r="AK435" t="s">
        <v>154</v>
      </c>
      <c r="AL435" t="s">
        <v>119</v>
      </c>
      <c r="AM435" t="s">
        <v>112</v>
      </c>
      <c r="AN435" t="s">
        <v>121</v>
      </c>
      <c r="AO435" t="s">
        <v>122</v>
      </c>
      <c r="AP435" t="s">
        <v>122</v>
      </c>
      <c r="AQ435" t="s">
        <v>124</v>
      </c>
      <c r="AR435" t="s">
        <v>125</v>
      </c>
      <c r="AS435">
        <v>2</v>
      </c>
      <c r="AT435" t="s">
        <v>126</v>
      </c>
      <c r="AU435" t="s">
        <v>155</v>
      </c>
      <c r="AV435" t="s">
        <v>156</v>
      </c>
      <c r="AX435" t="s">
        <v>129</v>
      </c>
      <c r="AY435">
        <v>43693.17</v>
      </c>
      <c r="BB435">
        <v>103.03579999999999</v>
      </c>
      <c r="BC435" t="s">
        <v>112</v>
      </c>
      <c r="BD435" t="s">
        <v>112</v>
      </c>
      <c r="BE435" t="s">
        <v>157</v>
      </c>
      <c r="BF435" t="s">
        <v>133</v>
      </c>
      <c r="BG435" t="s">
        <v>167</v>
      </c>
      <c r="BH435" t="s">
        <v>112</v>
      </c>
      <c r="BI435" t="s">
        <v>112</v>
      </c>
      <c r="BJ435" t="s">
        <v>112</v>
      </c>
      <c r="BK435" t="s">
        <v>169</v>
      </c>
      <c r="BL435" t="s">
        <v>159</v>
      </c>
      <c r="BM435" t="s">
        <v>160</v>
      </c>
      <c r="BN435" t="s">
        <v>161</v>
      </c>
      <c r="BP435" t="s">
        <v>1967</v>
      </c>
      <c r="BR435" t="s">
        <v>150</v>
      </c>
      <c r="BS435">
        <v>33</v>
      </c>
      <c r="BT435">
        <v>0</v>
      </c>
      <c r="BU435">
        <v>0</v>
      </c>
      <c r="BW435">
        <v>0</v>
      </c>
      <c r="BY435" t="s">
        <v>106</v>
      </c>
      <c r="BZ435" t="s">
        <v>142</v>
      </c>
      <c r="CA435" t="s">
        <v>112</v>
      </c>
      <c r="CB435" t="s">
        <v>112</v>
      </c>
      <c r="CC435" t="s">
        <v>121</v>
      </c>
      <c r="CD435">
        <v>16162.68</v>
      </c>
      <c r="CE435" t="s">
        <v>144</v>
      </c>
      <c r="CF435">
        <v>4000000</v>
      </c>
      <c r="CG435">
        <v>16162.68</v>
      </c>
      <c r="CH435">
        <v>0</v>
      </c>
      <c r="CI435" t="s">
        <v>112</v>
      </c>
      <c r="CJ435" t="s">
        <v>112</v>
      </c>
      <c r="CK435">
        <v>43693.17</v>
      </c>
      <c r="CM435">
        <v>0</v>
      </c>
      <c r="CN435">
        <v>1</v>
      </c>
      <c r="CO435">
        <v>4927498.58</v>
      </c>
      <c r="CP435">
        <v>50991.46</v>
      </c>
      <c r="CQ435" t="s">
        <v>145</v>
      </c>
      <c r="CR435">
        <v>50912.442000000003</v>
      </c>
      <c r="CS435">
        <v>3.15</v>
      </c>
      <c r="CT435">
        <v>45</v>
      </c>
      <c r="CV435" t="s">
        <v>729</v>
      </c>
      <c r="CW435">
        <v>96</v>
      </c>
    </row>
    <row r="436" spans="1:101" x14ac:dyDescent="0.2">
      <c r="A436" t="s">
        <v>106</v>
      </c>
      <c r="B436" s="46">
        <v>45000</v>
      </c>
      <c r="C436" t="s">
        <v>1996</v>
      </c>
      <c r="D436" t="s">
        <v>108</v>
      </c>
      <c r="E436" t="s">
        <v>1997</v>
      </c>
      <c r="F436" t="s">
        <v>110</v>
      </c>
      <c r="G436" t="s">
        <v>111</v>
      </c>
      <c r="H436" t="s">
        <v>112</v>
      </c>
      <c r="I436" t="s">
        <v>112</v>
      </c>
      <c r="J436" t="s">
        <v>112</v>
      </c>
      <c r="K436" t="s">
        <v>150</v>
      </c>
      <c r="L436" t="s">
        <v>151</v>
      </c>
      <c r="M436" t="s">
        <v>112</v>
      </c>
      <c r="N436" t="s">
        <v>112</v>
      </c>
      <c r="O436">
        <v>1</v>
      </c>
      <c r="Q436">
        <v>1</v>
      </c>
      <c r="R436">
        <v>33</v>
      </c>
      <c r="S436" t="s">
        <v>112</v>
      </c>
      <c r="T436" t="s">
        <v>152</v>
      </c>
      <c r="U436" t="s">
        <v>153</v>
      </c>
      <c r="V436" t="s">
        <v>154</v>
      </c>
      <c r="W436" t="s">
        <v>119</v>
      </c>
      <c r="X436" t="s">
        <v>112</v>
      </c>
      <c r="Y436" t="s">
        <v>112</v>
      </c>
      <c r="Z436" t="s">
        <v>152</v>
      </c>
      <c r="AA436" t="s">
        <v>153</v>
      </c>
      <c r="AB436" t="s">
        <v>154</v>
      </c>
      <c r="AC436" t="s">
        <v>119</v>
      </c>
      <c r="AD436" t="s">
        <v>112</v>
      </c>
      <c r="AE436" t="s">
        <v>121</v>
      </c>
      <c r="AF436" t="s">
        <v>122</v>
      </c>
      <c r="AG436">
        <v>4089907.16</v>
      </c>
      <c r="AH436" t="s">
        <v>112</v>
      </c>
      <c r="AI436" t="s">
        <v>152</v>
      </c>
      <c r="AJ436" t="s">
        <v>153</v>
      </c>
      <c r="AK436" t="s">
        <v>154</v>
      </c>
      <c r="AL436" t="s">
        <v>119</v>
      </c>
      <c r="AM436" t="s">
        <v>112</v>
      </c>
      <c r="AN436" t="s">
        <v>121</v>
      </c>
      <c r="AO436" t="s">
        <v>122</v>
      </c>
      <c r="AP436" t="s">
        <v>122</v>
      </c>
      <c r="AQ436" t="s">
        <v>124</v>
      </c>
      <c r="AR436" t="s">
        <v>125</v>
      </c>
      <c r="AS436">
        <v>2</v>
      </c>
      <c r="AT436" t="s">
        <v>126</v>
      </c>
      <c r="AU436" t="s">
        <v>155</v>
      </c>
      <c r="AV436" t="s">
        <v>156</v>
      </c>
      <c r="AX436" t="s">
        <v>129</v>
      </c>
      <c r="AY436">
        <v>35564.04</v>
      </c>
      <c r="BB436">
        <v>103.03579999999999</v>
      </c>
      <c r="BC436" t="s">
        <v>112</v>
      </c>
      <c r="BD436" t="s">
        <v>112</v>
      </c>
      <c r="BE436" t="s">
        <v>157</v>
      </c>
      <c r="BF436" t="s">
        <v>133</v>
      </c>
      <c r="BG436" t="s">
        <v>167</v>
      </c>
      <c r="BH436" t="s">
        <v>112</v>
      </c>
      <c r="BI436" t="s">
        <v>112</v>
      </c>
      <c r="BJ436" t="s">
        <v>112</v>
      </c>
      <c r="BK436" t="s">
        <v>169</v>
      </c>
      <c r="BL436" t="s">
        <v>159</v>
      </c>
      <c r="BM436" t="s">
        <v>160</v>
      </c>
      <c r="BN436" t="s">
        <v>161</v>
      </c>
      <c r="BP436" t="s">
        <v>616</v>
      </c>
      <c r="BR436" t="s">
        <v>150</v>
      </c>
      <c r="BS436">
        <v>33</v>
      </c>
      <c r="BT436">
        <v>0</v>
      </c>
      <c r="BU436">
        <v>0</v>
      </c>
      <c r="BW436">
        <v>0</v>
      </c>
      <c r="BY436" t="s">
        <v>106</v>
      </c>
      <c r="BZ436" t="s">
        <v>142</v>
      </c>
      <c r="CA436" t="s">
        <v>112</v>
      </c>
      <c r="CB436" t="s">
        <v>112</v>
      </c>
      <c r="CC436" t="s">
        <v>121</v>
      </c>
      <c r="CD436">
        <v>16563.849999999999</v>
      </c>
      <c r="CE436" t="s">
        <v>144</v>
      </c>
      <c r="CF436">
        <v>4000000</v>
      </c>
      <c r="CG436">
        <v>16434.25</v>
      </c>
      <c r="CH436">
        <v>0</v>
      </c>
      <c r="CI436" t="s">
        <v>112</v>
      </c>
      <c r="CJ436" t="s">
        <v>112</v>
      </c>
      <c r="CK436">
        <v>35564.04</v>
      </c>
      <c r="CM436">
        <v>0</v>
      </c>
      <c r="CN436">
        <v>1</v>
      </c>
      <c r="CO436">
        <v>4089907.16</v>
      </c>
      <c r="CP436">
        <v>42323.77</v>
      </c>
      <c r="CQ436" t="s">
        <v>145</v>
      </c>
      <c r="CR436">
        <v>42400.364999999998</v>
      </c>
      <c r="CS436">
        <v>2.58</v>
      </c>
      <c r="CT436">
        <v>45</v>
      </c>
      <c r="CV436" t="s">
        <v>163</v>
      </c>
      <c r="CW436">
        <v>180</v>
      </c>
    </row>
    <row r="437" spans="1:101" x14ac:dyDescent="0.2">
      <c r="A437" t="s">
        <v>106</v>
      </c>
      <c r="B437" s="46">
        <v>45289</v>
      </c>
      <c r="C437" t="s">
        <v>1963</v>
      </c>
      <c r="D437" t="s">
        <v>108</v>
      </c>
      <c r="E437" t="s">
        <v>1964</v>
      </c>
      <c r="F437" t="s">
        <v>110</v>
      </c>
      <c r="G437" t="s">
        <v>111</v>
      </c>
      <c r="H437" t="s">
        <v>112</v>
      </c>
      <c r="I437" t="s">
        <v>112</v>
      </c>
      <c r="J437" t="s">
        <v>112</v>
      </c>
      <c r="K437" t="s">
        <v>150</v>
      </c>
      <c r="L437" t="s">
        <v>151</v>
      </c>
      <c r="M437" t="s">
        <v>112</v>
      </c>
      <c r="N437" t="s">
        <v>112</v>
      </c>
      <c r="O437">
        <v>1</v>
      </c>
      <c r="Q437">
        <v>1</v>
      </c>
      <c r="R437">
        <v>33</v>
      </c>
      <c r="S437" t="s">
        <v>112</v>
      </c>
      <c r="T437" t="s">
        <v>152</v>
      </c>
      <c r="U437" t="s">
        <v>153</v>
      </c>
      <c r="V437" t="s">
        <v>154</v>
      </c>
      <c r="W437" t="s">
        <v>119</v>
      </c>
      <c r="X437" t="s">
        <v>112</v>
      </c>
      <c r="Y437" t="s">
        <v>112</v>
      </c>
      <c r="Z437" t="s">
        <v>152</v>
      </c>
      <c r="AA437" t="s">
        <v>153</v>
      </c>
      <c r="AB437" t="s">
        <v>154</v>
      </c>
      <c r="AC437" t="s">
        <v>119</v>
      </c>
      <c r="AD437" t="s">
        <v>112</v>
      </c>
      <c r="AE437" t="s">
        <v>121</v>
      </c>
      <c r="AF437" t="s">
        <v>122</v>
      </c>
      <c r="AG437">
        <v>4685252.1399999997</v>
      </c>
      <c r="AH437" t="s">
        <v>112</v>
      </c>
      <c r="AI437" t="s">
        <v>152</v>
      </c>
      <c r="AJ437" t="s">
        <v>153</v>
      </c>
      <c r="AK437" t="s">
        <v>154</v>
      </c>
      <c r="AL437" t="s">
        <v>119</v>
      </c>
      <c r="AM437" t="s">
        <v>112</v>
      </c>
      <c r="AN437" t="s">
        <v>121</v>
      </c>
      <c r="AO437" t="s">
        <v>122</v>
      </c>
      <c r="AP437" t="s">
        <v>122</v>
      </c>
      <c r="AQ437" t="s">
        <v>124</v>
      </c>
      <c r="AR437" t="s">
        <v>125</v>
      </c>
      <c r="AS437">
        <v>2</v>
      </c>
      <c r="AT437" t="s">
        <v>126</v>
      </c>
      <c r="AU437" t="s">
        <v>155</v>
      </c>
      <c r="AV437" t="s">
        <v>156</v>
      </c>
      <c r="AX437" t="s">
        <v>129</v>
      </c>
      <c r="AY437">
        <v>41342.080000000002</v>
      </c>
      <c r="BB437">
        <v>103.03579999999999</v>
      </c>
      <c r="BC437" t="s">
        <v>112</v>
      </c>
      <c r="BD437" t="s">
        <v>112</v>
      </c>
      <c r="BE437" t="s">
        <v>157</v>
      </c>
      <c r="BF437" t="s">
        <v>133</v>
      </c>
      <c r="BG437" t="s">
        <v>167</v>
      </c>
      <c r="BH437" t="s">
        <v>112</v>
      </c>
      <c r="BI437" t="s">
        <v>112</v>
      </c>
      <c r="BJ437" t="s">
        <v>112</v>
      </c>
      <c r="BK437" t="s">
        <v>169</v>
      </c>
      <c r="BL437" t="s">
        <v>159</v>
      </c>
      <c r="BM437" t="s">
        <v>160</v>
      </c>
      <c r="BN437" t="s">
        <v>161</v>
      </c>
      <c r="BP437" t="s">
        <v>616</v>
      </c>
      <c r="BR437" t="s">
        <v>150</v>
      </c>
      <c r="BS437">
        <v>33</v>
      </c>
      <c r="BT437">
        <v>0</v>
      </c>
      <c r="BU437">
        <v>0</v>
      </c>
      <c r="BW437">
        <v>0</v>
      </c>
      <c r="BY437" t="s">
        <v>106</v>
      </c>
      <c r="BZ437" t="s">
        <v>142</v>
      </c>
      <c r="CA437" t="s">
        <v>112</v>
      </c>
      <c r="CB437" t="s">
        <v>112</v>
      </c>
      <c r="CC437" t="s">
        <v>121</v>
      </c>
      <c r="CD437">
        <v>15976.88</v>
      </c>
      <c r="CE437" t="s">
        <v>144</v>
      </c>
      <c r="CF437">
        <v>4000000</v>
      </c>
      <c r="CG437">
        <v>15804.08</v>
      </c>
      <c r="CH437">
        <v>0</v>
      </c>
      <c r="CI437" t="s">
        <v>112</v>
      </c>
      <c r="CJ437" t="s">
        <v>112</v>
      </c>
      <c r="CK437">
        <v>41342.080000000002</v>
      </c>
      <c r="CM437">
        <v>0</v>
      </c>
      <c r="CN437">
        <v>1</v>
      </c>
      <c r="CO437">
        <v>4685252.1399999997</v>
      </c>
      <c r="CP437">
        <v>48484.61</v>
      </c>
      <c r="CQ437" t="s">
        <v>145</v>
      </c>
      <c r="CR437">
        <v>48518.525600000001</v>
      </c>
      <c r="CS437">
        <v>3.07</v>
      </c>
      <c r="CT437">
        <v>45</v>
      </c>
      <c r="CV437" t="s">
        <v>163</v>
      </c>
      <c r="CW437">
        <v>296</v>
      </c>
    </row>
    <row r="438" spans="1:101" x14ac:dyDescent="0.2">
      <c r="A438" t="s">
        <v>106</v>
      </c>
      <c r="B438" s="46">
        <v>45081</v>
      </c>
      <c r="C438" t="s">
        <v>1963</v>
      </c>
      <c r="D438" t="s">
        <v>108</v>
      </c>
      <c r="E438" t="s">
        <v>1964</v>
      </c>
      <c r="F438" t="s">
        <v>110</v>
      </c>
      <c r="G438" t="s">
        <v>111</v>
      </c>
      <c r="H438" t="s">
        <v>112</v>
      </c>
      <c r="I438" t="s">
        <v>112</v>
      </c>
      <c r="J438" t="s">
        <v>112</v>
      </c>
      <c r="K438" t="s">
        <v>150</v>
      </c>
      <c r="L438" t="s">
        <v>151</v>
      </c>
      <c r="M438" t="s">
        <v>112</v>
      </c>
      <c r="N438" t="s">
        <v>112</v>
      </c>
      <c r="O438">
        <v>1</v>
      </c>
      <c r="Q438">
        <v>1</v>
      </c>
      <c r="R438">
        <v>33</v>
      </c>
      <c r="S438" t="s">
        <v>112</v>
      </c>
      <c r="T438" t="s">
        <v>152</v>
      </c>
      <c r="U438" t="s">
        <v>153</v>
      </c>
      <c r="V438" t="s">
        <v>154</v>
      </c>
      <c r="W438" t="s">
        <v>119</v>
      </c>
      <c r="X438" t="s">
        <v>112</v>
      </c>
      <c r="Y438" t="s">
        <v>112</v>
      </c>
      <c r="Z438" t="s">
        <v>152</v>
      </c>
      <c r="AA438" t="s">
        <v>153</v>
      </c>
      <c r="AB438" t="s">
        <v>154</v>
      </c>
      <c r="AC438" t="s">
        <v>119</v>
      </c>
      <c r="AD438" t="s">
        <v>112</v>
      </c>
      <c r="AE438" t="s">
        <v>121</v>
      </c>
      <c r="AF438" t="s">
        <v>122</v>
      </c>
      <c r="AG438">
        <v>4685252.1399999997</v>
      </c>
      <c r="AH438" t="s">
        <v>112</v>
      </c>
      <c r="AI438" t="s">
        <v>152</v>
      </c>
      <c r="AJ438" t="s">
        <v>153</v>
      </c>
      <c r="AK438" t="s">
        <v>154</v>
      </c>
      <c r="AL438" t="s">
        <v>119</v>
      </c>
      <c r="AM438" t="s">
        <v>112</v>
      </c>
      <c r="AN438" t="s">
        <v>121</v>
      </c>
      <c r="AO438" t="s">
        <v>122</v>
      </c>
      <c r="AP438" t="s">
        <v>122</v>
      </c>
      <c r="AQ438" t="s">
        <v>124</v>
      </c>
      <c r="AR438" t="s">
        <v>125</v>
      </c>
      <c r="AS438">
        <v>2</v>
      </c>
      <c r="AT438" t="s">
        <v>126</v>
      </c>
      <c r="AU438" t="s">
        <v>155</v>
      </c>
      <c r="AV438" t="s">
        <v>156</v>
      </c>
      <c r="AX438" t="s">
        <v>129</v>
      </c>
      <c r="AY438">
        <v>41342.080000000002</v>
      </c>
      <c r="BB438">
        <v>103.03579999999999</v>
      </c>
      <c r="BC438" t="s">
        <v>112</v>
      </c>
      <c r="BD438" t="s">
        <v>112</v>
      </c>
      <c r="BE438" t="s">
        <v>157</v>
      </c>
      <c r="BF438" t="s">
        <v>133</v>
      </c>
      <c r="BG438" t="s">
        <v>167</v>
      </c>
      <c r="BH438" t="s">
        <v>112</v>
      </c>
      <c r="BI438" t="s">
        <v>112</v>
      </c>
      <c r="BJ438" t="s">
        <v>112</v>
      </c>
      <c r="BK438" t="s">
        <v>169</v>
      </c>
      <c r="BL438" t="s">
        <v>159</v>
      </c>
      <c r="BM438" t="s">
        <v>160</v>
      </c>
      <c r="BN438" t="s">
        <v>161</v>
      </c>
      <c r="BP438" t="s">
        <v>616</v>
      </c>
      <c r="BR438" t="s">
        <v>150</v>
      </c>
      <c r="BS438">
        <v>33</v>
      </c>
      <c r="BT438">
        <v>0</v>
      </c>
      <c r="BU438">
        <v>0</v>
      </c>
      <c r="BW438">
        <v>0</v>
      </c>
      <c r="BY438" t="s">
        <v>106</v>
      </c>
      <c r="BZ438" t="s">
        <v>142</v>
      </c>
      <c r="CA438" t="s">
        <v>112</v>
      </c>
      <c r="CB438" t="s">
        <v>112</v>
      </c>
      <c r="CC438" t="s">
        <v>121</v>
      </c>
      <c r="CD438">
        <v>15976.88</v>
      </c>
      <c r="CE438" t="s">
        <v>144</v>
      </c>
      <c r="CF438">
        <v>4000000</v>
      </c>
      <c r="CG438">
        <v>15804.08</v>
      </c>
      <c r="CH438">
        <v>0</v>
      </c>
      <c r="CI438" t="s">
        <v>112</v>
      </c>
      <c r="CJ438" t="s">
        <v>112</v>
      </c>
      <c r="CK438">
        <v>41342.080000000002</v>
      </c>
      <c r="CM438">
        <v>0</v>
      </c>
      <c r="CN438">
        <v>1</v>
      </c>
      <c r="CO438">
        <v>4685252.1399999997</v>
      </c>
      <c r="CP438">
        <v>48484.61</v>
      </c>
      <c r="CQ438" t="s">
        <v>145</v>
      </c>
      <c r="CR438">
        <v>48518.525600000001</v>
      </c>
      <c r="CS438">
        <v>3.07</v>
      </c>
      <c r="CT438">
        <v>45</v>
      </c>
      <c r="CV438" t="s">
        <v>163</v>
      </c>
      <c r="CW438">
        <v>296</v>
      </c>
    </row>
    <row r="439" spans="1:101" x14ac:dyDescent="0.2">
      <c r="A439" t="s">
        <v>106</v>
      </c>
      <c r="B439" s="46">
        <v>44951</v>
      </c>
      <c r="C439" t="s">
        <v>1970</v>
      </c>
      <c r="D439" t="s">
        <v>108</v>
      </c>
      <c r="E439" t="s">
        <v>1971</v>
      </c>
      <c r="F439" t="s">
        <v>110</v>
      </c>
      <c r="G439" t="s">
        <v>111</v>
      </c>
      <c r="H439" t="s">
        <v>112</v>
      </c>
      <c r="I439" t="s">
        <v>112</v>
      </c>
      <c r="J439" t="s">
        <v>112</v>
      </c>
      <c r="K439" t="s">
        <v>150</v>
      </c>
      <c r="L439" t="s">
        <v>151</v>
      </c>
      <c r="M439" t="s">
        <v>112</v>
      </c>
      <c r="N439" t="s">
        <v>112</v>
      </c>
      <c r="O439">
        <v>1</v>
      </c>
      <c r="Q439">
        <v>1</v>
      </c>
      <c r="R439">
        <v>33</v>
      </c>
      <c r="S439" t="s">
        <v>112</v>
      </c>
      <c r="T439" t="s">
        <v>152</v>
      </c>
      <c r="U439" t="s">
        <v>153</v>
      </c>
      <c r="V439" t="s">
        <v>154</v>
      </c>
      <c r="W439" t="s">
        <v>119</v>
      </c>
      <c r="X439" t="s">
        <v>112</v>
      </c>
      <c r="Y439" t="s">
        <v>112</v>
      </c>
      <c r="Z439" t="s">
        <v>152</v>
      </c>
      <c r="AA439" t="s">
        <v>153</v>
      </c>
      <c r="AB439" t="s">
        <v>154</v>
      </c>
      <c r="AC439" t="s">
        <v>119</v>
      </c>
      <c r="AD439" t="s">
        <v>112</v>
      </c>
      <c r="AE439" t="s">
        <v>121</v>
      </c>
      <c r="AF439" t="s">
        <v>122</v>
      </c>
      <c r="AG439">
        <v>4668852.96</v>
      </c>
      <c r="AH439" t="s">
        <v>112</v>
      </c>
      <c r="AI439" t="s">
        <v>152</v>
      </c>
      <c r="AJ439" t="s">
        <v>153</v>
      </c>
      <c r="AK439" t="s">
        <v>154</v>
      </c>
      <c r="AL439" t="s">
        <v>119</v>
      </c>
      <c r="AM439" t="s">
        <v>112</v>
      </c>
      <c r="AN439" t="s">
        <v>121</v>
      </c>
      <c r="AO439" t="s">
        <v>122</v>
      </c>
      <c r="AP439" t="s">
        <v>122</v>
      </c>
      <c r="AQ439" t="s">
        <v>124</v>
      </c>
      <c r="AR439" t="s">
        <v>125</v>
      </c>
      <c r="AS439">
        <v>2</v>
      </c>
      <c r="AT439" t="s">
        <v>126</v>
      </c>
      <c r="AU439" t="s">
        <v>155</v>
      </c>
      <c r="AV439" t="s">
        <v>156</v>
      </c>
      <c r="AX439" t="s">
        <v>129</v>
      </c>
      <c r="AY439">
        <v>41182.92</v>
      </c>
      <c r="BB439">
        <v>103.03579999999999</v>
      </c>
      <c r="BC439" t="s">
        <v>112</v>
      </c>
      <c r="BD439" t="s">
        <v>112</v>
      </c>
      <c r="BE439" t="s">
        <v>157</v>
      </c>
      <c r="BF439" t="s">
        <v>133</v>
      </c>
      <c r="BG439" t="s">
        <v>134</v>
      </c>
      <c r="BH439" t="s">
        <v>112</v>
      </c>
      <c r="BI439" t="s">
        <v>112</v>
      </c>
      <c r="BJ439" t="s">
        <v>112</v>
      </c>
      <c r="BK439" t="s">
        <v>169</v>
      </c>
      <c r="BL439" t="s">
        <v>159</v>
      </c>
      <c r="BM439" t="s">
        <v>212</v>
      </c>
      <c r="BN439" t="s">
        <v>161</v>
      </c>
      <c r="BP439" t="s">
        <v>232</v>
      </c>
      <c r="BR439" t="s">
        <v>150</v>
      </c>
      <c r="BS439">
        <v>33</v>
      </c>
      <c r="BT439">
        <v>0</v>
      </c>
      <c r="BU439">
        <v>0</v>
      </c>
      <c r="BW439">
        <v>0</v>
      </c>
      <c r="BY439" t="s">
        <v>106</v>
      </c>
      <c r="BZ439" t="s">
        <v>142</v>
      </c>
      <c r="CA439" t="s">
        <v>112</v>
      </c>
      <c r="CB439" t="s">
        <v>112</v>
      </c>
      <c r="CC439" t="s">
        <v>121</v>
      </c>
      <c r="CD439">
        <v>17030.2</v>
      </c>
      <c r="CE439" t="s">
        <v>144</v>
      </c>
      <c r="CF439">
        <v>4000000</v>
      </c>
      <c r="CG439">
        <v>16958.2</v>
      </c>
      <c r="CH439">
        <v>0</v>
      </c>
      <c r="CI439" t="s">
        <v>112</v>
      </c>
      <c r="CJ439" t="s">
        <v>112</v>
      </c>
      <c r="CK439">
        <v>41182.92</v>
      </c>
      <c r="CM439">
        <v>0</v>
      </c>
      <c r="CN439">
        <v>1</v>
      </c>
      <c r="CO439">
        <v>4668852.96</v>
      </c>
      <c r="CP439">
        <v>48314.91</v>
      </c>
      <c r="CQ439" t="s">
        <v>145</v>
      </c>
      <c r="CR439">
        <v>48330.87</v>
      </c>
      <c r="CS439">
        <v>2.85</v>
      </c>
      <c r="CT439">
        <v>45</v>
      </c>
      <c r="CV439" t="s">
        <v>1140</v>
      </c>
      <c r="CW439">
        <v>182</v>
      </c>
    </row>
    <row r="440" spans="1:101" x14ac:dyDescent="0.2">
      <c r="A440" t="s">
        <v>106</v>
      </c>
      <c r="B440" s="46">
        <v>45185</v>
      </c>
      <c r="C440" t="s">
        <v>1970</v>
      </c>
      <c r="D440" t="s">
        <v>108</v>
      </c>
      <c r="E440" t="s">
        <v>1971</v>
      </c>
      <c r="F440" t="s">
        <v>110</v>
      </c>
      <c r="G440" t="s">
        <v>111</v>
      </c>
      <c r="H440" t="s">
        <v>112</v>
      </c>
      <c r="I440" t="s">
        <v>112</v>
      </c>
      <c r="J440" t="s">
        <v>112</v>
      </c>
      <c r="K440" t="s">
        <v>150</v>
      </c>
      <c r="L440" t="s">
        <v>151</v>
      </c>
      <c r="M440" t="s">
        <v>112</v>
      </c>
      <c r="N440" t="s">
        <v>112</v>
      </c>
      <c r="O440">
        <v>1</v>
      </c>
      <c r="Q440">
        <v>1</v>
      </c>
      <c r="R440">
        <v>33</v>
      </c>
      <c r="S440" t="s">
        <v>112</v>
      </c>
      <c r="T440" t="s">
        <v>152</v>
      </c>
      <c r="U440" t="s">
        <v>153</v>
      </c>
      <c r="V440" t="s">
        <v>154</v>
      </c>
      <c r="W440" t="s">
        <v>119</v>
      </c>
      <c r="X440" t="s">
        <v>112</v>
      </c>
      <c r="Y440" t="s">
        <v>112</v>
      </c>
      <c r="Z440" t="s">
        <v>152</v>
      </c>
      <c r="AA440" t="s">
        <v>153</v>
      </c>
      <c r="AB440" t="s">
        <v>154</v>
      </c>
      <c r="AC440" t="s">
        <v>119</v>
      </c>
      <c r="AD440" t="s">
        <v>112</v>
      </c>
      <c r="AE440" t="s">
        <v>121</v>
      </c>
      <c r="AF440" t="s">
        <v>122</v>
      </c>
      <c r="AG440">
        <v>4668852.96</v>
      </c>
      <c r="AH440" t="s">
        <v>112</v>
      </c>
      <c r="AI440" t="s">
        <v>152</v>
      </c>
      <c r="AJ440" t="s">
        <v>153</v>
      </c>
      <c r="AK440" t="s">
        <v>154</v>
      </c>
      <c r="AL440" t="s">
        <v>119</v>
      </c>
      <c r="AM440" t="s">
        <v>112</v>
      </c>
      <c r="AN440" t="s">
        <v>121</v>
      </c>
      <c r="AO440" t="s">
        <v>122</v>
      </c>
      <c r="AP440" t="s">
        <v>122</v>
      </c>
      <c r="AQ440" t="s">
        <v>124</v>
      </c>
      <c r="AR440" t="s">
        <v>125</v>
      </c>
      <c r="AS440">
        <v>2</v>
      </c>
      <c r="AT440" t="s">
        <v>126</v>
      </c>
      <c r="AU440" t="s">
        <v>155</v>
      </c>
      <c r="AV440" t="s">
        <v>156</v>
      </c>
      <c r="AX440" t="s">
        <v>129</v>
      </c>
      <c r="AY440">
        <v>41182.92</v>
      </c>
      <c r="BB440">
        <v>103.03579999999999</v>
      </c>
      <c r="BC440" t="s">
        <v>112</v>
      </c>
      <c r="BD440" t="s">
        <v>112</v>
      </c>
      <c r="BE440" t="s">
        <v>157</v>
      </c>
      <c r="BF440" t="s">
        <v>133</v>
      </c>
      <c r="BG440" t="s">
        <v>134</v>
      </c>
      <c r="BH440" t="s">
        <v>112</v>
      </c>
      <c r="BI440" t="s">
        <v>112</v>
      </c>
      <c r="BJ440" t="s">
        <v>112</v>
      </c>
      <c r="BK440" t="s">
        <v>169</v>
      </c>
      <c r="BL440" t="s">
        <v>159</v>
      </c>
      <c r="BM440" t="s">
        <v>212</v>
      </c>
      <c r="BN440" t="s">
        <v>161</v>
      </c>
      <c r="BP440" t="s">
        <v>232</v>
      </c>
      <c r="BR440" t="s">
        <v>150</v>
      </c>
      <c r="BS440">
        <v>33</v>
      </c>
      <c r="BT440">
        <v>0</v>
      </c>
      <c r="BU440">
        <v>0</v>
      </c>
      <c r="BW440">
        <v>0</v>
      </c>
      <c r="BY440" t="s">
        <v>106</v>
      </c>
      <c r="BZ440" t="s">
        <v>142</v>
      </c>
      <c r="CA440" t="s">
        <v>112</v>
      </c>
      <c r="CB440" t="s">
        <v>112</v>
      </c>
      <c r="CC440" t="s">
        <v>121</v>
      </c>
      <c r="CD440">
        <v>17030.2</v>
      </c>
      <c r="CE440" t="s">
        <v>144</v>
      </c>
      <c r="CF440">
        <v>4000000</v>
      </c>
      <c r="CG440">
        <v>16958.2</v>
      </c>
      <c r="CH440">
        <v>0</v>
      </c>
      <c r="CI440" t="s">
        <v>112</v>
      </c>
      <c r="CJ440" t="s">
        <v>112</v>
      </c>
      <c r="CK440">
        <v>41182.92</v>
      </c>
      <c r="CM440">
        <v>0</v>
      </c>
      <c r="CN440">
        <v>1</v>
      </c>
      <c r="CO440">
        <v>4668852.96</v>
      </c>
      <c r="CP440">
        <v>48314.91</v>
      </c>
      <c r="CQ440" t="s">
        <v>145</v>
      </c>
      <c r="CR440">
        <v>48330.87</v>
      </c>
      <c r="CS440">
        <v>2.85</v>
      </c>
      <c r="CT440">
        <v>45</v>
      </c>
      <c r="CV440" t="s">
        <v>1140</v>
      </c>
      <c r="CW440">
        <v>182</v>
      </c>
    </row>
    <row r="441" spans="1:101" x14ac:dyDescent="0.2">
      <c r="A441" t="s">
        <v>106</v>
      </c>
      <c r="B441" s="46">
        <v>44818</v>
      </c>
      <c r="C441" t="s">
        <v>1766</v>
      </c>
      <c r="D441" t="s">
        <v>108</v>
      </c>
      <c r="E441" t="s">
        <v>1767</v>
      </c>
      <c r="F441" t="s">
        <v>110</v>
      </c>
      <c r="G441" t="s">
        <v>111</v>
      </c>
      <c r="H441" t="s">
        <v>112</v>
      </c>
      <c r="I441" t="s">
        <v>112</v>
      </c>
      <c r="J441" t="s">
        <v>112</v>
      </c>
      <c r="K441" t="s">
        <v>150</v>
      </c>
      <c r="L441" t="s">
        <v>151</v>
      </c>
      <c r="M441" t="s">
        <v>112</v>
      </c>
      <c r="N441" t="s">
        <v>112</v>
      </c>
      <c r="Q441">
        <v>1</v>
      </c>
      <c r="R441">
        <v>33</v>
      </c>
      <c r="S441" t="s">
        <v>166</v>
      </c>
      <c r="T441" t="s">
        <v>152</v>
      </c>
      <c r="U441" t="s">
        <v>153</v>
      </c>
      <c r="V441" t="s">
        <v>154</v>
      </c>
      <c r="W441" t="s">
        <v>119</v>
      </c>
      <c r="X441" t="s">
        <v>112</v>
      </c>
      <c r="Y441" t="s">
        <v>166</v>
      </c>
      <c r="Z441" t="s">
        <v>152</v>
      </c>
      <c r="AA441" t="s">
        <v>153</v>
      </c>
      <c r="AB441" t="s">
        <v>154</v>
      </c>
      <c r="AC441" t="s">
        <v>119</v>
      </c>
      <c r="AD441" t="s">
        <v>112</v>
      </c>
      <c r="AE441" t="s">
        <v>121</v>
      </c>
      <c r="AF441" t="s">
        <v>122</v>
      </c>
      <c r="AG441">
        <v>4833422.88</v>
      </c>
      <c r="AH441" t="s">
        <v>166</v>
      </c>
      <c r="AI441" t="s">
        <v>152</v>
      </c>
      <c r="AJ441" t="s">
        <v>153</v>
      </c>
      <c r="AK441" t="s">
        <v>154</v>
      </c>
      <c r="AL441" t="s">
        <v>119</v>
      </c>
      <c r="AM441" t="s">
        <v>112</v>
      </c>
      <c r="AN441" t="s">
        <v>121</v>
      </c>
      <c r="AO441" t="s">
        <v>122</v>
      </c>
      <c r="AP441" t="s">
        <v>122</v>
      </c>
      <c r="AQ441" t="s">
        <v>124</v>
      </c>
      <c r="AR441" t="s">
        <v>125</v>
      </c>
      <c r="AT441" t="s">
        <v>126</v>
      </c>
      <c r="AU441" t="s">
        <v>155</v>
      </c>
      <c r="AV441" t="s">
        <v>156</v>
      </c>
      <c r="AX441" t="s">
        <v>129</v>
      </c>
      <c r="AY441">
        <v>43172.56</v>
      </c>
      <c r="BB441">
        <v>102.181</v>
      </c>
      <c r="BC441" t="s">
        <v>112</v>
      </c>
      <c r="BD441" t="s">
        <v>112</v>
      </c>
      <c r="BE441" t="s">
        <v>112</v>
      </c>
      <c r="BF441" t="s">
        <v>133</v>
      </c>
      <c r="BG441" t="s">
        <v>167</v>
      </c>
      <c r="BH441" t="s">
        <v>112</v>
      </c>
      <c r="BI441" t="s">
        <v>112</v>
      </c>
      <c r="BJ441" t="s">
        <v>112</v>
      </c>
      <c r="BK441" t="s">
        <v>112</v>
      </c>
      <c r="BL441" t="s">
        <v>112</v>
      </c>
      <c r="BM441" t="s">
        <v>112</v>
      </c>
      <c r="BN441" t="s">
        <v>161</v>
      </c>
      <c r="BP441" t="s">
        <v>281</v>
      </c>
      <c r="BR441" t="s">
        <v>150</v>
      </c>
      <c r="BS441">
        <v>33</v>
      </c>
      <c r="BT441">
        <v>0</v>
      </c>
      <c r="BU441">
        <v>0</v>
      </c>
      <c r="BY441" t="s">
        <v>106</v>
      </c>
      <c r="BZ441" t="s">
        <v>142</v>
      </c>
      <c r="CA441" t="s">
        <v>112</v>
      </c>
      <c r="CB441" t="s">
        <v>112</v>
      </c>
      <c r="CC441" t="s">
        <v>121</v>
      </c>
      <c r="CD441">
        <v>16452.89</v>
      </c>
      <c r="CE441" t="s">
        <v>144</v>
      </c>
      <c r="CF441">
        <v>4000000</v>
      </c>
      <c r="CG441">
        <v>16258.49</v>
      </c>
      <c r="CH441">
        <v>0</v>
      </c>
      <c r="CI441" t="s">
        <v>112</v>
      </c>
      <c r="CJ441" t="s">
        <v>112</v>
      </c>
      <c r="CK441">
        <v>43172.56</v>
      </c>
      <c r="CM441">
        <v>0</v>
      </c>
      <c r="CN441">
        <v>1</v>
      </c>
      <c r="CO441">
        <v>4833422.88</v>
      </c>
      <c r="CP441">
        <v>51558.71</v>
      </c>
      <c r="CQ441" t="s">
        <v>145</v>
      </c>
      <c r="CR441">
        <v>51539.4133</v>
      </c>
      <c r="CS441">
        <v>3.17</v>
      </c>
      <c r="CW441">
        <v>314</v>
      </c>
    </row>
    <row r="442" spans="1:101" x14ac:dyDescent="0.2">
      <c r="A442" t="s">
        <v>106</v>
      </c>
      <c r="B442" s="46">
        <v>44656</v>
      </c>
      <c r="C442" t="s">
        <v>1762</v>
      </c>
      <c r="D442" t="s">
        <v>108</v>
      </c>
      <c r="E442" t="s">
        <v>1763</v>
      </c>
      <c r="F442" t="s">
        <v>110</v>
      </c>
      <c r="G442" t="s">
        <v>111</v>
      </c>
      <c r="H442" t="s">
        <v>112</v>
      </c>
      <c r="I442" t="s">
        <v>112</v>
      </c>
      <c r="J442" t="s">
        <v>112</v>
      </c>
      <c r="K442" t="s">
        <v>150</v>
      </c>
      <c r="L442" t="s">
        <v>151</v>
      </c>
      <c r="M442" t="s">
        <v>112</v>
      </c>
      <c r="N442" t="s">
        <v>112</v>
      </c>
      <c r="Q442">
        <v>1</v>
      </c>
      <c r="R442">
        <v>33</v>
      </c>
      <c r="S442" t="s">
        <v>166</v>
      </c>
      <c r="T442" t="s">
        <v>152</v>
      </c>
      <c r="U442" t="s">
        <v>153</v>
      </c>
      <c r="V442" t="s">
        <v>154</v>
      </c>
      <c r="W442" t="s">
        <v>119</v>
      </c>
      <c r="X442" t="s">
        <v>112</v>
      </c>
      <c r="Y442" t="s">
        <v>166</v>
      </c>
      <c r="Z442" t="s">
        <v>152</v>
      </c>
      <c r="AA442" t="s">
        <v>153</v>
      </c>
      <c r="AB442" t="s">
        <v>154</v>
      </c>
      <c r="AC442" t="s">
        <v>119</v>
      </c>
      <c r="AD442" t="s">
        <v>112</v>
      </c>
      <c r="AE442" t="s">
        <v>121</v>
      </c>
      <c r="AF442" t="s">
        <v>122</v>
      </c>
      <c r="AG442">
        <v>4788859.71</v>
      </c>
      <c r="AH442" t="s">
        <v>166</v>
      </c>
      <c r="AI442" t="s">
        <v>152</v>
      </c>
      <c r="AJ442" t="s">
        <v>153</v>
      </c>
      <c r="AK442" t="s">
        <v>154</v>
      </c>
      <c r="AL442" t="s">
        <v>119</v>
      </c>
      <c r="AM442" t="s">
        <v>112</v>
      </c>
      <c r="AN442" t="s">
        <v>121</v>
      </c>
      <c r="AO442" t="s">
        <v>122</v>
      </c>
      <c r="AP442" t="s">
        <v>122</v>
      </c>
      <c r="AQ442" t="s">
        <v>124</v>
      </c>
      <c r="AR442" t="s">
        <v>125</v>
      </c>
      <c r="AT442" t="s">
        <v>126</v>
      </c>
      <c r="AU442" t="s">
        <v>155</v>
      </c>
      <c r="AV442" t="s">
        <v>156</v>
      </c>
      <c r="AX442" t="s">
        <v>129</v>
      </c>
      <c r="AY442">
        <v>42736.44</v>
      </c>
      <c r="BB442">
        <v>102.181</v>
      </c>
      <c r="BC442" t="s">
        <v>112</v>
      </c>
      <c r="BD442" t="s">
        <v>112</v>
      </c>
      <c r="BE442" t="s">
        <v>112</v>
      </c>
      <c r="BF442" t="s">
        <v>133</v>
      </c>
      <c r="BG442" t="s">
        <v>134</v>
      </c>
      <c r="BH442" t="s">
        <v>112</v>
      </c>
      <c r="BI442" t="s">
        <v>112</v>
      </c>
      <c r="BJ442" t="s">
        <v>112</v>
      </c>
      <c r="BK442" t="s">
        <v>112</v>
      </c>
      <c r="BL442" t="s">
        <v>112</v>
      </c>
      <c r="BM442" t="s">
        <v>112</v>
      </c>
      <c r="BN442" t="s">
        <v>161</v>
      </c>
      <c r="BP442" t="s">
        <v>205</v>
      </c>
      <c r="BR442" t="s">
        <v>150</v>
      </c>
      <c r="BS442">
        <v>33</v>
      </c>
      <c r="BT442">
        <v>0</v>
      </c>
      <c r="BU442">
        <v>0</v>
      </c>
      <c r="BY442" t="s">
        <v>106</v>
      </c>
      <c r="BZ442" t="s">
        <v>142</v>
      </c>
      <c r="CA442" t="s">
        <v>112</v>
      </c>
      <c r="CB442" t="s">
        <v>112</v>
      </c>
      <c r="CC442" t="s">
        <v>121</v>
      </c>
      <c r="CD442">
        <v>17000.21</v>
      </c>
      <c r="CE442" t="s">
        <v>144</v>
      </c>
      <c r="CF442">
        <v>4000000</v>
      </c>
      <c r="CG442">
        <v>16964.21</v>
      </c>
      <c r="CH442">
        <v>0</v>
      </c>
      <c r="CI442" t="s">
        <v>112</v>
      </c>
      <c r="CJ442" t="s">
        <v>112</v>
      </c>
      <c r="CK442">
        <v>42736.44</v>
      </c>
      <c r="CM442">
        <v>0</v>
      </c>
      <c r="CN442">
        <v>1</v>
      </c>
      <c r="CO442">
        <v>4788859.71</v>
      </c>
      <c r="CP442">
        <v>51083.35</v>
      </c>
      <c r="CQ442" t="s">
        <v>145</v>
      </c>
      <c r="CR442">
        <v>51062.272099999995</v>
      </c>
      <c r="CS442">
        <v>3.01</v>
      </c>
      <c r="CW442">
        <v>314</v>
      </c>
    </row>
    <row r="443" spans="1:101" x14ac:dyDescent="0.2">
      <c r="A443" t="s">
        <v>106</v>
      </c>
      <c r="B443" s="46">
        <v>44606</v>
      </c>
      <c r="C443" t="s">
        <v>1760</v>
      </c>
      <c r="D443" t="s">
        <v>108</v>
      </c>
      <c r="E443" t="s">
        <v>1761</v>
      </c>
      <c r="F443" t="s">
        <v>110</v>
      </c>
      <c r="G443" t="s">
        <v>111</v>
      </c>
      <c r="H443" t="s">
        <v>112</v>
      </c>
      <c r="I443" t="s">
        <v>112</v>
      </c>
      <c r="J443" t="s">
        <v>112</v>
      </c>
      <c r="K443" t="s">
        <v>150</v>
      </c>
      <c r="L443" t="s">
        <v>151</v>
      </c>
      <c r="M443" t="s">
        <v>112</v>
      </c>
      <c r="N443" t="s">
        <v>112</v>
      </c>
      <c r="Q443">
        <v>1</v>
      </c>
      <c r="R443">
        <v>32</v>
      </c>
      <c r="S443" t="s">
        <v>166</v>
      </c>
      <c r="T443" t="s">
        <v>152</v>
      </c>
      <c r="U443" t="s">
        <v>153</v>
      </c>
      <c r="V443" t="s">
        <v>154</v>
      </c>
      <c r="W443" t="s">
        <v>119</v>
      </c>
      <c r="X443" t="s">
        <v>112</v>
      </c>
      <c r="Y443" t="s">
        <v>166</v>
      </c>
      <c r="Z443" t="s">
        <v>152</v>
      </c>
      <c r="AA443" t="s">
        <v>153</v>
      </c>
      <c r="AB443" t="s">
        <v>154</v>
      </c>
      <c r="AC443" t="s">
        <v>119</v>
      </c>
      <c r="AD443" t="s">
        <v>112</v>
      </c>
      <c r="AE443" t="s">
        <v>121</v>
      </c>
      <c r="AF443" t="s">
        <v>122</v>
      </c>
      <c r="AG443">
        <v>4878055.54</v>
      </c>
      <c r="AH443" t="s">
        <v>166</v>
      </c>
      <c r="AI443" t="s">
        <v>152</v>
      </c>
      <c r="AJ443" t="s">
        <v>153</v>
      </c>
      <c r="AK443" t="s">
        <v>154</v>
      </c>
      <c r="AL443" t="s">
        <v>119</v>
      </c>
      <c r="AM443" t="s">
        <v>112</v>
      </c>
      <c r="AN443" t="s">
        <v>121</v>
      </c>
      <c r="AO443" t="s">
        <v>122</v>
      </c>
      <c r="AP443" t="s">
        <v>122</v>
      </c>
      <c r="AQ443" t="s">
        <v>124</v>
      </c>
      <c r="AR443" t="s">
        <v>125</v>
      </c>
      <c r="AT443" t="s">
        <v>126</v>
      </c>
      <c r="AU443" t="s">
        <v>155</v>
      </c>
      <c r="AV443" t="s">
        <v>156</v>
      </c>
      <c r="AX443" t="s">
        <v>129</v>
      </c>
      <c r="AY443">
        <v>43609.36</v>
      </c>
      <c r="BB443">
        <v>102.181</v>
      </c>
      <c r="BC443" t="s">
        <v>112</v>
      </c>
      <c r="BD443" t="s">
        <v>112</v>
      </c>
      <c r="BE443" t="s">
        <v>112</v>
      </c>
      <c r="BF443" t="s">
        <v>133</v>
      </c>
      <c r="BG443" t="s">
        <v>134</v>
      </c>
      <c r="BH443" t="s">
        <v>112</v>
      </c>
      <c r="BI443" t="s">
        <v>112</v>
      </c>
      <c r="BJ443" t="s">
        <v>112</v>
      </c>
      <c r="BK443" t="s">
        <v>112</v>
      </c>
      <c r="BL443" t="s">
        <v>112</v>
      </c>
      <c r="BM443" t="s">
        <v>112</v>
      </c>
      <c r="BN443" t="s">
        <v>161</v>
      </c>
      <c r="BP443" t="s">
        <v>232</v>
      </c>
      <c r="BR443" t="s">
        <v>150</v>
      </c>
      <c r="BS443">
        <v>32</v>
      </c>
      <c r="BT443">
        <v>0</v>
      </c>
      <c r="BU443">
        <v>0</v>
      </c>
      <c r="BY443" t="s">
        <v>106</v>
      </c>
      <c r="BZ443" t="s">
        <v>142</v>
      </c>
      <c r="CA443" t="s">
        <v>112</v>
      </c>
      <c r="CB443" t="s">
        <v>112</v>
      </c>
      <c r="CC443" t="s">
        <v>121</v>
      </c>
      <c r="CD443">
        <v>16131.93</v>
      </c>
      <c r="CE443" t="s">
        <v>144</v>
      </c>
      <c r="CF443">
        <v>4000000</v>
      </c>
      <c r="CG443">
        <v>16002.33</v>
      </c>
      <c r="CH443">
        <v>0</v>
      </c>
      <c r="CI443" t="s">
        <v>112</v>
      </c>
      <c r="CJ443" t="s">
        <v>112</v>
      </c>
      <c r="CK443">
        <v>43609.36</v>
      </c>
      <c r="CM443">
        <v>0</v>
      </c>
      <c r="CN443">
        <v>1</v>
      </c>
      <c r="CO443">
        <v>4878055.54</v>
      </c>
      <c r="CP443">
        <v>52034.81</v>
      </c>
      <c r="CQ443" t="s">
        <v>145</v>
      </c>
      <c r="CR443">
        <v>52007.572500000002</v>
      </c>
      <c r="CS443">
        <v>3.25</v>
      </c>
      <c r="CW443">
        <v>257</v>
      </c>
    </row>
    <row r="444" spans="1:101" x14ac:dyDescent="0.2">
      <c r="A444" t="s">
        <v>106</v>
      </c>
      <c r="B444" s="46">
        <v>45039</v>
      </c>
      <c r="C444" t="s">
        <v>1752</v>
      </c>
      <c r="D444" t="s">
        <v>108</v>
      </c>
      <c r="E444" t="s">
        <v>1753</v>
      </c>
      <c r="F444" t="s">
        <v>110</v>
      </c>
      <c r="G444" t="s">
        <v>111</v>
      </c>
      <c r="H444" t="s">
        <v>112</v>
      </c>
      <c r="I444" t="s">
        <v>112</v>
      </c>
      <c r="J444" t="s">
        <v>112</v>
      </c>
      <c r="K444" t="s">
        <v>150</v>
      </c>
      <c r="L444" t="s">
        <v>151</v>
      </c>
      <c r="M444" t="s">
        <v>112</v>
      </c>
      <c r="N444" t="s">
        <v>112</v>
      </c>
      <c r="Q444">
        <v>1</v>
      </c>
      <c r="R444">
        <v>33</v>
      </c>
      <c r="S444" t="s">
        <v>166</v>
      </c>
      <c r="T444" t="s">
        <v>152</v>
      </c>
      <c r="U444" t="s">
        <v>153</v>
      </c>
      <c r="V444" t="s">
        <v>154</v>
      </c>
      <c r="W444" t="s">
        <v>119</v>
      </c>
      <c r="X444" t="s">
        <v>112</v>
      </c>
      <c r="Y444" t="s">
        <v>166</v>
      </c>
      <c r="Z444" t="s">
        <v>152</v>
      </c>
      <c r="AA444" t="s">
        <v>153</v>
      </c>
      <c r="AB444" t="s">
        <v>154</v>
      </c>
      <c r="AC444" t="s">
        <v>119</v>
      </c>
      <c r="AD444" t="s">
        <v>112</v>
      </c>
      <c r="AE444" t="s">
        <v>121</v>
      </c>
      <c r="AF444" t="s">
        <v>122</v>
      </c>
      <c r="AG444">
        <v>4605546.99</v>
      </c>
      <c r="AH444" t="s">
        <v>166</v>
      </c>
      <c r="AI444" t="s">
        <v>152</v>
      </c>
      <c r="AJ444" t="s">
        <v>153</v>
      </c>
      <c r="AK444" t="s">
        <v>154</v>
      </c>
      <c r="AL444" t="s">
        <v>119</v>
      </c>
      <c r="AM444" t="s">
        <v>112</v>
      </c>
      <c r="AN444" t="s">
        <v>121</v>
      </c>
      <c r="AO444" t="s">
        <v>122</v>
      </c>
      <c r="AP444" t="s">
        <v>122</v>
      </c>
      <c r="AQ444" t="s">
        <v>124</v>
      </c>
      <c r="AR444" t="s">
        <v>125</v>
      </c>
      <c r="AT444" t="s">
        <v>126</v>
      </c>
      <c r="AU444" t="s">
        <v>155</v>
      </c>
      <c r="AV444" t="s">
        <v>156</v>
      </c>
      <c r="AX444" t="s">
        <v>129</v>
      </c>
      <c r="AY444">
        <v>40942.44</v>
      </c>
      <c r="BB444">
        <v>102.181</v>
      </c>
      <c r="BC444" t="s">
        <v>112</v>
      </c>
      <c r="BD444" t="s">
        <v>112</v>
      </c>
      <c r="BE444" t="s">
        <v>112</v>
      </c>
      <c r="BF444" t="s">
        <v>133</v>
      </c>
      <c r="BG444" t="s">
        <v>134</v>
      </c>
      <c r="BH444" t="s">
        <v>112</v>
      </c>
      <c r="BI444" t="s">
        <v>112</v>
      </c>
      <c r="BJ444" t="s">
        <v>112</v>
      </c>
      <c r="BK444" t="s">
        <v>112</v>
      </c>
      <c r="BL444" t="s">
        <v>112</v>
      </c>
      <c r="BM444" t="s">
        <v>112</v>
      </c>
      <c r="BN444" t="s">
        <v>161</v>
      </c>
      <c r="BP444" t="s">
        <v>205</v>
      </c>
      <c r="BR444" t="s">
        <v>150</v>
      </c>
      <c r="BS444">
        <v>33</v>
      </c>
      <c r="BT444">
        <v>0</v>
      </c>
      <c r="BU444">
        <v>0</v>
      </c>
      <c r="BY444" t="s">
        <v>106</v>
      </c>
      <c r="BZ444" t="s">
        <v>142</v>
      </c>
      <c r="CA444" t="s">
        <v>112</v>
      </c>
      <c r="CB444" t="s">
        <v>112</v>
      </c>
      <c r="CC444" t="s">
        <v>121</v>
      </c>
      <c r="CD444">
        <v>16497.07</v>
      </c>
      <c r="CE444" t="s">
        <v>144</v>
      </c>
      <c r="CF444">
        <v>4000000</v>
      </c>
      <c r="CG444">
        <v>16417.87</v>
      </c>
      <c r="CH444">
        <v>0</v>
      </c>
      <c r="CI444" t="s">
        <v>112</v>
      </c>
      <c r="CJ444" t="s">
        <v>112</v>
      </c>
      <c r="CK444">
        <v>40942.44</v>
      </c>
      <c r="CM444">
        <v>0</v>
      </c>
      <c r="CN444">
        <v>1</v>
      </c>
      <c r="CO444">
        <v>4605546.99</v>
      </c>
      <c r="CP444">
        <v>49127.93</v>
      </c>
      <c r="CQ444" t="s">
        <v>145</v>
      </c>
      <c r="CR444">
        <v>49089.431300000004</v>
      </c>
      <c r="CS444">
        <v>2.99</v>
      </c>
      <c r="CW444">
        <v>211</v>
      </c>
    </row>
    <row r="445" spans="1:101" x14ac:dyDescent="0.2">
      <c r="A445" t="s">
        <v>106</v>
      </c>
      <c r="B445" s="46">
        <v>44815</v>
      </c>
      <c r="C445" t="s">
        <v>1758</v>
      </c>
      <c r="D445" t="s">
        <v>108</v>
      </c>
      <c r="E445" t="s">
        <v>1759</v>
      </c>
      <c r="F445" t="s">
        <v>110</v>
      </c>
      <c r="G445" t="s">
        <v>111</v>
      </c>
      <c r="H445" t="s">
        <v>112</v>
      </c>
      <c r="I445" t="s">
        <v>112</v>
      </c>
      <c r="J445" t="s">
        <v>112</v>
      </c>
      <c r="K445" t="s">
        <v>150</v>
      </c>
      <c r="L445" t="s">
        <v>151</v>
      </c>
      <c r="M445" t="s">
        <v>112</v>
      </c>
      <c r="N445" t="s">
        <v>112</v>
      </c>
      <c r="Q445">
        <v>1</v>
      </c>
      <c r="R445">
        <v>33</v>
      </c>
      <c r="S445" t="s">
        <v>166</v>
      </c>
      <c r="T445" t="s">
        <v>152</v>
      </c>
      <c r="U445" t="s">
        <v>153</v>
      </c>
      <c r="V445" t="s">
        <v>154</v>
      </c>
      <c r="W445" t="s">
        <v>119</v>
      </c>
      <c r="X445" t="s">
        <v>112</v>
      </c>
      <c r="Y445" t="s">
        <v>166</v>
      </c>
      <c r="Z445" t="s">
        <v>152</v>
      </c>
      <c r="AA445" t="s">
        <v>153</v>
      </c>
      <c r="AB445" t="s">
        <v>154</v>
      </c>
      <c r="AC445" t="s">
        <v>119</v>
      </c>
      <c r="AD445" t="s">
        <v>112</v>
      </c>
      <c r="AE445" t="s">
        <v>121</v>
      </c>
      <c r="AF445" t="s">
        <v>122</v>
      </c>
      <c r="AG445">
        <v>4847887.63</v>
      </c>
      <c r="AH445" t="s">
        <v>166</v>
      </c>
      <c r="AI445" t="s">
        <v>152</v>
      </c>
      <c r="AJ445" t="s">
        <v>153</v>
      </c>
      <c r="AK445" t="s">
        <v>154</v>
      </c>
      <c r="AL445" t="s">
        <v>119</v>
      </c>
      <c r="AM445" t="s">
        <v>112</v>
      </c>
      <c r="AN445" t="s">
        <v>121</v>
      </c>
      <c r="AO445" t="s">
        <v>122</v>
      </c>
      <c r="AP445" t="s">
        <v>122</v>
      </c>
      <c r="AQ445" t="s">
        <v>124</v>
      </c>
      <c r="AR445" t="s">
        <v>125</v>
      </c>
      <c r="AT445" t="s">
        <v>126</v>
      </c>
      <c r="AU445" t="s">
        <v>155</v>
      </c>
      <c r="AV445" t="s">
        <v>156</v>
      </c>
      <c r="AX445" t="s">
        <v>129</v>
      </c>
      <c r="AY445">
        <v>42614.12</v>
      </c>
      <c r="BB445">
        <v>102.181</v>
      </c>
      <c r="BC445" t="s">
        <v>112</v>
      </c>
      <c r="BD445" t="s">
        <v>112</v>
      </c>
      <c r="BE445" t="s">
        <v>112</v>
      </c>
      <c r="BF445" t="s">
        <v>133</v>
      </c>
      <c r="BG445" t="s">
        <v>134</v>
      </c>
      <c r="BH445" t="s">
        <v>112</v>
      </c>
      <c r="BI445" t="s">
        <v>112</v>
      </c>
      <c r="BJ445" t="s">
        <v>112</v>
      </c>
      <c r="BK445" t="s">
        <v>112</v>
      </c>
      <c r="BL445" t="s">
        <v>112</v>
      </c>
      <c r="BM445" t="s">
        <v>112</v>
      </c>
      <c r="BN445" t="s">
        <v>161</v>
      </c>
      <c r="BP445" t="s">
        <v>205</v>
      </c>
      <c r="BR445" t="s">
        <v>150</v>
      </c>
      <c r="BS445">
        <v>33</v>
      </c>
      <c r="BT445">
        <v>0</v>
      </c>
      <c r="BU445">
        <v>0</v>
      </c>
      <c r="BY445" t="s">
        <v>106</v>
      </c>
      <c r="BZ445" t="s">
        <v>142</v>
      </c>
      <c r="CA445" t="s">
        <v>112</v>
      </c>
      <c r="CB445" t="s">
        <v>112</v>
      </c>
      <c r="CC445" t="s">
        <v>121</v>
      </c>
      <c r="CD445">
        <v>17131.34</v>
      </c>
      <c r="CE445" t="s">
        <v>144</v>
      </c>
      <c r="CF445">
        <v>4000000</v>
      </c>
      <c r="CG445">
        <v>17109.740000000002</v>
      </c>
      <c r="CH445">
        <v>0</v>
      </c>
      <c r="CI445" t="s">
        <v>112</v>
      </c>
      <c r="CJ445" t="s">
        <v>112</v>
      </c>
      <c r="CK445">
        <v>42614.12</v>
      </c>
      <c r="CM445">
        <v>0</v>
      </c>
      <c r="CN445">
        <v>1</v>
      </c>
      <c r="CO445">
        <v>4847887.63</v>
      </c>
      <c r="CP445">
        <v>51713.01</v>
      </c>
      <c r="CQ445" t="s">
        <v>145</v>
      </c>
      <c r="CR445">
        <v>51671.414800000006</v>
      </c>
      <c r="CS445">
        <v>3.02</v>
      </c>
      <c r="CW445">
        <v>249</v>
      </c>
    </row>
    <row r="446" spans="1:101" x14ac:dyDescent="0.2">
      <c r="A446" t="s">
        <v>106</v>
      </c>
      <c r="B446" s="46">
        <v>45172</v>
      </c>
      <c r="C446" t="s">
        <v>1756</v>
      </c>
      <c r="D446" t="s">
        <v>108</v>
      </c>
      <c r="E446" t="s">
        <v>1757</v>
      </c>
      <c r="F446" t="s">
        <v>110</v>
      </c>
      <c r="G446" t="s">
        <v>111</v>
      </c>
      <c r="H446" t="s">
        <v>112</v>
      </c>
      <c r="I446" t="s">
        <v>112</v>
      </c>
      <c r="J446" t="s">
        <v>112</v>
      </c>
      <c r="K446" t="s">
        <v>150</v>
      </c>
      <c r="L446" t="s">
        <v>151</v>
      </c>
      <c r="M446" t="s">
        <v>112</v>
      </c>
      <c r="N446" t="s">
        <v>112</v>
      </c>
      <c r="Q446">
        <v>1</v>
      </c>
      <c r="R446">
        <v>33</v>
      </c>
      <c r="S446" t="s">
        <v>166</v>
      </c>
      <c r="T446" t="s">
        <v>152</v>
      </c>
      <c r="U446" t="s">
        <v>153</v>
      </c>
      <c r="V446" t="s">
        <v>154</v>
      </c>
      <c r="W446" t="s">
        <v>119</v>
      </c>
      <c r="X446" t="s">
        <v>112</v>
      </c>
      <c r="Y446" t="s">
        <v>166</v>
      </c>
      <c r="Z446" t="s">
        <v>152</v>
      </c>
      <c r="AA446" t="s">
        <v>153</v>
      </c>
      <c r="AB446" t="s">
        <v>154</v>
      </c>
      <c r="AC446" t="s">
        <v>119</v>
      </c>
      <c r="AD446" t="s">
        <v>112</v>
      </c>
      <c r="AE446" t="s">
        <v>121</v>
      </c>
      <c r="AF446" t="s">
        <v>122</v>
      </c>
      <c r="AG446">
        <v>4742081.24</v>
      </c>
      <c r="AH446" t="s">
        <v>166</v>
      </c>
      <c r="AI446" t="s">
        <v>152</v>
      </c>
      <c r="AJ446" t="s">
        <v>153</v>
      </c>
      <c r="AK446" t="s">
        <v>154</v>
      </c>
      <c r="AL446" t="s">
        <v>119</v>
      </c>
      <c r="AM446" t="s">
        <v>112</v>
      </c>
      <c r="AN446" t="s">
        <v>121</v>
      </c>
      <c r="AO446" t="s">
        <v>122</v>
      </c>
      <c r="AP446" t="s">
        <v>122</v>
      </c>
      <c r="AQ446" t="s">
        <v>124</v>
      </c>
      <c r="AR446" t="s">
        <v>125</v>
      </c>
      <c r="AT446" t="s">
        <v>126</v>
      </c>
      <c r="AU446" t="s">
        <v>155</v>
      </c>
      <c r="AV446" t="s">
        <v>156</v>
      </c>
      <c r="AX446" t="s">
        <v>129</v>
      </c>
      <c r="AY446">
        <v>42278.64</v>
      </c>
      <c r="BB446">
        <v>102.181</v>
      </c>
      <c r="BC446" t="s">
        <v>112</v>
      </c>
      <c r="BD446" t="s">
        <v>112</v>
      </c>
      <c r="BE446" t="s">
        <v>112</v>
      </c>
      <c r="BF446" t="s">
        <v>133</v>
      </c>
      <c r="BG446" t="s">
        <v>134</v>
      </c>
      <c r="BH446" t="s">
        <v>112</v>
      </c>
      <c r="BI446" t="s">
        <v>112</v>
      </c>
      <c r="BJ446" t="s">
        <v>112</v>
      </c>
      <c r="BK446" t="s">
        <v>112</v>
      </c>
      <c r="BL446" t="s">
        <v>112</v>
      </c>
      <c r="BM446" t="s">
        <v>112</v>
      </c>
      <c r="BN446" t="s">
        <v>161</v>
      </c>
      <c r="BP446" t="s">
        <v>232</v>
      </c>
      <c r="BR446" t="s">
        <v>150</v>
      </c>
      <c r="BS446">
        <v>33</v>
      </c>
      <c r="BT446">
        <v>0</v>
      </c>
      <c r="BU446">
        <v>0</v>
      </c>
      <c r="BY446" t="s">
        <v>106</v>
      </c>
      <c r="BZ446" t="s">
        <v>142</v>
      </c>
      <c r="CA446" t="s">
        <v>112</v>
      </c>
      <c r="CB446" t="s">
        <v>112</v>
      </c>
      <c r="CC446" t="s">
        <v>121</v>
      </c>
      <c r="CD446">
        <v>16665.29</v>
      </c>
      <c r="CE446" t="s">
        <v>144</v>
      </c>
      <c r="CF446">
        <v>4000000</v>
      </c>
      <c r="CG446">
        <v>16577.689999999999</v>
      </c>
      <c r="CH446">
        <v>0</v>
      </c>
      <c r="CI446" t="s">
        <v>112</v>
      </c>
      <c r="CJ446" t="s">
        <v>112</v>
      </c>
      <c r="CK446">
        <v>42278.64</v>
      </c>
      <c r="CM446">
        <v>0</v>
      </c>
      <c r="CN446">
        <v>1</v>
      </c>
      <c r="CO446">
        <v>4742081.24</v>
      </c>
      <c r="CP446">
        <v>50584.36</v>
      </c>
      <c r="CQ446" t="s">
        <v>145</v>
      </c>
      <c r="CR446">
        <v>50561.954499999993</v>
      </c>
      <c r="CS446">
        <v>3.05</v>
      </c>
      <c r="CW446">
        <v>319</v>
      </c>
    </row>
    <row r="447" spans="1:101" x14ac:dyDescent="0.2">
      <c r="A447" t="s">
        <v>106</v>
      </c>
      <c r="B447" s="46">
        <v>44953</v>
      </c>
      <c r="C447" t="s">
        <v>1754</v>
      </c>
      <c r="D447" t="s">
        <v>108</v>
      </c>
      <c r="E447" t="s">
        <v>1755</v>
      </c>
      <c r="F447" t="s">
        <v>110</v>
      </c>
      <c r="G447" t="s">
        <v>111</v>
      </c>
      <c r="H447" t="s">
        <v>112</v>
      </c>
      <c r="I447" t="s">
        <v>112</v>
      </c>
      <c r="J447" t="s">
        <v>112</v>
      </c>
      <c r="K447" t="s">
        <v>150</v>
      </c>
      <c r="L447" t="s">
        <v>151</v>
      </c>
      <c r="M447" t="s">
        <v>112</v>
      </c>
      <c r="N447" t="s">
        <v>112</v>
      </c>
      <c r="Q447">
        <v>1</v>
      </c>
      <c r="R447">
        <v>33</v>
      </c>
      <c r="S447" t="s">
        <v>166</v>
      </c>
      <c r="T447" t="s">
        <v>152</v>
      </c>
      <c r="U447" t="s">
        <v>153</v>
      </c>
      <c r="V447" t="s">
        <v>154</v>
      </c>
      <c r="W447" t="s">
        <v>119</v>
      </c>
      <c r="X447" t="s">
        <v>112</v>
      </c>
      <c r="Y447" t="s">
        <v>166</v>
      </c>
      <c r="Z447" t="s">
        <v>152</v>
      </c>
      <c r="AA447" t="s">
        <v>153</v>
      </c>
      <c r="AB447" t="s">
        <v>154</v>
      </c>
      <c r="AC447" t="s">
        <v>119</v>
      </c>
      <c r="AD447" t="s">
        <v>112</v>
      </c>
      <c r="AE447" t="s">
        <v>121</v>
      </c>
      <c r="AF447" t="s">
        <v>122</v>
      </c>
      <c r="AG447">
        <v>4733117.93</v>
      </c>
      <c r="AH447" t="s">
        <v>166</v>
      </c>
      <c r="AI447" t="s">
        <v>152</v>
      </c>
      <c r="AJ447" t="s">
        <v>153</v>
      </c>
      <c r="AK447" t="s">
        <v>154</v>
      </c>
      <c r="AL447" t="s">
        <v>119</v>
      </c>
      <c r="AM447" t="s">
        <v>112</v>
      </c>
      <c r="AN447" t="s">
        <v>121</v>
      </c>
      <c r="AO447" t="s">
        <v>122</v>
      </c>
      <c r="AP447" t="s">
        <v>122</v>
      </c>
      <c r="AQ447" t="s">
        <v>124</v>
      </c>
      <c r="AR447" t="s">
        <v>125</v>
      </c>
      <c r="AT447" t="s">
        <v>126</v>
      </c>
      <c r="AU447" t="s">
        <v>155</v>
      </c>
      <c r="AV447" t="s">
        <v>156</v>
      </c>
      <c r="AX447" t="s">
        <v>129</v>
      </c>
      <c r="AY447">
        <v>42190.92</v>
      </c>
      <c r="BB447">
        <v>102.181</v>
      </c>
      <c r="BC447" t="s">
        <v>112</v>
      </c>
      <c r="BD447" t="s">
        <v>112</v>
      </c>
      <c r="BE447" t="s">
        <v>112</v>
      </c>
      <c r="BF447" t="s">
        <v>133</v>
      </c>
      <c r="BG447" t="s">
        <v>134</v>
      </c>
      <c r="BH447" t="s">
        <v>112</v>
      </c>
      <c r="BI447" t="s">
        <v>112</v>
      </c>
      <c r="BJ447" t="s">
        <v>112</v>
      </c>
      <c r="BK447" t="s">
        <v>112</v>
      </c>
      <c r="BL447" t="s">
        <v>112</v>
      </c>
      <c r="BM447" t="s">
        <v>112</v>
      </c>
      <c r="BN447" t="s">
        <v>161</v>
      </c>
      <c r="BP447" t="s">
        <v>232</v>
      </c>
      <c r="BR447" t="s">
        <v>150</v>
      </c>
      <c r="BS447">
        <v>33</v>
      </c>
      <c r="BT447">
        <v>0</v>
      </c>
      <c r="BU447">
        <v>0</v>
      </c>
      <c r="BY447" t="s">
        <v>106</v>
      </c>
      <c r="BZ447" t="s">
        <v>142</v>
      </c>
      <c r="CA447" t="s">
        <v>112</v>
      </c>
      <c r="CB447" t="s">
        <v>112</v>
      </c>
      <c r="CC447" t="s">
        <v>121</v>
      </c>
      <c r="CD447">
        <v>16726.919999999998</v>
      </c>
      <c r="CE447" t="s">
        <v>144</v>
      </c>
      <c r="CF447">
        <v>4000000</v>
      </c>
      <c r="CG447">
        <v>16636.919999999998</v>
      </c>
      <c r="CH447">
        <v>0</v>
      </c>
      <c r="CI447" t="s">
        <v>112</v>
      </c>
      <c r="CJ447" t="s">
        <v>112</v>
      </c>
      <c r="CK447">
        <v>42190.92</v>
      </c>
      <c r="CM447">
        <v>0</v>
      </c>
      <c r="CN447">
        <v>1</v>
      </c>
      <c r="CO447">
        <v>4733117.93</v>
      </c>
      <c r="CP447">
        <v>50488.75</v>
      </c>
      <c r="CQ447" t="s">
        <v>145</v>
      </c>
      <c r="CR447">
        <v>50409.86759999999</v>
      </c>
      <c r="CS447">
        <v>3.03</v>
      </c>
      <c r="CW447">
        <v>300</v>
      </c>
    </row>
    <row r="448" spans="1:101" x14ac:dyDescent="0.2">
      <c r="A448" t="s">
        <v>106</v>
      </c>
      <c r="B448" s="46">
        <v>45263</v>
      </c>
      <c r="C448" t="s">
        <v>1510</v>
      </c>
      <c r="D448" t="s">
        <v>108</v>
      </c>
      <c r="E448" t="s">
        <v>1511</v>
      </c>
      <c r="F448" t="s">
        <v>110</v>
      </c>
      <c r="G448" t="s">
        <v>111</v>
      </c>
      <c r="H448" t="s">
        <v>112</v>
      </c>
      <c r="I448" t="s">
        <v>112</v>
      </c>
      <c r="J448" t="s">
        <v>112</v>
      </c>
      <c r="K448" t="s">
        <v>150</v>
      </c>
      <c r="L448" t="s">
        <v>1060</v>
      </c>
      <c r="M448" t="s">
        <v>112</v>
      </c>
      <c r="N448" t="s">
        <v>112</v>
      </c>
      <c r="O448">
        <v>1</v>
      </c>
      <c r="P448">
        <v>0</v>
      </c>
      <c r="Q448">
        <v>1</v>
      </c>
      <c r="R448">
        <v>33</v>
      </c>
      <c r="S448" t="s">
        <v>166</v>
      </c>
      <c r="T448" t="s">
        <v>152</v>
      </c>
      <c r="U448" t="s">
        <v>153</v>
      </c>
      <c r="V448" t="s">
        <v>154</v>
      </c>
      <c r="W448" t="s">
        <v>119</v>
      </c>
      <c r="X448" t="s">
        <v>112</v>
      </c>
      <c r="Y448" t="s">
        <v>166</v>
      </c>
      <c r="Z448" t="s">
        <v>152</v>
      </c>
      <c r="AA448" t="s">
        <v>153</v>
      </c>
      <c r="AB448" t="s">
        <v>154</v>
      </c>
      <c r="AC448" t="s">
        <v>119</v>
      </c>
      <c r="AD448" t="s">
        <v>112</v>
      </c>
      <c r="AE448" t="s">
        <v>121</v>
      </c>
      <c r="AF448" t="s">
        <v>122</v>
      </c>
      <c r="AG448">
        <v>4905721.51</v>
      </c>
      <c r="AH448" t="s">
        <v>166</v>
      </c>
      <c r="AI448" t="s">
        <v>152</v>
      </c>
      <c r="AJ448" t="s">
        <v>153</v>
      </c>
      <c r="AK448" t="s">
        <v>154</v>
      </c>
      <c r="AL448" t="s">
        <v>119</v>
      </c>
      <c r="AM448" t="s">
        <v>112</v>
      </c>
      <c r="AN448" t="s">
        <v>121</v>
      </c>
      <c r="AO448" t="s">
        <v>122</v>
      </c>
      <c r="AP448" t="s">
        <v>122</v>
      </c>
      <c r="AQ448" t="s">
        <v>124</v>
      </c>
      <c r="AR448" t="s">
        <v>125</v>
      </c>
      <c r="AS448">
        <v>2</v>
      </c>
      <c r="AT448" t="s">
        <v>126</v>
      </c>
      <c r="AU448" t="s">
        <v>155</v>
      </c>
      <c r="AV448" t="s">
        <v>156</v>
      </c>
      <c r="AW448">
        <v>1</v>
      </c>
      <c r="AX448" t="s">
        <v>129</v>
      </c>
      <c r="AY448">
        <v>43431.1</v>
      </c>
      <c r="AZ448">
        <v>4414754</v>
      </c>
      <c r="BA448">
        <v>54253.81</v>
      </c>
      <c r="BB448">
        <v>101.64960000000001</v>
      </c>
      <c r="BC448" t="s">
        <v>130</v>
      </c>
      <c r="BD448" t="s">
        <v>112</v>
      </c>
      <c r="BE448" t="s">
        <v>157</v>
      </c>
      <c r="BF448" t="s">
        <v>133</v>
      </c>
      <c r="BG448" t="s">
        <v>134</v>
      </c>
      <c r="BH448" t="s">
        <v>112</v>
      </c>
      <c r="BI448" t="s">
        <v>112</v>
      </c>
      <c r="BJ448" t="s">
        <v>112</v>
      </c>
      <c r="BK448" t="s">
        <v>169</v>
      </c>
      <c r="BL448" t="s">
        <v>159</v>
      </c>
      <c r="BM448" t="s">
        <v>722</v>
      </c>
      <c r="BN448" t="s">
        <v>161</v>
      </c>
      <c r="BO448">
        <v>1</v>
      </c>
      <c r="BP448" t="s">
        <v>205</v>
      </c>
      <c r="BR448" t="s">
        <v>150</v>
      </c>
      <c r="BS448">
        <v>33</v>
      </c>
      <c r="BT448">
        <v>0</v>
      </c>
      <c r="BU448">
        <v>0</v>
      </c>
      <c r="BW448">
        <v>0</v>
      </c>
      <c r="BY448" t="s">
        <v>106</v>
      </c>
      <c r="BZ448" t="s">
        <v>142</v>
      </c>
      <c r="CA448" t="s">
        <v>112</v>
      </c>
      <c r="CB448" t="s">
        <v>112</v>
      </c>
      <c r="CC448" t="s">
        <v>121</v>
      </c>
      <c r="CD448">
        <v>15404.21</v>
      </c>
      <c r="CE448" t="s">
        <v>144</v>
      </c>
      <c r="CF448">
        <v>4000000</v>
      </c>
      <c r="CG448">
        <v>15285.41</v>
      </c>
      <c r="CH448">
        <v>0</v>
      </c>
      <c r="CI448" t="s">
        <v>112</v>
      </c>
      <c r="CJ448" t="s">
        <v>112</v>
      </c>
      <c r="CK448">
        <v>43431.1</v>
      </c>
      <c r="CL448">
        <v>4414754</v>
      </c>
      <c r="CM448">
        <v>0</v>
      </c>
      <c r="CN448">
        <v>1</v>
      </c>
      <c r="CO448">
        <v>4905721.51</v>
      </c>
      <c r="CP448">
        <v>54253.81</v>
      </c>
      <c r="CQ448" t="s">
        <v>145</v>
      </c>
      <c r="CR448">
        <v>54263.205499999996</v>
      </c>
      <c r="CS448">
        <v>3.55</v>
      </c>
      <c r="CT448">
        <v>45</v>
      </c>
      <c r="CU448" t="s">
        <v>171</v>
      </c>
      <c r="CV448" t="s">
        <v>369</v>
      </c>
      <c r="CW448">
        <v>172</v>
      </c>
    </row>
    <row r="449" spans="1:101" x14ac:dyDescent="0.2">
      <c r="A449" t="s">
        <v>106</v>
      </c>
      <c r="B449" s="46">
        <v>45183</v>
      </c>
      <c r="C449" t="s">
        <v>1187</v>
      </c>
      <c r="D449" t="s">
        <v>108</v>
      </c>
      <c r="E449" t="s">
        <v>1188</v>
      </c>
      <c r="F449" t="s">
        <v>110</v>
      </c>
      <c r="G449" t="s">
        <v>111</v>
      </c>
      <c r="H449" t="s">
        <v>112</v>
      </c>
      <c r="I449" t="s">
        <v>112</v>
      </c>
      <c r="J449" t="s">
        <v>112</v>
      </c>
      <c r="K449" t="s">
        <v>150</v>
      </c>
      <c r="L449" t="s">
        <v>1176</v>
      </c>
      <c r="M449" t="s">
        <v>112</v>
      </c>
      <c r="N449" t="s">
        <v>112</v>
      </c>
      <c r="O449">
        <v>1</v>
      </c>
      <c r="P449">
        <v>0</v>
      </c>
      <c r="Q449">
        <v>1</v>
      </c>
      <c r="R449">
        <v>33</v>
      </c>
      <c r="S449" t="s">
        <v>166</v>
      </c>
      <c r="T449" t="s">
        <v>152</v>
      </c>
      <c r="U449" t="s">
        <v>153</v>
      </c>
      <c r="V449" t="s">
        <v>154</v>
      </c>
      <c r="W449" t="s">
        <v>119</v>
      </c>
      <c r="X449" t="s">
        <v>112</v>
      </c>
      <c r="Y449" t="s">
        <v>166</v>
      </c>
      <c r="Z449" t="s">
        <v>152</v>
      </c>
      <c r="AA449" t="s">
        <v>153</v>
      </c>
      <c r="AB449" t="s">
        <v>154</v>
      </c>
      <c r="AC449" t="s">
        <v>119</v>
      </c>
      <c r="AD449" t="s">
        <v>112</v>
      </c>
      <c r="AE449" t="s">
        <v>121</v>
      </c>
      <c r="AF449" t="s">
        <v>122</v>
      </c>
      <c r="AG449">
        <v>4465685.8600000003</v>
      </c>
      <c r="AH449" t="s">
        <v>166</v>
      </c>
      <c r="AI449" t="s">
        <v>152</v>
      </c>
      <c r="AJ449" t="s">
        <v>153</v>
      </c>
      <c r="AK449" t="s">
        <v>154</v>
      </c>
      <c r="AL449" t="s">
        <v>119</v>
      </c>
      <c r="AM449" t="s">
        <v>112</v>
      </c>
      <c r="AN449" t="s">
        <v>121</v>
      </c>
      <c r="AO449" t="s">
        <v>122</v>
      </c>
      <c r="AP449" t="s">
        <v>122</v>
      </c>
      <c r="AQ449" t="s">
        <v>124</v>
      </c>
      <c r="AR449" t="s">
        <v>125</v>
      </c>
      <c r="AS449">
        <v>2</v>
      </c>
      <c r="AT449" t="s">
        <v>126</v>
      </c>
      <c r="AU449" t="s">
        <v>155</v>
      </c>
      <c r="AV449" t="s">
        <v>156</v>
      </c>
      <c r="AW449">
        <v>1</v>
      </c>
      <c r="AX449" t="s">
        <v>129</v>
      </c>
      <c r="AY449">
        <v>46862.76</v>
      </c>
      <c r="AZ449">
        <v>4104002</v>
      </c>
      <c r="BA449">
        <v>55292.89</v>
      </c>
      <c r="BB449">
        <v>87.5749</v>
      </c>
      <c r="BC449" t="s">
        <v>130</v>
      </c>
      <c r="BD449" t="s">
        <v>112</v>
      </c>
      <c r="BE449" t="s">
        <v>157</v>
      </c>
      <c r="BF449" t="s">
        <v>133</v>
      </c>
      <c r="BG449" t="s">
        <v>134</v>
      </c>
      <c r="BH449" t="s">
        <v>112</v>
      </c>
      <c r="BI449" t="s">
        <v>112</v>
      </c>
      <c r="BJ449" t="s">
        <v>112</v>
      </c>
      <c r="BK449" t="s">
        <v>169</v>
      </c>
      <c r="BL449" t="s">
        <v>159</v>
      </c>
      <c r="BM449" t="s">
        <v>722</v>
      </c>
      <c r="BN449" t="s">
        <v>161</v>
      </c>
      <c r="BO449">
        <v>1</v>
      </c>
      <c r="BP449" t="s">
        <v>232</v>
      </c>
      <c r="BR449" t="s">
        <v>150</v>
      </c>
      <c r="BS449">
        <v>33</v>
      </c>
      <c r="BT449">
        <v>0</v>
      </c>
      <c r="BU449">
        <v>0</v>
      </c>
      <c r="BW449">
        <v>0</v>
      </c>
      <c r="BY449" t="s">
        <v>106</v>
      </c>
      <c r="BZ449" t="s">
        <v>142</v>
      </c>
      <c r="CA449" t="s">
        <v>112</v>
      </c>
      <c r="CB449" t="s">
        <v>112</v>
      </c>
      <c r="CC449" t="s">
        <v>121</v>
      </c>
      <c r="CD449">
        <v>16680.03</v>
      </c>
      <c r="CE449" t="s">
        <v>144</v>
      </c>
      <c r="CF449">
        <v>4000000</v>
      </c>
      <c r="CG449">
        <v>16680.03</v>
      </c>
      <c r="CH449">
        <v>0</v>
      </c>
      <c r="CI449" t="s">
        <v>112</v>
      </c>
      <c r="CJ449" t="s">
        <v>112</v>
      </c>
      <c r="CK449">
        <v>46862.76</v>
      </c>
      <c r="CL449">
        <v>4104002</v>
      </c>
      <c r="CM449">
        <v>0</v>
      </c>
      <c r="CN449">
        <v>1</v>
      </c>
      <c r="CO449">
        <v>4465685.8600000003</v>
      </c>
      <c r="CP449">
        <v>55292.89</v>
      </c>
      <c r="CQ449" t="s">
        <v>145</v>
      </c>
      <c r="CR449">
        <v>55292.631447</v>
      </c>
      <c r="CS449">
        <v>3.3149000000000002</v>
      </c>
      <c r="CT449">
        <v>45</v>
      </c>
      <c r="CU449" t="s">
        <v>171</v>
      </c>
      <c r="CV449" t="s">
        <v>372</v>
      </c>
      <c r="CW449">
        <v>249</v>
      </c>
    </row>
    <row r="450" spans="1:101" x14ac:dyDescent="0.2">
      <c r="A450" t="s">
        <v>106</v>
      </c>
      <c r="B450" s="46">
        <v>45105</v>
      </c>
      <c r="C450" t="s">
        <v>1183</v>
      </c>
      <c r="D450" t="s">
        <v>108</v>
      </c>
      <c r="E450" t="s">
        <v>1184</v>
      </c>
      <c r="F450" t="s">
        <v>110</v>
      </c>
      <c r="G450" t="s">
        <v>111</v>
      </c>
      <c r="H450" t="s">
        <v>112</v>
      </c>
      <c r="I450" t="s">
        <v>112</v>
      </c>
      <c r="J450" t="s">
        <v>112</v>
      </c>
      <c r="K450" t="s">
        <v>150</v>
      </c>
      <c r="L450" t="s">
        <v>1176</v>
      </c>
      <c r="M450" t="s">
        <v>112</v>
      </c>
      <c r="N450" t="s">
        <v>112</v>
      </c>
      <c r="O450">
        <v>1</v>
      </c>
      <c r="P450">
        <v>0</v>
      </c>
      <c r="Q450">
        <v>1</v>
      </c>
      <c r="R450">
        <v>38</v>
      </c>
      <c r="S450" t="s">
        <v>166</v>
      </c>
      <c r="T450" t="s">
        <v>152</v>
      </c>
      <c r="U450" t="s">
        <v>153</v>
      </c>
      <c r="V450" t="s">
        <v>154</v>
      </c>
      <c r="W450" t="s">
        <v>119</v>
      </c>
      <c r="X450" t="s">
        <v>112</v>
      </c>
      <c r="Y450" t="s">
        <v>166</v>
      </c>
      <c r="Z450" t="s">
        <v>152</v>
      </c>
      <c r="AA450" t="s">
        <v>153</v>
      </c>
      <c r="AB450" t="s">
        <v>154</v>
      </c>
      <c r="AC450" t="s">
        <v>119</v>
      </c>
      <c r="AD450" t="s">
        <v>112</v>
      </c>
      <c r="AE450" t="s">
        <v>121</v>
      </c>
      <c r="AF450" t="s">
        <v>122</v>
      </c>
      <c r="AG450">
        <v>4308772.66</v>
      </c>
      <c r="AH450" t="s">
        <v>166</v>
      </c>
      <c r="AI450" t="s">
        <v>152</v>
      </c>
      <c r="AJ450" t="s">
        <v>153</v>
      </c>
      <c r="AK450" t="s">
        <v>154</v>
      </c>
      <c r="AL450" t="s">
        <v>119</v>
      </c>
      <c r="AM450" t="s">
        <v>112</v>
      </c>
      <c r="AN450" t="s">
        <v>121</v>
      </c>
      <c r="AO450" t="s">
        <v>122</v>
      </c>
      <c r="AP450" t="s">
        <v>122</v>
      </c>
      <c r="AQ450" t="s">
        <v>124</v>
      </c>
      <c r="AR450" t="s">
        <v>125</v>
      </c>
      <c r="AS450">
        <v>2</v>
      </c>
      <c r="AT450" t="s">
        <v>126</v>
      </c>
      <c r="AU450" t="s">
        <v>155</v>
      </c>
      <c r="AV450" t="s">
        <v>156</v>
      </c>
      <c r="AW450">
        <v>1</v>
      </c>
      <c r="AX450" t="s">
        <v>129</v>
      </c>
      <c r="AY450">
        <v>45071</v>
      </c>
      <c r="AZ450">
        <v>3947088</v>
      </c>
      <c r="BA450">
        <v>53350.03</v>
      </c>
      <c r="BB450">
        <v>87.5749</v>
      </c>
      <c r="BC450" t="s">
        <v>130</v>
      </c>
      <c r="BD450" t="s">
        <v>112</v>
      </c>
      <c r="BE450" t="s">
        <v>157</v>
      </c>
      <c r="BF450" t="s">
        <v>133</v>
      </c>
      <c r="BG450" t="s">
        <v>134</v>
      </c>
      <c r="BH450" t="s">
        <v>112</v>
      </c>
      <c r="BI450" t="s">
        <v>112</v>
      </c>
      <c r="BJ450" t="s">
        <v>112</v>
      </c>
      <c r="BK450" t="s">
        <v>169</v>
      </c>
      <c r="BL450" t="s">
        <v>159</v>
      </c>
      <c r="BM450" t="s">
        <v>722</v>
      </c>
      <c r="BN450" t="s">
        <v>161</v>
      </c>
      <c r="BO450">
        <v>1</v>
      </c>
      <c r="BP450" t="s">
        <v>205</v>
      </c>
      <c r="BR450" t="s">
        <v>150</v>
      </c>
      <c r="BS450">
        <v>38</v>
      </c>
      <c r="BT450">
        <v>0</v>
      </c>
      <c r="BU450">
        <v>0</v>
      </c>
      <c r="BW450">
        <v>0</v>
      </c>
      <c r="BY450" t="s">
        <v>106</v>
      </c>
      <c r="BZ450" t="s">
        <v>142</v>
      </c>
      <c r="CA450" t="s">
        <v>112</v>
      </c>
      <c r="CB450" t="s">
        <v>112</v>
      </c>
      <c r="CC450" t="s">
        <v>121</v>
      </c>
      <c r="CD450">
        <v>18268.8</v>
      </c>
      <c r="CE450" t="s">
        <v>144</v>
      </c>
      <c r="CF450">
        <v>4000000</v>
      </c>
      <c r="CG450">
        <v>17998.8</v>
      </c>
      <c r="CH450">
        <v>0</v>
      </c>
      <c r="CI450" t="s">
        <v>112</v>
      </c>
      <c r="CJ450" t="s">
        <v>112</v>
      </c>
      <c r="CK450">
        <v>45071</v>
      </c>
      <c r="CL450">
        <v>3947088</v>
      </c>
      <c r="CM450">
        <v>0</v>
      </c>
      <c r="CN450">
        <v>1</v>
      </c>
      <c r="CO450">
        <v>4308772.66</v>
      </c>
      <c r="CP450">
        <v>53350.03</v>
      </c>
      <c r="CQ450" t="s">
        <v>145</v>
      </c>
      <c r="CR450">
        <v>53350.24308</v>
      </c>
      <c r="CS450">
        <v>2.9641000000000002</v>
      </c>
      <c r="CT450">
        <v>45</v>
      </c>
      <c r="CU450" t="s">
        <v>171</v>
      </c>
      <c r="CV450" t="s">
        <v>172</v>
      </c>
      <c r="CW450">
        <v>70</v>
      </c>
    </row>
    <row r="451" spans="1:101" x14ac:dyDescent="0.2">
      <c r="A451" t="s">
        <v>106</v>
      </c>
      <c r="B451" s="46">
        <v>45007</v>
      </c>
      <c r="C451" t="s">
        <v>1189</v>
      </c>
      <c r="D451" t="s">
        <v>108</v>
      </c>
      <c r="E451" t="s">
        <v>1190</v>
      </c>
      <c r="F451" t="s">
        <v>110</v>
      </c>
      <c r="G451" t="s">
        <v>111</v>
      </c>
      <c r="H451" t="s">
        <v>112</v>
      </c>
      <c r="I451" t="s">
        <v>112</v>
      </c>
      <c r="J451" t="s">
        <v>112</v>
      </c>
      <c r="K451" t="s">
        <v>150</v>
      </c>
      <c r="L451" t="s">
        <v>1176</v>
      </c>
      <c r="M451" t="s">
        <v>112</v>
      </c>
      <c r="N451" t="s">
        <v>112</v>
      </c>
      <c r="O451">
        <v>1</v>
      </c>
      <c r="P451">
        <v>0</v>
      </c>
      <c r="Q451">
        <v>1</v>
      </c>
      <c r="R451">
        <v>33</v>
      </c>
      <c r="S451" t="s">
        <v>166</v>
      </c>
      <c r="T451" t="s">
        <v>152</v>
      </c>
      <c r="U451" t="s">
        <v>153</v>
      </c>
      <c r="V451" t="s">
        <v>154</v>
      </c>
      <c r="W451" t="s">
        <v>119</v>
      </c>
      <c r="X451" t="s">
        <v>112</v>
      </c>
      <c r="Y451" t="s">
        <v>166</v>
      </c>
      <c r="Z451" t="s">
        <v>152</v>
      </c>
      <c r="AA451" t="s">
        <v>153</v>
      </c>
      <c r="AB451" t="s">
        <v>154</v>
      </c>
      <c r="AC451" t="s">
        <v>119</v>
      </c>
      <c r="AD451" t="s">
        <v>112</v>
      </c>
      <c r="AE451" t="s">
        <v>121</v>
      </c>
      <c r="AF451" t="s">
        <v>122</v>
      </c>
      <c r="AG451">
        <v>3786878.8</v>
      </c>
      <c r="AH451" t="s">
        <v>166</v>
      </c>
      <c r="AI451" t="s">
        <v>152</v>
      </c>
      <c r="AJ451" t="s">
        <v>153</v>
      </c>
      <c r="AK451" t="s">
        <v>154</v>
      </c>
      <c r="AL451" t="s">
        <v>119</v>
      </c>
      <c r="AM451" t="s">
        <v>112</v>
      </c>
      <c r="AN451" t="s">
        <v>121</v>
      </c>
      <c r="AO451" t="s">
        <v>122</v>
      </c>
      <c r="AP451" t="s">
        <v>122</v>
      </c>
      <c r="AQ451" t="s">
        <v>124</v>
      </c>
      <c r="AR451" t="s">
        <v>125</v>
      </c>
      <c r="AS451">
        <v>2</v>
      </c>
      <c r="AT451" t="s">
        <v>126</v>
      </c>
      <c r="AU451" t="s">
        <v>155</v>
      </c>
      <c r="AV451" t="s">
        <v>156</v>
      </c>
      <c r="AW451">
        <v>1</v>
      </c>
      <c r="AX451" t="s">
        <v>129</v>
      </c>
      <c r="AY451">
        <v>39111.599999999999</v>
      </c>
      <c r="AZ451">
        <v>3425194</v>
      </c>
      <c r="BA451">
        <v>46888.09</v>
      </c>
      <c r="BB451">
        <v>87.5749</v>
      </c>
      <c r="BC451" t="s">
        <v>130</v>
      </c>
      <c r="BD451" t="s">
        <v>112</v>
      </c>
      <c r="BE451" t="s">
        <v>157</v>
      </c>
      <c r="BF451" t="s">
        <v>133</v>
      </c>
      <c r="BG451" t="s">
        <v>134</v>
      </c>
      <c r="BH451" t="s">
        <v>112</v>
      </c>
      <c r="BI451" t="s">
        <v>112</v>
      </c>
      <c r="BJ451" t="s">
        <v>112</v>
      </c>
      <c r="BK451" t="s">
        <v>169</v>
      </c>
      <c r="BL451" t="s">
        <v>159</v>
      </c>
      <c r="BM451" t="s">
        <v>722</v>
      </c>
      <c r="BN451" t="s">
        <v>161</v>
      </c>
      <c r="BO451">
        <v>1</v>
      </c>
      <c r="BP451" t="s">
        <v>232</v>
      </c>
      <c r="BR451" t="s">
        <v>150</v>
      </c>
      <c r="BS451">
        <v>33</v>
      </c>
      <c r="BT451">
        <v>0</v>
      </c>
      <c r="BU451">
        <v>0</v>
      </c>
      <c r="BW451">
        <v>0</v>
      </c>
      <c r="BY451" t="s">
        <v>106</v>
      </c>
      <c r="BZ451" t="s">
        <v>142</v>
      </c>
      <c r="CA451" t="s">
        <v>112</v>
      </c>
      <c r="CB451" t="s">
        <v>112</v>
      </c>
      <c r="CC451" t="s">
        <v>121</v>
      </c>
      <c r="CD451">
        <v>16990.41</v>
      </c>
      <c r="CE451" t="s">
        <v>144</v>
      </c>
      <c r="CF451">
        <v>4000000</v>
      </c>
      <c r="CG451">
        <v>16990.41</v>
      </c>
      <c r="CH451">
        <v>0</v>
      </c>
      <c r="CI451" t="s">
        <v>112</v>
      </c>
      <c r="CJ451" t="s">
        <v>112</v>
      </c>
      <c r="CK451">
        <v>39111.599999999999</v>
      </c>
      <c r="CL451">
        <v>3425194</v>
      </c>
      <c r="CM451">
        <v>0</v>
      </c>
      <c r="CN451">
        <v>1</v>
      </c>
      <c r="CO451">
        <v>3786878.8</v>
      </c>
      <c r="CP451">
        <v>46888.09</v>
      </c>
      <c r="CQ451" t="s">
        <v>145</v>
      </c>
      <c r="CR451">
        <v>46888.434477000003</v>
      </c>
      <c r="CS451">
        <v>2.7597</v>
      </c>
      <c r="CT451">
        <v>45</v>
      </c>
      <c r="CU451" t="s">
        <v>171</v>
      </c>
      <c r="CV451" t="s">
        <v>463</v>
      </c>
      <c r="CW451">
        <v>248</v>
      </c>
    </row>
    <row r="452" spans="1:101" x14ac:dyDescent="0.2">
      <c r="A452" t="s">
        <v>106</v>
      </c>
      <c r="B452" s="46">
        <v>44999</v>
      </c>
      <c r="C452" t="s">
        <v>1071</v>
      </c>
      <c r="D452" t="s">
        <v>108</v>
      </c>
      <c r="E452" t="s">
        <v>1072</v>
      </c>
      <c r="F452" t="s">
        <v>110</v>
      </c>
      <c r="G452" t="s">
        <v>111</v>
      </c>
      <c r="H452" t="s">
        <v>112</v>
      </c>
      <c r="I452" t="s">
        <v>112</v>
      </c>
      <c r="J452" t="s">
        <v>112</v>
      </c>
      <c r="K452" t="s">
        <v>150</v>
      </c>
      <c r="L452" t="s">
        <v>1060</v>
      </c>
      <c r="M452" t="s">
        <v>112</v>
      </c>
      <c r="N452" t="s">
        <v>112</v>
      </c>
      <c r="O452">
        <v>1</v>
      </c>
      <c r="P452">
        <v>0</v>
      </c>
      <c r="Q452">
        <v>1</v>
      </c>
      <c r="R452">
        <v>33</v>
      </c>
      <c r="S452" t="s">
        <v>166</v>
      </c>
      <c r="T452" t="s">
        <v>152</v>
      </c>
      <c r="U452" t="s">
        <v>153</v>
      </c>
      <c r="V452" t="s">
        <v>154</v>
      </c>
      <c r="W452" t="s">
        <v>119</v>
      </c>
      <c r="X452" t="s">
        <v>112</v>
      </c>
      <c r="Y452" t="s">
        <v>166</v>
      </c>
      <c r="Z452" t="s">
        <v>152</v>
      </c>
      <c r="AA452" t="s">
        <v>153</v>
      </c>
      <c r="AB452" t="s">
        <v>154</v>
      </c>
      <c r="AC452" t="s">
        <v>119</v>
      </c>
      <c r="AD452" t="s">
        <v>112</v>
      </c>
      <c r="AE452" t="s">
        <v>121</v>
      </c>
      <c r="AF452" t="s">
        <v>122</v>
      </c>
      <c r="AG452">
        <v>4342420.28</v>
      </c>
      <c r="AH452" t="s">
        <v>166</v>
      </c>
      <c r="AI452" t="s">
        <v>152</v>
      </c>
      <c r="AJ452" t="s">
        <v>153</v>
      </c>
      <c r="AK452" t="s">
        <v>154</v>
      </c>
      <c r="AL452" t="s">
        <v>119</v>
      </c>
      <c r="AM452" t="s">
        <v>112</v>
      </c>
      <c r="AN452" t="s">
        <v>121</v>
      </c>
      <c r="AO452" t="s">
        <v>122</v>
      </c>
      <c r="AP452" t="s">
        <v>122</v>
      </c>
      <c r="AQ452" t="s">
        <v>124</v>
      </c>
      <c r="AR452" t="s">
        <v>125</v>
      </c>
      <c r="AS452">
        <v>2</v>
      </c>
      <c r="AT452" t="s">
        <v>126</v>
      </c>
      <c r="AU452" t="s">
        <v>155</v>
      </c>
      <c r="AV452" t="s">
        <v>156</v>
      </c>
      <c r="AW452">
        <v>1</v>
      </c>
      <c r="AX452" t="s">
        <v>129</v>
      </c>
      <c r="AY452">
        <v>43582.62</v>
      </c>
      <c r="AZ452">
        <v>3907574</v>
      </c>
      <c r="BA452">
        <v>53197.75</v>
      </c>
      <c r="BB452">
        <v>89.659000000000006</v>
      </c>
      <c r="BC452" t="s">
        <v>130</v>
      </c>
      <c r="BD452" t="s">
        <v>112</v>
      </c>
      <c r="BE452" t="s">
        <v>157</v>
      </c>
      <c r="BF452" t="s">
        <v>133</v>
      </c>
      <c r="BG452" t="s">
        <v>134</v>
      </c>
      <c r="BH452" t="s">
        <v>112</v>
      </c>
      <c r="BI452" t="s">
        <v>112</v>
      </c>
      <c r="BJ452" t="s">
        <v>112</v>
      </c>
      <c r="BK452" t="s">
        <v>169</v>
      </c>
      <c r="BL452" t="s">
        <v>159</v>
      </c>
      <c r="BM452" t="s">
        <v>722</v>
      </c>
      <c r="BN452" t="s">
        <v>161</v>
      </c>
      <c r="BO452">
        <v>1</v>
      </c>
      <c r="BP452" t="s">
        <v>162</v>
      </c>
      <c r="BR452" t="s">
        <v>150</v>
      </c>
      <c r="BS452">
        <v>33</v>
      </c>
      <c r="BT452">
        <v>0</v>
      </c>
      <c r="BU452">
        <v>0</v>
      </c>
      <c r="BW452">
        <v>0</v>
      </c>
      <c r="BY452" t="s">
        <v>106</v>
      </c>
      <c r="BZ452" t="s">
        <v>142</v>
      </c>
      <c r="CA452" t="s">
        <v>112</v>
      </c>
      <c r="CB452" t="s">
        <v>112</v>
      </c>
      <c r="CC452" t="s">
        <v>121</v>
      </c>
      <c r="CD452">
        <v>16544.88</v>
      </c>
      <c r="CE452" t="s">
        <v>144</v>
      </c>
      <c r="CF452">
        <v>4000000</v>
      </c>
      <c r="CG452">
        <v>16544.88</v>
      </c>
      <c r="CH452">
        <v>0</v>
      </c>
      <c r="CI452" t="s">
        <v>112</v>
      </c>
      <c r="CJ452" t="s">
        <v>112</v>
      </c>
      <c r="CK452">
        <v>43582.62</v>
      </c>
      <c r="CL452">
        <v>3907574</v>
      </c>
      <c r="CM452">
        <v>0</v>
      </c>
      <c r="CN452">
        <v>1</v>
      </c>
      <c r="CO452">
        <v>4342420.28</v>
      </c>
      <c r="CP452">
        <v>53197.75</v>
      </c>
      <c r="CQ452" t="s">
        <v>145</v>
      </c>
      <c r="CR452">
        <v>53198.407152</v>
      </c>
      <c r="CS452">
        <v>3.2153999999999998</v>
      </c>
      <c r="CT452">
        <v>45</v>
      </c>
      <c r="CU452" t="s">
        <v>171</v>
      </c>
      <c r="CV452" t="s">
        <v>350</v>
      </c>
      <c r="CW452">
        <v>9</v>
      </c>
    </row>
    <row r="453" spans="1:101" x14ac:dyDescent="0.2">
      <c r="A453" t="s">
        <v>106</v>
      </c>
      <c r="B453" s="46">
        <v>44832</v>
      </c>
      <c r="C453" t="s">
        <v>268</v>
      </c>
      <c r="D453" t="s">
        <v>108</v>
      </c>
      <c r="E453" t="s">
        <v>269</v>
      </c>
      <c r="F453" t="s">
        <v>110</v>
      </c>
      <c r="G453" t="s">
        <v>111</v>
      </c>
      <c r="H453" t="s">
        <v>112</v>
      </c>
      <c r="I453" t="s">
        <v>112</v>
      </c>
      <c r="J453" t="s">
        <v>112</v>
      </c>
      <c r="K453" t="s">
        <v>113</v>
      </c>
      <c r="L453" t="s">
        <v>114</v>
      </c>
      <c r="M453" t="s">
        <v>112</v>
      </c>
      <c r="N453" t="s">
        <v>112</v>
      </c>
      <c r="O453">
        <v>1</v>
      </c>
      <c r="P453">
        <v>0</v>
      </c>
      <c r="Q453">
        <v>1</v>
      </c>
      <c r="R453">
        <v>33</v>
      </c>
      <c r="S453" t="s">
        <v>115</v>
      </c>
      <c r="T453" t="s">
        <v>116</v>
      </c>
      <c r="U453" t="s">
        <v>117</v>
      </c>
      <c r="V453" t="s">
        <v>118</v>
      </c>
      <c r="W453" t="s">
        <v>119</v>
      </c>
      <c r="X453" t="s">
        <v>120</v>
      </c>
      <c r="Y453" t="s">
        <v>115</v>
      </c>
      <c r="Z453" t="s">
        <v>116</v>
      </c>
      <c r="AA453" t="s">
        <v>117</v>
      </c>
      <c r="AB453" t="s">
        <v>118</v>
      </c>
      <c r="AC453" t="s">
        <v>119</v>
      </c>
      <c r="AD453" t="s">
        <v>120</v>
      </c>
      <c r="AE453" t="s">
        <v>121</v>
      </c>
      <c r="AF453" t="s">
        <v>122</v>
      </c>
      <c r="AG453">
        <v>3724377.86</v>
      </c>
      <c r="AH453" t="s">
        <v>115</v>
      </c>
      <c r="AI453" t="s">
        <v>116</v>
      </c>
      <c r="AJ453" t="s">
        <v>117</v>
      </c>
      <c r="AK453" t="s">
        <v>118</v>
      </c>
      <c r="AL453" t="s">
        <v>119</v>
      </c>
      <c r="AM453" t="s">
        <v>120</v>
      </c>
      <c r="AN453" t="s">
        <v>121</v>
      </c>
      <c r="AO453" t="s">
        <v>122</v>
      </c>
      <c r="AP453" t="s">
        <v>123</v>
      </c>
      <c r="AQ453" t="s">
        <v>124</v>
      </c>
      <c r="AR453" t="s">
        <v>125</v>
      </c>
      <c r="AS453">
        <v>2</v>
      </c>
      <c r="AT453" t="s">
        <v>126</v>
      </c>
      <c r="AU453" t="s">
        <v>127</v>
      </c>
      <c r="AV453" t="s">
        <v>128</v>
      </c>
      <c r="AW453">
        <v>1</v>
      </c>
      <c r="AX453" t="s">
        <v>129</v>
      </c>
      <c r="AY453">
        <v>46490.11</v>
      </c>
      <c r="AZ453">
        <v>3452569</v>
      </c>
      <c r="BA453">
        <v>54240.3</v>
      </c>
      <c r="BB453">
        <v>74.264600000000002</v>
      </c>
      <c r="BC453" t="s">
        <v>130</v>
      </c>
      <c r="BD453" t="s">
        <v>131</v>
      </c>
      <c r="BE453" t="s">
        <v>132</v>
      </c>
      <c r="BF453" t="s">
        <v>133</v>
      </c>
      <c r="BG453" t="s">
        <v>134</v>
      </c>
      <c r="BH453" t="s">
        <v>112</v>
      </c>
      <c r="BI453" t="s">
        <v>135</v>
      </c>
      <c r="BJ453" t="s">
        <v>112</v>
      </c>
      <c r="BK453" t="s">
        <v>136</v>
      </c>
      <c r="BL453" t="s">
        <v>137</v>
      </c>
      <c r="BM453" t="s">
        <v>138</v>
      </c>
      <c r="BN453" t="s">
        <v>139</v>
      </c>
      <c r="BO453">
        <v>1</v>
      </c>
      <c r="BP453" t="s">
        <v>267</v>
      </c>
      <c r="BR453" t="s">
        <v>141</v>
      </c>
      <c r="BS453">
        <v>33</v>
      </c>
      <c r="BT453">
        <v>0</v>
      </c>
      <c r="BU453">
        <v>0</v>
      </c>
      <c r="BW453">
        <v>0</v>
      </c>
      <c r="BY453" t="s">
        <v>106</v>
      </c>
      <c r="BZ453" t="s">
        <v>142</v>
      </c>
      <c r="CA453" t="s">
        <v>112</v>
      </c>
      <c r="CB453" t="s">
        <v>112</v>
      </c>
      <c r="CC453" t="s">
        <v>143</v>
      </c>
      <c r="CD453">
        <v>15339.52</v>
      </c>
      <c r="CE453" t="s">
        <v>144</v>
      </c>
      <c r="CF453">
        <v>4000000</v>
      </c>
      <c r="CG453">
        <v>15263.8</v>
      </c>
      <c r="CH453">
        <v>0</v>
      </c>
      <c r="CI453" t="s">
        <v>112</v>
      </c>
      <c r="CJ453" t="s">
        <v>112</v>
      </c>
      <c r="CK453">
        <v>46490.11</v>
      </c>
      <c r="CL453">
        <v>3452569</v>
      </c>
      <c r="CM453">
        <v>0</v>
      </c>
      <c r="CN453">
        <v>1</v>
      </c>
      <c r="CO453">
        <v>3724377.86</v>
      </c>
      <c r="CP453">
        <v>54240.3</v>
      </c>
      <c r="CQ453" t="s">
        <v>145</v>
      </c>
      <c r="CR453">
        <v>54239.9133</v>
      </c>
      <c r="CS453">
        <v>3.5535000000000001</v>
      </c>
      <c r="CT453">
        <v>941</v>
      </c>
      <c r="CU453" t="s">
        <v>146</v>
      </c>
      <c r="CV453" t="s">
        <v>147</v>
      </c>
      <c r="CW453">
        <v>152</v>
      </c>
    </row>
    <row r="454" spans="1:101" x14ac:dyDescent="0.2">
      <c r="A454" t="s">
        <v>106</v>
      </c>
      <c r="B454" s="46">
        <v>45093</v>
      </c>
      <c r="C454" t="s">
        <v>1461</v>
      </c>
      <c r="D454" t="s">
        <v>108</v>
      </c>
      <c r="E454" t="s">
        <v>1462</v>
      </c>
      <c r="F454" t="s">
        <v>110</v>
      </c>
      <c r="G454" t="s">
        <v>111</v>
      </c>
      <c r="H454" t="s">
        <v>112</v>
      </c>
      <c r="I454" t="s">
        <v>112</v>
      </c>
      <c r="J454" t="s">
        <v>112</v>
      </c>
      <c r="K454" t="s">
        <v>150</v>
      </c>
      <c r="L454" t="s">
        <v>151</v>
      </c>
      <c r="M454" t="s">
        <v>112</v>
      </c>
      <c r="N454" t="s">
        <v>112</v>
      </c>
      <c r="O454">
        <v>1</v>
      </c>
      <c r="Q454">
        <v>1</v>
      </c>
      <c r="R454">
        <v>33</v>
      </c>
      <c r="S454" t="s">
        <v>112</v>
      </c>
      <c r="T454" t="s">
        <v>152</v>
      </c>
      <c r="U454" t="s">
        <v>153</v>
      </c>
      <c r="V454" t="s">
        <v>154</v>
      </c>
      <c r="W454" t="s">
        <v>119</v>
      </c>
      <c r="X454" t="s">
        <v>112</v>
      </c>
      <c r="Y454" t="s">
        <v>112</v>
      </c>
      <c r="Z454" t="s">
        <v>152</v>
      </c>
      <c r="AA454" t="s">
        <v>153</v>
      </c>
      <c r="AB454" t="s">
        <v>154</v>
      </c>
      <c r="AC454" t="s">
        <v>119</v>
      </c>
      <c r="AD454" t="s">
        <v>112</v>
      </c>
      <c r="AE454" t="s">
        <v>121</v>
      </c>
      <c r="AF454" t="s">
        <v>122</v>
      </c>
      <c r="AG454">
        <v>4765216.71</v>
      </c>
      <c r="AH454" t="s">
        <v>112</v>
      </c>
      <c r="AI454" t="s">
        <v>152</v>
      </c>
      <c r="AJ454" t="s">
        <v>153</v>
      </c>
      <c r="AK454" t="s">
        <v>154</v>
      </c>
      <c r="AL454" t="s">
        <v>119</v>
      </c>
      <c r="AM454" t="s">
        <v>112</v>
      </c>
      <c r="AN454" t="s">
        <v>121</v>
      </c>
      <c r="AO454" t="s">
        <v>122</v>
      </c>
      <c r="AP454" t="s">
        <v>122</v>
      </c>
      <c r="AQ454" t="s">
        <v>124</v>
      </c>
      <c r="AR454" t="s">
        <v>125</v>
      </c>
      <c r="AS454">
        <v>2</v>
      </c>
      <c r="AT454" t="s">
        <v>126</v>
      </c>
      <c r="AU454" t="s">
        <v>155</v>
      </c>
      <c r="AV454" t="s">
        <v>156</v>
      </c>
      <c r="AX454" t="s">
        <v>129</v>
      </c>
      <c r="AY454">
        <v>44643.4</v>
      </c>
      <c r="BB454">
        <v>96.592100000000002</v>
      </c>
      <c r="BC454" t="s">
        <v>112</v>
      </c>
      <c r="BD454" t="s">
        <v>112</v>
      </c>
      <c r="BE454" t="s">
        <v>157</v>
      </c>
      <c r="BF454" t="s">
        <v>133</v>
      </c>
      <c r="BG454" t="s">
        <v>167</v>
      </c>
      <c r="BH454" t="s">
        <v>112</v>
      </c>
      <c r="BI454" t="s">
        <v>112</v>
      </c>
      <c r="BJ454" t="s">
        <v>112</v>
      </c>
      <c r="BK454" t="s">
        <v>158</v>
      </c>
      <c r="BL454" t="s">
        <v>159</v>
      </c>
      <c r="BM454" t="s">
        <v>160</v>
      </c>
      <c r="BN454" t="s">
        <v>161</v>
      </c>
      <c r="BP454" t="s">
        <v>205</v>
      </c>
      <c r="BR454" t="s">
        <v>150</v>
      </c>
      <c r="BS454">
        <v>33</v>
      </c>
      <c r="BT454">
        <v>0</v>
      </c>
      <c r="BU454">
        <v>0</v>
      </c>
      <c r="BW454">
        <v>0</v>
      </c>
      <c r="BY454" t="s">
        <v>106</v>
      </c>
      <c r="BZ454" t="s">
        <v>142</v>
      </c>
      <c r="CA454" t="s">
        <v>112</v>
      </c>
      <c r="CB454" t="s">
        <v>112</v>
      </c>
      <c r="CC454" t="s">
        <v>121</v>
      </c>
      <c r="CD454">
        <v>15788.5</v>
      </c>
      <c r="CE454" t="s">
        <v>144</v>
      </c>
      <c r="CF454">
        <v>4000000</v>
      </c>
      <c r="CG454">
        <v>15601.3</v>
      </c>
      <c r="CH454">
        <v>0</v>
      </c>
      <c r="CI454" t="s">
        <v>112</v>
      </c>
      <c r="CJ454" t="s">
        <v>112</v>
      </c>
      <c r="CK454">
        <v>44643.4</v>
      </c>
      <c r="CM454">
        <v>0</v>
      </c>
      <c r="CN454">
        <v>1</v>
      </c>
      <c r="CO454">
        <v>4765216.71</v>
      </c>
      <c r="CP454">
        <v>53573.91</v>
      </c>
      <c r="CQ454" t="s">
        <v>145</v>
      </c>
      <c r="CR454">
        <v>53512.459000000003</v>
      </c>
      <c r="CS454">
        <v>3.43</v>
      </c>
      <c r="CT454">
        <v>45</v>
      </c>
      <c r="CV454" t="s">
        <v>729</v>
      </c>
      <c r="CW454">
        <v>593</v>
      </c>
    </row>
    <row r="455" spans="1:101" x14ac:dyDescent="0.2">
      <c r="A455" t="s">
        <v>106</v>
      </c>
      <c r="B455" s="46">
        <v>45141</v>
      </c>
      <c r="C455" t="s">
        <v>1406</v>
      </c>
      <c r="D455" t="s">
        <v>108</v>
      </c>
      <c r="E455" t="s">
        <v>1407</v>
      </c>
      <c r="F455" t="s">
        <v>110</v>
      </c>
      <c r="G455" t="s">
        <v>111</v>
      </c>
      <c r="H455" t="s">
        <v>112</v>
      </c>
      <c r="I455" t="s">
        <v>112</v>
      </c>
      <c r="J455" t="s">
        <v>112</v>
      </c>
      <c r="K455" t="s">
        <v>150</v>
      </c>
      <c r="L455" t="s">
        <v>151</v>
      </c>
      <c r="M455" t="s">
        <v>112</v>
      </c>
      <c r="N455" t="s">
        <v>112</v>
      </c>
      <c r="O455">
        <v>1</v>
      </c>
      <c r="Q455">
        <v>1</v>
      </c>
      <c r="R455">
        <v>33</v>
      </c>
      <c r="S455" t="s">
        <v>112</v>
      </c>
      <c r="T455" t="s">
        <v>152</v>
      </c>
      <c r="U455" t="s">
        <v>153</v>
      </c>
      <c r="V455" t="s">
        <v>154</v>
      </c>
      <c r="W455" t="s">
        <v>119</v>
      </c>
      <c r="X455" t="s">
        <v>112</v>
      </c>
      <c r="Y455" t="s">
        <v>112</v>
      </c>
      <c r="Z455" t="s">
        <v>152</v>
      </c>
      <c r="AA455" t="s">
        <v>153</v>
      </c>
      <c r="AB455" t="s">
        <v>154</v>
      </c>
      <c r="AC455" t="s">
        <v>119</v>
      </c>
      <c r="AD455" t="s">
        <v>112</v>
      </c>
      <c r="AE455" t="s">
        <v>121</v>
      </c>
      <c r="AF455" t="s">
        <v>122</v>
      </c>
      <c r="AG455">
        <v>4901048.38</v>
      </c>
      <c r="AH455" t="s">
        <v>112</v>
      </c>
      <c r="AI455" t="s">
        <v>152</v>
      </c>
      <c r="AJ455" t="s">
        <v>153</v>
      </c>
      <c r="AK455" t="s">
        <v>154</v>
      </c>
      <c r="AL455" t="s">
        <v>119</v>
      </c>
      <c r="AM455" t="s">
        <v>112</v>
      </c>
      <c r="AN455" t="s">
        <v>121</v>
      </c>
      <c r="AO455" t="s">
        <v>122</v>
      </c>
      <c r="AP455" t="s">
        <v>122</v>
      </c>
      <c r="AQ455" t="s">
        <v>124</v>
      </c>
      <c r="AR455" t="s">
        <v>125</v>
      </c>
      <c r="AS455">
        <v>2</v>
      </c>
      <c r="AT455" t="s">
        <v>126</v>
      </c>
      <c r="AU455" t="s">
        <v>155</v>
      </c>
      <c r="AV455" t="s">
        <v>156</v>
      </c>
      <c r="AX455" t="s">
        <v>129</v>
      </c>
      <c r="AY455">
        <v>46219.64</v>
      </c>
      <c r="BB455">
        <v>96.592100000000002</v>
      </c>
      <c r="BC455" t="s">
        <v>112</v>
      </c>
      <c r="BD455" t="s">
        <v>112</v>
      </c>
      <c r="BE455" t="s">
        <v>157</v>
      </c>
      <c r="BF455" t="s">
        <v>133</v>
      </c>
      <c r="BG455" t="s">
        <v>134</v>
      </c>
      <c r="BH455" t="s">
        <v>112</v>
      </c>
      <c r="BI455" t="s">
        <v>112</v>
      </c>
      <c r="BJ455" t="s">
        <v>112</v>
      </c>
      <c r="BK455" t="s">
        <v>158</v>
      </c>
      <c r="BL455" t="s">
        <v>159</v>
      </c>
      <c r="BM455" t="s">
        <v>212</v>
      </c>
      <c r="BN455" t="s">
        <v>161</v>
      </c>
      <c r="BP455" t="s">
        <v>232</v>
      </c>
      <c r="BR455" t="s">
        <v>150</v>
      </c>
      <c r="BS455">
        <v>33</v>
      </c>
      <c r="BT455">
        <v>0</v>
      </c>
      <c r="BU455">
        <v>0</v>
      </c>
      <c r="BW455">
        <v>0</v>
      </c>
      <c r="BY455" t="s">
        <v>106</v>
      </c>
      <c r="BZ455" t="s">
        <v>142</v>
      </c>
      <c r="CA455" t="s">
        <v>112</v>
      </c>
      <c r="CB455" t="s">
        <v>112</v>
      </c>
      <c r="CC455" t="s">
        <v>121</v>
      </c>
      <c r="CD455">
        <v>16722.900000000001</v>
      </c>
      <c r="CE455" t="s">
        <v>144</v>
      </c>
      <c r="CF455">
        <v>4000000</v>
      </c>
      <c r="CG455">
        <v>16668.900000000001</v>
      </c>
      <c r="CH455">
        <v>0</v>
      </c>
      <c r="CI455" t="s">
        <v>112</v>
      </c>
      <c r="CJ455" t="s">
        <v>112</v>
      </c>
      <c r="CK455">
        <v>46219.64</v>
      </c>
      <c r="CM455">
        <v>0</v>
      </c>
      <c r="CN455">
        <v>1</v>
      </c>
      <c r="CO455">
        <v>4901048.38</v>
      </c>
      <c r="CP455">
        <v>55101.02</v>
      </c>
      <c r="CQ455" t="s">
        <v>145</v>
      </c>
      <c r="CR455">
        <v>55174.059000000008</v>
      </c>
      <c r="CS455">
        <v>3.31</v>
      </c>
      <c r="CT455">
        <v>45</v>
      </c>
      <c r="CV455" t="s">
        <v>233</v>
      </c>
      <c r="CW455">
        <v>124</v>
      </c>
    </row>
    <row r="456" spans="1:101" x14ac:dyDescent="0.2">
      <c r="A456" t="s">
        <v>106</v>
      </c>
      <c r="B456" s="46">
        <v>45119</v>
      </c>
      <c r="C456" t="s">
        <v>2126</v>
      </c>
      <c r="D456" t="s">
        <v>108</v>
      </c>
      <c r="E456" t="s">
        <v>2127</v>
      </c>
      <c r="F456" t="s">
        <v>110</v>
      </c>
      <c r="G456" t="s">
        <v>111</v>
      </c>
      <c r="H456" t="s">
        <v>112</v>
      </c>
      <c r="I456" t="s">
        <v>112</v>
      </c>
      <c r="J456" t="s">
        <v>112</v>
      </c>
      <c r="K456" t="s">
        <v>175</v>
      </c>
      <c r="L456" t="s">
        <v>448</v>
      </c>
      <c r="M456" t="s">
        <v>112</v>
      </c>
      <c r="N456" t="s">
        <v>112</v>
      </c>
      <c r="O456">
        <v>1</v>
      </c>
      <c r="Q456">
        <v>1</v>
      </c>
      <c r="R456">
        <v>33</v>
      </c>
      <c r="S456" t="s">
        <v>112</v>
      </c>
      <c r="T456" t="s">
        <v>152</v>
      </c>
      <c r="U456" t="s">
        <v>153</v>
      </c>
      <c r="V456" t="s">
        <v>154</v>
      </c>
      <c r="W456" t="s">
        <v>119</v>
      </c>
      <c r="X456" t="s">
        <v>112</v>
      </c>
      <c r="Y456" t="s">
        <v>112</v>
      </c>
      <c r="Z456" t="s">
        <v>152</v>
      </c>
      <c r="AA456" t="s">
        <v>153</v>
      </c>
      <c r="AB456" t="s">
        <v>154</v>
      </c>
      <c r="AC456" t="s">
        <v>119</v>
      </c>
      <c r="AD456" t="s">
        <v>112</v>
      </c>
      <c r="AE456" t="s">
        <v>121</v>
      </c>
      <c r="AF456" t="s">
        <v>122</v>
      </c>
      <c r="AG456">
        <v>4862070.46</v>
      </c>
      <c r="AH456" t="s">
        <v>112</v>
      </c>
      <c r="AI456" t="s">
        <v>152</v>
      </c>
      <c r="AJ456" t="s">
        <v>153</v>
      </c>
      <c r="AK456" t="s">
        <v>154</v>
      </c>
      <c r="AL456" t="s">
        <v>119</v>
      </c>
      <c r="AM456" t="s">
        <v>112</v>
      </c>
      <c r="AN456" t="s">
        <v>121</v>
      </c>
      <c r="AO456" t="s">
        <v>122</v>
      </c>
      <c r="AP456" t="s">
        <v>122</v>
      </c>
      <c r="AQ456" t="s">
        <v>124</v>
      </c>
      <c r="AR456" t="s">
        <v>125</v>
      </c>
      <c r="AS456">
        <v>2</v>
      </c>
      <c r="AT456" t="s">
        <v>126</v>
      </c>
      <c r="AU456" t="s">
        <v>155</v>
      </c>
      <c r="AV456" t="s">
        <v>156</v>
      </c>
      <c r="AX456" t="s">
        <v>129</v>
      </c>
      <c r="AY456">
        <v>43435.58</v>
      </c>
      <c r="BB456">
        <v>102.52</v>
      </c>
      <c r="BC456" t="s">
        <v>112</v>
      </c>
      <c r="BD456" t="s">
        <v>112</v>
      </c>
      <c r="BE456" t="s">
        <v>157</v>
      </c>
      <c r="BF456" t="s">
        <v>133</v>
      </c>
      <c r="BG456" t="s">
        <v>167</v>
      </c>
      <c r="BH456" t="s">
        <v>112</v>
      </c>
      <c r="BI456" t="s">
        <v>112</v>
      </c>
      <c r="BJ456" t="s">
        <v>112</v>
      </c>
      <c r="BK456" t="s">
        <v>158</v>
      </c>
      <c r="BL456" t="s">
        <v>159</v>
      </c>
      <c r="BM456" t="s">
        <v>160</v>
      </c>
      <c r="BN456" t="s">
        <v>161</v>
      </c>
      <c r="BP456" t="s">
        <v>205</v>
      </c>
      <c r="BR456" t="s">
        <v>150</v>
      </c>
      <c r="BS456">
        <v>33</v>
      </c>
      <c r="BT456">
        <v>0</v>
      </c>
      <c r="BU456">
        <v>0</v>
      </c>
      <c r="BW456">
        <v>0</v>
      </c>
      <c r="BY456" t="s">
        <v>106</v>
      </c>
      <c r="BZ456" t="s">
        <v>142</v>
      </c>
      <c r="CA456" t="s">
        <v>112</v>
      </c>
      <c r="CB456" t="s">
        <v>112</v>
      </c>
      <c r="CC456" t="s">
        <v>121</v>
      </c>
      <c r="CD456">
        <v>16140.6</v>
      </c>
      <c r="CE456" t="s">
        <v>144</v>
      </c>
      <c r="CF456">
        <v>4000000</v>
      </c>
      <c r="CG456">
        <v>15967.8</v>
      </c>
      <c r="CH456">
        <v>0</v>
      </c>
      <c r="CI456" t="s">
        <v>112</v>
      </c>
      <c r="CJ456" t="s">
        <v>112</v>
      </c>
      <c r="CK456">
        <v>43435.58</v>
      </c>
      <c r="CM456">
        <v>0</v>
      </c>
      <c r="CN456">
        <v>1</v>
      </c>
      <c r="CO456">
        <v>4862070.46</v>
      </c>
      <c r="CP456">
        <v>49976.83</v>
      </c>
      <c r="CQ456" t="s">
        <v>145</v>
      </c>
      <c r="CR456">
        <v>49979.213999999993</v>
      </c>
      <c r="CS456">
        <v>3.13</v>
      </c>
      <c r="CT456">
        <v>45</v>
      </c>
      <c r="CV456" t="s">
        <v>233</v>
      </c>
      <c r="CW456">
        <v>278</v>
      </c>
    </row>
    <row r="457" spans="1:101" x14ac:dyDescent="0.2">
      <c r="A457" t="s">
        <v>106</v>
      </c>
      <c r="B457" s="46">
        <v>44571</v>
      </c>
      <c r="C457" t="s">
        <v>2126</v>
      </c>
      <c r="D457" t="s">
        <v>108</v>
      </c>
      <c r="E457" t="s">
        <v>2127</v>
      </c>
      <c r="F457" t="s">
        <v>110</v>
      </c>
      <c r="G457" t="s">
        <v>111</v>
      </c>
      <c r="H457" t="s">
        <v>112</v>
      </c>
      <c r="I457" t="s">
        <v>112</v>
      </c>
      <c r="J457" t="s">
        <v>112</v>
      </c>
      <c r="K457" t="s">
        <v>175</v>
      </c>
      <c r="L457" t="s">
        <v>448</v>
      </c>
      <c r="M457" t="s">
        <v>112</v>
      </c>
      <c r="N457" t="s">
        <v>112</v>
      </c>
      <c r="O457">
        <v>1</v>
      </c>
      <c r="Q457">
        <v>1</v>
      </c>
      <c r="R457">
        <v>33</v>
      </c>
      <c r="S457" t="s">
        <v>112</v>
      </c>
      <c r="T457" t="s">
        <v>152</v>
      </c>
      <c r="U457" t="s">
        <v>153</v>
      </c>
      <c r="V457" t="s">
        <v>154</v>
      </c>
      <c r="W457" t="s">
        <v>119</v>
      </c>
      <c r="X457" t="s">
        <v>112</v>
      </c>
      <c r="Y457" t="s">
        <v>112</v>
      </c>
      <c r="Z457" t="s">
        <v>152</v>
      </c>
      <c r="AA457" t="s">
        <v>153</v>
      </c>
      <c r="AB457" t="s">
        <v>154</v>
      </c>
      <c r="AC457" t="s">
        <v>119</v>
      </c>
      <c r="AD457" t="s">
        <v>112</v>
      </c>
      <c r="AE457" t="s">
        <v>121</v>
      </c>
      <c r="AF457" t="s">
        <v>122</v>
      </c>
      <c r="AG457">
        <v>4862070.46</v>
      </c>
      <c r="AH457" t="s">
        <v>112</v>
      </c>
      <c r="AI457" t="s">
        <v>152</v>
      </c>
      <c r="AJ457" t="s">
        <v>153</v>
      </c>
      <c r="AK457" t="s">
        <v>154</v>
      </c>
      <c r="AL457" t="s">
        <v>119</v>
      </c>
      <c r="AM457" t="s">
        <v>112</v>
      </c>
      <c r="AN457" t="s">
        <v>121</v>
      </c>
      <c r="AO457" t="s">
        <v>122</v>
      </c>
      <c r="AP457" t="s">
        <v>122</v>
      </c>
      <c r="AQ457" t="s">
        <v>124</v>
      </c>
      <c r="AR457" t="s">
        <v>125</v>
      </c>
      <c r="AS457">
        <v>2</v>
      </c>
      <c r="AT457" t="s">
        <v>126</v>
      </c>
      <c r="AU457" t="s">
        <v>155</v>
      </c>
      <c r="AV457" t="s">
        <v>156</v>
      </c>
      <c r="AX457" t="s">
        <v>129</v>
      </c>
      <c r="AY457">
        <v>43435.58</v>
      </c>
      <c r="BB457">
        <v>102.52</v>
      </c>
      <c r="BC457" t="s">
        <v>112</v>
      </c>
      <c r="BD457" t="s">
        <v>112</v>
      </c>
      <c r="BE457" t="s">
        <v>157</v>
      </c>
      <c r="BF457" t="s">
        <v>133</v>
      </c>
      <c r="BG457" t="s">
        <v>167</v>
      </c>
      <c r="BH457" t="s">
        <v>112</v>
      </c>
      <c r="BI457" t="s">
        <v>112</v>
      </c>
      <c r="BJ457" t="s">
        <v>112</v>
      </c>
      <c r="BK457" t="s">
        <v>158</v>
      </c>
      <c r="BL457" t="s">
        <v>159</v>
      </c>
      <c r="BM457" t="s">
        <v>160</v>
      </c>
      <c r="BN457" t="s">
        <v>161</v>
      </c>
      <c r="BP457" t="s">
        <v>205</v>
      </c>
      <c r="BR457" t="s">
        <v>150</v>
      </c>
      <c r="BS457">
        <v>33</v>
      </c>
      <c r="BT457">
        <v>0</v>
      </c>
      <c r="BU457">
        <v>0</v>
      </c>
      <c r="BW457">
        <v>0</v>
      </c>
      <c r="BY457" t="s">
        <v>106</v>
      </c>
      <c r="BZ457" t="s">
        <v>142</v>
      </c>
      <c r="CA457" t="s">
        <v>112</v>
      </c>
      <c r="CB457" t="s">
        <v>112</v>
      </c>
      <c r="CC457" t="s">
        <v>121</v>
      </c>
      <c r="CD457">
        <v>16140.6</v>
      </c>
      <c r="CE457" t="s">
        <v>144</v>
      </c>
      <c r="CF457">
        <v>4000000</v>
      </c>
      <c r="CG457">
        <v>15967.8</v>
      </c>
      <c r="CH457">
        <v>0</v>
      </c>
      <c r="CI457" t="s">
        <v>112</v>
      </c>
      <c r="CJ457" t="s">
        <v>112</v>
      </c>
      <c r="CK457">
        <v>43435.58</v>
      </c>
      <c r="CM457">
        <v>0</v>
      </c>
      <c r="CN457">
        <v>1</v>
      </c>
      <c r="CO457">
        <v>4862070.46</v>
      </c>
      <c r="CP457">
        <v>49976.83</v>
      </c>
      <c r="CQ457" t="s">
        <v>145</v>
      </c>
      <c r="CR457">
        <v>49979.213999999993</v>
      </c>
      <c r="CS457">
        <v>3.13</v>
      </c>
      <c r="CT457">
        <v>45</v>
      </c>
      <c r="CV457" t="s">
        <v>233</v>
      </c>
      <c r="CW457">
        <v>278</v>
      </c>
    </row>
    <row r="458" spans="1:101" x14ac:dyDescent="0.2">
      <c r="A458" t="s">
        <v>106</v>
      </c>
      <c r="B458" s="46">
        <v>45188</v>
      </c>
      <c r="C458" t="s">
        <v>2124</v>
      </c>
      <c r="D458" t="s">
        <v>108</v>
      </c>
      <c r="E458" t="s">
        <v>2125</v>
      </c>
      <c r="F458" t="s">
        <v>110</v>
      </c>
      <c r="G458" t="s">
        <v>111</v>
      </c>
      <c r="H458" t="s">
        <v>112</v>
      </c>
      <c r="I458" t="s">
        <v>112</v>
      </c>
      <c r="J458" t="s">
        <v>112</v>
      </c>
      <c r="K458" t="s">
        <v>150</v>
      </c>
      <c r="L458" t="s">
        <v>151</v>
      </c>
      <c r="M458" t="s">
        <v>112</v>
      </c>
      <c r="N458" t="s">
        <v>112</v>
      </c>
      <c r="O458">
        <v>1</v>
      </c>
      <c r="Q458">
        <v>1</v>
      </c>
      <c r="R458">
        <v>33</v>
      </c>
      <c r="S458" t="s">
        <v>112</v>
      </c>
      <c r="T458" t="s">
        <v>152</v>
      </c>
      <c r="U458" t="s">
        <v>153</v>
      </c>
      <c r="V458" t="s">
        <v>154</v>
      </c>
      <c r="W458" t="s">
        <v>119</v>
      </c>
      <c r="X458" t="s">
        <v>112</v>
      </c>
      <c r="Y458" t="s">
        <v>112</v>
      </c>
      <c r="Z458" t="s">
        <v>152</v>
      </c>
      <c r="AA458" t="s">
        <v>153</v>
      </c>
      <c r="AB458" t="s">
        <v>154</v>
      </c>
      <c r="AC458" t="s">
        <v>119</v>
      </c>
      <c r="AD458" t="s">
        <v>112</v>
      </c>
      <c r="AE458" t="s">
        <v>121</v>
      </c>
      <c r="AF458" t="s">
        <v>122</v>
      </c>
      <c r="AG458">
        <v>4966893.0599999996</v>
      </c>
      <c r="AH458" t="s">
        <v>112</v>
      </c>
      <c r="AI458" t="s">
        <v>152</v>
      </c>
      <c r="AJ458" t="s">
        <v>153</v>
      </c>
      <c r="AK458" t="s">
        <v>154</v>
      </c>
      <c r="AL458" t="s">
        <v>119</v>
      </c>
      <c r="AM458" t="s">
        <v>112</v>
      </c>
      <c r="AN458" t="s">
        <v>121</v>
      </c>
      <c r="AO458" t="s">
        <v>122</v>
      </c>
      <c r="AP458" t="s">
        <v>122</v>
      </c>
      <c r="AQ458" t="s">
        <v>124</v>
      </c>
      <c r="AR458" t="s">
        <v>125</v>
      </c>
      <c r="AS458">
        <v>2</v>
      </c>
      <c r="AT458" t="s">
        <v>126</v>
      </c>
      <c r="AU458" t="s">
        <v>155</v>
      </c>
      <c r="AV458" t="s">
        <v>156</v>
      </c>
      <c r="AX458" t="s">
        <v>129</v>
      </c>
      <c r="AY458">
        <v>43758.04</v>
      </c>
      <c r="BB458">
        <v>102.52</v>
      </c>
      <c r="BC458" t="s">
        <v>112</v>
      </c>
      <c r="BD458" t="s">
        <v>112</v>
      </c>
      <c r="BE458" t="s">
        <v>157</v>
      </c>
      <c r="BF458" t="s">
        <v>133</v>
      </c>
      <c r="BG458" t="s">
        <v>134</v>
      </c>
      <c r="BH458" t="s">
        <v>112</v>
      </c>
      <c r="BI458" t="s">
        <v>112</v>
      </c>
      <c r="BJ458" t="s">
        <v>112</v>
      </c>
      <c r="BK458" t="s">
        <v>158</v>
      </c>
      <c r="BL458" t="s">
        <v>159</v>
      </c>
      <c r="BM458" t="s">
        <v>212</v>
      </c>
      <c r="BN458" t="s">
        <v>161</v>
      </c>
      <c r="BP458" t="s">
        <v>205</v>
      </c>
      <c r="BR458" t="s">
        <v>150</v>
      </c>
      <c r="BS458">
        <v>33</v>
      </c>
      <c r="BT458">
        <v>0</v>
      </c>
      <c r="BU458">
        <v>0</v>
      </c>
      <c r="BW458">
        <v>0</v>
      </c>
      <c r="BY458" t="s">
        <v>106</v>
      </c>
      <c r="BZ458" t="s">
        <v>142</v>
      </c>
      <c r="CA458" t="s">
        <v>112</v>
      </c>
      <c r="CB458" t="s">
        <v>112</v>
      </c>
      <c r="CC458" t="s">
        <v>121</v>
      </c>
      <c r="CD458">
        <v>14825.84</v>
      </c>
      <c r="CE458" t="s">
        <v>144</v>
      </c>
      <c r="CF458">
        <v>4000000</v>
      </c>
      <c r="CG458">
        <v>14577.44</v>
      </c>
      <c r="CH458">
        <v>0</v>
      </c>
      <c r="CI458" t="s">
        <v>112</v>
      </c>
      <c r="CJ458" t="s">
        <v>112</v>
      </c>
      <c r="CK458">
        <v>43758.04</v>
      </c>
      <c r="CM458">
        <v>0</v>
      </c>
      <c r="CN458">
        <v>1</v>
      </c>
      <c r="CO458">
        <v>4966893.0599999996</v>
      </c>
      <c r="CP458">
        <v>51054.29</v>
      </c>
      <c r="CQ458" t="s">
        <v>145</v>
      </c>
      <c r="CR458">
        <v>51021.04</v>
      </c>
      <c r="CS458">
        <v>3.5</v>
      </c>
      <c r="CT458">
        <v>45</v>
      </c>
      <c r="CV458" t="s">
        <v>729</v>
      </c>
      <c r="CW458">
        <v>109</v>
      </c>
    </row>
    <row r="459" spans="1:101" x14ac:dyDescent="0.2">
      <c r="A459" t="s">
        <v>106</v>
      </c>
      <c r="B459" s="46">
        <v>44942</v>
      </c>
      <c r="C459" t="s">
        <v>2124</v>
      </c>
      <c r="D459" t="s">
        <v>108</v>
      </c>
      <c r="E459" t="s">
        <v>2125</v>
      </c>
      <c r="F459" t="s">
        <v>110</v>
      </c>
      <c r="G459" t="s">
        <v>111</v>
      </c>
      <c r="H459" t="s">
        <v>112</v>
      </c>
      <c r="I459" t="s">
        <v>112</v>
      </c>
      <c r="J459" t="s">
        <v>112</v>
      </c>
      <c r="K459" t="s">
        <v>150</v>
      </c>
      <c r="L459" t="s">
        <v>151</v>
      </c>
      <c r="M459" t="s">
        <v>112</v>
      </c>
      <c r="N459" t="s">
        <v>112</v>
      </c>
      <c r="O459">
        <v>1</v>
      </c>
      <c r="Q459">
        <v>1</v>
      </c>
      <c r="R459">
        <v>33</v>
      </c>
      <c r="S459" t="s">
        <v>112</v>
      </c>
      <c r="T459" t="s">
        <v>152</v>
      </c>
      <c r="U459" t="s">
        <v>153</v>
      </c>
      <c r="V459" t="s">
        <v>154</v>
      </c>
      <c r="W459" t="s">
        <v>119</v>
      </c>
      <c r="X459" t="s">
        <v>112</v>
      </c>
      <c r="Y459" t="s">
        <v>112</v>
      </c>
      <c r="Z459" t="s">
        <v>152</v>
      </c>
      <c r="AA459" t="s">
        <v>153</v>
      </c>
      <c r="AB459" t="s">
        <v>154</v>
      </c>
      <c r="AC459" t="s">
        <v>119</v>
      </c>
      <c r="AD459" t="s">
        <v>112</v>
      </c>
      <c r="AE459" t="s">
        <v>121</v>
      </c>
      <c r="AF459" t="s">
        <v>122</v>
      </c>
      <c r="AG459">
        <v>4966893.0599999996</v>
      </c>
      <c r="AH459" t="s">
        <v>112</v>
      </c>
      <c r="AI459" t="s">
        <v>152</v>
      </c>
      <c r="AJ459" t="s">
        <v>153</v>
      </c>
      <c r="AK459" t="s">
        <v>154</v>
      </c>
      <c r="AL459" t="s">
        <v>119</v>
      </c>
      <c r="AM459" t="s">
        <v>112</v>
      </c>
      <c r="AN459" t="s">
        <v>121</v>
      </c>
      <c r="AO459" t="s">
        <v>122</v>
      </c>
      <c r="AP459" t="s">
        <v>122</v>
      </c>
      <c r="AQ459" t="s">
        <v>124</v>
      </c>
      <c r="AR459" t="s">
        <v>125</v>
      </c>
      <c r="AS459">
        <v>2</v>
      </c>
      <c r="AT459" t="s">
        <v>126</v>
      </c>
      <c r="AU459" t="s">
        <v>155</v>
      </c>
      <c r="AV459" t="s">
        <v>156</v>
      </c>
      <c r="AX459" t="s">
        <v>129</v>
      </c>
      <c r="AY459">
        <v>43758.04</v>
      </c>
      <c r="BB459">
        <v>102.52</v>
      </c>
      <c r="BC459" t="s">
        <v>112</v>
      </c>
      <c r="BD459" t="s">
        <v>112</v>
      </c>
      <c r="BE459" t="s">
        <v>157</v>
      </c>
      <c r="BF459" t="s">
        <v>133</v>
      </c>
      <c r="BG459" t="s">
        <v>134</v>
      </c>
      <c r="BH459" t="s">
        <v>112</v>
      </c>
      <c r="BI459" t="s">
        <v>112</v>
      </c>
      <c r="BJ459" t="s">
        <v>112</v>
      </c>
      <c r="BK459" t="s">
        <v>158</v>
      </c>
      <c r="BL459" t="s">
        <v>159</v>
      </c>
      <c r="BM459" t="s">
        <v>212</v>
      </c>
      <c r="BN459" t="s">
        <v>161</v>
      </c>
      <c r="BP459" t="s">
        <v>205</v>
      </c>
      <c r="BR459" t="s">
        <v>150</v>
      </c>
      <c r="BS459">
        <v>33</v>
      </c>
      <c r="BT459">
        <v>0</v>
      </c>
      <c r="BU459">
        <v>0</v>
      </c>
      <c r="BW459">
        <v>0</v>
      </c>
      <c r="BY459" t="s">
        <v>106</v>
      </c>
      <c r="BZ459" t="s">
        <v>142</v>
      </c>
      <c r="CA459" t="s">
        <v>112</v>
      </c>
      <c r="CB459" t="s">
        <v>112</v>
      </c>
      <c r="CC459" t="s">
        <v>121</v>
      </c>
      <c r="CD459">
        <v>14825.84</v>
      </c>
      <c r="CE459" t="s">
        <v>144</v>
      </c>
      <c r="CF459">
        <v>4000000</v>
      </c>
      <c r="CG459">
        <v>14577.44</v>
      </c>
      <c r="CH459">
        <v>0</v>
      </c>
      <c r="CI459" t="s">
        <v>112</v>
      </c>
      <c r="CJ459" t="s">
        <v>112</v>
      </c>
      <c r="CK459">
        <v>43758.04</v>
      </c>
      <c r="CM459">
        <v>0</v>
      </c>
      <c r="CN459">
        <v>1</v>
      </c>
      <c r="CO459">
        <v>4966893.0599999996</v>
      </c>
      <c r="CP459">
        <v>51054.29</v>
      </c>
      <c r="CQ459" t="s">
        <v>145</v>
      </c>
      <c r="CR459">
        <v>51021.04</v>
      </c>
      <c r="CS459">
        <v>3.5</v>
      </c>
      <c r="CT459">
        <v>45</v>
      </c>
      <c r="CV459" t="s">
        <v>729</v>
      </c>
      <c r="CW459">
        <v>109</v>
      </c>
    </row>
    <row r="460" spans="1:101" x14ac:dyDescent="0.2">
      <c r="A460" t="s">
        <v>106</v>
      </c>
      <c r="B460" s="46">
        <v>45096</v>
      </c>
      <c r="C460" t="s">
        <v>1750</v>
      </c>
      <c r="D460" t="s">
        <v>108</v>
      </c>
      <c r="E460" t="s">
        <v>1751</v>
      </c>
      <c r="F460" t="s">
        <v>110</v>
      </c>
      <c r="G460" t="s">
        <v>111</v>
      </c>
      <c r="H460" t="s">
        <v>112</v>
      </c>
      <c r="I460" t="s">
        <v>112</v>
      </c>
      <c r="J460" t="s">
        <v>112</v>
      </c>
      <c r="K460" t="s">
        <v>150</v>
      </c>
      <c r="L460" t="s">
        <v>151</v>
      </c>
      <c r="M460" t="s">
        <v>112</v>
      </c>
      <c r="N460" t="s">
        <v>112</v>
      </c>
      <c r="Q460">
        <v>1</v>
      </c>
      <c r="R460">
        <v>33</v>
      </c>
      <c r="S460" t="s">
        <v>166</v>
      </c>
      <c r="T460" t="s">
        <v>152</v>
      </c>
      <c r="U460" t="s">
        <v>153</v>
      </c>
      <c r="V460" t="s">
        <v>154</v>
      </c>
      <c r="W460" t="s">
        <v>119</v>
      </c>
      <c r="X460" t="s">
        <v>112</v>
      </c>
      <c r="Y460" t="s">
        <v>166</v>
      </c>
      <c r="Z460" t="s">
        <v>152</v>
      </c>
      <c r="AA460" t="s">
        <v>153</v>
      </c>
      <c r="AB460" t="s">
        <v>154</v>
      </c>
      <c r="AC460" t="s">
        <v>119</v>
      </c>
      <c r="AD460" t="s">
        <v>112</v>
      </c>
      <c r="AE460" t="s">
        <v>121</v>
      </c>
      <c r="AF460" t="s">
        <v>122</v>
      </c>
      <c r="AG460">
        <v>4854072.03</v>
      </c>
      <c r="AH460" t="s">
        <v>166</v>
      </c>
      <c r="AI460" t="s">
        <v>152</v>
      </c>
      <c r="AJ460" t="s">
        <v>153</v>
      </c>
      <c r="AK460" t="s">
        <v>154</v>
      </c>
      <c r="AL460" t="s">
        <v>119</v>
      </c>
      <c r="AM460" t="s">
        <v>112</v>
      </c>
      <c r="AN460" t="s">
        <v>121</v>
      </c>
      <c r="AO460" t="s">
        <v>122</v>
      </c>
      <c r="AP460" t="s">
        <v>122</v>
      </c>
      <c r="AQ460" t="s">
        <v>124</v>
      </c>
      <c r="AR460" t="s">
        <v>125</v>
      </c>
      <c r="AT460" t="s">
        <v>126</v>
      </c>
      <c r="AU460" t="s">
        <v>155</v>
      </c>
      <c r="AV460" t="s">
        <v>156</v>
      </c>
      <c r="AX460" t="s">
        <v>129</v>
      </c>
      <c r="AY460">
        <v>41810.879999999997</v>
      </c>
      <c r="BB460">
        <v>105.6591</v>
      </c>
      <c r="BC460" t="s">
        <v>112</v>
      </c>
      <c r="BD460" t="s">
        <v>112</v>
      </c>
      <c r="BE460" t="s">
        <v>112</v>
      </c>
      <c r="BF460" t="s">
        <v>133</v>
      </c>
      <c r="BG460" t="s">
        <v>134</v>
      </c>
      <c r="BH460" t="s">
        <v>112</v>
      </c>
      <c r="BI460" t="s">
        <v>112</v>
      </c>
      <c r="BJ460" t="s">
        <v>112</v>
      </c>
      <c r="BK460" t="s">
        <v>112</v>
      </c>
      <c r="BL460" t="s">
        <v>112</v>
      </c>
      <c r="BM460" t="s">
        <v>112</v>
      </c>
      <c r="BN460" t="s">
        <v>161</v>
      </c>
      <c r="BP460" t="s">
        <v>466</v>
      </c>
      <c r="BR460" t="s">
        <v>150</v>
      </c>
      <c r="BS460">
        <v>33</v>
      </c>
      <c r="BT460">
        <v>0</v>
      </c>
      <c r="BU460">
        <v>0</v>
      </c>
      <c r="BY460" t="s">
        <v>106</v>
      </c>
      <c r="BZ460" t="s">
        <v>142</v>
      </c>
      <c r="CA460" t="s">
        <v>112</v>
      </c>
      <c r="CB460" t="s">
        <v>112</v>
      </c>
      <c r="CC460" t="s">
        <v>121</v>
      </c>
      <c r="CD460">
        <v>16711.599999999999</v>
      </c>
      <c r="CE460" t="s">
        <v>144</v>
      </c>
      <c r="CF460">
        <v>4000000</v>
      </c>
      <c r="CG460">
        <v>16621.599999999999</v>
      </c>
      <c r="CH460">
        <v>0</v>
      </c>
      <c r="CI460" t="s">
        <v>112</v>
      </c>
      <c r="CJ460" t="s">
        <v>112</v>
      </c>
      <c r="CK460">
        <v>41810.879999999997</v>
      </c>
      <c r="CM460">
        <v>0</v>
      </c>
      <c r="CN460">
        <v>1</v>
      </c>
      <c r="CO460">
        <v>4854072.03</v>
      </c>
      <c r="CP460">
        <v>50194.89</v>
      </c>
      <c r="CQ460" t="s">
        <v>145</v>
      </c>
      <c r="CR460">
        <v>50197.231999999996</v>
      </c>
      <c r="CS460">
        <v>3.02</v>
      </c>
      <c r="CW460">
        <v>547</v>
      </c>
    </row>
    <row r="461" spans="1:101" x14ac:dyDescent="0.2">
      <c r="A461" t="s">
        <v>106</v>
      </c>
      <c r="B461" s="46">
        <v>45001</v>
      </c>
      <c r="C461" t="s">
        <v>1748</v>
      </c>
      <c r="D461" t="s">
        <v>108</v>
      </c>
      <c r="E461" t="s">
        <v>1749</v>
      </c>
      <c r="F461" t="s">
        <v>110</v>
      </c>
      <c r="G461" t="s">
        <v>111</v>
      </c>
      <c r="H461" t="s">
        <v>112</v>
      </c>
      <c r="I461" t="s">
        <v>112</v>
      </c>
      <c r="J461" t="s">
        <v>112</v>
      </c>
      <c r="K461" t="s">
        <v>150</v>
      </c>
      <c r="L461" t="s">
        <v>151</v>
      </c>
      <c r="M461" t="s">
        <v>112</v>
      </c>
      <c r="N461" t="s">
        <v>112</v>
      </c>
      <c r="Q461">
        <v>1</v>
      </c>
      <c r="R461">
        <v>33</v>
      </c>
      <c r="S461" t="s">
        <v>166</v>
      </c>
      <c r="T461" t="s">
        <v>152</v>
      </c>
      <c r="U461" t="s">
        <v>153</v>
      </c>
      <c r="V461" t="s">
        <v>154</v>
      </c>
      <c r="W461" t="s">
        <v>119</v>
      </c>
      <c r="X461" t="s">
        <v>112</v>
      </c>
      <c r="Y461" t="s">
        <v>166</v>
      </c>
      <c r="Z461" t="s">
        <v>152</v>
      </c>
      <c r="AA461" t="s">
        <v>153</v>
      </c>
      <c r="AB461" t="s">
        <v>154</v>
      </c>
      <c r="AC461" t="s">
        <v>119</v>
      </c>
      <c r="AD461" t="s">
        <v>112</v>
      </c>
      <c r="AE461" t="s">
        <v>121</v>
      </c>
      <c r="AF461" t="s">
        <v>122</v>
      </c>
      <c r="AG461">
        <v>5035925.08</v>
      </c>
      <c r="AH461" t="s">
        <v>166</v>
      </c>
      <c r="AI461" t="s">
        <v>152</v>
      </c>
      <c r="AJ461" t="s">
        <v>153</v>
      </c>
      <c r="AK461" t="s">
        <v>154</v>
      </c>
      <c r="AL461" t="s">
        <v>119</v>
      </c>
      <c r="AM461" t="s">
        <v>112</v>
      </c>
      <c r="AN461" t="s">
        <v>121</v>
      </c>
      <c r="AO461" t="s">
        <v>122</v>
      </c>
      <c r="AP461" t="s">
        <v>122</v>
      </c>
      <c r="AQ461" t="s">
        <v>124</v>
      </c>
      <c r="AR461" t="s">
        <v>125</v>
      </c>
      <c r="AT461" t="s">
        <v>126</v>
      </c>
      <c r="AU461" t="s">
        <v>155</v>
      </c>
      <c r="AV461" t="s">
        <v>156</v>
      </c>
      <c r="AX461" t="s">
        <v>129</v>
      </c>
      <c r="AY461">
        <v>43532.01</v>
      </c>
      <c r="BB461">
        <v>105.6591</v>
      </c>
      <c r="BC461" t="s">
        <v>112</v>
      </c>
      <c r="BD461" t="s">
        <v>112</v>
      </c>
      <c r="BE461" t="s">
        <v>112</v>
      </c>
      <c r="BF461" t="s">
        <v>133</v>
      </c>
      <c r="BG461" t="s">
        <v>134</v>
      </c>
      <c r="BH461" t="s">
        <v>112</v>
      </c>
      <c r="BI461" t="s">
        <v>112</v>
      </c>
      <c r="BJ461" t="s">
        <v>112</v>
      </c>
      <c r="BK461" t="s">
        <v>112</v>
      </c>
      <c r="BL461" t="s">
        <v>112</v>
      </c>
      <c r="BM461" t="s">
        <v>112</v>
      </c>
      <c r="BN461" t="s">
        <v>161</v>
      </c>
      <c r="BP461" t="s">
        <v>162</v>
      </c>
      <c r="BR461" t="s">
        <v>150</v>
      </c>
      <c r="BS461">
        <v>33</v>
      </c>
      <c r="BT461">
        <v>0</v>
      </c>
      <c r="BU461">
        <v>0</v>
      </c>
      <c r="BY461" t="s">
        <v>106</v>
      </c>
      <c r="BZ461" t="s">
        <v>142</v>
      </c>
      <c r="CA461" t="s">
        <v>112</v>
      </c>
      <c r="CB461" t="s">
        <v>112</v>
      </c>
      <c r="CC461" t="s">
        <v>121</v>
      </c>
      <c r="CD461">
        <v>16081.35</v>
      </c>
      <c r="CE461" t="s">
        <v>144</v>
      </c>
      <c r="CF461">
        <v>4000000</v>
      </c>
      <c r="CG461">
        <v>15951.76</v>
      </c>
      <c r="CH461">
        <v>0</v>
      </c>
      <c r="CI461" t="s">
        <v>112</v>
      </c>
      <c r="CJ461" t="s">
        <v>112</v>
      </c>
      <c r="CK461">
        <v>43532.01</v>
      </c>
      <c r="CM461">
        <v>0</v>
      </c>
      <c r="CN461">
        <v>1</v>
      </c>
      <c r="CO461">
        <v>5035925.08</v>
      </c>
      <c r="CP461">
        <v>52075.4</v>
      </c>
      <c r="CQ461" t="s">
        <v>145</v>
      </c>
      <c r="CR461">
        <v>52002.7376</v>
      </c>
      <c r="CS461">
        <v>3.26</v>
      </c>
      <c r="CW461">
        <v>174</v>
      </c>
    </row>
    <row r="462" spans="1:101" x14ac:dyDescent="0.2">
      <c r="A462" t="s">
        <v>106</v>
      </c>
      <c r="B462" s="46">
        <v>45097</v>
      </c>
      <c r="C462" t="s">
        <v>1746</v>
      </c>
      <c r="D462" t="s">
        <v>108</v>
      </c>
      <c r="E462" t="s">
        <v>1747</v>
      </c>
      <c r="F462" t="s">
        <v>110</v>
      </c>
      <c r="G462" t="s">
        <v>111</v>
      </c>
      <c r="H462" t="s">
        <v>112</v>
      </c>
      <c r="I462" t="s">
        <v>112</v>
      </c>
      <c r="J462" t="s">
        <v>112</v>
      </c>
      <c r="K462" t="s">
        <v>150</v>
      </c>
      <c r="L462" t="s">
        <v>151</v>
      </c>
      <c r="M462" t="s">
        <v>112</v>
      </c>
      <c r="N462" t="s">
        <v>112</v>
      </c>
      <c r="Q462">
        <v>1</v>
      </c>
      <c r="R462">
        <v>33</v>
      </c>
      <c r="S462" t="s">
        <v>166</v>
      </c>
      <c r="T462" t="s">
        <v>152</v>
      </c>
      <c r="U462" t="s">
        <v>153</v>
      </c>
      <c r="V462" t="s">
        <v>154</v>
      </c>
      <c r="W462" t="s">
        <v>119</v>
      </c>
      <c r="X462" t="s">
        <v>112</v>
      </c>
      <c r="Y462" t="s">
        <v>166</v>
      </c>
      <c r="Z462" t="s">
        <v>152</v>
      </c>
      <c r="AA462" t="s">
        <v>153</v>
      </c>
      <c r="AB462" t="s">
        <v>154</v>
      </c>
      <c r="AC462" t="s">
        <v>119</v>
      </c>
      <c r="AD462" t="s">
        <v>112</v>
      </c>
      <c r="AE462" t="s">
        <v>121</v>
      </c>
      <c r="AF462" t="s">
        <v>122</v>
      </c>
      <c r="AG462">
        <v>4858163.1500000004</v>
      </c>
      <c r="AH462" t="s">
        <v>166</v>
      </c>
      <c r="AI462" t="s">
        <v>152</v>
      </c>
      <c r="AJ462" t="s">
        <v>153</v>
      </c>
      <c r="AK462" t="s">
        <v>154</v>
      </c>
      <c r="AL462" t="s">
        <v>119</v>
      </c>
      <c r="AM462" t="s">
        <v>112</v>
      </c>
      <c r="AN462" t="s">
        <v>121</v>
      </c>
      <c r="AO462" t="s">
        <v>122</v>
      </c>
      <c r="AP462" t="s">
        <v>122</v>
      </c>
      <c r="AQ462" t="s">
        <v>124</v>
      </c>
      <c r="AR462" t="s">
        <v>125</v>
      </c>
      <c r="AT462" t="s">
        <v>126</v>
      </c>
      <c r="AU462" t="s">
        <v>155</v>
      </c>
      <c r="AV462" t="s">
        <v>156</v>
      </c>
      <c r="AX462" t="s">
        <v>129</v>
      </c>
      <c r="AY462">
        <v>41849.599999999999</v>
      </c>
      <c r="BB462">
        <v>105.6591</v>
      </c>
      <c r="BC462" t="s">
        <v>112</v>
      </c>
      <c r="BD462" t="s">
        <v>112</v>
      </c>
      <c r="BE462" t="s">
        <v>112</v>
      </c>
      <c r="BF462" t="s">
        <v>133</v>
      </c>
      <c r="BG462" t="s">
        <v>134</v>
      </c>
      <c r="BH462" t="s">
        <v>112</v>
      </c>
      <c r="BI462" t="s">
        <v>112</v>
      </c>
      <c r="BJ462" t="s">
        <v>112</v>
      </c>
      <c r="BK462" t="s">
        <v>112</v>
      </c>
      <c r="BL462" t="s">
        <v>112</v>
      </c>
      <c r="BM462" t="s">
        <v>112</v>
      </c>
      <c r="BN462" t="s">
        <v>161</v>
      </c>
      <c r="BP462" t="s">
        <v>232</v>
      </c>
      <c r="BR462" t="s">
        <v>150</v>
      </c>
      <c r="BS462">
        <v>33</v>
      </c>
      <c r="BT462">
        <v>0</v>
      </c>
      <c r="BU462">
        <v>0</v>
      </c>
      <c r="BY462" t="s">
        <v>106</v>
      </c>
      <c r="BZ462" t="s">
        <v>142</v>
      </c>
      <c r="CA462" t="s">
        <v>112</v>
      </c>
      <c r="CB462" t="s">
        <v>112</v>
      </c>
      <c r="CC462" t="s">
        <v>121</v>
      </c>
      <c r="CD462">
        <v>15958.98</v>
      </c>
      <c r="CE462" t="s">
        <v>144</v>
      </c>
      <c r="CF462">
        <v>4000000</v>
      </c>
      <c r="CG462">
        <v>15810.78</v>
      </c>
      <c r="CH462">
        <v>0</v>
      </c>
      <c r="CI462" t="s">
        <v>112</v>
      </c>
      <c r="CJ462" t="s">
        <v>112</v>
      </c>
      <c r="CK462">
        <v>41849.599999999999</v>
      </c>
      <c r="CM462">
        <v>0</v>
      </c>
      <c r="CN462">
        <v>1</v>
      </c>
      <c r="CO462">
        <v>4858163.1500000004</v>
      </c>
      <c r="CP462">
        <v>50237.2</v>
      </c>
      <c r="CQ462" t="s">
        <v>145</v>
      </c>
      <c r="CR462">
        <v>50278.280400000003</v>
      </c>
      <c r="CS462">
        <v>3.18</v>
      </c>
      <c r="CW462">
        <v>278</v>
      </c>
    </row>
    <row r="463" spans="1:101" x14ac:dyDescent="0.2">
      <c r="A463" t="s">
        <v>106</v>
      </c>
      <c r="B463" s="46">
        <v>45275</v>
      </c>
      <c r="C463" t="s">
        <v>1744</v>
      </c>
      <c r="D463" t="s">
        <v>108</v>
      </c>
      <c r="E463" t="s">
        <v>1745</v>
      </c>
      <c r="F463" t="s">
        <v>110</v>
      </c>
      <c r="G463" t="s">
        <v>111</v>
      </c>
      <c r="H463" t="s">
        <v>112</v>
      </c>
      <c r="I463" t="s">
        <v>112</v>
      </c>
      <c r="J463" t="s">
        <v>112</v>
      </c>
      <c r="K463" t="s">
        <v>150</v>
      </c>
      <c r="L463" t="s">
        <v>151</v>
      </c>
      <c r="M463" t="s">
        <v>112</v>
      </c>
      <c r="N463" t="s">
        <v>112</v>
      </c>
      <c r="Q463">
        <v>1</v>
      </c>
      <c r="R463">
        <v>33</v>
      </c>
      <c r="S463" t="s">
        <v>166</v>
      </c>
      <c r="T463" t="s">
        <v>152</v>
      </c>
      <c r="U463" t="s">
        <v>153</v>
      </c>
      <c r="V463" t="s">
        <v>154</v>
      </c>
      <c r="W463" t="s">
        <v>119</v>
      </c>
      <c r="X463" t="s">
        <v>112</v>
      </c>
      <c r="Y463" t="s">
        <v>166</v>
      </c>
      <c r="Z463" t="s">
        <v>152</v>
      </c>
      <c r="AA463" t="s">
        <v>153</v>
      </c>
      <c r="AB463" t="s">
        <v>154</v>
      </c>
      <c r="AC463" t="s">
        <v>119</v>
      </c>
      <c r="AD463" t="s">
        <v>112</v>
      </c>
      <c r="AE463" t="s">
        <v>121</v>
      </c>
      <c r="AF463" t="s">
        <v>122</v>
      </c>
      <c r="AG463">
        <v>4914859.82</v>
      </c>
      <c r="AH463" t="s">
        <v>166</v>
      </c>
      <c r="AI463" t="s">
        <v>152</v>
      </c>
      <c r="AJ463" t="s">
        <v>153</v>
      </c>
      <c r="AK463" t="s">
        <v>154</v>
      </c>
      <c r="AL463" t="s">
        <v>119</v>
      </c>
      <c r="AM463" t="s">
        <v>112</v>
      </c>
      <c r="AN463" t="s">
        <v>121</v>
      </c>
      <c r="AO463" t="s">
        <v>122</v>
      </c>
      <c r="AP463" t="s">
        <v>122</v>
      </c>
      <c r="AQ463" t="s">
        <v>124</v>
      </c>
      <c r="AR463" t="s">
        <v>125</v>
      </c>
      <c r="AT463" t="s">
        <v>126</v>
      </c>
      <c r="AU463" t="s">
        <v>155</v>
      </c>
      <c r="AV463" t="s">
        <v>156</v>
      </c>
      <c r="AX463" t="s">
        <v>129</v>
      </c>
      <c r="AY463">
        <v>42386.2</v>
      </c>
      <c r="BB463">
        <v>105.6591</v>
      </c>
      <c r="BC463" t="s">
        <v>112</v>
      </c>
      <c r="BD463" t="s">
        <v>112</v>
      </c>
      <c r="BE463" t="s">
        <v>112</v>
      </c>
      <c r="BF463" t="s">
        <v>133</v>
      </c>
      <c r="BG463" t="s">
        <v>134</v>
      </c>
      <c r="BH463" t="s">
        <v>112</v>
      </c>
      <c r="BI463" t="s">
        <v>112</v>
      </c>
      <c r="BJ463" t="s">
        <v>112</v>
      </c>
      <c r="BK463" t="s">
        <v>112</v>
      </c>
      <c r="BL463" t="s">
        <v>112</v>
      </c>
      <c r="BM463" t="s">
        <v>112</v>
      </c>
      <c r="BN463" t="s">
        <v>161</v>
      </c>
      <c r="BP463" t="s">
        <v>162</v>
      </c>
      <c r="BR463" t="s">
        <v>150</v>
      </c>
      <c r="BS463">
        <v>33</v>
      </c>
      <c r="BT463">
        <v>0</v>
      </c>
      <c r="BU463">
        <v>0</v>
      </c>
      <c r="BY463" t="s">
        <v>106</v>
      </c>
      <c r="BZ463" t="s">
        <v>142</v>
      </c>
      <c r="CA463" t="s">
        <v>112</v>
      </c>
      <c r="CB463" t="s">
        <v>112</v>
      </c>
      <c r="CC463" t="s">
        <v>121</v>
      </c>
      <c r="CD463">
        <v>16089.54</v>
      </c>
      <c r="CE463" t="s">
        <v>144</v>
      </c>
      <c r="CF463">
        <v>4000000</v>
      </c>
      <c r="CG463">
        <v>15999.54</v>
      </c>
      <c r="CH463">
        <v>0</v>
      </c>
      <c r="CI463" t="s">
        <v>112</v>
      </c>
      <c r="CJ463" t="s">
        <v>112</v>
      </c>
      <c r="CK463">
        <v>42386.2</v>
      </c>
      <c r="CM463">
        <v>0</v>
      </c>
      <c r="CN463">
        <v>1</v>
      </c>
      <c r="CO463">
        <v>4914859.82</v>
      </c>
      <c r="CP463">
        <v>50823.49</v>
      </c>
      <c r="CQ463" t="s">
        <v>145</v>
      </c>
      <c r="CR463">
        <v>50878.537200000006</v>
      </c>
      <c r="CS463">
        <v>3.18</v>
      </c>
      <c r="CW463">
        <v>313</v>
      </c>
    </row>
    <row r="464" spans="1:101" x14ac:dyDescent="0.2">
      <c r="A464" t="s">
        <v>106</v>
      </c>
      <c r="B464" s="46">
        <v>45131</v>
      </c>
      <c r="C464" t="s">
        <v>1742</v>
      </c>
      <c r="D464" t="s">
        <v>108</v>
      </c>
      <c r="E464" t="s">
        <v>1743</v>
      </c>
      <c r="F464" t="s">
        <v>110</v>
      </c>
      <c r="G464" t="s">
        <v>111</v>
      </c>
      <c r="H464" t="s">
        <v>112</v>
      </c>
      <c r="I464" t="s">
        <v>112</v>
      </c>
      <c r="J464" t="s">
        <v>112</v>
      </c>
      <c r="K464" t="s">
        <v>150</v>
      </c>
      <c r="L464" t="s">
        <v>151</v>
      </c>
      <c r="M464" t="s">
        <v>112</v>
      </c>
      <c r="N464" t="s">
        <v>112</v>
      </c>
      <c r="Q464">
        <v>1</v>
      </c>
      <c r="R464">
        <v>33</v>
      </c>
      <c r="S464" t="s">
        <v>166</v>
      </c>
      <c r="T464" t="s">
        <v>152</v>
      </c>
      <c r="U464" t="s">
        <v>153</v>
      </c>
      <c r="V464" t="s">
        <v>154</v>
      </c>
      <c r="W464" t="s">
        <v>119</v>
      </c>
      <c r="X464" t="s">
        <v>112</v>
      </c>
      <c r="Y464" t="s">
        <v>166</v>
      </c>
      <c r="Z464" t="s">
        <v>152</v>
      </c>
      <c r="AA464" t="s">
        <v>153</v>
      </c>
      <c r="AB464" t="s">
        <v>154</v>
      </c>
      <c r="AC464" t="s">
        <v>119</v>
      </c>
      <c r="AD464" t="s">
        <v>112</v>
      </c>
      <c r="AE464" t="s">
        <v>121</v>
      </c>
      <c r="AF464" t="s">
        <v>122</v>
      </c>
      <c r="AG464">
        <v>4776962.03</v>
      </c>
      <c r="AH464" t="s">
        <v>166</v>
      </c>
      <c r="AI464" t="s">
        <v>152</v>
      </c>
      <c r="AJ464" t="s">
        <v>153</v>
      </c>
      <c r="AK464" t="s">
        <v>154</v>
      </c>
      <c r="AL464" t="s">
        <v>119</v>
      </c>
      <c r="AM464" t="s">
        <v>112</v>
      </c>
      <c r="AN464" t="s">
        <v>121</v>
      </c>
      <c r="AO464" t="s">
        <v>122</v>
      </c>
      <c r="AP464" t="s">
        <v>122</v>
      </c>
      <c r="AQ464" t="s">
        <v>124</v>
      </c>
      <c r="AR464" t="s">
        <v>125</v>
      </c>
      <c r="AT464" t="s">
        <v>126</v>
      </c>
      <c r="AU464" t="s">
        <v>155</v>
      </c>
      <c r="AV464" t="s">
        <v>156</v>
      </c>
      <c r="AX464" t="s">
        <v>129</v>
      </c>
      <c r="AY464">
        <v>40561.08</v>
      </c>
      <c r="BB464">
        <v>105.6591</v>
      </c>
      <c r="BC464" t="s">
        <v>112</v>
      </c>
      <c r="BD464" t="s">
        <v>112</v>
      </c>
      <c r="BE464" t="s">
        <v>112</v>
      </c>
      <c r="BF464" t="s">
        <v>133</v>
      </c>
      <c r="BG464" t="s">
        <v>134</v>
      </c>
      <c r="BH464" t="s">
        <v>112</v>
      </c>
      <c r="BI464" t="s">
        <v>112</v>
      </c>
      <c r="BJ464" t="s">
        <v>112</v>
      </c>
      <c r="BK464" t="s">
        <v>112</v>
      </c>
      <c r="BL464" t="s">
        <v>112</v>
      </c>
      <c r="BM464" t="s">
        <v>112</v>
      </c>
      <c r="BN464" t="s">
        <v>161</v>
      </c>
      <c r="BP464" t="s">
        <v>466</v>
      </c>
      <c r="BR464" t="s">
        <v>150</v>
      </c>
      <c r="BS464">
        <v>33</v>
      </c>
      <c r="BT464">
        <v>0</v>
      </c>
      <c r="BU464">
        <v>0</v>
      </c>
      <c r="BY464" t="s">
        <v>106</v>
      </c>
      <c r="BZ464" t="s">
        <v>142</v>
      </c>
      <c r="CA464" t="s">
        <v>112</v>
      </c>
      <c r="CB464" t="s">
        <v>112</v>
      </c>
      <c r="CC464" t="s">
        <v>121</v>
      </c>
      <c r="CD464">
        <v>17219.650000000001</v>
      </c>
      <c r="CE464" t="s">
        <v>144</v>
      </c>
      <c r="CF464">
        <v>4000000</v>
      </c>
      <c r="CG464">
        <v>17219.650000000001</v>
      </c>
      <c r="CH464">
        <v>0</v>
      </c>
      <c r="CI464" t="s">
        <v>112</v>
      </c>
      <c r="CJ464" t="s">
        <v>112</v>
      </c>
      <c r="CK464">
        <v>40561.08</v>
      </c>
      <c r="CM464">
        <v>0</v>
      </c>
      <c r="CN464">
        <v>1</v>
      </c>
      <c r="CO464">
        <v>4776962.03</v>
      </c>
      <c r="CP464">
        <v>49397.52</v>
      </c>
      <c r="CQ464" t="s">
        <v>145</v>
      </c>
      <c r="CR464">
        <v>49420.395500000006</v>
      </c>
      <c r="CS464">
        <v>2.87</v>
      </c>
      <c r="CW464">
        <v>182</v>
      </c>
    </row>
    <row r="465" spans="1:101" x14ac:dyDescent="0.2">
      <c r="A465" t="s">
        <v>106</v>
      </c>
      <c r="B465" s="46">
        <v>45224</v>
      </c>
      <c r="C465" t="s">
        <v>1740</v>
      </c>
      <c r="D465" t="s">
        <v>108</v>
      </c>
      <c r="E465" t="s">
        <v>1741</v>
      </c>
      <c r="F465" t="s">
        <v>110</v>
      </c>
      <c r="G465" t="s">
        <v>111</v>
      </c>
      <c r="H465" t="s">
        <v>112</v>
      </c>
      <c r="I465" t="s">
        <v>112</v>
      </c>
      <c r="J465" t="s">
        <v>112</v>
      </c>
      <c r="K465" t="s">
        <v>150</v>
      </c>
      <c r="L465" t="s">
        <v>151</v>
      </c>
      <c r="M465" t="s">
        <v>112</v>
      </c>
      <c r="N465" t="s">
        <v>112</v>
      </c>
      <c r="Q465">
        <v>1</v>
      </c>
      <c r="R465">
        <v>33</v>
      </c>
      <c r="S465" t="s">
        <v>166</v>
      </c>
      <c r="T465" t="s">
        <v>152</v>
      </c>
      <c r="U465" t="s">
        <v>153</v>
      </c>
      <c r="V465" t="s">
        <v>154</v>
      </c>
      <c r="W465" t="s">
        <v>119</v>
      </c>
      <c r="X465" t="s">
        <v>112</v>
      </c>
      <c r="Y465" t="s">
        <v>166</v>
      </c>
      <c r="Z465" t="s">
        <v>152</v>
      </c>
      <c r="AA465" t="s">
        <v>153</v>
      </c>
      <c r="AB465" t="s">
        <v>154</v>
      </c>
      <c r="AC465" t="s">
        <v>119</v>
      </c>
      <c r="AD465" t="s">
        <v>112</v>
      </c>
      <c r="AE465" t="s">
        <v>121</v>
      </c>
      <c r="AF465" t="s">
        <v>122</v>
      </c>
      <c r="AG465">
        <v>5369593.3499999996</v>
      </c>
      <c r="AH465" t="s">
        <v>166</v>
      </c>
      <c r="AI465" t="s">
        <v>152</v>
      </c>
      <c r="AJ465" t="s">
        <v>153</v>
      </c>
      <c r="AK465" t="s">
        <v>154</v>
      </c>
      <c r="AL465" t="s">
        <v>119</v>
      </c>
      <c r="AM465" t="s">
        <v>112</v>
      </c>
      <c r="AN465" t="s">
        <v>121</v>
      </c>
      <c r="AO465" t="s">
        <v>122</v>
      </c>
      <c r="AP465" t="s">
        <v>122</v>
      </c>
      <c r="AQ465" t="s">
        <v>124</v>
      </c>
      <c r="AR465" t="s">
        <v>125</v>
      </c>
      <c r="AT465" t="s">
        <v>126</v>
      </c>
      <c r="AU465" t="s">
        <v>155</v>
      </c>
      <c r="AV465" t="s">
        <v>156</v>
      </c>
      <c r="AX465" t="s">
        <v>129</v>
      </c>
      <c r="AY465">
        <v>46169.98</v>
      </c>
      <c r="BB465">
        <v>105.6591</v>
      </c>
      <c r="BC465" t="s">
        <v>112</v>
      </c>
      <c r="BD465" t="s">
        <v>112</v>
      </c>
      <c r="BE465" t="s">
        <v>112</v>
      </c>
      <c r="BF465" t="s">
        <v>133</v>
      </c>
      <c r="BG465" t="s">
        <v>134</v>
      </c>
      <c r="BH465" t="s">
        <v>112</v>
      </c>
      <c r="BI465" t="s">
        <v>112</v>
      </c>
      <c r="BJ465" t="s">
        <v>112</v>
      </c>
      <c r="BK465" t="s">
        <v>112</v>
      </c>
      <c r="BL465" t="s">
        <v>112</v>
      </c>
      <c r="BM465" t="s">
        <v>112</v>
      </c>
      <c r="BN465" t="s">
        <v>161</v>
      </c>
      <c r="BP465" t="s">
        <v>232</v>
      </c>
      <c r="BR465" t="s">
        <v>150</v>
      </c>
      <c r="BS465">
        <v>33</v>
      </c>
      <c r="BT465">
        <v>0</v>
      </c>
      <c r="BU465">
        <v>0</v>
      </c>
      <c r="BY465" t="s">
        <v>106</v>
      </c>
      <c r="BZ465" t="s">
        <v>142</v>
      </c>
      <c r="CA465" t="s">
        <v>112</v>
      </c>
      <c r="CB465" t="s">
        <v>112</v>
      </c>
      <c r="CC465" t="s">
        <v>121</v>
      </c>
      <c r="CD465">
        <v>17000.900000000001</v>
      </c>
      <c r="CE465" t="s">
        <v>144</v>
      </c>
      <c r="CF465">
        <v>4000000</v>
      </c>
      <c r="CG465">
        <v>16947.5</v>
      </c>
      <c r="CH465">
        <v>0</v>
      </c>
      <c r="CI465" t="s">
        <v>112</v>
      </c>
      <c r="CJ465" t="s">
        <v>112</v>
      </c>
      <c r="CK465">
        <v>46169.98</v>
      </c>
      <c r="CM465">
        <v>0</v>
      </c>
      <c r="CN465">
        <v>1</v>
      </c>
      <c r="CO465">
        <v>5369593.3499999996</v>
      </c>
      <c r="CP465">
        <v>55525.79</v>
      </c>
      <c r="CQ465" t="s">
        <v>145</v>
      </c>
      <c r="CR465">
        <v>55587.799999999996</v>
      </c>
      <c r="CS465">
        <v>3.28</v>
      </c>
      <c r="CW465">
        <v>296</v>
      </c>
    </row>
    <row r="466" spans="1:101" x14ac:dyDescent="0.2">
      <c r="A466" t="s">
        <v>106</v>
      </c>
      <c r="B466" s="46">
        <v>45056</v>
      </c>
      <c r="C466" t="s">
        <v>1492</v>
      </c>
      <c r="D466" t="s">
        <v>108</v>
      </c>
      <c r="E466" t="s">
        <v>1493</v>
      </c>
      <c r="F466" t="s">
        <v>110</v>
      </c>
      <c r="G466" t="s">
        <v>111</v>
      </c>
      <c r="H466" t="s">
        <v>112</v>
      </c>
      <c r="I466" t="s">
        <v>112</v>
      </c>
      <c r="J466" t="s">
        <v>112</v>
      </c>
      <c r="K466" t="s">
        <v>150</v>
      </c>
      <c r="L466" t="s">
        <v>1060</v>
      </c>
      <c r="M466" t="s">
        <v>112</v>
      </c>
      <c r="N466" t="s">
        <v>112</v>
      </c>
      <c r="O466">
        <v>1</v>
      </c>
      <c r="P466">
        <v>0</v>
      </c>
      <c r="Q466">
        <v>1</v>
      </c>
      <c r="R466">
        <v>33</v>
      </c>
      <c r="S466" t="s">
        <v>166</v>
      </c>
      <c r="T466" t="s">
        <v>152</v>
      </c>
      <c r="U466" t="s">
        <v>153</v>
      </c>
      <c r="V466" t="s">
        <v>154</v>
      </c>
      <c r="W466" t="s">
        <v>119</v>
      </c>
      <c r="X466" t="s">
        <v>112</v>
      </c>
      <c r="Y466" t="s">
        <v>166</v>
      </c>
      <c r="Z466" t="s">
        <v>152</v>
      </c>
      <c r="AA466" t="s">
        <v>153</v>
      </c>
      <c r="AB466" t="s">
        <v>154</v>
      </c>
      <c r="AC466" t="s">
        <v>119</v>
      </c>
      <c r="AD466" t="s">
        <v>112</v>
      </c>
      <c r="AE466" t="s">
        <v>121</v>
      </c>
      <c r="AF466" t="s">
        <v>122</v>
      </c>
      <c r="AG466">
        <v>4798630.2699999996</v>
      </c>
      <c r="AH466" t="s">
        <v>166</v>
      </c>
      <c r="AI466" t="s">
        <v>152</v>
      </c>
      <c r="AJ466" t="s">
        <v>153</v>
      </c>
      <c r="AK466" t="s">
        <v>154</v>
      </c>
      <c r="AL466" t="s">
        <v>119</v>
      </c>
      <c r="AM466" t="s">
        <v>112</v>
      </c>
      <c r="AN466" t="s">
        <v>121</v>
      </c>
      <c r="AO466" t="s">
        <v>122</v>
      </c>
      <c r="AP466" t="s">
        <v>122</v>
      </c>
      <c r="AQ466" t="s">
        <v>124</v>
      </c>
      <c r="AR466" t="s">
        <v>125</v>
      </c>
      <c r="AS466">
        <v>2</v>
      </c>
      <c r="AT466" t="s">
        <v>126</v>
      </c>
      <c r="AU466" t="s">
        <v>155</v>
      </c>
      <c r="AV466" t="s">
        <v>156</v>
      </c>
      <c r="AW466">
        <v>1</v>
      </c>
      <c r="AX466" t="s">
        <v>129</v>
      </c>
      <c r="AY466">
        <v>42767.67</v>
      </c>
      <c r="AZ466">
        <v>4328054</v>
      </c>
      <c r="BA466">
        <v>53247.71</v>
      </c>
      <c r="BB466">
        <v>101.1992</v>
      </c>
      <c r="BC466" t="s">
        <v>130</v>
      </c>
      <c r="BD466" t="s">
        <v>112</v>
      </c>
      <c r="BE466" t="s">
        <v>157</v>
      </c>
      <c r="BF466" t="s">
        <v>133</v>
      </c>
      <c r="BG466" t="s">
        <v>134</v>
      </c>
      <c r="BH466" t="s">
        <v>112</v>
      </c>
      <c r="BI466" t="s">
        <v>112</v>
      </c>
      <c r="BJ466" t="s">
        <v>112</v>
      </c>
      <c r="BK466" t="s">
        <v>169</v>
      </c>
      <c r="BL466" t="s">
        <v>159</v>
      </c>
      <c r="BM466" t="s">
        <v>722</v>
      </c>
      <c r="BN466" t="s">
        <v>161</v>
      </c>
      <c r="BO466">
        <v>1</v>
      </c>
      <c r="BP466" t="s">
        <v>205</v>
      </c>
      <c r="BR466" t="s">
        <v>150</v>
      </c>
      <c r="BS466">
        <v>33</v>
      </c>
      <c r="BT466">
        <v>0</v>
      </c>
      <c r="BU466">
        <v>0</v>
      </c>
      <c r="BW466">
        <v>0</v>
      </c>
      <c r="BY466" t="s">
        <v>106</v>
      </c>
      <c r="BZ466" t="s">
        <v>142</v>
      </c>
      <c r="CA466" t="s">
        <v>112</v>
      </c>
      <c r="CB466" t="s">
        <v>112</v>
      </c>
      <c r="CC466" t="s">
        <v>121</v>
      </c>
      <c r="CD466">
        <v>16949.099999999999</v>
      </c>
      <c r="CE466" t="s">
        <v>144</v>
      </c>
      <c r="CF466">
        <v>4000000</v>
      </c>
      <c r="CG466">
        <v>16869.89</v>
      </c>
      <c r="CH466">
        <v>0</v>
      </c>
      <c r="CI466" t="s">
        <v>112</v>
      </c>
      <c r="CJ466" t="s">
        <v>112</v>
      </c>
      <c r="CK466">
        <v>42767.67</v>
      </c>
      <c r="CL466">
        <v>4328054</v>
      </c>
      <c r="CM466">
        <v>0</v>
      </c>
      <c r="CN466">
        <v>1</v>
      </c>
      <c r="CO466">
        <v>4798630.2699999996</v>
      </c>
      <c r="CP466">
        <v>53247.71</v>
      </c>
      <c r="CQ466" t="s">
        <v>145</v>
      </c>
      <c r="CR466">
        <v>53308.852400000003</v>
      </c>
      <c r="CS466">
        <v>3.16</v>
      </c>
      <c r="CT466">
        <v>45</v>
      </c>
      <c r="CU466" t="s">
        <v>171</v>
      </c>
      <c r="CV466" t="s">
        <v>172</v>
      </c>
      <c r="CW466">
        <v>212</v>
      </c>
    </row>
    <row r="467" spans="1:101" x14ac:dyDescent="0.2">
      <c r="A467" t="s">
        <v>106</v>
      </c>
      <c r="B467" s="46">
        <v>45039</v>
      </c>
      <c r="C467" t="s">
        <v>1496</v>
      </c>
      <c r="D467" t="s">
        <v>108</v>
      </c>
      <c r="E467" t="s">
        <v>1497</v>
      </c>
      <c r="F467" t="s">
        <v>110</v>
      </c>
      <c r="G467" t="s">
        <v>111</v>
      </c>
      <c r="H467" t="s">
        <v>112</v>
      </c>
      <c r="I467" t="s">
        <v>112</v>
      </c>
      <c r="J467" t="s">
        <v>112</v>
      </c>
      <c r="K467" t="s">
        <v>150</v>
      </c>
      <c r="L467" t="s">
        <v>1060</v>
      </c>
      <c r="M467" t="s">
        <v>112</v>
      </c>
      <c r="N467" t="s">
        <v>112</v>
      </c>
      <c r="O467">
        <v>1</v>
      </c>
      <c r="P467">
        <v>0</v>
      </c>
      <c r="Q467">
        <v>1</v>
      </c>
      <c r="R467">
        <v>33</v>
      </c>
      <c r="S467" t="s">
        <v>166</v>
      </c>
      <c r="T467" t="s">
        <v>152</v>
      </c>
      <c r="U467" t="s">
        <v>153</v>
      </c>
      <c r="V467" t="s">
        <v>154</v>
      </c>
      <c r="W467" t="s">
        <v>119</v>
      </c>
      <c r="X467" t="s">
        <v>112</v>
      </c>
      <c r="Y467" t="s">
        <v>166</v>
      </c>
      <c r="Z467" t="s">
        <v>152</v>
      </c>
      <c r="AA467" t="s">
        <v>153</v>
      </c>
      <c r="AB467" t="s">
        <v>154</v>
      </c>
      <c r="AC467" t="s">
        <v>119</v>
      </c>
      <c r="AD467" t="s">
        <v>112</v>
      </c>
      <c r="AE467" t="s">
        <v>121</v>
      </c>
      <c r="AF467" t="s">
        <v>122</v>
      </c>
      <c r="AG467">
        <v>4511800.37</v>
      </c>
      <c r="AH467" t="s">
        <v>166</v>
      </c>
      <c r="AI467" t="s">
        <v>152</v>
      </c>
      <c r="AJ467" t="s">
        <v>153</v>
      </c>
      <c r="AK467" t="s">
        <v>154</v>
      </c>
      <c r="AL467" t="s">
        <v>119</v>
      </c>
      <c r="AM467" t="s">
        <v>112</v>
      </c>
      <c r="AN467" t="s">
        <v>121</v>
      </c>
      <c r="AO467" t="s">
        <v>122</v>
      </c>
      <c r="AP467" t="s">
        <v>122</v>
      </c>
      <c r="AQ467" t="s">
        <v>124</v>
      </c>
      <c r="AR467" t="s">
        <v>125</v>
      </c>
      <c r="AS467">
        <v>2</v>
      </c>
      <c r="AT467" t="s">
        <v>126</v>
      </c>
      <c r="AU467" t="s">
        <v>155</v>
      </c>
      <c r="AV467" t="s">
        <v>156</v>
      </c>
      <c r="AW467">
        <v>1</v>
      </c>
      <c r="AX467" t="s">
        <v>129</v>
      </c>
      <c r="AY467">
        <v>40453.360000000001</v>
      </c>
      <c r="AZ467">
        <v>4093848</v>
      </c>
      <c r="BA467">
        <v>50064.92</v>
      </c>
      <c r="BB467">
        <v>101.1992</v>
      </c>
      <c r="BC467" t="s">
        <v>130</v>
      </c>
      <c r="BD467" t="s">
        <v>112</v>
      </c>
      <c r="BE467" t="s">
        <v>157</v>
      </c>
      <c r="BF467" t="s">
        <v>133</v>
      </c>
      <c r="BG467" t="s">
        <v>134</v>
      </c>
      <c r="BH467" t="s">
        <v>112</v>
      </c>
      <c r="BI467" t="s">
        <v>112</v>
      </c>
      <c r="BJ467" t="s">
        <v>112</v>
      </c>
      <c r="BK467" t="s">
        <v>169</v>
      </c>
      <c r="BL467" t="s">
        <v>159</v>
      </c>
      <c r="BM467" t="s">
        <v>722</v>
      </c>
      <c r="BN467" t="s">
        <v>161</v>
      </c>
      <c r="BO467">
        <v>1</v>
      </c>
      <c r="BP467" t="s">
        <v>1498</v>
      </c>
      <c r="BR467" t="s">
        <v>150</v>
      </c>
      <c r="BS467">
        <v>33</v>
      </c>
      <c r="BT467">
        <v>0</v>
      </c>
      <c r="BU467">
        <v>0</v>
      </c>
      <c r="BW467">
        <v>0</v>
      </c>
      <c r="BY467" t="s">
        <v>106</v>
      </c>
      <c r="BZ467" t="s">
        <v>142</v>
      </c>
      <c r="CA467" t="s">
        <v>112</v>
      </c>
      <c r="CB467" t="s">
        <v>112</v>
      </c>
      <c r="CC467" t="s">
        <v>121</v>
      </c>
      <c r="CD467">
        <v>16161.11</v>
      </c>
      <c r="CE467" t="s">
        <v>144</v>
      </c>
      <c r="CF467">
        <v>4000000</v>
      </c>
      <c r="CG467">
        <v>15972.11</v>
      </c>
      <c r="CH467">
        <v>0</v>
      </c>
      <c r="CI467" t="s">
        <v>112</v>
      </c>
      <c r="CJ467" t="s">
        <v>112</v>
      </c>
      <c r="CK467">
        <v>40453.360000000001</v>
      </c>
      <c r="CL467">
        <v>4093848</v>
      </c>
      <c r="CM467">
        <v>0</v>
      </c>
      <c r="CN467">
        <v>1</v>
      </c>
      <c r="CO467">
        <v>4511800.37</v>
      </c>
      <c r="CP467">
        <v>50064.92</v>
      </c>
      <c r="CQ467" t="s">
        <v>145</v>
      </c>
      <c r="CR467">
        <v>49992.704299999998</v>
      </c>
      <c r="CS467">
        <v>3.13</v>
      </c>
      <c r="CT467">
        <v>45</v>
      </c>
      <c r="CU467" t="s">
        <v>171</v>
      </c>
      <c r="CV467" t="s">
        <v>172</v>
      </c>
      <c r="CW467">
        <v>287</v>
      </c>
    </row>
    <row r="468" spans="1:101" x14ac:dyDescent="0.2">
      <c r="A468" t="s">
        <v>106</v>
      </c>
      <c r="B468" s="46">
        <v>45071</v>
      </c>
      <c r="C468" t="s">
        <v>1504</v>
      </c>
      <c r="D468" t="s">
        <v>108</v>
      </c>
      <c r="E468" t="s">
        <v>1505</v>
      </c>
      <c r="F468" t="s">
        <v>110</v>
      </c>
      <c r="G468" t="s">
        <v>111</v>
      </c>
      <c r="H468" t="s">
        <v>112</v>
      </c>
      <c r="I468" t="s">
        <v>112</v>
      </c>
      <c r="J468" t="s">
        <v>112</v>
      </c>
      <c r="K468" t="s">
        <v>150</v>
      </c>
      <c r="L468" t="s">
        <v>1060</v>
      </c>
      <c r="M468" t="s">
        <v>112</v>
      </c>
      <c r="N468" t="s">
        <v>112</v>
      </c>
      <c r="O468">
        <v>1</v>
      </c>
      <c r="P468">
        <v>0</v>
      </c>
      <c r="Q468">
        <v>1</v>
      </c>
      <c r="R468">
        <v>33</v>
      </c>
      <c r="S468" t="s">
        <v>166</v>
      </c>
      <c r="T468" t="s">
        <v>152</v>
      </c>
      <c r="U468" t="s">
        <v>153</v>
      </c>
      <c r="V468" t="s">
        <v>154</v>
      </c>
      <c r="W468" t="s">
        <v>119</v>
      </c>
      <c r="X468" t="s">
        <v>112</v>
      </c>
      <c r="Y468" t="s">
        <v>166</v>
      </c>
      <c r="Z468" t="s">
        <v>152</v>
      </c>
      <c r="AA468" t="s">
        <v>153</v>
      </c>
      <c r="AB468" t="s">
        <v>154</v>
      </c>
      <c r="AC468" t="s">
        <v>119</v>
      </c>
      <c r="AD468" t="s">
        <v>112</v>
      </c>
      <c r="AE468" t="s">
        <v>121</v>
      </c>
      <c r="AF468" t="s">
        <v>122</v>
      </c>
      <c r="AG468">
        <v>4771764.92</v>
      </c>
      <c r="AH468" t="s">
        <v>166</v>
      </c>
      <c r="AI468" t="s">
        <v>152</v>
      </c>
      <c r="AJ468" t="s">
        <v>153</v>
      </c>
      <c r="AK468" t="s">
        <v>154</v>
      </c>
      <c r="AL468" t="s">
        <v>119</v>
      </c>
      <c r="AM468" t="s">
        <v>112</v>
      </c>
      <c r="AN468" t="s">
        <v>121</v>
      </c>
      <c r="AO468" t="s">
        <v>122</v>
      </c>
      <c r="AP468" t="s">
        <v>122</v>
      </c>
      <c r="AQ468" t="s">
        <v>124</v>
      </c>
      <c r="AR468" t="s">
        <v>125</v>
      </c>
      <c r="AS468">
        <v>2</v>
      </c>
      <c r="AT468" t="s">
        <v>126</v>
      </c>
      <c r="AU468" t="s">
        <v>155</v>
      </c>
      <c r="AV468" t="s">
        <v>156</v>
      </c>
      <c r="AW468">
        <v>1</v>
      </c>
      <c r="AX468" t="s">
        <v>129</v>
      </c>
      <c r="AY468">
        <v>43022.2</v>
      </c>
      <c r="AZ468">
        <v>4353812</v>
      </c>
      <c r="BA468">
        <v>52949.599999999999</v>
      </c>
      <c r="BB468">
        <v>101.1992</v>
      </c>
      <c r="BC468" t="s">
        <v>130</v>
      </c>
      <c r="BD468" t="s">
        <v>112</v>
      </c>
      <c r="BE468" t="s">
        <v>157</v>
      </c>
      <c r="BF468" t="s">
        <v>133</v>
      </c>
      <c r="BG468" t="s">
        <v>134</v>
      </c>
      <c r="BH468" t="s">
        <v>112</v>
      </c>
      <c r="BI468" t="s">
        <v>112</v>
      </c>
      <c r="BJ468" t="s">
        <v>112</v>
      </c>
      <c r="BK468" t="s">
        <v>169</v>
      </c>
      <c r="BL468" t="s">
        <v>159</v>
      </c>
      <c r="BM468" t="s">
        <v>722</v>
      </c>
      <c r="BN468" t="s">
        <v>161</v>
      </c>
      <c r="BO468">
        <v>1</v>
      </c>
      <c r="BP468" t="s">
        <v>232</v>
      </c>
      <c r="BR468" t="s">
        <v>150</v>
      </c>
      <c r="BS468">
        <v>33</v>
      </c>
      <c r="BT468">
        <v>0</v>
      </c>
      <c r="BU468">
        <v>0</v>
      </c>
      <c r="BW468">
        <v>0</v>
      </c>
      <c r="BY468" t="s">
        <v>106</v>
      </c>
      <c r="BZ468" t="s">
        <v>142</v>
      </c>
      <c r="CA468" t="s">
        <v>112</v>
      </c>
      <c r="CB468" t="s">
        <v>112</v>
      </c>
      <c r="CC468" t="s">
        <v>121</v>
      </c>
      <c r="CD468">
        <v>15618.32</v>
      </c>
      <c r="CE468" t="s">
        <v>144</v>
      </c>
      <c r="CF468">
        <v>4000000</v>
      </c>
      <c r="CG468">
        <v>15345.92</v>
      </c>
      <c r="CH468">
        <v>0</v>
      </c>
      <c r="CI468" t="s">
        <v>112</v>
      </c>
      <c r="CJ468" t="s">
        <v>112</v>
      </c>
      <c r="CK468">
        <v>43022.2</v>
      </c>
      <c r="CL468">
        <v>4353812</v>
      </c>
      <c r="CM468">
        <v>0</v>
      </c>
      <c r="CN468">
        <v>1</v>
      </c>
      <c r="CO468">
        <v>4771764.92</v>
      </c>
      <c r="CP468">
        <v>52949.599999999999</v>
      </c>
      <c r="CQ468" t="s">
        <v>145</v>
      </c>
      <c r="CR468">
        <v>52943.424000000006</v>
      </c>
      <c r="CS468">
        <v>3.45</v>
      </c>
      <c r="CT468">
        <v>45</v>
      </c>
      <c r="CU468" t="s">
        <v>171</v>
      </c>
      <c r="CV468" t="s">
        <v>372</v>
      </c>
      <c r="CW468">
        <v>314</v>
      </c>
    </row>
    <row r="469" spans="1:101" x14ac:dyDescent="0.2">
      <c r="A469" t="s">
        <v>106</v>
      </c>
      <c r="B469" s="46">
        <v>45193</v>
      </c>
      <c r="C469" t="s">
        <v>1502</v>
      </c>
      <c r="D469" t="s">
        <v>108</v>
      </c>
      <c r="E469" t="s">
        <v>1503</v>
      </c>
      <c r="F469" t="s">
        <v>110</v>
      </c>
      <c r="G469" t="s">
        <v>111</v>
      </c>
      <c r="H469" t="s">
        <v>112</v>
      </c>
      <c r="I469" t="s">
        <v>112</v>
      </c>
      <c r="J469" t="s">
        <v>112</v>
      </c>
      <c r="K469" t="s">
        <v>150</v>
      </c>
      <c r="L469" t="s">
        <v>1060</v>
      </c>
      <c r="M469" t="s">
        <v>112</v>
      </c>
      <c r="N469" t="s">
        <v>112</v>
      </c>
      <c r="O469">
        <v>1</v>
      </c>
      <c r="P469">
        <v>0</v>
      </c>
      <c r="Q469">
        <v>1</v>
      </c>
      <c r="R469">
        <v>33</v>
      </c>
      <c r="S469" t="s">
        <v>166</v>
      </c>
      <c r="T469" t="s">
        <v>152</v>
      </c>
      <c r="U469" t="s">
        <v>153</v>
      </c>
      <c r="V469" t="s">
        <v>154</v>
      </c>
      <c r="W469" t="s">
        <v>119</v>
      </c>
      <c r="X469" t="s">
        <v>112</v>
      </c>
      <c r="Y469" t="s">
        <v>166</v>
      </c>
      <c r="Z469" t="s">
        <v>152</v>
      </c>
      <c r="AA469" t="s">
        <v>153</v>
      </c>
      <c r="AB469" t="s">
        <v>154</v>
      </c>
      <c r="AC469" t="s">
        <v>119</v>
      </c>
      <c r="AD469" t="s">
        <v>112</v>
      </c>
      <c r="AE469" t="s">
        <v>121</v>
      </c>
      <c r="AF469" t="s">
        <v>122</v>
      </c>
      <c r="AG469">
        <v>4734412.3</v>
      </c>
      <c r="AH469" t="s">
        <v>166</v>
      </c>
      <c r="AI469" t="s">
        <v>152</v>
      </c>
      <c r="AJ469" t="s">
        <v>153</v>
      </c>
      <c r="AK469" t="s">
        <v>154</v>
      </c>
      <c r="AL469" t="s">
        <v>119</v>
      </c>
      <c r="AM469" t="s">
        <v>112</v>
      </c>
      <c r="AN469" t="s">
        <v>121</v>
      </c>
      <c r="AO469" t="s">
        <v>122</v>
      </c>
      <c r="AP469" t="s">
        <v>122</v>
      </c>
      <c r="AQ469" t="s">
        <v>124</v>
      </c>
      <c r="AR469" t="s">
        <v>125</v>
      </c>
      <c r="AS469">
        <v>2</v>
      </c>
      <c r="AT469" t="s">
        <v>126</v>
      </c>
      <c r="AU469" t="s">
        <v>155</v>
      </c>
      <c r="AV469" t="s">
        <v>156</v>
      </c>
      <c r="AW469">
        <v>1</v>
      </c>
      <c r="AX469" t="s">
        <v>129</v>
      </c>
      <c r="AY469">
        <v>42653.1</v>
      </c>
      <c r="AZ469">
        <v>4316460</v>
      </c>
      <c r="BA469">
        <v>52535.12</v>
      </c>
      <c r="BB469">
        <v>101.1992</v>
      </c>
      <c r="BC469" t="s">
        <v>130</v>
      </c>
      <c r="BD469" t="s">
        <v>112</v>
      </c>
      <c r="BE469" t="s">
        <v>157</v>
      </c>
      <c r="BF469" t="s">
        <v>133</v>
      </c>
      <c r="BG469" t="s">
        <v>134</v>
      </c>
      <c r="BH469" t="s">
        <v>112</v>
      </c>
      <c r="BI469" t="s">
        <v>112</v>
      </c>
      <c r="BJ469" t="s">
        <v>112</v>
      </c>
      <c r="BK469" t="s">
        <v>169</v>
      </c>
      <c r="BL469" t="s">
        <v>159</v>
      </c>
      <c r="BM469" t="s">
        <v>722</v>
      </c>
      <c r="BN469" t="s">
        <v>161</v>
      </c>
      <c r="BO469">
        <v>1</v>
      </c>
      <c r="BP469" t="s">
        <v>232</v>
      </c>
      <c r="BR469" t="s">
        <v>150</v>
      </c>
      <c r="BS469">
        <v>33</v>
      </c>
      <c r="BT469">
        <v>0</v>
      </c>
      <c r="BU469">
        <v>0</v>
      </c>
      <c r="BW469">
        <v>0</v>
      </c>
      <c r="BY469" t="s">
        <v>106</v>
      </c>
      <c r="BZ469" t="s">
        <v>142</v>
      </c>
      <c r="CA469" t="s">
        <v>112</v>
      </c>
      <c r="CB469" t="s">
        <v>112</v>
      </c>
      <c r="CC469" t="s">
        <v>121</v>
      </c>
      <c r="CD469">
        <v>16857.990000000002</v>
      </c>
      <c r="CE469" t="s">
        <v>144</v>
      </c>
      <c r="CF469">
        <v>4000000</v>
      </c>
      <c r="CG469">
        <v>16771.59</v>
      </c>
      <c r="CH469">
        <v>0</v>
      </c>
      <c r="CI469" t="s">
        <v>112</v>
      </c>
      <c r="CJ469" t="s">
        <v>112</v>
      </c>
      <c r="CK469">
        <v>42653.1</v>
      </c>
      <c r="CL469">
        <v>4316460</v>
      </c>
      <c r="CM469">
        <v>0</v>
      </c>
      <c r="CN469">
        <v>1</v>
      </c>
      <c r="CO469">
        <v>4734412.3</v>
      </c>
      <c r="CP469">
        <v>52535.12</v>
      </c>
      <c r="CQ469" t="s">
        <v>145</v>
      </c>
      <c r="CR469">
        <v>52495.076699999998</v>
      </c>
      <c r="CS469">
        <v>3.13</v>
      </c>
      <c r="CT469">
        <v>45</v>
      </c>
      <c r="CU469" t="s">
        <v>171</v>
      </c>
      <c r="CV469" t="s">
        <v>463</v>
      </c>
      <c r="CW469">
        <v>583</v>
      </c>
    </row>
    <row r="470" spans="1:101" x14ac:dyDescent="0.2">
      <c r="A470" t="s">
        <v>106</v>
      </c>
      <c r="B470" s="46">
        <v>45193</v>
      </c>
      <c r="C470" t="s">
        <v>1499</v>
      </c>
      <c r="D470" t="s">
        <v>108</v>
      </c>
      <c r="E470" t="s">
        <v>1500</v>
      </c>
      <c r="F470" t="s">
        <v>110</v>
      </c>
      <c r="G470" t="s">
        <v>111</v>
      </c>
      <c r="H470" t="s">
        <v>112</v>
      </c>
      <c r="I470" t="s">
        <v>112</v>
      </c>
      <c r="J470" t="s">
        <v>112</v>
      </c>
      <c r="K470" t="s">
        <v>150</v>
      </c>
      <c r="L470" t="s">
        <v>1060</v>
      </c>
      <c r="M470" t="s">
        <v>112</v>
      </c>
      <c r="N470" t="s">
        <v>112</v>
      </c>
      <c r="O470">
        <v>1</v>
      </c>
      <c r="P470">
        <v>0</v>
      </c>
      <c r="Q470">
        <v>1</v>
      </c>
      <c r="R470">
        <v>33</v>
      </c>
      <c r="S470" t="s">
        <v>166</v>
      </c>
      <c r="T470" t="s">
        <v>152</v>
      </c>
      <c r="U470" t="s">
        <v>153</v>
      </c>
      <c r="V470" t="s">
        <v>154</v>
      </c>
      <c r="W470" t="s">
        <v>119</v>
      </c>
      <c r="X470" t="s">
        <v>112</v>
      </c>
      <c r="Y470" t="s">
        <v>166</v>
      </c>
      <c r="Z470" t="s">
        <v>152</v>
      </c>
      <c r="AA470" t="s">
        <v>153</v>
      </c>
      <c r="AB470" t="s">
        <v>154</v>
      </c>
      <c r="AC470" t="s">
        <v>119</v>
      </c>
      <c r="AD470" t="s">
        <v>112</v>
      </c>
      <c r="AE470" t="s">
        <v>121</v>
      </c>
      <c r="AF470" t="s">
        <v>122</v>
      </c>
      <c r="AG470">
        <v>4638181.9800000004</v>
      </c>
      <c r="AH470" t="s">
        <v>166</v>
      </c>
      <c r="AI470" t="s">
        <v>152</v>
      </c>
      <c r="AJ470" t="s">
        <v>153</v>
      </c>
      <c r="AK470" t="s">
        <v>154</v>
      </c>
      <c r="AL470" t="s">
        <v>119</v>
      </c>
      <c r="AM470" t="s">
        <v>112</v>
      </c>
      <c r="AN470" t="s">
        <v>121</v>
      </c>
      <c r="AO470" t="s">
        <v>122</v>
      </c>
      <c r="AP470" t="s">
        <v>122</v>
      </c>
      <c r="AQ470" t="s">
        <v>124</v>
      </c>
      <c r="AR470" t="s">
        <v>125</v>
      </c>
      <c r="AS470">
        <v>2</v>
      </c>
      <c r="AT470" t="s">
        <v>126</v>
      </c>
      <c r="AU470" t="s">
        <v>155</v>
      </c>
      <c r="AV470" t="s">
        <v>156</v>
      </c>
      <c r="AW470">
        <v>1</v>
      </c>
      <c r="AX470" t="s">
        <v>129</v>
      </c>
      <c r="AY470">
        <v>41702.199999999997</v>
      </c>
      <c r="AZ470">
        <v>4220229</v>
      </c>
      <c r="BA470">
        <v>51467.3</v>
      </c>
      <c r="BB470">
        <v>101.1992</v>
      </c>
      <c r="BC470" t="s">
        <v>130</v>
      </c>
      <c r="BD470" t="s">
        <v>112</v>
      </c>
      <c r="BE470" t="s">
        <v>157</v>
      </c>
      <c r="BF470" t="s">
        <v>133</v>
      </c>
      <c r="BG470" t="s">
        <v>167</v>
      </c>
      <c r="BH470" t="s">
        <v>168</v>
      </c>
      <c r="BI470" t="s">
        <v>112</v>
      </c>
      <c r="BJ470" t="s">
        <v>112</v>
      </c>
      <c r="BK470" t="s">
        <v>169</v>
      </c>
      <c r="BL470" t="s">
        <v>159</v>
      </c>
      <c r="BM470" t="s">
        <v>726</v>
      </c>
      <c r="BN470" t="s">
        <v>161</v>
      </c>
      <c r="BO470">
        <v>1</v>
      </c>
      <c r="BP470" t="s">
        <v>1501</v>
      </c>
      <c r="BR470" t="s">
        <v>150</v>
      </c>
      <c r="BS470">
        <v>33</v>
      </c>
      <c r="BT470">
        <v>0</v>
      </c>
      <c r="BU470">
        <v>0</v>
      </c>
      <c r="BW470">
        <v>0</v>
      </c>
      <c r="BY470" t="s">
        <v>106</v>
      </c>
      <c r="BZ470" t="s">
        <v>142</v>
      </c>
      <c r="CA470" t="s">
        <v>112</v>
      </c>
      <c r="CB470" t="s">
        <v>112</v>
      </c>
      <c r="CC470" t="s">
        <v>121</v>
      </c>
      <c r="CD470">
        <v>16721.939999999999</v>
      </c>
      <c r="CE470" t="s">
        <v>144</v>
      </c>
      <c r="CF470">
        <v>4000000</v>
      </c>
      <c r="CG470">
        <v>16613.939999999999</v>
      </c>
      <c r="CH470">
        <v>0</v>
      </c>
      <c r="CI470" t="s">
        <v>112</v>
      </c>
      <c r="CJ470" t="s">
        <v>112</v>
      </c>
      <c r="CK470">
        <v>41702.199999999997</v>
      </c>
      <c r="CL470">
        <v>4220229</v>
      </c>
      <c r="CM470">
        <v>0</v>
      </c>
      <c r="CN470">
        <v>1</v>
      </c>
      <c r="CO470">
        <v>4638181.9800000004</v>
      </c>
      <c r="CP470">
        <v>51467.3</v>
      </c>
      <c r="CQ470" t="s">
        <v>145</v>
      </c>
      <c r="CR470">
        <v>51503.214</v>
      </c>
      <c r="CS470">
        <v>3.1</v>
      </c>
      <c r="CT470">
        <v>45</v>
      </c>
      <c r="CU470" t="s">
        <v>171</v>
      </c>
      <c r="CV470" t="s">
        <v>369</v>
      </c>
      <c r="CW470">
        <v>248</v>
      </c>
    </row>
    <row r="471" spans="1:101" x14ac:dyDescent="0.2">
      <c r="A471" t="s">
        <v>106</v>
      </c>
      <c r="B471" s="46">
        <v>45150</v>
      </c>
      <c r="C471" t="s">
        <v>1065</v>
      </c>
      <c r="D471" t="s">
        <v>108</v>
      </c>
      <c r="E471" t="s">
        <v>1066</v>
      </c>
      <c r="F471" t="s">
        <v>110</v>
      </c>
      <c r="G471" t="s">
        <v>111</v>
      </c>
      <c r="H471" t="s">
        <v>112</v>
      </c>
      <c r="I471" t="s">
        <v>112</v>
      </c>
      <c r="J471" t="s">
        <v>112</v>
      </c>
      <c r="K471" t="s">
        <v>150</v>
      </c>
      <c r="L471" t="s">
        <v>1060</v>
      </c>
      <c r="M471" t="s">
        <v>112</v>
      </c>
      <c r="N471" t="s">
        <v>112</v>
      </c>
      <c r="O471">
        <v>1</v>
      </c>
      <c r="P471">
        <v>0</v>
      </c>
      <c r="Q471">
        <v>1</v>
      </c>
      <c r="R471">
        <v>33</v>
      </c>
      <c r="S471" t="s">
        <v>166</v>
      </c>
      <c r="T471" t="s">
        <v>152</v>
      </c>
      <c r="U471" t="s">
        <v>153</v>
      </c>
      <c r="V471" t="s">
        <v>154</v>
      </c>
      <c r="W471" t="s">
        <v>119</v>
      </c>
      <c r="X471" t="s">
        <v>112</v>
      </c>
      <c r="Y471" t="s">
        <v>166</v>
      </c>
      <c r="Z471" t="s">
        <v>152</v>
      </c>
      <c r="AA471" t="s">
        <v>153</v>
      </c>
      <c r="AB471" t="s">
        <v>154</v>
      </c>
      <c r="AC471" t="s">
        <v>119</v>
      </c>
      <c r="AD471" t="s">
        <v>112</v>
      </c>
      <c r="AE471" t="s">
        <v>121</v>
      </c>
      <c r="AF471" t="s">
        <v>122</v>
      </c>
      <c r="AG471">
        <v>4129263.04</v>
      </c>
      <c r="AH471" t="s">
        <v>166</v>
      </c>
      <c r="AI471" t="s">
        <v>152</v>
      </c>
      <c r="AJ471" t="s">
        <v>153</v>
      </c>
      <c r="AK471" t="s">
        <v>154</v>
      </c>
      <c r="AL471" t="s">
        <v>119</v>
      </c>
      <c r="AM471" t="s">
        <v>112</v>
      </c>
      <c r="AN471" t="s">
        <v>121</v>
      </c>
      <c r="AO471" t="s">
        <v>122</v>
      </c>
      <c r="AP471" t="s">
        <v>122</v>
      </c>
      <c r="AQ471" t="s">
        <v>124</v>
      </c>
      <c r="AR471" t="s">
        <v>125</v>
      </c>
      <c r="AS471">
        <v>2</v>
      </c>
      <c r="AT471" t="s">
        <v>126</v>
      </c>
      <c r="AU471" t="s">
        <v>155</v>
      </c>
      <c r="AV471" t="s">
        <v>156</v>
      </c>
      <c r="AW471">
        <v>1</v>
      </c>
      <c r="AX471" t="s">
        <v>129</v>
      </c>
      <c r="AY471">
        <v>41447.4</v>
      </c>
      <c r="AZ471">
        <v>3737051</v>
      </c>
      <c r="BA471">
        <v>50663.01</v>
      </c>
      <c r="BB471">
        <v>90.163700000000006</v>
      </c>
      <c r="BC471" t="s">
        <v>130</v>
      </c>
      <c r="BD471" t="s">
        <v>112</v>
      </c>
      <c r="BE471" t="s">
        <v>157</v>
      </c>
      <c r="BF471" t="s">
        <v>133</v>
      </c>
      <c r="BG471" t="s">
        <v>134</v>
      </c>
      <c r="BH471" t="s">
        <v>112</v>
      </c>
      <c r="BI471" t="s">
        <v>112</v>
      </c>
      <c r="BJ471" t="s">
        <v>112</v>
      </c>
      <c r="BK471" t="s">
        <v>169</v>
      </c>
      <c r="BL471" t="s">
        <v>159</v>
      </c>
      <c r="BM471" t="s">
        <v>722</v>
      </c>
      <c r="BN471" t="s">
        <v>161</v>
      </c>
      <c r="BO471">
        <v>1</v>
      </c>
      <c r="BP471" t="s">
        <v>232</v>
      </c>
      <c r="BR471" t="s">
        <v>150</v>
      </c>
      <c r="BS471">
        <v>33</v>
      </c>
      <c r="BT471">
        <v>0</v>
      </c>
      <c r="BU471">
        <v>0</v>
      </c>
      <c r="BW471">
        <v>0</v>
      </c>
      <c r="BY471" t="s">
        <v>106</v>
      </c>
      <c r="BZ471" t="s">
        <v>142</v>
      </c>
      <c r="CA471" t="s">
        <v>112</v>
      </c>
      <c r="CB471" t="s">
        <v>112</v>
      </c>
      <c r="CC471" t="s">
        <v>121</v>
      </c>
      <c r="CD471">
        <v>16882.32</v>
      </c>
      <c r="CE471" t="s">
        <v>144</v>
      </c>
      <c r="CF471">
        <v>4000000</v>
      </c>
      <c r="CG471">
        <v>16817.52</v>
      </c>
      <c r="CH471">
        <v>0</v>
      </c>
      <c r="CI471" t="s">
        <v>112</v>
      </c>
      <c r="CJ471" t="s">
        <v>112</v>
      </c>
      <c r="CK471">
        <v>41447.4</v>
      </c>
      <c r="CL471">
        <v>3737051</v>
      </c>
      <c r="CM471">
        <v>0</v>
      </c>
      <c r="CN471">
        <v>1</v>
      </c>
      <c r="CO471">
        <v>4129263.04</v>
      </c>
      <c r="CP471">
        <v>50663.01</v>
      </c>
      <c r="CQ471" t="s">
        <v>145</v>
      </c>
      <c r="CR471">
        <v>50662.779000000002</v>
      </c>
      <c r="CS471">
        <v>3.0125000000000002</v>
      </c>
      <c r="CT471">
        <v>45</v>
      </c>
      <c r="CU471" t="s">
        <v>171</v>
      </c>
      <c r="CV471" t="s">
        <v>463</v>
      </c>
      <c r="CW471">
        <v>174</v>
      </c>
    </row>
    <row r="472" spans="1:101" x14ac:dyDescent="0.2">
      <c r="A472" t="s">
        <v>106</v>
      </c>
      <c r="B472" s="46">
        <v>45048</v>
      </c>
      <c r="C472" t="s">
        <v>1067</v>
      </c>
      <c r="D472" t="s">
        <v>108</v>
      </c>
      <c r="E472" t="s">
        <v>1068</v>
      </c>
      <c r="F472" t="s">
        <v>110</v>
      </c>
      <c r="G472" t="s">
        <v>111</v>
      </c>
      <c r="H472" t="s">
        <v>112</v>
      </c>
      <c r="I472" t="s">
        <v>112</v>
      </c>
      <c r="J472" t="s">
        <v>112</v>
      </c>
      <c r="K472" t="s">
        <v>150</v>
      </c>
      <c r="L472" t="s">
        <v>1060</v>
      </c>
      <c r="M472" t="s">
        <v>112</v>
      </c>
      <c r="N472" t="s">
        <v>112</v>
      </c>
      <c r="O472">
        <v>1</v>
      </c>
      <c r="P472">
        <v>0</v>
      </c>
      <c r="Q472">
        <v>1</v>
      </c>
      <c r="R472">
        <v>33</v>
      </c>
      <c r="S472" t="s">
        <v>166</v>
      </c>
      <c r="T472" t="s">
        <v>152</v>
      </c>
      <c r="U472" t="s">
        <v>153</v>
      </c>
      <c r="V472" t="s">
        <v>154</v>
      </c>
      <c r="W472" t="s">
        <v>119</v>
      </c>
      <c r="X472" t="s">
        <v>112</v>
      </c>
      <c r="Y472" t="s">
        <v>166</v>
      </c>
      <c r="Z472" t="s">
        <v>152</v>
      </c>
      <c r="AA472" t="s">
        <v>153</v>
      </c>
      <c r="AB472" t="s">
        <v>154</v>
      </c>
      <c r="AC472" t="s">
        <v>119</v>
      </c>
      <c r="AD472" t="s">
        <v>112</v>
      </c>
      <c r="AE472" t="s">
        <v>121</v>
      </c>
      <c r="AF472" t="s">
        <v>122</v>
      </c>
      <c r="AG472">
        <v>4010344.33</v>
      </c>
      <c r="AH472" t="s">
        <v>166</v>
      </c>
      <c r="AI472" t="s">
        <v>152</v>
      </c>
      <c r="AJ472" t="s">
        <v>153</v>
      </c>
      <c r="AK472" t="s">
        <v>154</v>
      </c>
      <c r="AL472" t="s">
        <v>119</v>
      </c>
      <c r="AM472" t="s">
        <v>112</v>
      </c>
      <c r="AN472" t="s">
        <v>121</v>
      </c>
      <c r="AO472" t="s">
        <v>122</v>
      </c>
      <c r="AP472" t="s">
        <v>122</v>
      </c>
      <c r="AQ472" t="s">
        <v>124</v>
      </c>
      <c r="AR472" t="s">
        <v>125</v>
      </c>
      <c r="AS472">
        <v>2</v>
      </c>
      <c r="AT472" t="s">
        <v>126</v>
      </c>
      <c r="AU472" t="s">
        <v>155</v>
      </c>
      <c r="AV472" t="s">
        <v>156</v>
      </c>
      <c r="AW472">
        <v>1</v>
      </c>
      <c r="AX472" t="s">
        <v>129</v>
      </c>
      <c r="AY472">
        <v>40128.480000000003</v>
      </c>
      <c r="AZ472">
        <v>3618132</v>
      </c>
      <c r="BA472">
        <v>49203.96</v>
      </c>
      <c r="BB472">
        <v>90.163700000000006</v>
      </c>
      <c r="BC472" t="s">
        <v>130</v>
      </c>
      <c r="BD472" t="s">
        <v>112</v>
      </c>
      <c r="BE472" t="s">
        <v>157</v>
      </c>
      <c r="BF472" t="s">
        <v>133</v>
      </c>
      <c r="BG472" t="s">
        <v>134</v>
      </c>
      <c r="BH472" t="s">
        <v>112</v>
      </c>
      <c r="BI472" t="s">
        <v>112</v>
      </c>
      <c r="BJ472" t="s">
        <v>112</v>
      </c>
      <c r="BK472" t="s">
        <v>169</v>
      </c>
      <c r="BL472" t="s">
        <v>159</v>
      </c>
      <c r="BM472" t="s">
        <v>726</v>
      </c>
      <c r="BN472" t="s">
        <v>161</v>
      </c>
      <c r="BO472">
        <v>1</v>
      </c>
      <c r="BP472" t="s">
        <v>466</v>
      </c>
      <c r="BR472" t="s">
        <v>150</v>
      </c>
      <c r="BS472">
        <v>33</v>
      </c>
      <c r="BT472">
        <v>0</v>
      </c>
      <c r="BU472">
        <v>0</v>
      </c>
      <c r="BW472">
        <v>0</v>
      </c>
      <c r="BY472" t="s">
        <v>106</v>
      </c>
      <c r="BZ472" t="s">
        <v>142</v>
      </c>
      <c r="CA472" t="s">
        <v>112</v>
      </c>
      <c r="CB472" t="s">
        <v>112</v>
      </c>
      <c r="CC472" t="s">
        <v>121</v>
      </c>
      <c r="CD472">
        <v>16562.48</v>
      </c>
      <c r="CE472" t="s">
        <v>144</v>
      </c>
      <c r="CF472">
        <v>4000000</v>
      </c>
      <c r="CG472">
        <v>16497.68</v>
      </c>
      <c r="CH472">
        <v>0</v>
      </c>
      <c r="CI472" t="s">
        <v>112</v>
      </c>
      <c r="CJ472" t="s">
        <v>112</v>
      </c>
      <c r="CK472">
        <v>40128.480000000003</v>
      </c>
      <c r="CL472">
        <v>3618132</v>
      </c>
      <c r="CM472">
        <v>0</v>
      </c>
      <c r="CN472">
        <v>1</v>
      </c>
      <c r="CO472">
        <v>4010344.33</v>
      </c>
      <c r="CP472">
        <v>49203.96</v>
      </c>
      <c r="CQ472" t="s">
        <v>145</v>
      </c>
      <c r="CR472">
        <v>49204.330600000001</v>
      </c>
      <c r="CS472">
        <v>2.9824999999999999</v>
      </c>
      <c r="CT472">
        <v>45</v>
      </c>
      <c r="CU472" t="s">
        <v>171</v>
      </c>
      <c r="CV472" t="s">
        <v>369</v>
      </c>
      <c r="CW472">
        <v>210</v>
      </c>
    </row>
    <row r="473" spans="1:101" x14ac:dyDescent="0.2">
      <c r="A473" t="s">
        <v>106</v>
      </c>
      <c r="B473" s="46">
        <v>45252</v>
      </c>
      <c r="C473" t="s">
        <v>1058</v>
      </c>
      <c r="D473" t="s">
        <v>108</v>
      </c>
      <c r="E473" t="s">
        <v>1059</v>
      </c>
      <c r="F473" t="s">
        <v>110</v>
      </c>
      <c r="G473" t="s">
        <v>111</v>
      </c>
      <c r="H473" t="s">
        <v>112</v>
      </c>
      <c r="I473" t="s">
        <v>112</v>
      </c>
      <c r="J473" t="s">
        <v>112</v>
      </c>
      <c r="K473" t="s">
        <v>150</v>
      </c>
      <c r="L473" t="s">
        <v>1060</v>
      </c>
      <c r="M473" t="s">
        <v>112</v>
      </c>
      <c r="N473" t="s">
        <v>112</v>
      </c>
      <c r="O473">
        <v>1</v>
      </c>
      <c r="P473">
        <v>0</v>
      </c>
      <c r="Q473">
        <v>1</v>
      </c>
      <c r="R473">
        <v>33</v>
      </c>
      <c r="S473" t="s">
        <v>166</v>
      </c>
      <c r="T473" t="s">
        <v>152</v>
      </c>
      <c r="U473" t="s">
        <v>153</v>
      </c>
      <c r="V473" t="s">
        <v>154</v>
      </c>
      <c r="W473" t="s">
        <v>119</v>
      </c>
      <c r="X473" t="s">
        <v>112</v>
      </c>
      <c r="Y473" t="s">
        <v>166</v>
      </c>
      <c r="Z473" t="s">
        <v>152</v>
      </c>
      <c r="AA473" t="s">
        <v>153</v>
      </c>
      <c r="AB473" t="s">
        <v>154</v>
      </c>
      <c r="AC473" t="s">
        <v>119</v>
      </c>
      <c r="AD473" t="s">
        <v>112</v>
      </c>
      <c r="AE473" t="s">
        <v>121</v>
      </c>
      <c r="AF473" t="s">
        <v>122</v>
      </c>
      <c r="AG473">
        <v>4666076.97</v>
      </c>
      <c r="AH473" t="s">
        <v>166</v>
      </c>
      <c r="AI473" t="s">
        <v>152</v>
      </c>
      <c r="AJ473" t="s">
        <v>153</v>
      </c>
      <c r="AK473" t="s">
        <v>154</v>
      </c>
      <c r="AL473" t="s">
        <v>119</v>
      </c>
      <c r="AM473" t="s">
        <v>112</v>
      </c>
      <c r="AN473" t="s">
        <v>121</v>
      </c>
      <c r="AO473" t="s">
        <v>122</v>
      </c>
      <c r="AP473" t="s">
        <v>122</v>
      </c>
      <c r="AQ473" t="s">
        <v>124</v>
      </c>
      <c r="AR473" t="s">
        <v>125</v>
      </c>
      <c r="AS473">
        <v>2</v>
      </c>
      <c r="AT473" t="s">
        <v>126</v>
      </c>
      <c r="AU473" t="s">
        <v>155</v>
      </c>
      <c r="AV473" t="s">
        <v>156</v>
      </c>
      <c r="AW473">
        <v>1</v>
      </c>
      <c r="AX473" t="s">
        <v>129</v>
      </c>
      <c r="AY473">
        <v>47401.17</v>
      </c>
      <c r="AZ473">
        <v>4273865</v>
      </c>
      <c r="BA473">
        <v>57249.32</v>
      </c>
      <c r="BB473">
        <v>90.163700000000006</v>
      </c>
      <c r="BC473" t="s">
        <v>130</v>
      </c>
      <c r="BD473" t="s">
        <v>112</v>
      </c>
      <c r="BE473" t="s">
        <v>157</v>
      </c>
      <c r="BF473" t="s">
        <v>133</v>
      </c>
      <c r="BG473" t="s">
        <v>134</v>
      </c>
      <c r="BH473" t="s">
        <v>112</v>
      </c>
      <c r="BI473" t="s">
        <v>112</v>
      </c>
      <c r="BJ473" t="s">
        <v>112</v>
      </c>
      <c r="BK473" t="s">
        <v>169</v>
      </c>
      <c r="BL473" t="s">
        <v>159</v>
      </c>
      <c r="BM473" t="s">
        <v>722</v>
      </c>
      <c r="BN473" t="s">
        <v>161</v>
      </c>
      <c r="BO473">
        <v>1</v>
      </c>
      <c r="BP473" t="s">
        <v>466</v>
      </c>
      <c r="BR473" t="s">
        <v>150</v>
      </c>
      <c r="BS473">
        <v>33</v>
      </c>
      <c r="BT473">
        <v>0</v>
      </c>
      <c r="BU473">
        <v>0</v>
      </c>
      <c r="BW473">
        <v>0</v>
      </c>
      <c r="BY473" t="s">
        <v>106</v>
      </c>
      <c r="BZ473" t="s">
        <v>142</v>
      </c>
      <c r="CA473" t="s">
        <v>112</v>
      </c>
      <c r="CB473" t="s">
        <v>112</v>
      </c>
      <c r="CC473" t="s">
        <v>121</v>
      </c>
      <c r="CD473">
        <v>16133.81</v>
      </c>
      <c r="CE473" t="s">
        <v>144</v>
      </c>
      <c r="CF473">
        <v>4000000</v>
      </c>
      <c r="CG473">
        <v>16133.81</v>
      </c>
      <c r="CH473">
        <v>0</v>
      </c>
      <c r="CI473" t="s">
        <v>112</v>
      </c>
      <c r="CJ473" t="s">
        <v>112</v>
      </c>
      <c r="CK473">
        <v>47401.17</v>
      </c>
      <c r="CL473">
        <v>4273865</v>
      </c>
      <c r="CM473">
        <v>0</v>
      </c>
      <c r="CN473">
        <v>1</v>
      </c>
      <c r="CO473">
        <v>4666076.97</v>
      </c>
      <c r="CP473">
        <v>57249.32</v>
      </c>
      <c r="CQ473" t="s">
        <v>145</v>
      </c>
      <c r="CR473">
        <v>57249.211404000001</v>
      </c>
      <c r="CS473">
        <v>3.5484</v>
      </c>
      <c r="CT473">
        <v>45</v>
      </c>
      <c r="CU473" t="s">
        <v>171</v>
      </c>
      <c r="CV473" t="s">
        <v>369</v>
      </c>
      <c r="CW473">
        <v>278</v>
      </c>
    </row>
    <row r="474" spans="1:101" x14ac:dyDescent="0.2">
      <c r="A474" t="s">
        <v>106</v>
      </c>
      <c r="B474" s="46">
        <v>44999</v>
      </c>
      <c r="C474" t="s">
        <v>1061</v>
      </c>
      <c r="D474" t="s">
        <v>108</v>
      </c>
      <c r="E474" t="s">
        <v>1062</v>
      </c>
      <c r="F474" t="s">
        <v>110</v>
      </c>
      <c r="G474" t="s">
        <v>111</v>
      </c>
      <c r="H474" t="s">
        <v>112</v>
      </c>
      <c r="I474" t="s">
        <v>112</v>
      </c>
      <c r="J474" t="s">
        <v>112</v>
      </c>
      <c r="K474" t="s">
        <v>150</v>
      </c>
      <c r="L474" t="s">
        <v>1060</v>
      </c>
      <c r="M474" t="s">
        <v>112</v>
      </c>
      <c r="N474" t="s">
        <v>112</v>
      </c>
      <c r="O474">
        <v>1</v>
      </c>
      <c r="P474">
        <v>0</v>
      </c>
      <c r="Q474">
        <v>1</v>
      </c>
      <c r="R474">
        <v>33</v>
      </c>
      <c r="S474" t="s">
        <v>166</v>
      </c>
      <c r="T474" t="s">
        <v>152</v>
      </c>
      <c r="U474" t="s">
        <v>153</v>
      </c>
      <c r="V474" t="s">
        <v>154</v>
      </c>
      <c r="W474" t="s">
        <v>119</v>
      </c>
      <c r="X474" t="s">
        <v>112</v>
      </c>
      <c r="Y474" t="s">
        <v>166</v>
      </c>
      <c r="Z474" t="s">
        <v>152</v>
      </c>
      <c r="AA474" t="s">
        <v>153</v>
      </c>
      <c r="AB474" t="s">
        <v>154</v>
      </c>
      <c r="AC474" t="s">
        <v>119</v>
      </c>
      <c r="AD474" t="s">
        <v>112</v>
      </c>
      <c r="AE474" t="s">
        <v>121</v>
      </c>
      <c r="AF474" t="s">
        <v>122</v>
      </c>
      <c r="AG474">
        <v>4298319.9800000004</v>
      </c>
      <c r="AH474" t="s">
        <v>166</v>
      </c>
      <c r="AI474" t="s">
        <v>152</v>
      </c>
      <c r="AJ474" t="s">
        <v>153</v>
      </c>
      <c r="AK474" t="s">
        <v>154</v>
      </c>
      <c r="AL474" t="s">
        <v>119</v>
      </c>
      <c r="AM474" t="s">
        <v>112</v>
      </c>
      <c r="AN474" t="s">
        <v>121</v>
      </c>
      <c r="AO474" t="s">
        <v>122</v>
      </c>
      <c r="AP474" t="s">
        <v>122</v>
      </c>
      <c r="AQ474" t="s">
        <v>124</v>
      </c>
      <c r="AR474" t="s">
        <v>125</v>
      </c>
      <c r="AS474">
        <v>2</v>
      </c>
      <c r="AT474" t="s">
        <v>126</v>
      </c>
      <c r="AU474" t="s">
        <v>155</v>
      </c>
      <c r="AV474" t="s">
        <v>156</v>
      </c>
      <c r="AW474">
        <v>1</v>
      </c>
      <c r="AX474" t="s">
        <v>129</v>
      </c>
      <c r="AY474">
        <v>43322.400000000001</v>
      </c>
      <c r="AZ474">
        <v>3906108</v>
      </c>
      <c r="BA474">
        <v>52737.21</v>
      </c>
      <c r="BB474">
        <v>90.163700000000006</v>
      </c>
      <c r="BC474" t="s">
        <v>130</v>
      </c>
      <c r="BD474" t="s">
        <v>112</v>
      </c>
      <c r="BE474" t="s">
        <v>157</v>
      </c>
      <c r="BF474" t="s">
        <v>133</v>
      </c>
      <c r="BG474" t="s">
        <v>134</v>
      </c>
      <c r="BH474" t="s">
        <v>112</v>
      </c>
      <c r="BI474" t="s">
        <v>112</v>
      </c>
      <c r="BJ474" t="s">
        <v>112</v>
      </c>
      <c r="BK474" t="s">
        <v>169</v>
      </c>
      <c r="BL474" t="s">
        <v>159</v>
      </c>
      <c r="BM474" t="s">
        <v>722</v>
      </c>
      <c r="BN474" t="s">
        <v>161</v>
      </c>
      <c r="BO474">
        <v>1</v>
      </c>
      <c r="BP474" t="s">
        <v>232</v>
      </c>
      <c r="BR474" t="s">
        <v>150</v>
      </c>
      <c r="BS474">
        <v>33</v>
      </c>
      <c r="BT474">
        <v>0</v>
      </c>
      <c r="BU474">
        <v>0</v>
      </c>
      <c r="BW474">
        <v>0</v>
      </c>
      <c r="BY474" t="s">
        <v>106</v>
      </c>
      <c r="BZ474" t="s">
        <v>142</v>
      </c>
      <c r="CA474" t="s">
        <v>112</v>
      </c>
      <c r="CB474" t="s">
        <v>112</v>
      </c>
      <c r="CC474" t="s">
        <v>121</v>
      </c>
      <c r="CD474">
        <v>16727.34</v>
      </c>
      <c r="CE474" t="s">
        <v>144</v>
      </c>
      <c r="CF474">
        <v>4000000</v>
      </c>
      <c r="CG474">
        <v>16619.34</v>
      </c>
      <c r="CH474">
        <v>0</v>
      </c>
      <c r="CI474" t="s">
        <v>112</v>
      </c>
      <c r="CJ474" t="s">
        <v>112</v>
      </c>
      <c r="CK474">
        <v>43322.400000000001</v>
      </c>
      <c r="CL474">
        <v>3906108</v>
      </c>
      <c r="CM474">
        <v>0</v>
      </c>
      <c r="CN474">
        <v>1</v>
      </c>
      <c r="CO474">
        <v>4298319.9800000004</v>
      </c>
      <c r="CP474">
        <v>52737.21</v>
      </c>
      <c r="CQ474" t="s">
        <v>145</v>
      </c>
      <c r="CR474">
        <v>52736.489688000001</v>
      </c>
      <c r="CS474">
        <v>3.1732</v>
      </c>
      <c r="CT474">
        <v>45</v>
      </c>
      <c r="CU474" t="s">
        <v>171</v>
      </c>
      <c r="CV474" t="s">
        <v>463</v>
      </c>
      <c r="CW474">
        <v>9</v>
      </c>
    </row>
    <row r="475" spans="1:101" x14ac:dyDescent="0.2">
      <c r="A475" t="s">
        <v>106</v>
      </c>
      <c r="B475" s="46">
        <v>45209</v>
      </c>
      <c r="C475" t="s">
        <v>1069</v>
      </c>
      <c r="D475" t="s">
        <v>108</v>
      </c>
      <c r="E475" t="s">
        <v>1070</v>
      </c>
      <c r="F475" t="s">
        <v>110</v>
      </c>
      <c r="G475" t="s">
        <v>111</v>
      </c>
      <c r="H475" t="s">
        <v>112</v>
      </c>
      <c r="I475" t="s">
        <v>112</v>
      </c>
      <c r="J475" t="s">
        <v>112</v>
      </c>
      <c r="K475" t="s">
        <v>150</v>
      </c>
      <c r="L475" t="s">
        <v>1060</v>
      </c>
      <c r="M475" t="s">
        <v>112</v>
      </c>
      <c r="N475" t="s">
        <v>112</v>
      </c>
      <c r="O475">
        <v>1</v>
      </c>
      <c r="P475">
        <v>0</v>
      </c>
      <c r="Q475">
        <v>1</v>
      </c>
      <c r="R475">
        <v>33</v>
      </c>
      <c r="S475" t="s">
        <v>166</v>
      </c>
      <c r="T475" t="s">
        <v>152</v>
      </c>
      <c r="U475" t="s">
        <v>153</v>
      </c>
      <c r="V475" t="s">
        <v>154</v>
      </c>
      <c r="W475" t="s">
        <v>119</v>
      </c>
      <c r="X475" t="s">
        <v>112</v>
      </c>
      <c r="Y475" t="s">
        <v>166</v>
      </c>
      <c r="Z475" t="s">
        <v>152</v>
      </c>
      <c r="AA475" t="s">
        <v>153</v>
      </c>
      <c r="AB475" t="s">
        <v>154</v>
      </c>
      <c r="AC475" t="s">
        <v>119</v>
      </c>
      <c r="AD475" t="s">
        <v>112</v>
      </c>
      <c r="AE475" t="s">
        <v>121</v>
      </c>
      <c r="AF475" t="s">
        <v>122</v>
      </c>
      <c r="AG475">
        <v>4370942.33</v>
      </c>
      <c r="AH475" t="s">
        <v>166</v>
      </c>
      <c r="AI475" t="s">
        <v>152</v>
      </c>
      <c r="AJ475" t="s">
        <v>153</v>
      </c>
      <c r="AK475" t="s">
        <v>154</v>
      </c>
      <c r="AL475" t="s">
        <v>119</v>
      </c>
      <c r="AM475" t="s">
        <v>112</v>
      </c>
      <c r="AN475" t="s">
        <v>121</v>
      </c>
      <c r="AO475" t="s">
        <v>122</v>
      </c>
      <c r="AP475" t="s">
        <v>122</v>
      </c>
      <c r="AQ475" t="s">
        <v>124</v>
      </c>
      <c r="AR475" t="s">
        <v>125</v>
      </c>
      <c r="AS475">
        <v>2</v>
      </c>
      <c r="AT475" t="s">
        <v>126</v>
      </c>
      <c r="AU475" t="s">
        <v>155</v>
      </c>
      <c r="AV475" t="s">
        <v>156</v>
      </c>
      <c r="AW475">
        <v>1</v>
      </c>
      <c r="AX475" t="s">
        <v>129</v>
      </c>
      <c r="AY475">
        <v>43627.85</v>
      </c>
      <c r="AZ475">
        <v>3933648</v>
      </c>
      <c r="BA475">
        <v>53628.23</v>
      </c>
      <c r="BB475">
        <v>90.163700000000006</v>
      </c>
      <c r="BC475" t="s">
        <v>130</v>
      </c>
      <c r="BD475" t="s">
        <v>112</v>
      </c>
      <c r="BE475" t="s">
        <v>157</v>
      </c>
      <c r="BF475" t="s">
        <v>133</v>
      </c>
      <c r="BG475" t="s">
        <v>167</v>
      </c>
      <c r="BH475" t="s">
        <v>168</v>
      </c>
      <c r="BI475" t="s">
        <v>112</v>
      </c>
      <c r="BJ475" t="s">
        <v>112</v>
      </c>
      <c r="BK475" t="s">
        <v>169</v>
      </c>
      <c r="BL475" t="s">
        <v>159</v>
      </c>
      <c r="BM475" t="s">
        <v>726</v>
      </c>
      <c r="BN475" t="s">
        <v>161</v>
      </c>
      <c r="BO475">
        <v>1</v>
      </c>
      <c r="BP475" t="s">
        <v>205</v>
      </c>
      <c r="BR475" t="s">
        <v>112</v>
      </c>
      <c r="BS475">
        <v>33</v>
      </c>
      <c r="BT475">
        <v>0</v>
      </c>
      <c r="BU475">
        <v>0</v>
      </c>
      <c r="BW475">
        <v>0</v>
      </c>
      <c r="BY475" t="s">
        <v>106</v>
      </c>
      <c r="BZ475" t="s">
        <v>142</v>
      </c>
      <c r="CA475" t="s">
        <v>112</v>
      </c>
      <c r="CB475" t="s">
        <v>112</v>
      </c>
      <c r="CC475" t="s">
        <v>121</v>
      </c>
      <c r="CD475">
        <v>17258.490000000002</v>
      </c>
      <c r="CE475" t="s">
        <v>144</v>
      </c>
      <c r="CF475">
        <v>4000000</v>
      </c>
      <c r="CG475">
        <v>17258.490000000002</v>
      </c>
      <c r="CH475">
        <v>0</v>
      </c>
      <c r="CI475" t="s">
        <v>112</v>
      </c>
      <c r="CJ475" t="s">
        <v>112</v>
      </c>
      <c r="CK475">
        <v>43627.85</v>
      </c>
      <c r="CL475">
        <v>3933648</v>
      </c>
      <c r="CM475">
        <v>0</v>
      </c>
      <c r="CN475">
        <v>1</v>
      </c>
      <c r="CO475">
        <v>4370942.33</v>
      </c>
      <c r="CP475">
        <v>53628.23</v>
      </c>
      <c r="CQ475" t="s">
        <v>145</v>
      </c>
      <c r="CR475">
        <v>53629.031826000006</v>
      </c>
      <c r="CS475">
        <v>3.1074000000000002</v>
      </c>
      <c r="CT475">
        <v>45</v>
      </c>
      <c r="CU475" t="s">
        <v>171</v>
      </c>
      <c r="CV475" t="s">
        <v>369</v>
      </c>
      <c r="CW475">
        <v>366</v>
      </c>
    </row>
    <row r="476" spans="1:101" x14ac:dyDescent="0.2">
      <c r="A476" t="s">
        <v>106</v>
      </c>
      <c r="B476" s="46">
        <v>44939</v>
      </c>
      <c r="C476" t="s">
        <v>949</v>
      </c>
      <c r="D476" t="s">
        <v>108</v>
      </c>
      <c r="E476" t="s">
        <v>950</v>
      </c>
      <c r="F476" t="s">
        <v>110</v>
      </c>
      <c r="G476" t="s">
        <v>111</v>
      </c>
      <c r="H476" t="s">
        <v>112</v>
      </c>
      <c r="I476" t="s">
        <v>112</v>
      </c>
      <c r="J476" t="s">
        <v>112</v>
      </c>
      <c r="K476" t="s">
        <v>150</v>
      </c>
      <c r="L476" t="s">
        <v>151</v>
      </c>
      <c r="M476" t="s">
        <v>112</v>
      </c>
      <c r="N476" t="s">
        <v>112</v>
      </c>
      <c r="O476">
        <v>1</v>
      </c>
      <c r="P476">
        <v>0</v>
      </c>
      <c r="Q476">
        <v>1</v>
      </c>
      <c r="R476">
        <v>33</v>
      </c>
      <c r="S476" t="s">
        <v>166</v>
      </c>
      <c r="T476" t="s">
        <v>152</v>
      </c>
      <c r="U476" t="s">
        <v>153</v>
      </c>
      <c r="V476" t="s">
        <v>154</v>
      </c>
      <c r="W476" t="s">
        <v>119</v>
      </c>
      <c r="X476" t="s">
        <v>112</v>
      </c>
      <c r="Y476" t="s">
        <v>166</v>
      </c>
      <c r="Z476" t="s">
        <v>152</v>
      </c>
      <c r="AA476" t="s">
        <v>153</v>
      </c>
      <c r="AB476" t="s">
        <v>154</v>
      </c>
      <c r="AC476" t="s">
        <v>119</v>
      </c>
      <c r="AD476" t="s">
        <v>112</v>
      </c>
      <c r="AE476" t="s">
        <v>121</v>
      </c>
      <c r="AF476" t="s">
        <v>122</v>
      </c>
      <c r="AG476">
        <v>3460428.38</v>
      </c>
      <c r="AH476" t="s">
        <v>166</v>
      </c>
      <c r="AI476" t="s">
        <v>152</v>
      </c>
      <c r="AJ476" t="s">
        <v>153</v>
      </c>
      <c r="AK476" t="s">
        <v>154</v>
      </c>
      <c r="AL476" t="s">
        <v>119</v>
      </c>
      <c r="AM476" t="s">
        <v>112</v>
      </c>
      <c r="AN476" t="s">
        <v>121</v>
      </c>
      <c r="AO476" t="s">
        <v>122</v>
      </c>
      <c r="AP476" t="s">
        <v>122</v>
      </c>
      <c r="AQ476" t="s">
        <v>124</v>
      </c>
      <c r="AR476" t="s">
        <v>125</v>
      </c>
      <c r="AS476">
        <v>2</v>
      </c>
      <c r="AT476" t="s">
        <v>126</v>
      </c>
      <c r="AU476" t="s">
        <v>155</v>
      </c>
      <c r="AV476" t="s">
        <v>156</v>
      </c>
      <c r="AW476">
        <v>1</v>
      </c>
      <c r="AX476" t="s">
        <v>129</v>
      </c>
      <c r="AY476">
        <v>38296.68</v>
      </c>
      <c r="AZ476">
        <v>3107462</v>
      </c>
      <c r="BA476">
        <v>45287.93</v>
      </c>
      <c r="BB476">
        <v>81.141800000000003</v>
      </c>
      <c r="BC476" t="s">
        <v>130</v>
      </c>
      <c r="BD476" t="s">
        <v>112</v>
      </c>
      <c r="BE476" t="s">
        <v>157</v>
      </c>
      <c r="BF476" t="s">
        <v>133</v>
      </c>
      <c r="BG476" t="s">
        <v>134</v>
      </c>
      <c r="BH476" t="s">
        <v>112</v>
      </c>
      <c r="BI476" t="s">
        <v>112</v>
      </c>
      <c r="BJ476" t="s">
        <v>112</v>
      </c>
      <c r="BK476" t="s">
        <v>169</v>
      </c>
      <c r="BL476" t="s">
        <v>159</v>
      </c>
      <c r="BM476" t="s">
        <v>212</v>
      </c>
      <c r="BN476" t="s">
        <v>161</v>
      </c>
      <c r="BO476">
        <v>1</v>
      </c>
      <c r="BP476" t="s">
        <v>951</v>
      </c>
      <c r="BR476" t="s">
        <v>150</v>
      </c>
      <c r="BS476">
        <v>33</v>
      </c>
      <c r="BT476">
        <v>0</v>
      </c>
      <c r="BU476">
        <v>0</v>
      </c>
      <c r="BW476">
        <v>0</v>
      </c>
      <c r="BY476" t="s">
        <v>106</v>
      </c>
      <c r="BZ476" t="s">
        <v>142</v>
      </c>
      <c r="CA476" t="s">
        <v>112</v>
      </c>
      <c r="CB476" t="s">
        <v>112</v>
      </c>
      <c r="CC476" t="s">
        <v>121</v>
      </c>
      <c r="CD476">
        <v>14942.44</v>
      </c>
      <c r="CE476" t="s">
        <v>144</v>
      </c>
      <c r="CF476">
        <v>4000000</v>
      </c>
      <c r="CG476">
        <v>14784.04</v>
      </c>
      <c r="CH476">
        <v>0</v>
      </c>
      <c r="CI476" t="s">
        <v>112</v>
      </c>
      <c r="CJ476" t="s">
        <v>112</v>
      </c>
      <c r="CK476">
        <v>38296.68</v>
      </c>
      <c r="CL476">
        <v>3107462</v>
      </c>
      <c r="CM476">
        <v>0</v>
      </c>
      <c r="CN476">
        <v>1</v>
      </c>
      <c r="CO476">
        <v>3460428.38</v>
      </c>
      <c r="CP476">
        <v>45287.93</v>
      </c>
      <c r="CQ476" t="s">
        <v>145</v>
      </c>
      <c r="CR476">
        <v>45287.949732000001</v>
      </c>
      <c r="CS476">
        <v>3.0632999999999999</v>
      </c>
      <c r="CT476">
        <v>45</v>
      </c>
      <c r="CU476" t="s">
        <v>171</v>
      </c>
      <c r="CV476" t="s">
        <v>372</v>
      </c>
      <c r="CW476">
        <v>568</v>
      </c>
    </row>
    <row r="477" spans="1:101" x14ac:dyDescent="0.2">
      <c r="A477" t="s">
        <v>106</v>
      </c>
      <c r="B477" s="46">
        <v>45013</v>
      </c>
      <c r="C477" t="s">
        <v>944</v>
      </c>
      <c r="D477" t="s">
        <v>108</v>
      </c>
      <c r="E477" t="s">
        <v>945</v>
      </c>
      <c r="F477" t="s">
        <v>110</v>
      </c>
      <c r="G477" t="s">
        <v>111</v>
      </c>
      <c r="H477" t="s">
        <v>112</v>
      </c>
      <c r="I477" t="s">
        <v>112</v>
      </c>
      <c r="J477" t="s">
        <v>112</v>
      </c>
      <c r="K477" t="s">
        <v>150</v>
      </c>
      <c r="L477" t="s">
        <v>151</v>
      </c>
      <c r="M477" t="s">
        <v>112</v>
      </c>
      <c r="N477" t="s">
        <v>112</v>
      </c>
      <c r="O477">
        <v>1</v>
      </c>
      <c r="P477">
        <v>0</v>
      </c>
      <c r="Q477">
        <v>1</v>
      </c>
      <c r="R477">
        <v>38</v>
      </c>
      <c r="S477" t="s">
        <v>166</v>
      </c>
      <c r="T477" t="s">
        <v>152</v>
      </c>
      <c r="U477" t="s">
        <v>153</v>
      </c>
      <c r="V477" t="s">
        <v>154</v>
      </c>
      <c r="W477" t="s">
        <v>119</v>
      </c>
      <c r="X477" t="s">
        <v>112</v>
      </c>
      <c r="Y477" t="s">
        <v>166</v>
      </c>
      <c r="Z477" t="s">
        <v>152</v>
      </c>
      <c r="AA477" t="s">
        <v>153</v>
      </c>
      <c r="AB477" t="s">
        <v>154</v>
      </c>
      <c r="AC477" t="s">
        <v>119</v>
      </c>
      <c r="AD477" t="s">
        <v>112</v>
      </c>
      <c r="AE477" t="s">
        <v>121</v>
      </c>
      <c r="AF477" t="s">
        <v>122</v>
      </c>
      <c r="AG477">
        <v>3839100.93</v>
      </c>
      <c r="AH477" t="s">
        <v>166</v>
      </c>
      <c r="AI477" t="s">
        <v>152</v>
      </c>
      <c r="AJ477" t="s">
        <v>153</v>
      </c>
      <c r="AK477" t="s">
        <v>154</v>
      </c>
      <c r="AL477" t="s">
        <v>119</v>
      </c>
      <c r="AM477" t="s">
        <v>112</v>
      </c>
      <c r="AN477" t="s">
        <v>121</v>
      </c>
      <c r="AO477" t="s">
        <v>122</v>
      </c>
      <c r="AP477" t="s">
        <v>122</v>
      </c>
      <c r="AQ477" t="s">
        <v>124</v>
      </c>
      <c r="AR477" t="s">
        <v>125</v>
      </c>
      <c r="AS477">
        <v>2</v>
      </c>
      <c r="AT477" t="s">
        <v>126</v>
      </c>
      <c r="AU477" t="s">
        <v>155</v>
      </c>
      <c r="AV477" t="s">
        <v>156</v>
      </c>
      <c r="AW477">
        <v>1</v>
      </c>
      <c r="AX477" t="s">
        <v>129</v>
      </c>
      <c r="AY477">
        <v>42963.48</v>
      </c>
      <c r="AZ477">
        <v>3486134</v>
      </c>
      <c r="BA477">
        <v>50243.76</v>
      </c>
      <c r="BB477">
        <v>81.141800000000003</v>
      </c>
      <c r="BC477" t="s">
        <v>130</v>
      </c>
      <c r="BD477" t="s">
        <v>112</v>
      </c>
      <c r="BE477" t="s">
        <v>157</v>
      </c>
      <c r="BF477" t="s">
        <v>133</v>
      </c>
      <c r="BG477" t="s">
        <v>134</v>
      </c>
      <c r="BH477" t="s">
        <v>112</v>
      </c>
      <c r="BI477" t="s">
        <v>112</v>
      </c>
      <c r="BJ477" t="s">
        <v>112</v>
      </c>
      <c r="BK477" t="s">
        <v>169</v>
      </c>
      <c r="BL477" t="s">
        <v>159</v>
      </c>
      <c r="BM477" t="s">
        <v>212</v>
      </c>
      <c r="BN477" t="s">
        <v>161</v>
      </c>
      <c r="BO477">
        <v>1</v>
      </c>
      <c r="BP477" t="s">
        <v>946</v>
      </c>
      <c r="BR477" t="s">
        <v>150</v>
      </c>
      <c r="BS477">
        <v>38</v>
      </c>
      <c r="BT477">
        <v>0</v>
      </c>
      <c r="BU477">
        <v>0</v>
      </c>
      <c r="BW477">
        <v>0</v>
      </c>
      <c r="BY477" t="s">
        <v>106</v>
      </c>
      <c r="BZ477" t="s">
        <v>142</v>
      </c>
      <c r="CA477" t="s">
        <v>112</v>
      </c>
      <c r="CB477" t="s">
        <v>112</v>
      </c>
      <c r="CC477" t="s">
        <v>121</v>
      </c>
      <c r="CD477">
        <v>17669.099999999999</v>
      </c>
      <c r="CE477" t="s">
        <v>144</v>
      </c>
      <c r="CF477">
        <v>4000000</v>
      </c>
      <c r="CG477">
        <v>17424.3</v>
      </c>
      <c r="CH477">
        <v>0</v>
      </c>
      <c r="CI477" t="s">
        <v>112</v>
      </c>
      <c r="CJ477" t="s">
        <v>112</v>
      </c>
      <c r="CK477">
        <v>42963.48</v>
      </c>
      <c r="CL477">
        <v>3486134</v>
      </c>
      <c r="CM477">
        <v>0</v>
      </c>
      <c r="CN477">
        <v>1</v>
      </c>
      <c r="CO477">
        <v>3839100.93</v>
      </c>
      <c r="CP477">
        <v>50243.76</v>
      </c>
      <c r="CQ477" t="s">
        <v>145</v>
      </c>
      <c r="CR477">
        <v>50242.96905</v>
      </c>
      <c r="CS477">
        <v>2.8835000000000002</v>
      </c>
      <c r="CT477">
        <v>45</v>
      </c>
      <c r="CU477" t="s">
        <v>171</v>
      </c>
      <c r="CV477" t="s">
        <v>369</v>
      </c>
      <c r="CW477">
        <v>94</v>
      </c>
    </row>
    <row r="478" spans="1:101" x14ac:dyDescent="0.2">
      <c r="A478" t="s">
        <v>106</v>
      </c>
      <c r="B478" s="46">
        <v>45263</v>
      </c>
      <c r="C478" t="s">
        <v>947</v>
      </c>
      <c r="D478" t="s">
        <v>108</v>
      </c>
      <c r="E478" t="s">
        <v>948</v>
      </c>
      <c r="F478" t="s">
        <v>110</v>
      </c>
      <c r="G478" t="s">
        <v>111</v>
      </c>
      <c r="H478" t="s">
        <v>112</v>
      </c>
      <c r="I478" t="s">
        <v>112</v>
      </c>
      <c r="J478" t="s">
        <v>112</v>
      </c>
      <c r="K478" t="s">
        <v>150</v>
      </c>
      <c r="L478" t="s">
        <v>151</v>
      </c>
      <c r="M478" t="s">
        <v>112</v>
      </c>
      <c r="N478" t="s">
        <v>112</v>
      </c>
      <c r="O478">
        <v>1</v>
      </c>
      <c r="P478">
        <v>0</v>
      </c>
      <c r="Q478">
        <v>1</v>
      </c>
      <c r="R478">
        <v>33</v>
      </c>
      <c r="S478" t="s">
        <v>166</v>
      </c>
      <c r="T478" t="s">
        <v>152</v>
      </c>
      <c r="U478" t="s">
        <v>153</v>
      </c>
      <c r="V478" t="s">
        <v>154</v>
      </c>
      <c r="W478" t="s">
        <v>119</v>
      </c>
      <c r="X478" t="s">
        <v>112</v>
      </c>
      <c r="Y478" t="s">
        <v>166</v>
      </c>
      <c r="Z478" t="s">
        <v>152</v>
      </c>
      <c r="AA478" t="s">
        <v>153</v>
      </c>
      <c r="AB478" t="s">
        <v>154</v>
      </c>
      <c r="AC478" t="s">
        <v>119</v>
      </c>
      <c r="AD478" t="s">
        <v>112</v>
      </c>
      <c r="AE478" t="s">
        <v>121</v>
      </c>
      <c r="AF478" t="s">
        <v>122</v>
      </c>
      <c r="AG478">
        <v>3990420.65</v>
      </c>
      <c r="AH478" t="s">
        <v>166</v>
      </c>
      <c r="AI478" t="s">
        <v>152</v>
      </c>
      <c r="AJ478" t="s">
        <v>153</v>
      </c>
      <c r="AK478" t="s">
        <v>154</v>
      </c>
      <c r="AL478" t="s">
        <v>119</v>
      </c>
      <c r="AM478" t="s">
        <v>112</v>
      </c>
      <c r="AN478" t="s">
        <v>121</v>
      </c>
      <c r="AO478" t="s">
        <v>122</v>
      </c>
      <c r="AP478" t="s">
        <v>122</v>
      </c>
      <c r="AQ478" t="s">
        <v>124</v>
      </c>
      <c r="AR478" t="s">
        <v>125</v>
      </c>
      <c r="AS478">
        <v>2</v>
      </c>
      <c r="AT478" t="s">
        <v>126</v>
      </c>
      <c r="AU478" t="s">
        <v>155</v>
      </c>
      <c r="AV478" t="s">
        <v>156</v>
      </c>
      <c r="AW478">
        <v>1</v>
      </c>
      <c r="AX478" t="s">
        <v>129</v>
      </c>
      <c r="AY478">
        <v>44828.36</v>
      </c>
      <c r="AZ478">
        <v>3637454</v>
      </c>
      <c r="BA478">
        <v>52224.14</v>
      </c>
      <c r="BB478">
        <v>81.141800000000003</v>
      </c>
      <c r="BC478" t="s">
        <v>130</v>
      </c>
      <c r="BD478" t="s">
        <v>112</v>
      </c>
      <c r="BE478" t="s">
        <v>157</v>
      </c>
      <c r="BF478" t="s">
        <v>133</v>
      </c>
      <c r="BG478" t="s">
        <v>167</v>
      </c>
      <c r="BH478" t="s">
        <v>168</v>
      </c>
      <c r="BI478" t="s">
        <v>112</v>
      </c>
      <c r="BJ478" t="s">
        <v>112</v>
      </c>
      <c r="BK478" t="s">
        <v>169</v>
      </c>
      <c r="BL478" t="s">
        <v>159</v>
      </c>
      <c r="BM478" t="s">
        <v>160</v>
      </c>
      <c r="BN478" t="s">
        <v>161</v>
      </c>
      <c r="BO478">
        <v>1</v>
      </c>
      <c r="BP478" t="s">
        <v>894</v>
      </c>
      <c r="BR478" t="s">
        <v>150</v>
      </c>
      <c r="BS478">
        <v>33</v>
      </c>
      <c r="BT478">
        <v>0</v>
      </c>
      <c r="BU478">
        <v>0</v>
      </c>
      <c r="BW478">
        <v>0</v>
      </c>
      <c r="BY478" t="s">
        <v>106</v>
      </c>
      <c r="BZ478" t="s">
        <v>142</v>
      </c>
      <c r="CA478" t="s">
        <v>112</v>
      </c>
      <c r="CB478" t="s">
        <v>112</v>
      </c>
      <c r="CC478" t="s">
        <v>121</v>
      </c>
      <c r="CD478">
        <v>16965.25</v>
      </c>
      <c r="CE478" t="s">
        <v>144</v>
      </c>
      <c r="CF478">
        <v>4000000</v>
      </c>
      <c r="CG478">
        <v>16965.25</v>
      </c>
      <c r="CH478">
        <v>0</v>
      </c>
      <c r="CI478" t="s">
        <v>112</v>
      </c>
      <c r="CJ478" t="s">
        <v>112</v>
      </c>
      <c r="CK478">
        <v>44828.36</v>
      </c>
      <c r="CL478">
        <v>3637454</v>
      </c>
      <c r="CM478">
        <v>0</v>
      </c>
      <c r="CN478">
        <v>1</v>
      </c>
      <c r="CO478">
        <v>3990420.65</v>
      </c>
      <c r="CP478">
        <v>52224.14</v>
      </c>
      <c r="CQ478" t="s">
        <v>145</v>
      </c>
      <c r="CR478">
        <v>52224.129074999997</v>
      </c>
      <c r="CS478">
        <v>3.0783</v>
      </c>
      <c r="CT478">
        <v>45</v>
      </c>
      <c r="CU478" t="s">
        <v>171</v>
      </c>
      <c r="CV478" t="s">
        <v>350</v>
      </c>
      <c r="CW478">
        <v>68</v>
      </c>
    </row>
    <row r="479" spans="1:101" x14ac:dyDescent="0.2">
      <c r="A479" t="s">
        <v>106</v>
      </c>
      <c r="B479" s="46">
        <v>45215</v>
      </c>
      <c r="C479" t="s">
        <v>624</v>
      </c>
      <c r="D479" t="s">
        <v>108</v>
      </c>
      <c r="E479" t="s">
        <v>625</v>
      </c>
      <c r="F479" t="s">
        <v>110</v>
      </c>
      <c r="G479" t="s">
        <v>111</v>
      </c>
      <c r="H479" t="s">
        <v>112</v>
      </c>
      <c r="I479" t="s">
        <v>112</v>
      </c>
      <c r="J479" t="s">
        <v>112</v>
      </c>
      <c r="K479" t="s">
        <v>150</v>
      </c>
      <c r="L479" t="s">
        <v>151</v>
      </c>
      <c r="M479" t="s">
        <v>112</v>
      </c>
      <c r="N479" t="s">
        <v>112</v>
      </c>
      <c r="O479">
        <v>1</v>
      </c>
      <c r="P479">
        <v>0</v>
      </c>
      <c r="Q479">
        <v>1</v>
      </c>
      <c r="R479">
        <v>32</v>
      </c>
      <c r="S479" t="s">
        <v>166</v>
      </c>
      <c r="T479" t="s">
        <v>152</v>
      </c>
      <c r="U479" t="s">
        <v>153</v>
      </c>
      <c r="V479" t="s">
        <v>154</v>
      </c>
      <c r="W479" t="s">
        <v>119</v>
      </c>
      <c r="X479" t="s">
        <v>112</v>
      </c>
      <c r="Y479" t="s">
        <v>166</v>
      </c>
      <c r="Z479" t="s">
        <v>152</v>
      </c>
      <c r="AA479" t="s">
        <v>153</v>
      </c>
      <c r="AB479" t="s">
        <v>154</v>
      </c>
      <c r="AC479" t="s">
        <v>119</v>
      </c>
      <c r="AD479" t="s">
        <v>112</v>
      </c>
      <c r="AE479" t="s">
        <v>121</v>
      </c>
      <c r="AF479" t="s">
        <v>122</v>
      </c>
      <c r="AG479">
        <v>3682350.19</v>
      </c>
      <c r="AH479" t="s">
        <v>166</v>
      </c>
      <c r="AI479" t="s">
        <v>152</v>
      </c>
      <c r="AJ479" t="s">
        <v>153</v>
      </c>
      <c r="AK479" t="s">
        <v>154</v>
      </c>
      <c r="AL479" t="s">
        <v>119</v>
      </c>
      <c r="AM479" t="s">
        <v>112</v>
      </c>
      <c r="AN479" t="s">
        <v>121</v>
      </c>
      <c r="AO479" t="s">
        <v>122</v>
      </c>
      <c r="AP479" t="s">
        <v>122</v>
      </c>
      <c r="AQ479" t="s">
        <v>124</v>
      </c>
      <c r="AR479" t="s">
        <v>125</v>
      </c>
      <c r="AS479">
        <v>2</v>
      </c>
      <c r="AT479" t="s">
        <v>126</v>
      </c>
      <c r="AU479" t="s">
        <v>155</v>
      </c>
      <c r="AV479" t="s">
        <v>156</v>
      </c>
      <c r="AW479">
        <v>1</v>
      </c>
      <c r="AX479" t="s">
        <v>129</v>
      </c>
      <c r="AY479">
        <v>41192.959999999999</v>
      </c>
      <c r="AZ479">
        <v>3294465</v>
      </c>
      <c r="BA479">
        <v>49253.120000000003</v>
      </c>
      <c r="BB479">
        <v>79.976399999999998</v>
      </c>
      <c r="BC479" t="s">
        <v>130</v>
      </c>
      <c r="BD479" t="s">
        <v>112</v>
      </c>
      <c r="BE479" t="s">
        <v>157</v>
      </c>
      <c r="BF479" t="s">
        <v>133</v>
      </c>
      <c r="BG479" t="s">
        <v>134</v>
      </c>
      <c r="BH479" t="s">
        <v>112</v>
      </c>
      <c r="BI479" t="s">
        <v>112</v>
      </c>
      <c r="BJ479" t="s">
        <v>112</v>
      </c>
      <c r="BK479" t="s">
        <v>169</v>
      </c>
      <c r="BL479" t="s">
        <v>159</v>
      </c>
      <c r="BM479" t="s">
        <v>212</v>
      </c>
      <c r="BN479" t="s">
        <v>161</v>
      </c>
      <c r="BO479">
        <v>1</v>
      </c>
      <c r="BP479" t="s">
        <v>232</v>
      </c>
      <c r="BR479" t="s">
        <v>150</v>
      </c>
      <c r="BS479">
        <v>32</v>
      </c>
      <c r="BT479">
        <v>0</v>
      </c>
      <c r="BU479">
        <v>0</v>
      </c>
      <c r="BW479">
        <v>0</v>
      </c>
      <c r="BY479" t="s">
        <v>106</v>
      </c>
      <c r="BZ479" t="s">
        <v>142</v>
      </c>
      <c r="CA479" t="s">
        <v>112</v>
      </c>
      <c r="CB479" t="s">
        <v>112</v>
      </c>
      <c r="CC479" t="s">
        <v>121</v>
      </c>
      <c r="CD479">
        <v>16508.810000000001</v>
      </c>
      <c r="CE479" t="s">
        <v>144</v>
      </c>
      <c r="CF479">
        <v>4000000</v>
      </c>
      <c r="CG479">
        <v>16465.61</v>
      </c>
      <c r="CH479">
        <v>0</v>
      </c>
      <c r="CI479" t="s">
        <v>112</v>
      </c>
      <c r="CJ479" t="s">
        <v>112</v>
      </c>
      <c r="CK479">
        <v>41192.959999999999</v>
      </c>
      <c r="CL479">
        <v>3294465</v>
      </c>
      <c r="CM479">
        <v>0</v>
      </c>
      <c r="CN479">
        <v>1</v>
      </c>
      <c r="CO479">
        <v>3682350.19</v>
      </c>
      <c r="CP479">
        <v>49253.120000000003</v>
      </c>
      <c r="CQ479" t="s">
        <v>145</v>
      </c>
      <c r="CR479">
        <v>49253.579192999998</v>
      </c>
      <c r="CS479">
        <v>2.9912999999999998</v>
      </c>
      <c r="CT479">
        <v>45</v>
      </c>
      <c r="CU479" t="s">
        <v>171</v>
      </c>
      <c r="CV479" t="s">
        <v>463</v>
      </c>
      <c r="CW479">
        <v>150</v>
      </c>
    </row>
    <row r="480" spans="1:101" x14ac:dyDescent="0.2">
      <c r="A480" t="s">
        <v>106</v>
      </c>
      <c r="B480" s="46">
        <v>45241</v>
      </c>
      <c r="C480" t="s">
        <v>622</v>
      </c>
      <c r="D480" t="s">
        <v>108</v>
      </c>
      <c r="E480" t="s">
        <v>623</v>
      </c>
      <c r="F480" t="s">
        <v>110</v>
      </c>
      <c r="G480" t="s">
        <v>111</v>
      </c>
      <c r="H480" t="s">
        <v>112</v>
      </c>
      <c r="I480" t="s">
        <v>112</v>
      </c>
      <c r="J480" t="s">
        <v>112</v>
      </c>
      <c r="K480" t="s">
        <v>150</v>
      </c>
      <c r="L480" t="s">
        <v>151</v>
      </c>
      <c r="M480" t="s">
        <v>112</v>
      </c>
      <c r="N480" t="s">
        <v>112</v>
      </c>
      <c r="O480">
        <v>1</v>
      </c>
      <c r="P480">
        <v>0</v>
      </c>
      <c r="Q480">
        <v>1</v>
      </c>
      <c r="R480">
        <v>33</v>
      </c>
      <c r="S480" t="s">
        <v>166</v>
      </c>
      <c r="T480" t="s">
        <v>152</v>
      </c>
      <c r="U480" t="s">
        <v>153</v>
      </c>
      <c r="V480" t="s">
        <v>154</v>
      </c>
      <c r="W480" t="s">
        <v>119</v>
      </c>
      <c r="X480" t="s">
        <v>112</v>
      </c>
      <c r="Y480" t="s">
        <v>166</v>
      </c>
      <c r="Z480" t="s">
        <v>152</v>
      </c>
      <c r="AA480" t="s">
        <v>153</v>
      </c>
      <c r="AB480" t="s">
        <v>154</v>
      </c>
      <c r="AC480" t="s">
        <v>119</v>
      </c>
      <c r="AD480" t="s">
        <v>112</v>
      </c>
      <c r="AE480" t="s">
        <v>121</v>
      </c>
      <c r="AF480" t="s">
        <v>122</v>
      </c>
      <c r="AG480">
        <v>3530385.43</v>
      </c>
      <c r="AH480" t="s">
        <v>166</v>
      </c>
      <c r="AI480" t="s">
        <v>152</v>
      </c>
      <c r="AJ480" t="s">
        <v>153</v>
      </c>
      <c r="AK480" t="s">
        <v>154</v>
      </c>
      <c r="AL480" t="s">
        <v>119</v>
      </c>
      <c r="AM480" t="s">
        <v>112</v>
      </c>
      <c r="AN480" t="s">
        <v>121</v>
      </c>
      <c r="AO480" t="s">
        <v>122</v>
      </c>
      <c r="AP480" t="s">
        <v>122</v>
      </c>
      <c r="AQ480" t="s">
        <v>124</v>
      </c>
      <c r="AR480" t="s">
        <v>125</v>
      </c>
      <c r="AS480">
        <v>2</v>
      </c>
      <c r="AT480" t="s">
        <v>126</v>
      </c>
      <c r="AU480" t="s">
        <v>155</v>
      </c>
      <c r="AV480" t="s">
        <v>156</v>
      </c>
      <c r="AW480">
        <v>1</v>
      </c>
      <c r="AX480" t="s">
        <v>129</v>
      </c>
      <c r="AY480">
        <v>39792.839999999997</v>
      </c>
      <c r="AZ480">
        <v>3182488</v>
      </c>
      <c r="BA480">
        <v>47220.52</v>
      </c>
      <c r="BB480">
        <v>79.976399999999998</v>
      </c>
      <c r="BC480" t="s">
        <v>130</v>
      </c>
      <c r="BD480" t="s">
        <v>112</v>
      </c>
      <c r="BE480" t="s">
        <v>157</v>
      </c>
      <c r="BF480" t="s">
        <v>133</v>
      </c>
      <c r="BG480" t="s">
        <v>134</v>
      </c>
      <c r="BH480" t="s">
        <v>112</v>
      </c>
      <c r="BI480" t="s">
        <v>112</v>
      </c>
      <c r="BJ480" t="s">
        <v>112</v>
      </c>
      <c r="BK480" t="s">
        <v>169</v>
      </c>
      <c r="BL480" t="s">
        <v>159</v>
      </c>
      <c r="BM480" t="s">
        <v>212</v>
      </c>
      <c r="BN480" t="s">
        <v>161</v>
      </c>
      <c r="BO480">
        <v>1</v>
      </c>
      <c r="BP480" t="s">
        <v>232</v>
      </c>
      <c r="BR480" t="s">
        <v>150</v>
      </c>
      <c r="BS480">
        <v>33</v>
      </c>
      <c r="BT480">
        <v>0</v>
      </c>
      <c r="BU480">
        <v>0</v>
      </c>
      <c r="BW480">
        <v>0</v>
      </c>
      <c r="BY480" t="s">
        <v>106</v>
      </c>
      <c r="BZ480" t="s">
        <v>142</v>
      </c>
      <c r="CA480" t="s">
        <v>112</v>
      </c>
      <c r="CB480" t="s">
        <v>112</v>
      </c>
      <c r="CC480" t="s">
        <v>121</v>
      </c>
      <c r="CD480">
        <v>16861.57</v>
      </c>
      <c r="CE480" t="s">
        <v>144</v>
      </c>
      <c r="CF480">
        <v>4000000</v>
      </c>
      <c r="CG480">
        <v>16796.77</v>
      </c>
      <c r="CH480">
        <v>0</v>
      </c>
      <c r="CI480" t="s">
        <v>112</v>
      </c>
      <c r="CJ480" t="s">
        <v>112</v>
      </c>
      <c r="CK480">
        <v>39792.839999999997</v>
      </c>
      <c r="CL480">
        <v>3182488</v>
      </c>
      <c r="CM480">
        <v>0</v>
      </c>
      <c r="CN480">
        <v>1</v>
      </c>
      <c r="CO480">
        <v>3530385.43</v>
      </c>
      <c r="CP480">
        <v>47220.52</v>
      </c>
      <c r="CQ480" t="s">
        <v>145</v>
      </c>
      <c r="CR480">
        <v>47220.759501</v>
      </c>
      <c r="CS480">
        <v>2.8113000000000001</v>
      </c>
      <c r="CT480">
        <v>45</v>
      </c>
      <c r="CU480" t="s">
        <v>171</v>
      </c>
      <c r="CV480" t="s">
        <v>350</v>
      </c>
      <c r="CW480">
        <v>93</v>
      </c>
    </row>
    <row r="481" spans="1:101" x14ac:dyDescent="0.2">
      <c r="A481" t="s">
        <v>106</v>
      </c>
      <c r="B481" s="46">
        <v>44664</v>
      </c>
      <c r="C481" t="s">
        <v>265</v>
      </c>
      <c r="D481" t="s">
        <v>108</v>
      </c>
      <c r="E481" t="s">
        <v>266</v>
      </c>
      <c r="F481" t="s">
        <v>110</v>
      </c>
      <c r="G481" t="s">
        <v>111</v>
      </c>
      <c r="H481" t="s">
        <v>112</v>
      </c>
      <c r="I481" t="s">
        <v>112</v>
      </c>
      <c r="J481" t="s">
        <v>112</v>
      </c>
      <c r="K481" t="s">
        <v>113</v>
      </c>
      <c r="L481" t="s">
        <v>114</v>
      </c>
      <c r="M481" t="s">
        <v>112</v>
      </c>
      <c r="N481" t="s">
        <v>112</v>
      </c>
      <c r="O481">
        <v>1</v>
      </c>
      <c r="P481">
        <v>0</v>
      </c>
      <c r="Q481">
        <v>1</v>
      </c>
      <c r="R481">
        <v>33</v>
      </c>
      <c r="S481" t="s">
        <v>115</v>
      </c>
      <c r="T481" t="s">
        <v>116</v>
      </c>
      <c r="U481" t="s">
        <v>117</v>
      </c>
      <c r="V481" t="s">
        <v>118</v>
      </c>
      <c r="W481" t="s">
        <v>119</v>
      </c>
      <c r="X481" t="s">
        <v>120</v>
      </c>
      <c r="Y481" t="s">
        <v>115</v>
      </c>
      <c r="Z481" t="s">
        <v>116</v>
      </c>
      <c r="AA481" t="s">
        <v>117</v>
      </c>
      <c r="AB481" t="s">
        <v>118</v>
      </c>
      <c r="AC481" t="s">
        <v>119</v>
      </c>
      <c r="AD481" t="s">
        <v>120</v>
      </c>
      <c r="AE481" t="s">
        <v>121</v>
      </c>
      <c r="AF481" t="s">
        <v>122</v>
      </c>
      <c r="AG481">
        <v>3665296.67</v>
      </c>
      <c r="AH481" t="s">
        <v>115</v>
      </c>
      <c r="AI481" t="s">
        <v>116</v>
      </c>
      <c r="AJ481" t="s">
        <v>117</v>
      </c>
      <c r="AK481" t="s">
        <v>118</v>
      </c>
      <c r="AL481" t="s">
        <v>119</v>
      </c>
      <c r="AM481" t="s">
        <v>120</v>
      </c>
      <c r="AN481" t="s">
        <v>121</v>
      </c>
      <c r="AO481" t="s">
        <v>122</v>
      </c>
      <c r="AP481" t="s">
        <v>123</v>
      </c>
      <c r="AQ481" t="s">
        <v>124</v>
      </c>
      <c r="AR481" t="s">
        <v>125</v>
      </c>
      <c r="AS481">
        <v>2</v>
      </c>
      <c r="AT481" t="s">
        <v>126</v>
      </c>
      <c r="AU481" t="s">
        <v>127</v>
      </c>
      <c r="AV481" t="s">
        <v>128</v>
      </c>
      <c r="AW481">
        <v>1</v>
      </c>
      <c r="AX481" t="s">
        <v>129</v>
      </c>
      <c r="AY481">
        <v>45985.22</v>
      </c>
      <c r="AZ481">
        <v>3395080</v>
      </c>
      <c r="BA481">
        <v>53673.15</v>
      </c>
      <c r="BB481">
        <v>73.829800000000006</v>
      </c>
      <c r="BC481" t="s">
        <v>130</v>
      </c>
      <c r="BD481" t="s">
        <v>131</v>
      </c>
      <c r="BE481" t="s">
        <v>132</v>
      </c>
      <c r="BF481" t="s">
        <v>133</v>
      </c>
      <c r="BG481" t="s">
        <v>134</v>
      </c>
      <c r="BH481" t="s">
        <v>112</v>
      </c>
      <c r="BI481" t="s">
        <v>135</v>
      </c>
      <c r="BJ481" t="s">
        <v>112</v>
      </c>
      <c r="BK481" t="s">
        <v>136</v>
      </c>
      <c r="BL481" t="s">
        <v>137</v>
      </c>
      <c r="BM481" t="s">
        <v>138</v>
      </c>
      <c r="BN481" t="s">
        <v>139</v>
      </c>
      <c r="BO481">
        <v>1</v>
      </c>
      <c r="BP481" t="s">
        <v>267</v>
      </c>
      <c r="BR481" t="s">
        <v>141</v>
      </c>
      <c r="BS481">
        <v>33</v>
      </c>
      <c r="BT481">
        <v>0</v>
      </c>
      <c r="BU481">
        <v>0</v>
      </c>
      <c r="BW481">
        <v>0</v>
      </c>
      <c r="BY481" t="s">
        <v>106</v>
      </c>
      <c r="BZ481" t="s">
        <v>142</v>
      </c>
      <c r="CA481" t="s">
        <v>112</v>
      </c>
      <c r="CB481" t="s">
        <v>112</v>
      </c>
      <c r="CC481" t="s">
        <v>143</v>
      </c>
      <c r="CD481">
        <v>15521.2</v>
      </c>
      <c r="CE481" t="s">
        <v>144</v>
      </c>
      <c r="CF481">
        <v>4000000</v>
      </c>
      <c r="CG481">
        <v>15467.44</v>
      </c>
      <c r="CH481">
        <v>0</v>
      </c>
      <c r="CI481" t="s">
        <v>112</v>
      </c>
      <c r="CJ481" t="s">
        <v>112</v>
      </c>
      <c r="CK481">
        <v>45985.22</v>
      </c>
      <c r="CL481">
        <v>3395080</v>
      </c>
      <c r="CM481">
        <v>0</v>
      </c>
      <c r="CN481">
        <v>1</v>
      </c>
      <c r="CO481">
        <v>3665296.67</v>
      </c>
      <c r="CP481">
        <v>53673.15</v>
      </c>
      <c r="CQ481" t="s">
        <v>145</v>
      </c>
      <c r="CR481">
        <v>53673.563544000004</v>
      </c>
      <c r="CS481">
        <v>3.4701</v>
      </c>
      <c r="CT481">
        <v>941</v>
      </c>
      <c r="CU481" t="s">
        <v>146</v>
      </c>
      <c r="CV481" t="s">
        <v>147</v>
      </c>
      <c r="CW481">
        <v>205</v>
      </c>
    </row>
    <row r="482" spans="1:101" x14ac:dyDescent="0.2">
      <c r="A482" t="s">
        <v>106</v>
      </c>
      <c r="B482" s="46">
        <v>44574</v>
      </c>
      <c r="C482" t="s">
        <v>259</v>
      </c>
      <c r="D482" t="s">
        <v>108</v>
      </c>
      <c r="E482" t="s">
        <v>260</v>
      </c>
      <c r="F482" t="s">
        <v>110</v>
      </c>
      <c r="G482" t="s">
        <v>111</v>
      </c>
      <c r="H482" t="s">
        <v>112</v>
      </c>
      <c r="I482" t="s">
        <v>112</v>
      </c>
      <c r="J482" t="s">
        <v>112</v>
      </c>
      <c r="K482" t="s">
        <v>175</v>
      </c>
      <c r="L482" t="s">
        <v>176</v>
      </c>
      <c r="M482" t="s">
        <v>112</v>
      </c>
      <c r="N482" t="s">
        <v>112</v>
      </c>
      <c r="O482">
        <v>1</v>
      </c>
      <c r="P482">
        <v>0</v>
      </c>
      <c r="Q482">
        <v>1</v>
      </c>
      <c r="R482">
        <v>33</v>
      </c>
      <c r="S482" t="s">
        <v>166</v>
      </c>
      <c r="T482" t="s">
        <v>152</v>
      </c>
      <c r="U482" t="s">
        <v>153</v>
      </c>
      <c r="V482" t="s">
        <v>177</v>
      </c>
      <c r="W482" t="s">
        <v>119</v>
      </c>
      <c r="X482" t="s">
        <v>112</v>
      </c>
      <c r="Y482" t="s">
        <v>166</v>
      </c>
      <c r="Z482" t="s">
        <v>152</v>
      </c>
      <c r="AA482" t="s">
        <v>153</v>
      </c>
      <c r="AB482" t="s">
        <v>177</v>
      </c>
      <c r="AC482" t="s">
        <v>119</v>
      </c>
      <c r="AD482" t="s">
        <v>112</v>
      </c>
      <c r="AE482" t="s">
        <v>121</v>
      </c>
      <c r="AF482" t="s">
        <v>122</v>
      </c>
      <c r="AG482">
        <v>3687965.93</v>
      </c>
      <c r="AH482" t="s">
        <v>166</v>
      </c>
      <c r="AI482" t="s">
        <v>152</v>
      </c>
      <c r="AJ482" t="s">
        <v>153</v>
      </c>
      <c r="AK482" t="s">
        <v>177</v>
      </c>
      <c r="AL482" t="s">
        <v>119</v>
      </c>
      <c r="AM482" t="s">
        <v>112</v>
      </c>
      <c r="AN482" t="s">
        <v>121</v>
      </c>
      <c r="AO482" t="s">
        <v>122</v>
      </c>
      <c r="AP482" t="s">
        <v>122</v>
      </c>
      <c r="AQ482" t="s">
        <v>124</v>
      </c>
      <c r="AR482" t="s">
        <v>125</v>
      </c>
      <c r="AS482">
        <v>2</v>
      </c>
      <c r="AT482" t="s">
        <v>106</v>
      </c>
      <c r="AU482" t="s">
        <v>155</v>
      </c>
      <c r="AV482" t="s">
        <v>156</v>
      </c>
      <c r="AW482">
        <v>1</v>
      </c>
      <c r="AX482" t="s">
        <v>129</v>
      </c>
      <c r="AY482">
        <v>46468.2</v>
      </c>
      <c r="AZ482">
        <v>3430738</v>
      </c>
      <c r="BA482">
        <v>54005.11</v>
      </c>
      <c r="BB482">
        <v>73.829800000000006</v>
      </c>
      <c r="BC482" t="s">
        <v>130</v>
      </c>
      <c r="BD482" t="s">
        <v>112</v>
      </c>
      <c r="BE482" t="s">
        <v>157</v>
      </c>
      <c r="BF482" t="s">
        <v>133</v>
      </c>
      <c r="BG482" t="s">
        <v>134</v>
      </c>
      <c r="BH482" t="s">
        <v>112</v>
      </c>
      <c r="BI482" t="s">
        <v>178</v>
      </c>
      <c r="BJ482" t="s">
        <v>112</v>
      </c>
      <c r="BK482" t="s">
        <v>125</v>
      </c>
      <c r="BL482" t="s">
        <v>179</v>
      </c>
      <c r="BM482" t="s">
        <v>180</v>
      </c>
      <c r="BN482" t="s">
        <v>181</v>
      </c>
      <c r="BO482">
        <v>1</v>
      </c>
      <c r="BP482" t="s">
        <v>199</v>
      </c>
      <c r="BR482" t="s">
        <v>150</v>
      </c>
      <c r="BS482">
        <v>33</v>
      </c>
      <c r="BT482">
        <v>1</v>
      </c>
      <c r="BU482">
        <v>0</v>
      </c>
      <c r="BW482">
        <v>0</v>
      </c>
      <c r="BY482" t="s">
        <v>106</v>
      </c>
      <c r="BZ482" t="s">
        <v>142</v>
      </c>
      <c r="CA482" t="s">
        <v>112</v>
      </c>
      <c r="CB482" t="s">
        <v>112</v>
      </c>
      <c r="CC482" t="s">
        <v>121</v>
      </c>
      <c r="CD482">
        <v>17575.919999999998</v>
      </c>
      <c r="CE482" t="s">
        <v>144</v>
      </c>
      <c r="CF482">
        <v>4000000</v>
      </c>
      <c r="CG482">
        <v>17575.919999999998</v>
      </c>
      <c r="CH482">
        <v>0</v>
      </c>
      <c r="CI482" t="s">
        <v>112</v>
      </c>
      <c r="CJ482" t="s">
        <v>112</v>
      </c>
      <c r="CK482">
        <v>46468.2</v>
      </c>
      <c r="CL482">
        <v>3430738</v>
      </c>
      <c r="CM482">
        <v>0</v>
      </c>
      <c r="CN482">
        <v>1</v>
      </c>
      <c r="CO482">
        <v>3687965.93</v>
      </c>
      <c r="CP482">
        <v>54005.11</v>
      </c>
      <c r="CQ482" t="s">
        <v>145</v>
      </c>
      <c r="CR482">
        <v>54005.529384000001</v>
      </c>
      <c r="CS482">
        <v>3.0727000000000002</v>
      </c>
      <c r="CT482">
        <v>941</v>
      </c>
      <c r="CU482" t="s">
        <v>183</v>
      </c>
      <c r="CV482" t="s">
        <v>147</v>
      </c>
      <c r="CW482">
        <v>571</v>
      </c>
    </row>
    <row r="483" spans="1:101" x14ac:dyDescent="0.2">
      <c r="A483" s="8" t="s">
        <v>106</v>
      </c>
      <c r="B483" s="46">
        <v>45271</v>
      </c>
      <c r="C483" s="8" t="s">
        <v>2199</v>
      </c>
      <c r="D483" s="8" t="s">
        <v>108</v>
      </c>
      <c r="E483" s="8" t="s">
        <v>2200</v>
      </c>
      <c r="F483" t="s">
        <v>110</v>
      </c>
      <c r="G483" s="8" t="s">
        <v>111</v>
      </c>
      <c r="H483" s="8" t="s">
        <v>112</v>
      </c>
      <c r="I483" s="8" t="s">
        <v>112</v>
      </c>
      <c r="J483" s="8" t="s">
        <v>112</v>
      </c>
      <c r="K483" s="8" t="s">
        <v>2201</v>
      </c>
      <c r="L483" s="8" t="s">
        <v>2202</v>
      </c>
      <c r="M483" s="8" t="s">
        <v>112</v>
      </c>
      <c r="N483" s="8" t="s">
        <v>112</v>
      </c>
      <c r="O483">
        <v>15</v>
      </c>
      <c r="P483">
        <v>0</v>
      </c>
      <c r="Q483">
        <v>42</v>
      </c>
      <c r="R483">
        <v>39</v>
      </c>
      <c r="S483" s="8" t="s">
        <v>2136</v>
      </c>
      <c r="T483" s="8" t="s">
        <v>2137</v>
      </c>
      <c r="U483" s="8" t="s">
        <v>2141</v>
      </c>
      <c r="V483" s="8" t="s">
        <v>2203</v>
      </c>
      <c r="W483" s="8" t="s">
        <v>119</v>
      </c>
      <c r="X483" s="8" t="s">
        <v>2140</v>
      </c>
      <c r="Y483" s="8" t="s">
        <v>2136</v>
      </c>
      <c r="Z483" s="8" t="s">
        <v>2137</v>
      </c>
      <c r="AA483" s="8" t="s">
        <v>2141</v>
      </c>
      <c r="AB483" s="8" t="s">
        <v>2203</v>
      </c>
      <c r="AC483" s="8" t="s">
        <v>119</v>
      </c>
      <c r="AD483" s="8" t="s">
        <v>2140</v>
      </c>
      <c r="AE483" s="8" t="s">
        <v>143</v>
      </c>
      <c r="AF483" s="8" t="s">
        <v>123</v>
      </c>
      <c r="AG483">
        <v>6436794.2199999904</v>
      </c>
      <c r="AH483" s="8" t="s">
        <v>2136</v>
      </c>
      <c r="AI483" s="8" t="s">
        <v>2137</v>
      </c>
      <c r="AJ483" s="8" t="s">
        <v>2141</v>
      </c>
      <c r="AK483" s="8" t="s">
        <v>2203</v>
      </c>
      <c r="AL483" s="8" t="s">
        <v>119</v>
      </c>
      <c r="AM483" s="8" t="s">
        <v>2140</v>
      </c>
      <c r="AN483" s="8" t="s">
        <v>143</v>
      </c>
      <c r="AO483" s="8" t="s">
        <v>123</v>
      </c>
      <c r="AP483" s="8" t="s">
        <v>123</v>
      </c>
      <c r="AQ483" s="8" t="s">
        <v>124</v>
      </c>
      <c r="AR483" s="8" t="s">
        <v>125</v>
      </c>
      <c r="AS483">
        <v>2</v>
      </c>
      <c r="AT483" s="8" t="s">
        <v>126</v>
      </c>
      <c r="AU483" s="8" t="s">
        <v>155</v>
      </c>
      <c r="AV483" s="8" t="s">
        <v>2204</v>
      </c>
      <c r="AW483">
        <v>1</v>
      </c>
      <c r="AX483" s="8" t="s">
        <v>129</v>
      </c>
      <c r="AY483">
        <v>89240.56</v>
      </c>
      <c r="AZ483">
        <v>6108249</v>
      </c>
      <c r="BA483">
        <v>100103.33</v>
      </c>
      <c r="BB483">
        <v>68.447000000000003</v>
      </c>
      <c r="BC483" s="8" t="s">
        <v>130</v>
      </c>
      <c r="BD483" s="8" t="s">
        <v>112</v>
      </c>
      <c r="BE483" s="8" t="s">
        <v>2205</v>
      </c>
      <c r="BF483" s="8" t="s">
        <v>133</v>
      </c>
      <c r="BG483" s="8" t="s">
        <v>134</v>
      </c>
      <c r="BH483" s="8" t="s">
        <v>112</v>
      </c>
      <c r="BI483" s="8" t="s">
        <v>112</v>
      </c>
      <c r="BJ483" s="8" t="s">
        <v>112</v>
      </c>
      <c r="BK483" s="8" t="s">
        <v>2168</v>
      </c>
      <c r="BL483" s="8" t="s">
        <v>2206</v>
      </c>
      <c r="BM483" s="8" t="s">
        <v>2207</v>
      </c>
      <c r="BN483" s="8" t="s">
        <v>2208</v>
      </c>
      <c r="BO483">
        <v>1</v>
      </c>
      <c r="BP483" s="8" t="s">
        <v>2209</v>
      </c>
      <c r="BR483" s="8" t="s">
        <v>2210</v>
      </c>
      <c r="BS483">
        <v>34</v>
      </c>
      <c r="BT483">
        <v>0</v>
      </c>
      <c r="BU483">
        <v>33</v>
      </c>
      <c r="BV483" t="s">
        <v>2147</v>
      </c>
      <c r="BW483">
        <v>0</v>
      </c>
      <c r="BY483" s="8" t="s">
        <v>106</v>
      </c>
      <c r="BZ483" s="8" t="s">
        <v>2148</v>
      </c>
      <c r="CA483" s="8" t="s">
        <v>112</v>
      </c>
      <c r="CB483" s="8" t="s">
        <v>112</v>
      </c>
      <c r="CC483" s="8" t="s">
        <v>143</v>
      </c>
      <c r="CD483">
        <v>5060.5</v>
      </c>
      <c r="CE483" t="s">
        <v>144</v>
      </c>
      <c r="CF483">
        <v>4000000</v>
      </c>
      <c r="CG483">
        <v>4582.5</v>
      </c>
      <c r="CH483">
        <v>0</v>
      </c>
      <c r="CI483" s="8" t="s">
        <v>112</v>
      </c>
      <c r="CJ483" s="8" t="s">
        <v>112</v>
      </c>
      <c r="CK483">
        <v>72719.460000000006</v>
      </c>
      <c r="CL483">
        <v>4977429</v>
      </c>
      <c r="CM483">
        <v>0</v>
      </c>
      <c r="CN483">
        <v>1</v>
      </c>
      <c r="CO483">
        <v>5202689.33</v>
      </c>
      <c r="CP483">
        <v>80910.850000000006</v>
      </c>
      <c r="CQ483" s="8" t="s">
        <v>145</v>
      </c>
      <c r="CR483">
        <v>17.656500000000001</v>
      </c>
      <c r="CS483">
        <v>1053</v>
      </c>
      <c r="CT483" t="s">
        <v>2149</v>
      </c>
      <c r="CV483" t="s">
        <v>2150</v>
      </c>
      <c r="CW483">
        <v>365</v>
      </c>
    </row>
    <row r="484" spans="1:101" x14ac:dyDescent="0.2">
      <c r="A484" s="8" t="s">
        <v>106</v>
      </c>
      <c r="B484" s="46">
        <v>45189</v>
      </c>
      <c r="C484" s="8" t="s">
        <v>2159</v>
      </c>
      <c r="D484" s="8" t="s">
        <v>108</v>
      </c>
      <c r="E484" s="8" t="s">
        <v>2160</v>
      </c>
      <c r="F484" t="s">
        <v>110</v>
      </c>
      <c r="G484" s="8" t="s">
        <v>111</v>
      </c>
      <c r="H484" s="8" t="s">
        <v>112</v>
      </c>
      <c r="I484" s="8" t="s">
        <v>112</v>
      </c>
      <c r="J484" s="8" t="s">
        <v>112</v>
      </c>
      <c r="K484" s="8" t="s">
        <v>2161</v>
      </c>
      <c r="L484" s="8" t="s">
        <v>2162</v>
      </c>
      <c r="M484" s="8" t="s">
        <v>112</v>
      </c>
      <c r="N484" s="8" t="s">
        <v>112</v>
      </c>
      <c r="O484">
        <v>2</v>
      </c>
      <c r="P484">
        <v>0</v>
      </c>
      <c r="Q484">
        <v>2</v>
      </c>
      <c r="R484">
        <v>127</v>
      </c>
      <c r="S484" s="8" t="s">
        <v>2136</v>
      </c>
      <c r="T484" s="8" t="s">
        <v>2137</v>
      </c>
      <c r="U484" s="8" t="s">
        <v>2141</v>
      </c>
      <c r="V484" s="8" t="s">
        <v>2139</v>
      </c>
      <c r="W484" s="8" t="s">
        <v>119</v>
      </c>
      <c r="X484" s="8" t="s">
        <v>2140</v>
      </c>
      <c r="Y484" s="8" t="s">
        <v>2136</v>
      </c>
      <c r="Z484" s="8" t="s">
        <v>2137</v>
      </c>
      <c r="AA484" s="8" t="s">
        <v>2141</v>
      </c>
      <c r="AB484" s="8" t="s">
        <v>2139</v>
      </c>
      <c r="AC484" s="8" t="s">
        <v>119</v>
      </c>
      <c r="AD484" s="8" t="s">
        <v>2140</v>
      </c>
      <c r="AE484" s="8" t="s">
        <v>2163</v>
      </c>
      <c r="AF484" s="8" t="s">
        <v>2164</v>
      </c>
      <c r="AG484">
        <v>10374270.17</v>
      </c>
      <c r="AH484" s="8" t="s">
        <v>2136</v>
      </c>
      <c r="AI484" s="8" t="s">
        <v>2137</v>
      </c>
      <c r="AJ484" s="8" t="s">
        <v>2141</v>
      </c>
      <c r="AK484" s="8" t="s">
        <v>2139</v>
      </c>
      <c r="AL484" s="8" t="s">
        <v>119</v>
      </c>
      <c r="AM484" s="8" t="s">
        <v>2140</v>
      </c>
      <c r="AN484" s="8" t="s">
        <v>2163</v>
      </c>
      <c r="AO484" s="8" t="s">
        <v>2164</v>
      </c>
      <c r="AP484" s="8" t="s">
        <v>2164</v>
      </c>
      <c r="AQ484" s="8" t="s">
        <v>124</v>
      </c>
      <c r="AR484" s="8" t="s">
        <v>125</v>
      </c>
      <c r="AS484">
        <v>2</v>
      </c>
      <c r="AT484" s="8" t="s">
        <v>126</v>
      </c>
      <c r="AU484" s="8" t="s">
        <v>127</v>
      </c>
      <c r="AV484" s="8" t="s">
        <v>2165</v>
      </c>
      <c r="AW484">
        <v>1</v>
      </c>
      <c r="AX484" s="8" t="s">
        <v>129</v>
      </c>
      <c r="AY484">
        <v>144843.47</v>
      </c>
      <c r="AZ484">
        <v>9914101</v>
      </c>
      <c r="BA484">
        <v>161337.92000000001</v>
      </c>
      <c r="BB484">
        <v>68.447000000000003</v>
      </c>
      <c r="BC484" s="8" t="s">
        <v>130</v>
      </c>
      <c r="BD484" s="8" t="s">
        <v>131</v>
      </c>
      <c r="BE484" s="8" t="s">
        <v>2166</v>
      </c>
      <c r="BF484" s="8" t="s">
        <v>133</v>
      </c>
      <c r="BG484" s="8" t="s">
        <v>134</v>
      </c>
      <c r="BH484" s="8" t="s">
        <v>112</v>
      </c>
      <c r="BI484" s="8" t="s">
        <v>2167</v>
      </c>
      <c r="BJ484" s="8" t="s">
        <v>112</v>
      </c>
      <c r="BK484" s="8" t="s">
        <v>2168</v>
      </c>
      <c r="BL484" s="8" t="s">
        <v>2169</v>
      </c>
      <c r="BM484" s="8" t="s">
        <v>2170</v>
      </c>
      <c r="BN484" s="8" t="s">
        <v>2171</v>
      </c>
      <c r="BO484">
        <v>1</v>
      </c>
      <c r="BP484" s="8" t="s">
        <v>2172</v>
      </c>
      <c r="BR484" s="8" t="s">
        <v>2161</v>
      </c>
      <c r="BS484">
        <v>96</v>
      </c>
      <c r="BT484">
        <v>0</v>
      </c>
      <c r="BU484">
        <v>416</v>
      </c>
      <c r="BV484" t="s">
        <v>2147</v>
      </c>
      <c r="BW484">
        <v>0</v>
      </c>
      <c r="BY484" s="8" t="s">
        <v>106</v>
      </c>
      <c r="BZ484" s="8" t="s">
        <v>2148</v>
      </c>
      <c r="CA484" s="8" t="s">
        <v>112</v>
      </c>
      <c r="CB484" s="8" t="s">
        <v>112</v>
      </c>
      <c r="CC484" s="8" t="s">
        <v>2163</v>
      </c>
      <c r="CD484">
        <v>16118</v>
      </c>
      <c r="CE484" t="s">
        <v>144</v>
      </c>
      <c r="CF484">
        <v>4000000</v>
      </c>
      <c r="CG484">
        <v>16062</v>
      </c>
      <c r="CH484">
        <v>0</v>
      </c>
      <c r="CI484" s="8" t="s">
        <v>112</v>
      </c>
      <c r="CJ484" s="8" t="s">
        <v>112</v>
      </c>
      <c r="CK484">
        <v>143725.92000000001</v>
      </c>
      <c r="CL484">
        <v>9837608</v>
      </c>
      <c r="CM484">
        <v>0</v>
      </c>
      <c r="CN484">
        <v>1</v>
      </c>
      <c r="CO484">
        <v>10294875.08</v>
      </c>
      <c r="CP484">
        <v>160103.19</v>
      </c>
      <c r="CQ484" s="8" t="s">
        <v>145</v>
      </c>
      <c r="CR484">
        <v>9.9678000000000004</v>
      </c>
      <c r="CS484">
        <v>1053</v>
      </c>
      <c r="CT484" t="s">
        <v>2149</v>
      </c>
      <c r="CV484" t="s">
        <v>2150</v>
      </c>
      <c r="CW484">
        <v>0</v>
      </c>
    </row>
    <row r="485" spans="1:101" x14ac:dyDescent="0.2">
      <c r="A485" t="s">
        <v>106</v>
      </c>
      <c r="B485" s="46">
        <v>45235</v>
      </c>
      <c r="C485" t="s">
        <v>1399</v>
      </c>
      <c r="D485" t="s">
        <v>108</v>
      </c>
      <c r="E485" t="s">
        <v>1400</v>
      </c>
      <c r="F485" t="s">
        <v>110</v>
      </c>
      <c r="G485" t="s">
        <v>111</v>
      </c>
      <c r="H485" t="s">
        <v>112</v>
      </c>
      <c r="I485" t="s">
        <v>112</v>
      </c>
      <c r="J485" t="s">
        <v>112</v>
      </c>
      <c r="K485" t="s">
        <v>150</v>
      </c>
      <c r="L485" t="s">
        <v>151</v>
      </c>
      <c r="M485" t="s">
        <v>112</v>
      </c>
      <c r="N485" t="s">
        <v>112</v>
      </c>
      <c r="O485">
        <v>1</v>
      </c>
      <c r="Q485">
        <v>1</v>
      </c>
      <c r="R485">
        <v>33</v>
      </c>
      <c r="S485" t="s">
        <v>112</v>
      </c>
      <c r="T485" t="s">
        <v>152</v>
      </c>
      <c r="U485" t="s">
        <v>153</v>
      </c>
      <c r="V485" t="s">
        <v>154</v>
      </c>
      <c r="W485" t="s">
        <v>119</v>
      </c>
      <c r="X485" t="s">
        <v>112</v>
      </c>
      <c r="Y485" t="s">
        <v>112</v>
      </c>
      <c r="Z485" t="s">
        <v>152</v>
      </c>
      <c r="AA485" t="s">
        <v>153</v>
      </c>
      <c r="AB485" t="s">
        <v>154</v>
      </c>
      <c r="AC485" t="s">
        <v>119</v>
      </c>
      <c r="AD485" t="s">
        <v>112</v>
      </c>
      <c r="AE485" t="s">
        <v>121</v>
      </c>
      <c r="AF485" t="s">
        <v>122</v>
      </c>
      <c r="AG485">
        <v>5262376.79</v>
      </c>
      <c r="AH485" t="s">
        <v>112</v>
      </c>
      <c r="AI485" t="s">
        <v>152</v>
      </c>
      <c r="AJ485" t="s">
        <v>153</v>
      </c>
      <c r="AK485" t="s">
        <v>154</v>
      </c>
      <c r="AL485" t="s">
        <v>119</v>
      </c>
      <c r="AM485" t="s">
        <v>112</v>
      </c>
      <c r="AN485" t="s">
        <v>121</v>
      </c>
      <c r="AO485" t="s">
        <v>122</v>
      </c>
      <c r="AP485" t="s">
        <v>122</v>
      </c>
      <c r="AQ485" t="s">
        <v>124</v>
      </c>
      <c r="AR485" t="s">
        <v>125</v>
      </c>
      <c r="AS485">
        <v>2</v>
      </c>
      <c r="AT485" t="s">
        <v>126</v>
      </c>
      <c r="AU485" t="s">
        <v>155</v>
      </c>
      <c r="AV485" t="s">
        <v>156</v>
      </c>
      <c r="AX485" t="s">
        <v>129</v>
      </c>
      <c r="AY485">
        <v>49656.800000000003</v>
      </c>
      <c r="BB485">
        <v>97.133399999999995</v>
      </c>
      <c r="BC485" t="s">
        <v>112</v>
      </c>
      <c r="BD485" t="s">
        <v>112</v>
      </c>
      <c r="BE485" t="s">
        <v>157</v>
      </c>
      <c r="BF485" t="s">
        <v>133</v>
      </c>
      <c r="BG485" t="s">
        <v>134</v>
      </c>
      <c r="BH485" t="s">
        <v>112</v>
      </c>
      <c r="BI485" t="s">
        <v>112</v>
      </c>
      <c r="BJ485" t="s">
        <v>112</v>
      </c>
      <c r="BK485" t="s">
        <v>158</v>
      </c>
      <c r="BL485" t="s">
        <v>159</v>
      </c>
      <c r="BM485" t="s">
        <v>212</v>
      </c>
      <c r="BN485" t="s">
        <v>161</v>
      </c>
      <c r="BP485" t="s">
        <v>205</v>
      </c>
      <c r="BR485" t="s">
        <v>150</v>
      </c>
      <c r="BS485">
        <v>33</v>
      </c>
      <c r="BT485">
        <v>0</v>
      </c>
      <c r="BU485">
        <v>0</v>
      </c>
      <c r="BW485">
        <v>0</v>
      </c>
      <c r="BY485" t="s">
        <v>106</v>
      </c>
      <c r="BZ485" t="s">
        <v>142</v>
      </c>
      <c r="CA485" t="s">
        <v>112</v>
      </c>
      <c r="CB485" t="s">
        <v>112</v>
      </c>
      <c r="CC485" t="s">
        <v>121</v>
      </c>
      <c r="CD485">
        <v>16557.66</v>
      </c>
      <c r="CE485" t="s">
        <v>144</v>
      </c>
      <c r="CF485">
        <v>4000000</v>
      </c>
      <c r="CG485">
        <v>16539.66</v>
      </c>
      <c r="CH485">
        <v>0</v>
      </c>
      <c r="CI485" t="s">
        <v>112</v>
      </c>
      <c r="CJ485" t="s">
        <v>112</v>
      </c>
      <c r="CK485">
        <v>49656.800000000003</v>
      </c>
      <c r="CM485">
        <v>0</v>
      </c>
      <c r="CN485">
        <v>1</v>
      </c>
      <c r="CO485">
        <v>5262376.79</v>
      </c>
      <c r="CP485">
        <v>58826.1</v>
      </c>
      <c r="CQ485" t="s">
        <v>145</v>
      </c>
      <c r="CR485">
        <v>58881.189599999998</v>
      </c>
      <c r="CS485">
        <v>3.56</v>
      </c>
      <c r="CT485">
        <v>45</v>
      </c>
      <c r="CV485" t="s">
        <v>729</v>
      </c>
      <c r="CW485">
        <v>330</v>
      </c>
    </row>
    <row r="486" spans="1:101" x14ac:dyDescent="0.2">
      <c r="A486" t="s">
        <v>106</v>
      </c>
      <c r="B486" s="46">
        <v>45128</v>
      </c>
      <c r="C486" t="s">
        <v>1432</v>
      </c>
      <c r="D486" t="s">
        <v>108</v>
      </c>
      <c r="E486" t="s">
        <v>1433</v>
      </c>
      <c r="F486" t="s">
        <v>110</v>
      </c>
      <c r="G486" t="s">
        <v>111</v>
      </c>
      <c r="H486" t="s">
        <v>112</v>
      </c>
      <c r="I486" t="s">
        <v>112</v>
      </c>
      <c r="J486" t="s">
        <v>112</v>
      </c>
      <c r="K486" t="s">
        <v>150</v>
      </c>
      <c r="L486" t="s">
        <v>151</v>
      </c>
      <c r="M486" t="s">
        <v>112</v>
      </c>
      <c r="N486" t="s">
        <v>112</v>
      </c>
      <c r="O486">
        <v>1</v>
      </c>
      <c r="Q486">
        <v>1</v>
      </c>
      <c r="R486">
        <v>33</v>
      </c>
      <c r="S486" t="s">
        <v>112</v>
      </c>
      <c r="T486" t="s">
        <v>152</v>
      </c>
      <c r="U486" t="s">
        <v>153</v>
      </c>
      <c r="V486" t="s">
        <v>154</v>
      </c>
      <c r="W486" t="s">
        <v>119</v>
      </c>
      <c r="X486" t="s">
        <v>112</v>
      </c>
      <c r="Y486" t="s">
        <v>112</v>
      </c>
      <c r="Z486" t="s">
        <v>152</v>
      </c>
      <c r="AA486" t="s">
        <v>153</v>
      </c>
      <c r="AB486" t="s">
        <v>154</v>
      </c>
      <c r="AC486" t="s">
        <v>119</v>
      </c>
      <c r="AD486" t="s">
        <v>112</v>
      </c>
      <c r="AE486" t="s">
        <v>121</v>
      </c>
      <c r="AF486" t="s">
        <v>122</v>
      </c>
      <c r="AG486">
        <v>4487776.78</v>
      </c>
      <c r="AH486" t="s">
        <v>112</v>
      </c>
      <c r="AI486" t="s">
        <v>152</v>
      </c>
      <c r="AJ486" t="s">
        <v>153</v>
      </c>
      <c r="AK486" t="s">
        <v>154</v>
      </c>
      <c r="AL486" t="s">
        <v>119</v>
      </c>
      <c r="AM486" t="s">
        <v>112</v>
      </c>
      <c r="AN486" t="s">
        <v>121</v>
      </c>
      <c r="AO486" t="s">
        <v>122</v>
      </c>
      <c r="AP486" t="s">
        <v>122</v>
      </c>
      <c r="AQ486" t="s">
        <v>124</v>
      </c>
      <c r="AR486" t="s">
        <v>125</v>
      </c>
      <c r="AS486">
        <v>2</v>
      </c>
      <c r="AT486" t="s">
        <v>126</v>
      </c>
      <c r="AU486" t="s">
        <v>155</v>
      </c>
      <c r="AV486" t="s">
        <v>156</v>
      </c>
      <c r="AX486" t="s">
        <v>129</v>
      </c>
      <c r="AY486">
        <v>42212.2</v>
      </c>
      <c r="BB486">
        <v>97.133399999999995</v>
      </c>
      <c r="BC486" t="s">
        <v>112</v>
      </c>
      <c r="BD486" t="s">
        <v>112</v>
      </c>
      <c r="BE486" t="s">
        <v>157</v>
      </c>
      <c r="BF486" t="s">
        <v>133</v>
      </c>
      <c r="BG486" t="s">
        <v>134</v>
      </c>
      <c r="BH486" t="s">
        <v>112</v>
      </c>
      <c r="BI486" t="s">
        <v>112</v>
      </c>
      <c r="BJ486" t="s">
        <v>112</v>
      </c>
      <c r="BK486" t="s">
        <v>158</v>
      </c>
      <c r="BL486" t="s">
        <v>159</v>
      </c>
      <c r="BM486" t="s">
        <v>212</v>
      </c>
      <c r="BN486" t="s">
        <v>161</v>
      </c>
      <c r="BP486" t="s">
        <v>466</v>
      </c>
      <c r="BR486" t="s">
        <v>150</v>
      </c>
      <c r="BS486">
        <v>33</v>
      </c>
      <c r="BT486">
        <v>0</v>
      </c>
      <c r="BU486">
        <v>0</v>
      </c>
      <c r="BW486">
        <v>0</v>
      </c>
      <c r="BY486" t="s">
        <v>106</v>
      </c>
      <c r="BZ486" t="s">
        <v>142</v>
      </c>
      <c r="CA486" t="s">
        <v>112</v>
      </c>
      <c r="CB486" t="s">
        <v>112</v>
      </c>
      <c r="CC486" t="s">
        <v>121</v>
      </c>
      <c r="CD486">
        <v>16464.45</v>
      </c>
      <c r="CE486" t="s">
        <v>144</v>
      </c>
      <c r="CF486">
        <v>4000000</v>
      </c>
      <c r="CG486">
        <v>16425.45</v>
      </c>
      <c r="CH486">
        <v>0</v>
      </c>
      <c r="CI486" t="s">
        <v>112</v>
      </c>
      <c r="CJ486" t="s">
        <v>112</v>
      </c>
      <c r="CK486">
        <v>42212.2</v>
      </c>
      <c r="CM486">
        <v>0</v>
      </c>
      <c r="CN486">
        <v>1</v>
      </c>
      <c r="CO486">
        <v>4487776.78</v>
      </c>
      <c r="CP486">
        <v>50167.14</v>
      </c>
      <c r="CQ486" t="s">
        <v>145</v>
      </c>
      <c r="CR486">
        <v>50097.622499999998</v>
      </c>
      <c r="CS486">
        <v>3.05</v>
      </c>
      <c r="CT486">
        <v>45</v>
      </c>
      <c r="CV486" t="s">
        <v>729</v>
      </c>
      <c r="CW486">
        <v>112</v>
      </c>
    </row>
    <row r="487" spans="1:101" x14ac:dyDescent="0.2">
      <c r="A487" t="s">
        <v>106</v>
      </c>
      <c r="B487" s="46">
        <v>44940</v>
      </c>
      <c r="C487" t="s">
        <v>1450</v>
      </c>
      <c r="D487" t="s">
        <v>108</v>
      </c>
      <c r="E487" t="s">
        <v>1451</v>
      </c>
      <c r="F487" t="s">
        <v>110</v>
      </c>
      <c r="G487" t="s">
        <v>111</v>
      </c>
      <c r="H487" t="s">
        <v>112</v>
      </c>
      <c r="I487" t="s">
        <v>112</v>
      </c>
      <c r="J487" t="s">
        <v>112</v>
      </c>
      <c r="K487" t="s">
        <v>150</v>
      </c>
      <c r="L487" t="s">
        <v>151</v>
      </c>
      <c r="M487" t="s">
        <v>112</v>
      </c>
      <c r="N487" t="s">
        <v>112</v>
      </c>
      <c r="O487">
        <v>1</v>
      </c>
      <c r="Q487">
        <v>1</v>
      </c>
      <c r="R487">
        <v>33</v>
      </c>
      <c r="S487" t="s">
        <v>112</v>
      </c>
      <c r="T487" t="s">
        <v>152</v>
      </c>
      <c r="U487" t="s">
        <v>153</v>
      </c>
      <c r="V487" t="s">
        <v>154</v>
      </c>
      <c r="W487" t="s">
        <v>119</v>
      </c>
      <c r="X487" t="s">
        <v>112</v>
      </c>
      <c r="Y487" t="s">
        <v>112</v>
      </c>
      <c r="Z487" t="s">
        <v>152</v>
      </c>
      <c r="AA487" t="s">
        <v>153</v>
      </c>
      <c r="AB487" t="s">
        <v>154</v>
      </c>
      <c r="AC487" t="s">
        <v>119</v>
      </c>
      <c r="AD487" t="s">
        <v>112</v>
      </c>
      <c r="AE487" t="s">
        <v>121</v>
      </c>
      <c r="AF487" t="s">
        <v>122</v>
      </c>
      <c r="AG487">
        <v>4655895.2699999996</v>
      </c>
      <c r="AH487" t="s">
        <v>112</v>
      </c>
      <c r="AI487" t="s">
        <v>152</v>
      </c>
      <c r="AJ487" t="s">
        <v>153</v>
      </c>
      <c r="AK487" t="s">
        <v>154</v>
      </c>
      <c r="AL487" t="s">
        <v>119</v>
      </c>
      <c r="AM487" t="s">
        <v>112</v>
      </c>
      <c r="AN487" t="s">
        <v>121</v>
      </c>
      <c r="AO487" t="s">
        <v>122</v>
      </c>
      <c r="AP487" t="s">
        <v>122</v>
      </c>
      <c r="AQ487" t="s">
        <v>124</v>
      </c>
      <c r="AR487" t="s">
        <v>125</v>
      </c>
      <c r="AS487">
        <v>2</v>
      </c>
      <c r="AT487" t="s">
        <v>126</v>
      </c>
      <c r="AU487" t="s">
        <v>155</v>
      </c>
      <c r="AV487" t="s">
        <v>156</v>
      </c>
      <c r="AX487" t="s">
        <v>129</v>
      </c>
      <c r="AY487">
        <v>43943</v>
      </c>
      <c r="BB487">
        <v>97.133399999999995</v>
      </c>
      <c r="BC487" t="s">
        <v>112</v>
      </c>
      <c r="BD487" t="s">
        <v>112</v>
      </c>
      <c r="BE487" t="s">
        <v>157</v>
      </c>
      <c r="BF487" t="s">
        <v>133</v>
      </c>
      <c r="BG487" t="s">
        <v>134</v>
      </c>
      <c r="BH487" t="s">
        <v>112</v>
      </c>
      <c r="BI487" t="s">
        <v>112</v>
      </c>
      <c r="BJ487" t="s">
        <v>112</v>
      </c>
      <c r="BK487" t="s">
        <v>158</v>
      </c>
      <c r="BL487" t="s">
        <v>159</v>
      </c>
      <c r="BM487" t="s">
        <v>212</v>
      </c>
      <c r="BN487" t="s">
        <v>161</v>
      </c>
      <c r="BP487" t="s">
        <v>232</v>
      </c>
      <c r="BR487" t="s">
        <v>150</v>
      </c>
      <c r="BS487">
        <v>33</v>
      </c>
      <c r="BT487">
        <v>0</v>
      </c>
      <c r="BU487">
        <v>0</v>
      </c>
      <c r="BW487">
        <v>0</v>
      </c>
      <c r="BY487" t="s">
        <v>106</v>
      </c>
      <c r="BZ487" t="s">
        <v>142</v>
      </c>
      <c r="CA487" t="s">
        <v>112</v>
      </c>
      <c r="CB487" t="s">
        <v>112</v>
      </c>
      <c r="CC487" t="s">
        <v>121</v>
      </c>
      <c r="CD487">
        <v>17205.54</v>
      </c>
      <c r="CE487" t="s">
        <v>144</v>
      </c>
      <c r="CF487">
        <v>4000000</v>
      </c>
      <c r="CG487">
        <v>17205.54</v>
      </c>
      <c r="CH487">
        <v>0</v>
      </c>
      <c r="CI487" t="s">
        <v>112</v>
      </c>
      <c r="CJ487" t="s">
        <v>112</v>
      </c>
      <c r="CK487">
        <v>43943</v>
      </c>
      <c r="CM487">
        <v>0</v>
      </c>
      <c r="CN487">
        <v>1</v>
      </c>
      <c r="CO487">
        <v>4655895.2699999996</v>
      </c>
      <c r="CP487">
        <v>52046.47</v>
      </c>
      <c r="CQ487" t="s">
        <v>145</v>
      </c>
      <c r="CR487">
        <v>51960.730800000005</v>
      </c>
      <c r="CS487">
        <v>3.02</v>
      </c>
      <c r="CT487">
        <v>45</v>
      </c>
      <c r="CV487" t="s">
        <v>1140</v>
      </c>
      <c r="CW487">
        <v>353</v>
      </c>
    </row>
    <row r="488" spans="1:101" x14ac:dyDescent="0.2">
      <c r="A488" t="s">
        <v>106</v>
      </c>
      <c r="B488" s="46">
        <v>45000</v>
      </c>
      <c r="C488" t="s">
        <v>1481</v>
      </c>
      <c r="D488" t="s">
        <v>108</v>
      </c>
      <c r="E488" t="s">
        <v>1482</v>
      </c>
      <c r="F488" t="s">
        <v>110</v>
      </c>
      <c r="G488" t="s">
        <v>111</v>
      </c>
      <c r="H488" t="s">
        <v>112</v>
      </c>
      <c r="I488" t="s">
        <v>112</v>
      </c>
      <c r="J488" t="s">
        <v>112</v>
      </c>
      <c r="K488" t="s">
        <v>150</v>
      </c>
      <c r="L488" t="s">
        <v>151</v>
      </c>
      <c r="M488" t="s">
        <v>112</v>
      </c>
      <c r="N488" t="s">
        <v>112</v>
      </c>
      <c r="O488">
        <v>1</v>
      </c>
      <c r="Q488">
        <v>1</v>
      </c>
      <c r="R488">
        <v>33</v>
      </c>
      <c r="S488" t="s">
        <v>112</v>
      </c>
      <c r="T488" t="s">
        <v>152</v>
      </c>
      <c r="U488" t="s">
        <v>153</v>
      </c>
      <c r="V488" t="s">
        <v>154</v>
      </c>
      <c r="W488" t="s">
        <v>119</v>
      </c>
      <c r="X488" t="s">
        <v>112</v>
      </c>
      <c r="Y488" t="s">
        <v>112</v>
      </c>
      <c r="Z488" t="s">
        <v>152</v>
      </c>
      <c r="AA488" t="s">
        <v>153</v>
      </c>
      <c r="AB488" t="s">
        <v>154</v>
      </c>
      <c r="AC488" t="s">
        <v>119</v>
      </c>
      <c r="AD488" t="s">
        <v>112</v>
      </c>
      <c r="AE488" t="s">
        <v>121</v>
      </c>
      <c r="AF488" t="s">
        <v>122</v>
      </c>
      <c r="AG488">
        <v>5201784.97</v>
      </c>
      <c r="AH488" t="s">
        <v>112</v>
      </c>
      <c r="AI488" t="s">
        <v>152</v>
      </c>
      <c r="AJ488" t="s">
        <v>153</v>
      </c>
      <c r="AK488" t="s">
        <v>154</v>
      </c>
      <c r="AL488" t="s">
        <v>119</v>
      </c>
      <c r="AM488" t="s">
        <v>112</v>
      </c>
      <c r="AN488" t="s">
        <v>121</v>
      </c>
      <c r="AO488" t="s">
        <v>122</v>
      </c>
      <c r="AP488" t="s">
        <v>122</v>
      </c>
      <c r="AQ488" t="s">
        <v>124</v>
      </c>
      <c r="AR488" t="s">
        <v>125</v>
      </c>
      <c r="AS488">
        <v>2</v>
      </c>
      <c r="AT488" t="s">
        <v>126</v>
      </c>
      <c r="AU488" t="s">
        <v>155</v>
      </c>
      <c r="AV488" t="s">
        <v>156</v>
      </c>
      <c r="AX488" t="s">
        <v>129</v>
      </c>
      <c r="AY488">
        <v>49563</v>
      </c>
      <c r="BB488">
        <v>97.133399999999995</v>
      </c>
      <c r="BC488" t="s">
        <v>112</v>
      </c>
      <c r="BD488" t="s">
        <v>112</v>
      </c>
      <c r="BE488" t="s">
        <v>157</v>
      </c>
      <c r="BF488" t="s">
        <v>133</v>
      </c>
      <c r="BG488" t="s">
        <v>134</v>
      </c>
      <c r="BH488" t="s">
        <v>112</v>
      </c>
      <c r="BI488" t="s">
        <v>112</v>
      </c>
      <c r="BJ488" t="s">
        <v>112</v>
      </c>
      <c r="BK488" t="s">
        <v>158</v>
      </c>
      <c r="BL488" t="s">
        <v>159</v>
      </c>
      <c r="BM488" t="s">
        <v>212</v>
      </c>
      <c r="BN488" t="s">
        <v>161</v>
      </c>
      <c r="BP488" t="s">
        <v>232</v>
      </c>
      <c r="BR488" t="s">
        <v>150</v>
      </c>
      <c r="BS488">
        <v>33</v>
      </c>
      <c r="BT488">
        <v>0</v>
      </c>
      <c r="BU488">
        <v>0</v>
      </c>
      <c r="BW488">
        <v>0</v>
      </c>
      <c r="BY488" t="s">
        <v>106</v>
      </c>
      <c r="BZ488" t="s">
        <v>142</v>
      </c>
      <c r="CA488" t="s">
        <v>112</v>
      </c>
      <c r="CB488" t="s">
        <v>112</v>
      </c>
      <c r="CC488" t="s">
        <v>121</v>
      </c>
      <c r="CD488">
        <v>17730.900000000001</v>
      </c>
      <c r="CE488" t="s">
        <v>144</v>
      </c>
      <c r="CF488">
        <v>4000000</v>
      </c>
      <c r="CG488">
        <v>17676.900000000001</v>
      </c>
      <c r="CH488">
        <v>0</v>
      </c>
      <c r="CI488" t="s">
        <v>112</v>
      </c>
      <c r="CJ488" t="s">
        <v>112</v>
      </c>
      <c r="CK488">
        <v>49563</v>
      </c>
      <c r="CM488">
        <v>0</v>
      </c>
      <c r="CN488">
        <v>1</v>
      </c>
      <c r="CO488">
        <v>5201784.97</v>
      </c>
      <c r="CP488">
        <v>58148.76</v>
      </c>
      <c r="CQ488" t="s">
        <v>145</v>
      </c>
      <c r="CR488">
        <v>58157.001000000004</v>
      </c>
      <c r="CS488">
        <v>3.29</v>
      </c>
      <c r="CT488">
        <v>45</v>
      </c>
      <c r="CV488" t="s">
        <v>233</v>
      </c>
      <c r="CW488">
        <v>300</v>
      </c>
    </row>
    <row r="489" spans="1:101" x14ac:dyDescent="0.2">
      <c r="A489" t="s">
        <v>106</v>
      </c>
      <c r="B489" s="46">
        <v>45272</v>
      </c>
      <c r="C489" t="s">
        <v>1465</v>
      </c>
      <c r="D489" t="s">
        <v>108</v>
      </c>
      <c r="E489" t="s">
        <v>1466</v>
      </c>
      <c r="F489" t="s">
        <v>110</v>
      </c>
      <c r="G489" t="s">
        <v>111</v>
      </c>
      <c r="H489" t="s">
        <v>112</v>
      </c>
      <c r="I489" t="s">
        <v>112</v>
      </c>
      <c r="J489" t="s">
        <v>112</v>
      </c>
      <c r="K489" t="s">
        <v>150</v>
      </c>
      <c r="L489" t="s">
        <v>151</v>
      </c>
      <c r="M489" t="s">
        <v>112</v>
      </c>
      <c r="N489" t="s">
        <v>112</v>
      </c>
      <c r="O489">
        <v>1</v>
      </c>
      <c r="Q489">
        <v>1</v>
      </c>
      <c r="R489">
        <v>33</v>
      </c>
      <c r="S489" t="s">
        <v>112</v>
      </c>
      <c r="T489" t="s">
        <v>152</v>
      </c>
      <c r="U489" t="s">
        <v>153</v>
      </c>
      <c r="V489" t="s">
        <v>154</v>
      </c>
      <c r="W489" t="s">
        <v>119</v>
      </c>
      <c r="X489" t="s">
        <v>112</v>
      </c>
      <c r="Y489" t="s">
        <v>112</v>
      </c>
      <c r="Z489" t="s">
        <v>152</v>
      </c>
      <c r="AA489" t="s">
        <v>153</v>
      </c>
      <c r="AB489" t="s">
        <v>154</v>
      </c>
      <c r="AC489" t="s">
        <v>119</v>
      </c>
      <c r="AD489" t="s">
        <v>112</v>
      </c>
      <c r="AE489" t="s">
        <v>121</v>
      </c>
      <c r="AF489" t="s">
        <v>122</v>
      </c>
      <c r="AG489">
        <v>4010439.94</v>
      </c>
      <c r="AH489" t="s">
        <v>112</v>
      </c>
      <c r="AI489" t="s">
        <v>152</v>
      </c>
      <c r="AJ489" t="s">
        <v>153</v>
      </c>
      <c r="AK489" t="s">
        <v>154</v>
      </c>
      <c r="AL489" t="s">
        <v>119</v>
      </c>
      <c r="AM489" t="s">
        <v>112</v>
      </c>
      <c r="AN489" t="s">
        <v>121</v>
      </c>
      <c r="AO489" t="s">
        <v>122</v>
      </c>
      <c r="AP489" t="s">
        <v>122</v>
      </c>
      <c r="AQ489" t="s">
        <v>124</v>
      </c>
      <c r="AR489" t="s">
        <v>125</v>
      </c>
      <c r="AS489">
        <v>2</v>
      </c>
      <c r="AT489" t="s">
        <v>126</v>
      </c>
      <c r="AU489" t="s">
        <v>155</v>
      </c>
      <c r="AV489" t="s">
        <v>156</v>
      </c>
      <c r="AX489" t="s">
        <v>129</v>
      </c>
      <c r="AY489">
        <v>37297.96</v>
      </c>
      <c r="BB489">
        <v>97.133399999999995</v>
      </c>
      <c r="BC489" t="s">
        <v>112</v>
      </c>
      <c r="BD489" t="s">
        <v>112</v>
      </c>
      <c r="BE489" t="s">
        <v>157</v>
      </c>
      <c r="BF489" t="s">
        <v>133</v>
      </c>
      <c r="BG489" t="s">
        <v>134</v>
      </c>
      <c r="BH489" t="s">
        <v>112</v>
      </c>
      <c r="BI489" t="s">
        <v>112</v>
      </c>
      <c r="BJ489" t="s">
        <v>112</v>
      </c>
      <c r="BK489" t="s">
        <v>158</v>
      </c>
      <c r="BL489" t="s">
        <v>159</v>
      </c>
      <c r="BM489" t="s">
        <v>212</v>
      </c>
      <c r="BN489" t="s">
        <v>161</v>
      </c>
      <c r="BP489" t="s">
        <v>162</v>
      </c>
      <c r="BR489" t="s">
        <v>150</v>
      </c>
      <c r="BS489">
        <v>33</v>
      </c>
      <c r="BT489">
        <v>0</v>
      </c>
      <c r="BU489">
        <v>0</v>
      </c>
      <c r="BW489">
        <v>0</v>
      </c>
      <c r="BY489" t="s">
        <v>106</v>
      </c>
      <c r="BZ489" t="s">
        <v>142</v>
      </c>
      <c r="CA489" t="s">
        <v>112</v>
      </c>
      <c r="CB489" t="s">
        <v>112</v>
      </c>
      <c r="CC489" t="s">
        <v>121</v>
      </c>
      <c r="CD489">
        <v>15931.58</v>
      </c>
      <c r="CE489" t="s">
        <v>144</v>
      </c>
      <c r="CF489">
        <v>4000000</v>
      </c>
      <c r="CG489">
        <v>15650.78</v>
      </c>
      <c r="CH489">
        <v>0</v>
      </c>
      <c r="CI489" t="s">
        <v>112</v>
      </c>
      <c r="CJ489" t="s">
        <v>112</v>
      </c>
      <c r="CK489">
        <v>37297.96</v>
      </c>
      <c r="CM489">
        <v>0</v>
      </c>
      <c r="CN489">
        <v>1</v>
      </c>
      <c r="CO489">
        <v>4010439.94</v>
      </c>
      <c r="CP489">
        <v>44831.17</v>
      </c>
      <c r="CQ489" t="s">
        <v>145</v>
      </c>
      <c r="CR489">
        <v>44761.230799999998</v>
      </c>
      <c r="CS489">
        <v>2.86</v>
      </c>
      <c r="CT489">
        <v>45</v>
      </c>
      <c r="CV489" t="s">
        <v>1140</v>
      </c>
      <c r="CW489">
        <v>36</v>
      </c>
    </row>
    <row r="490" spans="1:101" x14ac:dyDescent="0.2">
      <c r="A490" t="s">
        <v>106</v>
      </c>
      <c r="B490" s="46">
        <v>44959</v>
      </c>
      <c r="C490" t="s">
        <v>2114</v>
      </c>
      <c r="D490" t="s">
        <v>108</v>
      </c>
      <c r="E490" t="s">
        <v>2115</v>
      </c>
      <c r="F490" t="s">
        <v>110</v>
      </c>
      <c r="G490" t="s">
        <v>111</v>
      </c>
      <c r="H490" t="s">
        <v>112</v>
      </c>
      <c r="I490" t="s">
        <v>112</v>
      </c>
      <c r="J490" t="s">
        <v>112</v>
      </c>
      <c r="K490" t="s">
        <v>150</v>
      </c>
      <c r="L490" t="s">
        <v>151</v>
      </c>
      <c r="M490" t="s">
        <v>112</v>
      </c>
      <c r="N490" t="s">
        <v>112</v>
      </c>
      <c r="O490">
        <v>1</v>
      </c>
      <c r="Q490">
        <v>1</v>
      </c>
      <c r="R490">
        <v>33</v>
      </c>
      <c r="S490" t="s">
        <v>112</v>
      </c>
      <c r="T490" t="s">
        <v>152</v>
      </c>
      <c r="U490" t="s">
        <v>153</v>
      </c>
      <c r="V490" t="s">
        <v>154</v>
      </c>
      <c r="W490" t="s">
        <v>119</v>
      </c>
      <c r="X490" t="s">
        <v>112</v>
      </c>
      <c r="Y490" t="s">
        <v>112</v>
      </c>
      <c r="Z490" t="s">
        <v>152</v>
      </c>
      <c r="AA490" t="s">
        <v>153</v>
      </c>
      <c r="AB490" t="s">
        <v>154</v>
      </c>
      <c r="AC490" t="s">
        <v>119</v>
      </c>
      <c r="AD490" t="s">
        <v>112</v>
      </c>
      <c r="AE490" t="s">
        <v>121</v>
      </c>
      <c r="AF490" t="s">
        <v>122</v>
      </c>
      <c r="AG490">
        <v>4848004.1100000003</v>
      </c>
      <c r="AH490" t="s">
        <v>112</v>
      </c>
      <c r="AI490" t="s">
        <v>152</v>
      </c>
      <c r="AJ490" t="s">
        <v>153</v>
      </c>
      <c r="AK490" t="s">
        <v>154</v>
      </c>
      <c r="AL490" t="s">
        <v>119</v>
      </c>
      <c r="AM490" t="s">
        <v>112</v>
      </c>
      <c r="AN490" t="s">
        <v>121</v>
      </c>
      <c r="AO490" t="s">
        <v>122</v>
      </c>
      <c r="AP490" t="s">
        <v>122</v>
      </c>
      <c r="AQ490" t="s">
        <v>124</v>
      </c>
      <c r="AR490" t="s">
        <v>125</v>
      </c>
      <c r="AS490">
        <v>2</v>
      </c>
      <c r="AT490" t="s">
        <v>126</v>
      </c>
      <c r="AU490" t="s">
        <v>155</v>
      </c>
      <c r="AV490" t="s">
        <v>156</v>
      </c>
      <c r="AX490" t="s">
        <v>129</v>
      </c>
      <c r="AY490">
        <v>42753.48</v>
      </c>
      <c r="BB490">
        <v>102.5523</v>
      </c>
      <c r="BC490" t="s">
        <v>112</v>
      </c>
      <c r="BD490" t="s">
        <v>112</v>
      </c>
      <c r="BE490" t="s">
        <v>157</v>
      </c>
      <c r="BF490" t="s">
        <v>133</v>
      </c>
      <c r="BG490" t="s">
        <v>167</v>
      </c>
      <c r="BH490" t="s">
        <v>112</v>
      </c>
      <c r="BI490" t="s">
        <v>112</v>
      </c>
      <c r="BJ490" t="s">
        <v>112</v>
      </c>
      <c r="BK490" t="s">
        <v>158</v>
      </c>
      <c r="BL490" t="s">
        <v>159</v>
      </c>
      <c r="BM490" t="s">
        <v>160</v>
      </c>
      <c r="BN490" t="s">
        <v>161</v>
      </c>
      <c r="BP490" t="s">
        <v>205</v>
      </c>
      <c r="BR490" t="s">
        <v>150</v>
      </c>
      <c r="BS490">
        <v>33</v>
      </c>
      <c r="BT490">
        <v>0</v>
      </c>
      <c r="BU490">
        <v>0</v>
      </c>
      <c r="BW490">
        <v>0</v>
      </c>
      <c r="BY490" t="s">
        <v>106</v>
      </c>
      <c r="BZ490" t="s">
        <v>142</v>
      </c>
      <c r="CA490" t="s">
        <v>112</v>
      </c>
      <c r="CB490" t="s">
        <v>112</v>
      </c>
      <c r="CC490" t="s">
        <v>121</v>
      </c>
      <c r="CD490">
        <v>16596.02</v>
      </c>
      <c r="CE490" t="s">
        <v>144</v>
      </c>
      <c r="CF490">
        <v>4000000</v>
      </c>
      <c r="CG490">
        <v>16500.02</v>
      </c>
      <c r="CH490">
        <v>0</v>
      </c>
      <c r="CI490" t="s">
        <v>112</v>
      </c>
      <c r="CJ490" t="s">
        <v>112</v>
      </c>
      <c r="CK490">
        <v>42753.48</v>
      </c>
      <c r="CM490">
        <v>0</v>
      </c>
      <c r="CN490">
        <v>1</v>
      </c>
      <c r="CO490">
        <v>4848004.1100000003</v>
      </c>
      <c r="CP490">
        <v>49821.48</v>
      </c>
      <c r="CQ490" t="s">
        <v>145</v>
      </c>
      <c r="CR490">
        <v>49830.060400000002</v>
      </c>
      <c r="CS490">
        <v>3.02</v>
      </c>
      <c r="CT490">
        <v>45</v>
      </c>
      <c r="CV490" t="s">
        <v>729</v>
      </c>
    </row>
    <row r="491" spans="1:101" x14ac:dyDescent="0.2">
      <c r="A491" t="s">
        <v>106</v>
      </c>
      <c r="B491" s="46">
        <v>45038</v>
      </c>
      <c r="C491" t="s">
        <v>2114</v>
      </c>
      <c r="D491" t="s">
        <v>108</v>
      </c>
      <c r="E491" t="s">
        <v>2115</v>
      </c>
      <c r="F491" t="s">
        <v>110</v>
      </c>
      <c r="G491" t="s">
        <v>111</v>
      </c>
      <c r="H491" t="s">
        <v>112</v>
      </c>
      <c r="I491" t="s">
        <v>112</v>
      </c>
      <c r="J491" t="s">
        <v>112</v>
      </c>
      <c r="K491" t="s">
        <v>150</v>
      </c>
      <c r="L491" t="s">
        <v>151</v>
      </c>
      <c r="M491" t="s">
        <v>112</v>
      </c>
      <c r="N491" t="s">
        <v>112</v>
      </c>
      <c r="O491">
        <v>1</v>
      </c>
      <c r="Q491">
        <v>1</v>
      </c>
      <c r="R491">
        <v>33</v>
      </c>
      <c r="S491" t="s">
        <v>112</v>
      </c>
      <c r="T491" t="s">
        <v>152</v>
      </c>
      <c r="U491" t="s">
        <v>153</v>
      </c>
      <c r="V491" t="s">
        <v>154</v>
      </c>
      <c r="W491" t="s">
        <v>119</v>
      </c>
      <c r="X491" t="s">
        <v>112</v>
      </c>
      <c r="Y491" t="s">
        <v>112</v>
      </c>
      <c r="Z491" t="s">
        <v>152</v>
      </c>
      <c r="AA491" t="s">
        <v>153</v>
      </c>
      <c r="AB491" t="s">
        <v>154</v>
      </c>
      <c r="AC491" t="s">
        <v>119</v>
      </c>
      <c r="AD491" t="s">
        <v>112</v>
      </c>
      <c r="AE491" t="s">
        <v>121</v>
      </c>
      <c r="AF491" t="s">
        <v>122</v>
      </c>
      <c r="AG491">
        <v>4848004.1100000003</v>
      </c>
      <c r="AH491" t="s">
        <v>112</v>
      </c>
      <c r="AI491" t="s">
        <v>152</v>
      </c>
      <c r="AJ491" t="s">
        <v>153</v>
      </c>
      <c r="AK491" t="s">
        <v>154</v>
      </c>
      <c r="AL491" t="s">
        <v>119</v>
      </c>
      <c r="AM491" t="s">
        <v>112</v>
      </c>
      <c r="AN491" t="s">
        <v>121</v>
      </c>
      <c r="AO491" t="s">
        <v>122</v>
      </c>
      <c r="AP491" t="s">
        <v>122</v>
      </c>
      <c r="AQ491" t="s">
        <v>124</v>
      </c>
      <c r="AR491" t="s">
        <v>125</v>
      </c>
      <c r="AS491">
        <v>2</v>
      </c>
      <c r="AT491" t="s">
        <v>126</v>
      </c>
      <c r="AU491" t="s">
        <v>155</v>
      </c>
      <c r="AV491" t="s">
        <v>156</v>
      </c>
      <c r="AX491" t="s">
        <v>129</v>
      </c>
      <c r="AY491">
        <v>42753.48</v>
      </c>
      <c r="BB491">
        <v>102.5523</v>
      </c>
      <c r="BC491" t="s">
        <v>112</v>
      </c>
      <c r="BD491" t="s">
        <v>112</v>
      </c>
      <c r="BE491" t="s">
        <v>157</v>
      </c>
      <c r="BF491" t="s">
        <v>133</v>
      </c>
      <c r="BG491" t="s">
        <v>167</v>
      </c>
      <c r="BH491" t="s">
        <v>112</v>
      </c>
      <c r="BI491" t="s">
        <v>112</v>
      </c>
      <c r="BJ491" t="s">
        <v>112</v>
      </c>
      <c r="BK491" t="s">
        <v>158</v>
      </c>
      <c r="BL491" t="s">
        <v>159</v>
      </c>
      <c r="BM491" t="s">
        <v>160</v>
      </c>
      <c r="BN491" t="s">
        <v>161</v>
      </c>
      <c r="BP491" t="s">
        <v>205</v>
      </c>
      <c r="BR491" t="s">
        <v>150</v>
      </c>
      <c r="BS491">
        <v>33</v>
      </c>
      <c r="BT491">
        <v>0</v>
      </c>
      <c r="BU491">
        <v>0</v>
      </c>
      <c r="BW491">
        <v>0</v>
      </c>
      <c r="BY491" t="s">
        <v>106</v>
      </c>
      <c r="BZ491" t="s">
        <v>142</v>
      </c>
      <c r="CA491" t="s">
        <v>112</v>
      </c>
      <c r="CB491" t="s">
        <v>112</v>
      </c>
      <c r="CC491" t="s">
        <v>121</v>
      </c>
      <c r="CD491">
        <v>16596.02</v>
      </c>
      <c r="CE491" t="s">
        <v>144</v>
      </c>
      <c r="CF491">
        <v>4000000</v>
      </c>
      <c r="CG491">
        <v>16500.02</v>
      </c>
      <c r="CH491">
        <v>0</v>
      </c>
      <c r="CI491" t="s">
        <v>112</v>
      </c>
      <c r="CJ491" t="s">
        <v>112</v>
      </c>
      <c r="CK491">
        <v>42753.48</v>
      </c>
      <c r="CM491">
        <v>0</v>
      </c>
      <c r="CN491">
        <v>1</v>
      </c>
      <c r="CO491">
        <v>4848004.1100000003</v>
      </c>
      <c r="CP491">
        <v>49821.48</v>
      </c>
      <c r="CQ491" t="s">
        <v>145</v>
      </c>
      <c r="CR491">
        <v>49830.060400000002</v>
      </c>
      <c r="CS491">
        <v>3.02</v>
      </c>
      <c r="CT491">
        <v>45</v>
      </c>
      <c r="CV491" t="s">
        <v>729</v>
      </c>
    </row>
    <row r="492" spans="1:101" x14ac:dyDescent="0.2">
      <c r="A492" t="s">
        <v>106</v>
      </c>
      <c r="B492" s="46">
        <v>44945</v>
      </c>
      <c r="C492" t="s">
        <v>2116</v>
      </c>
      <c r="D492" t="s">
        <v>108</v>
      </c>
      <c r="E492" t="s">
        <v>2117</v>
      </c>
      <c r="F492" t="s">
        <v>110</v>
      </c>
      <c r="G492" t="s">
        <v>111</v>
      </c>
      <c r="H492" t="s">
        <v>112</v>
      </c>
      <c r="I492" t="s">
        <v>112</v>
      </c>
      <c r="J492" t="s">
        <v>112</v>
      </c>
      <c r="K492" t="s">
        <v>150</v>
      </c>
      <c r="L492" t="s">
        <v>151</v>
      </c>
      <c r="M492" t="s">
        <v>112</v>
      </c>
      <c r="N492" t="s">
        <v>112</v>
      </c>
      <c r="O492">
        <v>1</v>
      </c>
      <c r="Q492">
        <v>1</v>
      </c>
      <c r="R492">
        <v>33</v>
      </c>
      <c r="S492" t="s">
        <v>112</v>
      </c>
      <c r="T492" t="s">
        <v>152</v>
      </c>
      <c r="U492" t="s">
        <v>153</v>
      </c>
      <c r="V492" t="s">
        <v>154</v>
      </c>
      <c r="W492" t="s">
        <v>119</v>
      </c>
      <c r="X492" t="s">
        <v>112</v>
      </c>
      <c r="Y492" t="s">
        <v>112</v>
      </c>
      <c r="Z492" t="s">
        <v>152</v>
      </c>
      <c r="AA492" t="s">
        <v>153</v>
      </c>
      <c r="AB492" t="s">
        <v>154</v>
      </c>
      <c r="AC492" t="s">
        <v>119</v>
      </c>
      <c r="AD492" t="s">
        <v>112</v>
      </c>
      <c r="AE492" t="s">
        <v>121</v>
      </c>
      <c r="AF492" t="s">
        <v>122</v>
      </c>
      <c r="AG492">
        <v>5204775.3499999996</v>
      </c>
      <c r="AH492" t="s">
        <v>112</v>
      </c>
      <c r="AI492" t="s">
        <v>152</v>
      </c>
      <c r="AJ492" t="s">
        <v>153</v>
      </c>
      <c r="AK492" t="s">
        <v>154</v>
      </c>
      <c r="AL492" t="s">
        <v>119</v>
      </c>
      <c r="AM492" t="s">
        <v>112</v>
      </c>
      <c r="AN492" t="s">
        <v>121</v>
      </c>
      <c r="AO492" t="s">
        <v>122</v>
      </c>
      <c r="AP492" t="s">
        <v>122</v>
      </c>
      <c r="AQ492" t="s">
        <v>124</v>
      </c>
      <c r="AR492" t="s">
        <v>125</v>
      </c>
      <c r="AS492">
        <v>2</v>
      </c>
      <c r="AT492" t="s">
        <v>126</v>
      </c>
      <c r="AU492" t="s">
        <v>155</v>
      </c>
      <c r="AV492" t="s">
        <v>156</v>
      </c>
      <c r="AX492" t="s">
        <v>129</v>
      </c>
      <c r="AY492">
        <v>46232.4</v>
      </c>
      <c r="BB492">
        <v>102.5523</v>
      </c>
      <c r="BC492" t="s">
        <v>112</v>
      </c>
      <c r="BD492" t="s">
        <v>112</v>
      </c>
      <c r="BE492" t="s">
        <v>157</v>
      </c>
      <c r="BF492" t="s">
        <v>133</v>
      </c>
      <c r="BG492" t="s">
        <v>134</v>
      </c>
      <c r="BH492" t="s">
        <v>112</v>
      </c>
      <c r="BI492" t="s">
        <v>112</v>
      </c>
      <c r="BJ492" t="s">
        <v>112</v>
      </c>
      <c r="BK492" t="s">
        <v>158</v>
      </c>
      <c r="BL492" t="s">
        <v>159</v>
      </c>
      <c r="BM492" t="s">
        <v>212</v>
      </c>
      <c r="BN492" t="s">
        <v>161</v>
      </c>
      <c r="BP492" t="s">
        <v>162</v>
      </c>
      <c r="BR492" t="s">
        <v>150</v>
      </c>
      <c r="BS492">
        <v>33</v>
      </c>
      <c r="BT492">
        <v>0</v>
      </c>
      <c r="BU492">
        <v>0</v>
      </c>
      <c r="BW492">
        <v>0</v>
      </c>
      <c r="BY492" t="s">
        <v>106</v>
      </c>
      <c r="BZ492" t="s">
        <v>142</v>
      </c>
      <c r="CA492" t="s">
        <v>112</v>
      </c>
      <c r="CB492" t="s">
        <v>112</v>
      </c>
      <c r="CC492" t="s">
        <v>121</v>
      </c>
      <c r="CD492">
        <v>16281.47</v>
      </c>
      <c r="CE492" t="s">
        <v>144</v>
      </c>
      <c r="CF492">
        <v>4000000</v>
      </c>
      <c r="CG492">
        <v>16216.67</v>
      </c>
      <c r="CH492">
        <v>0</v>
      </c>
      <c r="CI492" t="s">
        <v>112</v>
      </c>
      <c r="CJ492" t="s">
        <v>112</v>
      </c>
      <c r="CK492">
        <v>46232.4</v>
      </c>
      <c r="CM492">
        <v>0</v>
      </c>
      <c r="CN492">
        <v>1</v>
      </c>
      <c r="CO492">
        <v>5204775.3499999996</v>
      </c>
      <c r="CP492">
        <v>53487.92</v>
      </c>
      <c r="CQ492" t="s">
        <v>145</v>
      </c>
      <c r="CR492">
        <v>53515.010999999999</v>
      </c>
      <c r="CS492">
        <v>3.3</v>
      </c>
      <c r="CT492">
        <v>45</v>
      </c>
      <c r="CV492" t="s">
        <v>163</v>
      </c>
      <c r="CW492">
        <v>599</v>
      </c>
    </row>
    <row r="493" spans="1:101" x14ac:dyDescent="0.2">
      <c r="A493" t="s">
        <v>106</v>
      </c>
      <c r="B493" s="46">
        <v>45275</v>
      </c>
      <c r="C493" t="s">
        <v>2116</v>
      </c>
      <c r="D493" t="s">
        <v>108</v>
      </c>
      <c r="E493" t="s">
        <v>2117</v>
      </c>
      <c r="F493" t="s">
        <v>110</v>
      </c>
      <c r="G493" t="s">
        <v>111</v>
      </c>
      <c r="H493" t="s">
        <v>112</v>
      </c>
      <c r="I493" t="s">
        <v>112</v>
      </c>
      <c r="J493" t="s">
        <v>112</v>
      </c>
      <c r="K493" t="s">
        <v>150</v>
      </c>
      <c r="L493" t="s">
        <v>151</v>
      </c>
      <c r="M493" t="s">
        <v>112</v>
      </c>
      <c r="N493" t="s">
        <v>112</v>
      </c>
      <c r="O493">
        <v>1</v>
      </c>
      <c r="Q493">
        <v>1</v>
      </c>
      <c r="R493">
        <v>33</v>
      </c>
      <c r="S493" t="s">
        <v>112</v>
      </c>
      <c r="T493" t="s">
        <v>152</v>
      </c>
      <c r="U493" t="s">
        <v>153</v>
      </c>
      <c r="V493" t="s">
        <v>154</v>
      </c>
      <c r="W493" t="s">
        <v>119</v>
      </c>
      <c r="X493" t="s">
        <v>112</v>
      </c>
      <c r="Y493" t="s">
        <v>112</v>
      </c>
      <c r="Z493" t="s">
        <v>152</v>
      </c>
      <c r="AA493" t="s">
        <v>153</v>
      </c>
      <c r="AB493" t="s">
        <v>154</v>
      </c>
      <c r="AC493" t="s">
        <v>119</v>
      </c>
      <c r="AD493" t="s">
        <v>112</v>
      </c>
      <c r="AE493" t="s">
        <v>121</v>
      </c>
      <c r="AF493" t="s">
        <v>122</v>
      </c>
      <c r="AG493">
        <v>5204775.3499999996</v>
      </c>
      <c r="AH493" t="s">
        <v>112</v>
      </c>
      <c r="AI493" t="s">
        <v>152</v>
      </c>
      <c r="AJ493" t="s">
        <v>153</v>
      </c>
      <c r="AK493" t="s">
        <v>154</v>
      </c>
      <c r="AL493" t="s">
        <v>119</v>
      </c>
      <c r="AM493" t="s">
        <v>112</v>
      </c>
      <c r="AN493" t="s">
        <v>121</v>
      </c>
      <c r="AO493" t="s">
        <v>122</v>
      </c>
      <c r="AP493" t="s">
        <v>122</v>
      </c>
      <c r="AQ493" t="s">
        <v>124</v>
      </c>
      <c r="AR493" t="s">
        <v>125</v>
      </c>
      <c r="AS493">
        <v>2</v>
      </c>
      <c r="AT493" t="s">
        <v>126</v>
      </c>
      <c r="AU493" t="s">
        <v>155</v>
      </c>
      <c r="AV493" t="s">
        <v>156</v>
      </c>
      <c r="AX493" t="s">
        <v>129</v>
      </c>
      <c r="AY493">
        <v>46232.4</v>
      </c>
      <c r="BB493">
        <v>102.5523</v>
      </c>
      <c r="BC493" t="s">
        <v>112</v>
      </c>
      <c r="BD493" t="s">
        <v>112</v>
      </c>
      <c r="BE493" t="s">
        <v>157</v>
      </c>
      <c r="BF493" t="s">
        <v>133</v>
      </c>
      <c r="BG493" t="s">
        <v>134</v>
      </c>
      <c r="BH493" t="s">
        <v>112</v>
      </c>
      <c r="BI493" t="s">
        <v>112</v>
      </c>
      <c r="BJ493" t="s">
        <v>112</v>
      </c>
      <c r="BK493" t="s">
        <v>158</v>
      </c>
      <c r="BL493" t="s">
        <v>159</v>
      </c>
      <c r="BM493" t="s">
        <v>212</v>
      </c>
      <c r="BN493" t="s">
        <v>161</v>
      </c>
      <c r="BP493" t="s">
        <v>162</v>
      </c>
      <c r="BR493" t="s">
        <v>150</v>
      </c>
      <c r="BS493">
        <v>33</v>
      </c>
      <c r="BT493">
        <v>0</v>
      </c>
      <c r="BU493">
        <v>0</v>
      </c>
      <c r="BW493">
        <v>0</v>
      </c>
      <c r="BY493" t="s">
        <v>106</v>
      </c>
      <c r="BZ493" t="s">
        <v>142</v>
      </c>
      <c r="CA493" t="s">
        <v>112</v>
      </c>
      <c r="CB493" t="s">
        <v>112</v>
      </c>
      <c r="CC493" t="s">
        <v>121</v>
      </c>
      <c r="CD493">
        <v>16281.47</v>
      </c>
      <c r="CE493" t="s">
        <v>144</v>
      </c>
      <c r="CF493">
        <v>4000000</v>
      </c>
      <c r="CG493">
        <v>16216.67</v>
      </c>
      <c r="CH493">
        <v>0</v>
      </c>
      <c r="CI493" t="s">
        <v>112</v>
      </c>
      <c r="CJ493" t="s">
        <v>112</v>
      </c>
      <c r="CK493">
        <v>46232.4</v>
      </c>
      <c r="CM493">
        <v>0</v>
      </c>
      <c r="CN493">
        <v>1</v>
      </c>
      <c r="CO493">
        <v>5204775.3499999996</v>
      </c>
      <c r="CP493">
        <v>53487.92</v>
      </c>
      <c r="CQ493" t="s">
        <v>145</v>
      </c>
      <c r="CR493">
        <v>53515.010999999999</v>
      </c>
      <c r="CS493">
        <v>3.3</v>
      </c>
      <c r="CT493">
        <v>45</v>
      </c>
      <c r="CV493" t="s">
        <v>163</v>
      </c>
      <c r="CW493">
        <v>599</v>
      </c>
    </row>
    <row r="494" spans="1:101" x14ac:dyDescent="0.2">
      <c r="A494" t="s">
        <v>106</v>
      </c>
      <c r="B494" s="46">
        <v>45236</v>
      </c>
      <c r="C494" t="s">
        <v>2130</v>
      </c>
      <c r="D494" t="s">
        <v>108</v>
      </c>
      <c r="E494" t="s">
        <v>2131</v>
      </c>
      <c r="F494" t="s">
        <v>110</v>
      </c>
      <c r="G494" t="s">
        <v>111</v>
      </c>
      <c r="H494" t="s">
        <v>112</v>
      </c>
      <c r="I494" t="s">
        <v>112</v>
      </c>
      <c r="J494" t="s">
        <v>112</v>
      </c>
      <c r="K494" t="s">
        <v>150</v>
      </c>
      <c r="L494" t="s">
        <v>151</v>
      </c>
      <c r="M494" t="s">
        <v>112</v>
      </c>
      <c r="N494" t="s">
        <v>112</v>
      </c>
      <c r="O494">
        <v>1</v>
      </c>
      <c r="Q494">
        <v>1</v>
      </c>
      <c r="R494">
        <v>33</v>
      </c>
      <c r="S494" t="s">
        <v>112</v>
      </c>
      <c r="T494" t="s">
        <v>152</v>
      </c>
      <c r="U494" t="s">
        <v>153</v>
      </c>
      <c r="V494" t="s">
        <v>154</v>
      </c>
      <c r="W494" t="s">
        <v>119</v>
      </c>
      <c r="X494" t="s">
        <v>112</v>
      </c>
      <c r="Y494" t="s">
        <v>112</v>
      </c>
      <c r="Z494" t="s">
        <v>152</v>
      </c>
      <c r="AA494" t="s">
        <v>153</v>
      </c>
      <c r="AB494" t="s">
        <v>154</v>
      </c>
      <c r="AC494" t="s">
        <v>119</v>
      </c>
      <c r="AD494" t="s">
        <v>112</v>
      </c>
      <c r="AE494" t="s">
        <v>121</v>
      </c>
      <c r="AF494" t="s">
        <v>122</v>
      </c>
      <c r="AG494">
        <v>5011700.1399999997</v>
      </c>
      <c r="AH494" t="s">
        <v>112</v>
      </c>
      <c r="AI494" t="s">
        <v>152</v>
      </c>
      <c r="AJ494" t="s">
        <v>153</v>
      </c>
      <c r="AK494" t="s">
        <v>154</v>
      </c>
      <c r="AL494" t="s">
        <v>119</v>
      </c>
      <c r="AM494" t="s">
        <v>112</v>
      </c>
      <c r="AN494" t="s">
        <v>121</v>
      </c>
      <c r="AO494" t="s">
        <v>122</v>
      </c>
      <c r="AP494" t="s">
        <v>122</v>
      </c>
      <c r="AQ494" t="s">
        <v>124</v>
      </c>
      <c r="AR494" t="s">
        <v>125</v>
      </c>
      <c r="AS494">
        <v>2</v>
      </c>
      <c r="AT494" t="s">
        <v>126</v>
      </c>
      <c r="AU494" t="s">
        <v>155</v>
      </c>
      <c r="AV494" t="s">
        <v>156</v>
      </c>
      <c r="AX494" t="s">
        <v>129</v>
      </c>
      <c r="AY494">
        <v>44879.7</v>
      </c>
      <c r="BB494">
        <v>102.5523</v>
      </c>
      <c r="BC494" t="s">
        <v>112</v>
      </c>
      <c r="BD494" t="s">
        <v>112</v>
      </c>
      <c r="BE494" t="s">
        <v>157</v>
      </c>
      <c r="BF494" t="s">
        <v>133</v>
      </c>
      <c r="BG494" t="s">
        <v>134</v>
      </c>
      <c r="BH494" t="s">
        <v>112</v>
      </c>
      <c r="BI494" t="s">
        <v>112</v>
      </c>
      <c r="BJ494" t="s">
        <v>112</v>
      </c>
      <c r="BK494" t="s">
        <v>158</v>
      </c>
      <c r="BL494" t="s">
        <v>159</v>
      </c>
      <c r="BM494" t="s">
        <v>212</v>
      </c>
      <c r="BN494" t="s">
        <v>161</v>
      </c>
      <c r="BP494" t="s">
        <v>232</v>
      </c>
      <c r="BR494" t="s">
        <v>150</v>
      </c>
      <c r="BS494">
        <v>33</v>
      </c>
      <c r="BT494">
        <v>0</v>
      </c>
      <c r="BU494">
        <v>0</v>
      </c>
      <c r="BW494">
        <v>0</v>
      </c>
      <c r="BY494" t="s">
        <v>106</v>
      </c>
      <c r="BZ494" t="s">
        <v>142</v>
      </c>
      <c r="CA494" t="s">
        <v>112</v>
      </c>
      <c r="CB494" t="s">
        <v>112</v>
      </c>
      <c r="CC494" t="s">
        <v>121</v>
      </c>
      <c r="CD494">
        <v>16673.22</v>
      </c>
      <c r="CE494" t="s">
        <v>144</v>
      </c>
      <c r="CF494">
        <v>4000000</v>
      </c>
      <c r="CG494">
        <v>16565.22</v>
      </c>
      <c r="CH494">
        <v>0</v>
      </c>
      <c r="CI494" t="s">
        <v>112</v>
      </c>
      <c r="CJ494" t="s">
        <v>112</v>
      </c>
      <c r="CK494">
        <v>44879.7</v>
      </c>
      <c r="CM494">
        <v>0</v>
      </c>
      <c r="CN494">
        <v>1</v>
      </c>
      <c r="CO494">
        <v>5011700.1399999997</v>
      </c>
      <c r="CP494">
        <v>51503.74</v>
      </c>
      <c r="CQ494" t="s">
        <v>145</v>
      </c>
      <c r="CR494">
        <v>51517.834200000005</v>
      </c>
      <c r="CS494">
        <v>3.11</v>
      </c>
      <c r="CT494">
        <v>45</v>
      </c>
      <c r="CV494" t="s">
        <v>163</v>
      </c>
      <c r="CW494">
        <v>134</v>
      </c>
    </row>
    <row r="495" spans="1:101" x14ac:dyDescent="0.2">
      <c r="A495" t="s">
        <v>106</v>
      </c>
      <c r="B495" s="46">
        <v>44762</v>
      </c>
      <c r="C495" t="s">
        <v>2130</v>
      </c>
      <c r="D495" t="s">
        <v>108</v>
      </c>
      <c r="E495" t="s">
        <v>2131</v>
      </c>
      <c r="F495" t="s">
        <v>110</v>
      </c>
      <c r="G495" t="s">
        <v>111</v>
      </c>
      <c r="H495" t="s">
        <v>112</v>
      </c>
      <c r="I495" t="s">
        <v>112</v>
      </c>
      <c r="J495" t="s">
        <v>112</v>
      </c>
      <c r="K495" t="s">
        <v>150</v>
      </c>
      <c r="L495" t="s">
        <v>151</v>
      </c>
      <c r="M495" t="s">
        <v>112</v>
      </c>
      <c r="N495" t="s">
        <v>112</v>
      </c>
      <c r="O495">
        <v>1</v>
      </c>
      <c r="Q495">
        <v>1</v>
      </c>
      <c r="R495">
        <v>33</v>
      </c>
      <c r="S495" t="s">
        <v>112</v>
      </c>
      <c r="T495" t="s">
        <v>152</v>
      </c>
      <c r="U495" t="s">
        <v>153</v>
      </c>
      <c r="V495" t="s">
        <v>154</v>
      </c>
      <c r="W495" t="s">
        <v>119</v>
      </c>
      <c r="X495" t="s">
        <v>112</v>
      </c>
      <c r="Y495" t="s">
        <v>112</v>
      </c>
      <c r="Z495" t="s">
        <v>152</v>
      </c>
      <c r="AA495" t="s">
        <v>153</v>
      </c>
      <c r="AB495" t="s">
        <v>154</v>
      </c>
      <c r="AC495" t="s">
        <v>119</v>
      </c>
      <c r="AD495" t="s">
        <v>112</v>
      </c>
      <c r="AE495" t="s">
        <v>121</v>
      </c>
      <c r="AF495" t="s">
        <v>122</v>
      </c>
      <c r="AG495">
        <v>5011700.1399999997</v>
      </c>
      <c r="AH495" t="s">
        <v>112</v>
      </c>
      <c r="AI495" t="s">
        <v>152</v>
      </c>
      <c r="AJ495" t="s">
        <v>153</v>
      </c>
      <c r="AK495" t="s">
        <v>154</v>
      </c>
      <c r="AL495" t="s">
        <v>119</v>
      </c>
      <c r="AM495" t="s">
        <v>112</v>
      </c>
      <c r="AN495" t="s">
        <v>121</v>
      </c>
      <c r="AO495" t="s">
        <v>122</v>
      </c>
      <c r="AP495" t="s">
        <v>122</v>
      </c>
      <c r="AQ495" t="s">
        <v>124</v>
      </c>
      <c r="AR495" t="s">
        <v>125</v>
      </c>
      <c r="AS495">
        <v>2</v>
      </c>
      <c r="AT495" t="s">
        <v>126</v>
      </c>
      <c r="AU495" t="s">
        <v>155</v>
      </c>
      <c r="AV495" t="s">
        <v>156</v>
      </c>
      <c r="AX495" t="s">
        <v>129</v>
      </c>
      <c r="AY495">
        <v>44879.7</v>
      </c>
      <c r="BB495">
        <v>102.5523</v>
      </c>
      <c r="BC495" t="s">
        <v>112</v>
      </c>
      <c r="BD495" t="s">
        <v>112</v>
      </c>
      <c r="BE495" t="s">
        <v>157</v>
      </c>
      <c r="BF495" t="s">
        <v>133</v>
      </c>
      <c r="BG495" t="s">
        <v>134</v>
      </c>
      <c r="BH495" t="s">
        <v>112</v>
      </c>
      <c r="BI495" t="s">
        <v>112</v>
      </c>
      <c r="BJ495" t="s">
        <v>112</v>
      </c>
      <c r="BK495" t="s">
        <v>158</v>
      </c>
      <c r="BL495" t="s">
        <v>159</v>
      </c>
      <c r="BM495" t="s">
        <v>212</v>
      </c>
      <c r="BN495" t="s">
        <v>161</v>
      </c>
      <c r="BP495" t="s">
        <v>232</v>
      </c>
      <c r="BR495" t="s">
        <v>150</v>
      </c>
      <c r="BS495">
        <v>33</v>
      </c>
      <c r="BT495">
        <v>0</v>
      </c>
      <c r="BU495">
        <v>0</v>
      </c>
      <c r="BW495">
        <v>0</v>
      </c>
      <c r="BY495" t="s">
        <v>106</v>
      </c>
      <c r="BZ495" t="s">
        <v>142</v>
      </c>
      <c r="CA495" t="s">
        <v>112</v>
      </c>
      <c r="CB495" t="s">
        <v>112</v>
      </c>
      <c r="CC495" t="s">
        <v>121</v>
      </c>
      <c r="CD495">
        <v>16673.22</v>
      </c>
      <c r="CE495" t="s">
        <v>144</v>
      </c>
      <c r="CF495">
        <v>4000000</v>
      </c>
      <c r="CG495">
        <v>16565.22</v>
      </c>
      <c r="CH495">
        <v>0</v>
      </c>
      <c r="CI495" t="s">
        <v>112</v>
      </c>
      <c r="CJ495" t="s">
        <v>112</v>
      </c>
      <c r="CK495">
        <v>44879.7</v>
      </c>
      <c r="CM495">
        <v>0</v>
      </c>
      <c r="CN495">
        <v>1</v>
      </c>
      <c r="CO495">
        <v>5011700.1399999997</v>
      </c>
      <c r="CP495">
        <v>51503.74</v>
      </c>
      <c r="CQ495" t="s">
        <v>145</v>
      </c>
      <c r="CR495">
        <v>51517.834200000005</v>
      </c>
      <c r="CS495">
        <v>3.11</v>
      </c>
      <c r="CT495">
        <v>45</v>
      </c>
      <c r="CV495" t="s">
        <v>163</v>
      </c>
      <c r="CW495">
        <v>134</v>
      </c>
    </row>
    <row r="496" spans="1:101" x14ac:dyDescent="0.2">
      <c r="A496" t="s">
        <v>106</v>
      </c>
      <c r="B496" s="46">
        <v>45091</v>
      </c>
      <c r="C496" t="s">
        <v>2112</v>
      </c>
      <c r="D496" t="s">
        <v>108</v>
      </c>
      <c r="E496" t="s">
        <v>2113</v>
      </c>
      <c r="F496" t="s">
        <v>110</v>
      </c>
      <c r="G496" t="s">
        <v>111</v>
      </c>
      <c r="H496" t="s">
        <v>112</v>
      </c>
      <c r="I496" t="s">
        <v>112</v>
      </c>
      <c r="J496" t="s">
        <v>112</v>
      </c>
      <c r="K496" t="s">
        <v>150</v>
      </c>
      <c r="L496" t="s">
        <v>151</v>
      </c>
      <c r="M496" t="s">
        <v>112</v>
      </c>
      <c r="N496" t="s">
        <v>112</v>
      </c>
      <c r="O496">
        <v>1</v>
      </c>
      <c r="Q496">
        <v>1</v>
      </c>
      <c r="R496">
        <v>33</v>
      </c>
      <c r="S496" t="s">
        <v>112</v>
      </c>
      <c r="T496" t="s">
        <v>152</v>
      </c>
      <c r="U496" t="s">
        <v>153</v>
      </c>
      <c r="V496" t="s">
        <v>154</v>
      </c>
      <c r="W496" t="s">
        <v>119</v>
      </c>
      <c r="X496" t="s">
        <v>112</v>
      </c>
      <c r="Y496" t="s">
        <v>112</v>
      </c>
      <c r="Z496" t="s">
        <v>152</v>
      </c>
      <c r="AA496" t="s">
        <v>153</v>
      </c>
      <c r="AB496" t="s">
        <v>154</v>
      </c>
      <c r="AC496" t="s">
        <v>119</v>
      </c>
      <c r="AD496" t="s">
        <v>112</v>
      </c>
      <c r="AE496" t="s">
        <v>121</v>
      </c>
      <c r="AF496" t="s">
        <v>122</v>
      </c>
      <c r="AG496">
        <v>4882949.83</v>
      </c>
      <c r="AH496" t="s">
        <v>112</v>
      </c>
      <c r="AI496" t="s">
        <v>152</v>
      </c>
      <c r="AJ496" t="s">
        <v>153</v>
      </c>
      <c r="AK496" t="s">
        <v>154</v>
      </c>
      <c r="AL496" t="s">
        <v>119</v>
      </c>
      <c r="AM496" t="s">
        <v>112</v>
      </c>
      <c r="AN496" t="s">
        <v>121</v>
      </c>
      <c r="AO496" t="s">
        <v>122</v>
      </c>
      <c r="AP496" t="s">
        <v>122</v>
      </c>
      <c r="AQ496" t="s">
        <v>124</v>
      </c>
      <c r="AR496" t="s">
        <v>125</v>
      </c>
      <c r="AS496">
        <v>2</v>
      </c>
      <c r="AT496" t="s">
        <v>126</v>
      </c>
      <c r="AU496" t="s">
        <v>155</v>
      </c>
      <c r="AV496" t="s">
        <v>156</v>
      </c>
      <c r="AX496" t="s">
        <v>129</v>
      </c>
      <c r="AY496">
        <v>43624.24</v>
      </c>
      <c r="BB496">
        <v>102.5523</v>
      </c>
      <c r="BC496" t="s">
        <v>112</v>
      </c>
      <c r="BD496" t="s">
        <v>112</v>
      </c>
      <c r="BE496" t="s">
        <v>157</v>
      </c>
      <c r="BF496" t="s">
        <v>133</v>
      </c>
      <c r="BG496" t="s">
        <v>167</v>
      </c>
      <c r="BH496" t="s">
        <v>112</v>
      </c>
      <c r="BI496" t="s">
        <v>112</v>
      </c>
      <c r="BJ496" t="s">
        <v>112</v>
      </c>
      <c r="BK496" t="s">
        <v>158</v>
      </c>
      <c r="BL496" t="s">
        <v>159</v>
      </c>
      <c r="BM496" t="s">
        <v>160</v>
      </c>
      <c r="BN496" t="s">
        <v>161</v>
      </c>
      <c r="BP496" t="s">
        <v>162</v>
      </c>
      <c r="BR496" t="s">
        <v>150</v>
      </c>
      <c r="BS496">
        <v>33</v>
      </c>
      <c r="BT496">
        <v>0</v>
      </c>
      <c r="BU496">
        <v>0</v>
      </c>
      <c r="BW496">
        <v>0</v>
      </c>
      <c r="BY496" t="s">
        <v>106</v>
      </c>
      <c r="BZ496" t="s">
        <v>142</v>
      </c>
      <c r="CA496" t="s">
        <v>112</v>
      </c>
      <c r="CB496" t="s">
        <v>112</v>
      </c>
      <c r="CC496" t="s">
        <v>121</v>
      </c>
      <c r="CD496">
        <v>17449.919999999998</v>
      </c>
      <c r="CE496" t="s">
        <v>144</v>
      </c>
      <c r="CF496">
        <v>4000000</v>
      </c>
      <c r="CG496">
        <v>17449.919999999998</v>
      </c>
      <c r="CH496">
        <v>0</v>
      </c>
      <c r="CI496" t="s">
        <v>112</v>
      </c>
      <c r="CJ496" t="s">
        <v>112</v>
      </c>
      <c r="CK496">
        <v>43624.24</v>
      </c>
      <c r="CM496">
        <v>0</v>
      </c>
      <c r="CN496">
        <v>1</v>
      </c>
      <c r="CO496">
        <v>4882949.83</v>
      </c>
      <c r="CP496">
        <v>50180.61</v>
      </c>
      <c r="CQ496" t="s">
        <v>145</v>
      </c>
      <c r="CR496">
        <v>50255.769599999992</v>
      </c>
      <c r="CS496">
        <v>2.88</v>
      </c>
      <c r="CT496">
        <v>45</v>
      </c>
      <c r="CV496" t="s">
        <v>1140</v>
      </c>
      <c r="CW496">
        <v>189</v>
      </c>
    </row>
    <row r="497" spans="1:101" x14ac:dyDescent="0.2">
      <c r="A497" t="s">
        <v>106</v>
      </c>
      <c r="B497" s="46">
        <v>45018</v>
      </c>
      <c r="C497" t="s">
        <v>2112</v>
      </c>
      <c r="D497" t="s">
        <v>108</v>
      </c>
      <c r="E497" t="s">
        <v>2113</v>
      </c>
      <c r="F497" t="s">
        <v>110</v>
      </c>
      <c r="G497" t="s">
        <v>111</v>
      </c>
      <c r="H497" t="s">
        <v>112</v>
      </c>
      <c r="I497" t="s">
        <v>112</v>
      </c>
      <c r="J497" t="s">
        <v>112</v>
      </c>
      <c r="K497" t="s">
        <v>150</v>
      </c>
      <c r="L497" t="s">
        <v>151</v>
      </c>
      <c r="M497" t="s">
        <v>112</v>
      </c>
      <c r="N497" t="s">
        <v>112</v>
      </c>
      <c r="O497">
        <v>1</v>
      </c>
      <c r="Q497">
        <v>1</v>
      </c>
      <c r="R497">
        <v>33</v>
      </c>
      <c r="S497" t="s">
        <v>112</v>
      </c>
      <c r="T497" t="s">
        <v>152</v>
      </c>
      <c r="U497" t="s">
        <v>153</v>
      </c>
      <c r="V497" t="s">
        <v>154</v>
      </c>
      <c r="W497" t="s">
        <v>119</v>
      </c>
      <c r="X497" t="s">
        <v>112</v>
      </c>
      <c r="Y497" t="s">
        <v>112</v>
      </c>
      <c r="Z497" t="s">
        <v>152</v>
      </c>
      <c r="AA497" t="s">
        <v>153</v>
      </c>
      <c r="AB497" t="s">
        <v>154</v>
      </c>
      <c r="AC497" t="s">
        <v>119</v>
      </c>
      <c r="AD497" t="s">
        <v>112</v>
      </c>
      <c r="AE497" t="s">
        <v>121</v>
      </c>
      <c r="AF497" t="s">
        <v>122</v>
      </c>
      <c r="AG497">
        <v>4882949.83</v>
      </c>
      <c r="AH497" t="s">
        <v>112</v>
      </c>
      <c r="AI497" t="s">
        <v>152</v>
      </c>
      <c r="AJ497" t="s">
        <v>153</v>
      </c>
      <c r="AK497" t="s">
        <v>154</v>
      </c>
      <c r="AL497" t="s">
        <v>119</v>
      </c>
      <c r="AM497" t="s">
        <v>112</v>
      </c>
      <c r="AN497" t="s">
        <v>121</v>
      </c>
      <c r="AO497" t="s">
        <v>122</v>
      </c>
      <c r="AP497" t="s">
        <v>122</v>
      </c>
      <c r="AQ497" t="s">
        <v>124</v>
      </c>
      <c r="AR497" t="s">
        <v>125</v>
      </c>
      <c r="AS497">
        <v>2</v>
      </c>
      <c r="AT497" t="s">
        <v>126</v>
      </c>
      <c r="AU497" t="s">
        <v>155</v>
      </c>
      <c r="AV497" t="s">
        <v>156</v>
      </c>
      <c r="AX497" t="s">
        <v>129</v>
      </c>
      <c r="AY497">
        <v>43624.24</v>
      </c>
      <c r="BB497">
        <v>102.5523</v>
      </c>
      <c r="BC497" t="s">
        <v>112</v>
      </c>
      <c r="BD497" t="s">
        <v>112</v>
      </c>
      <c r="BE497" t="s">
        <v>157</v>
      </c>
      <c r="BF497" t="s">
        <v>133</v>
      </c>
      <c r="BG497" t="s">
        <v>167</v>
      </c>
      <c r="BH497" t="s">
        <v>112</v>
      </c>
      <c r="BI497" t="s">
        <v>112</v>
      </c>
      <c r="BJ497" t="s">
        <v>112</v>
      </c>
      <c r="BK497" t="s">
        <v>158</v>
      </c>
      <c r="BL497" t="s">
        <v>159</v>
      </c>
      <c r="BM497" t="s">
        <v>160</v>
      </c>
      <c r="BN497" t="s">
        <v>161</v>
      </c>
      <c r="BP497" t="s">
        <v>162</v>
      </c>
      <c r="BR497" t="s">
        <v>150</v>
      </c>
      <c r="BS497">
        <v>33</v>
      </c>
      <c r="BT497">
        <v>0</v>
      </c>
      <c r="BU497">
        <v>0</v>
      </c>
      <c r="BW497">
        <v>0</v>
      </c>
      <c r="BY497" t="s">
        <v>106</v>
      </c>
      <c r="BZ497" t="s">
        <v>142</v>
      </c>
      <c r="CA497" t="s">
        <v>112</v>
      </c>
      <c r="CB497" t="s">
        <v>112</v>
      </c>
      <c r="CC497" t="s">
        <v>121</v>
      </c>
      <c r="CD497">
        <v>17449.919999999998</v>
      </c>
      <c r="CE497" t="s">
        <v>144</v>
      </c>
      <c r="CF497">
        <v>4000000</v>
      </c>
      <c r="CG497">
        <v>17449.919999999998</v>
      </c>
      <c r="CH497">
        <v>0</v>
      </c>
      <c r="CI497" t="s">
        <v>112</v>
      </c>
      <c r="CJ497" t="s">
        <v>112</v>
      </c>
      <c r="CK497">
        <v>43624.24</v>
      </c>
      <c r="CM497">
        <v>0</v>
      </c>
      <c r="CN497">
        <v>1</v>
      </c>
      <c r="CO497">
        <v>4882949.83</v>
      </c>
      <c r="CP497">
        <v>50180.61</v>
      </c>
      <c r="CQ497" t="s">
        <v>145</v>
      </c>
      <c r="CR497">
        <v>50255.769599999992</v>
      </c>
      <c r="CS497">
        <v>2.88</v>
      </c>
      <c r="CT497">
        <v>45</v>
      </c>
      <c r="CV497" t="s">
        <v>1140</v>
      </c>
      <c r="CW497">
        <v>189</v>
      </c>
    </row>
    <row r="498" spans="1:101" x14ac:dyDescent="0.2">
      <c r="A498" t="s">
        <v>106</v>
      </c>
      <c r="B498" s="46">
        <v>45039</v>
      </c>
      <c r="C498" t="s">
        <v>2120</v>
      </c>
      <c r="D498" t="s">
        <v>108</v>
      </c>
      <c r="E498" t="s">
        <v>2121</v>
      </c>
      <c r="F498" t="s">
        <v>110</v>
      </c>
      <c r="G498" t="s">
        <v>111</v>
      </c>
      <c r="H498" t="s">
        <v>112</v>
      </c>
      <c r="I498" t="s">
        <v>112</v>
      </c>
      <c r="J498" t="s">
        <v>112</v>
      </c>
      <c r="K498" t="s">
        <v>150</v>
      </c>
      <c r="L498" t="s">
        <v>151</v>
      </c>
      <c r="M498" t="s">
        <v>112</v>
      </c>
      <c r="N498" t="s">
        <v>112</v>
      </c>
      <c r="O498">
        <v>1</v>
      </c>
      <c r="Q498">
        <v>1</v>
      </c>
      <c r="R498">
        <v>33</v>
      </c>
      <c r="S498" t="s">
        <v>112</v>
      </c>
      <c r="T498" t="s">
        <v>152</v>
      </c>
      <c r="U498" t="s">
        <v>153</v>
      </c>
      <c r="V498" t="s">
        <v>154</v>
      </c>
      <c r="W498" t="s">
        <v>119</v>
      </c>
      <c r="X498" t="s">
        <v>112</v>
      </c>
      <c r="Y498" t="s">
        <v>112</v>
      </c>
      <c r="Z498" t="s">
        <v>152</v>
      </c>
      <c r="AA498" t="s">
        <v>153</v>
      </c>
      <c r="AB498" t="s">
        <v>154</v>
      </c>
      <c r="AC498" t="s">
        <v>119</v>
      </c>
      <c r="AD498" t="s">
        <v>112</v>
      </c>
      <c r="AE498" t="s">
        <v>121</v>
      </c>
      <c r="AF498" t="s">
        <v>122</v>
      </c>
      <c r="AG498">
        <v>4857348.67</v>
      </c>
      <c r="AH498" t="s">
        <v>112</v>
      </c>
      <c r="AI498" t="s">
        <v>152</v>
      </c>
      <c r="AJ498" t="s">
        <v>153</v>
      </c>
      <c r="AK498" t="s">
        <v>154</v>
      </c>
      <c r="AL498" t="s">
        <v>119</v>
      </c>
      <c r="AM498" t="s">
        <v>112</v>
      </c>
      <c r="AN498" t="s">
        <v>121</v>
      </c>
      <c r="AO498" t="s">
        <v>122</v>
      </c>
      <c r="AP498" t="s">
        <v>122</v>
      </c>
      <c r="AQ498" t="s">
        <v>124</v>
      </c>
      <c r="AR498" t="s">
        <v>125</v>
      </c>
      <c r="AS498">
        <v>2</v>
      </c>
      <c r="AT498" t="s">
        <v>126</v>
      </c>
      <c r="AU498" t="s">
        <v>155</v>
      </c>
      <c r="AV498" t="s">
        <v>156</v>
      </c>
      <c r="AX498" t="s">
        <v>129</v>
      </c>
      <c r="AY498">
        <v>43374.6</v>
      </c>
      <c r="BB498">
        <v>102.5523</v>
      </c>
      <c r="BC498" t="s">
        <v>112</v>
      </c>
      <c r="BD498" t="s">
        <v>112</v>
      </c>
      <c r="BE498" t="s">
        <v>157</v>
      </c>
      <c r="BF498" t="s">
        <v>133</v>
      </c>
      <c r="BG498" t="s">
        <v>167</v>
      </c>
      <c r="BH498" t="s">
        <v>112</v>
      </c>
      <c r="BI498" t="s">
        <v>112</v>
      </c>
      <c r="BJ498" t="s">
        <v>112</v>
      </c>
      <c r="BK498" t="s">
        <v>158</v>
      </c>
      <c r="BL498" t="s">
        <v>159</v>
      </c>
      <c r="BM498" t="s">
        <v>160</v>
      </c>
      <c r="BN498" t="s">
        <v>161</v>
      </c>
      <c r="BP498" t="s">
        <v>232</v>
      </c>
      <c r="BR498" t="s">
        <v>150</v>
      </c>
      <c r="BS498">
        <v>33</v>
      </c>
      <c r="BT498">
        <v>0</v>
      </c>
      <c r="BU498">
        <v>0</v>
      </c>
      <c r="BW498">
        <v>0</v>
      </c>
      <c r="BY498" t="s">
        <v>106</v>
      </c>
      <c r="BZ498" t="s">
        <v>142</v>
      </c>
      <c r="CA498" t="s">
        <v>112</v>
      </c>
      <c r="CB498" t="s">
        <v>112</v>
      </c>
      <c r="CC498" t="s">
        <v>121</v>
      </c>
      <c r="CD498">
        <v>15784.74</v>
      </c>
      <c r="CE498" t="s">
        <v>144</v>
      </c>
      <c r="CF498">
        <v>4000000</v>
      </c>
      <c r="CG498">
        <v>15514.74</v>
      </c>
      <c r="CH498">
        <v>0</v>
      </c>
      <c r="CI498" t="s">
        <v>112</v>
      </c>
      <c r="CJ498" t="s">
        <v>112</v>
      </c>
      <c r="CK498">
        <v>43374.6</v>
      </c>
      <c r="CM498">
        <v>0</v>
      </c>
      <c r="CN498">
        <v>1</v>
      </c>
      <c r="CO498">
        <v>4857348.67</v>
      </c>
      <c r="CP498">
        <v>49917.52</v>
      </c>
      <c r="CQ498" t="s">
        <v>145</v>
      </c>
      <c r="CR498">
        <v>49957.462800000001</v>
      </c>
      <c r="CS498">
        <v>3.22</v>
      </c>
      <c r="CT498">
        <v>45</v>
      </c>
      <c r="CV498" t="s">
        <v>163</v>
      </c>
      <c r="CW498">
        <v>246</v>
      </c>
    </row>
    <row r="499" spans="1:101" x14ac:dyDescent="0.2">
      <c r="A499" t="s">
        <v>106</v>
      </c>
      <c r="B499" s="46">
        <v>45084</v>
      </c>
      <c r="C499" t="s">
        <v>2120</v>
      </c>
      <c r="D499" t="s">
        <v>108</v>
      </c>
      <c r="E499" t="s">
        <v>2121</v>
      </c>
      <c r="F499" t="s">
        <v>110</v>
      </c>
      <c r="G499" t="s">
        <v>111</v>
      </c>
      <c r="H499" t="s">
        <v>112</v>
      </c>
      <c r="I499" t="s">
        <v>112</v>
      </c>
      <c r="J499" t="s">
        <v>112</v>
      </c>
      <c r="K499" t="s">
        <v>150</v>
      </c>
      <c r="L499" t="s">
        <v>151</v>
      </c>
      <c r="M499" t="s">
        <v>112</v>
      </c>
      <c r="N499" t="s">
        <v>112</v>
      </c>
      <c r="O499">
        <v>1</v>
      </c>
      <c r="Q499">
        <v>1</v>
      </c>
      <c r="R499">
        <v>33</v>
      </c>
      <c r="S499" t="s">
        <v>112</v>
      </c>
      <c r="T499" t="s">
        <v>152</v>
      </c>
      <c r="U499" t="s">
        <v>153</v>
      </c>
      <c r="V499" t="s">
        <v>154</v>
      </c>
      <c r="W499" t="s">
        <v>119</v>
      </c>
      <c r="X499" t="s">
        <v>112</v>
      </c>
      <c r="Y499" t="s">
        <v>112</v>
      </c>
      <c r="Z499" t="s">
        <v>152</v>
      </c>
      <c r="AA499" t="s">
        <v>153</v>
      </c>
      <c r="AB499" t="s">
        <v>154</v>
      </c>
      <c r="AC499" t="s">
        <v>119</v>
      </c>
      <c r="AD499" t="s">
        <v>112</v>
      </c>
      <c r="AE499" t="s">
        <v>121</v>
      </c>
      <c r="AF499" t="s">
        <v>122</v>
      </c>
      <c r="AG499">
        <v>4857348.67</v>
      </c>
      <c r="AH499" t="s">
        <v>112</v>
      </c>
      <c r="AI499" t="s">
        <v>152</v>
      </c>
      <c r="AJ499" t="s">
        <v>153</v>
      </c>
      <c r="AK499" t="s">
        <v>154</v>
      </c>
      <c r="AL499" t="s">
        <v>119</v>
      </c>
      <c r="AM499" t="s">
        <v>112</v>
      </c>
      <c r="AN499" t="s">
        <v>121</v>
      </c>
      <c r="AO499" t="s">
        <v>122</v>
      </c>
      <c r="AP499" t="s">
        <v>122</v>
      </c>
      <c r="AQ499" t="s">
        <v>124</v>
      </c>
      <c r="AR499" t="s">
        <v>125</v>
      </c>
      <c r="AS499">
        <v>2</v>
      </c>
      <c r="AT499" t="s">
        <v>126</v>
      </c>
      <c r="AU499" t="s">
        <v>155</v>
      </c>
      <c r="AV499" t="s">
        <v>156</v>
      </c>
      <c r="AX499" t="s">
        <v>129</v>
      </c>
      <c r="AY499">
        <v>43374.6</v>
      </c>
      <c r="BB499">
        <v>102.5523</v>
      </c>
      <c r="BC499" t="s">
        <v>112</v>
      </c>
      <c r="BD499" t="s">
        <v>112</v>
      </c>
      <c r="BE499" t="s">
        <v>157</v>
      </c>
      <c r="BF499" t="s">
        <v>133</v>
      </c>
      <c r="BG499" t="s">
        <v>167</v>
      </c>
      <c r="BH499" t="s">
        <v>112</v>
      </c>
      <c r="BI499" t="s">
        <v>112</v>
      </c>
      <c r="BJ499" t="s">
        <v>112</v>
      </c>
      <c r="BK499" t="s">
        <v>158</v>
      </c>
      <c r="BL499" t="s">
        <v>159</v>
      </c>
      <c r="BM499" t="s">
        <v>160</v>
      </c>
      <c r="BN499" t="s">
        <v>161</v>
      </c>
      <c r="BP499" t="s">
        <v>232</v>
      </c>
      <c r="BR499" t="s">
        <v>150</v>
      </c>
      <c r="BS499">
        <v>33</v>
      </c>
      <c r="BT499">
        <v>0</v>
      </c>
      <c r="BU499">
        <v>0</v>
      </c>
      <c r="BW499">
        <v>0</v>
      </c>
      <c r="BY499" t="s">
        <v>106</v>
      </c>
      <c r="BZ499" t="s">
        <v>142</v>
      </c>
      <c r="CA499" t="s">
        <v>112</v>
      </c>
      <c r="CB499" t="s">
        <v>112</v>
      </c>
      <c r="CC499" t="s">
        <v>121</v>
      </c>
      <c r="CD499">
        <v>15784.74</v>
      </c>
      <c r="CE499" t="s">
        <v>144</v>
      </c>
      <c r="CF499">
        <v>4000000</v>
      </c>
      <c r="CG499">
        <v>15514.74</v>
      </c>
      <c r="CH499">
        <v>0</v>
      </c>
      <c r="CI499" t="s">
        <v>112</v>
      </c>
      <c r="CJ499" t="s">
        <v>112</v>
      </c>
      <c r="CK499">
        <v>43374.6</v>
      </c>
      <c r="CM499">
        <v>0</v>
      </c>
      <c r="CN499">
        <v>1</v>
      </c>
      <c r="CO499">
        <v>4857348.67</v>
      </c>
      <c r="CP499">
        <v>49917.52</v>
      </c>
      <c r="CQ499" t="s">
        <v>145</v>
      </c>
      <c r="CR499">
        <v>49957.462800000001</v>
      </c>
      <c r="CS499">
        <v>3.22</v>
      </c>
      <c r="CT499">
        <v>45</v>
      </c>
      <c r="CV499" t="s">
        <v>163</v>
      </c>
      <c r="CW499">
        <v>246</v>
      </c>
    </row>
    <row r="500" spans="1:101" x14ac:dyDescent="0.2">
      <c r="A500" t="s">
        <v>106</v>
      </c>
      <c r="B500" s="46">
        <v>45011</v>
      </c>
      <c r="C500" t="s">
        <v>1738</v>
      </c>
      <c r="D500" t="s">
        <v>108</v>
      </c>
      <c r="E500" t="s">
        <v>1739</v>
      </c>
      <c r="F500" t="s">
        <v>110</v>
      </c>
      <c r="G500" t="s">
        <v>111</v>
      </c>
      <c r="H500" t="s">
        <v>112</v>
      </c>
      <c r="I500" t="s">
        <v>112</v>
      </c>
      <c r="J500" t="s">
        <v>112</v>
      </c>
      <c r="K500" t="s">
        <v>150</v>
      </c>
      <c r="L500" t="s">
        <v>151</v>
      </c>
      <c r="M500" t="s">
        <v>112</v>
      </c>
      <c r="N500" t="s">
        <v>112</v>
      </c>
      <c r="Q500">
        <v>1</v>
      </c>
      <c r="R500">
        <v>33</v>
      </c>
      <c r="S500" t="s">
        <v>166</v>
      </c>
      <c r="T500" t="s">
        <v>152</v>
      </c>
      <c r="U500" t="s">
        <v>153</v>
      </c>
      <c r="V500" t="s">
        <v>154</v>
      </c>
      <c r="W500" t="s">
        <v>119</v>
      </c>
      <c r="X500" t="s">
        <v>112</v>
      </c>
      <c r="Y500" t="s">
        <v>166</v>
      </c>
      <c r="Z500" t="s">
        <v>152</v>
      </c>
      <c r="AA500" t="s">
        <v>153</v>
      </c>
      <c r="AB500" t="s">
        <v>154</v>
      </c>
      <c r="AC500" t="s">
        <v>119</v>
      </c>
      <c r="AD500" t="s">
        <v>112</v>
      </c>
      <c r="AE500" t="s">
        <v>121</v>
      </c>
      <c r="AF500" t="s">
        <v>122</v>
      </c>
      <c r="AG500">
        <v>4870392.21</v>
      </c>
      <c r="AH500" t="s">
        <v>166</v>
      </c>
      <c r="AI500" t="s">
        <v>152</v>
      </c>
      <c r="AJ500" t="s">
        <v>153</v>
      </c>
      <c r="AK500" t="s">
        <v>154</v>
      </c>
      <c r="AL500" t="s">
        <v>119</v>
      </c>
      <c r="AM500" t="s">
        <v>112</v>
      </c>
      <c r="AN500" t="s">
        <v>121</v>
      </c>
      <c r="AO500" t="s">
        <v>122</v>
      </c>
      <c r="AP500" t="s">
        <v>122</v>
      </c>
      <c r="AQ500" t="s">
        <v>124</v>
      </c>
      <c r="AR500" t="s">
        <v>125</v>
      </c>
      <c r="AT500" t="s">
        <v>126</v>
      </c>
      <c r="AU500" t="s">
        <v>155</v>
      </c>
      <c r="AV500" t="s">
        <v>156</v>
      </c>
      <c r="AX500" t="s">
        <v>129</v>
      </c>
      <c r="AY500">
        <v>41569.800000000003</v>
      </c>
      <c r="BB500">
        <v>106.5736</v>
      </c>
      <c r="BC500" t="s">
        <v>112</v>
      </c>
      <c r="BD500" t="s">
        <v>112</v>
      </c>
      <c r="BE500" t="s">
        <v>112</v>
      </c>
      <c r="BF500" t="s">
        <v>133</v>
      </c>
      <c r="BG500" t="s">
        <v>134</v>
      </c>
      <c r="BH500" t="s">
        <v>112</v>
      </c>
      <c r="BI500" t="s">
        <v>112</v>
      </c>
      <c r="BJ500" t="s">
        <v>112</v>
      </c>
      <c r="BK500" t="s">
        <v>112</v>
      </c>
      <c r="BL500" t="s">
        <v>112</v>
      </c>
      <c r="BM500" t="s">
        <v>112</v>
      </c>
      <c r="BN500" t="s">
        <v>161</v>
      </c>
      <c r="BP500" t="s">
        <v>205</v>
      </c>
      <c r="BR500" t="s">
        <v>150</v>
      </c>
      <c r="BS500">
        <v>33</v>
      </c>
      <c r="BT500">
        <v>0</v>
      </c>
      <c r="BU500">
        <v>0</v>
      </c>
      <c r="BY500" t="s">
        <v>106</v>
      </c>
      <c r="BZ500" t="s">
        <v>142</v>
      </c>
      <c r="CA500" t="s">
        <v>112</v>
      </c>
      <c r="CB500" t="s">
        <v>112</v>
      </c>
      <c r="CC500" t="s">
        <v>121</v>
      </c>
      <c r="CD500">
        <v>16591.47</v>
      </c>
      <c r="CE500" t="s">
        <v>144</v>
      </c>
      <c r="CF500">
        <v>4000000</v>
      </c>
      <c r="CG500">
        <v>16501.47</v>
      </c>
      <c r="CH500">
        <v>0</v>
      </c>
      <c r="CI500" t="s">
        <v>112</v>
      </c>
      <c r="CJ500" t="s">
        <v>112</v>
      </c>
      <c r="CK500">
        <v>41569.800000000003</v>
      </c>
      <c r="CM500">
        <v>0</v>
      </c>
      <c r="CN500">
        <v>1</v>
      </c>
      <c r="CO500">
        <v>4870392.21</v>
      </c>
      <c r="CP500">
        <v>49992.89</v>
      </c>
      <c r="CQ500" t="s">
        <v>145</v>
      </c>
      <c r="CR500">
        <v>49999.454100000003</v>
      </c>
      <c r="CS500">
        <v>3.03</v>
      </c>
      <c r="CW500">
        <v>124</v>
      </c>
    </row>
    <row r="501" spans="1:101" x14ac:dyDescent="0.2">
      <c r="A501" t="s">
        <v>106</v>
      </c>
      <c r="B501" s="46">
        <v>45219</v>
      </c>
      <c r="C501" t="s">
        <v>1731</v>
      </c>
      <c r="D501" t="s">
        <v>108</v>
      </c>
      <c r="E501" t="s">
        <v>1732</v>
      </c>
      <c r="F501" t="s">
        <v>110</v>
      </c>
      <c r="G501" t="s">
        <v>111</v>
      </c>
      <c r="H501" t="s">
        <v>112</v>
      </c>
      <c r="I501" t="s">
        <v>112</v>
      </c>
      <c r="J501" t="s">
        <v>112</v>
      </c>
      <c r="K501" t="s">
        <v>150</v>
      </c>
      <c r="L501" t="s">
        <v>151</v>
      </c>
      <c r="M501" t="s">
        <v>112</v>
      </c>
      <c r="N501" t="s">
        <v>112</v>
      </c>
      <c r="Q501">
        <v>1</v>
      </c>
      <c r="R501">
        <v>33</v>
      </c>
      <c r="S501" t="s">
        <v>166</v>
      </c>
      <c r="T501" t="s">
        <v>152</v>
      </c>
      <c r="U501" t="s">
        <v>153</v>
      </c>
      <c r="V501" t="s">
        <v>154</v>
      </c>
      <c r="W501" t="s">
        <v>119</v>
      </c>
      <c r="X501" t="s">
        <v>112</v>
      </c>
      <c r="Y501" t="s">
        <v>166</v>
      </c>
      <c r="Z501" t="s">
        <v>152</v>
      </c>
      <c r="AA501" t="s">
        <v>153</v>
      </c>
      <c r="AB501" t="s">
        <v>154</v>
      </c>
      <c r="AC501" t="s">
        <v>119</v>
      </c>
      <c r="AD501" t="s">
        <v>112</v>
      </c>
      <c r="AE501" t="s">
        <v>121</v>
      </c>
      <c r="AF501" t="s">
        <v>122</v>
      </c>
      <c r="AG501">
        <v>4850838.08</v>
      </c>
      <c r="AH501" t="s">
        <v>166</v>
      </c>
      <c r="AI501" t="s">
        <v>152</v>
      </c>
      <c r="AJ501" t="s">
        <v>153</v>
      </c>
      <c r="AK501" t="s">
        <v>154</v>
      </c>
      <c r="AL501" t="s">
        <v>119</v>
      </c>
      <c r="AM501" t="s">
        <v>112</v>
      </c>
      <c r="AN501" t="s">
        <v>121</v>
      </c>
      <c r="AO501" t="s">
        <v>122</v>
      </c>
      <c r="AP501" t="s">
        <v>122</v>
      </c>
      <c r="AQ501" t="s">
        <v>124</v>
      </c>
      <c r="AR501" t="s">
        <v>125</v>
      </c>
      <c r="AT501" t="s">
        <v>126</v>
      </c>
      <c r="AU501" t="s">
        <v>155</v>
      </c>
      <c r="AV501" t="s">
        <v>156</v>
      </c>
      <c r="AX501" t="s">
        <v>129</v>
      </c>
      <c r="AY501">
        <v>41386.32</v>
      </c>
      <c r="BB501">
        <v>106.5736</v>
      </c>
      <c r="BC501" t="s">
        <v>112</v>
      </c>
      <c r="BD501" t="s">
        <v>112</v>
      </c>
      <c r="BE501" t="s">
        <v>112</v>
      </c>
      <c r="BF501" t="s">
        <v>133</v>
      </c>
      <c r="BG501" t="s">
        <v>134</v>
      </c>
      <c r="BH501" t="s">
        <v>112</v>
      </c>
      <c r="BI501" t="s">
        <v>112</v>
      </c>
      <c r="BJ501" t="s">
        <v>112</v>
      </c>
      <c r="BK501" t="s">
        <v>112</v>
      </c>
      <c r="BL501" t="s">
        <v>112</v>
      </c>
      <c r="BM501" t="s">
        <v>112</v>
      </c>
      <c r="BN501" t="s">
        <v>161</v>
      </c>
      <c r="BP501" t="s">
        <v>1733</v>
      </c>
      <c r="BR501" t="s">
        <v>150</v>
      </c>
      <c r="BS501">
        <v>33</v>
      </c>
      <c r="BT501">
        <v>0</v>
      </c>
      <c r="BU501">
        <v>0</v>
      </c>
      <c r="BY501" t="s">
        <v>106</v>
      </c>
      <c r="BZ501" t="s">
        <v>142</v>
      </c>
      <c r="CA501" t="s">
        <v>112</v>
      </c>
      <c r="CB501" t="s">
        <v>112</v>
      </c>
      <c r="CC501" t="s">
        <v>121</v>
      </c>
      <c r="CD501">
        <v>16362.01</v>
      </c>
      <c r="CE501" t="s">
        <v>144</v>
      </c>
      <c r="CF501">
        <v>4000000</v>
      </c>
      <c r="CG501">
        <v>16254.01</v>
      </c>
      <c r="CH501">
        <v>0</v>
      </c>
      <c r="CI501" t="s">
        <v>112</v>
      </c>
      <c r="CJ501" t="s">
        <v>112</v>
      </c>
      <c r="CK501">
        <v>41386.32</v>
      </c>
      <c r="CM501">
        <v>0</v>
      </c>
      <c r="CN501">
        <v>1</v>
      </c>
      <c r="CO501">
        <v>4850838.08</v>
      </c>
      <c r="CP501">
        <v>49792.17</v>
      </c>
      <c r="CQ501" t="s">
        <v>145</v>
      </c>
      <c r="CR501">
        <v>49737.270600000003</v>
      </c>
      <c r="CS501">
        <v>3.06</v>
      </c>
      <c r="CW501">
        <v>556</v>
      </c>
    </row>
    <row r="502" spans="1:101" x14ac:dyDescent="0.2">
      <c r="A502" t="s">
        <v>106</v>
      </c>
      <c r="B502" s="46">
        <v>45245</v>
      </c>
      <c r="C502" t="s">
        <v>1179</v>
      </c>
      <c r="D502" t="s">
        <v>108</v>
      </c>
      <c r="E502" t="s">
        <v>1180</v>
      </c>
      <c r="F502" t="s">
        <v>110</v>
      </c>
      <c r="G502" t="s">
        <v>111</v>
      </c>
      <c r="H502" t="s">
        <v>112</v>
      </c>
      <c r="I502" t="s">
        <v>112</v>
      </c>
      <c r="J502" t="s">
        <v>112</v>
      </c>
      <c r="K502" t="s">
        <v>150</v>
      </c>
      <c r="L502" t="s">
        <v>1176</v>
      </c>
      <c r="M502" t="s">
        <v>112</v>
      </c>
      <c r="N502" t="s">
        <v>112</v>
      </c>
      <c r="O502">
        <v>1</v>
      </c>
      <c r="P502">
        <v>0</v>
      </c>
      <c r="Q502">
        <v>1</v>
      </c>
      <c r="R502">
        <v>33</v>
      </c>
      <c r="S502" t="s">
        <v>166</v>
      </c>
      <c r="T502" t="s">
        <v>152</v>
      </c>
      <c r="U502" t="s">
        <v>153</v>
      </c>
      <c r="V502" t="s">
        <v>154</v>
      </c>
      <c r="W502" t="s">
        <v>119</v>
      </c>
      <c r="X502" t="s">
        <v>112</v>
      </c>
      <c r="Y502" t="s">
        <v>166</v>
      </c>
      <c r="Z502" t="s">
        <v>152</v>
      </c>
      <c r="AA502" t="s">
        <v>153</v>
      </c>
      <c r="AB502" t="s">
        <v>154</v>
      </c>
      <c r="AC502" t="s">
        <v>119</v>
      </c>
      <c r="AD502" t="s">
        <v>112</v>
      </c>
      <c r="AE502" t="s">
        <v>121</v>
      </c>
      <c r="AF502" t="s">
        <v>122</v>
      </c>
      <c r="AG502">
        <v>4387167.97</v>
      </c>
      <c r="AH502" t="s">
        <v>166</v>
      </c>
      <c r="AI502" t="s">
        <v>152</v>
      </c>
      <c r="AJ502" t="s">
        <v>153</v>
      </c>
      <c r="AK502" t="s">
        <v>154</v>
      </c>
      <c r="AL502" t="s">
        <v>119</v>
      </c>
      <c r="AM502" t="s">
        <v>112</v>
      </c>
      <c r="AN502" t="s">
        <v>121</v>
      </c>
      <c r="AO502" t="s">
        <v>122</v>
      </c>
      <c r="AP502" t="s">
        <v>122</v>
      </c>
      <c r="AQ502" t="s">
        <v>124</v>
      </c>
      <c r="AR502" t="s">
        <v>125</v>
      </c>
      <c r="AS502">
        <v>2</v>
      </c>
      <c r="AT502" t="s">
        <v>126</v>
      </c>
      <c r="AU502" t="s">
        <v>155</v>
      </c>
      <c r="AV502" t="s">
        <v>156</v>
      </c>
      <c r="AW502">
        <v>1</v>
      </c>
      <c r="AX502" t="s">
        <v>129</v>
      </c>
      <c r="AY502">
        <v>46132.5</v>
      </c>
      <c r="AZ502">
        <v>3971372</v>
      </c>
      <c r="BA502">
        <v>55463.28</v>
      </c>
      <c r="BB502">
        <v>86.086200000000005</v>
      </c>
      <c r="BC502" t="s">
        <v>130</v>
      </c>
      <c r="BD502" t="s">
        <v>112</v>
      </c>
      <c r="BE502" t="s">
        <v>157</v>
      </c>
      <c r="BF502" t="s">
        <v>133</v>
      </c>
      <c r="BG502" t="s">
        <v>134</v>
      </c>
      <c r="BH502" t="s">
        <v>112</v>
      </c>
      <c r="BI502" t="s">
        <v>112</v>
      </c>
      <c r="BJ502" t="s">
        <v>112</v>
      </c>
      <c r="BK502" t="s">
        <v>169</v>
      </c>
      <c r="BL502" t="s">
        <v>159</v>
      </c>
      <c r="BM502" t="s">
        <v>722</v>
      </c>
      <c r="BN502" t="s">
        <v>161</v>
      </c>
      <c r="BO502">
        <v>1</v>
      </c>
      <c r="BP502" t="s">
        <v>162</v>
      </c>
      <c r="BR502" t="s">
        <v>150</v>
      </c>
      <c r="BS502">
        <v>33</v>
      </c>
      <c r="BT502">
        <v>0</v>
      </c>
      <c r="BU502">
        <v>0</v>
      </c>
      <c r="BW502">
        <v>0</v>
      </c>
      <c r="BY502" t="s">
        <v>106</v>
      </c>
      <c r="BZ502" t="s">
        <v>142</v>
      </c>
      <c r="CA502" t="s">
        <v>112</v>
      </c>
      <c r="CB502" t="s">
        <v>112</v>
      </c>
      <c r="CC502" t="s">
        <v>121</v>
      </c>
      <c r="CD502">
        <v>16690.34</v>
      </c>
      <c r="CE502" t="s">
        <v>144</v>
      </c>
      <c r="CF502">
        <v>4000000</v>
      </c>
      <c r="CG502">
        <v>16690.34</v>
      </c>
      <c r="CH502">
        <v>0</v>
      </c>
      <c r="CI502" t="s">
        <v>112</v>
      </c>
      <c r="CJ502" t="s">
        <v>112</v>
      </c>
      <c r="CK502">
        <v>46132.5</v>
      </c>
      <c r="CL502">
        <v>3971372</v>
      </c>
      <c r="CM502">
        <v>0</v>
      </c>
      <c r="CN502">
        <v>1</v>
      </c>
      <c r="CO502">
        <v>4387167.97</v>
      </c>
      <c r="CP502">
        <v>55463.28</v>
      </c>
      <c r="CQ502" t="s">
        <v>145</v>
      </c>
      <c r="CR502">
        <v>55463.668854000003</v>
      </c>
      <c r="CS502">
        <v>3.3231000000000002</v>
      </c>
      <c r="CT502">
        <v>45</v>
      </c>
      <c r="CU502" t="s">
        <v>171</v>
      </c>
      <c r="CV502" t="s">
        <v>350</v>
      </c>
      <c r="CW502">
        <v>547</v>
      </c>
    </row>
    <row r="503" spans="1:101" x14ac:dyDescent="0.2">
      <c r="A503" t="s">
        <v>106</v>
      </c>
      <c r="B503" s="46">
        <v>45269</v>
      </c>
      <c r="C503" t="s">
        <v>1181</v>
      </c>
      <c r="D503" t="s">
        <v>108</v>
      </c>
      <c r="E503" t="s">
        <v>1182</v>
      </c>
      <c r="F503" t="s">
        <v>110</v>
      </c>
      <c r="G503" t="s">
        <v>111</v>
      </c>
      <c r="H503" t="s">
        <v>112</v>
      </c>
      <c r="I503" t="s">
        <v>112</v>
      </c>
      <c r="J503" t="s">
        <v>112</v>
      </c>
      <c r="K503" t="s">
        <v>150</v>
      </c>
      <c r="L503" t="s">
        <v>1176</v>
      </c>
      <c r="M503" t="s">
        <v>112</v>
      </c>
      <c r="N503" t="s">
        <v>112</v>
      </c>
      <c r="O503">
        <v>1</v>
      </c>
      <c r="P503">
        <v>0</v>
      </c>
      <c r="Q503">
        <v>1</v>
      </c>
      <c r="R503">
        <v>33</v>
      </c>
      <c r="S503" t="s">
        <v>166</v>
      </c>
      <c r="T503" t="s">
        <v>152</v>
      </c>
      <c r="U503" t="s">
        <v>153</v>
      </c>
      <c r="V503" t="s">
        <v>154</v>
      </c>
      <c r="W503" t="s">
        <v>119</v>
      </c>
      <c r="X503" t="s">
        <v>112</v>
      </c>
      <c r="Y503" t="s">
        <v>166</v>
      </c>
      <c r="Z503" t="s">
        <v>152</v>
      </c>
      <c r="AA503" t="s">
        <v>153</v>
      </c>
      <c r="AB503" t="s">
        <v>154</v>
      </c>
      <c r="AC503" t="s">
        <v>119</v>
      </c>
      <c r="AD503" t="s">
        <v>112</v>
      </c>
      <c r="AE503" t="s">
        <v>121</v>
      </c>
      <c r="AF503" t="s">
        <v>122</v>
      </c>
      <c r="AG503">
        <v>4197966</v>
      </c>
      <c r="AH503" t="s">
        <v>166</v>
      </c>
      <c r="AI503" t="s">
        <v>152</v>
      </c>
      <c r="AJ503" t="s">
        <v>153</v>
      </c>
      <c r="AK503" t="s">
        <v>154</v>
      </c>
      <c r="AL503" t="s">
        <v>119</v>
      </c>
      <c r="AM503" t="s">
        <v>112</v>
      </c>
      <c r="AN503" t="s">
        <v>121</v>
      </c>
      <c r="AO503" t="s">
        <v>122</v>
      </c>
      <c r="AP503" t="s">
        <v>122</v>
      </c>
      <c r="AQ503" t="s">
        <v>124</v>
      </c>
      <c r="AR503" t="s">
        <v>125</v>
      </c>
      <c r="AS503">
        <v>2</v>
      </c>
      <c r="AT503" t="s">
        <v>126</v>
      </c>
      <c r="AU503" t="s">
        <v>155</v>
      </c>
      <c r="AV503" t="s">
        <v>156</v>
      </c>
      <c r="AW503">
        <v>1</v>
      </c>
      <c r="AX503" t="s">
        <v>129</v>
      </c>
      <c r="AY503">
        <v>44634.68</v>
      </c>
      <c r="AZ503">
        <v>3842430</v>
      </c>
      <c r="BA503">
        <v>53071.360000000001</v>
      </c>
      <c r="BB503">
        <v>86.086200000000005</v>
      </c>
      <c r="BC503" t="s">
        <v>130</v>
      </c>
      <c r="BD503" t="s">
        <v>112</v>
      </c>
      <c r="BE503" t="s">
        <v>157</v>
      </c>
      <c r="BF503" t="s">
        <v>133</v>
      </c>
      <c r="BG503" t="s">
        <v>134</v>
      </c>
      <c r="BH503" t="s">
        <v>112</v>
      </c>
      <c r="BI503" t="s">
        <v>112</v>
      </c>
      <c r="BJ503" t="s">
        <v>112</v>
      </c>
      <c r="BK503" t="s">
        <v>169</v>
      </c>
      <c r="BL503" t="s">
        <v>159</v>
      </c>
      <c r="BM503" t="s">
        <v>722</v>
      </c>
      <c r="BN503" t="s">
        <v>161</v>
      </c>
      <c r="BO503">
        <v>1</v>
      </c>
      <c r="BP503" t="s">
        <v>205</v>
      </c>
      <c r="BR503" t="s">
        <v>150</v>
      </c>
      <c r="BS503">
        <v>33</v>
      </c>
      <c r="BT503">
        <v>0</v>
      </c>
      <c r="BU503">
        <v>0</v>
      </c>
      <c r="BW503">
        <v>0</v>
      </c>
      <c r="BY503" t="s">
        <v>106</v>
      </c>
      <c r="BZ503" t="s">
        <v>142</v>
      </c>
      <c r="CA503" t="s">
        <v>112</v>
      </c>
      <c r="CB503" t="s">
        <v>112</v>
      </c>
      <c r="CC503" t="s">
        <v>121</v>
      </c>
      <c r="CD503">
        <v>16449.86</v>
      </c>
      <c r="CE503" t="s">
        <v>144</v>
      </c>
      <c r="CF503">
        <v>4000000</v>
      </c>
      <c r="CG503">
        <v>16449.86</v>
      </c>
      <c r="CH503">
        <v>0</v>
      </c>
      <c r="CI503" t="s">
        <v>112</v>
      </c>
      <c r="CJ503" t="s">
        <v>112</v>
      </c>
      <c r="CK503">
        <v>44634.68</v>
      </c>
      <c r="CL503">
        <v>3842430</v>
      </c>
      <c r="CM503">
        <v>0</v>
      </c>
      <c r="CN503">
        <v>1</v>
      </c>
      <c r="CO503">
        <v>4197966</v>
      </c>
      <c r="CP503">
        <v>53071.360000000001</v>
      </c>
      <c r="CQ503" t="s">
        <v>145</v>
      </c>
      <c r="CR503">
        <v>53070.538332000004</v>
      </c>
      <c r="CS503">
        <v>3.2262</v>
      </c>
      <c r="CT503">
        <v>45</v>
      </c>
      <c r="CU503" t="s">
        <v>171</v>
      </c>
      <c r="CV503" t="s">
        <v>463</v>
      </c>
      <c r="CW503">
        <v>325</v>
      </c>
    </row>
    <row r="504" spans="1:101" x14ac:dyDescent="0.2">
      <c r="A504" t="s">
        <v>106</v>
      </c>
      <c r="B504" s="46">
        <v>45074</v>
      </c>
      <c r="C504" t="s">
        <v>938</v>
      </c>
      <c r="D504" t="s">
        <v>108</v>
      </c>
      <c r="E504" t="s">
        <v>939</v>
      </c>
      <c r="F504" t="s">
        <v>110</v>
      </c>
      <c r="G504" t="s">
        <v>111</v>
      </c>
      <c r="H504" t="s">
        <v>112</v>
      </c>
      <c r="I504" t="s">
        <v>112</v>
      </c>
      <c r="J504" t="s">
        <v>112</v>
      </c>
      <c r="K504" t="s">
        <v>150</v>
      </c>
      <c r="L504" t="s">
        <v>151</v>
      </c>
      <c r="M504" t="s">
        <v>112</v>
      </c>
      <c r="N504" t="s">
        <v>112</v>
      </c>
      <c r="O504">
        <v>1</v>
      </c>
      <c r="P504">
        <v>0</v>
      </c>
      <c r="Q504">
        <v>1</v>
      </c>
      <c r="R504">
        <v>33</v>
      </c>
      <c r="S504" t="s">
        <v>166</v>
      </c>
      <c r="T504" t="s">
        <v>152</v>
      </c>
      <c r="U504" t="s">
        <v>153</v>
      </c>
      <c r="V504" t="s">
        <v>154</v>
      </c>
      <c r="W504" t="s">
        <v>119</v>
      </c>
      <c r="X504" t="s">
        <v>112</v>
      </c>
      <c r="Y504" t="s">
        <v>166</v>
      </c>
      <c r="Z504" t="s">
        <v>152</v>
      </c>
      <c r="AA504" t="s">
        <v>153</v>
      </c>
      <c r="AB504" t="s">
        <v>154</v>
      </c>
      <c r="AC504" t="s">
        <v>119</v>
      </c>
      <c r="AD504" t="s">
        <v>112</v>
      </c>
      <c r="AE504" t="s">
        <v>121</v>
      </c>
      <c r="AF504" t="s">
        <v>122</v>
      </c>
      <c r="AG504">
        <v>3804333.81</v>
      </c>
      <c r="AH504" t="s">
        <v>166</v>
      </c>
      <c r="AI504" t="s">
        <v>152</v>
      </c>
      <c r="AJ504" t="s">
        <v>153</v>
      </c>
      <c r="AK504" t="s">
        <v>154</v>
      </c>
      <c r="AL504" t="s">
        <v>119</v>
      </c>
      <c r="AM504" t="s">
        <v>112</v>
      </c>
      <c r="AN504" t="s">
        <v>121</v>
      </c>
      <c r="AO504" t="s">
        <v>122</v>
      </c>
      <c r="AP504" t="s">
        <v>122</v>
      </c>
      <c r="AQ504" t="s">
        <v>124</v>
      </c>
      <c r="AR504" t="s">
        <v>125</v>
      </c>
      <c r="AS504">
        <v>2</v>
      </c>
      <c r="AT504" t="s">
        <v>126</v>
      </c>
      <c r="AU504" t="s">
        <v>155</v>
      </c>
      <c r="AV504" t="s">
        <v>156</v>
      </c>
      <c r="AW504">
        <v>1</v>
      </c>
      <c r="AX504" t="s">
        <v>129</v>
      </c>
      <c r="AY504">
        <v>42688.92</v>
      </c>
      <c r="AZ504">
        <v>3452522</v>
      </c>
      <c r="BA504">
        <v>50225.08</v>
      </c>
      <c r="BB504">
        <v>80.876300000000001</v>
      </c>
      <c r="BC504" t="s">
        <v>130</v>
      </c>
      <c r="BD504" t="s">
        <v>112</v>
      </c>
      <c r="BE504" t="s">
        <v>157</v>
      </c>
      <c r="BF504" t="s">
        <v>133</v>
      </c>
      <c r="BG504" t="s">
        <v>134</v>
      </c>
      <c r="BH504" t="s">
        <v>112</v>
      </c>
      <c r="BI504" t="s">
        <v>112</v>
      </c>
      <c r="BJ504" t="s">
        <v>112</v>
      </c>
      <c r="BK504" t="s">
        <v>169</v>
      </c>
      <c r="BL504" t="s">
        <v>159</v>
      </c>
      <c r="BM504" t="s">
        <v>212</v>
      </c>
      <c r="BN504" t="s">
        <v>161</v>
      </c>
      <c r="BO504">
        <v>1</v>
      </c>
      <c r="BP504" t="s">
        <v>650</v>
      </c>
      <c r="BR504" t="s">
        <v>150</v>
      </c>
      <c r="BS504">
        <v>33</v>
      </c>
      <c r="BT504">
        <v>0</v>
      </c>
      <c r="BU504">
        <v>0</v>
      </c>
      <c r="BW504">
        <v>0</v>
      </c>
      <c r="BY504" t="s">
        <v>106</v>
      </c>
      <c r="BZ504" t="s">
        <v>142</v>
      </c>
      <c r="CA504" t="s">
        <v>112</v>
      </c>
      <c r="CB504" t="s">
        <v>112</v>
      </c>
      <c r="CC504" t="s">
        <v>121</v>
      </c>
      <c r="CD504">
        <v>15055.06</v>
      </c>
      <c r="CE504" t="s">
        <v>144</v>
      </c>
      <c r="CF504">
        <v>4000000</v>
      </c>
      <c r="CG504">
        <v>14871.46</v>
      </c>
      <c r="CH504">
        <v>0</v>
      </c>
      <c r="CI504" t="s">
        <v>112</v>
      </c>
      <c r="CJ504" t="s">
        <v>112</v>
      </c>
      <c r="CK504">
        <v>42688.92</v>
      </c>
      <c r="CL504">
        <v>3452522</v>
      </c>
      <c r="CM504">
        <v>0</v>
      </c>
      <c r="CN504">
        <v>1</v>
      </c>
      <c r="CO504">
        <v>3804333.81</v>
      </c>
      <c r="CP504">
        <v>50225.08</v>
      </c>
      <c r="CQ504" t="s">
        <v>145</v>
      </c>
      <c r="CR504">
        <v>50225.381857999993</v>
      </c>
      <c r="CS504">
        <v>3.3773</v>
      </c>
      <c r="CT504">
        <v>45</v>
      </c>
      <c r="CU504" t="s">
        <v>171</v>
      </c>
      <c r="CV504" t="s">
        <v>369</v>
      </c>
      <c r="CW504">
        <v>24</v>
      </c>
    </row>
    <row r="505" spans="1:101" x14ac:dyDescent="0.2">
      <c r="A505" t="s">
        <v>106</v>
      </c>
      <c r="B505" s="46">
        <v>45157</v>
      </c>
      <c r="C505" t="s">
        <v>942</v>
      </c>
      <c r="D505" t="s">
        <v>108</v>
      </c>
      <c r="E505" t="s">
        <v>943</v>
      </c>
      <c r="F505" t="s">
        <v>110</v>
      </c>
      <c r="G505" t="s">
        <v>111</v>
      </c>
      <c r="H505" t="s">
        <v>112</v>
      </c>
      <c r="I505" t="s">
        <v>112</v>
      </c>
      <c r="J505" t="s">
        <v>112</v>
      </c>
      <c r="K505" t="s">
        <v>150</v>
      </c>
      <c r="L505" t="s">
        <v>151</v>
      </c>
      <c r="M505" t="s">
        <v>112</v>
      </c>
      <c r="N505" t="s">
        <v>112</v>
      </c>
      <c r="O505">
        <v>1</v>
      </c>
      <c r="P505">
        <v>0</v>
      </c>
      <c r="Q505">
        <v>1</v>
      </c>
      <c r="R505">
        <v>33</v>
      </c>
      <c r="S505" t="s">
        <v>166</v>
      </c>
      <c r="T505" t="s">
        <v>152</v>
      </c>
      <c r="U505" t="s">
        <v>153</v>
      </c>
      <c r="V505" t="s">
        <v>154</v>
      </c>
      <c r="W505" t="s">
        <v>119</v>
      </c>
      <c r="X505" t="s">
        <v>112</v>
      </c>
      <c r="Y505" t="s">
        <v>166</v>
      </c>
      <c r="Z505" t="s">
        <v>152</v>
      </c>
      <c r="AA505" t="s">
        <v>153</v>
      </c>
      <c r="AB505" t="s">
        <v>154</v>
      </c>
      <c r="AC505" t="s">
        <v>119</v>
      </c>
      <c r="AD505" t="s">
        <v>112</v>
      </c>
      <c r="AE505" t="s">
        <v>121</v>
      </c>
      <c r="AF505" t="s">
        <v>122</v>
      </c>
      <c r="AG505">
        <v>3702713.55</v>
      </c>
      <c r="AH505" t="s">
        <v>166</v>
      </c>
      <c r="AI505" t="s">
        <v>152</v>
      </c>
      <c r="AJ505" t="s">
        <v>153</v>
      </c>
      <c r="AK505" t="s">
        <v>154</v>
      </c>
      <c r="AL505" t="s">
        <v>119</v>
      </c>
      <c r="AM505" t="s">
        <v>112</v>
      </c>
      <c r="AN505" t="s">
        <v>121</v>
      </c>
      <c r="AO505" t="s">
        <v>122</v>
      </c>
      <c r="AP505" t="s">
        <v>122</v>
      </c>
      <c r="AQ505" t="s">
        <v>124</v>
      </c>
      <c r="AR505" t="s">
        <v>125</v>
      </c>
      <c r="AS505">
        <v>2</v>
      </c>
      <c r="AT505" t="s">
        <v>126</v>
      </c>
      <c r="AU505" t="s">
        <v>155</v>
      </c>
      <c r="AV505" t="s">
        <v>156</v>
      </c>
      <c r="AW505">
        <v>1</v>
      </c>
      <c r="AX505" t="s">
        <v>129</v>
      </c>
      <c r="AY505">
        <v>40932.43</v>
      </c>
      <c r="AZ505">
        <v>3310463</v>
      </c>
      <c r="BA505">
        <v>48883.48</v>
      </c>
      <c r="BB505">
        <v>80.876300000000001</v>
      </c>
      <c r="BC505" t="s">
        <v>130</v>
      </c>
      <c r="BD505" t="s">
        <v>112</v>
      </c>
      <c r="BE505" t="s">
        <v>157</v>
      </c>
      <c r="BF505" t="s">
        <v>133</v>
      </c>
      <c r="BG505" t="s">
        <v>134</v>
      </c>
      <c r="BH505" t="s">
        <v>112</v>
      </c>
      <c r="BI505" t="s">
        <v>112</v>
      </c>
      <c r="BJ505" t="s">
        <v>112</v>
      </c>
      <c r="BK505" t="s">
        <v>169</v>
      </c>
      <c r="BL505" t="s">
        <v>159</v>
      </c>
      <c r="BM505" t="s">
        <v>212</v>
      </c>
      <c r="BN505" t="s">
        <v>161</v>
      </c>
      <c r="BO505">
        <v>1</v>
      </c>
      <c r="BP505" t="s">
        <v>493</v>
      </c>
      <c r="BR505" t="s">
        <v>150</v>
      </c>
      <c r="BS505">
        <v>33</v>
      </c>
      <c r="BT505">
        <v>0</v>
      </c>
      <c r="BU505">
        <v>0</v>
      </c>
      <c r="BW505">
        <v>0</v>
      </c>
      <c r="BY505" t="s">
        <v>106</v>
      </c>
      <c r="BZ505" t="s">
        <v>142</v>
      </c>
      <c r="CA505" t="s">
        <v>112</v>
      </c>
      <c r="CB505" t="s">
        <v>112</v>
      </c>
      <c r="CC505" t="s">
        <v>121</v>
      </c>
      <c r="CD505">
        <v>16837.03</v>
      </c>
      <c r="CE505" t="s">
        <v>144</v>
      </c>
      <c r="CF505">
        <v>4000000</v>
      </c>
      <c r="CG505">
        <v>16772.23</v>
      </c>
      <c r="CH505">
        <v>0</v>
      </c>
      <c r="CI505" t="s">
        <v>112</v>
      </c>
      <c r="CJ505" t="s">
        <v>112</v>
      </c>
      <c r="CK505">
        <v>40932.43</v>
      </c>
      <c r="CL505">
        <v>3310463</v>
      </c>
      <c r="CM505">
        <v>0</v>
      </c>
      <c r="CN505">
        <v>1</v>
      </c>
      <c r="CO505">
        <v>3702713.55</v>
      </c>
      <c r="CP505">
        <v>48883.48</v>
      </c>
      <c r="CQ505" t="s">
        <v>145</v>
      </c>
      <c r="CR505">
        <v>48882.664334999994</v>
      </c>
      <c r="CS505">
        <v>2.9144999999999999</v>
      </c>
      <c r="CT505">
        <v>45</v>
      </c>
      <c r="CU505" t="s">
        <v>171</v>
      </c>
      <c r="CV505" t="s">
        <v>172</v>
      </c>
      <c r="CW505">
        <v>78</v>
      </c>
    </row>
    <row r="506" spans="1:101" x14ac:dyDescent="0.2">
      <c r="A506" t="s">
        <v>106</v>
      </c>
      <c r="B506" s="46">
        <v>45135</v>
      </c>
      <c r="C506" t="s">
        <v>940</v>
      </c>
      <c r="D506" t="s">
        <v>108</v>
      </c>
      <c r="E506" t="s">
        <v>941</v>
      </c>
      <c r="F506" t="s">
        <v>110</v>
      </c>
      <c r="G506" t="s">
        <v>111</v>
      </c>
      <c r="H506" t="s">
        <v>112</v>
      </c>
      <c r="I506" t="s">
        <v>112</v>
      </c>
      <c r="J506" t="s">
        <v>112</v>
      </c>
      <c r="K506" t="s">
        <v>150</v>
      </c>
      <c r="L506" t="s">
        <v>151</v>
      </c>
      <c r="M506" t="s">
        <v>112</v>
      </c>
      <c r="N506" t="s">
        <v>112</v>
      </c>
      <c r="O506">
        <v>1</v>
      </c>
      <c r="P506">
        <v>0</v>
      </c>
      <c r="Q506">
        <v>1</v>
      </c>
      <c r="R506">
        <v>33</v>
      </c>
      <c r="S506" t="s">
        <v>166</v>
      </c>
      <c r="T506" t="s">
        <v>152</v>
      </c>
      <c r="U506" t="s">
        <v>153</v>
      </c>
      <c r="V506" t="s">
        <v>154</v>
      </c>
      <c r="W506" t="s">
        <v>119</v>
      </c>
      <c r="X506" t="s">
        <v>112</v>
      </c>
      <c r="Y506" t="s">
        <v>166</v>
      </c>
      <c r="Z506" t="s">
        <v>152</v>
      </c>
      <c r="AA506" t="s">
        <v>153</v>
      </c>
      <c r="AB506" t="s">
        <v>154</v>
      </c>
      <c r="AC506" t="s">
        <v>119</v>
      </c>
      <c r="AD506" t="s">
        <v>112</v>
      </c>
      <c r="AE506" t="s">
        <v>121</v>
      </c>
      <c r="AF506" t="s">
        <v>122</v>
      </c>
      <c r="AG506">
        <v>3536908.24</v>
      </c>
      <c r="AH506" t="s">
        <v>166</v>
      </c>
      <c r="AI506" t="s">
        <v>152</v>
      </c>
      <c r="AJ506" t="s">
        <v>153</v>
      </c>
      <c r="AK506" t="s">
        <v>154</v>
      </c>
      <c r="AL506" t="s">
        <v>119</v>
      </c>
      <c r="AM506" t="s">
        <v>112</v>
      </c>
      <c r="AN506" t="s">
        <v>121</v>
      </c>
      <c r="AO506" t="s">
        <v>122</v>
      </c>
      <c r="AP506" t="s">
        <v>122</v>
      </c>
      <c r="AQ506" t="s">
        <v>124</v>
      </c>
      <c r="AR506" t="s">
        <v>125</v>
      </c>
      <c r="AS506">
        <v>2</v>
      </c>
      <c r="AT506" t="s">
        <v>126</v>
      </c>
      <c r="AU506" t="s">
        <v>155</v>
      </c>
      <c r="AV506" t="s">
        <v>156</v>
      </c>
      <c r="AW506">
        <v>1</v>
      </c>
      <c r="AX506" t="s">
        <v>129</v>
      </c>
      <c r="AY506">
        <v>39382.32</v>
      </c>
      <c r="AZ506">
        <v>3185096</v>
      </c>
      <c r="BA506">
        <v>46694.51</v>
      </c>
      <c r="BB506">
        <v>80.876300000000001</v>
      </c>
      <c r="BC506" t="s">
        <v>130</v>
      </c>
      <c r="BD506" t="s">
        <v>112</v>
      </c>
      <c r="BE506" t="s">
        <v>157</v>
      </c>
      <c r="BF506" t="s">
        <v>133</v>
      </c>
      <c r="BG506" t="s">
        <v>134</v>
      </c>
      <c r="BH506" t="s">
        <v>112</v>
      </c>
      <c r="BI506" t="s">
        <v>112</v>
      </c>
      <c r="BJ506" t="s">
        <v>112</v>
      </c>
      <c r="BK506" t="s">
        <v>169</v>
      </c>
      <c r="BL506" t="s">
        <v>159</v>
      </c>
      <c r="BM506" t="s">
        <v>212</v>
      </c>
      <c r="BN506" t="s">
        <v>161</v>
      </c>
      <c r="BO506">
        <v>1</v>
      </c>
      <c r="BP506" t="s">
        <v>616</v>
      </c>
      <c r="BR506" t="s">
        <v>150</v>
      </c>
      <c r="BS506">
        <v>33</v>
      </c>
      <c r="BT506">
        <v>0</v>
      </c>
      <c r="BU506">
        <v>0</v>
      </c>
      <c r="BW506">
        <v>0</v>
      </c>
      <c r="BY506" t="s">
        <v>106</v>
      </c>
      <c r="BZ506" t="s">
        <v>142</v>
      </c>
      <c r="CA506" t="s">
        <v>112</v>
      </c>
      <c r="CB506" t="s">
        <v>112</v>
      </c>
      <c r="CC506" t="s">
        <v>121</v>
      </c>
      <c r="CD506">
        <v>15773.8</v>
      </c>
      <c r="CE506" t="s">
        <v>144</v>
      </c>
      <c r="CF506">
        <v>4000000</v>
      </c>
      <c r="CG506">
        <v>15514.6</v>
      </c>
      <c r="CH506">
        <v>0</v>
      </c>
      <c r="CI506" t="s">
        <v>112</v>
      </c>
      <c r="CJ506" t="s">
        <v>112</v>
      </c>
      <c r="CK506">
        <v>39382.32</v>
      </c>
      <c r="CL506">
        <v>3185096</v>
      </c>
      <c r="CM506">
        <v>0</v>
      </c>
      <c r="CN506">
        <v>1</v>
      </c>
      <c r="CO506">
        <v>3536908.24</v>
      </c>
      <c r="CP506">
        <v>46694.51</v>
      </c>
      <c r="CQ506" t="s">
        <v>145</v>
      </c>
      <c r="CR506">
        <v>46694.291620000004</v>
      </c>
      <c r="CS506">
        <v>3.0097</v>
      </c>
      <c r="CT506">
        <v>45</v>
      </c>
      <c r="CU506" t="s">
        <v>171</v>
      </c>
      <c r="CV506" t="s">
        <v>372</v>
      </c>
      <c r="CW506">
        <v>246</v>
      </c>
    </row>
    <row r="507" spans="1:101" x14ac:dyDescent="0.2">
      <c r="A507" t="s">
        <v>106</v>
      </c>
      <c r="B507" s="46">
        <v>44954</v>
      </c>
      <c r="C507" t="s">
        <v>604</v>
      </c>
      <c r="D507" t="s">
        <v>108</v>
      </c>
      <c r="E507" t="s">
        <v>605</v>
      </c>
      <c r="F507" t="s">
        <v>110</v>
      </c>
      <c r="G507" t="s">
        <v>111</v>
      </c>
      <c r="H507" t="s">
        <v>112</v>
      </c>
      <c r="I507" t="s">
        <v>112</v>
      </c>
      <c r="J507" t="s">
        <v>112</v>
      </c>
      <c r="K507" t="s">
        <v>150</v>
      </c>
      <c r="L507" t="s">
        <v>151</v>
      </c>
      <c r="M507" t="s">
        <v>112</v>
      </c>
      <c r="N507" t="s">
        <v>112</v>
      </c>
      <c r="O507">
        <v>1</v>
      </c>
      <c r="P507">
        <v>0</v>
      </c>
      <c r="Q507">
        <v>1</v>
      </c>
      <c r="R507">
        <v>33</v>
      </c>
      <c r="S507" t="s">
        <v>166</v>
      </c>
      <c r="T507" t="s">
        <v>152</v>
      </c>
      <c r="U507" t="s">
        <v>153</v>
      </c>
      <c r="V507" t="s">
        <v>154</v>
      </c>
      <c r="W507" t="s">
        <v>119</v>
      </c>
      <c r="X507" t="s">
        <v>112</v>
      </c>
      <c r="Y507" t="s">
        <v>166</v>
      </c>
      <c r="Z507" t="s">
        <v>152</v>
      </c>
      <c r="AA507" t="s">
        <v>153</v>
      </c>
      <c r="AB507" t="s">
        <v>154</v>
      </c>
      <c r="AC507" t="s">
        <v>119</v>
      </c>
      <c r="AD507" t="s">
        <v>112</v>
      </c>
      <c r="AE507" t="s">
        <v>121</v>
      </c>
      <c r="AF507" t="s">
        <v>122</v>
      </c>
      <c r="AG507">
        <v>3978592.24</v>
      </c>
      <c r="AH507" t="s">
        <v>166</v>
      </c>
      <c r="AI507" t="s">
        <v>152</v>
      </c>
      <c r="AJ507" t="s">
        <v>153</v>
      </c>
      <c r="AK507" t="s">
        <v>154</v>
      </c>
      <c r="AL507" t="s">
        <v>119</v>
      </c>
      <c r="AM507" t="s">
        <v>112</v>
      </c>
      <c r="AN507" t="s">
        <v>121</v>
      </c>
      <c r="AO507" t="s">
        <v>122</v>
      </c>
      <c r="AP507" t="s">
        <v>122</v>
      </c>
      <c r="AQ507" t="s">
        <v>124</v>
      </c>
      <c r="AR507" t="s">
        <v>125</v>
      </c>
      <c r="AS507">
        <v>2</v>
      </c>
      <c r="AT507" t="s">
        <v>126</v>
      </c>
      <c r="AU507" t="s">
        <v>155</v>
      </c>
      <c r="AV507" t="s">
        <v>156</v>
      </c>
      <c r="AW507">
        <v>1</v>
      </c>
      <c r="AX507" t="s">
        <v>129</v>
      </c>
      <c r="AY507">
        <v>45154.05</v>
      </c>
      <c r="AZ507">
        <v>3592700</v>
      </c>
      <c r="BA507">
        <v>53614.28</v>
      </c>
      <c r="BB507">
        <v>79.565399999999997</v>
      </c>
      <c r="BC507" t="s">
        <v>130</v>
      </c>
      <c r="BD507" t="s">
        <v>112</v>
      </c>
      <c r="BE507" t="s">
        <v>157</v>
      </c>
      <c r="BF507" t="s">
        <v>133</v>
      </c>
      <c r="BG507" t="s">
        <v>134</v>
      </c>
      <c r="BH507" t="s">
        <v>112</v>
      </c>
      <c r="BI507" t="s">
        <v>112</v>
      </c>
      <c r="BJ507" t="s">
        <v>112</v>
      </c>
      <c r="BK507" t="s">
        <v>169</v>
      </c>
      <c r="BL507" t="s">
        <v>159</v>
      </c>
      <c r="BM507" t="s">
        <v>212</v>
      </c>
      <c r="BN507" t="s">
        <v>161</v>
      </c>
      <c r="BO507">
        <v>1</v>
      </c>
      <c r="BP507" t="s">
        <v>1967</v>
      </c>
      <c r="BR507" t="s">
        <v>150</v>
      </c>
      <c r="BS507">
        <v>33</v>
      </c>
      <c r="BT507">
        <v>0</v>
      </c>
      <c r="BU507">
        <v>0</v>
      </c>
      <c r="BW507">
        <v>0</v>
      </c>
      <c r="BY507" t="s">
        <v>106</v>
      </c>
      <c r="BZ507" t="s">
        <v>142</v>
      </c>
      <c r="CA507" t="s">
        <v>112</v>
      </c>
      <c r="CB507" t="s">
        <v>112</v>
      </c>
      <c r="CC507" t="s">
        <v>121</v>
      </c>
      <c r="CD507">
        <v>16876.03</v>
      </c>
      <c r="CE507" t="s">
        <v>144</v>
      </c>
      <c r="CF507">
        <v>4000000</v>
      </c>
      <c r="CG507">
        <v>16818.43</v>
      </c>
      <c r="CH507">
        <v>0</v>
      </c>
      <c r="CI507" t="s">
        <v>112</v>
      </c>
      <c r="CJ507" t="s">
        <v>112</v>
      </c>
      <c r="CK507">
        <v>45154.05</v>
      </c>
      <c r="CL507">
        <v>3592700</v>
      </c>
      <c r="CM507">
        <v>0</v>
      </c>
      <c r="CN507">
        <v>1</v>
      </c>
      <c r="CO507">
        <v>3978592.24</v>
      </c>
      <c r="CP507">
        <v>53614.28</v>
      </c>
      <c r="CQ507" t="s">
        <v>145</v>
      </c>
      <c r="CR507">
        <v>53613.791154000006</v>
      </c>
      <c r="CS507">
        <v>3.1878000000000002</v>
      </c>
      <c r="CT507">
        <v>45</v>
      </c>
      <c r="CU507" t="s">
        <v>171</v>
      </c>
      <c r="CV507" t="s">
        <v>172</v>
      </c>
      <c r="CW507">
        <v>9</v>
      </c>
    </row>
    <row r="508" spans="1:101" x14ac:dyDescent="0.2">
      <c r="A508" t="s">
        <v>106</v>
      </c>
      <c r="B508" s="46">
        <v>44866</v>
      </c>
      <c r="C508" t="s">
        <v>598</v>
      </c>
      <c r="D508" t="s">
        <v>108</v>
      </c>
      <c r="E508" t="s">
        <v>599</v>
      </c>
      <c r="F508" t="s">
        <v>110</v>
      </c>
      <c r="G508" t="s">
        <v>111</v>
      </c>
      <c r="H508" t="s">
        <v>112</v>
      </c>
      <c r="I508" t="s">
        <v>112</v>
      </c>
      <c r="J508" t="s">
        <v>112</v>
      </c>
      <c r="K508" t="s">
        <v>150</v>
      </c>
      <c r="L508" t="s">
        <v>151</v>
      </c>
      <c r="M508" t="s">
        <v>112</v>
      </c>
      <c r="N508" t="s">
        <v>112</v>
      </c>
      <c r="O508">
        <v>1</v>
      </c>
      <c r="P508">
        <v>0</v>
      </c>
      <c r="Q508">
        <v>1</v>
      </c>
      <c r="R508">
        <v>33</v>
      </c>
      <c r="S508" t="s">
        <v>166</v>
      </c>
      <c r="T508" t="s">
        <v>152</v>
      </c>
      <c r="U508" t="s">
        <v>153</v>
      </c>
      <c r="V508" t="s">
        <v>154</v>
      </c>
      <c r="W508" t="s">
        <v>119</v>
      </c>
      <c r="X508" t="s">
        <v>112</v>
      </c>
      <c r="Y508" t="s">
        <v>166</v>
      </c>
      <c r="Z508" t="s">
        <v>152</v>
      </c>
      <c r="AA508" t="s">
        <v>153</v>
      </c>
      <c r="AB508" t="s">
        <v>154</v>
      </c>
      <c r="AC508" t="s">
        <v>119</v>
      </c>
      <c r="AD508" t="s">
        <v>112</v>
      </c>
      <c r="AE508" t="s">
        <v>121</v>
      </c>
      <c r="AF508" t="s">
        <v>122</v>
      </c>
      <c r="AG508">
        <v>3788569.38</v>
      </c>
      <c r="AH508" t="s">
        <v>166</v>
      </c>
      <c r="AI508" t="s">
        <v>152</v>
      </c>
      <c r="AJ508" t="s">
        <v>153</v>
      </c>
      <c r="AK508" t="s">
        <v>154</v>
      </c>
      <c r="AL508" t="s">
        <v>119</v>
      </c>
      <c r="AM508" t="s">
        <v>112</v>
      </c>
      <c r="AN508" t="s">
        <v>121</v>
      </c>
      <c r="AO508" t="s">
        <v>122</v>
      </c>
      <c r="AP508" t="s">
        <v>122</v>
      </c>
      <c r="AQ508" t="s">
        <v>124</v>
      </c>
      <c r="AR508" t="s">
        <v>125</v>
      </c>
      <c r="AS508">
        <v>2</v>
      </c>
      <c r="AT508" t="s">
        <v>126</v>
      </c>
      <c r="AU508" t="s">
        <v>155</v>
      </c>
      <c r="AV508" t="s">
        <v>156</v>
      </c>
      <c r="AW508">
        <v>1</v>
      </c>
      <c r="AX508" t="s">
        <v>129</v>
      </c>
      <c r="AY508">
        <v>43265.79</v>
      </c>
      <c r="AZ508">
        <v>3442460</v>
      </c>
      <c r="BA508">
        <v>51053.59</v>
      </c>
      <c r="BB508">
        <v>79.565399999999997</v>
      </c>
      <c r="BC508" t="s">
        <v>130</v>
      </c>
      <c r="BD508" t="s">
        <v>112</v>
      </c>
      <c r="BE508" t="s">
        <v>157</v>
      </c>
      <c r="BF508" t="s">
        <v>133</v>
      </c>
      <c r="BG508" t="s">
        <v>134</v>
      </c>
      <c r="BH508" t="s">
        <v>112</v>
      </c>
      <c r="BI508" t="s">
        <v>112</v>
      </c>
      <c r="BJ508" t="s">
        <v>112</v>
      </c>
      <c r="BK508" t="s">
        <v>169</v>
      </c>
      <c r="BL508" t="s">
        <v>159</v>
      </c>
      <c r="BM508" t="s">
        <v>212</v>
      </c>
      <c r="BN508" t="s">
        <v>161</v>
      </c>
      <c r="BO508">
        <v>1</v>
      </c>
      <c r="BP508" t="s">
        <v>205</v>
      </c>
      <c r="BR508" t="s">
        <v>150</v>
      </c>
      <c r="BS508">
        <v>33</v>
      </c>
      <c r="BT508">
        <v>0</v>
      </c>
      <c r="BU508">
        <v>0</v>
      </c>
      <c r="BW508">
        <v>0</v>
      </c>
      <c r="BY508" t="s">
        <v>106</v>
      </c>
      <c r="BZ508" t="s">
        <v>142</v>
      </c>
      <c r="CA508" t="s">
        <v>112</v>
      </c>
      <c r="CB508" t="s">
        <v>112</v>
      </c>
      <c r="CC508" t="s">
        <v>121</v>
      </c>
      <c r="CD508">
        <v>16409.03</v>
      </c>
      <c r="CE508" t="s">
        <v>144</v>
      </c>
      <c r="CF508">
        <v>4000000</v>
      </c>
      <c r="CG508">
        <v>16355.03</v>
      </c>
      <c r="CH508">
        <v>0</v>
      </c>
      <c r="CI508" t="s">
        <v>112</v>
      </c>
      <c r="CJ508" t="s">
        <v>112</v>
      </c>
      <c r="CK508">
        <v>43265.79</v>
      </c>
      <c r="CL508">
        <v>3442460</v>
      </c>
      <c r="CM508">
        <v>0</v>
      </c>
      <c r="CN508">
        <v>1</v>
      </c>
      <c r="CO508">
        <v>3788569.38</v>
      </c>
      <c r="CP508">
        <v>51053.59</v>
      </c>
      <c r="CQ508" t="s">
        <v>145</v>
      </c>
      <c r="CR508">
        <v>51053.861647999998</v>
      </c>
      <c r="CS508">
        <v>3.1215999999999999</v>
      </c>
      <c r="CT508">
        <v>45</v>
      </c>
      <c r="CU508" t="s">
        <v>171</v>
      </c>
      <c r="CV508" t="s">
        <v>172</v>
      </c>
      <c r="CW508">
        <v>326</v>
      </c>
    </row>
    <row r="509" spans="1:101" x14ac:dyDescent="0.2">
      <c r="A509" t="s">
        <v>106</v>
      </c>
      <c r="B509" s="46">
        <v>45029</v>
      </c>
      <c r="C509" t="s">
        <v>606</v>
      </c>
      <c r="D509" t="s">
        <v>108</v>
      </c>
      <c r="E509" t="s">
        <v>607</v>
      </c>
      <c r="F509" t="s">
        <v>110</v>
      </c>
      <c r="G509" t="s">
        <v>111</v>
      </c>
      <c r="H509" t="s">
        <v>112</v>
      </c>
      <c r="I509" t="s">
        <v>112</v>
      </c>
      <c r="J509" t="s">
        <v>112</v>
      </c>
      <c r="K509" t="s">
        <v>150</v>
      </c>
      <c r="L509" t="s">
        <v>151</v>
      </c>
      <c r="M509" t="s">
        <v>112</v>
      </c>
      <c r="N509" t="s">
        <v>112</v>
      </c>
      <c r="O509">
        <v>1</v>
      </c>
      <c r="P509">
        <v>0</v>
      </c>
      <c r="Q509">
        <v>1</v>
      </c>
      <c r="R509">
        <v>33</v>
      </c>
      <c r="S509" t="s">
        <v>166</v>
      </c>
      <c r="T509" t="s">
        <v>152</v>
      </c>
      <c r="U509" t="s">
        <v>153</v>
      </c>
      <c r="V509" t="s">
        <v>154</v>
      </c>
      <c r="W509" t="s">
        <v>119</v>
      </c>
      <c r="X509" t="s">
        <v>112</v>
      </c>
      <c r="Y509" t="s">
        <v>166</v>
      </c>
      <c r="Z509" t="s">
        <v>152</v>
      </c>
      <c r="AA509" t="s">
        <v>153</v>
      </c>
      <c r="AB509" t="s">
        <v>154</v>
      </c>
      <c r="AC509" t="s">
        <v>119</v>
      </c>
      <c r="AD509" t="s">
        <v>112</v>
      </c>
      <c r="AE509" t="s">
        <v>121</v>
      </c>
      <c r="AF509" t="s">
        <v>122</v>
      </c>
      <c r="AG509">
        <v>3518639.78</v>
      </c>
      <c r="AH509" t="s">
        <v>166</v>
      </c>
      <c r="AI509" t="s">
        <v>152</v>
      </c>
      <c r="AJ509" t="s">
        <v>153</v>
      </c>
      <c r="AK509" t="s">
        <v>154</v>
      </c>
      <c r="AL509" t="s">
        <v>119</v>
      </c>
      <c r="AM509" t="s">
        <v>112</v>
      </c>
      <c r="AN509" t="s">
        <v>121</v>
      </c>
      <c r="AO509" t="s">
        <v>122</v>
      </c>
      <c r="AP509" t="s">
        <v>122</v>
      </c>
      <c r="AQ509" t="s">
        <v>124</v>
      </c>
      <c r="AR509" t="s">
        <v>125</v>
      </c>
      <c r="AS509">
        <v>2</v>
      </c>
      <c r="AT509" t="s">
        <v>126</v>
      </c>
      <c r="AU509" t="s">
        <v>155</v>
      </c>
      <c r="AV509" t="s">
        <v>156</v>
      </c>
      <c r="AW509">
        <v>1</v>
      </c>
      <c r="AX509" t="s">
        <v>129</v>
      </c>
      <c r="AY509">
        <v>39873.24</v>
      </c>
      <c r="AZ509">
        <v>3172530</v>
      </c>
      <c r="BA509">
        <v>47416.1</v>
      </c>
      <c r="BB509">
        <v>79.565399999999997</v>
      </c>
      <c r="BC509" t="s">
        <v>130</v>
      </c>
      <c r="BD509" t="s">
        <v>112</v>
      </c>
      <c r="BE509" t="s">
        <v>157</v>
      </c>
      <c r="BF509" t="s">
        <v>133</v>
      </c>
      <c r="BG509" t="s">
        <v>134</v>
      </c>
      <c r="BH509" t="s">
        <v>112</v>
      </c>
      <c r="BI509" t="s">
        <v>112</v>
      </c>
      <c r="BJ509" t="s">
        <v>112</v>
      </c>
      <c r="BK509" t="s">
        <v>169</v>
      </c>
      <c r="BL509" t="s">
        <v>159</v>
      </c>
      <c r="BM509" t="s">
        <v>212</v>
      </c>
      <c r="BN509" t="s">
        <v>161</v>
      </c>
      <c r="BO509">
        <v>1</v>
      </c>
      <c r="BP509" t="s">
        <v>232</v>
      </c>
      <c r="BR509" t="s">
        <v>150</v>
      </c>
      <c r="BS509">
        <v>33</v>
      </c>
      <c r="BT509">
        <v>0</v>
      </c>
      <c r="BU509">
        <v>0</v>
      </c>
      <c r="BW509">
        <v>0</v>
      </c>
      <c r="BY509" t="s">
        <v>106</v>
      </c>
      <c r="BZ509" t="s">
        <v>142</v>
      </c>
      <c r="CA509" t="s">
        <v>112</v>
      </c>
      <c r="CB509" t="s">
        <v>112</v>
      </c>
      <c r="CC509" t="s">
        <v>121</v>
      </c>
      <c r="CD509">
        <v>16799.71</v>
      </c>
      <c r="CE509" t="s">
        <v>144</v>
      </c>
      <c r="CF509">
        <v>4000000</v>
      </c>
      <c r="CG509">
        <v>16734.91</v>
      </c>
      <c r="CH509">
        <v>0</v>
      </c>
      <c r="CI509" t="s">
        <v>112</v>
      </c>
      <c r="CJ509" t="s">
        <v>112</v>
      </c>
      <c r="CK509">
        <v>39873.24</v>
      </c>
      <c r="CL509">
        <v>3172530</v>
      </c>
      <c r="CM509">
        <v>0</v>
      </c>
      <c r="CN509">
        <v>1</v>
      </c>
      <c r="CO509">
        <v>3518639.78</v>
      </c>
      <c r="CP509">
        <v>47416.1</v>
      </c>
      <c r="CQ509" t="s">
        <v>145</v>
      </c>
      <c r="CR509">
        <v>47416.693994000001</v>
      </c>
      <c r="CS509">
        <v>2.8334000000000001</v>
      </c>
      <c r="CT509">
        <v>45</v>
      </c>
      <c r="CU509" t="s">
        <v>171</v>
      </c>
      <c r="CV509" t="s">
        <v>372</v>
      </c>
      <c r="CW509">
        <v>65</v>
      </c>
    </row>
    <row r="510" spans="1:101" x14ac:dyDescent="0.2">
      <c r="A510" t="s">
        <v>106</v>
      </c>
      <c r="B510" s="46">
        <v>44981</v>
      </c>
      <c r="C510" t="s">
        <v>608</v>
      </c>
      <c r="D510" t="s">
        <v>108</v>
      </c>
      <c r="E510" t="s">
        <v>609</v>
      </c>
      <c r="F510" t="s">
        <v>110</v>
      </c>
      <c r="G510" t="s">
        <v>111</v>
      </c>
      <c r="H510" t="s">
        <v>112</v>
      </c>
      <c r="I510" t="s">
        <v>112</v>
      </c>
      <c r="J510" t="s">
        <v>112</v>
      </c>
      <c r="K510" t="s">
        <v>150</v>
      </c>
      <c r="L510" t="s">
        <v>151</v>
      </c>
      <c r="M510" t="s">
        <v>112</v>
      </c>
      <c r="N510" t="s">
        <v>112</v>
      </c>
      <c r="O510">
        <v>1</v>
      </c>
      <c r="P510">
        <v>0</v>
      </c>
      <c r="Q510">
        <v>1</v>
      </c>
      <c r="R510">
        <v>33</v>
      </c>
      <c r="S510" t="s">
        <v>166</v>
      </c>
      <c r="T510" t="s">
        <v>152</v>
      </c>
      <c r="U510" t="s">
        <v>153</v>
      </c>
      <c r="V510" t="s">
        <v>154</v>
      </c>
      <c r="W510" t="s">
        <v>119</v>
      </c>
      <c r="X510" t="s">
        <v>112</v>
      </c>
      <c r="Y510" t="s">
        <v>166</v>
      </c>
      <c r="Z510" t="s">
        <v>152</v>
      </c>
      <c r="AA510" t="s">
        <v>153</v>
      </c>
      <c r="AB510" t="s">
        <v>154</v>
      </c>
      <c r="AC510" t="s">
        <v>119</v>
      </c>
      <c r="AD510" t="s">
        <v>112</v>
      </c>
      <c r="AE510" t="s">
        <v>121</v>
      </c>
      <c r="AF510" t="s">
        <v>122</v>
      </c>
      <c r="AG510">
        <v>3780927.92</v>
      </c>
      <c r="AH510" t="s">
        <v>166</v>
      </c>
      <c r="AI510" t="s">
        <v>152</v>
      </c>
      <c r="AJ510" t="s">
        <v>153</v>
      </c>
      <c r="AK510" t="s">
        <v>154</v>
      </c>
      <c r="AL510" t="s">
        <v>119</v>
      </c>
      <c r="AM510" t="s">
        <v>112</v>
      </c>
      <c r="AN510" t="s">
        <v>121</v>
      </c>
      <c r="AO510" t="s">
        <v>122</v>
      </c>
      <c r="AP510" t="s">
        <v>122</v>
      </c>
      <c r="AQ510" t="s">
        <v>124</v>
      </c>
      <c r="AR510" t="s">
        <v>125</v>
      </c>
      <c r="AS510">
        <v>2</v>
      </c>
      <c r="AT510" t="s">
        <v>126</v>
      </c>
      <c r="AU510" t="s">
        <v>155</v>
      </c>
      <c r="AV510" t="s">
        <v>156</v>
      </c>
      <c r="AW510">
        <v>1</v>
      </c>
      <c r="AX510" t="s">
        <v>129</v>
      </c>
      <c r="AY510">
        <v>42669.75</v>
      </c>
      <c r="AZ510">
        <v>3395036</v>
      </c>
      <c r="BA510">
        <v>50950.61</v>
      </c>
      <c r="BB510">
        <v>79.565399999999997</v>
      </c>
      <c r="BC510" t="s">
        <v>130</v>
      </c>
      <c r="BD510" t="s">
        <v>112</v>
      </c>
      <c r="BE510" t="s">
        <v>157</v>
      </c>
      <c r="BF510" t="s">
        <v>133</v>
      </c>
      <c r="BG510" t="s">
        <v>134</v>
      </c>
      <c r="BH510" t="s">
        <v>112</v>
      </c>
      <c r="BI510" t="s">
        <v>112</v>
      </c>
      <c r="BJ510" t="s">
        <v>112</v>
      </c>
      <c r="BK510" t="s">
        <v>169</v>
      </c>
      <c r="BL510" t="s">
        <v>159</v>
      </c>
      <c r="BM510" t="s">
        <v>212</v>
      </c>
      <c r="BN510" t="s">
        <v>161</v>
      </c>
      <c r="BO510">
        <v>1</v>
      </c>
      <c r="BP510" t="s">
        <v>1967</v>
      </c>
      <c r="BR510" t="s">
        <v>150</v>
      </c>
      <c r="BS510">
        <v>33</v>
      </c>
      <c r="BT510">
        <v>0</v>
      </c>
      <c r="BU510">
        <v>0</v>
      </c>
      <c r="BW510">
        <v>0</v>
      </c>
      <c r="BY510" t="s">
        <v>106</v>
      </c>
      <c r="BZ510" t="s">
        <v>142</v>
      </c>
      <c r="CA510" t="s">
        <v>112</v>
      </c>
      <c r="CB510" t="s">
        <v>112</v>
      </c>
      <c r="CC510" t="s">
        <v>121</v>
      </c>
      <c r="CD510">
        <v>16871.419999999998</v>
      </c>
      <c r="CE510" t="s">
        <v>144</v>
      </c>
      <c r="CF510">
        <v>4000000</v>
      </c>
      <c r="CG510">
        <v>16817.419999999998</v>
      </c>
      <c r="CH510">
        <v>0</v>
      </c>
      <c r="CI510" t="s">
        <v>112</v>
      </c>
      <c r="CJ510" t="s">
        <v>112</v>
      </c>
      <c r="CK510">
        <v>42669.75</v>
      </c>
      <c r="CL510">
        <v>3395036</v>
      </c>
      <c r="CM510">
        <v>0</v>
      </c>
      <c r="CN510">
        <v>1</v>
      </c>
      <c r="CO510">
        <v>3780927.92</v>
      </c>
      <c r="CP510">
        <v>50950.61</v>
      </c>
      <c r="CQ510" t="s">
        <v>145</v>
      </c>
      <c r="CR510">
        <v>50950.055631999989</v>
      </c>
      <c r="CS510">
        <v>3.0295999999999998</v>
      </c>
      <c r="CT510">
        <v>45</v>
      </c>
      <c r="CU510" t="s">
        <v>171</v>
      </c>
      <c r="CV510" t="s">
        <v>463</v>
      </c>
      <c r="CW510">
        <v>80</v>
      </c>
    </row>
    <row r="511" spans="1:101" x14ac:dyDescent="0.2">
      <c r="A511" t="s">
        <v>106</v>
      </c>
      <c r="B511" s="46">
        <v>45166</v>
      </c>
      <c r="C511" t="s">
        <v>617</v>
      </c>
      <c r="D511" t="s">
        <v>108</v>
      </c>
      <c r="E511" t="s">
        <v>618</v>
      </c>
      <c r="F511" t="s">
        <v>110</v>
      </c>
      <c r="G511" t="s">
        <v>111</v>
      </c>
      <c r="H511" t="s">
        <v>112</v>
      </c>
      <c r="I511" t="s">
        <v>112</v>
      </c>
      <c r="J511" t="s">
        <v>112</v>
      </c>
      <c r="K511" t="s">
        <v>150</v>
      </c>
      <c r="L511" t="s">
        <v>151</v>
      </c>
      <c r="M511" t="s">
        <v>112</v>
      </c>
      <c r="N511" t="s">
        <v>112</v>
      </c>
      <c r="O511">
        <v>1</v>
      </c>
      <c r="Q511">
        <v>1</v>
      </c>
      <c r="R511">
        <v>33</v>
      </c>
      <c r="S511" t="s">
        <v>112</v>
      </c>
      <c r="T511" t="s">
        <v>152</v>
      </c>
      <c r="U511" t="s">
        <v>153</v>
      </c>
      <c r="V511" t="s">
        <v>154</v>
      </c>
      <c r="W511" t="s">
        <v>119</v>
      </c>
      <c r="X511" t="s">
        <v>112</v>
      </c>
      <c r="Y511" t="s">
        <v>112</v>
      </c>
      <c r="Z511" t="s">
        <v>152</v>
      </c>
      <c r="AA511" t="s">
        <v>153</v>
      </c>
      <c r="AB511" t="s">
        <v>154</v>
      </c>
      <c r="AC511" t="s">
        <v>119</v>
      </c>
      <c r="AD511" t="s">
        <v>112</v>
      </c>
      <c r="AE511" t="s">
        <v>121</v>
      </c>
      <c r="AF511" t="s">
        <v>122</v>
      </c>
      <c r="AG511">
        <v>4024113.27</v>
      </c>
      <c r="AH511" t="s">
        <v>112</v>
      </c>
      <c r="AI511" t="s">
        <v>152</v>
      </c>
      <c r="AJ511" t="s">
        <v>153</v>
      </c>
      <c r="AK511" t="s">
        <v>154</v>
      </c>
      <c r="AL511" t="s">
        <v>119</v>
      </c>
      <c r="AM511" t="s">
        <v>112</v>
      </c>
      <c r="AN511" t="s">
        <v>121</v>
      </c>
      <c r="AO511" t="s">
        <v>122</v>
      </c>
      <c r="AP511" t="s">
        <v>122</v>
      </c>
      <c r="AQ511" t="s">
        <v>124</v>
      </c>
      <c r="AR511" t="s">
        <v>125</v>
      </c>
      <c r="AS511">
        <v>2</v>
      </c>
      <c r="AT511" t="s">
        <v>126</v>
      </c>
      <c r="AU511" t="s">
        <v>155</v>
      </c>
      <c r="AV511" t="s">
        <v>156</v>
      </c>
      <c r="AX511" t="s">
        <v>129</v>
      </c>
      <c r="AY511">
        <v>37182.58</v>
      </c>
      <c r="BB511">
        <v>97.737700000000004</v>
      </c>
      <c r="BC511" t="s">
        <v>112</v>
      </c>
      <c r="BD511" t="s">
        <v>112</v>
      </c>
      <c r="BE511" t="s">
        <v>157</v>
      </c>
      <c r="BF511" t="s">
        <v>133</v>
      </c>
      <c r="BG511" t="s">
        <v>134</v>
      </c>
      <c r="BH511" t="s">
        <v>112</v>
      </c>
      <c r="BI511" t="s">
        <v>112</v>
      </c>
      <c r="BJ511" t="s">
        <v>112</v>
      </c>
      <c r="BK511" t="s">
        <v>158</v>
      </c>
      <c r="BL511" t="s">
        <v>159</v>
      </c>
      <c r="BM511" t="s">
        <v>212</v>
      </c>
      <c r="BN511" t="s">
        <v>161</v>
      </c>
      <c r="BP511" t="s">
        <v>232</v>
      </c>
      <c r="BR511" t="s">
        <v>150</v>
      </c>
      <c r="BS511">
        <v>33</v>
      </c>
      <c r="BT511">
        <v>0</v>
      </c>
      <c r="BU511">
        <v>0</v>
      </c>
      <c r="BW511">
        <v>0</v>
      </c>
      <c r="BY511" t="s">
        <v>106</v>
      </c>
      <c r="BZ511" t="s">
        <v>142</v>
      </c>
      <c r="CA511" t="s">
        <v>112</v>
      </c>
      <c r="CB511" t="s">
        <v>112</v>
      </c>
      <c r="CC511" t="s">
        <v>121</v>
      </c>
      <c r="CD511">
        <v>14683.28</v>
      </c>
      <c r="CE511" t="s">
        <v>144</v>
      </c>
      <c r="CF511">
        <v>4000000</v>
      </c>
      <c r="CG511">
        <v>14272.88</v>
      </c>
      <c r="CH511">
        <v>0</v>
      </c>
      <c r="CI511" t="s">
        <v>112</v>
      </c>
      <c r="CJ511" t="s">
        <v>112</v>
      </c>
      <c r="CK511">
        <v>37182.58</v>
      </c>
      <c r="CM511">
        <v>0</v>
      </c>
      <c r="CN511">
        <v>1</v>
      </c>
      <c r="CO511">
        <v>4024113.27</v>
      </c>
      <c r="CP511">
        <v>44874.87</v>
      </c>
      <c r="CQ511" t="s">
        <v>145</v>
      </c>
      <c r="CR511">
        <v>44816.843199999996</v>
      </c>
      <c r="CS511">
        <v>3.14</v>
      </c>
      <c r="CT511">
        <v>45</v>
      </c>
      <c r="CV511" t="s">
        <v>163</v>
      </c>
      <c r="CW511">
        <v>46</v>
      </c>
    </row>
    <row r="512" spans="1:101" x14ac:dyDescent="0.2">
      <c r="A512" t="s">
        <v>106</v>
      </c>
      <c r="B512" s="46">
        <v>45252</v>
      </c>
      <c r="C512" t="s">
        <v>619</v>
      </c>
      <c r="D512" t="s">
        <v>108</v>
      </c>
      <c r="E512" t="s">
        <v>620</v>
      </c>
      <c r="F512" t="s">
        <v>110</v>
      </c>
      <c r="G512" t="s">
        <v>111</v>
      </c>
      <c r="H512" t="s">
        <v>112</v>
      </c>
      <c r="I512" t="s">
        <v>112</v>
      </c>
      <c r="J512" t="s">
        <v>112</v>
      </c>
      <c r="K512" t="s">
        <v>150</v>
      </c>
      <c r="L512" t="s">
        <v>151</v>
      </c>
      <c r="M512" t="s">
        <v>112</v>
      </c>
      <c r="N512" t="s">
        <v>112</v>
      </c>
      <c r="O512">
        <v>1</v>
      </c>
      <c r="Q512">
        <v>1</v>
      </c>
      <c r="R512">
        <v>33</v>
      </c>
      <c r="S512" t="s">
        <v>112</v>
      </c>
      <c r="T512" t="s">
        <v>152</v>
      </c>
      <c r="U512" t="s">
        <v>153</v>
      </c>
      <c r="V512" t="s">
        <v>154</v>
      </c>
      <c r="W512" t="s">
        <v>119</v>
      </c>
      <c r="X512" t="s">
        <v>112</v>
      </c>
      <c r="Y512" t="s">
        <v>112</v>
      </c>
      <c r="Z512" t="s">
        <v>152</v>
      </c>
      <c r="AA512" t="s">
        <v>153</v>
      </c>
      <c r="AB512" t="s">
        <v>154</v>
      </c>
      <c r="AC512" t="s">
        <v>119</v>
      </c>
      <c r="AD512" t="s">
        <v>112</v>
      </c>
      <c r="AE512" t="s">
        <v>121</v>
      </c>
      <c r="AF512" t="s">
        <v>122</v>
      </c>
      <c r="AG512">
        <v>4384380.3</v>
      </c>
      <c r="AH512" t="s">
        <v>112</v>
      </c>
      <c r="AI512" t="s">
        <v>152</v>
      </c>
      <c r="AJ512" t="s">
        <v>153</v>
      </c>
      <c r="AK512" t="s">
        <v>154</v>
      </c>
      <c r="AL512" t="s">
        <v>119</v>
      </c>
      <c r="AM512" t="s">
        <v>112</v>
      </c>
      <c r="AN512" t="s">
        <v>121</v>
      </c>
      <c r="AO512" t="s">
        <v>122</v>
      </c>
      <c r="AP512" t="s">
        <v>122</v>
      </c>
      <c r="AQ512" t="s">
        <v>124</v>
      </c>
      <c r="AR512" t="s">
        <v>125</v>
      </c>
      <c r="AS512">
        <v>2</v>
      </c>
      <c r="AT512" t="s">
        <v>126</v>
      </c>
      <c r="AU512" t="s">
        <v>155</v>
      </c>
      <c r="AV512" t="s">
        <v>156</v>
      </c>
      <c r="AX512" t="s">
        <v>129</v>
      </c>
      <c r="AY512">
        <v>40868.639999999999</v>
      </c>
      <c r="BB512">
        <v>97.737700000000004</v>
      </c>
      <c r="BC512" t="s">
        <v>112</v>
      </c>
      <c r="BD512" t="s">
        <v>112</v>
      </c>
      <c r="BE512" t="s">
        <v>157</v>
      </c>
      <c r="BF512" t="s">
        <v>133</v>
      </c>
      <c r="BG512" t="s">
        <v>134</v>
      </c>
      <c r="BH512" t="s">
        <v>112</v>
      </c>
      <c r="BI512" t="s">
        <v>112</v>
      </c>
      <c r="BJ512" t="s">
        <v>112</v>
      </c>
      <c r="BK512" t="s">
        <v>158</v>
      </c>
      <c r="BL512" t="s">
        <v>159</v>
      </c>
      <c r="BM512" t="s">
        <v>212</v>
      </c>
      <c r="BN512" t="s">
        <v>161</v>
      </c>
      <c r="BP512" t="s">
        <v>232</v>
      </c>
      <c r="BR512" t="s">
        <v>150</v>
      </c>
      <c r="BS512">
        <v>33</v>
      </c>
      <c r="BT512">
        <v>0</v>
      </c>
      <c r="BU512">
        <v>0</v>
      </c>
      <c r="BW512">
        <v>0</v>
      </c>
      <c r="BY512" t="s">
        <v>106</v>
      </c>
      <c r="BZ512" t="s">
        <v>142</v>
      </c>
      <c r="CA512" t="s">
        <v>112</v>
      </c>
      <c r="CB512" t="s">
        <v>112</v>
      </c>
      <c r="CC512" t="s">
        <v>121</v>
      </c>
      <c r="CD512">
        <v>16954.12</v>
      </c>
      <c r="CE512" t="s">
        <v>144</v>
      </c>
      <c r="CF512">
        <v>4000000</v>
      </c>
      <c r="CG512">
        <v>16954.12</v>
      </c>
      <c r="CH512">
        <v>0</v>
      </c>
      <c r="CI512" t="s">
        <v>112</v>
      </c>
      <c r="CJ512" t="s">
        <v>112</v>
      </c>
      <c r="CK512">
        <v>40868.639999999999</v>
      </c>
      <c r="CM512">
        <v>0</v>
      </c>
      <c r="CN512">
        <v>1</v>
      </c>
      <c r="CO512">
        <v>4384380.3</v>
      </c>
      <c r="CP512">
        <v>48892.38</v>
      </c>
      <c r="CQ512" t="s">
        <v>145</v>
      </c>
      <c r="CR512">
        <v>48827.865599999997</v>
      </c>
      <c r="CS512">
        <v>2.88</v>
      </c>
      <c r="CT512">
        <v>45</v>
      </c>
      <c r="CV512" t="s">
        <v>233</v>
      </c>
      <c r="CW512">
        <v>596</v>
      </c>
    </row>
    <row r="513" spans="1:101" x14ac:dyDescent="0.2">
      <c r="A513" t="s">
        <v>106</v>
      </c>
      <c r="B513" s="46">
        <v>45017</v>
      </c>
      <c r="C513" t="s">
        <v>602</v>
      </c>
      <c r="D513" t="s">
        <v>108</v>
      </c>
      <c r="E513" t="s">
        <v>603</v>
      </c>
      <c r="F513" t="s">
        <v>110</v>
      </c>
      <c r="G513" t="s">
        <v>111</v>
      </c>
      <c r="H513" t="s">
        <v>112</v>
      </c>
      <c r="I513" t="s">
        <v>112</v>
      </c>
      <c r="J513" t="s">
        <v>112</v>
      </c>
      <c r="K513" t="s">
        <v>150</v>
      </c>
      <c r="L513" t="s">
        <v>151</v>
      </c>
      <c r="M513" t="s">
        <v>112</v>
      </c>
      <c r="N513" t="s">
        <v>112</v>
      </c>
      <c r="O513">
        <v>1</v>
      </c>
      <c r="Q513">
        <v>1</v>
      </c>
      <c r="R513">
        <v>33</v>
      </c>
      <c r="S513" t="s">
        <v>112</v>
      </c>
      <c r="T513" t="s">
        <v>152</v>
      </c>
      <c r="U513" t="s">
        <v>153</v>
      </c>
      <c r="V513" t="s">
        <v>154</v>
      </c>
      <c r="W513" t="s">
        <v>119</v>
      </c>
      <c r="X513" t="s">
        <v>112</v>
      </c>
      <c r="Y513" t="s">
        <v>112</v>
      </c>
      <c r="Z513" t="s">
        <v>152</v>
      </c>
      <c r="AA513" t="s">
        <v>153</v>
      </c>
      <c r="AB513" t="s">
        <v>154</v>
      </c>
      <c r="AC513" t="s">
        <v>119</v>
      </c>
      <c r="AD513" t="s">
        <v>112</v>
      </c>
      <c r="AE513" t="s">
        <v>121</v>
      </c>
      <c r="AF513" t="s">
        <v>122</v>
      </c>
      <c r="AG513">
        <v>4300472.4800000004</v>
      </c>
      <c r="AH513" t="s">
        <v>112</v>
      </c>
      <c r="AI513" t="s">
        <v>152</v>
      </c>
      <c r="AJ513" t="s">
        <v>153</v>
      </c>
      <c r="AK513" t="s">
        <v>154</v>
      </c>
      <c r="AL513" t="s">
        <v>119</v>
      </c>
      <c r="AM513" t="s">
        <v>112</v>
      </c>
      <c r="AN513" t="s">
        <v>121</v>
      </c>
      <c r="AO513" t="s">
        <v>122</v>
      </c>
      <c r="AP513" t="s">
        <v>122</v>
      </c>
      <c r="AQ513" t="s">
        <v>124</v>
      </c>
      <c r="AR513" t="s">
        <v>125</v>
      </c>
      <c r="AS513">
        <v>2</v>
      </c>
      <c r="AT513" t="s">
        <v>126</v>
      </c>
      <c r="AU513" t="s">
        <v>155</v>
      </c>
      <c r="AV513" t="s">
        <v>156</v>
      </c>
      <c r="AX513" t="s">
        <v>129</v>
      </c>
      <c r="AY513">
        <v>39480.14</v>
      </c>
      <c r="BB513">
        <v>97.737700000000004</v>
      </c>
      <c r="BC513" t="s">
        <v>112</v>
      </c>
      <c r="BD513" t="s">
        <v>112</v>
      </c>
      <c r="BE513" t="s">
        <v>157</v>
      </c>
      <c r="BF513" t="s">
        <v>133</v>
      </c>
      <c r="BG513" t="s">
        <v>134</v>
      </c>
      <c r="BH513" t="s">
        <v>112</v>
      </c>
      <c r="BI513" t="s">
        <v>112</v>
      </c>
      <c r="BJ513" t="s">
        <v>112</v>
      </c>
      <c r="BK513" t="s">
        <v>158</v>
      </c>
      <c r="BL513" t="s">
        <v>159</v>
      </c>
      <c r="BM513" t="s">
        <v>212</v>
      </c>
      <c r="BN513" t="s">
        <v>161</v>
      </c>
      <c r="BP513" t="s">
        <v>162</v>
      </c>
      <c r="BR513" t="s">
        <v>150</v>
      </c>
      <c r="BS513">
        <v>33</v>
      </c>
      <c r="BT513">
        <v>0</v>
      </c>
      <c r="BU513">
        <v>0</v>
      </c>
      <c r="BW513">
        <v>0</v>
      </c>
      <c r="BY513" t="s">
        <v>106</v>
      </c>
      <c r="BZ513" t="s">
        <v>142</v>
      </c>
      <c r="CA513" t="s">
        <v>112</v>
      </c>
      <c r="CB513" t="s">
        <v>112</v>
      </c>
      <c r="CC513" t="s">
        <v>121</v>
      </c>
      <c r="CD513">
        <v>16624.240000000002</v>
      </c>
      <c r="CE513" t="s">
        <v>144</v>
      </c>
      <c r="CF513">
        <v>4000000</v>
      </c>
      <c r="CG513">
        <v>16516.240000000002</v>
      </c>
      <c r="CH513">
        <v>0</v>
      </c>
      <c r="CI513" t="s">
        <v>112</v>
      </c>
      <c r="CJ513" t="s">
        <v>112</v>
      </c>
      <c r="CK513">
        <v>39480.14</v>
      </c>
      <c r="CM513">
        <v>0</v>
      </c>
      <c r="CN513">
        <v>1</v>
      </c>
      <c r="CO513">
        <v>4300472.4800000004</v>
      </c>
      <c r="CP513">
        <v>47956.68</v>
      </c>
      <c r="CQ513" t="s">
        <v>145</v>
      </c>
      <c r="CR513">
        <v>47897.096000000005</v>
      </c>
      <c r="CS513">
        <v>2.9</v>
      </c>
      <c r="CT513">
        <v>45</v>
      </c>
      <c r="CV513" t="s">
        <v>163</v>
      </c>
      <c r="CW513">
        <v>89</v>
      </c>
    </row>
    <row r="514" spans="1:101" x14ac:dyDescent="0.2">
      <c r="A514" t="s">
        <v>106</v>
      </c>
      <c r="B514" s="46">
        <v>44852</v>
      </c>
      <c r="C514" t="s">
        <v>580</v>
      </c>
      <c r="D514" t="s">
        <v>108</v>
      </c>
      <c r="E514" t="s">
        <v>581</v>
      </c>
      <c r="F514" t="s">
        <v>110</v>
      </c>
      <c r="G514" t="s">
        <v>111</v>
      </c>
      <c r="H514" t="s">
        <v>112</v>
      </c>
      <c r="I514" t="s">
        <v>112</v>
      </c>
      <c r="J514" t="s">
        <v>112</v>
      </c>
      <c r="K514" t="s">
        <v>150</v>
      </c>
      <c r="L514" t="s">
        <v>151</v>
      </c>
      <c r="M514" t="s">
        <v>112</v>
      </c>
      <c r="N514" t="s">
        <v>112</v>
      </c>
      <c r="O514">
        <v>1</v>
      </c>
      <c r="Q514">
        <v>1</v>
      </c>
      <c r="R514">
        <v>33</v>
      </c>
      <c r="S514" t="s">
        <v>112</v>
      </c>
      <c r="T514" t="s">
        <v>152</v>
      </c>
      <c r="U514" t="s">
        <v>153</v>
      </c>
      <c r="V514" t="s">
        <v>154</v>
      </c>
      <c r="W514" t="s">
        <v>119</v>
      </c>
      <c r="X514" t="s">
        <v>112</v>
      </c>
      <c r="Y514" t="s">
        <v>112</v>
      </c>
      <c r="Z514" t="s">
        <v>152</v>
      </c>
      <c r="AA514" t="s">
        <v>153</v>
      </c>
      <c r="AB514" t="s">
        <v>154</v>
      </c>
      <c r="AC514" t="s">
        <v>119</v>
      </c>
      <c r="AD514" t="s">
        <v>112</v>
      </c>
      <c r="AE514" t="s">
        <v>121</v>
      </c>
      <c r="AF514" t="s">
        <v>122</v>
      </c>
      <c r="AG514">
        <v>4163123.64</v>
      </c>
      <c r="AH514" t="s">
        <v>112</v>
      </c>
      <c r="AI514" t="s">
        <v>152</v>
      </c>
      <c r="AJ514" t="s">
        <v>153</v>
      </c>
      <c r="AK514" t="s">
        <v>154</v>
      </c>
      <c r="AL514" t="s">
        <v>119</v>
      </c>
      <c r="AM514" t="s">
        <v>112</v>
      </c>
      <c r="AN514" t="s">
        <v>121</v>
      </c>
      <c r="AO514" t="s">
        <v>122</v>
      </c>
      <c r="AP514" t="s">
        <v>122</v>
      </c>
      <c r="AQ514" t="s">
        <v>124</v>
      </c>
      <c r="AR514" t="s">
        <v>125</v>
      </c>
      <c r="AS514">
        <v>2</v>
      </c>
      <c r="AT514" t="s">
        <v>126</v>
      </c>
      <c r="AU514" t="s">
        <v>155</v>
      </c>
      <c r="AV514" t="s">
        <v>156</v>
      </c>
      <c r="AX514" t="s">
        <v>129</v>
      </c>
      <c r="AY514">
        <v>38074.86</v>
      </c>
      <c r="BB514">
        <v>97.737700000000004</v>
      </c>
      <c r="BC514" t="s">
        <v>112</v>
      </c>
      <c r="BD514" t="s">
        <v>112</v>
      </c>
      <c r="BE514" t="s">
        <v>157</v>
      </c>
      <c r="BF514" t="s">
        <v>133</v>
      </c>
      <c r="BG514" t="s">
        <v>167</v>
      </c>
      <c r="BH514" t="s">
        <v>112</v>
      </c>
      <c r="BI514" t="s">
        <v>112</v>
      </c>
      <c r="BJ514" t="s">
        <v>112</v>
      </c>
      <c r="BK514" t="s">
        <v>158</v>
      </c>
      <c r="BL514" t="s">
        <v>159</v>
      </c>
      <c r="BM514" t="s">
        <v>160</v>
      </c>
      <c r="BN514" t="s">
        <v>161</v>
      </c>
      <c r="BP514" t="s">
        <v>213</v>
      </c>
      <c r="BR514" t="s">
        <v>150</v>
      </c>
      <c r="BS514">
        <v>33</v>
      </c>
      <c r="BT514">
        <v>0</v>
      </c>
      <c r="BU514">
        <v>0</v>
      </c>
      <c r="BW514">
        <v>0</v>
      </c>
      <c r="BY514" t="s">
        <v>106</v>
      </c>
      <c r="BZ514" t="s">
        <v>142</v>
      </c>
      <c r="CA514" t="s">
        <v>112</v>
      </c>
      <c r="CB514" t="s">
        <v>112</v>
      </c>
      <c r="CC514" t="s">
        <v>121</v>
      </c>
      <c r="CD514">
        <v>16684.439999999999</v>
      </c>
      <c r="CE514" t="s">
        <v>144</v>
      </c>
      <c r="CF514">
        <v>4000000</v>
      </c>
      <c r="CG514">
        <v>16576.439999999999</v>
      </c>
      <c r="CH514">
        <v>0</v>
      </c>
      <c r="CI514" t="s">
        <v>112</v>
      </c>
      <c r="CJ514" t="s">
        <v>112</v>
      </c>
      <c r="CK514">
        <v>38074.86</v>
      </c>
      <c r="CM514">
        <v>0</v>
      </c>
      <c r="CN514">
        <v>1</v>
      </c>
      <c r="CO514">
        <v>4163123.64</v>
      </c>
      <c r="CP514">
        <v>46425.04</v>
      </c>
      <c r="CQ514" t="s">
        <v>145</v>
      </c>
      <c r="CR514">
        <v>46414.031999999992</v>
      </c>
      <c r="CS514">
        <v>2.8</v>
      </c>
      <c r="CT514">
        <v>45</v>
      </c>
      <c r="CV514" t="s">
        <v>233</v>
      </c>
      <c r="CW514">
        <v>146</v>
      </c>
    </row>
    <row r="515" spans="1:101" x14ac:dyDescent="0.2">
      <c r="A515" t="s">
        <v>106</v>
      </c>
      <c r="B515" s="46">
        <v>44724</v>
      </c>
      <c r="C515" t="s">
        <v>562</v>
      </c>
      <c r="D515" t="s">
        <v>108</v>
      </c>
      <c r="E515" t="s">
        <v>563</v>
      </c>
      <c r="F515" t="s">
        <v>110</v>
      </c>
      <c r="G515" t="s">
        <v>111</v>
      </c>
      <c r="H515" t="s">
        <v>112</v>
      </c>
      <c r="I515" t="s">
        <v>112</v>
      </c>
      <c r="J515" t="s">
        <v>112</v>
      </c>
      <c r="K515" t="s">
        <v>150</v>
      </c>
      <c r="L515" t="s">
        <v>151</v>
      </c>
      <c r="M515" t="s">
        <v>112</v>
      </c>
      <c r="N515" t="s">
        <v>112</v>
      </c>
      <c r="O515">
        <v>1</v>
      </c>
      <c r="Q515">
        <v>1</v>
      </c>
      <c r="R515">
        <v>33</v>
      </c>
      <c r="S515" t="s">
        <v>112</v>
      </c>
      <c r="T515" t="s">
        <v>152</v>
      </c>
      <c r="U515" t="s">
        <v>153</v>
      </c>
      <c r="V515" t="s">
        <v>154</v>
      </c>
      <c r="W515" t="s">
        <v>119</v>
      </c>
      <c r="X515" t="s">
        <v>112</v>
      </c>
      <c r="Y515" t="s">
        <v>112</v>
      </c>
      <c r="Z515" t="s">
        <v>152</v>
      </c>
      <c r="AA515" t="s">
        <v>153</v>
      </c>
      <c r="AB515" t="s">
        <v>154</v>
      </c>
      <c r="AC515" t="s">
        <v>119</v>
      </c>
      <c r="AD515" t="s">
        <v>112</v>
      </c>
      <c r="AE515" t="s">
        <v>121</v>
      </c>
      <c r="AF515" t="s">
        <v>122</v>
      </c>
      <c r="AG515">
        <v>4302458.51</v>
      </c>
      <c r="AH515" t="s">
        <v>112</v>
      </c>
      <c r="AI515" t="s">
        <v>152</v>
      </c>
      <c r="AJ515" t="s">
        <v>153</v>
      </c>
      <c r="AK515" t="s">
        <v>154</v>
      </c>
      <c r="AL515" t="s">
        <v>119</v>
      </c>
      <c r="AM515" t="s">
        <v>112</v>
      </c>
      <c r="AN515" t="s">
        <v>121</v>
      </c>
      <c r="AO515" t="s">
        <v>122</v>
      </c>
      <c r="AP515" t="s">
        <v>122</v>
      </c>
      <c r="AQ515" t="s">
        <v>124</v>
      </c>
      <c r="AR515" t="s">
        <v>125</v>
      </c>
      <c r="AS515">
        <v>2</v>
      </c>
      <c r="AT515" t="s">
        <v>126</v>
      </c>
      <c r="AU515" t="s">
        <v>155</v>
      </c>
      <c r="AV515" t="s">
        <v>156</v>
      </c>
      <c r="AX515" t="s">
        <v>129</v>
      </c>
      <c r="AY515">
        <v>40030.46</v>
      </c>
      <c r="BB515">
        <v>97.737700000000004</v>
      </c>
      <c r="BC515" t="s">
        <v>112</v>
      </c>
      <c r="BD515" t="s">
        <v>112</v>
      </c>
      <c r="BE515" t="s">
        <v>157</v>
      </c>
      <c r="BF515" t="s">
        <v>133</v>
      </c>
      <c r="BG515" t="s">
        <v>167</v>
      </c>
      <c r="BH515" t="s">
        <v>112</v>
      </c>
      <c r="BI515" t="s">
        <v>112</v>
      </c>
      <c r="BJ515" t="s">
        <v>112</v>
      </c>
      <c r="BK515" t="s">
        <v>158</v>
      </c>
      <c r="BL515" t="s">
        <v>159</v>
      </c>
      <c r="BM515" t="s">
        <v>160</v>
      </c>
      <c r="BN515" t="s">
        <v>161</v>
      </c>
      <c r="BP515" t="s">
        <v>213</v>
      </c>
      <c r="BR515" t="s">
        <v>150</v>
      </c>
      <c r="BS515">
        <v>33</v>
      </c>
      <c r="BT515">
        <v>0</v>
      </c>
      <c r="BU515">
        <v>0</v>
      </c>
      <c r="BW515">
        <v>0</v>
      </c>
      <c r="BY515" t="s">
        <v>106</v>
      </c>
      <c r="BZ515" t="s">
        <v>142</v>
      </c>
      <c r="CA515" t="s">
        <v>112</v>
      </c>
      <c r="CB515" t="s">
        <v>112</v>
      </c>
      <c r="CC515" t="s">
        <v>121</v>
      </c>
      <c r="CD515">
        <v>16382.72</v>
      </c>
      <c r="CE515" t="s">
        <v>144</v>
      </c>
      <c r="CF515">
        <v>4000000</v>
      </c>
      <c r="CG515">
        <v>16215.32</v>
      </c>
      <c r="CH515">
        <v>0</v>
      </c>
      <c r="CI515" t="s">
        <v>112</v>
      </c>
      <c r="CJ515" t="s">
        <v>112</v>
      </c>
      <c r="CK515">
        <v>40030.46</v>
      </c>
      <c r="CM515">
        <v>0</v>
      </c>
      <c r="CN515">
        <v>1</v>
      </c>
      <c r="CO515">
        <v>4302458.51</v>
      </c>
      <c r="CP515">
        <v>47978.83</v>
      </c>
      <c r="CQ515" t="s">
        <v>145</v>
      </c>
      <c r="CR515">
        <v>47997.347199999997</v>
      </c>
      <c r="CS515">
        <v>2.96</v>
      </c>
      <c r="CT515">
        <v>45</v>
      </c>
      <c r="CV515" t="s">
        <v>163</v>
      </c>
      <c r="CW515">
        <v>544</v>
      </c>
    </row>
    <row r="516" spans="1:101" x14ac:dyDescent="0.2">
      <c r="A516" t="s">
        <v>106</v>
      </c>
      <c r="B516" s="46">
        <v>44944</v>
      </c>
      <c r="C516" t="s">
        <v>1469</v>
      </c>
      <c r="D516" t="s">
        <v>108</v>
      </c>
      <c r="E516" t="s">
        <v>1470</v>
      </c>
      <c r="F516" t="s">
        <v>110</v>
      </c>
      <c r="G516" t="s">
        <v>111</v>
      </c>
      <c r="H516" t="s">
        <v>112</v>
      </c>
      <c r="I516" t="s">
        <v>112</v>
      </c>
      <c r="J516" t="s">
        <v>112</v>
      </c>
      <c r="K516" t="s">
        <v>150</v>
      </c>
      <c r="L516" t="s">
        <v>151</v>
      </c>
      <c r="M516" t="s">
        <v>112</v>
      </c>
      <c r="N516" t="s">
        <v>112</v>
      </c>
      <c r="O516">
        <v>1</v>
      </c>
      <c r="Q516">
        <v>1</v>
      </c>
      <c r="R516">
        <v>33</v>
      </c>
      <c r="S516" t="s">
        <v>112</v>
      </c>
      <c r="T516" t="s">
        <v>152</v>
      </c>
      <c r="U516" t="s">
        <v>153</v>
      </c>
      <c r="V516" t="s">
        <v>154</v>
      </c>
      <c r="W516" t="s">
        <v>119</v>
      </c>
      <c r="X516" t="s">
        <v>112</v>
      </c>
      <c r="Y516" t="s">
        <v>112</v>
      </c>
      <c r="Z516" t="s">
        <v>152</v>
      </c>
      <c r="AA516" t="s">
        <v>153</v>
      </c>
      <c r="AB516" t="s">
        <v>154</v>
      </c>
      <c r="AC516" t="s">
        <v>119</v>
      </c>
      <c r="AD516" t="s">
        <v>112</v>
      </c>
      <c r="AE516" t="s">
        <v>121</v>
      </c>
      <c r="AF516" t="s">
        <v>122</v>
      </c>
      <c r="AG516">
        <v>4799670.75</v>
      </c>
      <c r="AH516" t="s">
        <v>112</v>
      </c>
      <c r="AI516" t="s">
        <v>152</v>
      </c>
      <c r="AJ516" t="s">
        <v>153</v>
      </c>
      <c r="AK516" t="s">
        <v>154</v>
      </c>
      <c r="AL516" t="s">
        <v>119</v>
      </c>
      <c r="AM516" t="s">
        <v>112</v>
      </c>
      <c r="AN516" t="s">
        <v>121</v>
      </c>
      <c r="AO516" t="s">
        <v>122</v>
      </c>
      <c r="AP516" t="s">
        <v>122</v>
      </c>
      <c r="AQ516" t="s">
        <v>124</v>
      </c>
      <c r="AR516" t="s">
        <v>125</v>
      </c>
      <c r="AS516">
        <v>2</v>
      </c>
      <c r="AT516" t="s">
        <v>126</v>
      </c>
      <c r="AU516" t="s">
        <v>155</v>
      </c>
      <c r="AV516" t="s">
        <v>156</v>
      </c>
      <c r="AX516" t="s">
        <v>129</v>
      </c>
      <c r="AY516">
        <v>44567.38</v>
      </c>
      <c r="BB516">
        <v>97.778099999999995</v>
      </c>
      <c r="BC516" t="s">
        <v>112</v>
      </c>
      <c r="BD516" t="s">
        <v>112</v>
      </c>
      <c r="BE516" t="s">
        <v>157</v>
      </c>
      <c r="BF516" t="s">
        <v>133</v>
      </c>
      <c r="BG516" t="s">
        <v>134</v>
      </c>
      <c r="BH516" t="s">
        <v>112</v>
      </c>
      <c r="BI516" t="s">
        <v>112</v>
      </c>
      <c r="BJ516" t="s">
        <v>112</v>
      </c>
      <c r="BK516" t="s">
        <v>158</v>
      </c>
      <c r="BL516" t="s">
        <v>159</v>
      </c>
      <c r="BM516" t="s">
        <v>212</v>
      </c>
      <c r="BN516" t="s">
        <v>161</v>
      </c>
      <c r="BP516" t="s">
        <v>205</v>
      </c>
      <c r="BR516" t="s">
        <v>150</v>
      </c>
      <c r="BS516">
        <v>33</v>
      </c>
      <c r="BT516">
        <v>0</v>
      </c>
      <c r="BU516">
        <v>0</v>
      </c>
      <c r="BW516">
        <v>0</v>
      </c>
      <c r="BY516" t="s">
        <v>106</v>
      </c>
      <c r="BZ516" t="s">
        <v>142</v>
      </c>
      <c r="CA516" t="s">
        <v>112</v>
      </c>
      <c r="CB516" t="s">
        <v>112</v>
      </c>
      <c r="CC516" t="s">
        <v>121</v>
      </c>
      <c r="CD516">
        <v>16480.830000000002</v>
      </c>
      <c r="CE516" t="s">
        <v>144</v>
      </c>
      <c r="CF516">
        <v>4000000</v>
      </c>
      <c r="CG516">
        <v>16426.830000000002</v>
      </c>
      <c r="CH516">
        <v>0</v>
      </c>
      <c r="CI516" t="s">
        <v>112</v>
      </c>
      <c r="CJ516" t="s">
        <v>112</v>
      </c>
      <c r="CK516">
        <v>44567.38</v>
      </c>
      <c r="CM516">
        <v>0</v>
      </c>
      <c r="CN516">
        <v>1</v>
      </c>
      <c r="CO516">
        <v>4799670.75</v>
      </c>
      <c r="CP516">
        <v>52595.1</v>
      </c>
      <c r="CQ516" t="s">
        <v>145</v>
      </c>
      <c r="CR516">
        <v>52565.856000000007</v>
      </c>
      <c r="CS516">
        <v>3.2</v>
      </c>
      <c r="CT516">
        <v>45</v>
      </c>
      <c r="CV516" t="s">
        <v>233</v>
      </c>
      <c r="CW516">
        <v>45</v>
      </c>
    </row>
    <row r="517" spans="1:101" x14ac:dyDescent="0.2">
      <c r="A517" t="s">
        <v>106</v>
      </c>
      <c r="B517" s="46">
        <v>45127</v>
      </c>
      <c r="C517" t="s">
        <v>1397</v>
      </c>
      <c r="D517" t="s">
        <v>108</v>
      </c>
      <c r="E517" t="s">
        <v>1398</v>
      </c>
      <c r="F517" t="s">
        <v>110</v>
      </c>
      <c r="G517" t="s">
        <v>111</v>
      </c>
      <c r="H517" t="s">
        <v>112</v>
      </c>
      <c r="I517" t="s">
        <v>112</v>
      </c>
      <c r="J517" t="s">
        <v>112</v>
      </c>
      <c r="K517" t="s">
        <v>150</v>
      </c>
      <c r="L517" t="s">
        <v>151</v>
      </c>
      <c r="M517" t="s">
        <v>112</v>
      </c>
      <c r="N517" t="s">
        <v>112</v>
      </c>
      <c r="O517">
        <v>1</v>
      </c>
      <c r="Q517">
        <v>1</v>
      </c>
      <c r="R517">
        <v>33</v>
      </c>
      <c r="S517" t="s">
        <v>112</v>
      </c>
      <c r="T517" t="s">
        <v>152</v>
      </c>
      <c r="U517" t="s">
        <v>153</v>
      </c>
      <c r="V517" t="s">
        <v>154</v>
      </c>
      <c r="W517" t="s">
        <v>119</v>
      </c>
      <c r="X517" t="s">
        <v>112</v>
      </c>
      <c r="Y517" t="s">
        <v>112</v>
      </c>
      <c r="Z517" t="s">
        <v>152</v>
      </c>
      <c r="AA517" t="s">
        <v>153</v>
      </c>
      <c r="AB517" t="s">
        <v>154</v>
      </c>
      <c r="AC517" t="s">
        <v>119</v>
      </c>
      <c r="AD517" t="s">
        <v>112</v>
      </c>
      <c r="AE517" t="s">
        <v>121</v>
      </c>
      <c r="AF517" t="s">
        <v>122</v>
      </c>
      <c r="AG517">
        <v>4949234.09</v>
      </c>
      <c r="AH517" t="s">
        <v>112</v>
      </c>
      <c r="AI517" t="s">
        <v>152</v>
      </c>
      <c r="AJ517" t="s">
        <v>153</v>
      </c>
      <c r="AK517" t="s">
        <v>154</v>
      </c>
      <c r="AL517" t="s">
        <v>119</v>
      </c>
      <c r="AM517" t="s">
        <v>112</v>
      </c>
      <c r="AN517" t="s">
        <v>121</v>
      </c>
      <c r="AO517" t="s">
        <v>122</v>
      </c>
      <c r="AP517" t="s">
        <v>122</v>
      </c>
      <c r="AQ517" t="s">
        <v>124</v>
      </c>
      <c r="AR517" t="s">
        <v>125</v>
      </c>
      <c r="AS517">
        <v>2</v>
      </c>
      <c r="AT517" t="s">
        <v>126</v>
      </c>
      <c r="AU517" t="s">
        <v>155</v>
      </c>
      <c r="AV517" t="s">
        <v>156</v>
      </c>
      <c r="AX517" t="s">
        <v>129</v>
      </c>
      <c r="AY517">
        <v>46627</v>
      </c>
      <c r="BB517">
        <v>97.778099999999995</v>
      </c>
      <c r="BC517" t="s">
        <v>112</v>
      </c>
      <c r="BD517" t="s">
        <v>112</v>
      </c>
      <c r="BE517" t="s">
        <v>157</v>
      </c>
      <c r="BF517" t="s">
        <v>133</v>
      </c>
      <c r="BG517" t="s">
        <v>134</v>
      </c>
      <c r="BH517" t="s">
        <v>112</v>
      </c>
      <c r="BI517" t="s">
        <v>112</v>
      </c>
      <c r="BJ517" t="s">
        <v>112</v>
      </c>
      <c r="BK517" t="s">
        <v>158</v>
      </c>
      <c r="BL517" t="s">
        <v>159</v>
      </c>
      <c r="BM517" t="s">
        <v>212</v>
      </c>
      <c r="BN517" t="s">
        <v>161</v>
      </c>
      <c r="BP517" t="s">
        <v>232</v>
      </c>
      <c r="BR517" t="s">
        <v>150</v>
      </c>
      <c r="BS517">
        <v>33</v>
      </c>
      <c r="BT517">
        <v>0</v>
      </c>
      <c r="BU517">
        <v>0</v>
      </c>
      <c r="BW517">
        <v>0</v>
      </c>
      <c r="BY517" t="s">
        <v>106</v>
      </c>
      <c r="BZ517" t="s">
        <v>142</v>
      </c>
      <c r="CA517" t="s">
        <v>112</v>
      </c>
      <c r="CB517" t="s">
        <v>112</v>
      </c>
      <c r="CC517" t="s">
        <v>121</v>
      </c>
      <c r="CD517">
        <v>16757.52</v>
      </c>
      <c r="CE517" t="s">
        <v>144</v>
      </c>
      <c r="CF517">
        <v>4000000</v>
      </c>
      <c r="CG517">
        <v>16685.52</v>
      </c>
      <c r="CH517">
        <v>0</v>
      </c>
      <c r="CI517" t="s">
        <v>112</v>
      </c>
      <c r="CJ517" t="s">
        <v>112</v>
      </c>
      <c r="CK517">
        <v>46627</v>
      </c>
      <c r="CM517">
        <v>0</v>
      </c>
      <c r="CN517">
        <v>1</v>
      </c>
      <c r="CO517">
        <v>4949234.09</v>
      </c>
      <c r="CP517">
        <v>54234.02</v>
      </c>
      <c r="CQ517" t="s">
        <v>145</v>
      </c>
      <c r="CR517">
        <v>54227.94</v>
      </c>
      <c r="CS517">
        <v>3.25</v>
      </c>
      <c r="CT517">
        <v>45</v>
      </c>
      <c r="CV517" t="s">
        <v>206</v>
      </c>
      <c r="CW517">
        <v>317</v>
      </c>
    </row>
    <row r="518" spans="1:101" x14ac:dyDescent="0.2">
      <c r="A518" t="s">
        <v>106</v>
      </c>
      <c r="B518" s="46">
        <v>45219</v>
      </c>
      <c r="C518" t="s">
        <v>1424</v>
      </c>
      <c r="D518" t="s">
        <v>108</v>
      </c>
      <c r="E518" t="s">
        <v>1425</v>
      </c>
      <c r="F518" t="s">
        <v>110</v>
      </c>
      <c r="G518" t="s">
        <v>111</v>
      </c>
      <c r="H518" t="s">
        <v>112</v>
      </c>
      <c r="I518" t="s">
        <v>112</v>
      </c>
      <c r="J518" t="s">
        <v>112</v>
      </c>
      <c r="K518" t="s">
        <v>150</v>
      </c>
      <c r="L518" t="s">
        <v>151</v>
      </c>
      <c r="M518" t="s">
        <v>112</v>
      </c>
      <c r="N518" t="s">
        <v>112</v>
      </c>
      <c r="O518">
        <v>1</v>
      </c>
      <c r="Q518">
        <v>1</v>
      </c>
      <c r="R518">
        <v>33</v>
      </c>
      <c r="S518" t="s">
        <v>112</v>
      </c>
      <c r="T518" t="s">
        <v>152</v>
      </c>
      <c r="U518" t="s">
        <v>153</v>
      </c>
      <c r="V518" t="s">
        <v>154</v>
      </c>
      <c r="W518" t="s">
        <v>119</v>
      </c>
      <c r="X518" t="s">
        <v>112</v>
      </c>
      <c r="Y518" t="s">
        <v>112</v>
      </c>
      <c r="Z518" t="s">
        <v>152</v>
      </c>
      <c r="AA518" t="s">
        <v>153</v>
      </c>
      <c r="AB518" t="s">
        <v>154</v>
      </c>
      <c r="AC518" t="s">
        <v>119</v>
      </c>
      <c r="AD518" t="s">
        <v>112</v>
      </c>
      <c r="AE518" t="s">
        <v>121</v>
      </c>
      <c r="AF518" t="s">
        <v>122</v>
      </c>
      <c r="AG518">
        <v>5051275.3099999996</v>
      </c>
      <c r="AH518" t="s">
        <v>112</v>
      </c>
      <c r="AI518" t="s">
        <v>152</v>
      </c>
      <c r="AJ518" t="s">
        <v>153</v>
      </c>
      <c r="AK518" t="s">
        <v>154</v>
      </c>
      <c r="AL518" t="s">
        <v>119</v>
      </c>
      <c r="AM518" t="s">
        <v>112</v>
      </c>
      <c r="AN518" t="s">
        <v>121</v>
      </c>
      <c r="AO518" t="s">
        <v>122</v>
      </c>
      <c r="AP518" t="s">
        <v>122</v>
      </c>
      <c r="AQ518" t="s">
        <v>124</v>
      </c>
      <c r="AR518" t="s">
        <v>125</v>
      </c>
      <c r="AS518">
        <v>2</v>
      </c>
      <c r="AT518" t="s">
        <v>126</v>
      </c>
      <c r="AU518" t="s">
        <v>155</v>
      </c>
      <c r="AV518" t="s">
        <v>156</v>
      </c>
      <c r="AX518" t="s">
        <v>129</v>
      </c>
      <c r="AY518">
        <v>47670.6</v>
      </c>
      <c r="BB518">
        <v>97.778099999999995</v>
      </c>
      <c r="BC518" t="s">
        <v>112</v>
      </c>
      <c r="BD518" t="s">
        <v>112</v>
      </c>
      <c r="BE518" t="s">
        <v>157</v>
      </c>
      <c r="BF518" t="s">
        <v>133</v>
      </c>
      <c r="BG518" t="s">
        <v>134</v>
      </c>
      <c r="BH518" t="s">
        <v>112</v>
      </c>
      <c r="BI518" t="s">
        <v>112</v>
      </c>
      <c r="BJ518" t="s">
        <v>112</v>
      </c>
      <c r="BK518" t="s">
        <v>158</v>
      </c>
      <c r="BL518" t="s">
        <v>159</v>
      </c>
      <c r="BM518" t="s">
        <v>212</v>
      </c>
      <c r="BN518" t="s">
        <v>161</v>
      </c>
      <c r="BP518" t="s">
        <v>1426</v>
      </c>
      <c r="BR518" t="s">
        <v>150</v>
      </c>
      <c r="BS518">
        <v>33</v>
      </c>
      <c r="BT518">
        <v>0</v>
      </c>
      <c r="BU518">
        <v>0</v>
      </c>
      <c r="BW518">
        <v>0</v>
      </c>
      <c r="BY518" t="s">
        <v>106</v>
      </c>
      <c r="BZ518" t="s">
        <v>142</v>
      </c>
      <c r="CA518" t="s">
        <v>112</v>
      </c>
      <c r="CB518" t="s">
        <v>112</v>
      </c>
      <c r="CC518" t="s">
        <v>121</v>
      </c>
      <c r="CD518">
        <v>16164.72</v>
      </c>
      <c r="CE518" t="s">
        <v>144</v>
      </c>
      <c r="CF518">
        <v>4000000</v>
      </c>
      <c r="CG518">
        <v>16164.72</v>
      </c>
      <c r="CH518">
        <v>0</v>
      </c>
      <c r="CI518" t="s">
        <v>112</v>
      </c>
      <c r="CJ518" t="s">
        <v>112</v>
      </c>
      <c r="CK518">
        <v>47670.6</v>
      </c>
      <c r="CM518">
        <v>0</v>
      </c>
      <c r="CN518">
        <v>1</v>
      </c>
      <c r="CO518">
        <v>5051275.3099999996</v>
      </c>
      <c r="CP518">
        <v>55352.2</v>
      </c>
      <c r="CQ518" t="s">
        <v>145</v>
      </c>
      <c r="CR518">
        <v>55283.342399999994</v>
      </c>
      <c r="CS518">
        <v>3.42</v>
      </c>
      <c r="CT518">
        <v>45</v>
      </c>
      <c r="CV518" t="s">
        <v>1140</v>
      </c>
      <c r="CW518">
        <v>317</v>
      </c>
    </row>
    <row r="519" spans="1:101" x14ac:dyDescent="0.2">
      <c r="A519" t="s">
        <v>106</v>
      </c>
      <c r="B519" s="46">
        <v>44627</v>
      </c>
      <c r="C519" t="s">
        <v>1531</v>
      </c>
      <c r="D519" t="s">
        <v>108</v>
      </c>
      <c r="E519" t="s">
        <v>1532</v>
      </c>
      <c r="F519" t="s">
        <v>110</v>
      </c>
      <c r="G519" t="s">
        <v>111</v>
      </c>
      <c r="H519" t="s">
        <v>112</v>
      </c>
      <c r="I519" t="s">
        <v>112</v>
      </c>
      <c r="J519" t="s">
        <v>112</v>
      </c>
      <c r="K519" t="s">
        <v>175</v>
      </c>
      <c r="L519" t="s">
        <v>448</v>
      </c>
      <c r="M519" t="s">
        <v>112</v>
      </c>
      <c r="N519" t="s">
        <v>112</v>
      </c>
      <c r="O519">
        <v>1</v>
      </c>
      <c r="Q519">
        <v>1</v>
      </c>
      <c r="R519">
        <v>33</v>
      </c>
      <c r="S519" t="s">
        <v>112</v>
      </c>
      <c r="T519" t="s">
        <v>152</v>
      </c>
      <c r="U519" t="s">
        <v>153</v>
      </c>
      <c r="V519" t="s">
        <v>154</v>
      </c>
      <c r="W519" t="s">
        <v>119</v>
      </c>
      <c r="X519" t="s">
        <v>112</v>
      </c>
      <c r="Y519" t="s">
        <v>112</v>
      </c>
      <c r="Z519" t="s">
        <v>152</v>
      </c>
      <c r="AA519" t="s">
        <v>153</v>
      </c>
      <c r="AB519" t="s">
        <v>154</v>
      </c>
      <c r="AC519" t="s">
        <v>119</v>
      </c>
      <c r="AD519" t="s">
        <v>112</v>
      </c>
      <c r="AE519" t="s">
        <v>121</v>
      </c>
      <c r="AF519" t="s">
        <v>122</v>
      </c>
      <c r="AG519">
        <v>4474638.75</v>
      </c>
      <c r="AH519" t="s">
        <v>112</v>
      </c>
      <c r="AI519" t="s">
        <v>152</v>
      </c>
      <c r="AJ519" t="s">
        <v>153</v>
      </c>
      <c r="AK519" t="s">
        <v>154</v>
      </c>
      <c r="AL519" t="s">
        <v>119</v>
      </c>
      <c r="AM519" t="s">
        <v>112</v>
      </c>
      <c r="AN519" t="s">
        <v>121</v>
      </c>
      <c r="AO519" t="s">
        <v>122</v>
      </c>
      <c r="AP519" t="s">
        <v>122</v>
      </c>
      <c r="AQ519" t="s">
        <v>124</v>
      </c>
      <c r="AR519" t="s">
        <v>125</v>
      </c>
      <c r="AS519">
        <v>2</v>
      </c>
      <c r="AT519" t="s">
        <v>126</v>
      </c>
      <c r="AU519" t="s">
        <v>155</v>
      </c>
      <c r="AV519" t="s">
        <v>156</v>
      </c>
      <c r="AX519" t="s">
        <v>129</v>
      </c>
      <c r="AY519">
        <v>41773.199999999997</v>
      </c>
      <c r="BB519">
        <v>97.778099999999995</v>
      </c>
      <c r="BC519" t="s">
        <v>112</v>
      </c>
      <c r="BD519" t="s">
        <v>112</v>
      </c>
      <c r="BE519" t="s">
        <v>157</v>
      </c>
      <c r="BF519" t="s">
        <v>133</v>
      </c>
      <c r="BG519" t="s">
        <v>167</v>
      </c>
      <c r="BH519" t="s">
        <v>112</v>
      </c>
      <c r="BI519" t="s">
        <v>112</v>
      </c>
      <c r="BJ519" t="s">
        <v>112</v>
      </c>
      <c r="BK519" t="s">
        <v>158</v>
      </c>
      <c r="BL519" t="s">
        <v>159</v>
      </c>
      <c r="BM519" t="s">
        <v>160</v>
      </c>
      <c r="BN519" t="s">
        <v>161</v>
      </c>
      <c r="BP519" t="s">
        <v>232</v>
      </c>
      <c r="BR519" t="s">
        <v>150</v>
      </c>
      <c r="BS519">
        <v>33</v>
      </c>
      <c r="BT519">
        <v>0</v>
      </c>
      <c r="BU519">
        <v>0</v>
      </c>
      <c r="BW519">
        <v>0</v>
      </c>
      <c r="BY519" t="s">
        <v>106</v>
      </c>
      <c r="BZ519" t="s">
        <v>142</v>
      </c>
      <c r="CA519" t="s">
        <v>112</v>
      </c>
      <c r="CB519" t="s">
        <v>112</v>
      </c>
      <c r="CC519" t="s">
        <v>121</v>
      </c>
      <c r="CD519">
        <v>16856.759999999998</v>
      </c>
      <c r="CE519" t="s">
        <v>144</v>
      </c>
      <c r="CF519">
        <v>4000000</v>
      </c>
      <c r="CG519">
        <v>16791.96</v>
      </c>
      <c r="CH519">
        <v>0</v>
      </c>
      <c r="CI519" t="s">
        <v>112</v>
      </c>
      <c r="CJ519" t="s">
        <v>112</v>
      </c>
      <c r="CK519">
        <v>41773.199999999997</v>
      </c>
      <c r="CM519">
        <v>0</v>
      </c>
      <c r="CN519">
        <v>1</v>
      </c>
      <c r="CO519">
        <v>4474638.75</v>
      </c>
      <c r="CP519">
        <v>49033.38</v>
      </c>
      <c r="CQ519" t="s">
        <v>145</v>
      </c>
      <c r="CR519">
        <v>49032.523199999996</v>
      </c>
      <c r="CS519">
        <v>2.92</v>
      </c>
      <c r="CT519">
        <v>45</v>
      </c>
      <c r="CV519" t="s">
        <v>206</v>
      </c>
      <c r="CW519">
        <v>597</v>
      </c>
    </row>
    <row r="520" spans="1:101" x14ac:dyDescent="0.2">
      <c r="A520" t="s">
        <v>106</v>
      </c>
      <c r="B520" s="46">
        <v>45220</v>
      </c>
      <c r="C520" t="s">
        <v>1477</v>
      </c>
      <c r="D520" t="s">
        <v>108</v>
      </c>
      <c r="E520" t="s">
        <v>1478</v>
      </c>
      <c r="F520" t="s">
        <v>110</v>
      </c>
      <c r="G520" t="s">
        <v>111</v>
      </c>
      <c r="H520" t="s">
        <v>112</v>
      </c>
      <c r="I520" t="s">
        <v>112</v>
      </c>
      <c r="J520" t="s">
        <v>112</v>
      </c>
      <c r="K520" t="s">
        <v>150</v>
      </c>
      <c r="L520" t="s">
        <v>151</v>
      </c>
      <c r="M520" t="s">
        <v>112</v>
      </c>
      <c r="N520" t="s">
        <v>112</v>
      </c>
      <c r="O520">
        <v>1</v>
      </c>
      <c r="Q520">
        <v>1</v>
      </c>
      <c r="R520">
        <v>33</v>
      </c>
      <c r="S520" t="s">
        <v>112</v>
      </c>
      <c r="T520" t="s">
        <v>152</v>
      </c>
      <c r="U520" t="s">
        <v>153</v>
      </c>
      <c r="V520" t="s">
        <v>154</v>
      </c>
      <c r="W520" t="s">
        <v>119</v>
      </c>
      <c r="X520" t="s">
        <v>112</v>
      </c>
      <c r="Y520" t="s">
        <v>112</v>
      </c>
      <c r="Z520" t="s">
        <v>152</v>
      </c>
      <c r="AA520" t="s">
        <v>153</v>
      </c>
      <c r="AB520" t="s">
        <v>154</v>
      </c>
      <c r="AC520" t="s">
        <v>119</v>
      </c>
      <c r="AD520" t="s">
        <v>112</v>
      </c>
      <c r="AE520" t="s">
        <v>121</v>
      </c>
      <c r="AF520" t="s">
        <v>122</v>
      </c>
      <c r="AG520">
        <v>4794822.91</v>
      </c>
      <c r="AH520" t="s">
        <v>112</v>
      </c>
      <c r="AI520" t="s">
        <v>152</v>
      </c>
      <c r="AJ520" t="s">
        <v>153</v>
      </c>
      <c r="AK520" t="s">
        <v>154</v>
      </c>
      <c r="AL520" t="s">
        <v>119</v>
      </c>
      <c r="AM520" t="s">
        <v>112</v>
      </c>
      <c r="AN520" t="s">
        <v>121</v>
      </c>
      <c r="AO520" t="s">
        <v>122</v>
      </c>
      <c r="AP520" t="s">
        <v>122</v>
      </c>
      <c r="AQ520" t="s">
        <v>124</v>
      </c>
      <c r="AR520" t="s">
        <v>125</v>
      </c>
      <c r="AS520">
        <v>2</v>
      </c>
      <c r="AT520" t="s">
        <v>126</v>
      </c>
      <c r="AU520" t="s">
        <v>155</v>
      </c>
      <c r="AV520" t="s">
        <v>156</v>
      </c>
      <c r="AX520" t="s">
        <v>129</v>
      </c>
      <c r="AY520">
        <v>45047.8</v>
      </c>
      <c r="BB520">
        <v>97.778099999999995</v>
      </c>
      <c r="BC520" t="s">
        <v>112</v>
      </c>
      <c r="BD520" t="s">
        <v>112</v>
      </c>
      <c r="BE520" t="s">
        <v>157</v>
      </c>
      <c r="BF520" t="s">
        <v>133</v>
      </c>
      <c r="BG520" t="s">
        <v>167</v>
      </c>
      <c r="BH520" t="s">
        <v>112</v>
      </c>
      <c r="BI520" t="s">
        <v>112</v>
      </c>
      <c r="BJ520" t="s">
        <v>112</v>
      </c>
      <c r="BK520" t="s">
        <v>158</v>
      </c>
      <c r="BL520" t="s">
        <v>159</v>
      </c>
      <c r="BM520" t="s">
        <v>160</v>
      </c>
      <c r="BN520" t="s">
        <v>161</v>
      </c>
      <c r="BP520" t="s">
        <v>232</v>
      </c>
      <c r="BR520" t="s">
        <v>150</v>
      </c>
      <c r="BS520">
        <v>33</v>
      </c>
      <c r="BT520">
        <v>0</v>
      </c>
      <c r="BU520">
        <v>0</v>
      </c>
      <c r="BW520">
        <v>0</v>
      </c>
      <c r="BY520" t="s">
        <v>106</v>
      </c>
      <c r="BZ520" t="s">
        <v>142</v>
      </c>
      <c r="CA520" t="s">
        <v>112</v>
      </c>
      <c r="CB520" t="s">
        <v>112</v>
      </c>
      <c r="CC520" t="s">
        <v>121</v>
      </c>
      <c r="CD520">
        <v>17143.68</v>
      </c>
      <c r="CE520" t="s">
        <v>144</v>
      </c>
      <c r="CF520">
        <v>4000000</v>
      </c>
      <c r="CG520">
        <v>17143.68</v>
      </c>
      <c r="CH520">
        <v>0</v>
      </c>
      <c r="CI520" t="s">
        <v>112</v>
      </c>
      <c r="CJ520" t="s">
        <v>112</v>
      </c>
      <c r="CK520">
        <v>45047.8</v>
      </c>
      <c r="CM520">
        <v>0</v>
      </c>
      <c r="CN520">
        <v>1</v>
      </c>
      <c r="CO520">
        <v>4794822.91</v>
      </c>
      <c r="CP520">
        <v>52541.97</v>
      </c>
      <c r="CQ520" t="s">
        <v>145</v>
      </c>
      <c r="CR520">
        <v>52459.660800000005</v>
      </c>
      <c r="CS520">
        <v>3.06</v>
      </c>
      <c r="CT520">
        <v>45</v>
      </c>
      <c r="CV520" t="s">
        <v>233</v>
      </c>
      <c r="CW520">
        <v>579</v>
      </c>
    </row>
    <row r="521" spans="1:101" x14ac:dyDescent="0.2">
      <c r="A521" t="s">
        <v>106</v>
      </c>
      <c r="B521" s="46">
        <v>45213</v>
      </c>
      <c r="C521" t="s">
        <v>1943</v>
      </c>
      <c r="D521" t="s">
        <v>108</v>
      </c>
      <c r="E521" t="s">
        <v>1944</v>
      </c>
      <c r="F521" t="s">
        <v>110</v>
      </c>
      <c r="G521" t="s">
        <v>111</v>
      </c>
      <c r="H521" t="s">
        <v>112</v>
      </c>
      <c r="I521" t="s">
        <v>112</v>
      </c>
      <c r="J521" t="s">
        <v>112</v>
      </c>
      <c r="K521" t="s">
        <v>150</v>
      </c>
      <c r="L521" t="s">
        <v>151</v>
      </c>
      <c r="M521" t="s">
        <v>112</v>
      </c>
      <c r="N521" t="s">
        <v>112</v>
      </c>
      <c r="O521">
        <v>1</v>
      </c>
      <c r="Q521">
        <v>1</v>
      </c>
      <c r="R521">
        <v>33</v>
      </c>
      <c r="S521" t="s">
        <v>112</v>
      </c>
      <c r="T521" t="s">
        <v>152</v>
      </c>
      <c r="U521" t="s">
        <v>153</v>
      </c>
      <c r="V521" t="s">
        <v>154</v>
      </c>
      <c r="W521" t="s">
        <v>119</v>
      </c>
      <c r="X521" t="s">
        <v>112</v>
      </c>
      <c r="Y521" t="s">
        <v>112</v>
      </c>
      <c r="Z521" t="s">
        <v>152</v>
      </c>
      <c r="AA521" t="s">
        <v>153</v>
      </c>
      <c r="AB521" t="s">
        <v>154</v>
      </c>
      <c r="AC521" t="s">
        <v>119</v>
      </c>
      <c r="AD521" t="s">
        <v>112</v>
      </c>
      <c r="AE521" t="s">
        <v>121</v>
      </c>
      <c r="AF521" t="s">
        <v>122</v>
      </c>
      <c r="AG521">
        <v>4779598.21</v>
      </c>
      <c r="AH521" t="s">
        <v>112</v>
      </c>
      <c r="AI521" t="s">
        <v>152</v>
      </c>
      <c r="AJ521" t="s">
        <v>153</v>
      </c>
      <c r="AK521" t="s">
        <v>154</v>
      </c>
      <c r="AL521" t="s">
        <v>119</v>
      </c>
      <c r="AM521" t="s">
        <v>112</v>
      </c>
      <c r="AN521" t="s">
        <v>121</v>
      </c>
      <c r="AO521" t="s">
        <v>122</v>
      </c>
      <c r="AP521" t="s">
        <v>122</v>
      </c>
      <c r="AQ521" t="s">
        <v>124</v>
      </c>
      <c r="AR521" t="s">
        <v>125</v>
      </c>
      <c r="AS521">
        <v>2</v>
      </c>
      <c r="AT521" t="s">
        <v>126</v>
      </c>
      <c r="AU521" t="s">
        <v>155</v>
      </c>
      <c r="AV521" t="s">
        <v>156</v>
      </c>
      <c r="AX521" t="s">
        <v>129</v>
      </c>
      <c r="AY521">
        <v>42170.97</v>
      </c>
      <c r="BB521">
        <v>103.2289</v>
      </c>
      <c r="BC521" t="s">
        <v>112</v>
      </c>
      <c r="BD521" t="s">
        <v>112</v>
      </c>
      <c r="BE521" t="s">
        <v>157</v>
      </c>
      <c r="BF521" t="s">
        <v>133</v>
      </c>
      <c r="BG521" t="s">
        <v>134</v>
      </c>
      <c r="BH521" t="s">
        <v>112</v>
      </c>
      <c r="BI521" t="s">
        <v>112</v>
      </c>
      <c r="BJ521" t="s">
        <v>112</v>
      </c>
      <c r="BK521" t="s">
        <v>169</v>
      </c>
      <c r="BL521" t="s">
        <v>159</v>
      </c>
      <c r="BM521" t="s">
        <v>212</v>
      </c>
      <c r="BN521" t="s">
        <v>161</v>
      </c>
      <c r="BP521" t="s">
        <v>213</v>
      </c>
      <c r="BR521" t="s">
        <v>150</v>
      </c>
      <c r="BS521">
        <v>33</v>
      </c>
      <c r="BT521">
        <v>0</v>
      </c>
      <c r="BU521">
        <v>0</v>
      </c>
      <c r="BW521">
        <v>0</v>
      </c>
      <c r="BY521" t="s">
        <v>106</v>
      </c>
      <c r="BZ521" t="s">
        <v>142</v>
      </c>
      <c r="CA521" t="s">
        <v>112</v>
      </c>
      <c r="CB521" t="s">
        <v>112</v>
      </c>
      <c r="CC521" t="s">
        <v>121</v>
      </c>
      <c r="CD521">
        <v>16255.35</v>
      </c>
      <c r="CE521" t="s">
        <v>144</v>
      </c>
      <c r="CF521">
        <v>4000000</v>
      </c>
      <c r="CG521">
        <v>16084.47</v>
      </c>
      <c r="CH521">
        <v>0</v>
      </c>
      <c r="CI521" t="s">
        <v>112</v>
      </c>
      <c r="CJ521" t="s">
        <v>112</v>
      </c>
      <c r="CK521">
        <v>42170.97</v>
      </c>
      <c r="CM521">
        <v>0</v>
      </c>
      <c r="CN521">
        <v>1</v>
      </c>
      <c r="CO521">
        <v>4779598.21</v>
      </c>
      <c r="CP521">
        <v>49704.18</v>
      </c>
      <c r="CQ521" t="s">
        <v>145</v>
      </c>
      <c r="CR521">
        <v>49701.012299999995</v>
      </c>
      <c r="CS521">
        <v>3.09</v>
      </c>
      <c r="CT521">
        <v>45</v>
      </c>
      <c r="CV521" t="s">
        <v>1140</v>
      </c>
      <c r="CW521">
        <v>42</v>
      </c>
    </row>
    <row r="522" spans="1:101" x14ac:dyDescent="0.2">
      <c r="A522" t="s">
        <v>106</v>
      </c>
      <c r="B522" s="46">
        <v>44899</v>
      </c>
      <c r="C522" t="s">
        <v>1943</v>
      </c>
      <c r="D522" t="s">
        <v>108</v>
      </c>
      <c r="E522" t="s">
        <v>1944</v>
      </c>
      <c r="F522" t="s">
        <v>110</v>
      </c>
      <c r="G522" t="s">
        <v>111</v>
      </c>
      <c r="H522" t="s">
        <v>112</v>
      </c>
      <c r="I522" t="s">
        <v>112</v>
      </c>
      <c r="J522" t="s">
        <v>112</v>
      </c>
      <c r="K522" t="s">
        <v>150</v>
      </c>
      <c r="L522" t="s">
        <v>151</v>
      </c>
      <c r="M522" t="s">
        <v>112</v>
      </c>
      <c r="N522" t="s">
        <v>112</v>
      </c>
      <c r="O522">
        <v>1</v>
      </c>
      <c r="Q522">
        <v>1</v>
      </c>
      <c r="R522">
        <v>33</v>
      </c>
      <c r="S522" t="s">
        <v>112</v>
      </c>
      <c r="T522" t="s">
        <v>152</v>
      </c>
      <c r="U522" t="s">
        <v>153</v>
      </c>
      <c r="V522" t="s">
        <v>154</v>
      </c>
      <c r="W522" t="s">
        <v>119</v>
      </c>
      <c r="X522" t="s">
        <v>112</v>
      </c>
      <c r="Y522" t="s">
        <v>112</v>
      </c>
      <c r="Z522" t="s">
        <v>152</v>
      </c>
      <c r="AA522" t="s">
        <v>153</v>
      </c>
      <c r="AB522" t="s">
        <v>154</v>
      </c>
      <c r="AC522" t="s">
        <v>119</v>
      </c>
      <c r="AD522" t="s">
        <v>112</v>
      </c>
      <c r="AE522" t="s">
        <v>121</v>
      </c>
      <c r="AF522" t="s">
        <v>122</v>
      </c>
      <c r="AG522">
        <v>4779598.21</v>
      </c>
      <c r="AH522" t="s">
        <v>112</v>
      </c>
      <c r="AI522" t="s">
        <v>152</v>
      </c>
      <c r="AJ522" t="s">
        <v>153</v>
      </c>
      <c r="AK522" t="s">
        <v>154</v>
      </c>
      <c r="AL522" t="s">
        <v>119</v>
      </c>
      <c r="AM522" t="s">
        <v>112</v>
      </c>
      <c r="AN522" t="s">
        <v>121</v>
      </c>
      <c r="AO522" t="s">
        <v>122</v>
      </c>
      <c r="AP522" t="s">
        <v>122</v>
      </c>
      <c r="AQ522" t="s">
        <v>124</v>
      </c>
      <c r="AR522" t="s">
        <v>125</v>
      </c>
      <c r="AS522">
        <v>2</v>
      </c>
      <c r="AT522" t="s">
        <v>126</v>
      </c>
      <c r="AU522" t="s">
        <v>155</v>
      </c>
      <c r="AV522" t="s">
        <v>156</v>
      </c>
      <c r="AX522" t="s">
        <v>129</v>
      </c>
      <c r="AY522">
        <v>42170.97</v>
      </c>
      <c r="BB522">
        <v>103.2289</v>
      </c>
      <c r="BC522" t="s">
        <v>112</v>
      </c>
      <c r="BD522" t="s">
        <v>112</v>
      </c>
      <c r="BE522" t="s">
        <v>157</v>
      </c>
      <c r="BF522" t="s">
        <v>133</v>
      </c>
      <c r="BG522" t="s">
        <v>134</v>
      </c>
      <c r="BH522" t="s">
        <v>112</v>
      </c>
      <c r="BI522" t="s">
        <v>112</v>
      </c>
      <c r="BJ522" t="s">
        <v>112</v>
      </c>
      <c r="BK522" t="s">
        <v>169</v>
      </c>
      <c r="BL522" t="s">
        <v>159</v>
      </c>
      <c r="BM522" t="s">
        <v>212</v>
      </c>
      <c r="BN522" t="s">
        <v>161</v>
      </c>
      <c r="BP522" t="s">
        <v>213</v>
      </c>
      <c r="BR522" t="s">
        <v>150</v>
      </c>
      <c r="BS522">
        <v>33</v>
      </c>
      <c r="BT522">
        <v>0</v>
      </c>
      <c r="BU522">
        <v>0</v>
      </c>
      <c r="BW522">
        <v>0</v>
      </c>
      <c r="BY522" t="s">
        <v>106</v>
      </c>
      <c r="BZ522" t="s">
        <v>142</v>
      </c>
      <c r="CA522" t="s">
        <v>112</v>
      </c>
      <c r="CB522" t="s">
        <v>112</v>
      </c>
      <c r="CC522" t="s">
        <v>121</v>
      </c>
      <c r="CD522">
        <v>16255.35</v>
      </c>
      <c r="CE522" t="s">
        <v>144</v>
      </c>
      <c r="CF522">
        <v>4000000</v>
      </c>
      <c r="CG522">
        <v>16084.47</v>
      </c>
      <c r="CH522">
        <v>0</v>
      </c>
      <c r="CI522" t="s">
        <v>112</v>
      </c>
      <c r="CJ522" t="s">
        <v>112</v>
      </c>
      <c r="CK522">
        <v>42170.97</v>
      </c>
      <c r="CM522">
        <v>0</v>
      </c>
      <c r="CN522">
        <v>1</v>
      </c>
      <c r="CO522">
        <v>4779598.21</v>
      </c>
      <c r="CP522">
        <v>49704.18</v>
      </c>
      <c r="CQ522" t="s">
        <v>145</v>
      </c>
      <c r="CR522">
        <v>49701.012299999995</v>
      </c>
      <c r="CS522">
        <v>3.09</v>
      </c>
      <c r="CT522">
        <v>45</v>
      </c>
      <c r="CV522" t="s">
        <v>1140</v>
      </c>
      <c r="CW522">
        <v>42</v>
      </c>
    </row>
    <row r="523" spans="1:101" x14ac:dyDescent="0.2">
      <c r="A523" t="s">
        <v>106</v>
      </c>
      <c r="B523" s="46">
        <v>45052</v>
      </c>
      <c r="C523" t="s">
        <v>1994</v>
      </c>
      <c r="D523" t="s">
        <v>108</v>
      </c>
      <c r="E523" t="s">
        <v>1995</v>
      </c>
      <c r="F523" t="s">
        <v>110</v>
      </c>
      <c r="G523" t="s">
        <v>111</v>
      </c>
      <c r="H523" t="s">
        <v>112</v>
      </c>
      <c r="I523" t="s">
        <v>112</v>
      </c>
      <c r="J523" t="s">
        <v>112</v>
      </c>
      <c r="K523" t="s">
        <v>150</v>
      </c>
      <c r="L523" t="s">
        <v>151</v>
      </c>
      <c r="M523" t="s">
        <v>112</v>
      </c>
      <c r="N523" t="s">
        <v>112</v>
      </c>
      <c r="O523">
        <v>1</v>
      </c>
      <c r="Q523">
        <v>1</v>
      </c>
      <c r="R523">
        <v>33</v>
      </c>
      <c r="S523" t="s">
        <v>112</v>
      </c>
      <c r="T523" t="s">
        <v>152</v>
      </c>
      <c r="U523" t="s">
        <v>153</v>
      </c>
      <c r="V523" t="s">
        <v>154</v>
      </c>
      <c r="W523" t="s">
        <v>119</v>
      </c>
      <c r="X523" t="s">
        <v>112</v>
      </c>
      <c r="Y523" t="s">
        <v>112</v>
      </c>
      <c r="Z523" t="s">
        <v>152</v>
      </c>
      <c r="AA523" t="s">
        <v>153</v>
      </c>
      <c r="AB523" t="s">
        <v>154</v>
      </c>
      <c r="AC523" t="s">
        <v>119</v>
      </c>
      <c r="AD523" t="s">
        <v>112</v>
      </c>
      <c r="AE523" t="s">
        <v>121</v>
      </c>
      <c r="AF523" t="s">
        <v>122</v>
      </c>
      <c r="AG523">
        <v>4511416.75</v>
      </c>
      <c r="AH523" t="s">
        <v>112</v>
      </c>
      <c r="AI523" t="s">
        <v>152</v>
      </c>
      <c r="AJ523" t="s">
        <v>153</v>
      </c>
      <c r="AK523" t="s">
        <v>154</v>
      </c>
      <c r="AL523" t="s">
        <v>119</v>
      </c>
      <c r="AM523" t="s">
        <v>112</v>
      </c>
      <c r="AN523" t="s">
        <v>121</v>
      </c>
      <c r="AO523" t="s">
        <v>122</v>
      </c>
      <c r="AP523" t="s">
        <v>122</v>
      </c>
      <c r="AQ523" t="s">
        <v>124</v>
      </c>
      <c r="AR523" t="s">
        <v>125</v>
      </c>
      <c r="AS523">
        <v>2</v>
      </c>
      <c r="AT523" t="s">
        <v>126</v>
      </c>
      <c r="AU523" t="s">
        <v>155</v>
      </c>
      <c r="AV523" t="s">
        <v>156</v>
      </c>
      <c r="AX523" t="s">
        <v>129</v>
      </c>
      <c r="AY523">
        <v>39573.040000000001</v>
      </c>
      <c r="BB523">
        <v>103.2289</v>
      </c>
      <c r="BC523" t="s">
        <v>112</v>
      </c>
      <c r="BD523" t="s">
        <v>112</v>
      </c>
      <c r="BE523" t="s">
        <v>157</v>
      </c>
      <c r="BF523" t="s">
        <v>133</v>
      </c>
      <c r="BG523" t="s">
        <v>134</v>
      </c>
      <c r="BH523" t="s">
        <v>112</v>
      </c>
      <c r="BI523" t="s">
        <v>112</v>
      </c>
      <c r="BJ523" t="s">
        <v>112</v>
      </c>
      <c r="BK523" t="s">
        <v>169</v>
      </c>
      <c r="BL523" t="s">
        <v>159</v>
      </c>
      <c r="BM523" t="s">
        <v>212</v>
      </c>
      <c r="BN523" t="s">
        <v>161</v>
      </c>
      <c r="BP523" t="s">
        <v>281</v>
      </c>
      <c r="BR523" t="s">
        <v>150</v>
      </c>
      <c r="BS523">
        <v>33</v>
      </c>
      <c r="BT523">
        <v>0</v>
      </c>
      <c r="BU523">
        <v>0</v>
      </c>
      <c r="BW523">
        <v>0</v>
      </c>
      <c r="BY523" t="s">
        <v>106</v>
      </c>
      <c r="BZ523" t="s">
        <v>142</v>
      </c>
      <c r="CA523" t="s">
        <v>112</v>
      </c>
      <c r="CB523" t="s">
        <v>112</v>
      </c>
      <c r="CC523" t="s">
        <v>121</v>
      </c>
      <c r="CD523">
        <v>16388.650000000001</v>
      </c>
      <c r="CE523" t="s">
        <v>144</v>
      </c>
      <c r="CF523">
        <v>4000000</v>
      </c>
      <c r="CG523">
        <v>16268.65</v>
      </c>
      <c r="CH523">
        <v>0</v>
      </c>
      <c r="CI523" t="s">
        <v>112</v>
      </c>
      <c r="CJ523" t="s">
        <v>112</v>
      </c>
      <c r="CK523">
        <v>39573.040000000001</v>
      </c>
      <c r="CM523">
        <v>0</v>
      </c>
      <c r="CN523">
        <v>1</v>
      </c>
      <c r="CO523">
        <v>4511416.75</v>
      </c>
      <c r="CP523">
        <v>46915.29</v>
      </c>
      <c r="CQ523" t="s">
        <v>145</v>
      </c>
      <c r="CR523">
        <v>46853.712</v>
      </c>
      <c r="CS523">
        <v>2.88</v>
      </c>
      <c r="CT523">
        <v>45</v>
      </c>
      <c r="CV523" t="s">
        <v>729</v>
      </c>
      <c r="CW523">
        <v>322</v>
      </c>
    </row>
    <row r="524" spans="1:101" x14ac:dyDescent="0.2">
      <c r="A524" t="s">
        <v>106</v>
      </c>
      <c r="B524" s="46">
        <v>45210</v>
      </c>
      <c r="C524" t="s">
        <v>1933</v>
      </c>
      <c r="D524" t="s">
        <v>108</v>
      </c>
      <c r="E524" t="s">
        <v>1934</v>
      </c>
      <c r="F524" t="s">
        <v>110</v>
      </c>
      <c r="G524" t="s">
        <v>111</v>
      </c>
      <c r="H524" t="s">
        <v>112</v>
      </c>
      <c r="I524" t="s">
        <v>112</v>
      </c>
      <c r="J524" t="s">
        <v>112</v>
      </c>
      <c r="K524" t="s">
        <v>150</v>
      </c>
      <c r="L524" t="s">
        <v>151</v>
      </c>
      <c r="M524" t="s">
        <v>112</v>
      </c>
      <c r="N524" t="s">
        <v>112</v>
      </c>
      <c r="O524">
        <v>1</v>
      </c>
      <c r="Q524">
        <v>1</v>
      </c>
      <c r="R524">
        <v>33</v>
      </c>
      <c r="S524" t="s">
        <v>112</v>
      </c>
      <c r="T524" t="s">
        <v>152</v>
      </c>
      <c r="U524" t="s">
        <v>153</v>
      </c>
      <c r="V524" t="s">
        <v>154</v>
      </c>
      <c r="W524" t="s">
        <v>119</v>
      </c>
      <c r="X524" t="s">
        <v>112</v>
      </c>
      <c r="Y524" t="s">
        <v>112</v>
      </c>
      <c r="Z524" t="s">
        <v>152</v>
      </c>
      <c r="AA524" t="s">
        <v>153</v>
      </c>
      <c r="AB524" t="s">
        <v>154</v>
      </c>
      <c r="AC524" t="s">
        <v>119</v>
      </c>
      <c r="AD524" t="s">
        <v>112</v>
      </c>
      <c r="AE524" t="s">
        <v>121</v>
      </c>
      <c r="AF524" t="s">
        <v>122</v>
      </c>
      <c r="AG524">
        <v>4392790.2300000004</v>
      </c>
      <c r="AH524" t="s">
        <v>112</v>
      </c>
      <c r="AI524" t="s">
        <v>152</v>
      </c>
      <c r="AJ524" t="s">
        <v>153</v>
      </c>
      <c r="AK524" t="s">
        <v>154</v>
      </c>
      <c r="AL524" t="s">
        <v>119</v>
      </c>
      <c r="AM524" t="s">
        <v>112</v>
      </c>
      <c r="AN524" t="s">
        <v>121</v>
      </c>
      <c r="AO524" t="s">
        <v>122</v>
      </c>
      <c r="AP524" t="s">
        <v>122</v>
      </c>
      <c r="AQ524" t="s">
        <v>124</v>
      </c>
      <c r="AR524" t="s">
        <v>125</v>
      </c>
      <c r="AS524">
        <v>2</v>
      </c>
      <c r="AT524" t="s">
        <v>126</v>
      </c>
      <c r="AU524" t="s">
        <v>155</v>
      </c>
      <c r="AV524" t="s">
        <v>156</v>
      </c>
      <c r="AX524" t="s">
        <v>129</v>
      </c>
      <c r="AY524">
        <v>38423.879999999997</v>
      </c>
      <c r="BB524">
        <v>103.2289</v>
      </c>
      <c r="BC524" t="s">
        <v>112</v>
      </c>
      <c r="BD524" t="s">
        <v>112</v>
      </c>
      <c r="BE524" t="s">
        <v>157</v>
      </c>
      <c r="BF524" t="s">
        <v>133</v>
      </c>
      <c r="BG524" t="s">
        <v>134</v>
      </c>
      <c r="BH524" t="s">
        <v>112</v>
      </c>
      <c r="BI524" t="s">
        <v>112</v>
      </c>
      <c r="BJ524" t="s">
        <v>112</v>
      </c>
      <c r="BK524" t="s">
        <v>169</v>
      </c>
      <c r="BL524" t="s">
        <v>159</v>
      </c>
      <c r="BM524" t="s">
        <v>212</v>
      </c>
      <c r="BN524" t="s">
        <v>161</v>
      </c>
      <c r="BP524" t="s">
        <v>281</v>
      </c>
      <c r="BR524" t="s">
        <v>150</v>
      </c>
      <c r="BS524">
        <v>33</v>
      </c>
      <c r="BT524">
        <v>0</v>
      </c>
      <c r="BU524">
        <v>0</v>
      </c>
      <c r="BW524">
        <v>0</v>
      </c>
      <c r="BY524" t="s">
        <v>106</v>
      </c>
      <c r="BZ524" t="s">
        <v>142</v>
      </c>
      <c r="CA524" t="s">
        <v>112</v>
      </c>
      <c r="CB524" t="s">
        <v>112</v>
      </c>
      <c r="CC524" t="s">
        <v>121</v>
      </c>
      <c r="CD524">
        <v>17119.759999999998</v>
      </c>
      <c r="CE524" t="s">
        <v>144</v>
      </c>
      <c r="CF524">
        <v>4000000</v>
      </c>
      <c r="CG524">
        <v>17086.28</v>
      </c>
      <c r="CH524">
        <v>0</v>
      </c>
      <c r="CI524" t="s">
        <v>112</v>
      </c>
      <c r="CJ524" t="s">
        <v>112</v>
      </c>
      <c r="CK524">
        <v>38423.879999999997</v>
      </c>
      <c r="CM524">
        <v>0</v>
      </c>
      <c r="CN524">
        <v>1</v>
      </c>
      <c r="CO524">
        <v>4392790.2300000004</v>
      </c>
      <c r="CP524">
        <v>45681.67</v>
      </c>
      <c r="CQ524" t="s">
        <v>145</v>
      </c>
      <c r="CR524">
        <v>45620.367599999998</v>
      </c>
      <c r="CS524">
        <v>2.67</v>
      </c>
      <c r="CT524">
        <v>45</v>
      </c>
      <c r="CV524" t="s">
        <v>233</v>
      </c>
      <c r="CW524">
        <v>321</v>
      </c>
    </row>
    <row r="525" spans="1:101" x14ac:dyDescent="0.2">
      <c r="A525" t="s">
        <v>106</v>
      </c>
      <c r="B525" s="46">
        <v>45258</v>
      </c>
      <c r="C525" t="s">
        <v>1939</v>
      </c>
      <c r="D525" t="s">
        <v>108</v>
      </c>
      <c r="E525" t="s">
        <v>1940</v>
      </c>
      <c r="F525" t="s">
        <v>110</v>
      </c>
      <c r="G525" t="s">
        <v>111</v>
      </c>
      <c r="H525" t="s">
        <v>112</v>
      </c>
      <c r="I525" t="s">
        <v>112</v>
      </c>
      <c r="J525" t="s">
        <v>112</v>
      </c>
      <c r="K525" t="s">
        <v>150</v>
      </c>
      <c r="L525" t="s">
        <v>151</v>
      </c>
      <c r="M525" t="s">
        <v>112</v>
      </c>
      <c r="N525" t="s">
        <v>112</v>
      </c>
      <c r="O525">
        <v>1</v>
      </c>
      <c r="Q525">
        <v>1</v>
      </c>
      <c r="R525">
        <v>33</v>
      </c>
      <c r="S525" t="s">
        <v>112</v>
      </c>
      <c r="T525" t="s">
        <v>152</v>
      </c>
      <c r="U525" t="s">
        <v>153</v>
      </c>
      <c r="V525" t="s">
        <v>154</v>
      </c>
      <c r="W525" t="s">
        <v>119</v>
      </c>
      <c r="X525" t="s">
        <v>112</v>
      </c>
      <c r="Y525" t="s">
        <v>112</v>
      </c>
      <c r="Z525" t="s">
        <v>152</v>
      </c>
      <c r="AA525" t="s">
        <v>153</v>
      </c>
      <c r="AB525" t="s">
        <v>154</v>
      </c>
      <c r="AC525" t="s">
        <v>119</v>
      </c>
      <c r="AD525" t="s">
        <v>112</v>
      </c>
      <c r="AE525" t="s">
        <v>121</v>
      </c>
      <c r="AF525" t="s">
        <v>122</v>
      </c>
      <c r="AG525">
        <v>5313397.9400000004</v>
      </c>
      <c r="AH525" t="s">
        <v>112</v>
      </c>
      <c r="AI525" t="s">
        <v>152</v>
      </c>
      <c r="AJ525" t="s">
        <v>153</v>
      </c>
      <c r="AK525" t="s">
        <v>154</v>
      </c>
      <c r="AL525" t="s">
        <v>119</v>
      </c>
      <c r="AM525" t="s">
        <v>112</v>
      </c>
      <c r="AN525" t="s">
        <v>121</v>
      </c>
      <c r="AO525" t="s">
        <v>122</v>
      </c>
      <c r="AP525" t="s">
        <v>122</v>
      </c>
      <c r="AQ525" t="s">
        <v>124</v>
      </c>
      <c r="AR525" t="s">
        <v>125</v>
      </c>
      <c r="AS525">
        <v>2</v>
      </c>
      <c r="AT525" t="s">
        <v>126</v>
      </c>
      <c r="AU525" t="s">
        <v>155</v>
      </c>
      <c r="AV525" t="s">
        <v>156</v>
      </c>
      <c r="AX525" t="s">
        <v>129</v>
      </c>
      <c r="AY525">
        <v>47342</v>
      </c>
      <c r="BB525">
        <v>103.2289</v>
      </c>
      <c r="BC525" t="s">
        <v>112</v>
      </c>
      <c r="BD525" t="s">
        <v>112</v>
      </c>
      <c r="BE525" t="s">
        <v>157</v>
      </c>
      <c r="BF525" t="s">
        <v>133</v>
      </c>
      <c r="BG525" t="s">
        <v>134</v>
      </c>
      <c r="BH525" t="s">
        <v>112</v>
      </c>
      <c r="BI525" t="s">
        <v>112</v>
      </c>
      <c r="BJ525" t="s">
        <v>112</v>
      </c>
      <c r="BK525" t="s">
        <v>169</v>
      </c>
      <c r="BL525" t="s">
        <v>159</v>
      </c>
      <c r="BM525" t="s">
        <v>212</v>
      </c>
      <c r="BN525" t="s">
        <v>161</v>
      </c>
      <c r="BP525" t="s">
        <v>232</v>
      </c>
      <c r="BR525" t="s">
        <v>150</v>
      </c>
      <c r="BS525">
        <v>33</v>
      </c>
      <c r="BT525">
        <v>0</v>
      </c>
      <c r="BU525">
        <v>0</v>
      </c>
      <c r="BW525">
        <v>0</v>
      </c>
      <c r="BY525" t="s">
        <v>106</v>
      </c>
      <c r="BZ525" t="s">
        <v>142</v>
      </c>
      <c r="CA525" t="s">
        <v>112</v>
      </c>
      <c r="CB525" t="s">
        <v>112</v>
      </c>
      <c r="CC525" t="s">
        <v>121</v>
      </c>
      <c r="CD525">
        <v>15557.58</v>
      </c>
      <c r="CE525" t="s">
        <v>144</v>
      </c>
      <c r="CF525">
        <v>4000000</v>
      </c>
      <c r="CG525">
        <v>15341.58</v>
      </c>
      <c r="CH525">
        <v>0</v>
      </c>
      <c r="CI525" t="s">
        <v>112</v>
      </c>
      <c r="CJ525" t="s">
        <v>112</v>
      </c>
      <c r="CK525">
        <v>47342</v>
      </c>
      <c r="CM525">
        <v>0</v>
      </c>
      <c r="CN525">
        <v>1</v>
      </c>
      <c r="CO525">
        <v>5313397.9400000004</v>
      </c>
      <c r="CP525">
        <v>55255.29</v>
      </c>
      <c r="CQ525" t="s">
        <v>145</v>
      </c>
      <c r="CR525">
        <v>55229.688000000002</v>
      </c>
      <c r="CS525">
        <v>3.6</v>
      </c>
      <c r="CT525">
        <v>45</v>
      </c>
      <c r="CV525" t="s">
        <v>233</v>
      </c>
      <c r="CW525">
        <v>368</v>
      </c>
    </row>
    <row r="526" spans="1:101" x14ac:dyDescent="0.2">
      <c r="A526" t="s">
        <v>106</v>
      </c>
      <c r="B526" s="46">
        <v>44589</v>
      </c>
      <c r="C526" t="s">
        <v>1727</v>
      </c>
      <c r="D526" t="s">
        <v>108</v>
      </c>
      <c r="E526" t="s">
        <v>1728</v>
      </c>
      <c r="F526" t="s">
        <v>110</v>
      </c>
      <c r="G526" t="s">
        <v>111</v>
      </c>
      <c r="H526" t="s">
        <v>112</v>
      </c>
      <c r="I526" t="s">
        <v>112</v>
      </c>
      <c r="J526" t="s">
        <v>112</v>
      </c>
      <c r="K526" t="s">
        <v>150</v>
      </c>
      <c r="L526" t="s">
        <v>151</v>
      </c>
      <c r="M526" t="s">
        <v>112</v>
      </c>
      <c r="N526" t="s">
        <v>112</v>
      </c>
      <c r="Q526">
        <v>1</v>
      </c>
      <c r="R526">
        <v>33</v>
      </c>
      <c r="S526" t="s">
        <v>166</v>
      </c>
      <c r="T526" t="s">
        <v>152</v>
      </c>
      <c r="U526" t="s">
        <v>153</v>
      </c>
      <c r="V526" t="s">
        <v>154</v>
      </c>
      <c r="W526" t="s">
        <v>119</v>
      </c>
      <c r="X526" t="s">
        <v>112</v>
      </c>
      <c r="Y526" t="s">
        <v>166</v>
      </c>
      <c r="Z526" t="s">
        <v>152</v>
      </c>
      <c r="AA526" t="s">
        <v>153</v>
      </c>
      <c r="AB526" t="s">
        <v>154</v>
      </c>
      <c r="AC526" t="s">
        <v>119</v>
      </c>
      <c r="AD526" t="s">
        <v>112</v>
      </c>
      <c r="AE526" t="s">
        <v>121</v>
      </c>
      <c r="AF526" t="s">
        <v>122</v>
      </c>
      <c r="AG526">
        <v>5418462.1200000001</v>
      </c>
      <c r="AH526" t="s">
        <v>166</v>
      </c>
      <c r="AI526" t="s">
        <v>152</v>
      </c>
      <c r="AJ526" t="s">
        <v>153</v>
      </c>
      <c r="AK526" t="s">
        <v>154</v>
      </c>
      <c r="AL526" t="s">
        <v>119</v>
      </c>
      <c r="AM526" t="s">
        <v>112</v>
      </c>
      <c r="AN526" t="s">
        <v>121</v>
      </c>
      <c r="AO526" t="s">
        <v>122</v>
      </c>
      <c r="AP526" t="s">
        <v>122</v>
      </c>
      <c r="AQ526" t="s">
        <v>124</v>
      </c>
      <c r="AR526" t="s">
        <v>125</v>
      </c>
      <c r="AT526" t="s">
        <v>126</v>
      </c>
      <c r="AU526" t="s">
        <v>155</v>
      </c>
      <c r="AV526" t="s">
        <v>156</v>
      </c>
      <c r="AX526" t="s">
        <v>129</v>
      </c>
      <c r="AY526">
        <v>44824.03</v>
      </c>
      <c r="BB526">
        <v>110.68470000000001</v>
      </c>
      <c r="BC526" t="s">
        <v>112</v>
      </c>
      <c r="BD526" t="s">
        <v>112</v>
      </c>
      <c r="BE526" t="s">
        <v>112</v>
      </c>
      <c r="BF526" t="s">
        <v>133</v>
      </c>
      <c r="BG526" t="s">
        <v>134</v>
      </c>
      <c r="BH526" t="s">
        <v>112</v>
      </c>
      <c r="BI526" t="s">
        <v>112</v>
      </c>
      <c r="BJ526" t="s">
        <v>112</v>
      </c>
      <c r="BK526" t="s">
        <v>112</v>
      </c>
      <c r="BL526" t="s">
        <v>112</v>
      </c>
      <c r="BM526" t="s">
        <v>112</v>
      </c>
      <c r="BN526" t="s">
        <v>161</v>
      </c>
      <c r="BP526" t="s">
        <v>232</v>
      </c>
      <c r="BR526" t="s">
        <v>150</v>
      </c>
      <c r="BS526">
        <v>33</v>
      </c>
      <c r="BT526">
        <v>0</v>
      </c>
      <c r="BU526">
        <v>0</v>
      </c>
      <c r="BY526" t="s">
        <v>106</v>
      </c>
      <c r="BZ526" t="s">
        <v>142</v>
      </c>
      <c r="CA526" t="s">
        <v>112</v>
      </c>
      <c r="CB526" t="s">
        <v>112</v>
      </c>
      <c r="CC526" t="s">
        <v>121</v>
      </c>
      <c r="CD526">
        <v>16577.439999999999</v>
      </c>
      <c r="CE526" t="s">
        <v>144</v>
      </c>
      <c r="CF526">
        <v>4000000</v>
      </c>
      <c r="CG526">
        <v>16433.439999999999</v>
      </c>
      <c r="CH526">
        <v>0</v>
      </c>
      <c r="CI526" t="s">
        <v>112</v>
      </c>
      <c r="CJ526" t="s">
        <v>112</v>
      </c>
      <c r="CK526">
        <v>44824.03</v>
      </c>
      <c r="CM526">
        <v>0</v>
      </c>
      <c r="CN526">
        <v>1</v>
      </c>
      <c r="CO526">
        <v>5418462.1200000001</v>
      </c>
      <c r="CP526">
        <v>53626.95</v>
      </c>
      <c r="CQ526" t="s">
        <v>145</v>
      </c>
      <c r="CR526">
        <v>53573.014399999993</v>
      </c>
      <c r="CS526">
        <v>3.26</v>
      </c>
      <c r="CW526">
        <v>13</v>
      </c>
    </row>
    <row r="527" spans="1:101" x14ac:dyDescent="0.2">
      <c r="A527" t="s">
        <v>106</v>
      </c>
      <c r="B527" s="46">
        <v>44909</v>
      </c>
      <c r="C527" t="s">
        <v>1725</v>
      </c>
      <c r="D527" t="s">
        <v>108</v>
      </c>
      <c r="E527" t="s">
        <v>1726</v>
      </c>
      <c r="F527" t="s">
        <v>110</v>
      </c>
      <c r="G527" t="s">
        <v>111</v>
      </c>
      <c r="H527" t="s">
        <v>112</v>
      </c>
      <c r="I527" t="s">
        <v>112</v>
      </c>
      <c r="J527" t="s">
        <v>112</v>
      </c>
      <c r="K527" t="s">
        <v>150</v>
      </c>
      <c r="L527" t="s">
        <v>151</v>
      </c>
      <c r="M527" t="s">
        <v>112</v>
      </c>
      <c r="N527" t="s">
        <v>112</v>
      </c>
      <c r="Q527">
        <v>1</v>
      </c>
      <c r="R527">
        <v>33</v>
      </c>
      <c r="S527" t="s">
        <v>166</v>
      </c>
      <c r="T527" t="s">
        <v>152</v>
      </c>
      <c r="U527" t="s">
        <v>153</v>
      </c>
      <c r="V527" t="s">
        <v>154</v>
      </c>
      <c r="W527" t="s">
        <v>119</v>
      </c>
      <c r="X527" t="s">
        <v>112</v>
      </c>
      <c r="Y527" t="s">
        <v>166</v>
      </c>
      <c r="Z527" t="s">
        <v>152</v>
      </c>
      <c r="AA527" t="s">
        <v>153</v>
      </c>
      <c r="AB527" t="s">
        <v>154</v>
      </c>
      <c r="AC527" t="s">
        <v>119</v>
      </c>
      <c r="AD527" t="s">
        <v>112</v>
      </c>
      <c r="AE527" t="s">
        <v>121</v>
      </c>
      <c r="AF527" t="s">
        <v>122</v>
      </c>
      <c r="AG527">
        <v>5160939.79</v>
      </c>
      <c r="AH527" t="s">
        <v>166</v>
      </c>
      <c r="AI527" t="s">
        <v>152</v>
      </c>
      <c r="AJ527" t="s">
        <v>153</v>
      </c>
      <c r="AK527" t="s">
        <v>154</v>
      </c>
      <c r="AL527" t="s">
        <v>119</v>
      </c>
      <c r="AM527" t="s">
        <v>112</v>
      </c>
      <c r="AN527" t="s">
        <v>121</v>
      </c>
      <c r="AO527" t="s">
        <v>122</v>
      </c>
      <c r="AP527" t="s">
        <v>122</v>
      </c>
      <c r="AQ527" t="s">
        <v>124</v>
      </c>
      <c r="AR527" t="s">
        <v>125</v>
      </c>
      <c r="AT527" t="s">
        <v>126</v>
      </c>
      <c r="AU527" t="s">
        <v>155</v>
      </c>
      <c r="AV527" t="s">
        <v>156</v>
      </c>
      <c r="AX527" t="s">
        <v>129</v>
      </c>
      <c r="AY527">
        <v>41977.4</v>
      </c>
      <c r="BB527">
        <v>110.68470000000001</v>
      </c>
      <c r="BC527" t="s">
        <v>112</v>
      </c>
      <c r="BD527" t="s">
        <v>112</v>
      </c>
      <c r="BE527" t="s">
        <v>112</v>
      </c>
      <c r="BF527" t="s">
        <v>133</v>
      </c>
      <c r="BG527" t="s">
        <v>134</v>
      </c>
      <c r="BH527" t="s">
        <v>112</v>
      </c>
      <c r="BI527" t="s">
        <v>112</v>
      </c>
      <c r="BJ527" t="s">
        <v>112</v>
      </c>
      <c r="BK527" t="s">
        <v>112</v>
      </c>
      <c r="BL527" t="s">
        <v>112</v>
      </c>
      <c r="BM527" t="s">
        <v>112</v>
      </c>
      <c r="BN527" t="s">
        <v>161</v>
      </c>
      <c r="BP527" t="s">
        <v>205</v>
      </c>
      <c r="BR527" t="s">
        <v>150</v>
      </c>
      <c r="BS527">
        <v>33</v>
      </c>
      <c r="BT527">
        <v>0</v>
      </c>
      <c r="BU527">
        <v>0</v>
      </c>
      <c r="BY527" t="s">
        <v>106</v>
      </c>
      <c r="BZ527" t="s">
        <v>142</v>
      </c>
      <c r="CA527" t="s">
        <v>112</v>
      </c>
      <c r="CB527" t="s">
        <v>112</v>
      </c>
      <c r="CC527" t="s">
        <v>121</v>
      </c>
      <c r="CD527">
        <v>17104.5</v>
      </c>
      <c r="CE527" t="s">
        <v>144</v>
      </c>
      <c r="CF527">
        <v>4000000</v>
      </c>
      <c r="CG527">
        <v>17082.900000000001</v>
      </c>
      <c r="CH527">
        <v>0</v>
      </c>
      <c r="CI527" t="s">
        <v>112</v>
      </c>
      <c r="CJ527" t="s">
        <v>112</v>
      </c>
      <c r="CK527">
        <v>41977.4</v>
      </c>
      <c r="CM527">
        <v>0</v>
      </c>
      <c r="CN527">
        <v>1</v>
      </c>
      <c r="CO527">
        <v>5160939.79</v>
      </c>
      <c r="CP527">
        <v>51078.239999999998</v>
      </c>
      <c r="CQ527" t="s">
        <v>145</v>
      </c>
      <c r="CR527">
        <v>51077.871000000006</v>
      </c>
      <c r="CS527">
        <v>2.99</v>
      </c>
      <c r="CW527">
        <v>330</v>
      </c>
    </row>
    <row r="528" spans="1:101" x14ac:dyDescent="0.2">
      <c r="A528" t="s">
        <v>106</v>
      </c>
      <c r="B528" s="46">
        <v>44784</v>
      </c>
      <c r="C528" t="s">
        <v>1723</v>
      </c>
      <c r="D528" t="s">
        <v>108</v>
      </c>
      <c r="E528" t="s">
        <v>1724</v>
      </c>
      <c r="F528" t="s">
        <v>110</v>
      </c>
      <c r="G528" t="s">
        <v>111</v>
      </c>
      <c r="H528" t="s">
        <v>112</v>
      </c>
      <c r="I528" t="s">
        <v>112</v>
      </c>
      <c r="J528" t="s">
        <v>112</v>
      </c>
      <c r="K528" t="s">
        <v>150</v>
      </c>
      <c r="L528" t="s">
        <v>151</v>
      </c>
      <c r="M528" t="s">
        <v>112</v>
      </c>
      <c r="N528" t="s">
        <v>112</v>
      </c>
      <c r="Q528">
        <v>1</v>
      </c>
      <c r="R528">
        <v>33</v>
      </c>
      <c r="S528" t="s">
        <v>166</v>
      </c>
      <c r="T528" t="s">
        <v>152</v>
      </c>
      <c r="U528" t="s">
        <v>153</v>
      </c>
      <c r="V528" t="s">
        <v>154</v>
      </c>
      <c r="W528" t="s">
        <v>119</v>
      </c>
      <c r="X528" t="s">
        <v>112</v>
      </c>
      <c r="Y528" t="s">
        <v>166</v>
      </c>
      <c r="Z528" t="s">
        <v>152</v>
      </c>
      <c r="AA528" t="s">
        <v>153</v>
      </c>
      <c r="AB528" t="s">
        <v>154</v>
      </c>
      <c r="AC528" t="s">
        <v>119</v>
      </c>
      <c r="AD528" t="s">
        <v>112</v>
      </c>
      <c r="AE528" t="s">
        <v>121</v>
      </c>
      <c r="AF528" t="s">
        <v>122</v>
      </c>
      <c r="AG528">
        <v>5283268.51</v>
      </c>
      <c r="AH528" t="s">
        <v>166</v>
      </c>
      <c r="AI528" t="s">
        <v>152</v>
      </c>
      <c r="AJ528" t="s">
        <v>153</v>
      </c>
      <c r="AK528" t="s">
        <v>154</v>
      </c>
      <c r="AL528" t="s">
        <v>119</v>
      </c>
      <c r="AM528" t="s">
        <v>112</v>
      </c>
      <c r="AN528" t="s">
        <v>121</v>
      </c>
      <c r="AO528" t="s">
        <v>122</v>
      </c>
      <c r="AP528" t="s">
        <v>122</v>
      </c>
      <c r="AQ528" t="s">
        <v>124</v>
      </c>
      <c r="AR528" t="s">
        <v>125</v>
      </c>
      <c r="AT528" t="s">
        <v>126</v>
      </c>
      <c r="AU528" t="s">
        <v>155</v>
      </c>
      <c r="AV528" t="s">
        <v>156</v>
      </c>
      <c r="AX528" t="s">
        <v>129</v>
      </c>
      <c r="AY528">
        <v>43602.6</v>
      </c>
      <c r="BB528">
        <v>110.68470000000001</v>
      </c>
      <c r="BC528" t="s">
        <v>112</v>
      </c>
      <c r="BD528" t="s">
        <v>112</v>
      </c>
      <c r="BE528" t="s">
        <v>112</v>
      </c>
      <c r="BF528" t="s">
        <v>133</v>
      </c>
      <c r="BG528" t="s">
        <v>134</v>
      </c>
      <c r="BH528" t="s">
        <v>112</v>
      </c>
      <c r="BI528" t="s">
        <v>112</v>
      </c>
      <c r="BJ528" t="s">
        <v>112</v>
      </c>
      <c r="BK528" t="s">
        <v>112</v>
      </c>
      <c r="BL528" t="s">
        <v>112</v>
      </c>
      <c r="BM528" t="s">
        <v>112</v>
      </c>
      <c r="BN528" t="s">
        <v>161</v>
      </c>
      <c r="BP528" t="s">
        <v>232</v>
      </c>
      <c r="BR528" t="s">
        <v>150</v>
      </c>
      <c r="BS528">
        <v>33</v>
      </c>
      <c r="BT528">
        <v>0</v>
      </c>
      <c r="BU528">
        <v>0</v>
      </c>
      <c r="BY528" t="s">
        <v>106</v>
      </c>
      <c r="BZ528" t="s">
        <v>142</v>
      </c>
      <c r="CA528" t="s">
        <v>112</v>
      </c>
      <c r="CB528" t="s">
        <v>112</v>
      </c>
      <c r="CC528" t="s">
        <v>121</v>
      </c>
      <c r="CD528">
        <v>16531.86</v>
      </c>
      <c r="CE528" t="s">
        <v>144</v>
      </c>
      <c r="CF528">
        <v>4000000</v>
      </c>
      <c r="CG528">
        <v>16441.86</v>
      </c>
      <c r="CH528">
        <v>0</v>
      </c>
      <c r="CI528" t="s">
        <v>112</v>
      </c>
      <c r="CJ528" t="s">
        <v>112</v>
      </c>
      <c r="CK528">
        <v>43602.6</v>
      </c>
      <c r="CM528">
        <v>0</v>
      </c>
      <c r="CN528">
        <v>1</v>
      </c>
      <c r="CO528">
        <v>5283268.51</v>
      </c>
      <c r="CP528">
        <v>52288.93</v>
      </c>
      <c r="CQ528" t="s">
        <v>145</v>
      </c>
      <c r="CR528">
        <v>52285.114800000003</v>
      </c>
      <c r="CS528">
        <v>3.18</v>
      </c>
      <c r="CW528">
        <v>370</v>
      </c>
    </row>
    <row r="529" spans="1:101" x14ac:dyDescent="0.2">
      <c r="A529" t="s">
        <v>106</v>
      </c>
      <c r="B529" s="46">
        <v>44850</v>
      </c>
      <c r="C529" t="s">
        <v>1721</v>
      </c>
      <c r="D529" t="s">
        <v>108</v>
      </c>
      <c r="E529" t="s">
        <v>1722</v>
      </c>
      <c r="F529" t="s">
        <v>110</v>
      </c>
      <c r="G529" t="s">
        <v>111</v>
      </c>
      <c r="H529" t="s">
        <v>112</v>
      </c>
      <c r="I529" t="s">
        <v>112</v>
      </c>
      <c r="J529" t="s">
        <v>112</v>
      </c>
      <c r="K529" t="s">
        <v>150</v>
      </c>
      <c r="L529" t="s">
        <v>151</v>
      </c>
      <c r="M529" t="s">
        <v>112</v>
      </c>
      <c r="N529" t="s">
        <v>112</v>
      </c>
      <c r="Q529">
        <v>1</v>
      </c>
      <c r="R529">
        <v>33</v>
      </c>
      <c r="S529" t="s">
        <v>166</v>
      </c>
      <c r="T529" t="s">
        <v>152</v>
      </c>
      <c r="U529" t="s">
        <v>153</v>
      </c>
      <c r="V529" t="s">
        <v>154</v>
      </c>
      <c r="W529" t="s">
        <v>119</v>
      </c>
      <c r="X529" t="s">
        <v>112</v>
      </c>
      <c r="Y529" t="s">
        <v>166</v>
      </c>
      <c r="Z529" t="s">
        <v>152</v>
      </c>
      <c r="AA529" t="s">
        <v>153</v>
      </c>
      <c r="AB529" t="s">
        <v>154</v>
      </c>
      <c r="AC529" t="s">
        <v>119</v>
      </c>
      <c r="AD529" t="s">
        <v>112</v>
      </c>
      <c r="AE529" t="s">
        <v>121</v>
      </c>
      <c r="AF529" t="s">
        <v>122</v>
      </c>
      <c r="AG529">
        <v>5037576.1500000004</v>
      </c>
      <c r="AH529" t="s">
        <v>166</v>
      </c>
      <c r="AI529" t="s">
        <v>152</v>
      </c>
      <c r="AJ529" t="s">
        <v>153</v>
      </c>
      <c r="AK529" t="s">
        <v>154</v>
      </c>
      <c r="AL529" t="s">
        <v>119</v>
      </c>
      <c r="AM529" t="s">
        <v>112</v>
      </c>
      <c r="AN529" t="s">
        <v>121</v>
      </c>
      <c r="AO529" t="s">
        <v>122</v>
      </c>
      <c r="AP529" t="s">
        <v>122</v>
      </c>
      <c r="AQ529" t="s">
        <v>124</v>
      </c>
      <c r="AR529" t="s">
        <v>125</v>
      </c>
      <c r="AT529" t="s">
        <v>126</v>
      </c>
      <c r="AU529" t="s">
        <v>155</v>
      </c>
      <c r="AV529" t="s">
        <v>156</v>
      </c>
      <c r="AX529" t="s">
        <v>129</v>
      </c>
      <c r="AY529">
        <v>40862.85</v>
      </c>
      <c r="BB529">
        <v>110.68470000000001</v>
      </c>
      <c r="BC529" t="s">
        <v>112</v>
      </c>
      <c r="BD529" t="s">
        <v>112</v>
      </c>
      <c r="BE529" t="s">
        <v>112</v>
      </c>
      <c r="BF529" t="s">
        <v>133</v>
      </c>
      <c r="BG529" t="s">
        <v>167</v>
      </c>
      <c r="BH529" t="s">
        <v>112</v>
      </c>
      <c r="BI529" t="s">
        <v>112</v>
      </c>
      <c r="BJ529" t="s">
        <v>112</v>
      </c>
      <c r="BK529" t="s">
        <v>112</v>
      </c>
      <c r="BL529" t="s">
        <v>112</v>
      </c>
      <c r="BM529" t="s">
        <v>112</v>
      </c>
      <c r="BN529" t="s">
        <v>161</v>
      </c>
      <c r="BP529" t="s">
        <v>281</v>
      </c>
      <c r="BR529" t="s">
        <v>150</v>
      </c>
      <c r="BS529">
        <v>33</v>
      </c>
      <c r="BT529">
        <v>0</v>
      </c>
      <c r="BU529">
        <v>0</v>
      </c>
      <c r="BY529" t="s">
        <v>106</v>
      </c>
      <c r="BZ529" t="s">
        <v>142</v>
      </c>
      <c r="CA529" t="s">
        <v>112</v>
      </c>
      <c r="CB529" t="s">
        <v>112</v>
      </c>
      <c r="CC529" t="s">
        <v>121</v>
      </c>
      <c r="CD529">
        <v>16666.28</v>
      </c>
      <c r="CE529" t="s">
        <v>144</v>
      </c>
      <c r="CF529">
        <v>4000000</v>
      </c>
      <c r="CG529">
        <v>16515.080000000002</v>
      </c>
      <c r="CH529">
        <v>0</v>
      </c>
      <c r="CI529" t="s">
        <v>112</v>
      </c>
      <c r="CJ529" t="s">
        <v>112</v>
      </c>
      <c r="CK529">
        <v>40862.85</v>
      </c>
      <c r="CM529">
        <v>0</v>
      </c>
      <c r="CN529">
        <v>1</v>
      </c>
      <c r="CO529">
        <v>5037576.1500000004</v>
      </c>
      <c r="CP529">
        <v>49857.3</v>
      </c>
      <c r="CQ529" t="s">
        <v>145</v>
      </c>
      <c r="CR529">
        <v>49875.541600000004</v>
      </c>
      <c r="CS529">
        <v>3.02</v>
      </c>
      <c r="CW529">
        <v>243</v>
      </c>
    </row>
    <row r="530" spans="1:101" x14ac:dyDescent="0.2">
      <c r="A530" t="s">
        <v>106</v>
      </c>
      <c r="B530" s="46">
        <v>45016</v>
      </c>
      <c r="C530" t="s">
        <v>1325</v>
      </c>
      <c r="D530" t="s">
        <v>108</v>
      </c>
      <c r="E530" t="s">
        <v>1326</v>
      </c>
      <c r="F530" t="s">
        <v>110</v>
      </c>
      <c r="G530" t="s">
        <v>111</v>
      </c>
      <c r="H530" t="s">
        <v>112</v>
      </c>
      <c r="I530" t="s">
        <v>112</v>
      </c>
      <c r="J530" t="s">
        <v>112</v>
      </c>
      <c r="K530" t="s">
        <v>150</v>
      </c>
      <c r="L530" t="s">
        <v>1060</v>
      </c>
      <c r="M530" t="s">
        <v>112</v>
      </c>
      <c r="N530" t="s">
        <v>112</v>
      </c>
      <c r="O530">
        <v>1</v>
      </c>
      <c r="P530">
        <v>0</v>
      </c>
      <c r="Q530">
        <v>1</v>
      </c>
      <c r="R530">
        <v>33</v>
      </c>
      <c r="S530" t="s">
        <v>166</v>
      </c>
      <c r="T530" t="s">
        <v>152</v>
      </c>
      <c r="U530" t="s">
        <v>153</v>
      </c>
      <c r="V530" t="s">
        <v>154</v>
      </c>
      <c r="W530" t="s">
        <v>119</v>
      </c>
      <c r="X530" t="s">
        <v>112</v>
      </c>
      <c r="Y530" t="s">
        <v>166</v>
      </c>
      <c r="Z530" t="s">
        <v>152</v>
      </c>
      <c r="AA530" t="s">
        <v>153</v>
      </c>
      <c r="AB530" t="s">
        <v>154</v>
      </c>
      <c r="AC530" t="s">
        <v>119</v>
      </c>
      <c r="AD530" t="s">
        <v>112</v>
      </c>
      <c r="AE530" t="s">
        <v>121</v>
      </c>
      <c r="AF530" t="s">
        <v>122</v>
      </c>
      <c r="AG530">
        <v>4548018.97</v>
      </c>
      <c r="AH530" t="s">
        <v>166</v>
      </c>
      <c r="AI530" t="s">
        <v>152</v>
      </c>
      <c r="AJ530" t="s">
        <v>153</v>
      </c>
      <c r="AK530" t="s">
        <v>154</v>
      </c>
      <c r="AL530" t="s">
        <v>119</v>
      </c>
      <c r="AM530" t="s">
        <v>112</v>
      </c>
      <c r="AN530" t="s">
        <v>121</v>
      </c>
      <c r="AO530" t="s">
        <v>122</v>
      </c>
      <c r="AP530" t="s">
        <v>122</v>
      </c>
      <c r="AQ530" t="s">
        <v>124</v>
      </c>
      <c r="AR530" t="s">
        <v>125</v>
      </c>
      <c r="AS530">
        <v>2</v>
      </c>
      <c r="AT530" t="s">
        <v>126</v>
      </c>
      <c r="AU530" t="s">
        <v>155</v>
      </c>
      <c r="AV530" t="s">
        <v>156</v>
      </c>
      <c r="AW530">
        <v>1</v>
      </c>
      <c r="AX530" t="s">
        <v>129</v>
      </c>
      <c r="AY530">
        <v>45291.57</v>
      </c>
      <c r="AZ530">
        <v>4124558</v>
      </c>
      <c r="BA530">
        <v>53934.47</v>
      </c>
      <c r="BB530">
        <v>91.066800000000001</v>
      </c>
      <c r="BC530" t="s">
        <v>130</v>
      </c>
      <c r="BD530" t="s">
        <v>112</v>
      </c>
      <c r="BE530" t="s">
        <v>157</v>
      </c>
      <c r="BF530" t="s">
        <v>133</v>
      </c>
      <c r="BG530" t="s">
        <v>167</v>
      </c>
      <c r="BH530" t="s">
        <v>168</v>
      </c>
      <c r="BI530" t="s">
        <v>112</v>
      </c>
      <c r="BJ530" t="s">
        <v>112</v>
      </c>
      <c r="BK530" t="s">
        <v>169</v>
      </c>
      <c r="BL530" t="s">
        <v>159</v>
      </c>
      <c r="BM530" t="s">
        <v>726</v>
      </c>
      <c r="BN530" t="s">
        <v>161</v>
      </c>
      <c r="BO530">
        <v>1</v>
      </c>
      <c r="BP530" t="s">
        <v>162</v>
      </c>
      <c r="BR530" t="s">
        <v>150</v>
      </c>
      <c r="BS530">
        <v>33</v>
      </c>
      <c r="BT530">
        <v>0</v>
      </c>
      <c r="BU530">
        <v>0</v>
      </c>
      <c r="BW530">
        <v>0</v>
      </c>
      <c r="BY530" t="s">
        <v>106</v>
      </c>
      <c r="BZ530" t="s">
        <v>142</v>
      </c>
      <c r="CA530" t="s">
        <v>112</v>
      </c>
      <c r="CB530" t="s">
        <v>112</v>
      </c>
      <c r="CC530" t="s">
        <v>121</v>
      </c>
      <c r="CD530">
        <v>16143.87</v>
      </c>
      <c r="CE530" t="s">
        <v>144</v>
      </c>
      <c r="CF530">
        <v>4000000</v>
      </c>
      <c r="CG530">
        <v>15971.07</v>
      </c>
      <c r="CH530">
        <v>0</v>
      </c>
      <c r="CI530" t="s">
        <v>112</v>
      </c>
      <c r="CJ530" t="s">
        <v>112</v>
      </c>
      <c r="CK530">
        <v>45291.57</v>
      </c>
      <c r="CL530">
        <v>4124558</v>
      </c>
      <c r="CM530">
        <v>0</v>
      </c>
      <c r="CN530">
        <v>1</v>
      </c>
      <c r="CO530">
        <v>4548018.97</v>
      </c>
      <c r="CP530">
        <v>53934.47</v>
      </c>
      <c r="CQ530" t="s">
        <v>145</v>
      </c>
      <c r="CR530">
        <v>53982.2166</v>
      </c>
      <c r="CS530">
        <v>3.38</v>
      </c>
      <c r="CT530">
        <v>45</v>
      </c>
      <c r="CU530" t="s">
        <v>171</v>
      </c>
      <c r="CV530" t="s">
        <v>369</v>
      </c>
      <c r="CW530">
        <v>343</v>
      </c>
    </row>
    <row r="531" spans="1:101" x14ac:dyDescent="0.2">
      <c r="A531" t="s">
        <v>106</v>
      </c>
      <c r="B531" s="46">
        <v>45200</v>
      </c>
      <c r="C531" t="s">
        <v>1321</v>
      </c>
      <c r="D531" t="s">
        <v>108</v>
      </c>
      <c r="E531" t="s">
        <v>1322</v>
      </c>
      <c r="F531" t="s">
        <v>110</v>
      </c>
      <c r="G531" t="s">
        <v>111</v>
      </c>
      <c r="H531" t="s">
        <v>112</v>
      </c>
      <c r="I531" t="s">
        <v>112</v>
      </c>
      <c r="J531" t="s">
        <v>112</v>
      </c>
      <c r="K531" t="s">
        <v>150</v>
      </c>
      <c r="L531" t="s">
        <v>1060</v>
      </c>
      <c r="M531" t="s">
        <v>112</v>
      </c>
      <c r="N531" t="s">
        <v>112</v>
      </c>
      <c r="O531">
        <v>1</v>
      </c>
      <c r="P531">
        <v>0</v>
      </c>
      <c r="Q531">
        <v>1</v>
      </c>
      <c r="R531">
        <v>33</v>
      </c>
      <c r="S531" t="s">
        <v>166</v>
      </c>
      <c r="T531" t="s">
        <v>152</v>
      </c>
      <c r="U531" t="s">
        <v>153</v>
      </c>
      <c r="V531" t="s">
        <v>154</v>
      </c>
      <c r="W531" t="s">
        <v>119</v>
      </c>
      <c r="X531" t="s">
        <v>112</v>
      </c>
      <c r="Y531" t="s">
        <v>166</v>
      </c>
      <c r="Z531" t="s">
        <v>152</v>
      </c>
      <c r="AA531" t="s">
        <v>153</v>
      </c>
      <c r="AB531" t="s">
        <v>154</v>
      </c>
      <c r="AC531" t="s">
        <v>119</v>
      </c>
      <c r="AD531" t="s">
        <v>112</v>
      </c>
      <c r="AE531" t="s">
        <v>121</v>
      </c>
      <c r="AF531" t="s">
        <v>122</v>
      </c>
      <c r="AG531">
        <v>4177438.1</v>
      </c>
      <c r="AH531" t="s">
        <v>166</v>
      </c>
      <c r="AI531" t="s">
        <v>152</v>
      </c>
      <c r="AJ531" t="s">
        <v>153</v>
      </c>
      <c r="AK531" t="s">
        <v>154</v>
      </c>
      <c r="AL531" t="s">
        <v>119</v>
      </c>
      <c r="AM531" t="s">
        <v>112</v>
      </c>
      <c r="AN531" t="s">
        <v>121</v>
      </c>
      <c r="AO531" t="s">
        <v>122</v>
      </c>
      <c r="AP531" t="s">
        <v>122</v>
      </c>
      <c r="AQ531" t="s">
        <v>124</v>
      </c>
      <c r="AR531" t="s">
        <v>125</v>
      </c>
      <c r="AS531">
        <v>2</v>
      </c>
      <c r="AT531" t="s">
        <v>126</v>
      </c>
      <c r="AU531" t="s">
        <v>155</v>
      </c>
      <c r="AV531" t="s">
        <v>156</v>
      </c>
      <c r="AW531">
        <v>1</v>
      </c>
      <c r="AX531" t="s">
        <v>129</v>
      </c>
      <c r="AY531">
        <v>41742.239999999998</v>
      </c>
      <c r="AZ531">
        <v>3801332</v>
      </c>
      <c r="BA531">
        <v>49539.79</v>
      </c>
      <c r="BB531">
        <v>91.066800000000001</v>
      </c>
      <c r="BC531" t="s">
        <v>130</v>
      </c>
      <c r="BD531" t="s">
        <v>112</v>
      </c>
      <c r="BE531" t="s">
        <v>157</v>
      </c>
      <c r="BF531" t="s">
        <v>133</v>
      </c>
      <c r="BG531" t="s">
        <v>134</v>
      </c>
      <c r="BH531" t="s">
        <v>112</v>
      </c>
      <c r="BI531" t="s">
        <v>112</v>
      </c>
      <c r="BJ531" t="s">
        <v>112</v>
      </c>
      <c r="BK531" t="s">
        <v>169</v>
      </c>
      <c r="BL531" t="s">
        <v>159</v>
      </c>
      <c r="BM531" t="s">
        <v>722</v>
      </c>
      <c r="BN531" t="s">
        <v>161</v>
      </c>
      <c r="BO531">
        <v>1</v>
      </c>
      <c r="BP531" t="s">
        <v>232</v>
      </c>
      <c r="BR531" t="s">
        <v>150</v>
      </c>
      <c r="BS531">
        <v>33</v>
      </c>
      <c r="BT531">
        <v>0</v>
      </c>
      <c r="BU531">
        <v>0</v>
      </c>
      <c r="BW531">
        <v>0</v>
      </c>
      <c r="BY531" t="s">
        <v>106</v>
      </c>
      <c r="BZ531" t="s">
        <v>142</v>
      </c>
      <c r="CA531" t="s">
        <v>112</v>
      </c>
      <c r="CB531" t="s">
        <v>112</v>
      </c>
      <c r="CC531" t="s">
        <v>121</v>
      </c>
      <c r="CD531">
        <v>17092.03</v>
      </c>
      <c r="CE531" t="s">
        <v>144</v>
      </c>
      <c r="CF531">
        <v>4000000</v>
      </c>
      <c r="CG531">
        <v>17092.03</v>
      </c>
      <c r="CH531">
        <v>0</v>
      </c>
      <c r="CI531" t="s">
        <v>112</v>
      </c>
      <c r="CJ531" t="s">
        <v>112</v>
      </c>
      <c r="CK531">
        <v>41742.239999999998</v>
      </c>
      <c r="CL531">
        <v>3801332</v>
      </c>
      <c r="CM531">
        <v>0</v>
      </c>
      <c r="CN531">
        <v>1</v>
      </c>
      <c r="CO531">
        <v>4177438.1</v>
      </c>
      <c r="CP531">
        <v>49539.79</v>
      </c>
      <c r="CQ531" t="s">
        <v>145</v>
      </c>
      <c r="CR531">
        <v>49566.886999999995</v>
      </c>
      <c r="CS531">
        <v>2.9</v>
      </c>
      <c r="CT531">
        <v>45</v>
      </c>
      <c r="CU531" t="s">
        <v>171</v>
      </c>
      <c r="CV531" t="s">
        <v>463</v>
      </c>
      <c r="CW531">
        <v>93</v>
      </c>
    </row>
    <row r="532" spans="1:101" x14ac:dyDescent="0.2">
      <c r="A532" t="s">
        <v>106</v>
      </c>
      <c r="B532" s="46">
        <v>44929</v>
      </c>
      <c r="C532" t="s">
        <v>1323</v>
      </c>
      <c r="D532" t="s">
        <v>108</v>
      </c>
      <c r="E532" t="s">
        <v>1324</v>
      </c>
      <c r="F532" t="s">
        <v>110</v>
      </c>
      <c r="G532" t="s">
        <v>111</v>
      </c>
      <c r="H532" t="s">
        <v>112</v>
      </c>
      <c r="I532" t="s">
        <v>112</v>
      </c>
      <c r="J532" t="s">
        <v>112</v>
      </c>
      <c r="K532" t="s">
        <v>150</v>
      </c>
      <c r="L532" t="s">
        <v>1060</v>
      </c>
      <c r="M532" t="s">
        <v>112</v>
      </c>
      <c r="N532" t="s">
        <v>112</v>
      </c>
      <c r="O532">
        <v>1</v>
      </c>
      <c r="P532">
        <v>0</v>
      </c>
      <c r="Q532">
        <v>1</v>
      </c>
      <c r="R532">
        <v>33</v>
      </c>
      <c r="S532" t="s">
        <v>166</v>
      </c>
      <c r="T532" t="s">
        <v>152</v>
      </c>
      <c r="U532" t="s">
        <v>153</v>
      </c>
      <c r="V532" t="s">
        <v>154</v>
      </c>
      <c r="W532" t="s">
        <v>119</v>
      </c>
      <c r="X532" t="s">
        <v>112</v>
      </c>
      <c r="Y532" t="s">
        <v>166</v>
      </c>
      <c r="Z532" t="s">
        <v>152</v>
      </c>
      <c r="AA532" t="s">
        <v>153</v>
      </c>
      <c r="AB532" t="s">
        <v>154</v>
      </c>
      <c r="AC532" t="s">
        <v>119</v>
      </c>
      <c r="AD532" t="s">
        <v>112</v>
      </c>
      <c r="AE532" t="s">
        <v>121</v>
      </c>
      <c r="AF532" t="s">
        <v>122</v>
      </c>
      <c r="AG532">
        <v>4223827.53</v>
      </c>
      <c r="AH532" t="s">
        <v>166</v>
      </c>
      <c r="AI532" t="s">
        <v>152</v>
      </c>
      <c r="AJ532" t="s">
        <v>153</v>
      </c>
      <c r="AK532" t="s">
        <v>154</v>
      </c>
      <c r="AL532" t="s">
        <v>119</v>
      </c>
      <c r="AM532" t="s">
        <v>112</v>
      </c>
      <c r="AN532" t="s">
        <v>121</v>
      </c>
      <c r="AO532" t="s">
        <v>122</v>
      </c>
      <c r="AP532" t="s">
        <v>122</v>
      </c>
      <c r="AQ532" t="s">
        <v>124</v>
      </c>
      <c r="AR532" t="s">
        <v>125</v>
      </c>
      <c r="AS532">
        <v>2</v>
      </c>
      <c r="AT532" t="s">
        <v>126</v>
      </c>
      <c r="AU532" t="s">
        <v>155</v>
      </c>
      <c r="AV532" t="s">
        <v>156</v>
      </c>
      <c r="AW532">
        <v>1</v>
      </c>
      <c r="AX532" t="s">
        <v>129</v>
      </c>
      <c r="AY532">
        <v>42251.64</v>
      </c>
      <c r="AZ532">
        <v>3847722</v>
      </c>
      <c r="BA532">
        <v>50089.919999999998</v>
      </c>
      <c r="BB532">
        <v>91.066800000000001</v>
      </c>
      <c r="BC532" t="s">
        <v>130</v>
      </c>
      <c r="BD532" t="s">
        <v>112</v>
      </c>
      <c r="BE532" t="s">
        <v>157</v>
      </c>
      <c r="BF532" t="s">
        <v>133</v>
      </c>
      <c r="BG532" t="s">
        <v>167</v>
      </c>
      <c r="BH532" t="s">
        <v>168</v>
      </c>
      <c r="BI532" t="s">
        <v>112</v>
      </c>
      <c r="BJ532" t="s">
        <v>112</v>
      </c>
      <c r="BK532" t="s">
        <v>169</v>
      </c>
      <c r="BL532" t="s">
        <v>159</v>
      </c>
      <c r="BM532" t="s">
        <v>726</v>
      </c>
      <c r="BN532" t="s">
        <v>161</v>
      </c>
      <c r="BO532">
        <v>1</v>
      </c>
      <c r="BP532" t="s">
        <v>162</v>
      </c>
      <c r="BR532" t="s">
        <v>150</v>
      </c>
      <c r="BS532">
        <v>33</v>
      </c>
      <c r="BT532">
        <v>0</v>
      </c>
      <c r="BU532">
        <v>0</v>
      </c>
      <c r="BW532">
        <v>0</v>
      </c>
      <c r="BY532" t="s">
        <v>106</v>
      </c>
      <c r="BZ532" t="s">
        <v>142</v>
      </c>
      <c r="CA532" t="s">
        <v>112</v>
      </c>
      <c r="CB532" t="s">
        <v>112</v>
      </c>
      <c r="CC532" t="s">
        <v>121</v>
      </c>
      <c r="CD532">
        <v>17137.55</v>
      </c>
      <c r="CE532" t="s">
        <v>144</v>
      </c>
      <c r="CF532">
        <v>4000000</v>
      </c>
      <c r="CG532">
        <v>17137.55</v>
      </c>
      <c r="CH532">
        <v>0</v>
      </c>
      <c r="CI532" t="s">
        <v>112</v>
      </c>
      <c r="CJ532" t="s">
        <v>112</v>
      </c>
      <c r="CK532">
        <v>42251.64</v>
      </c>
      <c r="CL532">
        <v>3847722</v>
      </c>
      <c r="CM532">
        <v>0</v>
      </c>
      <c r="CN532">
        <v>1</v>
      </c>
      <c r="CO532">
        <v>4223827.53</v>
      </c>
      <c r="CP532">
        <v>50089.919999999998</v>
      </c>
      <c r="CQ532" t="s">
        <v>145</v>
      </c>
      <c r="CR532">
        <v>50041.645999999993</v>
      </c>
      <c r="CS532">
        <v>2.92</v>
      </c>
      <c r="CT532">
        <v>45</v>
      </c>
      <c r="CU532" t="s">
        <v>171</v>
      </c>
      <c r="CV532" t="s">
        <v>172</v>
      </c>
      <c r="CW532">
        <v>150</v>
      </c>
    </row>
    <row r="533" spans="1:101" x14ac:dyDescent="0.2">
      <c r="A533" t="s">
        <v>106</v>
      </c>
      <c r="B533" s="46">
        <v>44988</v>
      </c>
      <c r="C533" t="s">
        <v>1174</v>
      </c>
      <c r="D533" t="s">
        <v>108</v>
      </c>
      <c r="E533" t="s">
        <v>1175</v>
      </c>
      <c r="F533" t="s">
        <v>110</v>
      </c>
      <c r="G533" t="s">
        <v>111</v>
      </c>
      <c r="H533" t="s">
        <v>112</v>
      </c>
      <c r="I533" t="s">
        <v>112</v>
      </c>
      <c r="J533" t="s">
        <v>112</v>
      </c>
      <c r="K533" t="s">
        <v>150</v>
      </c>
      <c r="L533" t="s">
        <v>1176</v>
      </c>
      <c r="M533" t="s">
        <v>112</v>
      </c>
      <c r="N533" t="s">
        <v>112</v>
      </c>
      <c r="O533">
        <v>1</v>
      </c>
      <c r="P533">
        <v>0</v>
      </c>
      <c r="Q533">
        <v>1</v>
      </c>
      <c r="R533">
        <v>33</v>
      </c>
      <c r="S533" t="s">
        <v>166</v>
      </c>
      <c r="T533" t="s">
        <v>152</v>
      </c>
      <c r="U533" t="s">
        <v>153</v>
      </c>
      <c r="V533" t="s">
        <v>154</v>
      </c>
      <c r="W533" t="s">
        <v>119</v>
      </c>
      <c r="X533" t="s">
        <v>112</v>
      </c>
      <c r="Y533" t="s">
        <v>166</v>
      </c>
      <c r="Z533" t="s">
        <v>152</v>
      </c>
      <c r="AA533" t="s">
        <v>153</v>
      </c>
      <c r="AB533" t="s">
        <v>154</v>
      </c>
      <c r="AC533" t="s">
        <v>119</v>
      </c>
      <c r="AD533" t="s">
        <v>112</v>
      </c>
      <c r="AE533" t="s">
        <v>121</v>
      </c>
      <c r="AF533" t="s">
        <v>122</v>
      </c>
      <c r="AG533">
        <v>4344745.54</v>
      </c>
      <c r="AH533" t="s">
        <v>166</v>
      </c>
      <c r="AI533" t="s">
        <v>152</v>
      </c>
      <c r="AJ533" t="s">
        <v>153</v>
      </c>
      <c r="AK533" t="s">
        <v>154</v>
      </c>
      <c r="AL533" t="s">
        <v>119</v>
      </c>
      <c r="AM533" t="s">
        <v>112</v>
      </c>
      <c r="AN533" t="s">
        <v>121</v>
      </c>
      <c r="AO533" t="s">
        <v>122</v>
      </c>
      <c r="AP533" t="s">
        <v>122</v>
      </c>
      <c r="AQ533" t="s">
        <v>124</v>
      </c>
      <c r="AR533" t="s">
        <v>125</v>
      </c>
      <c r="AS533">
        <v>2</v>
      </c>
      <c r="AT533" t="s">
        <v>126</v>
      </c>
      <c r="AU533" t="s">
        <v>155</v>
      </c>
      <c r="AV533" t="s">
        <v>156</v>
      </c>
      <c r="AW533">
        <v>1</v>
      </c>
      <c r="AX533" t="s">
        <v>129</v>
      </c>
      <c r="AY533">
        <v>47439.68</v>
      </c>
      <c r="AZ533">
        <v>3996793</v>
      </c>
      <c r="BA533">
        <v>56276.1</v>
      </c>
      <c r="BB533">
        <v>84.25</v>
      </c>
      <c r="BC533" t="s">
        <v>130</v>
      </c>
      <c r="BD533" t="s">
        <v>112</v>
      </c>
      <c r="BE533" t="s">
        <v>157</v>
      </c>
      <c r="BF533" t="s">
        <v>133</v>
      </c>
      <c r="BG533" t="s">
        <v>167</v>
      </c>
      <c r="BH533" t="s">
        <v>168</v>
      </c>
      <c r="BI533" t="s">
        <v>112</v>
      </c>
      <c r="BJ533" t="s">
        <v>112</v>
      </c>
      <c r="BK533" t="s">
        <v>169</v>
      </c>
      <c r="BL533" t="s">
        <v>159</v>
      </c>
      <c r="BM533" t="s">
        <v>726</v>
      </c>
      <c r="BN533" t="s">
        <v>161</v>
      </c>
      <c r="BO533">
        <v>1</v>
      </c>
      <c r="BP533" t="s">
        <v>232</v>
      </c>
      <c r="BR533" t="s">
        <v>150</v>
      </c>
      <c r="BS533">
        <v>33</v>
      </c>
      <c r="BT533">
        <v>0</v>
      </c>
      <c r="BU533">
        <v>0</v>
      </c>
      <c r="BW533">
        <v>0</v>
      </c>
      <c r="BY533" t="s">
        <v>106</v>
      </c>
      <c r="BZ533" t="s">
        <v>142</v>
      </c>
      <c r="CA533" t="s">
        <v>112</v>
      </c>
      <c r="CB533" t="s">
        <v>112</v>
      </c>
      <c r="CC533" t="s">
        <v>121</v>
      </c>
      <c r="CD533">
        <v>16961.75</v>
      </c>
      <c r="CE533" t="s">
        <v>144</v>
      </c>
      <c r="CF533">
        <v>4000000</v>
      </c>
      <c r="CG533">
        <v>16961.75</v>
      </c>
      <c r="CH533">
        <v>0</v>
      </c>
      <c r="CI533" t="s">
        <v>112</v>
      </c>
      <c r="CJ533" t="s">
        <v>112</v>
      </c>
      <c r="CK533">
        <v>47439.68</v>
      </c>
      <c r="CL533">
        <v>3996793</v>
      </c>
      <c r="CM533">
        <v>0</v>
      </c>
      <c r="CN533">
        <v>1</v>
      </c>
      <c r="CO533">
        <v>4344745.54</v>
      </c>
      <c r="CP533">
        <v>56276.1</v>
      </c>
      <c r="CQ533" t="s">
        <v>145</v>
      </c>
      <c r="CR533">
        <v>56275.694150000003</v>
      </c>
      <c r="CS533">
        <v>3.3178000000000001</v>
      </c>
      <c r="CT533">
        <v>45</v>
      </c>
      <c r="CU533" t="s">
        <v>171</v>
      </c>
      <c r="CV533" t="s">
        <v>172</v>
      </c>
      <c r="CW533">
        <v>174</v>
      </c>
    </row>
    <row r="534" spans="1:101" x14ac:dyDescent="0.2">
      <c r="A534" t="s">
        <v>106</v>
      </c>
      <c r="B534" s="46">
        <v>44947</v>
      </c>
      <c r="C534" t="s">
        <v>1177</v>
      </c>
      <c r="D534" t="s">
        <v>108</v>
      </c>
      <c r="E534" t="s">
        <v>1178</v>
      </c>
      <c r="F534" t="s">
        <v>110</v>
      </c>
      <c r="G534" t="s">
        <v>111</v>
      </c>
      <c r="H534" t="s">
        <v>112</v>
      </c>
      <c r="I534" t="s">
        <v>112</v>
      </c>
      <c r="J534" t="s">
        <v>112</v>
      </c>
      <c r="K534" t="s">
        <v>150</v>
      </c>
      <c r="L534" t="s">
        <v>1176</v>
      </c>
      <c r="M534" t="s">
        <v>112</v>
      </c>
      <c r="N534" t="s">
        <v>112</v>
      </c>
      <c r="O534">
        <v>1</v>
      </c>
      <c r="P534">
        <v>0</v>
      </c>
      <c r="Q534">
        <v>1</v>
      </c>
      <c r="R534">
        <v>33</v>
      </c>
      <c r="S534" t="s">
        <v>166</v>
      </c>
      <c r="T534" t="s">
        <v>152</v>
      </c>
      <c r="U534" t="s">
        <v>153</v>
      </c>
      <c r="V534" t="s">
        <v>154</v>
      </c>
      <c r="W534" t="s">
        <v>119</v>
      </c>
      <c r="X534" t="s">
        <v>112</v>
      </c>
      <c r="Y534" t="s">
        <v>166</v>
      </c>
      <c r="Z534" t="s">
        <v>152</v>
      </c>
      <c r="AA534" t="s">
        <v>153</v>
      </c>
      <c r="AB534" t="s">
        <v>154</v>
      </c>
      <c r="AC534" t="s">
        <v>119</v>
      </c>
      <c r="AD534" t="s">
        <v>112</v>
      </c>
      <c r="AE534" t="s">
        <v>121</v>
      </c>
      <c r="AF534" t="s">
        <v>122</v>
      </c>
      <c r="AG534">
        <v>4355505.95</v>
      </c>
      <c r="AH534" t="s">
        <v>166</v>
      </c>
      <c r="AI534" t="s">
        <v>152</v>
      </c>
      <c r="AJ534" t="s">
        <v>153</v>
      </c>
      <c r="AK534" t="s">
        <v>154</v>
      </c>
      <c r="AL534" t="s">
        <v>119</v>
      </c>
      <c r="AM534" t="s">
        <v>112</v>
      </c>
      <c r="AN534" t="s">
        <v>121</v>
      </c>
      <c r="AO534" t="s">
        <v>122</v>
      </c>
      <c r="AP534" t="s">
        <v>122</v>
      </c>
      <c r="AQ534" t="s">
        <v>124</v>
      </c>
      <c r="AR534" t="s">
        <v>125</v>
      </c>
      <c r="AS534">
        <v>2</v>
      </c>
      <c r="AT534" t="s">
        <v>126</v>
      </c>
      <c r="AU534" t="s">
        <v>155</v>
      </c>
      <c r="AV534" t="s">
        <v>156</v>
      </c>
      <c r="AW534">
        <v>1</v>
      </c>
      <c r="AX534" t="s">
        <v>129</v>
      </c>
      <c r="AY534">
        <v>47567.4</v>
      </c>
      <c r="AZ534">
        <v>4007553</v>
      </c>
      <c r="BA534">
        <v>56415.47</v>
      </c>
      <c r="BB534">
        <v>84.25</v>
      </c>
      <c r="BC534" t="s">
        <v>130</v>
      </c>
      <c r="BD534" t="s">
        <v>112</v>
      </c>
      <c r="BE534" t="s">
        <v>157</v>
      </c>
      <c r="BF534" t="s">
        <v>133</v>
      </c>
      <c r="BG534" t="s">
        <v>167</v>
      </c>
      <c r="BH534" t="s">
        <v>168</v>
      </c>
      <c r="BI534" t="s">
        <v>112</v>
      </c>
      <c r="BJ534" t="s">
        <v>112</v>
      </c>
      <c r="BK534" t="s">
        <v>169</v>
      </c>
      <c r="BL534" t="s">
        <v>159</v>
      </c>
      <c r="BM534" t="s">
        <v>726</v>
      </c>
      <c r="BN534" t="s">
        <v>161</v>
      </c>
      <c r="BO534">
        <v>1</v>
      </c>
      <c r="BP534" t="s">
        <v>162</v>
      </c>
      <c r="BR534" t="s">
        <v>150</v>
      </c>
      <c r="BS534">
        <v>33</v>
      </c>
      <c r="BT534">
        <v>0</v>
      </c>
      <c r="BU534">
        <v>0</v>
      </c>
      <c r="BW534">
        <v>0</v>
      </c>
      <c r="BY534" t="s">
        <v>106</v>
      </c>
      <c r="BZ534" t="s">
        <v>142</v>
      </c>
      <c r="CA534" t="s">
        <v>112</v>
      </c>
      <c r="CB534" t="s">
        <v>112</v>
      </c>
      <c r="CC534" t="s">
        <v>121</v>
      </c>
      <c r="CD534">
        <v>16968.900000000001</v>
      </c>
      <c r="CE534" t="s">
        <v>144</v>
      </c>
      <c r="CF534">
        <v>4000000</v>
      </c>
      <c r="CG534">
        <v>16968.900000000001</v>
      </c>
      <c r="CH534">
        <v>0</v>
      </c>
      <c r="CI534" t="s">
        <v>112</v>
      </c>
      <c r="CJ534" t="s">
        <v>112</v>
      </c>
      <c r="CK534">
        <v>47567.4</v>
      </c>
      <c r="CL534">
        <v>4007553</v>
      </c>
      <c r="CM534">
        <v>0</v>
      </c>
      <c r="CN534">
        <v>1</v>
      </c>
      <c r="CO534">
        <v>4355505.95</v>
      </c>
      <c r="CP534">
        <v>56415.47</v>
      </c>
      <c r="CQ534" t="s">
        <v>145</v>
      </c>
      <c r="CR534">
        <v>56414.804940000009</v>
      </c>
      <c r="CS534">
        <v>3.3246000000000002</v>
      </c>
      <c r="CT534">
        <v>45</v>
      </c>
      <c r="CU534" t="s">
        <v>171</v>
      </c>
      <c r="CV534" t="s">
        <v>372</v>
      </c>
      <c r="CW534">
        <v>21</v>
      </c>
    </row>
    <row r="535" spans="1:101" x14ac:dyDescent="0.2">
      <c r="A535" t="s">
        <v>106</v>
      </c>
      <c r="B535" s="46">
        <v>45273</v>
      </c>
      <c r="C535" t="s">
        <v>930</v>
      </c>
      <c r="D535" t="s">
        <v>108</v>
      </c>
      <c r="E535" t="s">
        <v>931</v>
      </c>
      <c r="F535" t="s">
        <v>110</v>
      </c>
      <c r="G535" t="s">
        <v>111</v>
      </c>
      <c r="H535" t="s">
        <v>112</v>
      </c>
      <c r="I535" t="s">
        <v>112</v>
      </c>
      <c r="J535" t="s">
        <v>112</v>
      </c>
      <c r="K535" t="s">
        <v>150</v>
      </c>
      <c r="L535" t="s">
        <v>151</v>
      </c>
      <c r="M535" t="s">
        <v>112</v>
      </c>
      <c r="N535" t="s">
        <v>112</v>
      </c>
      <c r="O535">
        <v>1</v>
      </c>
      <c r="P535">
        <v>0</v>
      </c>
      <c r="Q535">
        <v>1</v>
      </c>
      <c r="R535">
        <v>33</v>
      </c>
      <c r="S535" t="s">
        <v>166</v>
      </c>
      <c r="T535" t="s">
        <v>152</v>
      </c>
      <c r="U535" t="s">
        <v>153</v>
      </c>
      <c r="V535" t="s">
        <v>154</v>
      </c>
      <c r="W535" t="s">
        <v>119</v>
      </c>
      <c r="X535" t="s">
        <v>112</v>
      </c>
      <c r="Y535" t="s">
        <v>166</v>
      </c>
      <c r="Z535" t="s">
        <v>152</v>
      </c>
      <c r="AA535" t="s">
        <v>153</v>
      </c>
      <c r="AB535" t="s">
        <v>154</v>
      </c>
      <c r="AC535" t="s">
        <v>119</v>
      </c>
      <c r="AD535" t="s">
        <v>112</v>
      </c>
      <c r="AE535" t="s">
        <v>121</v>
      </c>
      <c r="AF535" t="s">
        <v>122</v>
      </c>
      <c r="AG535">
        <v>3664629.28</v>
      </c>
      <c r="AH535" t="s">
        <v>166</v>
      </c>
      <c r="AI535" t="s">
        <v>152</v>
      </c>
      <c r="AJ535" t="s">
        <v>153</v>
      </c>
      <c r="AK535" t="s">
        <v>154</v>
      </c>
      <c r="AL535" t="s">
        <v>119</v>
      </c>
      <c r="AM535" t="s">
        <v>112</v>
      </c>
      <c r="AN535" t="s">
        <v>121</v>
      </c>
      <c r="AO535" t="s">
        <v>122</v>
      </c>
      <c r="AP535" t="s">
        <v>122</v>
      </c>
      <c r="AQ535" t="s">
        <v>124</v>
      </c>
      <c r="AR535" t="s">
        <v>125</v>
      </c>
      <c r="AS535">
        <v>2</v>
      </c>
      <c r="AT535" t="s">
        <v>126</v>
      </c>
      <c r="AU535" t="s">
        <v>155</v>
      </c>
      <c r="AV535" t="s">
        <v>156</v>
      </c>
      <c r="AW535">
        <v>1</v>
      </c>
      <c r="AX535" t="s">
        <v>129</v>
      </c>
      <c r="AY535">
        <v>41162.49</v>
      </c>
      <c r="AZ535">
        <v>3314371</v>
      </c>
      <c r="BA535">
        <v>48736.5</v>
      </c>
      <c r="BB535">
        <v>80.519199999999998</v>
      </c>
      <c r="BC535" t="s">
        <v>130</v>
      </c>
      <c r="BD535" t="s">
        <v>112</v>
      </c>
      <c r="BE535" t="s">
        <v>157</v>
      </c>
      <c r="BF535" t="s">
        <v>133</v>
      </c>
      <c r="BG535" t="s">
        <v>134</v>
      </c>
      <c r="BH535" t="s">
        <v>112</v>
      </c>
      <c r="BI535" t="s">
        <v>112</v>
      </c>
      <c r="BJ535" t="s">
        <v>112</v>
      </c>
      <c r="BK535" t="s">
        <v>169</v>
      </c>
      <c r="BL535" t="s">
        <v>159</v>
      </c>
      <c r="BM535" t="s">
        <v>212</v>
      </c>
      <c r="BN535" t="s">
        <v>161</v>
      </c>
      <c r="BO535">
        <v>1</v>
      </c>
      <c r="BP535" t="s">
        <v>232</v>
      </c>
      <c r="BR535" t="s">
        <v>150</v>
      </c>
      <c r="BS535">
        <v>33</v>
      </c>
      <c r="BT535">
        <v>0</v>
      </c>
      <c r="BU535">
        <v>0</v>
      </c>
      <c r="BW535">
        <v>0</v>
      </c>
      <c r="BY535" t="s">
        <v>106</v>
      </c>
      <c r="BZ535" t="s">
        <v>142</v>
      </c>
      <c r="CA535" t="s">
        <v>112</v>
      </c>
      <c r="CB535" t="s">
        <v>112</v>
      </c>
      <c r="CC535" t="s">
        <v>121</v>
      </c>
      <c r="CD535">
        <v>16577.310000000001</v>
      </c>
      <c r="CE535" t="s">
        <v>144</v>
      </c>
      <c r="CF535">
        <v>4000000</v>
      </c>
      <c r="CG535">
        <v>16469.310000000001</v>
      </c>
      <c r="CH535">
        <v>0</v>
      </c>
      <c r="CI535" t="s">
        <v>112</v>
      </c>
      <c r="CJ535" t="s">
        <v>112</v>
      </c>
      <c r="CK535">
        <v>41162.49</v>
      </c>
      <c r="CL535">
        <v>3314371</v>
      </c>
      <c r="CM535">
        <v>0</v>
      </c>
      <c r="CN535">
        <v>1</v>
      </c>
      <c r="CO535">
        <v>3664629.28</v>
      </c>
      <c r="CP535">
        <v>48736.5</v>
      </c>
      <c r="CQ535" t="s">
        <v>145</v>
      </c>
      <c r="CR535">
        <v>48735.982152000004</v>
      </c>
      <c r="CS535">
        <v>2.9592000000000001</v>
      </c>
      <c r="CT535">
        <v>45</v>
      </c>
      <c r="CU535" t="s">
        <v>171</v>
      </c>
      <c r="CV535" t="s">
        <v>172</v>
      </c>
      <c r="CW535">
        <v>1</v>
      </c>
    </row>
    <row r="536" spans="1:101" x14ac:dyDescent="0.2">
      <c r="A536" t="s">
        <v>106</v>
      </c>
      <c r="B536" s="46">
        <v>45129</v>
      </c>
      <c r="C536" t="s">
        <v>932</v>
      </c>
      <c r="D536" t="s">
        <v>108</v>
      </c>
      <c r="E536" t="s">
        <v>933</v>
      </c>
      <c r="F536" t="s">
        <v>110</v>
      </c>
      <c r="G536" t="s">
        <v>111</v>
      </c>
      <c r="H536" t="s">
        <v>112</v>
      </c>
      <c r="I536" t="s">
        <v>112</v>
      </c>
      <c r="J536" t="s">
        <v>112</v>
      </c>
      <c r="K536" t="s">
        <v>150</v>
      </c>
      <c r="L536" t="s">
        <v>151</v>
      </c>
      <c r="M536" t="s">
        <v>112</v>
      </c>
      <c r="N536" t="s">
        <v>112</v>
      </c>
      <c r="O536">
        <v>1</v>
      </c>
      <c r="P536">
        <v>0</v>
      </c>
      <c r="Q536">
        <v>1</v>
      </c>
      <c r="R536">
        <v>33</v>
      </c>
      <c r="S536" t="s">
        <v>166</v>
      </c>
      <c r="T536" t="s">
        <v>152</v>
      </c>
      <c r="U536" t="s">
        <v>153</v>
      </c>
      <c r="V536" t="s">
        <v>154</v>
      </c>
      <c r="W536" t="s">
        <v>119</v>
      </c>
      <c r="X536" t="s">
        <v>112</v>
      </c>
      <c r="Y536" t="s">
        <v>166</v>
      </c>
      <c r="Z536" t="s">
        <v>152</v>
      </c>
      <c r="AA536" t="s">
        <v>153</v>
      </c>
      <c r="AB536" t="s">
        <v>154</v>
      </c>
      <c r="AC536" t="s">
        <v>119</v>
      </c>
      <c r="AD536" t="s">
        <v>112</v>
      </c>
      <c r="AE536" t="s">
        <v>121</v>
      </c>
      <c r="AF536" t="s">
        <v>122</v>
      </c>
      <c r="AG536">
        <v>3569512.76</v>
      </c>
      <c r="AH536" t="s">
        <v>166</v>
      </c>
      <c r="AI536" t="s">
        <v>152</v>
      </c>
      <c r="AJ536" t="s">
        <v>153</v>
      </c>
      <c r="AK536" t="s">
        <v>154</v>
      </c>
      <c r="AL536" t="s">
        <v>119</v>
      </c>
      <c r="AM536" t="s">
        <v>112</v>
      </c>
      <c r="AN536" t="s">
        <v>121</v>
      </c>
      <c r="AO536" t="s">
        <v>122</v>
      </c>
      <c r="AP536" t="s">
        <v>122</v>
      </c>
      <c r="AQ536" t="s">
        <v>124</v>
      </c>
      <c r="AR536" t="s">
        <v>125</v>
      </c>
      <c r="AS536">
        <v>2</v>
      </c>
      <c r="AT536" t="s">
        <v>126</v>
      </c>
      <c r="AU536" t="s">
        <v>155</v>
      </c>
      <c r="AV536" t="s">
        <v>156</v>
      </c>
      <c r="AW536">
        <v>1</v>
      </c>
      <c r="AX536" t="s">
        <v>129</v>
      </c>
      <c r="AY536">
        <v>39981.199999999997</v>
      </c>
      <c r="AZ536">
        <v>3219254</v>
      </c>
      <c r="BA536">
        <v>47471.53</v>
      </c>
      <c r="BB536">
        <v>80.519199999999998</v>
      </c>
      <c r="BC536" t="s">
        <v>130</v>
      </c>
      <c r="BD536" t="s">
        <v>112</v>
      </c>
      <c r="BE536" t="s">
        <v>157</v>
      </c>
      <c r="BF536" t="s">
        <v>133</v>
      </c>
      <c r="BG536" t="s">
        <v>134</v>
      </c>
      <c r="BH536" t="s">
        <v>112</v>
      </c>
      <c r="BI536" t="s">
        <v>112</v>
      </c>
      <c r="BJ536" t="s">
        <v>112</v>
      </c>
      <c r="BK536" t="s">
        <v>169</v>
      </c>
      <c r="BL536" t="s">
        <v>159</v>
      </c>
      <c r="BM536" t="s">
        <v>212</v>
      </c>
      <c r="BN536" t="s">
        <v>161</v>
      </c>
      <c r="BO536">
        <v>1</v>
      </c>
      <c r="BP536" t="s">
        <v>934</v>
      </c>
      <c r="BR536" t="s">
        <v>150</v>
      </c>
      <c r="BS536">
        <v>33</v>
      </c>
      <c r="BT536">
        <v>0</v>
      </c>
      <c r="BU536">
        <v>0</v>
      </c>
      <c r="BW536">
        <v>0</v>
      </c>
      <c r="BY536" t="s">
        <v>106</v>
      </c>
      <c r="BZ536" t="s">
        <v>142</v>
      </c>
      <c r="CA536" t="s">
        <v>112</v>
      </c>
      <c r="CB536" t="s">
        <v>112</v>
      </c>
      <c r="CC536" t="s">
        <v>121</v>
      </c>
      <c r="CD536">
        <v>16036.89</v>
      </c>
      <c r="CE536" t="s">
        <v>144</v>
      </c>
      <c r="CF536">
        <v>4000000</v>
      </c>
      <c r="CG536">
        <v>15856.89</v>
      </c>
      <c r="CH536">
        <v>0</v>
      </c>
      <c r="CI536" t="s">
        <v>112</v>
      </c>
      <c r="CJ536" t="s">
        <v>112</v>
      </c>
      <c r="CK536">
        <v>39981.199999999997</v>
      </c>
      <c r="CL536">
        <v>3219254</v>
      </c>
      <c r="CM536">
        <v>0</v>
      </c>
      <c r="CN536">
        <v>1</v>
      </c>
      <c r="CO536">
        <v>3569512.76</v>
      </c>
      <c r="CP536">
        <v>47471.53</v>
      </c>
      <c r="CQ536" t="s">
        <v>145</v>
      </c>
      <c r="CR536">
        <v>47470.771592999998</v>
      </c>
      <c r="CS536">
        <v>2.9937</v>
      </c>
      <c r="CT536">
        <v>45</v>
      </c>
      <c r="CU536" t="s">
        <v>171</v>
      </c>
      <c r="CV536" t="s">
        <v>172</v>
      </c>
      <c r="CW536">
        <v>325</v>
      </c>
    </row>
    <row r="537" spans="1:101" x14ac:dyDescent="0.2">
      <c r="A537" t="s">
        <v>106</v>
      </c>
      <c r="B537" s="46">
        <v>44935</v>
      </c>
      <c r="C537" t="s">
        <v>935</v>
      </c>
      <c r="D537" t="s">
        <v>108</v>
      </c>
      <c r="E537" t="s">
        <v>936</v>
      </c>
      <c r="F537" t="s">
        <v>110</v>
      </c>
      <c r="G537" t="s">
        <v>111</v>
      </c>
      <c r="H537" t="s">
        <v>112</v>
      </c>
      <c r="I537" t="s">
        <v>112</v>
      </c>
      <c r="J537" t="s">
        <v>112</v>
      </c>
      <c r="K537" t="s">
        <v>150</v>
      </c>
      <c r="L537" t="s">
        <v>151</v>
      </c>
      <c r="M537" t="s">
        <v>112</v>
      </c>
      <c r="N537" t="s">
        <v>112</v>
      </c>
      <c r="O537">
        <v>1</v>
      </c>
      <c r="P537">
        <v>0</v>
      </c>
      <c r="Q537">
        <v>1</v>
      </c>
      <c r="R537">
        <v>33</v>
      </c>
      <c r="S537" t="s">
        <v>166</v>
      </c>
      <c r="T537" t="s">
        <v>152</v>
      </c>
      <c r="U537" t="s">
        <v>153</v>
      </c>
      <c r="V537" t="s">
        <v>154</v>
      </c>
      <c r="W537" t="s">
        <v>119</v>
      </c>
      <c r="X537" t="s">
        <v>112</v>
      </c>
      <c r="Y537" t="s">
        <v>166</v>
      </c>
      <c r="Z537" t="s">
        <v>152</v>
      </c>
      <c r="AA537" t="s">
        <v>153</v>
      </c>
      <c r="AB537" t="s">
        <v>154</v>
      </c>
      <c r="AC537" t="s">
        <v>119</v>
      </c>
      <c r="AD537" t="s">
        <v>112</v>
      </c>
      <c r="AE537" t="s">
        <v>121</v>
      </c>
      <c r="AF537" t="s">
        <v>122</v>
      </c>
      <c r="AG537">
        <v>3332475.51</v>
      </c>
      <c r="AH537" t="s">
        <v>166</v>
      </c>
      <c r="AI537" t="s">
        <v>152</v>
      </c>
      <c r="AJ537" t="s">
        <v>153</v>
      </c>
      <c r="AK537" t="s">
        <v>154</v>
      </c>
      <c r="AL537" t="s">
        <v>119</v>
      </c>
      <c r="AM537" t="s">
        <v>112</v>
      </c>
      <c r="AN537" t="s">
        <v>121</v>
      </c>
      <c r="AO537" t="s">
        <v>122</v>
      </c>
      <c r="AP537" t="s">
        <v>122</v>
      </c>
      <c r="AQ537" t="s">
        <v>124</v>
      </c>
      <c r="AR537" t="s">
        <v>125</v>
      </c>
      <c r="AS537">
        <v>2</v>
      </c>
      <c r="AT537" t="s">
        <v>126</v>
      </c>
      <c r="AU537" t="s">
        <v>155</v>
      </c>
      <c r="AV537" t="s">
        <v>156</v>
      </c>
      <c r="AW537">
        <v>1</v>
      </c>
      <c r="AX537" t="s">
        <v>129</v>
      </c>
      <c r="AY537">
        <v>36337.339999999997</v>
      </c>
      <c r="AZ537">
        <v>2925854</v>
      </c>
      <c r="BA537">
        <v>44319.14</v>
      </c>
      <c r="BB537">
        <v>80.519199999999998</v>
      </c>
      <c r="BC537" t="s">
        <v>130</v>
      </c>
      <c r="BD537" t="s">
        <v>112</v>
      </c>
      <c r="BE537" t="s">
        <v>157</v>
      </c>
      <c r="BF537" t="s">
        <v>133</v>
      </c>
      <c r="BG537" t="s">
        <v>134</v>
      </c>
      <c r="BH537" t="s">
        <v>112</v>
      </c>
      <c r="BI537" t="s">
        <v>112</v>
      </c>
      <c r="BJ537" t="s">
        <v>112</v>
      </c>
      <c r="BK537" t="s">
        <v>169</v>
      </c>
      <c r="BL537" t="s">
        <v>159</v>
      </c>
      <c r="BM537" t="s">
        <v>212</v>
      </c>
      <c r="BN537" t="s">
        <v>161</v>
      </c>
      <c r="BO537">
        <v>1</v>
      </c>
      <c r="BP537" t="s">
        <v>937</v>
      </c>
      <c r="BR537" t="s">
        <v>150</v>
      </c>
      <c r="BS537">
        <v>33</v>
      </c>
      <c r="BT537">
        <v>0</v>
      </c>
      <c r="BU537">
        <v>0</v>
      </c>
      <c r="BW537">
        <v>0</v>
      </c>
      <c r="BY537" t="s">
        <v>106</v>
      </c>
      <c r="BZ537" t="s">
        <v>142</v>
      </c>
      <c r="CA537" t="s">
        <v>112</v>
      </c>
      <c r="CB537" t="s">
        <v>112</v>
      </c>
      <c r="CC537" t="s">
        <v>121</v>
      </c>
      <c r="CD537">
        <v>16069.84</v>
      </c>
      <c r="CE537" t="s">
        <v>144</v>
      </c>
      <c r="CF537">
        <v>4000000</v>
      </c>
      <c r="CG537">
        <v>16000.24</v>
      </c>
      <c r="CH537">
        <v>0</v>
      </c>
      <c r="CI537" t="s">
        <v>112</v>
      </c>
      <c r="CJ537" t="s">
        <v>112</v>
      </c>
      <c r="CK537">
        <v>36337.339999999997</v>
      </c>
      <c r="CL537">
        <v>2925854</v>
      </c>
      <c r="CM537">
        <v>0</v>
      </c>
      <c r="CN537">
        <v>1</v>
      </c>
      <c r="CO537">
        <v>3332475.51</v>
      </c>
      <c r="CP537">
        <v>44319.14</v>
      </c>
      <c r="CQ537" t="s">
        <v>145</v>
      </c>
      <c r="CR537">
        <v>44319.064775999999</v>
      </c>
      <c r="CS537">
        <v>2.7698999999999998</v>
      </c>
      <c r="CT537">
        <v>45</v>
      </c>
      <c r="CU537" t="s">
        <v>171</v>
      </c>
      <c r="CV537" t="s">
        <v>369</v>
      </c>
      <c r="CW537">
        <v>153</v>
      </c>
    </row>
    <row r="538" spans="1:101" x14ac:dyDescent="0.2">
      <c r="A538" t="s">
        <v>106</v>
      </c>
      <c r="B538" s="46">
        <v>44649</v>
      </c>
      <c r="C538" t="s">
        <v>577</v>
      </c>
      <c r="D538" t="s">
        <v>108</v>
      </c>
      <c r="E538" t="s">
        <v>578</v>
      </c>
      <c r="F538" t="s">
        <v>110</v>
      </c>
      <c r="G538" t="s">
        <v>111</v>
      </c>
      <c r="H538" t="s">
        <v>112</v>
      </c>
      <c r="I538" t="s">
        <v>112</v>
      </c>
      <c r="J538" t="s">
        <v>112</v>
      </c>
      <c r="K538" t="s">
        <v>150</v>
      </c>
      <c r="L538" t="s">
        <v>151</v>
      </c>
      <c r="M538" t="s">
        <v>112</v>
      </c>
      <c r="N538" t="s">
        <v>112</v>
      </c>
      <c r="O538">
        <v>1</v>
      </c>
      <c r="P538">
        <v>0</v>
      </c>
      <c r="Q538">
        <v>1</v>
      </c>
      <c r="R538">
        <v>33</v>
      </c>
      <c r="S538" t="s">
        <v>166</v>
      </c>
      <c r="T538" t="s">
        <v>152</v>
      </c>
      <c r="U538" t="s">
        <v>153</v>
      </c>
      <c r="V538" t="s">
        <v>154</v>
      </c>
      <c r="W538" t="s">
        <v>119</v>
      </c>
      <c r="X538" t="s">
        <v>112</v>
      </c>
      <c r="Y538" t="s">
        <v>166</v>
      </c>
      <c r="Z538" t="s">
        <v>152</v>
      </c>
      <c r="AA538" t="s">
        <v>153</v>
      </c>
      <c r="AB538" t="s">
        <v>154</v>
      </c>
      <c r="AC538" t="s">
        <v>119</v>
      </c>
      <c r="AD538" t="s">
        <v>112</v>
      </c>
      <c r="AE538" t="s">
        <v>121</v>
      </c>
      <c r="AF538" t="s">
        <v>122</v>
      </c>
      <c r="AG538">
        <v>3507381.21</v>
      </c>
      <c r="AH538" t="s">
        <v>166</v>
      </c>
      <c r="AI538" t="s">
        <v>152</v>
      </c>
      <c r="AJ538" t="s">
        <v>153</v>
      </c>
      <c r="AK538" t="s">
        <v>154</v>
      </c>
      <c r="AL538" t="s">
        <v>119</v>
      </c>
      <c r="AM538" t="s">
        <v>112</v>
      </c>
      <c r="AN538" t="s">
        <v>121</v>
      </c>
      <c r="AO538" t="s">
        <v>122</v>
      </c>
      <c r="AP538" t="s">
        <v>122</v>
      </c>
      <c r="AQ538" t="s">
        <v>124</v>
      </c>
      <c r="AR538" t="s">
        <v>125</v>
      </c>
      <c r="AS538">
        <v>2</v>
      </c>
      <c r="AT538" t="s">
        <v>126</v>
      </c>
      <c r="AU538" t="s">
        <v>155</v>
      </c>
      <c r="AV538" t="s">
        <v>156</v>
      </c>
      <c r="AW538">
        <v>1</v>
      </c>
      <c r="AX538" t="s">
        <v>129</v>
      </c>
      <c r="AY538">
        <v>39859.480000000003</v>
      </c>
      <c r="AZ538">
        <v>3162272</v>
      </c>
      <c r="BA538">
        <v>47483.99</v>
      </c>
      <c r="BB538">
        <v>79.335499999999996</v>
      </c>
      <c r="BC538" t="s">
        <v>130</v>
      </c>
      <c r="BD538" t="s">
        <v>112</v>
      </c>
      <c r="BE538" t="s">
        <v>157</v>
      </c>
      <c r="BF538" t="s">
        <v>133</v>
      </c>
      <c r="BG538" t="s">
        <v>134</v>
      </c>
      <c r="BH538" t="s">
        <v>112</v>
      </c>
      <c r="BI538" t="s">
        <v>112</v>
      </c>
      <c r="BJ538" t="s">
        <v>112</v>
      </c>
      <c r="BK538" t="s">
        <v>169</v>
      </c>
      <c r="BL538" t="s">
        <v>159</v>
      </c>
      <c r="BM538" t="s">
        <v>212</v>
      </c>
      <c r="BN538" t="s">
        <v>161</v>
      </c>
      <c r="BO538">
        <v>1</v>
      </c>
      <c r="BP538" t="s">
        <v>579</v>
      </c>
      <c r="BR538" t="s">
        <v>150</v>
      </c>
      <c r="BS538">
        <v>33</v>
      </c>
      <c r="BT538">
        <v>0</v>
      </c>
      <c r="BU538">
        <v>0</v>
      </c>
      <c r="BW538">
        <v>0</v>
      </c>
      <c r="BY538" t="s">
        <v>106</v>
      </c>
      <c r="BZ538" t="s">
        <v>142</v>
      </c>
      <c r="CA538" t="s">
        <v>112</v>
      </c>
      <c r="CB538" t="s">
        <v>112</v>
      </c>
      <c r="CC538" t="s">
        <v>121</v>
      </c>
      <c r="CD538">
        <v>16871.78</v>
      </c>
      <c r="CE538" t="s">
        <v>144</v>
      </c>
      <c r="CF538">
        <v>4000000</v>
      </c>
      <c r="CG538">
        <v>16806.98</v>
      </c>
      <c r="CH538">
        <v>0</v>
      </c>
      <c r="CI538" t="s">
        <v>112</v>
      </c>
      <c r="CJ538" t="s">
        <v>112</v>
      </c>
      <c r="CK538">
        <v>39859.480000000003</v>
      </c>
      <c r="CL538">
        <v>3162272</v>
      </c>
      <c r="CM538">
        <v>0</v>
      </c>
      <c r="CN538">
        <v>1</v>
      </c>
      <c r="CO538">
        <v>3507381.21</v>
      </c>
      <c r="CP538">
        <v>47483.99</v>
      </c>
      <c r="CQ538" t="s">
        <v>145</v>
      </c>
      <c r="CR538">
        <v>47484.760593999999</v>
      </c>
      <c r="CS538">
        <v>2.8252999999999999</v>
      </c>
      <c r="CT538">
        <v>45</v>
      </c>
      <c r="CU538" t="s">
        <v>171</v>
      </c>
      <c r="CV538" t="s">
        <v>372</v>
      </c>
      <c r="CW538">
        <v>182</v>
      </c>
    </row>
    <row r="539" spans="1:101" x14ac:dyDescent="0.2">
      <c r="A539" t="s">
        <v>106</v>
      </c>
      <c r="B539" s="46">
        <v>44797</v>
      </c>
      <c r="C539" t="s">
        <v>574</v>
      </c>
      <c r="D539" t="s">
        <v>108</v>
      </c>
      <c r="E539" t="s">
        <v>575</v>
      </c>
      <c r="F539" t="s">
        <v>110</v>
      </c>
      <c r="G539" t="s">
        <v>111</v>
      </c>
      <c r="H539" t="s">
        <v>112</v>
      </c>
      <c r="I539" t="s">
        <v>112</v>
      </c>
      <c r="J539" t="s">
        <v>112</v>
      </c>
      <c r="K539" t="s">
        <v>150</v>
      </c>
      <c r="L539" t="s">
        <v>151</v>
      </c>
      <c r="M539" t="s">
        <v>112</v>
      </c>
      <c r="N539" t="s">
        <v>112</v>
      </c>
      <c r="O539">
        <v>1</v>
      </c>
      <c r="P539">
        <v>0</v>
      </c>
      <c r="Q539">
        <v>1</v>
      </c>
      <c r="R539">
        <v>33</v>
      </c>
      <c r="S539" t="s">
        <v>166</v>
      </c>
      <c r="T539" t="s">
        <v>152</v>
      </c>
      <c r="U539" t="s">
        <v>153</v>
      </c>
      <c r="V539" t="s">
        <v>154</v>
      </c>
      <c r="W539" t="s">
        <v>119</v>
      </c>
      <c r="X539" t="s">
        <v>112</v>
      </c>
      <c r="Y539" t="s">
        <v>166</v>
      </c>
      <c r="Z539" t="s">
        <v>152</v>
      </c>
      <c r="AA539" t="s">
        <v>153</v>
      </c>
      <c r="AB539" t="s">
        <v>154</v>
      </c>
      <c r="AC539" t="s">
        <v>119</v>
      </c>
      <c r="AD539" t="s">
        <v>112</v>
      </c>
      <c r="AE539" t="s">
        <v>121</v>
      </c>
      <c r="AF539" t="s">
        <v>122</v>
      </c>
      <c r="AG539">
        <v>3833954.68</v>
      </c>
      <c r="AH539" t="s">
        <v>166</v>
      </c>
      <c r="AI539" t="s">
        <v>152</v>
      </c>
      <c r="AJ539" t="s">
        <v>153</v>
      </c>
      <c r="AK539" t="s">
        <v>154</v>
      </c>
      <c r="AL539" t="s">
        <v>119</v>
      </c>
      <c r="AM539" t="s">
        <v>112</v>
      </c>
      <c r="AN539" t="s">
        <v>121</v>
      </c>
      <c r="AO539" t="s">
        <v>122</v>
      </c>
      <c r="AP539" t="s">
        <v>122</v>
      </c>
      <c r="AQ539" t="s">
        <v>124</v>
      </c>
      <c r="AR539" t="s">
        <v>125</v>
      </c>
      <c r="AS539">
        <v>2</v>
      </c>
      <c r="AT539" t="s">
        <v>126</v>
      </c>
      <c r="AU539" t="s">
        <v>155</v>
      </c>
      <c r="AV539" t="s">
        <v>156</v>
      </c>
      <c r="AW539">
        <v>1</v>
      </c>
      <c r="AX539" t="s">
        <v>129</v>
      </c>
      <c r="AY539">
        <v>43975.839999999997</v>
      </c>
      <c r="AZ539">
        <v>3488845</v>
      </c>
      <c r="BA539">
        <v>51905.24</v>
      </c>
      <c r="BB539">
        <v>79.335499999999996</v>
      </c>
      <c r="BC539" t="s">
        <v>130</v>
      </c>
      <c r="BD539" t="s">
        <v>112</v>
      </c>
      <c r="BE539" t="s">
        <v>157</v>
      </c>
      <c r="BF539" t="s">
        <v>133</v>
      </c>
      <c r="BG539" t="s">
        <v>134</v>
      </c>
      <c r="BH539" t="s">
        <v>112</v>
      </c>
      <c r="BI539" t="s">
        <v>112</v>
      </c>
      <c r="BJ539" t="s">
        <v>112</v>
      </c>
      <c r="BK539" t="s">
        <v>169</v>
      </c>
      <c r="BL539" t="s">
        <v>159</v>
      </c>
      <c r="BM539" t="s">
        <v>212</v>
      </c>
      <c r="BN539" t="s">
        <v>161</v>
      </c>
      <c r="BO539">
        <v>1</v>
      </c>
      <c r="BP539" t="s">
        <v>576</v>
      </c>
      <c r="BR539" t="s">
        <v>150</v>
      </c>
      <c r="BS539">
        <v>33</v>
      </c>
      <c r="BT539">
        <v>0</v>
      </c>
      <c r="BU539">
        <v>0</v>
      </c>
      <c r="BW539">
        <v>0</v>
      </c>
      <c r="BY539" t="s">
        <v>106</v>
      </c>
      <c r="BZ539" t="s">
        <v>142</v>
      </c>
      <c r="CA539" t="s">
        <v>112</v>
      </c>
      <c r="CB539" t="s">
        <v>112</v>
      </c>
      <c r="CC539" t="s">
        <v>121</v>
      </c>
      <c r="CD539">
        <v>16799.71</v>
      </c>
      <c r="CE539" t="s">
        <v>144</v>
      </c>
      <c r="CF539">
        <v>4000000</v>
      </c>
      <c r="CG539">
        <v>16734.91</v>
      </c>
      <c r="CH539">
        <v>0</v>
      </c>
      <c r="CI539" t="s">
        <v>112</v>
      </c>
      <c r="CJ539" t="s">
        <v>112</v>
      </c>
      <c r="CK539">
        <v>43975.839999999997</v>
      </c>
      <c r="CL539">
        <v>3488845</v>
      </c>
      <c r="CM539">
        <v>0</v>
      </c>
      <c r="CN539">
        <v>1</v>
      </c>
      <c r="CO539">
        <v>3833954.68</v>
      </c>
      <c r="CP539">
        <v>51905.24</v>
      </c>
      <c r="CQ539" t="s">
        <v>145</v>
      </c>
      <c r="CR539">
        <v>51904.996855999998</v>
      </c>
      <c r="CS539">
        <v>3.1015999999999999</v>
      </c>
      <c r="CT539">
        <v>45</v>
      </c>
      <c r="CU539" t="s">
        <v>171</v>
      </c>
      <c r="CV539" t="s">
        <v>172</v>
      </c>
      <c r="CW539">
        <v>152</v>
      </c>
    </row>
    <row r="540" spans="1:101" x14ac:dyDescent="0.2">
      <c r="A540" t="s">
        <v>106</v>
      </c>
      <c r="B540" s="46">
        <v>45283</v>
      </c>
      <c r="C540" t="s">
        <v>881</v>
      </c>
      <c r="D540" t="s">
        <v>108</v>
      </c>
      <c r="E540" t="s">
        <v>882</v>
      </c>
      <c r="F540" t="s">
        <v>110</v>
      </c>
      <c r="G540" t="s">
        <v>111</v>
      </c>
      <c r="H540" t="s">
        <v>112</v>
      </c>
      <c r="I540" t="s">
        <v>112</v>
      </c>
      <c r="J540" t="s">
        <v>112</v>
      </c>
      <c r="K540" t="s">
        <v>150</v>
      </c>
      <c r="L540" t="s">
        <v>151</v>
      </c>
      <c r="M540" t="s">
        <v>112</v>
      </c>
      <c r="N540" t="s">
        <v>112</v>
      </c>
      <c r="O540">
        <v>1</v>
      </c>
      <c r="Q540">
        <v>1</v>
      </c>
      <c r="R540">
        <v>33</v>
      </c>
      <c r="S540" t="s">
        <v>112</v>
      </c>
      <c r="T540" t="s">
        <v>152</v>
      </c>
      <c r="U540" t="s">
        <v>153</v>
      </c>
      <c r="V540" t="s">
        <v>154</v>
      </c>
      <c r="W540" t="s">
        <v>119</v>
      </c>
      <c r="X540" t="s">
        <v>112</v>
      </c>
      <c r="Y540" t="s">
        <v>112</v>
      </c>
      <c r="Z540" t="s">
        <v>152</v>
      </c>
      <c r="AA540" t="s">
        <v>153</v>
      </c>
      <c r="AB540" t="s">
        <v>154</v>
      </c>
      <c r="AC540" t="s">
        <v>119</v>
      </c>
      <c r="AD540" t="s">
        <v>112</v>
      </c>
      <c r="AE540" t="s">
        <v>121</v>
      </c>
      <c r="AF540" t="s">
        <v>122</v>
      </c>
      <c r="AG540">
        <v>4279206.25</v>
      </c>
      <c r="AH540" t="s">
        <v>112</v>
      </c>
      <c r="AI540" t="s">
        <v>152</v>
      </c>
      <c r="AJ540" t="s">
        <v>153</v>
      </c>
      <c r="AK540" t="s">
        <v>154</v>
      </c>
      <c r="AL540" t="s">
        <v>119</v>
      </c>
      <c r="AM540" t="s">
        <v>112</v>
      </c>
      <c r="AN540" t="s">
        <v>121</v>
      </c>
      <c r="AO540" t="s">
        <v>122</v>
      </c>
      <c r="AP540" t="s">
        <v>122</v>
      </c>
      <c r="AQ540" t="s">
        <v>124</v>
      </c>
      <c r="AR540" t="s">
        <v>125</v>
      </c>
      <c r="AS540">
        <v>2</v>
      </c>
      <c r="AT540" t="s">
        <v>126</v>
      </c>
      <c r="AU540" t="s">
        <v>155</v>
      </c>
      <c r="AV540" t="s">
        <v>156</v>
      </c>
      <c r="AX540" t="s">
        <v>129</v>
      </c>
      <c r="AY540">
        <v>40148.28</v>
      </c>
      <c r="BB540">
        <v>96.95</v>
      </c>
      <c r="BC540" t="s">
        <v>112</v>
      </c>
      <c r="BD540" t="s">
        <v>112</v>
      </c>
      <c r="BE540" t="s">
        <v>157</v>
      </c>
      <c r="BF540" t="s">
        <v>133</v>
      </c>
      <c r="BG540" t="s">
        <v>134</v>
      </c>
      <c r="BH540" t="s">
        <v>112</v>
      </c>
      <c r="BI540" t="s">
        <v>112</v>
      </c>
      <c r="BJ540" t="s">
        <v>112</v>
      </c>
      <c r="BK540" t="s">
        <v>158</v>
      </c>
      <c r="BL540" t="s">
        <v>159</v>
      </c>
      <c r="BM540" t="s">
        <v>212</v>
      </c>
      <c r="BN540" t="s">
        <v>161</v>
      </c>
      <c r="BP540" t="s">
        <v>205</v>
      </c>
      <c r="BR540" t="s">
        <v>150</v>
      </c>
      <c r="BS540">
        <v>33</v>
      </c>
      <c r="BT540">
        <v>0</v>
      </c>
      <c r="BU540">
        <v>0</v>
      </c>
      <c r="BW540">
        <v>0</v>
      </c>
      <c r="BY540" t="s">
        <v>106</v>
      </c>
      <c r="BZ540" t="s">
        <v>142</v>
      </c>
      <c r="CA540" t="s">
        <v>112</v>
      </c>
      <c r="CB540" t="s">
        <v>112</v>
      </c>
      <c r="CC540" t="s">
        <v>121</v>
      </c>
      <c r="CD540">
        <v>16836.88</v>
      </c>
      <c r="CE540" t="s">
        <v>144</v>
      </c>
      <c r="CF540">
        <v>4000000</v>
      </c>
      <c r="CG540">
        <v>16800.88</v>
      </c>
      <c r="CH540">
        <v>0</v>
      </c>
      <c r="CI540" t="s">
        <v>112</v>
      </c>
      <c r="CJ540" t="s">
        <v>112</v>
      </c>
      <c r="CK540">
        <v>40148.28</v>
      </c>
      <c r="CM540">
        <v>0</v>
      </c>
      <c r="CN540">
        <v>1</v>
      </c>
      <c r="CO540">
        <v>4279206.25</v>
      </c>
      <c r="CP540">
        <v>47603.54</v>
      </c>
      <c r="CQ540" t="s">
        <v>145</v>
      </c>
      <c r="CR540">
        <v>47546.490400000002</v>
      </c>
      <c r="CS540">
        <v>2.83</v>
      </c>
      <c r="CT540">
        <v>45</v>
      </c>
      <c r="CV540" t="s">
        <v>233</v>
      </c>
      <c r="CW540">
        <v>314</v>
      </c>
    </row>
    <row r="541" spans="1:101" x14ac:dyDescent="0.2">
      <c r="A541" t="s">
        <v>106</v>
      </c>
      <c r="B541" s="46">
        <v>45223</v>
      </c>
      <c r="C541" t="s">
        <v>837</v>
      </c>
      <c r="D541" t="s">
        <v>108</v>
      </c>
      <c r="E541" t="s">
        <v>838</v>
      </c>
      <c r="F541" t="s">
        <v>110</v>
      </c>
      <c r="G541" t="s">
        <v>111</v>
      </c>
      <c r="H541" t="s">
        <v>112</v>
      </c>
      <c r="I541" t="s">
        <v>112</v>
      </c>
      <c r="J541" t="s">
        <v>112</v>
      </c>
      <c r="K541" t="s">
        <v>150</v>
      </c>
      <c r="L541" t="s">
        <v>151</v>
      </c>
      <c r="M541" t="s">
        <v>112</v>
      </c>
      <c r="N541" t="s">
        <v>112</v>
      </c>
      <c r="O541">
        <v>1</v>
      </c>
      <c r="Q541">
        <v>1</v>
      </c>
      <c r="R541">
        <v>33</v>
      </c>
      <c r="S541" t="s">
        <v>112</v>
      </c>
      <c r="T541" t="s">
        <v>152</v>
      </c>
      <c r="U541" t="s">
        <v>153</v>
      </c>
      <c r="V541" t="s">
        <v>154</v>
      </c>
      <c r="W541" t="s">
        <v>119</v>
      </c>
      <c r="X541" t="s">
        <v>112</v>
      </c>
      <c r="Y541" t="s">
        <v>112</v>
      </c>
      <c r="Z541" t="s">
        <v>152</v>
      </c>
      <c r="AA541" t="s">
        <v>153</v>
      </c>
      <c r="AB541" t="s">
        <v>154</v>
      </c>
      <c r="AC541" t="s">
        <v>119</v>
      </c>
      <c r="AD541" t="s">
        <v>112</v>
      </c>
      <c r="AE541" t="s">
        <v>121</v>
      </c>
      <c r="AF541" t="s">
        <v>122</v>
      </c>
      <c r="AG541">
        <v>3807959.44</v>
      </c>
      <c r="AH541" t="s">
        <v>112</v>
      </c>
      <c r="AI541" t="s">
        <v>152</v>
      </c>
      <c r="AJ541" t="s">
        <v>153</v>
      </c>
      <c r="AK541" t="s">
        <v>154</v>
      </c>
      <c r="AL541" t="s">
        <v>119</v>
      </c>
      <c r="AM541" t="s">
        <v>112</v>
      </c>
      <c r="AN541" t="s">
        <v>121</v>
      </c>
      <c r="AO541" t="s">
        <v>122</v>
      </c>
      <c r="AP541" t="s">
        <v>122</v>
      </c>
      <c r="AQ541" t="s">
        <v>124</v>
      </c>
      <c r="AR541" t="s">
        <v>125</v>
      </c>
      <c r="AS541">
        <v>2</v>
      </c>
      <c r="AT541" t="s">
        <v>126</v>
      </c>
      <c r="AU541" t="s">
        <v>155</v>
      </c>
      <c r="AV541" t="s">
        <v>156</v>
      </c>
      <c r="AX541" t="s">
        <v>129</v>
      </c>
      <c r="AY541">
        <v>35287.56</v>
      </c>
      <c r="BB541">
        <v>96.95</v>
      </c>
      <c r="BC541" t="s">
        <v>112</v>
      </c>
      <c r="BD541" t="s">
        <v>112</v>
      </c>
      <c r="BE541" t="s">
        <v>157</v>
      </c>
      <c r="BF541" t="s">
        <v>133</v>
      </c>
      <c r="BG541" t="s">
        <v>134</v>
      </c>
      <c r="BH541" t="s">
        <v>112</v>
      </c>
      <c r="BI541" t="s">
        <v>112</v>
      </c>
      <c r="BJ541" t="s">
        <v>112</v>
      </c>
      <c r="BK541" t="s">
        <v>158</v>
      </c>
      <c r="BL541" t="s">
        <v>159</v>
      </c>
      <c r="BM541" t="s">
        <v>212</v>
      </c>
      <c r="BN541" t="s">
        <v>161</v>
      </c>
      <c r="BP541" t="s">
        <v>616</v>
      </c>
      <c r="BR541" t="s">
        <v>150</v>
      </c>
      <c r="BS541">
        <v>33</v>
      </c>
      <c r="BT541">
        <v>0</v>
      </c>
      <c r="BU541">
        <v>0</v>
      </c>
      <c r="BW541">
        <v>0</v>
      </c>
      <c r="BY541" t="s">
        <v>106</v>
      </c>
      <c r="BZ541" t="s">
        <v>142</v>
      </c>
      <c r="CA541" t="s">
        <v>112</v>
      </c>
      <c r="CB541" t="s">
        <v>112</v>
      </c>
      <c r="CC541" t="s">
        <v>121</v>
      </c>
      <c r="CD541">
        <v>17353.91</v>
      </c>
      <c r="CE541" t="s">
        <v>144</v>
      </c>
      <c r="CF541">
        <v>4000000</v>
      </c>
      <c r="CG541">
        <v>17353.91</v>
      </c>
      <c r="CH541">
        <v>0</v>
      </c>
      <c r="CI541" t="s">
        <v>112</v>
      </c>
      <c r="CJ541" t="s">
        <v>112</v>
      </c>
      <c r="CK541">
        <v>35287.56</v>
      </c>
      <c r="CM541">
        <v>0</v>
      </c>
      <c r="CN541">
        <v>1</v>
      </c>
      <c r="CO541">
        <v>3807959.44</v>
      </c>
      <c r="CP541">
        <v>42361.21</v>
      </c>
      <c r="CQ541" t="s">
        <v>145</v>
      </c>
      <c r="CR541">
        <v>42343.540399999998</v>
      </c>
      <c r="CS541">
        <v>2.44</v>
      </c>
      <c r="CT541">
        <v>45</v>
      </c>
      <c r="CV541" t="s">
        <v>163</v>
      </c>
      <c r="CW541">
        <v>317</v>
      </c>
    </row>
    <row r="542" spans="1:101" x14ac:dyDescent="0.2">
      <c r="A542" t="s">
        <v>106</v>
      </c>
      <c r="B542" s="46">
        <v>44966</v>
      </c>
      <c r="C542" t="s">
        <v>770</v>
      </c>
      <c r="D542" t="s">
        <v>108</v>
      </c>
      <c r="E542" t="s">
        <v>771</v>
      </c>
      <c r="F542" t="s">
        <v>110</v>
      </c>
      <c r="G542" t="s">
        <v>111</v>
      </c>
      <c r="H542" t="s">
        <v>112</v>
      </c>
      <c r="I542" t="s">
        <v>112</v>
      </c>
      <c r="J542" t="s">
        <v>112</v>
      </c>
      <c r="K542" t="s">
        <v>150</v>
      </c>
      <c r="L542" t="s">
        <v>151</v>
      </c>
      <c r="M542" t="s">
        <v>112</v>
      </c>
      <c r="N542" t="s">
        <v>112</v>
      </c>
      <c r="O542">
        <v>1</v>
      </c>
      <c r="Q542">
        <v>1</v>
      </c>
      <c r="R542">
        <v>33</v>
      </c>
      <c r="S542" t="s">
        <v>112</v>
      </c>
      <c r="T542" t="s">
        <v>152</v>
      </c>
      <c r="U542" t="s">
        <v>153</v>
      </c>
      <c r="V542" t="s">
        <v>154</v>
      </c>
      <c r="W542" t="s">
        <v>119</v>
      </c>
      <c r="X542" t="s">
        <v>112</v>
      </c>
      <c r="Y542" t="s">
        <v>112</v>
      </c>
      <c r="Z542" t="s">
        <v>152</v>
      </c>
      <c r="AA542" t="s">
        <v>153</v>
      </c>
      <c r="AB542" t="s">
        <v>154</v>
      </c>
      <c r="AC542" t="s">
        <v>119</v>
      </c>
      <c r="AD542" t="s">
        <v>112</v>
      </c>
      <c r="AE542" t="s">
        <v>121</v>
      </c>
      <c r="AF542" t="s">
        <v>122</v>
      </c>
      <c r="AG542">
        <v>4235782.34</v>
      </c>
      <c r="AH542" t="s">
        <v>112</v>
      </c>
      <c r="AI542" t="s">
        <v>152</v>
      </c>
      <c r="AJ542" t="s">
        <v>153</v>
      </c>
      <c r="AK542" t="s">
        <v>154</v>
      </c>
      <c r="AL542" t="s">
        <v>119</v>
      </c>
      <c r="AM542" t="s">
        <v>112</v>
      </c>
      <c r="AN542" t="s">
        <v>121</v>
      </c>
      <c r="AO542" t="s">
        <v>122</v>
      </c>
      <c r="AP542" t="s">
        <v>122</v>
      </c>
      <c r="AQ542" t="s">
        <v>124</v>
      </c>
      <c r="AR542" t="s">
        <v>125</v>
      </c>
      <c r="AS542">
        <v>2</v>
      </c>
      <c r="AT542" t="s">
        <v>126</v>
      </c>
      <c r="AU542" t="s">
        <v>155</v>
      </c>
      <c r="AV542" t="s">
        <v>156</v>
      </c>
      <c r="AX542" t="s">
        <v>129</v>
      </c>
      <c r="AY542">
        <v>39700.379999999997</v>
      </c>
      <c r="BB542">
        <v>96.95</v>
      </c>
      <c r="BC542" t="s">
        <v>112</v>
      </c>
      <c r="BD542" t="s">
        <v>112</v>
      </c>
      <c r="BE542" t="s">
        <v>157</v>
      </c>
      <c r="BF542" t="s">
        <v>133</v>
      </c>
      <c r="BG542" t="s">
        <v>134</v>
      </c>
      <c r="BH542" t="s">
        <v>112</v>
      </c>
      <c r="BI542" t="s">
        <v>112</v>
      </c>
      <c r="BJ542" t="s">
        <v>112</v>
      </c>
      <c r="BK542" t="s">
        <v>158</v>
      </c>
      <c r="BL542" t="s">
        <v>159</v>
      </c>
      <c r="BM542" t="s">
        <v>212</v>
      </c>
      <c r="BN542" t="s">
        <v>161</v>
      </c>
      <c r="BP542" t="s">
        <v>772</v>
      </c>
      <c r="BR542" t="s">
        <v>150</v>
      </c>
      <c r="BS542">
        <v>33</v>
      </c>
      <c r="BT542">
        <v>0</v>
      </c>
      <c r="BU542">
        <v>0</v>
      </c>
      <c r="BW542">
        <v>0</v>
      </c>
      <c r="BY542" t="s">
        <v>106</v>
      </c>
      <c r="BZ542" t="s">
        <v>142</v>
      </c>
      <c r="CA542" t="s">
        <v>112</v>
      </c>
      <c r="CB542" t="s">
        <v>112</v>
      </c>
      <c r="CC542" t="s">
        <v>121</v>
      </c>
      <c r="CD542">
        <v>16483.36</v>
      </c>
      <c r="CE542" t="s">
        <v>144</v>
      </c>
      <c r="CF542">
        <v>4000000</v>
      </c>
      <c r="CG542">
        <v>16405.96</v>
      </c>
      <c r="CH542">
        <v>0</v>
      </c>
      <c r="CI542" t="s">
        <v>112</v>
      </c>
      <c r="CJ542" t="s">
        <v>112</v>
      </c>
      <c r="CK542">
        <v>39700.379999999997</v>
      </c>
      <c r="CM542">
        <v>0</v>
      </c>
      <c r="CN542">
        <v>1</v>
      </c>
      <c r="CO542">
        <v>4235782.34</v>
      </c>
      <c r="CP542">
        <v>47120.480000000003</v>
      </c>
      <c r="CQ542" t="s">
        <v>145</v>
      </c>
      <c r="CR542">
        <v>47085.105199999998</v>
      </c>
      <c r="CS542">
        <v>2.87</v>
      </c>
      <c r="CT542">
        <v>45</v>
      </c>
      <c r="CV542" t="s">
        <v>163</v>
      </c>
      <c r="CW542">
        <v>108</v>
      </c>
    </row>
    <row r="543" spans="1:101" x14ac:dyDescent="0.2">
      <c r="A543" t="s">
        <v>106</v>
      </c>
      <c r="B543" s="46">
        <v>45141</v>
      </c>
      <c r="C543" t="s">
        <v>762</v>
      </c>
      <c r="D543" t="s">
        <v>108</v>
      </c>
      <c r="E543" t="s">
        <v>763</v>
      </c>
      <c r="F543" t="s">
        <v>110</v>
      </c>
      <c r="G543" t="s">
        <v>111</v>
      </c>
      <c r="H543" t="s">
        <v>112</v>
      </c>
      <c r="I543" t="s">
        <v>112</v>
      </c>
      <c r="J543" t="s">
        <v>112</v>
      </c>
      <c r="K543" t="s">
        <v>150</v>
      </c>
      <c r="L543" t="s">
        <v>151</v>
      </c>
      <c r="M543" t="s">
        <v>112</v>
      </c>
      <c r="N543" t="s">
        <v>112</v>
      </c>
      <c r="O543">
        <v>1</v>
      </c>
      <c r="Q543">
        <v>1</v>
      </c>
      <c r="R543">
        <v>33</v>
      </c>
      <c r="S543" t="s">
        <v>112</v>
      </c>
      <c r="T543" t="s">
        <v>152</v>
      </c>
      <c r="U543" t="s">
        <v>153</v>
      </c>
      <c r="V543" t="s">
        <v>154</v>
      </c>
      <c r="W543" t="s">
        <v>119</v>
      </c>
      <c r="X543" t="s">
        <v>112</v>
      </c>
      <c r="Y543" t="s">
        <v>112</v>
      </c>
      <c r="Z543" t="s">
        <v>152</v>
      </c>
      <c r="AA543" t="s">
        <v>153</v>
      </c>
      <c r="AB543" t="s">
        <v>154</v>
      </c>
      <c r="AC543" t="s">
        <v>119</v>
      </c>
      <c r="AD543" t="s">
        <v>112</v>
      </c>
      <c r="AE543" t="s">
        <v>121</v>
      </c>
      <c r="AF543" t="s">
        <v>122</v>
      </c>
      <c r="AG543">
        <v>4214265.26</v>
      </c>
      <c r="AH543" t="s">
        <v>112</v>
      </c>
      <c r="AI543" t="s">
        <v>152</v>
      </c>
      <c r="AJ543" t="s">
        <v>153</v>
      </c>
      <c r="AK543" t="s">
        <v>154</v>
      </c>
      <c r="AL543" t="s">
        <v>119</v>
      </c>
      <c r="AM543" t="s">
        <v>112</v>
      </c>
      <c r="AN543" t="s">
        <v>121</v>
      </c>
      <c r="AO543" t="s">
        <v>122</v>
      </c>
      <c r="AP543" t="s">
        <v>122</v>
      </c>
      <c r="AQ543" t="s">
        <v>124</v>
      </c>
      <c r="AR543" t="s">
        <v>125</v>
      </c>
      <c r="AS543">
        <v>2</v>
      </c>
      <c r="AT543" t="s">
        <v>126</v>
      </c>
      <c r="AU543" t="s">
        <v>155</v>
      </c>
      <c r="AV543" t="s">
        <v>156</v>
      </c>
      <c r="AX543" t="s">
        <v>129</v>
      </c>
      <c r="AY543">
        <v>38948.44</v>
      </c>
      <c r="BB543">
        <v>96.95</v>
      </c>
      <c r="BC543" t="s">
        <v>112</v>
      </c>
      <c r="BD543" t="s">
        <v>112</v>
      </c>
      <c r="BE543" t="s">
        <v>157</v>
      </c>
      <c r="BF543" t="s">
        <v>133</v>
      </c>
      <c r="BG543" t="s">
        <v>134</v>
      </c>
      <c r="BH543" t="s">
        <v>112</v>
      </c>
      <c r="BI543" t="s">
        <v>112</v>
      </c>
      <c r="BJ543" t="s">
        <v>112</v>
      </c>
      <c r="BK543" t="s">
        <v>158</v>
      </c>
      <c r="BL543" t="s">
        <v>159</v>
      </c>
      <c r="BM543" t="s">
        <v>212</v>
      </c>
      <c r="BN543" t="s">
        <v>161</v>
      </c>
      <c r="BP543" t="s">
        <v>205</v>
      </c>
      <c r="BR543" t="s">
        <v>150</v>
      </c>
      <c r="BS543">
        <v>33</v>
      </c>
      <c r="BT543">
        <v>0</v>
      </c>
      <c r="BU543">
        <v>0</v>
      </c>
      <c r="BW543">
        <v>0</v>
      </c>
      <c r="BY543" t="s">
        <v>106</v>
      </c>
      <c r="BZ543" t="s">
        <v>142</v>
      </c>
      <c r="CA543" t="s">
        <v>112</v>
      </c>
      <c r="CB543" t="s">
        <v>112</v>
      </c>
      <c r="CC543" t="s">
        <v>121</v>
      </c>
      <c r="CD543">
        <v>16475.22</v>
      </c>
      <c r="CE543" t="s">
        <v>144</v>
      </c>
      <c r="CF543">
        <v>4000000</v>
      </c>
      <c r="CG543">
        <v>16367.22</v>
      </c>
      <c r="CH543">
        <v>0</v>
      </c>
      <c r="CI543" t="s">
        <v>112</v>
      </c>
      <c r="CJ543" t="s">
        <v>112</v>
      </c>
      <c r="CK543">
        <v>38948.44</v>
      </c>
      <c r="CM543">
        <v>0</v>
      </c>
      <c r="CN543">
        <v>1</v>
      </c>
      <c r="CO543">
        <v>4214265.26</v>
      </c>
      <c r="CP543">
        <v>46881.11</v>
      </c>
      <c r="CQ543" t="s">
        <v>145</v>
      </c>
      <c r="CR543">
        <v>46810.249199999998</v>
      </c>
      <c r="CS543">
        <v>2.86</v>
      </c>
      <c r="CT543">
        <v>45</v>
      </c>
      <c r="CV543" t="s">
        <v>233</v>
      </c>
      <c r="CW543">
        <v>42</v>
      </c>
    </row>
    <row r="544" spans="1:101" x14ac:dyDescent="0.2">
      <c r="A544" t="s">
        <v>106</v>
      </c>
      <c r="B544" s="46">
        <v>45195</v>
      </c>
      <c r="C544" t="s">
        <v>1512</v>
      </c>
      <c r="D544" t="s">
        <v>108</v>
      </c>
      <c r="E544" t="s">
        <v>1513</v>
      </c>
      <c r="F544" t="s">
        <v>110</v>
      </c>
      <c r="G544" t="s">
        <v>111</v>
      </c>
      <c r="H544" t="s">
        <v>112</v>
      </c>
      <c r="I544" t="s">
        <v>112</v>
      </c>
      <c r="J544" t="s">
        <v>112</v>
      </c>
      <c r="K544" t="s">
        <v>150</v>
      </c>
      <c r="L544" t="s">
        <v>151</v>
      </c>
      <c r="M544" t="s">
        <v>112</v>
      </c>
      <c r="N544" t="s">
        <v>112</v>
      </c>
      <c r="O544">
        <v>1</v>
      </c>
      <c r="Q544">
        <v>1</v>
      </c>
      <c r="R544">
        <v>33</v>
      </c>
      <c r="S544" t="s">
        <v>112</v>
      </c>
      <c r="T544" t="s">
        <v>152</v>
      </c>
      <c r="U544" t="s">
        <v>153</v>
      </c>
      <c r="V544" t="s">
        <v>154</v>
      </c>
      <c r="W544" t="s">
        <v>119</v>
      </c>
      <c r="X544" t="s">
        <v>112</v>
      </c>
      <c r="Y544" t="s">
        <v>112</v>
      </c>
      <c r="Z544" t="s">
        <v>152</v>
      </c>
      <c r="AA544" t="s">
        <v>153</v>
      </c>
      <c r="AB544" t="s">
        <v>154</v>
      </c>
      <c r="AC544" t="s">
        <v>119</v>
      </c>
      <c r="AD544" t="s">
        <v>112</v>
      </c>
      <c r="AE544" t="s">
        <v>121</v>
      </c>
      <c r="AF544" t="s">
        <v>122</v>
      </c>
      <c r="AG544">
        <v>4658095.59</v>
      </c>
      <c r="AH544" t="s">
        <v>112</v>
      </c>
      <c r="AI544" t="s">
        <v>152</v>
      </c>
      <c r="AJ544" t="s">
        <v>153</v>
      </c>
      <c r="AK544" t="s">
        <v>154</v>
      </c>
      <c r="AL544" t="s">
        <v>119</v>
      </c>
      <c r="AM544" t="s">
        <v>112</v>
      </c>
      <c r="AN544" t="s">
        <v>121</v>
      </c>
      <c r="AO544" t="s">
        <v>122</v>
      </c>
      <c r="AP544" t="s">
        <v>122</v>
      </c>
      <c r="AQ544" t="s">
        <v>124</v>
      </c>
      <c r="AR544" t="s">
        <v>125</v>
      </c>
      <c r="AS544">
        <v>2</v>
      </c>
      <c r="AT544" t="s">
        <v>126</v>
      </c>
      <c r="AU544" t="s">
        <v>155</v>
      </c>
      <c r="AV544" t="s">
        <v>156</v>
      </c>
      <c r="AX544" t="s">
        <v>129</v>
      </c>
      <c r="AY544">
        <v>43285.24</v>
      </c>
      <c r="BB544">
        <v>98.531400000000005</v>
      </c>
      <c r="BC544" t="s">
        <v>112</v>
      </c>
      <c r="BD544" t="s">
        <v>112</v>
      </c>
      <c r="BE544" t="s">
        <v>157</v>
      </c>
      <c r="BF544" t="s">
        <v>133</v>
      </c>
      <c r="BG544" t="s">
        <v>134</v>
      </c>
      <c r="BH544" t="s">
        <v>112</v>
      </c>
      <c r="BI544" t="s">
        <v>112</v>
      </c>
      <c r="BJ544" t="s">
        <v>112</v>
      </c>
      <c r="BK544" t="s">
        <v>158</v>
      </c>
      <c r="BL544" t="s">
        <v>159</v>
      </c>
      <c r="BM544" t="s">
        <v>212</v>
      </c>
      <c r="BN544" t="s">
        <v>161</v>
      </c>
      <c r="BP544" t="s">
        <v>205</v>
      </c>
      <c r="BR544" t="s">
        <v>150</v>
      </c>
      <c r="BS544">
        <v>33</v>
      </c>
      <c r="BT544">
        <v>0</v>
      </c>
      <c r="BU544">
        <v>0</v>
      </c>
      <c r="BW544">
        <v>0</v>
      </c>
      <c r="BY544" t="s">
        <v>106</v>
      </c>
      <c r="BZ544" t="s">
        <v>142</v>
      </c>
      <c r="CA544" t="s">
        <v>112</v>
      </c>
      <c r="CB544" t="s">
        <v>112</v>
      </c>
      <c r="CC544" t="s">
        <v>121</v>
      </c>
      <c r="CD544">
        <v>16539.64</v>
      </c>
      <c r="CE544" t="s">
        <v>144</v>
      </c>
      <c r="CF544">
        <v>4000000</v>
      </c>
      <c r="CG544">
        <v>16467.64</v>
      </c>
      <c r="CH544">
        <v>0</v>
      </c>
      <c r="CI544" t="s">
        <v>112</v>
      </c>
      <c r="CJ544" t="s">
        <v>112</v>
      </c>
      <c r="CK544">
        <v>43285.24</v>
      </c>
      <c r="CM544">
        <v>0</v>
      </c>
      <c r="CN544">
        <v>1</v>
      </c>
      <c r="CO544">
        <v>4658095.59</v>
      </c>
      <c r="CP544">
        <v>50566.34</v>
      </c>
      <c r="CQ544" t="s">
        <v>145</v>
      </c>
      <c r="CR544">
        <v>50555.654799999997</v>
      </c>
      <c r="CS544">
        <v>3.07</v>
      </c>
      <c r="CT544">
        <v>45</v>
      </c>
      <c r="CV544" t="s">
        <v>729</v>
      </c>
      <c r="CW544">
        <v>544</v>
      </c>
    </row>
    <row r="545" spans="1:101" x14ac:dyDescent="0.2">
      <c r="A545" t="s">
        <v>106</v>
      </c>
      <c r="B545" s="46">
        <v>45060</v>
      </c>
      <c r="C545" t="s">
        <v>1494</v>
      </c>
      <c r="D545" t="s">
        <v>108</v>
      </c>
      <c r="E545" t="s">
        <v>1495</v>
      </c>
      <c r="F545" t="s">
        <v>110</v>
      </c>
      <c r="G545" t="s">
        <v>111</v>
      </c>
      <c r="H545" t="s">
        <v>112</v>
      </c>
      <c r="I545" t="s">
        <v>112</v>
      </c>
      <c r="J545" t="s">
        <v>112</v>
      </c>
      <c r="K545" t="s">
        <v>150</v>
      </c>
      <c r="L545" t="s">
        <v>151</v>
      </c>
      <c r="M545" t="s">
        <v>112</v>
      </c>
      <c r="N545" t="s">
        <v>112</v>
      </c>
      <c r="O545">
        <v>1</v>
      </c>
      <c r="Q545">
        <v>1</v>
      </c>
      <c r="R545">
        <v>33</v>
      </c>
      <c r="S545" t="s">
        <v>112</v>
      </c>
      <c r="T545" t="s">
        <v>152</v>
      </c>
      <c r="U545" t="s">
        <v>153</v>
      </c>
      <c r="V545" t="s">
        <v>154</v>
      </c>
      <c r="W545" t="s">
        <v>119</v>
      </c>
      <c r="X545" t="s">
        <v>112</v>
      </c>
      <c r="Y545" t="s">
        <v>112</v>
      </c>
      <c r="Z545" t="s">
        <v>152</v>
      </c>
      <c r="AA545" t="s">
        <v>153</v>
      </c>
      <c r="AB545" t="s">
        <v>154</v>
      </c>
      <c r="AC545" t="s">
        <v>119</v>
      </c>
      <c r="AD545" t="s">
        <v>112</v>
      </c>
      <c r="AE545" t="s">
        <v>121</v>
      </c>
      <c r="AF545" t="s">
        <v>122</v>
      </c>
      <c r="AG545">
        <v>4514516.62</v>
      </c>
      <c r="AH545" t="s">
        <v>112</v>
      </c>
      <c r="AI545" t="s">
        <v>152</v>
      </c>
      <c r="AJ545" t="s">
        <v>153</v>
      </c>
      <c r="AK545" t="s">
        <v>154</v>
      </c>
      <c r="AL545" t="s">
        <v>119</v>
      </c>
      <c r="AM545" t="s">
        <v>112</v>
      </c>
      <c r="AN545" t="s">
        <v>121</v>
      </c>
      <c r="AO545" t="s">
        <v>122</v>
      </c>
      <c r="AP545" t="s">
        <v>122</v>
      </c>
      <c r="AQ545" t="s">
        <v>124</v>
      </c>
      <c r="AR545" t="s">
        <v>125</v>
      </c>
      <c r="AS545">
        <v>2</v>
      </c>
      <c r="AT545" t="s">
        <v>126</v>
      </c>
      <c r="AU545" t="s">
        <v>155</v>
      </c>
      <c r="AV545" t="s">
        <v>156</v>
      </c>
      <c r="AX545" t="s">
        <v>129</v>
      </c>
      <c r="AY545">
        <v>41828.050000000003</v>
      </c>
      <c r="BB545">
        <v>98.531400000000005</v>
      </c>
      <c r="BC545" t="s">
        <v>112</v>
      </c>
      <c r="BD545" t="s">
        <v>112</v>
      </c>
      <c r="BE545" t="s">
        <v>157</v>
      </c>
      <c r="BF545" t="s">
        <v>133</v>
      </c>
      <c r="BG545" t="s">
        <v>134</v>
      </c>
      <c r="BH545" t="s">
        <v>112</v>
      </c>
      <c r="BI545" t="s">
        <v>112</v>
      </c>
      <c r="BJ545" t="s">
        <v>112</v>
      </c>
      <c r="BK545" t="s">
        <v>158</v>
      </c>
      <c r="BL545" t="s">
        <v>159</v>
      </c>
      <c r="BM545" t="s">
        <v>212</v>
      </c>
      <c r="BN545" t="s">
        <v>161</v>
      </c>
      <c r="BP545" t="s">
        <v>232</v>
      </c>
      <c r="BR545" t="s">
        <v>150</v>
      </c>
      <c r="BS545">
        <v>33</v>
      </c>
      <c r="BT545">
        <v>0</v>
      </c>
      <c r="BU545">
        <v>0</v>
      </c>
      <c r="BW545">
        <v>0</v>
      </c>
      <c r="BY545" t="s">
        <v>106</v>
      </c>
      <c r="BZ545" t="s">
        <v>142</v>
      </c>
      <c r="CA545" t="s">
        <v>112</v>
      </c>
      <c r="CB545" t="s">
        <v>112</v>
      </c>
      <c r="CC545" t="s">
        <v>121</v>
      </c>
      <c r="CD545">
        <v>14751.7</v>
      </c>
      <c r="CE545" t="s">
        <v>144</v>
      </c>
      <c r="CF545">
        <v>4000000</v>
      </c>
      <c r="CG545">
        <v>14557.3</v>
      </c>
      <c r="CH545">
        <v>0</v>
      </c>
      <c r="CI545" t="s">
        <v>112</v>
      </c>
      <c r="CJ545" t="s">
        <v>112</v>
      </c>
      <c r="CK545">
        <v>41828.050000000003</v>
      </c>
      <c r="CN545">
        <v>1</v>
      </c>
      <c r="CO545">
        <v>4514516.62</v>
      </c>
      <c r="CP545">
        <v>49007.71</v>
      </c>
      <c r="CQ545" t="s">
        <v>145</v>
      </c>
      <c r="CR545">
        <v>49058.101000000002</v>
      </c>
      <c r="CS545">
        <v>3.37</v>
      </c>
      <c r="CT545">
        <v>45</v>
      </c>
      <c r="CV545" t="s">
        <v>1140</v>
      </c>
      <c r="CW545">
        <v>152</v>
      </c>
    </row>
    <row r="546" spans="1:101" x14ac:dyDescent="0.2">
      <c r="A546" t="s">
        <v>106</v>
      </c>
      <c r="B546" s="46">
        <v>44951</v>
      </c>
      <c r="C546" t="s">
        <v>1506</v>
      </c>
      <c r="D546" t="s">
        <v>108</v>
      </c>
      <c r="E546" t="s">
        <v>1507</v>
      </c>
      <c r="F546" t="s">
        <v>110</v>
      </c>
      <c r="G546" t="s">
        <v>111</v>
      </c>
      <c r="H546" t="s">
        <v>112</v>
      </c>
      <c r="I546" t="s">
        <v>112</v>
      </c>
      <c r="J546" t="s">
        <v>112</v>
      </c>
      <c r="K546" t="s">
        <v>150</v>
      </c>
      <c r="L546" t="s">
        <v>151</v>
      </c>
      <c r="M546" t="s">
        <v>112</v>
      </c>
      <c r="N546" t="s">
        <v>112</v>
      </c>
      <c r="O546">
        <v>1</v>
      </c>
      <c r="Q546">
        <v>1</v>
      </c>
      <c r="R546">
        <v>33</v>
      </c>
      <c r="S546" t="s">
        <v>112</v>
      </c>
      <c r="T546" t="s">
        <v>152</v>
      </c>
      <c r="U546" t="s">
        <v>153</v>
      </c>
      <c r="V546" t="s">
        <v>154</v>
      </c>
      <c r="W546" t="s">
        <v>119</v>
      </c>
      <c r="X546" t="s">
        <v>112</v>
      </c>
      <c r="Y546" t="s">
        <v>112</v>
      </c>
      <c r="Z546" t="s">
        <v>152</v>
      </c>
      <c r="AA546" t="s">
        <v>153</v>
      </c>
      <c r="AB546" t="s">
        <v>154</v>
      </c>
      <c r="AC546" t="s">
        <v>119</v>
      </c>
      <c r="AD546" t="s">
        <v>112</v>
      </c>
      <c r="AE546" t="s">
        <v>121</v>
      </c>
      <c r="AF546" t="s">
        <v>122</v>
      </c>
      <c r="AG546">
        <v>4590404.51</v>
      </c>
      <c r="AH546" t="s">
        <v>112</v>
      </c>
      <c r="AI546" t="s">
        <v>152</v>
      </c>
      <c r="AJ546" t="s">
        <v>153</v>
      </c>
      <c r="AK546" t="s">
        <v>154</v>
      </c>
      <c r="AL546" t="s">
        <v>119</v>
      </c>
      <c r="AM546" t="s">
        <v>112</v>
      </c>
      <c r="AN546" t="s">
        <v>121</v>
      </c>
      <c r="AO546" t="s">
        <v>122</v>
      </c>
      <c r="AP546" t="s">
        <v>122</v>
      </c>
      <c r="AQ546" t="s">
        <v>124</v>
      </c>
      <c r="AR546" t="s">
        <v>125</v>
      </c>
      <c r="AS546">
        <v>2</v>
      </c>
      <c r="AT546" t="s">
        <v>126</v>
      </c>
      <c r="AU546" t="s">
        <v>155</v>
      </c>
      <c r="AV546" t="s">
        <v>156</v>
      </c>
      <c r="AX546" t="s">
        <v>129</v>
      </c>
      <c r="AY546">
        <v>42598.239999999998</v>
      </c>
      <c r="BB546">
        <v>98.531400000000005</v>
      </c>
      <c r="BC546" t="s">
        <v>112</v>
      </c>
      <c r="BD546" t="s">
        <v>112</v>
      </c>
      <c r="BE546" t="s">
        <v>157</v>
      </c>
      <c r="BF546" t="s">
        <v>133</v>
      </c>
      <c r="BG546" t="s">
        <v>167</v>
      </c>
      <c r="BH546" t="s">
        <v>112</v>
      </c>
      <c r="BI546" t="s">
        <v>112</v>
      </c>
      <c r="BJ546" t="s">
        <v>112</v>
      </c>
      <c r="BK546" t="s">
        <v>158</v>
      </c>
      <c r="BL546" t="s">
        <v>159</v>
      </c>
      <c r="BM546" t="s">
        <v>160</v>
      </c>
      <c r="BN546" t="s">
        <v>161</v>
      </c>
      <c r="BP546" t="s">
        <v>205</v>
      </c>
      <c r="BR546" t="s">
        <v>150</v>
      </c>
      <c r="BS546">
        <v>33</v>
      </c>
      <c r="BT546">
        <v>0</v>
      </c>
      <c r="BU546">
        <v>0</v>
      </c>
      <c r="BW546">
        <v>0</v>
      </c>
      <c r="BY546" t="s">
        <v>106</v>
      </c>
      <c r="BZ546" t="s">
        <v>142</v>
      </c>
      <c r="CA546" t="s">
        <v>112</v>
      </c>
      <c r="CB546" t="s">
        <v>112</v>
      </c>
      <c r="CC546" t="s">
        <v>121</v>
      </c>
      <c r="CD546">
        <v>14869.76</v>
      </c>
      <c r="CE546" t="s">
        <v>144</v>
      </c>
      <c r="CF546">
        <v>4000000</v>
      </c>
      <c r="CG546">
        <v>14563.76</v>
      </c>
      <c r="CH546">
        <v>0</v>
      </c>
      <c r="CI546" t="s">
        <v>112</v>
      </c>
      <c r="CJ546" t="s">
        <v>112</v>
      </c>
      <c r="CK546">
        <v>42598.239999999998</v>
      </c>
      <c r="CM546">
        <v>0</v>
      </c>
      <c r="CN546">
        <v>1</v>
      </c>
      <c r="CO546">
        <v>4590404.51</v>
      </c>
      <c r="CP546">
        <v>49831.519999999997</v>
      </c>
      <c r="CQ546" t="s">
        <v>145</v>
      </c>
      <c r="CR546">
        <v>49808.059200000003</v>
      </c>
      <c r="CS546">
        <v>3.42</v>
      </c>
      <c r="CT546">
        <v>45</v>
      </c>
      <c r="CV546" t="s">
        <v>233</v>
      </c>
      <c r="CW546">
        <v>288</v>
      </c>
    </row>
    <row r="547" spans="1:101" x14ac:dyDescent="0.2">
      <c r="A547" t="s">
        <v>106</v>
      </c>
      <c r="B547" s="46">
        <v>44623</v>
      </c>
      <c r="C547" t="s">
        <v>1537</v>
      </c>
      <c r="D547" t="s">
        <v>108</v>
      </c>
      <c r="E547" t="s">
        <v>1538</v>
      </c>
      <c r="F547" t="s">
        <v>110</v>
      </c>
      <c r="G547" t="s">
        <v>111</v>
      </c>
      <c r="H547" t="s">
        <v>112</v>
      </c>
      <c r="I547" t="s">
        <v>112</v>
      </c>
      <c r="J547" t="s">
        <v>112</v>
      </c>
      <c r="K547" t="s">
        <v>150</v>
      </c>
      <c r="L547" t="s">
        <v>151</v>
      </c>
      <c r="M547" t="s">
        <v>112</v>
      </c>
      <c r="N547" t="s">
        <v>112</v>
      </c>
      <c r="O547">
        <v>1</v>
      </c>
      <c r="Q547">
        <v>1</v>
      </c>
      <c r="R547">
        <v>33</v>
      </c>
      <c r="S547" t="s">
        <v>112</v>
      </c>
      <c r="T547" t="s">
        <v>152</v>
      </c>
      <c r="U547" t="s">
        <v>153</v>
      </c>
      <c r="V547" t="s">
        <v>154</v>
      </c>
      <c r="W547" t="s">
        <v>119</v>
      </c>
      <c r="X547" t="s">
        <v>112</v>
      </c>
      <c r="Y547" t="s">
        <v>112</v>
      </c>
      <c r="Z547" t="s">
        <v>152</v>
      </c>
      <c r="AA547" t="s">
        <v>153</v>
      </c>
      <c r="AB547" t="s">
        <v>154</v>
      </c>
      <c r="AC547" t="s">
        <v>119</v>
      </c>
      <c r="AD547" t="s">
        <v>112</v>
      </c>
      <c r="AE547" t="s">
        <v>121</v>
      </c>
      <c r="AF547" t="s">
        <v>122</v>
      </c>
      <c r="AG547">
        <v>4033264.63</v>
      </c>
      <c r="AH547" t="s">
        <v>112</v>
      </c>
      <c r="AI547" t="s">
        <v>152</v>
      </c>
      <c r="AJ547" t="s">
        <v>153</v>
      </c>
      <c r="AK547" t="s">
        <v>154</v>
      </c>
      <c r="AL547" t="s">
        <v>119</v>
      </c>
      <c r="AM547" t="s">
        <v>112</v>
      </c>
      <c r="AN547" t="s">
        <v>121</v>
      </c>
      <c r="AO547" t="s">
        <v>122</v>
      </c>
      <c r="AP547" t="s">
        <v>122</v>
      </c>
      <c r="AQ547" t="s">
        <v>124</v>
      </c>
      <c r="AR547" t="s">
        <v>125</v>
      </c>
      <c r="AS547">
        <v>2</v>
      </c>
      <c r="AT547" t="s">
        <v>126</v>
      </c>
      <c r="AU547" t="s">
        <v>155</v>
      </c>
      <c r="AV547" t="s">
        <v>156</v>
      </c>
      <c r="AX547" t="s">
        <v>129</v>
      </c>
      <c r="AY547">
        <v>36943.800000000003</v>
      </c>
      <c r="BB547">
        <v>98.531400000000005</v>
      </c>
      <c r="BC547" t="s">
        <v>112</v>
      </c>
      <c r="BD547" t="s">
        <v>112</v>
      </c>
      <c r="BE547" t="s">
        <v>157</v>
      </c>
      <c r="BF547" t="s">
        <v>133</v>
      </c>
      <c r="BG547" t="s">
        <v>134</v>
      </c>
      <c r="BH547" t="s">
        <v>112</v>
      </c>
      <c r="BI547" t="s">
        <v>112</v>
      </c>
      <c r="BJ547" t="s">
        <v>112</v>
      </c>
      <c r="BK547" t="s">
        <v>158</v>
      </c>
      <c r="BL547" t="s">
        <v>159</v>
      </c>
      <c r="BM547" t="s">
        <v>212</v>
      </c>
      <c r="BN547" t="s">
        <v>161</v>
      </c>
      <c r="BP547" t="s">
        <v>281</v>
      </c>
      <c r="BR547" t="s">
        <v>150</v>
      </c>
      <c r="BS547">
        <v>33</v>
      </c>
      <c r="BT547">
        <v>0</v>
      </c>
      <c r="BU547">
        <v>0</v>
      </c>
      <c r="BW547">
        <v>0</v>
      </c>
      <c r="BY547" t="s">
        <v>106</v>
      </c>
      <c r="BZ547" t="s">
        <v>142</v>
      </c>
      <c r="CA547" t="s">
        <v>112</v>
      </c>
      <c r="CB547" t="s">
        <v>112</v>
      </c>
      <c r="CC547" t="s">
        <v>121</v>
      </c>
      <c r="CD547">
        <v>14767.2</v>
      </c>
      <c r="CE547" t="s">
        <v>144</v>
      </c>
      <c r="CF547">
        <v>4000000</v>
      </c>
      <c r="CG547">
        <v>14320.8</v>
      </c>
      <c r="CH547">
        <v>0</v>
      </c>
      <c r="CI547" t="s">
        <v>112</v>
      </c>
      <c r="CJ547" t="s">
        <v>112</v>
      </c>
      <c r="CK547">
        <v>36943.800000000003</v>
      </c>
      <c r="CM547">
        <v>0</v>
      </c>
      <c r="CN547">
        <v>1</v>
      </c>
      <c r="CO547">
        <v>4033264.63</v>
      </c>
      <c r="CP547">
        <v>43783.44</v>
      </c>
      <c r="CQ547" t="s">
        <v>145</v>
      </c>
      <c r="CR547">
        <v>43821.648000000001</v>
      </c>
      <c r="CS547">
        <v>3.06</v>
      </c>
      <c r="CT547">
        <v>45</v>
      </c>
      <c r="CV547" t="s">
        <v>206</v>
      </c>
      <c r="CW547">
        <v>4</v>
      </c>
    </row>
    <row r="548" spans="1:101" x14ac:dyDescent="0.2">
      <c r="A548" t="s">
        <v>106</v>
      </c>
      <c r="B548" s="46">
        <v>45207</v>
      </c>
      <c r="C548" t="s">
        <v>1924</v>
      </c>
      <c r="D548" t="s">
        <v>108</v>
      </c>
      <c r="E548" t="s">
        <v>1925</v>
      </c>
      <c r="F548" t="s">
        <v>110</v>
      </c>
      <c r="G548" t="s">
        <v>111</v>
      </c>
      <c r="H548" t="s">
        <v>112</v>
      </c>
      <c r="I548" t="s">
        <v>112</v>
      </c>
      <c r="J548" t="s">
        <v>112</v>
      </c>
      <c r="K548" t="s">
        <v>150</v>
      </c>
      <c r="L548" t="s">
        <v>151</v>
      </c>
      <c r="M548" t="s">
        <v>112</v>
      </c>
      <c r="N548" t="s">
        <v>112</v>
      </c>
      <c r="O548">
        <v>1</v>
      </c>
      <c r="Q548">
        <v>1</v>
      </c>
      <c r="R548">
        <v>33</v>
      </c>
      <c r="S548" t="s">
        <v>112</v>
      </c>
      <c r="T548" t="s">
        <v>152</v>
      </c>
      <c r="U548" t="s">
        <v>153</v>
      </c>
      <c r="V548" t="s">
        <v>154</v>
      </c>
      <c r="W548" t="s">
        <v>119</v>
      </c>
      <c r="X548" t="s">
        <v>112</v>
      </c>
      <c r="Y548" t="s">
        <v>112</v>
      </c>
      <c r="Z548" t="s">
        <v>152</v>
      </c>
      <c r="AA548" t="s">
        <v>153</v>
      </c>
      <c r="AB548" t="s">
        <v>154</v>
      </c>
      <c r="AC548" t="s">
        <v>119</v>
      </c>
      <c r="AD548" t="s">
        <v>112</v>
      </c>
      <c r="AE548" t="s">
        <v>121</v>
      </c>
      <c r="AF548" t="s">
        <v>122</v>
      </c>
      <c r="AG548">
        <v>4092717.51</v>
      </c>
      <c r="AH548" t="s">
        <v>112</v>
      </c>
      <c r="AI548" t="s">
        <v>152</v>
      </c>
      <c r="AJ548" t="s">
        <v>153</v>
      </c>
      <c r="AK548" t="s">
        <v>154</v>
      </c>
      <c r="AL548" t="s">
        <v>119</v>
      </c>
      <c r="AM548" t="s">
        <v>112</v>
      </c>
      <c r="AN548" t="s">
        <v>121</v>
      </c>
      <c r="AO548" t="s">
        <v>122</v>
      </c>
      <c r="AP548" t="s">
        <v>122</v>
      </c>
      <c r="AQ548" t="s">
        <v>124</v>
      </c>
      <c r="AR548" t="s">
        <v>125</v>
      </c>
      <c r="AS548">
        <v>2</v>
      </c>
      <c r="AT548" t="s">
        <v>126</v>
      </c>
      <c r="AU548" t="s">
        <v>155</v>
      </c>
      <c r="AV548" t="s">
        <v>156</v>
      </c>
      <c r="AX548" t="s">
        <v>129</v>
      </c>
      <c r="AY548">
        <v>35564.04</v>
      </c>
      <c r="BB548">
        <v>103.1066</v>
      </c>
      <c r="BC548" t="s">
        <v>112</v>
      </c>
      <c r="BD548" t="s">
        <v>112</v>
      </c>
      <c r="BE548" t="s">
        <v>157</v>
      </c>
      <c r="BF548" t="s">
        <v>133</v>
      </c>
      <c r="BG548" t="s">
        <v>134</v>
      </c>
      <c r="BH548" t="s">
        <v>112</v>
      </c>
      <c r="BI548" t="s">
        <v>112</v>
      </c>
      <c r="BJ548" t="s">
        <v>112</v>
      </c>
      <c r="BK548" t="s">
        <v>169</v>
      </c>
      <c r="BL548" t="s">
        <v>159</v>
      </c>
      <c r="BM548" t="s">
        <v>212</v>
      </c>
      <c r="BN548" t="s">
        <v>161</v>
      </c>
      <c r="BP548" t="s">
        <v>281</v>
      </c>
      <c r="BR548" t="s">
        <v>150</v>
      </c>
      <c r="BS548">
        <v>33</v>
      </c>
      <c r="BY548" t="s">
        <v>106</v>
      </c>
      <c r="BZ548" t="s">
        <v>142</v>
      </c>
      <c r="CA548" t="s">
        <v>112</v>
      </c>
      <c r="CB548" t="s">
        <v>112</v>
      </c>
      <c r="CC548" t="s">
        <v>121</v>
      </c>
      <c r="CD548">
        <v>16563.849999999999</v>
      </c>
      <c r="CE548" t="s">
        <v>144</v>
      </c>
      <c r="CF548">
        <v>4000000</v>
      </c>
      <c r="CG548">
        <v>16434.25</v>
      </c>
      <c r="CI548" t="s">
        <v>112</v>
      </c>
      <c r="CJ548" t="s">
        <v>112</v>
      </c>
      <c r="CK548">
        <v>35564.04</v>
      </c>
      <c r="CM548">
        <v>0</v>
      </c>
      <c r="CN548">
        <v>1</v>
      </c>
      <c r="CO548">
        <v>4092717.51</v>
      </c>
      <c r="CP548">
        <v>42641.62</v>
      </c>
      <c r="CQ548" t="s">
        <v>145</v>
      </c>
      <c r="CR548">
        <v>42564.707499999997</v>
      </c>
      <c r="CS548">
        <v>2.59</v>
      </c>
      <c r="CT548">
        <v>45</v>
      </c>
      <c r="CV548" t="s">
        <v>729</v>
      </c>
      <c r="CW548">
        <v>288</v>
      </c>
    </row>
    <row r="549" spans="1:101" x14ac:dyDescent="0.2">
      <c r="A549" t="s">
        <v>106</v>
      </c>
      <c r="B549" s="46">
        <v>45167</v>
      </c>
      <c r="C549" t="s">
        <v>1992</v>
      </c>
      <c r="D549" t="s">
        <v>108</v>
      </c>
      <c r="E549" t="s">
        <v>1993</v>
      </c>
      <c r="F549" t="s">
        <v>110</v>
      </c>
      <c r="G549" t="s">
        <v>111</v>
      </c>
      <c r="H549" t="s">
        <v>112</v>
      </c>
      <c r="I549" t="s">
        <v>112</v>
      </c>
      <c r="J549" t="s">
        <v>112</v>
      </c>
      <c r="K549" t="s">
        <v>150</v>
      </c>
      <c r="L549" t="s">
        <v>151</v>
      </c>
      <c r="M549" t="s">
        <v>112</v>
      </c>
      <c r="N549" t="s">
        <v>112</v>
      </c>
      <c r="O549">
        <v>1</v>
      </c>
      <c r="Q549">
        <v>1</v>
      </c>
      <c r="R549">
        <v>33</v>
      </c>
      <c r="S549" t="s">
        <v>112</v>
      </c>
      <c r="T549" t="s">
        <v>152</v>
      </c>
      <c r="U549" t="s">
        <v>153</v>
      </c>
      <c r="V549" t="s">
        <v>154</v>
      </c>
      <c r="W549" t="s">
        <v>119</v>
      </c>
      <c r="X549" t="s">
        <v>112</v>
      </c>
      <c r="Y549" t="s">
        <v>112</v>
      </c>
      <c r="Z549" t="s">
        <v>152</v>
      </c>
      <c r="AA549" t="s">
        <v>153</v>
      </c>
      <c r="AB549" t="s">
        <v>154</v>
      </c>
      <c r="AC549" t="s">
        <v>119</v>
      </c>
      <c r="AD549" t="s">
        <v>112</v>
      </c>
      <c r="AE549" t="s">
        <v>121</v>
      </c>
      <c r="AF549" t="s">
        <v>122</v>
      </c>
      <c r="AG549">
        <v>5186521.8099999996</v>
      </c>
      <c r="AH549" t="s">
        <v>112</v>
      </c>
      <c r="AI549" t="s">
        <v>152</v>
      </c>
      <c r="AJ549" t="s">
        <v>153</v>
      </c>
      <c r="AK549" t="s">
        <v>154</v>
      </c>
      <c r="AL549" t="s">
        <v>119</v>
      </c>
      <c r="AM549" t="s">
        <v>112</v>
      </c>
      <c r="AN549" t="s">
        <v>121</v>
      </c>
      <c r="AO549" t="s">
        <v>122</v>
      </c>
      <c r="AP549" t="s">
        <v>122</v>
      </c>
      <c r="AQ549" t="s">
        <v>124</v>
      </c>
      <c r="AR549" t="s">
        <v>125</v>
      </c>
      <c r="AS549">
        <v>2</v>
      </c>
      <c r="AT549" t="s">
        <v>126</v>
      </c>
      <c r="AU549" t="s">
        <v>155</v>
      </c>
      <c r="AV549" t="s">
        <v>156</v>
      </c>
      <c r="AX549" t="s">
        <v>129</v>
      </c>
      <c r="AY549">
        <v>46172.52</v>
      </c>
      <c r="BB549">
        <v>103.1066</v>
      </c>
      <c r="BC549" t="s">
        <v>112</v>
      </c>
      <c r="BD549" t="s">
        <v>112</v>
      </c>
      <c r="BE549" t="s">
        <v>157</v>
      </c>
      <c r="BF549" t="s">
        <v>133</v>
      </c>
      <c r="BG549" t="s">
        <v>167</v>
      </c>
      <c r="BH549" t="s">
        <v>112</v>
      </c>
      <c r="BI549" t="s">
        <v>112</v>
      </c>
      <c r="BJ549" t="s">
        <v>112</v>
      </c>
      <c r="BK549" t="s">
        <v>169</v>
      </c>
      <c r="BL549" t="s">
        <v>159</v>
      </c>
      <c r="BM549" t="s">
        <v>160</v>
      </c>
      <c r="BN549" t="s">
        <v>161</v>
      </c>
      <c r="BP549" t="s">
        <v>232</v>
      </c>
      <c r="BR549" t="s">
        <v>150</v>
      </c>
      <c r="BS549">
        <v>33</v>
      </c>
      <c r="BY549" t="s">
        <v>106</v>
      </c>
      <c r="BZ549" t="s">
        <v>142</v>
      </c>
      <c r="CA549" t="s">
        <v>112</v>
      </c>
      <c r="CB549" t="s">
        <v>112</v>
      </c>
      <c r="CC549" t="s">
        <v>121</v>
      </c>
      <c r="CD549">
        <v>16913.98</v>
      </c>
      <c r="CE549" t="s">
        <v>144</v>
      </c>
      <c r="CF549">
        <v>4000000</v>
      </c>
      <c r="CG549">
        <v>16877.98</v>
      </c>
      <c r="CI549" t="s">
        <v>112</v>
      </c>
      <c r="CJ549" t="s">
        <v>112</v>
      </c>
      <c r="CK549">
        <v>46172.52</v>
      </c>
      <c r="CM549">
        <v>0</v>
      </c>
      <c r="CN549">
        <v>1</v>
      </c>
      <c r="CO549">
        <v>5186521.8099999996</v>
      </c>
      <c r="CP549">
        <v>54037.86</v>
      </c>
      <c r="CQ549" t="s">
        <v>145</v>
      </c>
      <c r="CR549">
        <v>54009.536</v>
      </c>
      <c r="CS549">
        <v>3.2</v>
      </c>
      <c r="CT549">
        <v>45</v>
      </c>
      <c r="CV549" t="s">
        <v>163</v>
      </c>
      <c r="CW549">
        <v>131</v>
      </c>
    </row>
    <row r="550" spans="1:101" x14ac:dyDescent="0.2">
      <c r="A550" t="s">
        <v>106</v>
      </c>
      <c r="B550" s="46">
        <v>44692</v>
      </c>
      <c r="C550" t="s">
        <v>1719</v>
      </c>
      <c r="D550" t="s">
        <v>108</v>
      </c>
      <c r="E550" t="s">
        <v>1720</v>
      </c>
      <c r="F550" t="s">
        <v>110</v>
      </c>
      <c r="G550" t="s">
        <v>111</v>
      </c>
      <c r="H550" t="s">
        <v>112</v>
      </c>
      <c r="I550" t="s">
        <v>112</v>
      </c>
      <c r="J550" t="s">
        <v>112</v>
      </c>
      <c r="K550" t="s">
        <v>150</v>
      </c>
      <c r="L550" t="s">
        <v>151</v>
      </c>
      <c r="M550" t="s">
        <v>112</v>
      </c>
      <c r="N550" t="s">
        <v>112</v>
      </c>
      <c r="Q550">
        <v>1</v>
      </c>
      <c r="R550">
        <v>33</v>
      </c>
      <c r="S550" t="s">
        <v>112</v>
      </c>
      <c r="T550" t="s">
        <v>1704</v>
      </c>
      <c r="U550" t="s">
        <v>153</v>
      </c>
      <c r="V550" t="s">
        <v>154</v>
      </c>
      <c r="W550" t="s">
        <v>112</v>
      </c>
      <c r="X550" t="s">
        <v>112</v>
      </c>
      <c r="Y550" t="s">
        <v>166</v>
      </c>
      <c r="Z550" t="s">
        <v>152</v>
      </c>
      <c r="AA550" t="s">
        <v>153</v>
      </c>
      <c r="AB550" t="s">
        <v>154</v>
      </c>
      <c r="AC550" t="s">
        <v>119</v>
      </c>
      <c r="AD550" t="s">
        <v>112</v>
      </c>
      <c r="AE550" t="s">
        <v>121</v>
      </c>
      <c r="AF550" t="s">
        <v>122</v>
      </c>
      <c r="AG550">
        <v>4813711.78</v>
      </c>
      <c r="AH550" t="s">
        <v>166</v>
      </c>
      <c r="AI550" t="s">
        <v>152</v>
      </c>
      <c r="AJ550" t="s">
        <v>153</v>
      </c>
      <c r="AK550" t="s">
        <v>154</v>
      </c>
      <c r="AL550" t="s">
        <v>119</v>
      </c>
      <c r="AM550" t="s">
        <v>112</v>
      </c>
      <c r="AN550" t="s">
        <v>121</v>
      </c>
      <c r="AO550" t="s">
        <v>122</v>
      </c>
      <c r="AP550" t="s">
        <v>122</v>
      </c>
      <c r="AQ550" t="s">
        <v>124</v>
      </c>
      <c r="AR550" t="s">
        <v>125</v>
      </c>
      <c r="AT550" t="s">
        <v>126</v>
      </c>
      <c r="AU550" t="s">
        <v>155</v>
      </c>
      <c r="AV550" t="s">
        <v>156</v>
      </c>
      <c r="AX550" t="s">
        <v>129</v>
      </c>
      <c r="AY550">
        <v>40452.839999999997</v>
      </c>
      <c r="BB550">
        <v>107.9723</v>
      </c>
      <c r="BC550" t="s">
        <v>112</v>
      </c>
      <c r="BD550" t="s">
        <v>112</v>
      </c>
      <c r="BE550" t="s">
        <v>112</v>
      </c>
      <c r="BF550" t="s">
        <v>133</v>
      </c>
      <c r="BG550" t="s">
        <v>134</v>
      </c>
      <c r="BH550" t="s">
        <v>112</v>
      </c>
      <c r="BI550" t="s">
        <v>112</v>
      </c>
      <c r="BJ550" t="s">
        <v>112</v>
      </c>
      <c r="BK550" t="s">
        <v>112</v>
      </c>
      <c r="BL550" t="s">
        <v>112</v>
      </c>
      <c r="BM550" t="s">
        <v>112</v>
      </c>
      <c r="BN550" t="s">
        <v>161</v>
      </c>
      <c r="BP550" t="s">
        <v>162</v>
      </c>
      <c r="BR550" t="s">
        <v>150</v>
      </c>
      <c r="BS550">
        <v>33</v>
      </c>
      <c r="BT550">
        <v>0</v>
      </c>
      <c r="BU550">
        <v>0</v>
      </c>
      <c r="BY550" t="s">
        <v>106</v>
      </c>
      <c r="BZ550" t="s">
        <v>142</v>
      </c>
      <c r="CA550" t="s">
        <v>112</v>
      </c>
      <c r="CB550" t="s">
        <v>112</v>
      </c>
      <c r="CC550" t="s">
        <v>121</v>
      </c>
      <c r="CD550">
        <v>16456.330000000002</v>
      </c>
      <c r="CE550" t="s">
        <v>144</v>
      </c>
      <c r="CF550">
        <v>4000000</v>
      </c>
      <c r="CG550">
        <v>16326.73</v>
      </c>
      <c r="CH550">
        <v>0</v>
      </c>
      <c r="CI550" t="s">
        <v>112</v>
      </c>
      <c r="CJ550" t="s">
        <v>112</v>
      </c>
      <c r="CK550">
        <v>40452.839999999997</v>
      </c>
      <c r="CM550">
        <v>0</v>
      </c>
      <c r="CN550">
        <v>1</v>
      </c>
      <c r="CO550">
        <v>4813711.78</v>
      </c>
      <c r="CP550">
        <v>49016.17</v>
      </c>
      <c r="CQ550" t="s">
        <v>145</v>
      </c>
      <c r="CR550">
        <v>48980.19</v>
      </c>
      <c r="CS550">
        <v>3</v>
      </c>
      <c r="CW550">
        <v>314</v>
      </c>
    </row>
    <row r="551" spans="1:101" x14ac:dyDescent="0.2">
      <c r="A551" t="s">
        <v>106</v>
      </c>
      <c r="B551" s="46">
        <v>44634</v>
      </c>
      <c r="C551" t="s">
        <v>1717</v>
      </c>
      <c r="D551" t="s">
        <v>108</v>
      </c>
      <c r="E551" t="s">
        <v>1718</v>
      </c>
      <c r="F551" t="s">
        <v>110</v>
      </c>
      <c r="G551" t="s">
        <v>111</v>
      </c>
      <c r="H551" t="s">
        <v>112</v>
      </c>
      <c r="I551" t="s">
        <v>112</v>
      </c>
      <c r="J551" t="s">
        <v>112</v>
      </c>
      <c r="K551" t="s">
        <v>150</v>
      </c>
      <c r="L551" t="s">
        <v>151</v>
      </c>
      <c r="M551" t="s">
        <v>112</v>
      </c>
      <c r="N551" t="s">
        <v>112</v>
      </c>
      <c r="Q551">
        <v>1</v>
      </c>
      <c r="R551">
        <v>33</v>
      </c>
      <c r="S551" t="s">
        <v>112</v>
      </c>
      <c r="T551" t="s">
        <v>1704</v>
      </c>
      <c r="U551" t="s">
        <v>153</v>
      </c>
      <c r="V551" t="s">
        <v>154</v>
      </c>
      <c r="W551" t="s">
        <v>112</v>
      </c>
      <c r="X551" t="s">
        <v>112</v>
      </c>
      <c r="Y551" t="s">
        <v>166</v>
      </c>
      <c r="Z551" t="s">
        <v>152</v>
      </c>
      <c r="AA551" t="s">
        <v>153</v>
      </c>
      <c r="AB551" t="s">
        <v>154</v>
      </c>
      <c r="AC551" t="s">
        <v>119</v>
      </c>
      <c r="AD551" t="s">
        <v>112</v>
      </c>
      <c r="AE551" t="s">
        <v>121</v>
      </c>
      <c r="AF551" t="s">
        <v>122</v>
      </c>
      <c r="AG551">
        <v>5137430.01</v>
      </c>
      <c r="AH551" t="s">
        <v>166</v>
      </c>
      <c r="AI551" t="s">
        <v>152</v>
      </c>
      <c r="AJ551" t="s">
        <v>153</v>
      </c>
      <c r="AK551" t="s">
        <v>154</v>
      </c>
      <c r="AL551" t="s">
        <v>119</v>
      </c>
      <c r="AM551" t="s">
        <v>112</v>
      </c>
      <c r="AN551" t="s">
        <v>121</v>
      </c>
      <c r="AO551" t="s">
        <v>122</v>
      </c>
      <c r="AP551" t="s">
        <v>122</v>
      </c>
      <c r="AQ551" t="s">
        <v>124</v>
      </c>
      <c r="AR551" t="s">
        <v>125</v>
      </c>
      <c r="AT551" t="s">
        <v>126</v>
      </c>
      <c r="AU551" t="s">
        <v>155</v>
      </c>
      <c r="AV551" t="s">
        <v>156</v>
      </c>
      <c r="AX551" t="s">
        <v>129</v>
      </c>
      <c r="AY551">
        <v>43451</v>
      </c>
      <c r="BB551">
        <v>107.9723</v>
      </c>
      <c r="BC551" t="s">
        <v>112</v>
      </c>
      <c r="BD551" t="s">
        <v>112</v>
      </c>
      <c r="BE551" t="s">
        <v>112</v>
      </c>
      <c r="BF551" t="s">
        <v>133</v>
      </c>
      <c r="BG551" t="s">
        <v>167</v>
      </c>
      <c r="BH551" t="s">
        <v>112</v>
      </c>
      <c r="BI551" t="s">
        <v>112</v>
      </c>
      <c r="BJ551" t="s">
        <v>112</v>
      </c>
      <c r="BK551" t="s">
        <v>112</v>
      </c>
      <c r="BL551" t="s">
        <v>112</v>
      </c>
      <c r="BM551" t="s">
        <v>112</v>
      </c>
      <c r="BN551" t="s">
        <v>161</v>
      </c>
      <c r="BP551" t="s">
        <v>205</v>
      </c>
      <c r="BR551" t="s">
        <v>150</v>
      </c>
      <c r="BS551">
        <v>33</v>
      </c>
      <c r="BT551">
        <v>0</v>
      </c>
      <c r="BU551">
        <v>0</v>
      </c>
      <c r="BY551" t="s">
        <v>106</v>
      </c>
      <c r="BZ551" t="s">
        <v>142</v>
      </c>
      <c r="CA551" t="s">
        <v>112</v>
      </c>
      <c r="CB551" t="s">
        <v>112</v>
      </c>
      <c r="CC551" t="s">
        <v>121</v>
      </c>
      <c r="CD551">
        <v>16608.900000000001</v>
      </c>
      <c r="CE551" t="s">
        <v>144</v>
      </c>
      <c r="CF551">
        <v>4000000</v>
      </c>
      <c r="CG551">
        <v>16518.91</v>
      </c>
      <c r="CH551">
        <v>0</v>
      </c>
      <c r="CI551" t="s">
        <v>112</v>
      </c>
      <c r="CJ551" t="s">
        <v>112</v>
      </c>
      <c r="CK551">
        <v>43451</v>
      </c>
      <c r="CM551">
        <v>0</v>
      </c>
      <c r="CN551">
        <v>1</v>
      </c>
      <c r="CO551">
        <v>5137430.01</v>
      </c>
      <c r="CP551">
        <v>52312.47</v>
      </c>
      <c r="CQ551" t="s">
        <v>145</v>
      </c>
      <c r="CR551">
        <v>52364.9447</v>
      </c>
      <c r="CS551">
        <v>3.17</v>
      </c>
      <c r="CW551">
        <v>70</v>
      </c>
    </row>
    <row r="552" spans="1:101" x14ac:dyDescent="0.2">
      <c r="A552" t="s">
        <v>106</v>
      </c>
      <c r="B552" s="46">
        <v>44662</v>
      </c>
      <c r="C552" t="s">
        <v>1715</v>
      </c>
      <c r="D552" t="s">
        <v>108</v>
      </c>
      <c r="E552" t="s">
        <v>1716</v>
      </c>
      <c r="F552" t="s">
        <v>110</v>
      </c>
      <c r="G552" t="s">
        <v>111</v>
      </c>
      <c r="H552" t="s">
        <v>112</v>
      </c>
      <c r="I552" t="s">
        <v>112</v>
      </c>
      <c r="J552" t="s">
        <v>112</v>
      </c>
      <c r="K552" t="s">
        <v>150</v>
      </c>
      <c r="L552" t="s">
        <v>151</v>
      </c>
      <c r="M552" t="s">
        <v>112</v>
      </c>
      <c r="N552" t="s">
        <v>112</v>
      </c>
      <c r="Q552">
        <v>1</v>
      </c>
      <c r="R552">
        <v>33</v>
      </c>
      <c r="S552" t="s">
        <v>112</v>
      </c>
      <c r="T552" t="s">
        <v>1704</v>
      </c>
      <c r="U552" t="s">
        <v>153</v>
      </c>
      <c r="V552" t="s">
        <v>154</v>
      </c>
      <c r="W552" t="s">
        <v>112</v>
      </c>
      <c r="X552" t="s">
        <v>112</v>
      </c>
      <c r="Y552" t="s">
        <v>166</v>
      </c>
      <c r="Z552" t="s">
        <v>152</v>
      </c>
      <c r="AA552" t="s">
        <v>153</v>
      </c>
      <c r="AB552" t="s">
        <v>154</v>
      </c>
      <c r="AC552" t="s">
        <v>119</v>
      </c>
      <c r="AD552" t="s">
        <v>112</v>
      </c>
      <c r="AE552" t="s">
        <v>121</v>
      </c>
      <c r="AF552" t="s">
        <v>122</v>
      </c>
      <c r="AG552">
        <v>4786379.67</v>
      </c>
      <c r="AH552" t="s">
        <v>166</v>
      </c>
      <c r="AI552" t="s">
        <v>152</v>
      </c>
      <c r="AJ552" t="s">
        <v>153</v>
      </c>
      <c r="AK552" t="s">
        <v>154</v>
      </c>
      <c r="AL552" t="s">
        <v>119</v>
      </c>
      <c r="AM552" t="s">
        <v>112</v>
      </c>
      <c r="AN552" t="s">
        <v>121</v>
      </c>
      <c r="AO552" t="s">
        <v>122</v>
      </c>
      <c r="AP552" t="s">
        <v>122</v>
      </c>
      <c r="AQ552" t="s">
        <v>124</v>
      </c>
      <c r="AR552" t="s">
        <v>125</v>
      </c>
      <c r="AT552" t="s">
        <v>126</v>
      </c>
      <c r="AU552" t="s">
        <v>155</v>
      </c>
      <c r="AV552" t="s">
        <v>156</v>
      </c>
      <c r="AX552" t="s">
        <v>129</v>
      </c>
      <c r="AY552">
        <v>40199.699999999997</v>
      </c>
      <c r="BB552">
        <v>107.9723</v>
      </c>
      <c r="BC552" t="s">
        <v>112</v>
      </c>
      <c r="BD552" t="s">
        <v>112</v>
      </c>
      <c r="BE552" t="s">
        <v>112</v>
      </c>
      <c r="BF552" t="s">
        <v>133</v>
      </c>
      <c r="BG552" t="s">
        <v>167</v>
      </c>
      <c r="BH552" t="s">
        <v>112</v>
      </c>
      <c r="BI552" t="s">
        <v>112</v>
      </c>
      <c r="BJ552" t="s">
        <v>112</v>
      </c>
      <c r="BK552" t="s">
        <v>112</v>
      </c>
      <c r="BL552" t="s">
        <v>112</v>
      </c>
      <c r="BM552" t="s">
        <v>112</v>
      </c>
      <c r="BN552" t="s">
        <v>161</v>
      </c>
      <c r="BP552" t="s">
        <v>162</v>
      </c>
      <c r="BR552" t="s">
        <v>150</v>
      </c>
      <c r="BS552">
        <v>33</v>
      </c>
      <c r="BT552">
        <v>0</v>
      </c>
      <c r="BU552">
        <v>0</v>
      </c>
      <c r="BY552" t="s">
        <v>106</v>
      </c>
      <c r="BZ552" t="s">
        <v>142</v>
      </c>
      <c r="CA552" t="s">
        <v>112</v>
      </c>
      <c r="CB552" t="s">
        <v>112</v>
      </c>
      <c r="CC552" t="s">
        <v>121</v>
      </c>
      <c r="CD552">
        <v>16436.060000000001</v>
      </c>
      <c r="CE552" t="s">
        <v>144</v>
      </c>
      <c r="CF552">
        <v>4000000</v>
      </c>
      <c r="CG552">
        <v>16328.06</v>
      </c>
      <c r="CH552">
        <v>0</v>
      </c>
      <c r="CI552" t="s">
        <v>112</v>
      </c>
      <c r="CJ552" t="s">
        <v>112</v>
      </c>
      <c r="CK552">
        <v>40199.699999999997</v>
      </c>
      <c r="CM552">
        <v>0</v>
      </c>
      <c r="CN552">
        <v>1</v>
      </c>
      <c r="CO552">
        <v>4786379.67</v>
      </c>
      <c r="CP552">
        <v>48737.86</v>
      </c>
      <c r="CQ552" t="s">
        <v>145</v>
      </c>
      <c r="CR552">
        <v>48657.618799999997</v>
      </c>
      <c r="CS552">
        <v>2.98</v>
      </c>
      <c r="CW552">
        <v>229</v>
      </c>
    </row>
    <row r="553" spans="1:101" x14ac:dyDescent="0.2">
      <c r="A553" t="s">
        <v>106</v>
      </c>
      <c r="B553" s="46">
        <v>44884</v>
      </c>
      <c r="C553" t="s">
        <v>1713</v>
      </c>
      <c r="D553" t="s">
        <v>108</v>
      </c>
      <c r="E553" t="s">
        <v>1714</v>
      </c>
      <c r="F553" t="s">
        <v>110</v>
      </c>
      <c r="G553" t="s">
        <v>111</v>
      </c>
      <c r="H553" t="s">
        <v>112</v>
      </c>
      <c r="I553" t="s">
        <v>112</v>
      </c>
      <c r="J553" t="s">
        <v>112</v>
      </c>
      <c r="K553" t="s">
        <v>150</v>
      </c>
      <c r="L553" t="s">
        <v>151</v>
      </c>
      <c r="M553" t="s">
        <v>112</v>
      </c>
      <c r="N553" t="s">
        <v>112</v>
      </c>
      <c r="Q553">
        <v>1</v>
      </c>
      <c r="R553">
        <v>33</v>
      </c>
      <c r="S553" t="s">
        <v>112</v>
      </c>
      <c r="T553" t="s">
        <v>1704</v>
      </c>
      <c r="U553" t="s">
        <v>153</v>
      </c>
      <c r="V553" t="s">
        <v>154</v>
      </c>
      <c r="W553" t="s">
        <v>112</v>
      </c>
      <c r="X553" t="s">
        <v>112</v>
      </c>
      <c r="Y553" t="s">
        <v>166</v>
      </c>
      <c r="Z553" t="s">
        <v>152</v>
      </c>
      <c r="AA553" t="s">
        <v>153</v>
      </c>
      <c r="AB553" t="s">
        <v>154</v>
      </c>
      <c r="AC553" t="s">
        <v>119</v>
      </c>
      <c r="AD553" t="s">
        <v>112</v>
      </c>
      <c r="AE553" t="s">
        <v>121</v>
      </c>
      <c r="AF553" t="s">
        <v>122</v>
      </c>
      <c r="AG553">
        <v>5595451.75</v>
      </c>
      <c r="AH553" t="s">
        <v>166</v>
      </c>
      <c r="AI553" t="s">
        <v>152</v>
      </c>
      <c r="AJ553" t="s">
        <v>153</v>
      </c>
      <c r="AK553" t="s">
        <v>154</v>
      </c>
      <c r="AL553" t="s">
        <v>119</v>
      </c>
      <c r="AM553" t="s">
        <v>112</v>
      </c>
      <c r="AN553" t="s">
        <v>121</v>
      </c>
      <c r="AO553" t="s">
        <v>122</v>
      </c>
      <c r="AP553" t="s">
        <v>122</v>
      </c>
      <c r="AQ553" t="s">
        <v>124</v>
      </c>
      <c r="AR553" t="s">
        <v>125</v>
      </c>
      <c r="AT553" t="s">
        <v>126</v>
      </c>
      <c r="AU553" t="s">
        <v>155</v>
      </c>
      <c r="AV553" t="s">
        <v>156</v>
      </c>
      <c r="AX553" t="s">
        <v>129</v>
      </c>
      <c r="AY553">
        <v>47173.03</v>
      </c>
      <c r="BB553">
        <v>107.9723</v>
      </c>
      <c r="BC553" t="s">
        <v>112</v>
      </c>
      <c r="BD553" t="s">
        <v>112</v>
      </c>
      <c r="BE553" t="s">
        <v>112</v>
      </c>
      <c r="BF553" t="s">
        <v>133</v>
      </c>
      <c r="BG553" t="s">
        <v>167</v>
      </c>
      <c r="BH553" t="s">
        <v>112</v>
      </c>
      <c r="BI553" t="s">
        <v>112</v>
      </c>
      <c r="BJ553" t="s">
        <v>112</v>
      </c>
      <c r="BK553" t="s">
        <v>112</v>
      </c>
      <c r="BL553" t="s">
        <v>112</v>
      </c>
      <c r="BM553" t="s">
        <v>112</v>
      </c>
      <c r="BN553" t="s">
        <v>161</v>
      </c>
      <c r="BP553" t="s">
        <v>205</v>
      </c>
      <c r="BR553" t="s">
        <v>150</v>
      </c>
      <c r="BS553">
        <v>33</v>
      </c>
      <c r="BT553">
        <v>0</v>
      </c>
      <c r="BU553">
        <v>0</v>
      </c>
      <c r="BY553" t="s">
        <v>106</v>
      </c>
      <c r="BZ553" t="s">
        <v>142</v>
      </c>
      <c r="CA553" t="s">
        <v>112</v>
      </c>
      <c r="CB553" t="s">
        <v>112</v>
      </c>
      <c r="CC553" t="s">
        <v>121</v>
      </c>
      <c r="CD553">
        <v>16286.36</v>
      </c>
      <c r="CE553" t="s">
        <v>144</v>
      </c>
      <c r="CF553">
        <v>4000000</v>
      </c>
      <c r="CG553">
        <v>16243.16</v>
      </c>
      <c r="CH553">
        <v>0</v>
      </c>
      <c r="CI553" t="s">
        <v>112</v>
      </c>
      <c r="CJ553" t="s">
        <v>112</v>
      </c>
      <c r="CK553">
        <v>47173.03</v>
      </c>
      <c r="CM553">
        <v>0</v>
      </c>
      <c r="CN553">
        <v>1</v>
      </c>
      <c r="CO553">
        <v>5595451.75</v>
      </c>
      <c r="CP553">
        <v>56976.33</v>
      </c>
      <c r="CQ553" t="s">
        <v>145</v>
      </c>
      <c r="CR553">
        <v>57013.491599999994</v>
      </c>
      <c r="CS553">
        <v>3.51</v>
      </c>
      <c r="CW553">
        <v>243</v>
      </c>
    </row>
    <row r="554" spans="1:101" x14ac:dyDescent="0.2">
      <c r="A554" t="s">
        <v>106</v>
      </c>
      <c r="B554" s="46">
        <v>44752</v>
      </c>
      <c r="C554" t="s">
        <v>1711</v>
      </c>
      <c r="D554" t="s">
        <v>108</v>
      </c>
      <c r="E554" t="s">
        <v>1712</v>
      </c>
      <c r="F554" t="s">
        <v>110</v>
      </c>
      <c r="G554" t="s">
        <v>111</v>
      </c>
      <c r="H554" t="s">
        <v>112</v>
      </c>
      <c r="I554" t="s">
        <v>112</v>
      </c>
      <c r="J554" t="s">
        <v>112</v>
      </c>
      <c r="K554" t="s">
        <v>150</v>
      </c>
      <c r="L554" t="s">
        <v>151</v>
      </c>
      <c r="M554" t="s">
        <v>112</v>
      </c>
      <c r="N554" t="s">
        <v>112</v>
      </c>
      <c r="Q554">
        <v>1</v>
      </c>
      <c r="R554">
        <v>33</v>
      </c>
      <c r="S554" t="s">
        <v>112</v>
      </c>
      <c r="T554" t="s">
        <v>1704</v>
      </c>
      <c r="U554" t="s">
        <v>153</v>
      </c>
      <c r="V554" t="s">
        <v>154</v>
      </c>
      <c r="W554" t="s">
        <v>112</v>
      </c>
      <c r="X554" t="s">
        <v>112</v>
      </c>
      <c r="Y554" t="s">
        <v>166</v>
      </c>
      <c r="Z554" t="s">
        <v>152</v>
      </c>
      <c r="AA554" t="s">
        <v>153</v>
      </c>
      <c r="AB554" t="s">
        <v>154</v>
      </c>
      <c r="AC554" t="s">
        <v>119</v>
      </c>
      <c r="AD554" t="s">
        <v>112</v>
      </c>
      <c r="AE554" t="s">
        <v>121</v>
      </c>
      <c r="AF554" t="s">
        <v>122</v>
      </c>
      <c r="AG554">
        <v>5128114.16</v>
      </c>
      <c r="AH554" t="s">
        <v>166</v>
      </c>
      <c r="AI554" t="s">
        <v>152</v>
      </c>
      <c r="AJ554" t="s">
        <v>153</v>
      </c>
      <c r="AK554" t="s">
        <v>154</v>
      </c>
      <c r="AL554" t="s">
        <v>119</v>
      </c>
      <c r="AM554" t="s">
        <v>112</v>
      </c>
      <c r="AN554" t="s">
        <v>121</v>
      </c>
      <c r="AO554" t="s">
        <v>122</v>
      </c>
      <c r="AP554" t="s">
        <v>122</v>
      </c>
      <c r="AQ554" t="s">
        <v>124</v>
      </c>
      <c r="AR554" t="s">
        <v>125</v>
      </c>
      <c r="AT554" t="s">
        <v>126</v>
      </c>
      <c r="AU554" t="s">
        <v>155</v>
      </c>
      <c r="AV554" t="s">
        <v>156</v>
      </c>
      <c r="AX554" t="s">
        <v>129</v>
      </c>
      <c r="AY554">
        <v>43364.72</v>
      </c>
      <c r="BB554">
        <v>107.9723</v>
      </c>
      <c r="BC554" t="s">
        <v>112</v>
      </c>
      <c r="BD554" t="s">
        <v>112</v>
      </c>
      <c r="BE554" t="s">
        <v>112</v>
      </c>
      <c r="BF554" t="s">
        <v>133</v>
      </c>
      <c r="BG554" t="s">
        <v>167</v>
      </c>
      <c r="BH554" t="s">
        <v>112</v>
      </c>
      <c r="BI554" t="s">
        <v>112</v>
      </c>
      <c r="BJ554" t="s">
        <v>112</v>
      </c>
      <c r="BK554" t="s">
        <v>112</v>
      </c>
      <c r="BL554" t="s">
        <v>112</v>
      </c>
      <c r="BM554" t="s">
        <v>112</v>
      </c>
      <c r="BN554" t="s">
        <v>161</v>
      </c>
      <c r="BP554" t="s">
        <v>232</v>
      </c>
      <c r="BR554" t="s">
        <v>150</v>
      </c>
      <c r="BS554">
        <v>33</v>
      </c>
      <c r="BT554">
        <v>0</v>
      </c>
      <c r="BU554">
        <v>0</v>
      </c>
      <c r="BY554" t="s">
        <v>106</v>
      </c>
      <c r="BZ554" t="s">
        <v>142</v>
      </c>
      <c r="CA554" t="s">
        <v>112</v>
      </c>
      <c r="CB554" t="s">
        <v>112</v>
      </c>
      <c r="CC554" t="s">
        <v>121</v>
      </c>
      <c r="CD554">
        <v>16244.42</v>
      </c>
      <c r="CE554" t="s">
        <v>144</v>
      </c>
      <c r="CF554">
        <v>4000000</v>
      </c>
      <c r="CG554">
        <v>16181.46</v>
      </c>
      <c r="CH554">
        <v>0</v>
      </c>
      <c r="CI554" t="s">
        <v>112</v>
      </c>
      <c r="CJ554" t="s">
        <v>112</v>
      </c>
      <c r="CK554">
        <v>43364.72</v>
      </c>
      <c r="CM554">
        <v>0</v>
      </c>
      <c r="CN554">
        <v>1</v>
      </c>
      <c r="CO554">
        <v>5128114.16</v>
      </c>
      <c r="CP554">
        <v>52217.61</v>
      </c>
      <c r="CQ554" t="s">
        <v>145</v>
      </c>
      <c r="CR554">
        <v>52266.1158</v>
      </c>
      <c r="CS554">
        <v>3.23</v>
      </c>
      <c r="CW554">
        <v>211</v>
      </c>
    </row>
    <row r="555" spans="1:101" x14ac:dyDescent="0.2">
      <c r="A555" t="s">
        <v>106</v>
      </c>
      <c r="B555" s="46">
        <v>44879</v>
      </c>
      <c r="C555" t="s">
        <v>1707</v>
      </c>
      <c r="D555" t="s">
        <v>108</v>
      </c>
      <c r="E555" t="s">
        <v>1708</v>
      </c>
      <c r="F555" t="s">
        <v>110</v>
      </c>
      <c r="G555" t="s">
        <v>111</v>
      </c>
      <c r="H555" t="s">
        <v>112</v>
      </c>
      <c r="I555" t="s">
        <v>112</v>
      </c>
      <c r="J555" t="s">
        <v>112</v>
      </c>
      <c r="K555" t="s">
        <v>150</v>
      </c>
      <c r="L555" t="s">
        <v>151</v>
      </c>
      <c r="M555" t="s">
        <v>112</v>
      </c>
      <c r="N555" t="s">
        <v>112</v>
      </c>
      <c r="Q555">
        <v>1</v>
      </c>
      <c r="R555">
        <v>33</v>
      </c>
      <c r="S555" t="s">
        <v>112</v>
      </c>
      <c r="T555" t="s">
        <v>1704</v>
      </c>
      <c r="U555" t="s">
        <v>153</v>
      </c>
      <c r="V555" t="s">
        <v>154</v>
      </c>
      <c r="W555" t="s">
        <v>112</v>
      </c>
      <c r="X555" t="s">
        <v>112</v>
      </c>
      <c r="Y555" t="s">
        <v>166</v>
      </c>
      <c r="Z555" t="s">
        <v>152</v>
      </c>
      <c r="AA555" t="s">
        <v>153</v>
      </c>
      <c r="AB555" t="s">
        <v>154</v>
      </c>
      <c r="AC555" t="s">
        <v>119</v>
      </c>
      <c r="AD555" t="s">
        <v>112</v>
      </c>
      <c r="AE555" t="s">
        <v>121</v>
      </c>
      <c r="AF555" t="s">
        <v>122</v>
      </c>
      <c r="AG555">
        <v>4427907.3099999996</v>
      </c>
      <c r="AH555" t="s">
        <v>166</v>
      </c>
      <c r="AI555" t="s">
        <v>152</v>
      </c>
      <c r="AJ555" t="s">
        <v>153</v>
      </c>
      <c r="AK555" t="s">
        <v>154</v>
      </c>
      <c r="AL555" t="s">
        <v>119</v>
      </c>
      <c r="AM555" t="s">
        <v>112</v>
      </c>
      <c r="AN555" t="s">
        <v>121</v>
      </c>
      <c r="AO555" t="s">
        <v>122</v>
      </c>
      <c r="AP555" t="s">
        <v>122</v>
      </c>
      <c r="AQ555" t="s">
        <v>124</v>
      </c>
      <c r="AR555" t="s">
        <v>125</v>
      </c>
      <c r="AT555" t="s">
        <v>126</v>
      </c>
      <c r="AU555" t="s">
        <v>155</v>
      </c>
      <c r="AV555" t="s">
        <v>156</v>
      </c>
      <c r="AX555" t="s">
        <v>129</v>
      </c>
      <c r="AY555">
        <v>36879.660000000003</v>
      </c>
      <c r="BB555">
        <v>107.9723</v>
      </c>
      <c r="BC555" t="s">
        <v>112</v>
      </c>
      <c r="BD555" t="s">
        <v>112</v>
      </c>
      <c r="BE555" t="s">
        <v>112</v>
      </c>
      <c r="BF555" t="s">
        <v>133</v>
      </c>
      <c r="BG555" t="s">
        <v>167</v>
      </c>
      <c r="BH555" t="s">
        <v>112</v>
      </c>
      <c r="BI555" t="s">
        <v>112</v>
      </c>
      <c r="BJ555" t="s">
        <v>112</v>
      </c>
      <c r="BK555" t="s">
        <v>112</v>
      </c>
      <c r="BL555" t="s">
        <v>112</v>
      </c>
      <c r="BM555" t="s">
        <v>112</v>
      </c>
      <c r="BN555" t="s">
        <v>161</v>
      </c>
      <c r="BP555" t="s">
        <v>213</v>
      </c>
      <c r="BR555" t="s">
        <v>150</v>
      </c>
      <c r="BS555">
        <v>33</v>
      </c>
      <c r="BT555">
        <v>0</v>
      </c>
      <c r="BU555">
        <v>0</v>
      </c>
      <c r="BY555" t="s">
        <v>106</v>
      </c>
      <c r="BZ555" t="s">
        <v>142</v>
      </c>
      <c r="CA555" t="s">
        <v>112</v>
      </c>
      <c r="CB555" t="s">
        <v>112</v>
      </c>
      <c r="CC555" t="s">
        <v>121</v>
      </c>
      <c r="CD555">
        <v>15028.89</v>
      </c>
      <c r="CE555" t="s">
        <v>144</v>
      </c>
      <c r="CF555">
        <v>4000000</v>
      </c>
      <c r="CG555">
        <v>14640.09</v>
      </c>
      <c r="CH555">
        <v>0</v>
      </c>
      <c r="CI555" t="s">
        <v>112</v>
      </c>
      <c r="CJ555" t="s">
        <v>112</v>
      </c>
      <c r="CK555">
        <v>36879.660000000003</v>
      </c>
      <c r="CM555">
        <v>0</v>
      </c>
      <c r="CN555">
        <v>1</v>
      </c>
      <c r="CO555">
        <v>4427907.3099999996</v>
      </c>
      <c r="CP555">
        <v>45087.68</v>
      </c>
      <c r="CQ555" t="s">
        <v>145</v>
      </c>
      <c r="CR555">
        <v>45091.477200000001</v>
      </c>
      <c r="CS555">
        <v>3.08</v>
      </c>
      <c r="CW555">
        <v>571</v>
      </c>
    </row>
    <row r="556" spans="1:101" x14ac:dyDescent="0.2">
      <c r="A556" t="s">
        <v>106</v>
      </c>
      <c r="B556" s="46">
        <v>45247</v>
      </c>
      <c r="C556" t="s">
        <v>1705</v>
      </c>
      <c r="D556" t="s">
        <v>108</v>
      </c>
      <c r="E556" t="s">
        <v>1706</v>
      </c>
      <c r="F556" t="s">
        <v>110</v>
      </c>
      <c r="G556" t="s">
        <v>111</v>
      </c>
      <c r="H556" t="s">
        <v>112</v>
      </c>
      <c r="I556" t="s">
        <v>112</v>
      </c>
      <c r="J556" t="s">
        <v>112</v>
      </c>
      <c r="K556" t="s">
        <v>150</v>
      </c>
      <c r="L556" t="s">
        <v>151</v>
      </c>
      <c r="M556" t="s">
        <v>112</v>
      </c>
      <c r="N556" t="s">
        <v>112</v>
      </c>
      <c r="Q556">
        <v>1</v>
      </c>
      <c r="R556">
        <v>33</v>
      </c>
      <c r="S556" t="s">
        <v>112</v>
      </c>
      <c r="T556" t="s">
        <v>1704</v>
      </c>
      <c r="U556" t="s">
        <v>153</v>
      </c>
      <c r="V556" t="s">
        <v>154</v>
      </c>
      <c r="W556" t="s">
        <v>112</v>
      </c>
      <c r="X556" t="s">
        <v>112</v>
      </c>
      <c r="Y556" t="s">
        <v>166</v>
      </c>
      <c r="Z556" t="s">
        <v>152</v>
      </c>
      <c r="AA556" t="s">
        <v>153</v>
      </c>
      <c r="AB556" t="s">
        <v>154</v>
      </c>
      <c r="AC556" t="s">
        <v>119</v>
      </c>
      <c r="AD556" t="s">
        <v>112</v>
      </c>
      <c r="AE556" t="s">
        <v>121</v>
      </c>
      <c r="AF556" t="s">
        <v>122</v>
      </c>
      <c r="AG556">
        <v>5095934.09</v>
      </c>
      <c r="AH556" t="s">
        <v>166</v>
      </c>
      <c r="AI556" t="s">
        <v>152</v>
      </c>
      <c r="AJ556" t="s">
        <v>153</v>
      </c>
      <c r="AK556" t="s">
        <v>154</v>
      </c>
      <c r="AL556" t="s">
        <v>119</v>
      </c>
      <c r="AM556" t="s">
        <v>112</v>
      </c>
      <c r="AN556" t="s">
        <v>121</v>
      </c>
      <c r="AO556" t="s">
        <v>122</v>
      </c>
      <c r="AP556" t="s">
        <v>122</v>
      </c>
      <c r="AQ556" t="s">
        <v>124</v>
      </c>
      <c r="AR556" t="s">
        <v>125</v>
      </c>
      <c r="AT556" t="s">
        <v>126</v>
      </c>
      <c r="AU556" t="s">
        <v>155</v>
      </c>
      <c r="AV556" t="s">
        <v>156</v>
      </c>
      <c r="AX556" t="s">
        <v>129</v>
      </c>
      <c r="AY556">
        <v>43066.68</v>
      </c>
      <c r="BB556">
        <v>107.9723</v>
      </c>
      <c r="BC556" t="s">
        <v>112</v>
      </c>
      <c r="BD556" t="s">
        <v>112</v>
      </c>
      <c r="BE556" t="s">
        <v>112</v>
      </c>
      <c r="BF556" t="s">
        <v>133</v>
      </c>
      <c r="BG556" t="s">
        <v>167</v>
      </c>
      <c r="BH556" t="s">
        <v>112</v>
      </c>
      <c r="BI556" t="s">
        <v>112</v>
      </c>
      <c r="BJ556" t="s">
        <v>112</v>
      </c>
      <c r="BK556" t="s">
        <v>112</v>
      </c>
      <c r="BL556" t="s">
        <v>112</v>
      </c>
      <c r="BM556" t="s">
        <v>112</v>
      </c>
      <c r="BN556" t="s">
        <v>161</v>
      </c>
      <c r="BP556" t="s">
        <v>232</v>
      </c>
      <c r="BR556" t="s">
        <v>150</v>
      </c>
      <c r="BS556">
        <v>33</v>
      </c>
      <c r="BT556">
        <v>0</v>
      </c>
      <c r="BU556">
        <v>0</v>
      </c>
      <c r="BY556" t="s">
        <v>106</v>
      </c>
      <c r="BZ556" t="s">
        <v>142</v>
      </c>
      <c r="CA556" t="s">
        <v>112</v>
      </c>
      <c r="CB556" t="s">
        <v>112</v>
      </c>
      <c r="CC556" t="s">
        <v>121</v>
      </c>
      <c r="CD556">
        <v>16049.48</v>
      </c>
      <c r="CE556" t="s">
        <v>144</v>
      </c>
      <c r="CF556">
        <v>4000000</v>
      </c>
      <c r="CG556">
        <v>15923.48</v>
      </c>
      <c r="CH556">
        <v>0</v>
      </c>
      <c r="CI556" t="s">
        <v>112</v>
      </c>
      <c r="CJ556" t="s">
        <v>112</v>
      </c>
      <c r="CK556">
        <v>43066.68</v>
      </c>
      <c r="CM556">
        <v>0</v>
      </c>
      <c r="CN556">
        <v>1</v>
      </c>
      <c r="CO556">
        <v>5095934.09</v>
      </c>
      <c r="CP556">
        <v>51889.93</v>
      </c>
      <c r="CQ556" t="s">
        <v>145</v>
      </c>
      <c r="CR556">
        <v>51910.544799999996</v>
      </c>
      <c r="CS556">
        <v>3.26</v>
      </c>
      <c r="CW556">
        <v>42</v>
      </c>
    </row>
    <row r="557" spans="1:101" x14ac:dyDescent="0.2">
      <c r="A557" t="s">
        <v>106</v>
      </c>
      <c r="B557" s="46">
        <v>45249</v>
      </c>
      <c r="C557" t="s">
        <v>1702</v>
      </c>
      <c r="D557" t="s">
        <v>108</v>
      </c>
      <c r="E557" t="s">
        <v>1703</v>
      </c>
      <c r="F557" t="s">
        <v>110</v>
      </c>
      <c r="G557" t="s">
        <v>111</v>
      </c>
      <c r="H557" t="s">
        <v>112</v>
      </c>
      <c r="I557" t="s">
        <v>112</v>
      </c>
      <c r="J557" t="s">
        <v>112</v>
      </c>
      <c r="K557" t="s">
        <v>150</v>
      </c>
      <c r="L557" t="s">
        <v>151</v>
      </c>
      <c r="M557" t="s">
        <v>112</v>
      </c>
      <c r="N557" t="s">
        <v>112</v>
      </c>
      <c r="Q557">
        <v>1</v>
      </c>
      <c r="R557">
        <v>33</v>
      </c>
      <c r="S557" t="s">
        <v>112</v>
      </c>
      <c r="T557" t="s">
        <v>1704</v>
      </c>
      <c r="U557" t="s">
        <v>153</v>
      </c>
      <c r="V557" t="s">
        <v>154</v>
      </c>
      <c r="W557" t="s">
        <v>112</v>
      </c>
      <c r="X557" t="s">
        <v>112</v>
      </c>
      <c r="Y557" t="s">
        <v>166</v>
      </c>
      <c r="Z557" t="s">
        <v>152</v>
      </c>
      <c r="AA557" t="s">
        <v>153</v>
      </c>
      <c r="AB557" t="s">
        <v>154</v>
      </c>
      <c r="AC557" t="s">
        <v>119</v>
      </c>
      <c r="AD557" t="s">
        <v>112</v>
      </c>
      <c r="AE557" t="s">
        <v>121</v>
      </c>
      <c r="AF557" t="s">
        <v>122</v>
      </c>
      <c r="AG557">
        <v>4849242.22</v>
      </c>
      <c r="AH557" t="s">
        <v>166</v>
      </c>
      <c r="AI557" t="s">
        <v>152</v>
      </c>
      <c r="AJ557" t="s">
        <v>153</v>
      </c>
      <c r="AK557" t="s">
        <v>154</v>
      </c>
      <c r="AL557" t="s">
        <v>119</v>
      </c>
      <c r="AM557" t="s">
        <v>112</v>
      </c>
      <c r="AN557" t="s">
        <v>121</v>
      </c>
      <c r="AO557" t="s">
        <v>122</v>
      </c>
      <c r="AP557" t="s">
        <v>122</v>
      </c>
      <c r="AQ557" t="s">
        <v>124</v>
      </c>
      <c r="AR557" t="s">
        <v>125</v>
      </c>
      <c r="AT557" t="s">
        <v>126</v>
      </c>
      <c r="AU557" t="s">
        <v>155</v>
      </c>
      <c r="AV557" t="s">
        <v>156</v>
      </c>
      <c r="AX557" t="s">
        <v>129</v>
      </c>
      <c r="AY557">
        <v>40781.910000000003</v>
      </c>
      <c r="BB557">
        <v>107.9723</v>
      </c>
      <c r="BC557" t="s">
        <v>112</v>
      </c>
      <c r="BD557" t="s">
        <v>112</v>
      </c>
      <c r="BE557" t="s">
        <v>112</v>
      </c>
      <c r="BF557" t="s">
        <v>133</v>
      </c>
      <c r="BG557" t="s">
        <v>167</v>
      </c>
      <c r="BH557" t="s">
        <v>112</v>
      </c>
      <c r="BI557" t="s">
        <v>112</v>
      </c>
      <c r="BJ557" t="s">
        <v>112</v>
      </c>
      <c r="BK557" t="s">
        <v>112</v>
      </c>
      <c r="BL557" t="s">
        <v>112</v>
      </c>
      <c r="BM557" t="s">
        <v>112</v>
      </c>
      <c r="BN557" t="s">
        <v>161</v>
      </c>
      <c r="BP557" t="s">
        <v>162</v>
      </c>
      <c r="BR557" t="s">
        <v>150</v>
      </c>
      <c r="BS557">
        <v>33</v>
      </c>
      <c r="BT557">
        <v>0</v>
      </c>
      <c r="BU557">
        <v>0</v>
      </c>
      <c r="BY557" t="s">
        <v>106</v>
      </c>
      <c r="BZ557" t="s">
        <v>142</v>
      </c>
      <c r="CA557" t="s">
        <v>112</v>
      </c>
      <c r="CB557" t="s">
        <v>112</v>
      </c>
      <c r="CC557" t="s">
        <v>121</v>
      </c>
      <c r="CD557">
        <v>16610.77</v>
      </c>
      <c r="CE557" t="s">
        <v>144</v>
      </c>
      <c r="CF557">
        <v>4000000</v>
      </c>
      <c r="CG557">
        <v>16502.77</v>
      </c>
      <c r="CH557">
        <v>0</v>
      </c>
      <c r="CI557" t="s">
        <v>112</v>
      </c>
      <c r="CJ557" t="s">
        <v>112</v>
      </c>
      <c r="CK557">
        <v>40781.910000000003</v>
      </c>
      <c r="CM557">
        <v>0</v>
      </c>
      <c r="CN557">
        <v>1</v>
      </c>
      <c r="CO557">
        <v>4849242.22</v>
      </c>
      <c r="CP557">
        <v>49377.97</v>
      </c>
      <c r="CQ557" t="s">
        <v>145</v>
      </c>
      <c r="CR557">
        <v>49343.282300000006</v>
      </c>
      <c r="CS557">
        <v>2.99</v>
      </c>
      <c r="CW557">
        <v>36</v>
      </c>
    </row>
    <row r="558" spans="1:101" x14ac:dyDescent="0.2">
      <c r="A558" t="s">
        <v>106</v>
      </c>
      <c r="B558" s="46">
        <v>44965</v>
      </c>
      <c r="C558" t="s">
        <v>1486</v>
      </c>
      <c r="D558" t="s">
        <v>108</v>
      </c>
      <c r="E558" t="s">
        <v>1487</v>
      </c>
      <c r="F558" t="s">
        <v>110</v>
      </c>
      <c r="G558" t="s">
        <v>111</v>
      </c>
      <c r="H558" t="s">
        <v>112</v>
      </c>
      <c r="I558" t="s">
        <v>112</v>
      </c>
      <c r="J558" t="s">
        <v>112</v>
      </c>
      <c r="K558" t="s">
        <v>150</v>
      </c>
      <c r="L558" t="s">
        <v>1439</v>
      </c>
      <c r="M558" t="s">
        <v>112</v>
      </c>
      <c r="N558" t="s">
        <v>112</v>
      </c>
      <c r="O558">
        <v>1</v>
      </c>
      <c r="P558">
        <v>0</v>
      </c>
      <c r="Q558">
        <v>1</v>
      </c>
      <c r="R558">
        <v>33</v>
      </c>
      <c r="S558" t="s">
        <v>166</v>
      </c>
      <c r="T558" t="s">
        <v>152</v>
      </c>
      <c r="U558" t="s">
        <v>153</v>
      </c>
      <c r="V558" t="s">
        <v>154</v>
      </c>
      <c r="W558" t="s">
        <v>119</v>
      </c>
      <c r="X558" t="s">
        <v>112</v>
      </c>
      <c r="Y558" t="s">
        <v>166</v>
      </c>
      <c r="Z558" t="s">
        <v>152</v>
      </c>
      <c r="AA558" t="s">
        <v>153</v>
      </c>
      <c r="AB558" t="s">
        <v>154</v>
      </c>
      <c r="AC558" t="s">
        <v>119</v>
      </c>
      <c r="AD558" t="s">
        <v>112</v>
      </c>
      <c r="AE558" t="s">
        <v>121</v>
      </c>
      <c r="AF558" t="s">
        <v>122</v>
      </c>
      <c r="AG558">
        <v>4664162.87</v>
      </c>
      <c r="AH558" t="s">
        <v>166</v>
      </c>
      <c r="AI558" t="s">
        <v>152</v>
      </c>
      <c r="AJ558" t="s">
        <v>153</v>
      </c>
      <c r="AK558" t="s">
        <v>154</v>
      </c>
      <c r="AL558" t="s">
        <v>119</v>
      </c>
      <c r="AM558" t="s">
        <v>112</v>
      </c>
      <c r="AN558" t="s">
        <v>121</v>
      </c>
      <c r="AO558" t="s">
        <v>122</v>
      </c>
      <c r="AP558" t="s">
        <v>122</v>
      </c>
      <c r="AQ558" t="s">
        <v>124</v>
      </c>
      <c r="AR558" t="s">
        <v>125</v>
      </c>
      <c r="AS558">
        <v>2</v>
      </c>
      <c r="AT558" t="s">
        <v>126</v>
      </c>
      <c r="AU558" t="s">
        <v>155</v>
      </c>
      <c r="AV558" t="s">
        <v>156</v>
      </c>
      <c r="AW558">
        <v>1</v>
      </c>
      <c r="AX558" t="s">
        <v>129</v>
      </c>
      <c r="AY558">
        <v>42197.16</v>
      </c>
      <c r="AZ558">
        <v>4248359</v>
      </c>
      <c r="BA558">
        <v>51723.06</v>
      </c>
      <c r="BB558">
        <v>100.6788</v>
      </c>
      <c r="BC558" t="s">
        <v>130</v>
      </c>
      <c r="BD558" t="s">
        <v>112</v>
      </c>
      <c r="BE558" t="s">
        <v>157</v>
      </c>
      <c r="BF558" t="s">
        <v>133</v>
      </c>
      <c r="BG558" t="s">
        <v>134</v>
      </c>
      <c r="BH558" t="s">
        <v>112</v>
      </c>
      <c r="BI558" t="s">
        <v>112</v>
      </c>
      <c r="BJ558" t="s">
        <v>112</v>
      </c>
      <c r="BK558" t="s">
        <v>169</v>
      </c>
      <c r="BL558" t="s">
        <v>159</v>
      </c>
      <c r="BM558" t="s">
        <v>722</v>
      </c>
      <c r="BN558" t="s">
        <v>161</v>
      </c>
      <c r="BO558">
        <v>1</v>
      </c>
      <c r="BP558" t="s">
        <v>1488</v>
      </c>
      <c r="BR558" t="s">
        <v>150</v>
      </c>
      <c r="BS558">
        <v>33</v>
      </c>
      <c r="BT558">
        <v>0</v>
      </c>
      <c r="BU558">
        <v>0</v>
      </c>
      <c r="BW558">
        <v>0</v>
      </c>
      <c r="BY558" t="s">
        <v>106</v>
      </c>
      <c r="BZ558" t="s">
        <v>142</v>
      </c>
      <c r="CA558" t="s">
        <v>112</v>
      </c>
      <c r="CB558" t="s">
        <v>112</v>
      </c>
      <c r="CC558" t="s">
        <v>121</v>
      </c>
      <c r="CD558">
        <v>17221.55</v>
      </c>
      <c r="CE558" t="s">
        <v>144</v>
      </c>
      <c r="CF558">
        <v>4000000</v>
      </c>
      <c r="CG558">
        <v>17221.55</v>
      </c>
      <c r="CH558">
        <v>0</v>
      </c>
      <c r="CI558" t="s">
        <v>112</v>
      </c>
      <c r="CJ558" t="s">
        <v>112</v>
      </c>
      <c r="CK558">
        <v>42197.16</v>
      </c>
      <c r="CL558">
        <v>4248359</v>
      </c>
      <c r="CM558">
        <v>0</v>
      </c>
      <c r="CN558">
        <v>1</v>
      </c>
      <c r="CO558">
        <v>4664162.87</v>
      </c>
      <c r="CP558">
        <v>51723.06</v>
      </c>
      <c r="CQ558" t="s">
        <v>145</v>
      </c>
      <c r="CR558">
        <v>51664.649999999994</v>
      </c>
      <c r="CS558">
        <v>3</v>
      </c>
      <c r="CT558">
        <v>45</v>
      </c>
      <c r="CU558" t="s">
        <v>171</v>
      </c>
      <c r="CV558" t="s">
        <v>372</v>
      </c>
      <c r="CW558">
        <v>80</v>
      </c>
    </row>
    <row r="559" spans="1:101" x14ac:dyDescent="0.2">
      <c r="A559" t="s">
        <v>106</v>
      </c>
      <c r="B559" s="46">
        <v>45257</v>
      </c>
      <c r="C559" t="s">
        <v>1483</v>
      </c>
      <c r="D559" t="s">
        <v>108</v>
      </c>
      <c r="E559" t="s">
        <v>1484</v>
      </c>
      <c r="F559" t="s">
        <v>110</v>
      </c>
      <c r="G559" t="s">
        <v>111</v>
      </c>
      <c r="H559" t="s">
        <v>112</v>
      </c>
      <c r="I559" t="s">
        <v>112</v>
      </c>
      <c r="J559" t="s">
        <v>112</v>
      </c>
      <c r="K559" t="s">
        <v>150</v>
      </c>
      <c r="L559" t="s">
        <v>1439</v>
      </c>
      <c r="M559" t="s">
        <v>112</v>
      </c>
      <c r="N559" t="s">
        <v>112</v>
      </c>
      <c r="O559">
        <v>1</v>
      </c>
      <c r="P559">
        <v>0</v>
      </c>
      <c r="Q559">
        <v>1</v>
      </c>
      <c r="R559">
        <v>33</v>
      </c>
      <c r="S559" t="s">
        <v>166</v>
      </c>
      <c r="T559" t="s">
        <v>152</v>
      </c>
      <c r="U559" t="s">
        <v>153</v>
      </c>
      <c r="V559" t="s">
        <v>154</v>
      </c>
      <c r="W559" t="s">
        <v>119</v>
      </c>
      <c r="X559" t="s">
        <v>112</v>
      </c>
      <c r="Y559" t="s">
        <v>166</v>
      </c>
      <c r="Z559" t="s">
        <v>152</v>
      </c>
      <c r="AA559" t="s">
        <v>153</v>
      </c>
      <c r="AB559" t="s">
        <v>154</v>
      </c>
      <c r="AC559" t="s">
        <v>119</v>
      </c>
      <c r="AD559" t="s">
        <v>112</v>
      </c>
      <c r="AE559" t="s">
        <v>121</v>
      </c>
      <c r="AF559" t="s">
        <v>122</v>
      </c>
      <c r="AG559">
        <v>4931924.18</v>
      </c>
      <c r="AH559" t="s">
        <v>166</v>
      </c>
      <c r="AI559" t="s">
        <v>152</v>
      </c>
      <c r="AJ559" t="s">
        <v>153</v>
      </c>
      <c r="AK559" t="s">
        <v>154</v>
      </c>
      <c r="AL559" t="s">
        <v>119</v>
      </c>
      <c r="AM559" t="s">
        <v>112</v>
      </c>
      <c r="AN559" t="s">
        <v>121</v>
      </c>
      <c r="AO559" t="s">
        <v>122</v>
      </c>
      <c r="AP559" t="s">
        <v>122</v>
      </c>
      <c r="AQ559" t="s">
        <v>124</v>
      </c>
      <c r="AR559" t="s">
        <v>125</v>
      </c>
      <c r="AS559">
        <v>2</v>
      </c>
      <c r="AT559" t="s">
        <v>126</v>
      </c>
      <c r="AU559" t="s">
        <v>155</v>
      </c>
      <c r="AV559" t="s">
        <v>156</v>
      </c>
      <c r="AW559">
        <v>1</v>
      </c>
      <c r="AX559" t="s">
        <v>129</v>
      </c>
      <c r="AY559">
        <v>44156.72</v>
      </c>
      <c r="AZ559">
        <v>4445646</v>
      </c>
      <c r="BA559">
        <v>54692.39</v>
      </c>
      <c r="BB559">
        <v>100.6788</v>
      </c>
      <c r="BC559" t="s">
        <v>130</v>
      </c>
      <c r="BD559" t="s">
        <v>112</v>
      </c>
      <c r="BE559" t="s">
        <v>157</v>
      </c>
      <c r="BF559" t="s">
        <v>133</v>
      </c>
      <c r="BG559" t="s">
        <v>134</v>
      </c>
      <c r="BH559" t="s">
        <v>112</v>
      </c>
      <c r="BI559" t="s">
        <v>112</v>
      </c>
      <c r="BJ559" t="s">
        <v>112</v>
      </c>
      <c r="BK559" t="s">
        <v>169</v>
      </c>
      <c r="BL559" t="s">
        <v>159</v>
      </c>
      <c r="BM559" t="s">
        <v>722</v>
      </c>
      <c r="BN559" t="s">
        <v>161</v>
      </c>
      <c r="BO559">
        <v>1</v>
      </c>
      <c r="BP559" t="s">
        <v>1485</v>
      </c>
      <c r="BR559" t="s">
        <v>150</v>
      </c>
      <c r="BS559">
        <v>33</v>
      </c>
      <c r="BT559">
        <v>0</v>
      </c>
      <c r="BU559">
        <v>0</v>
      </c>
      <c r="BW559">
        <v>0</v>
      </c>
      <c r="BY559" t="s">
        <v>106</v>
      </c>
      <c r="BZ559" t="s">
        <v>142</v>
      </c>
      <c r="CA559" t="s">
        <v>112</v>
      </c>
      <c r="CB559" t="s">
        <v>112</v>
      </c>
      <c r="CC559" t="s">
        <v>121</v>
      </c>
      <c r="CD559">
        <v>17099.11</v>
      </c>
      <c r="CE559" t="s">
        <v>144</v>
      </c>
      <c r="CF559">
        <v>4000000</v>
      </c>
      <c r="CG559">
        <v>17063.11</v>
      </c>
      <c r="CH559">
        <v>0</v>
      </c>
      <c r="CI559" t="s">
        <v>112</v>
      </c>
      <c r="CJ559" t="s">
        <v>112</v>
      </c>
      <c r="CK559">
        <v>44156.72</v>
      </c>
      <c r="CL559">
        <v>4445646</v>
      </c>
      <c r="CM559">
        <v>0</v>
      </c>
      <c r="CN559">
        <v>1</v>
      </c>
      <c r="CO559">
        <v>4931924.18</v>
      </c>
      <c r="CP559">
        <v>54692.39</v>
      </c>
      <c r="CQ559" t="s">
        <v>145</v>
      </c>
      <c r="CR559">
        <v>54772.583100000003</v>
      </c>
      <c r="CS559">
        <v>3.21</v>
      </c>
      <c r="CT559">
        <v>45</v>
      </c>
      <c r="CU559" t="s">
        <v>171</v>
      </c>
      <c r="CV559" t="s">
        <v>463</v>
      </c>
      <c r="CW559">
        <v>544</v>
      </c>
    </row>
    <row r="560" spans="1:101" x14ac:dyDescent="0.2">
      <c r="A560" t="s">
        <v>106</v>
      </c>
      <c r="B560" s="46">
        <v>45118</v>
      </c>
      <c r="C560" t="s">
        <v>1489</v>
      </c>
      <c r="D560" t="s">
        <v>108</v>
      </c>
      <c r="E560" t="s">
        <v>1490</v>
      </c>
      <c r="F560" t="s">
        <v>110</v>
      </c>
      <c r="G560" t="s">
        <v>111</v>
      </c>
      <c r="H560" t="s">
        <v>112</v>
      </c>
      <c r="I560" t="s">
        <v>112</v>
      </c>
      <c r="J560" t="s">
        <v>112</v>
      </c>
      <c r="K560" t="s">
        <v>150</v>
      </c>
      <c r="L560" t="s">
        <v>1439</v>
      </c>
      <c r="M560" t="s">
        <v>112</v>
      </c>
      <c r="N560" t="s">
        <v>112</v>
      </c>
      <c r="O560">
        <v>1</v>
      </c>
      <c r="P560">
        <v>0</v>
      </c>
      <c r="Q560">
        <v>1</v>
      </c>
      <c r="R560">
        <v>33</v>
      </c>
      <c r="S560" t="s">
        <v>166</v>
      </c>
      <c r="T560" t="s">
        <v>152</v>
      </c>
      <c r="U560" t="s">
        <v>153</v>
      </c>
      <c r="V560" t="s">
        <v>154</v>
      </c>
      <c r="W560" t="s">
        <v>119</v>
      </c>
      <c r="X560" t="s">
        <v>112</v>
      </c>
      <c r="Y560" t="s">
        <v>166</v>
      </c>
      <c r="Z560" t="s">
        <v>152</v>
      </c>
      <c r="AA560" t="s">
        <v>153</v>
      </c>
      <c r="AB560" t="s">
        <v>154</v>
      </c>
      <c r="AC560" t="s">
        <v>119</v>
      </c>
      <c r="AD560" t="s">
        <v>112</v>
      </c>
      <c r="AE560" t="s">
        <v>121</v>
      </c>
      <c r="AF560" t="s">
        <v>122</v>
      </c>
      <c r="AG560">
        <v>4949486.59</v>
      </c>
      <c r="AH560" t="s">
        <v>166</v>
      </c>
      <c r="AI560" t="s">
        <v>152</v>
      </c>
      <c r="AJ560" t="s">
        <v>153</v>
      </c>
      <c r="AK560" t="s">
        <v>154</v>
      </c>
      <c r="AL560" t="s">
        <v>119</v>
      </c>
      <c r="AM560" t="s">
        <v>112</v>
      </c>
      <c r="AN560" t="s">
        <v>121</v>
      </c>
      <c r="AO560" t="s">
        <v>122</v>
      </c>
      <c r="AP560" t="s">
        <v>122</v>
      </c>
      <c r="AQ560" t="s">
        <v>124</v>
      </c>
      <c r="AR560" t="s">
        <v>125</v>
      </c>
      <c r="AS560">
        <v>2</v>
      </c>
      <c r="AT560" t="s">
        <v>126</v>
      </c>
      <c r="AU560" t="s">
        <v>155</v>
      </c>
      <c r="AV560" t="s">
        <v>156</v>
      </c>
      <c r="AW560">
        <v>1</v>
      </c>
      <c r="AX560" t="s">
        <v>129</v>
      </c>
      <c r="AY560">
        <v>45031.16</v>
      </c>
      <c r="AZ560">
        <v>4533683</v>
      </c>
      <c r="BA560">
        <v>54887.14</v>
      </c>
      <c r="BB560">
        <v>100.6788</v>
      </c>
      <c r="BC560" t="s">
        <v>130</v>
      </c>
      <c r="BD560" t="s">
        <v>112</v>
      </c>
      <c r="BE560" t="s">
        <v>157</v>
      </c>
      <c r="BF560" t="s">
        <v>133</v>
      </c>
      <c r="BG560" t="s">
        <v>134</v>
      </c>
      <c r="BH560" t="s">
        <v>112</v>
      </c>
      <c r="BI560" t="s">
        <v>112</v>
      </c>
      <c r="BJ560" t="s">
        <v>112</v>
      </c>
      <c r="BK560" t="s">
        <v>169</v>
      </c>
      <c r="BL560" t="s">
        <v>159</v>
      </c>
      <c r="BM560" t="s">
        <v>722</v>
      </c>
      <c r="BN560" t="s">
        <v>161</v>
      </c>
      <c r="BO560">
        <v>1</v>
      </c>
      <c r="BP560" t="s">
        <v>1491</v>
      </c>
      <c r="BR560" t="s">
        <v>150</v>
      </c>
      <c r="BS560">
        <v>33</v>
      </c>
      <c r="BT560">
        <v>0</v>
      </c>
      <c r="BU560">
        <v>0</v>
      </c>
      <c r="BW560">
        <v>0</v>
      </c>
      <c r="BY560" t="s">
        <v>106</v>
      </c>
      <c r="BZ560" t="s">
        <v>142</v>
      </c>
      <c r="CA560" t="s">
        <v>112</v>
      </c>
      <c r="CB560" t="s">
        <v>112</v>
      </c>
      <c r="CC560" t="s">
        <v>121</v>
      </c>
      <c r="CD560">
        <v>16989.57</v>
      </c>
      <c r="CE560" t="s">
        <v>144</v>
      </c>
      <c r="CF560">
        <v>4000000</v>
      </c>
      <c r="CG560">
        <v>16989.57</v>
      </c>
      <c r="CH560">
        <v>0</v>
      </c>
      <c r="CI560" t="s">
        <v>112</v>
      </c>
      <c r="CJ560" t="s">
        <v>112</v>
      </c>
      <c r="CK560">
        <v>45031.16</v>
      </c>
      <c r="CL560">
        <v>4533683</v>
      </c>
      <c r="CM560">
        <v>0</v>
      </c>
      <c r="CN560">
        <v>1</v>
      </c>
      <c r="CO560">
        <v>4949486.59</v>
      </c>
      <c r="CP560">
        <v>54887.14</v>
      </c>
      <c r="CQ560" t="s">
        <v>145</v>
      </c>
      <c r="CR560">
        <v>54876.311099999999</v>
      </c>
      <c r="CS560">
        <v>3.23</v>
      </c>
      <c r="CT560">
        <v>45</v>
      </c>
      <c r="CU560" t="s">
        <v>171</v>
      </c>
      <c r="CV560" t="s">
        <v>172</v>
      </c>
      <c r="CW560">
        <v>144</v>
      </c>
    </row>
    <row r="561" spans="1:101" x14ac:dyDescent="0.2">
      <c r="A561" t="s">
        <v>106</v>
      </c>
      <c r="B561" s="46">
        <v>45044</v>
      </c>
      <c r="C561" t="s">
        <v>1313</v>
      </c>
      <c r="D561" t="s">
        <v>108</v>
      </c>
      <c r="E561" t="s">
        <v>1314</v>
      </c>
      <c r="F561" t="s">
        <v>110</v>
      </c>
      <c r="G561" t="s">
        <v>111</v>
      </c>
      <c r="H561" t="s">
        <v>112</v>
      </c>
      <c r="I561" t="s">
        <v>112</v>
      </c>
      <c r="J561" t="s">
        <v>112</v>
      </c>
      <c r="K561" t="s">
        <v>150</v>
      </c>
      <c r="L561" t="s">
        <v>1060</v>
      </c>
      <c r="M561" t="s">
        <v>112</v>
      </c>
      <c r="N561" t="s">
        <v>112</v>
      </c>
      <c r="O561">
        <v>1</v>
      </c>
      <c r="P561">
        <v>0</v>
      </c>
      <c r="Q561">
        <v>1</v>
      </c>
      <c r="R561">
        <v>33</v>
      </c>
      <c r="S561" t="s">
        <v>166</v>
      </c>
      <c r="T561" t="s">
        <v>152</v>
      </c>
      <c r="U561" t="s">
        <v>153</v>
      </c>
      <c r="V561" t="s">
        <v>154</v>
      </c>
      <c r="W561" t="s">
        <v>119</v>
      </c>
      <c r="X561" t="s">
        <v>112</v>
      </c>
      <c r="Y561" t="s">
        <v>166</v>
      </c>
      <c r="Z561" t="s">
        <v>152</v>
      </c>
      <c r="AA561" t="s">
        <v>153</v>
      </c>
      <c r="AB561" t="s">
        <v>154</v>
      </c>
      <c r="AC561" t="s">
        <v>119</v>
      </c>
      <c r="AD561" t="s">
        <v>112</v>
      </c>
      <c r="AE561" t="s">
        <v>121</v>
      </c>
      <c r="AF561" t="s">
        <v>122</v>
      </c>
      <c r="AG561">
        <v>4024046.27</v>
      </c>
      <c r="AH561" t="s">
        <v>166</v>
      </c>
      <c r="AI561" t="s">
        <v>152</v>
      </c>
      <c r="AJ561" t="s">
        <v>153</v>
      </c>
      <c r="AK561" t="s">
        <v>154</v>
      </c>
      <c r="AL561" t="s">
        <v>119</v>
      </c>
      <c r="AM561" t="s">
        <v>112</v>
      </c>
      <c r="AN561" t="s">
        <v>121</v>
      </c>
      <c r="AO561" t="s">
        <v>122</v>
      </c>
      <c r="AP561" t="s">
        <v>122</v>
      </c>
      <c r="AQ561" t="s">
        <v>124</v>
      </c>
      <c r="AR561" t="s">
        <v>125</v>
      </c>
      <c r="AS561">
        <v>2</v>
      </c>
      <c r="AT561" t="s">
        <v>126</v>
      </c>
      <c r="AU561" t="s">
        <v>155</v>
      </c>
      <c r="AV561" t="s">
        <v>156</v>
      </c>
      <c r="AW561">
        <v>1</v>
      </c>
      <c r="AX561" t="s">
        <v>129</v>
      </c>
      <c r="AY561">
        <v>40388.76</v>
      </c>
      <c r="AZ561">
        <v>3650736</v>
      </c>
      <c r="BA561">
        <v>48111.22</v>
      </c>
      <c r="BB561">
        <v>90.389899999999997</v>
      </c>
      <c r="BC561" t="s">
        <v>130</v>
      </c>
      <c r="BD561" t="s">
        <v>112</v>
      </c>
      <c r="BE561" t="s">
        <v>157</v>
      </c>
      <c r="BF561" t="s">
        <v>133</v>
      </c>
      <c r="BG561" t="s">
        <v>134</v>
      </c>
      <c r="BH561" t="s">
        <v>112</v>
      </c>
      <c r="BI561" t="s">
        <v>112</v>
      </c>
      <c r="BJ561" t="s">
        <v>112</v>
      </c>
      <c r="BK561" t="s">
        <v>169</v>
      </c>
      <c r="BL561" t="s">
        <v>159</v>
      </c>
      <c r="BM561" t="s">
        <v>722</v>
      </c>
      <c r="BN561" t="s">
        <v>161</v>
      </c>
      <c r="BO561">
        <v>1</v>
      </c>
      <c r="BP561" t="s">
        <v>232</v>
      </c>
      <c r="BR561" t="s">
        <v>150</v>
      </c>
      <c r="BS561">
        <v>33</v>
      </c>
      <c r="BT561">
        <v>0</v>
      </c>
      <c r="BU561">
        <v>0</v>
      </c>
      <c r="BW561">
        <v>0</v>
      </c>
      <c r="BY561" t="s">
        <v>106</v>
      </c>
      <c r="BZ561" t="s">
        <v>142</v>
      </c>
      <c r="CA561" t="s">
        <v>112</v>
      </c>
      <c r="CB561" t="s">
        <v>112</v>
      </c>
      <c r="CC561" t="s">
        <v>121</v>
      </c>
      <c r="CD561">
        <v>15895.79</v>
      </c>
      <c r="CE561" t="s">
        <v>144</v>
      </c>
      <c r="CF561">
        <v>4000000</v>
      </c>
      <c r="CG561">
        <v>15730.79</v>
      </c>
      <c r="CH561">
        <v>0</v>
      </c>
      <c r="CI561" t="s">
        <v>112</v>
      </c>
      <c r="CJ561" t="s">
        <v>112</v>
      </c>
      <c r="CK561">
        <v>40388.76</v>
      </c>
      <c r="CL561">
        <v>3650736</v>
      </c>
      <c r="CM561">
        <v>0</v>
      </c>
      <c r="CN561">
        <v>1</v>
      </c>
      <c r="CO561">
        <v>4024046.27</v>
      </c>
      <c r="CP561">
        <v>48111.22</v>
      </c>
      <c r="CQ561" t="s">
        <v>145</v>
      </c>
      <c r="CR561">
        <v>48136.217400000001</v>
      </c>
      <c r="CS561">
        <v>3.06</v>
      </c>
      <c r="CT561">
        <v>45</v>
      </c>
      <c r="CU561" t="s">
        <v>171</v>
      </c>
      <c r="CV561" t="s">
        <v>350</v>
      </c>
      <c r="CW561">
        <v>579</v>
      </c>
    </row>
    <row r="562" spans="1:101" x14ac:dyDescent="0.2">
      <c r="A562" t="s">
        <v>106</v>
      </c>
      <c r="B562" s="46">
        <v>45134</v>
      </c>
      <c r="C562" t="s">
        <v>1317</v>
      </c>
      <c r="D562" t="s">
        <v>108</v>
      </c>
      <c r="E562" t="s">
        <v>1318</v>
      </c>
      <c r="F562" t="s">
        <v>110</v>
      </c>
      <c r="G562" t="s">
        <v>111</v>
      </c>
      <c r="H562" t="s">
        <v>112</v>
      </c>
      <c r="I562" t="s">
        <v>112</v>
      </c>
      <c r="J562" t="s">
        <v>112</v>
      </c>
      <c r="K562" t="s">
        <v>150</v>
      </c>
      <c r="L562" t="s">
        <v>1060</v>
      </c>
      <c r="M562" t="s">
        <v>112</v>
      </c>
      <c r="N562" t="s">
        <v>112</v>
      </c>
      <c r="O562">
        <v>1</v>
      </c>
      <c r="P562">
        <v>0</v>
      </c>
      <c r="Q562">
        <v>1</v>
      </c>
      <c r="R562">
        <v>33</v>
      </c>
      <c r="S562" t="s">
        <v>166</v>
      </c>
      <c r="T562" t="s">
        <v>152</v>
      </c>
      <c r="U562" t="s">
        <v>153</v>
      </c>
      <c r="V562" t="s">
        <v>154</v>
      </c>
      <c r="W562" t="s">
        <v>119</v>
      </c>
      <c r="X562" t="s">
        <v>112</v>
      </c>
      <c r="Y562" t="s">
        <v>166</v>
      </c>
      <c r="Z562" t="s">
        <v>152</v>
      </c>
      <c r="AA562" t="s">
        <v>153</v>
      </c>
      <c r="AB562" t="s">
        <v>154</v>
      </c>
      <c r="AC562" t="s">
        <v>119</v>
      </c>
      <c r="AD562" t="s">
        <v>112</v>
      </c>
      <c r="AE562" t="s">
        <v>121</v>
      </c>
      <c r="AF562" t="s">
        <v>122</v>
      </c>
      <c r="AG562">
        <v>4454041.87</v>
      </c>
      <c r="AH562" t="s">
        <v>166</v>
      </c>
      <c r="AI562" t="s">
        <v>152</v>
      </c>
      <c r="AJ562" t="s">
        <v>153</v>
      </c>
      <c r="AK562" t="s">
        <v>154</v>
      </c>
      <c r="AL562" t="s">
        <v>119</v>
      </c>
      <c r="AM562" t="s">
        <v>112</v>
      </c>
      <c r="AN562" t="s">
        <v>121</v>
      </c>
      <c r="AO562" t="s">
        <v>122</v>
      </c>
      <c r="AP562" t="s">
        <v>122</v>
      </c>
      <c r="AQ562" t="s">
        <v>124</v>
      </c>
      <c r="AR562" t="s">
        <v>125</v>
      </c>
      <c r="AS562">
        <v>2</v>
      </c>
      <c r="AT562" t="s">
        <v>126</v>
      </c>
      <c r="AU562" t="s">
        <v>155</v>
      </c>
      <c r="AV562" t="s">
        <v>156</v>
      </c>
      <c r="AW562">
        <v>1</v>
      </c>
      <c r="AX562" t="s">
        <v>129</v>
      </c>
      <c r="AY562">
        <v>45145.88</v>
      </c>
      <c r="AZ562">
        <v>4080732</v>
      </c>
      <c r="BA562">
        <v>53252.21</v>
      </c>
      <c r="BB562">
        <v>90.389899999999997</v>
      </c>
      <c r="BC562" t="s">
        <v>130</v>
      </c>
      <c r="BD562" t="s">
        <v>112</v>
      </c>
      <c r="BE562" t="s">
        <v>157</v>
      </c>
      <c r="BF562" t="s">
        <v>133</v>
      </c>
      <c r="BG562" t="s">
        <v>134</v>
      </c>
      <c r="BH562" t="s">
        <v>112</v>
      </c>
      <c r="BI562" t="s">
        <v>112</v>
      </c>
      <c r="BJ562" t="s">
        <v>112</v>
      </c>
      <c r="BK562" t="s">
        <v>169</v>
      </c>
      <c r="BL562" t="s">
        <v>159</v>
      </c>
      <c r="BM562" t="s">
        <v>722</v>
      </c>
      <c r="BN562" t="s">
        <v>161</v>
      </c>
      <c r="BO562">
        <v>1</v>
      </c>
      <c r="BP562" t="s">
        <v>466</v>
      </c>
      <c r="BR562" t="s">
        <v>150</v>
      </c>
      <c r="BS562">
        <v>33</v>
      </c>
      <c r="BT562">
        <v>0</v>
      </c>
      <c r="BU562">
        <v>0</v>
      </c>
      <c r="BW562">
        <v>0</v>
      </c>
      <c r="BY562" t="s">
        <v>106</v>
      </c>
      <c r="BZ562" t="s">
        <v>142</v>
      </c>
      <c r="CA562" t="s">
        <v>112</v>
      </c>
      <c r="CB562" t="s">
        <v>112</v>
      </c>
      <c r="CC562" t="s">
        <v>121</v>
      </c>
      <c r="CD562">
        <v>17029.580000000002</v>
      </c>
      <c r="CE562" t="s">
        <v>144</v>
      </c>
      <c r="CF562">
        <v>4000000</v>
      </c>
      <c r="CG562">
        <v>17029.580000000002</v>
      </c>
      <c r="CH562">
        <v>0</v>
      </c>
      <c r="CI562" t="s">
        <v>112</v>
      </c>
      <c r="CJ562" t="s">
        <v>112</v>
      </c>
      <c r="CK562">
        <v>45145.88</v>
      </c>
      <c r="CL562">
        <v>4080732</v>
      </c>
      <c r="CM562">
        <v>0</v>
      </c>
      <c r="CN562">
        <v>1</v>
      </c>
      <c r="CO562">
        <v>4454041.87</v>
      </c>
      <c r="CP562">
        <v>53252.21</v>
      </c>
      <c r="CQ562" t="s">
        <v>145</v>
      </c>
      <c r="CR562">
        <v>53302.585400000004</v>
      </c>
      <c r="CS562">
        <v>3.13</v>
      </c>
      <c r="CT562">
        <v>45</v>
      </c>
      <c r="CU562" t="s">
        <v>171</v>
      </c>
      <c r="CV562" t="s">
        <v>369</v>
      </c>
      <c r="CW562">
        <v>42</v>
      </c>
    </row>
    <row r="563" spans="1:101" x14ac:dyDescent="0.2">
      <c r="A563" t="s">
        <v>106</v>
      </c>
      <c r="B563" s="46">
        <v>45081</v>
      </c>
      <c r="C563" t="s">
        <v>1319</v>
      </c>
      <c r="D563" t="s">
        <v>108</v>
      </c>
      <c r="E563" t="s">
        <v>1320</v>
      </c>
      <c r="F563" t="s">
        <v>110</v>
      </c>
      <c r="G563" t="s">
        <v>111</v>
      </c>
      <c r="H563" t="s">
        <v>112</v>
      </c>
      <c r="I563" t="s">
        <v>112</v>
      </c>
      <c r="J563" t="s">
        <v>112</v>
      </c>
      <c r="K563" t="s">
        <v>150</v>
      </c>
      <c r="L563" t="s">
        <v>1060</v>
      </c>
      <c r="M563" t="s">
        <v>112</v>
      </c>
      <c r="N563" t="s">
        <v>112</v>
      </c>
      <c r="O563">
        <v>1</v>
      </c>
      <c r="P563">
        <v>0</v>
      </c>
      <c r="Q563">
        <v>1</v>
      </c>
      <c r="R563">
        <v>33</v>
      </c>
      <c r="S563" t="s">
        <v>166</v>
      </c>
      <c r="T563" t="s">
        <v>152</v>
      </c>
      <c r="U563" t="s">
        <v>153</v>
      </c>
      <c r="V563" t="s">
        <v>154</v>
      </c>
      <c r="W563" t="s">
        <v>119</v>
      </c>
      <c r="X563" t="s">
        <v>112</v>
      </c>
      <c r="Y563" t="s">
        <v>166</v>
      </c>
      <c r="Z563" t="s">
        <v>152</v>
      </c>
      <c r="AA563" t="s">
        <v>153</v>
      </c>
      <c r="AB563" t="s">
        <v>154</v>
      </c>
      <c r="AC563" t="s">
        <v>119</v>
      </c>
      <c r="AD563" t="s">
        <v>112</v>
      </c>
      <c r="AE563" t="s">
        <v>121</v>
      </c>
      <c r="AF563" t="s">
        <v>122</v>
      </c>
      <c r="AG563">
        <v>4391810.2300000004</v>
      </c>
      <c r="AH563" t="s">
        <v>166</v>
      </c>
      <c r="AI563" t="s">
        <v>152</v>
      </c>
      <c r="AJ563" t="s">
        <v>153</v>
      </c>
      <c r="AK563" t="s">
        <v>154</v>
      </c>
      <c r="AL563" t="s">
        <v>119</v>
      </c>
      <c r="AM563" t="s">
        <v>112</v>
      </c>
      <c r="AN563" t="s">
        <v>121</v>
      </c>
      <c r="AO563" t="s">
        <v>122</v>
      </c>
      <c r="AP563" t="s">
        <v>122</v>
      </c>
      <c r="AQ563" t="s">
        <v>124</v>
      </c>
      <c r="AR563" t="s">
        <v>125</v>
      </c>
      <c r="AS563">
        <v>2</v>
      </c>
      <c r="AT563" t="s">
        <v>126</v>
      </c>
      <c r="AU563" t="s">
        <v>155</v>
      </c>
      <c r="AV563" t="s">
        <v>156</v>
      </c>
      <c r="AW563">
        <v>1</v>
      </c>
      <c r="AX563" t="s">
        <v>129</v>
      </c>
      <c r="AY563">
        <v>44457.4</v>
      </c>
      <c r="AZ563">
        <v>4018500</v>
      </c>
      <c r="BA563">
        <v>52508.18</v>
      </c>
      <c r="BB563">
        <v>90.389899999999997</v>
      </c>
      <c r="BC563" t="s">
        <v>130</v>
      </c>
      <c r="BD563" t="s">
        <v>112</v>
      </c>
      <c r="BE563" t="s">
        <v>157</v>
      </c>
      <c r="BF563" t="s">
        <v>133</v>
      </c>
      <c r="BG563" t="s">
        <v>134</v>
      </c>
      <c r="BH563" t="s">
        <v>112</v>
      </c>
      <c r="BI563" t="s">
        <v>112</v>
      </c>
      <c r="BJ563" t="s">
        <v>112</v>
      </c>
      <c r="BK563" t="s">
        <v>169</v>
      </c>
      <c r="BL563" t="s">
        <v>159</v>
      </c>
      <c r="BM563" t="s">
        <v>722</v>
      </c>
      <c r="BN563" t="s">
        <v>161</v>
      </c>
      <c r="BO563">
        <v>1</v>
      </c>
      <c r="BP563" t="s">
        <v>232</v>
      </c>
      <c r="BR563" t="s">
        <v>150</v>
      </c>
      <c r="BS563">
        <v>33</v>
      </c>
      <c r="BT563">
        <v>0</v>
      </c>
      <c r="BU563">
        <v>0</v>
      </c>
      <c r="BW563">
        <v>0</v>
      </c>
      <c r="BY563" t="s">
        <v>106</v>
      </c>
      <c r="BZ563" t="s">
        <v>142</v>
      </c>
      <c r="CA563" t="s">
        <v>112</v>
      </c>
      <c r="CB563" t="s">
        <v>112</v>
      </c>
      <c r="CC563" t="s">
        <v>121</v>
      </c>
      <c r="CD563">
        <v>16885.439999999999</v>
      </c>
      <c r="CE563" t="s">
        <v>144</v>
      </c>
      <c r="CF563">
        <v>4000000</v>
      </c>
      <c r="CG563">
        <v>16885.439999999999</v>
      </c>
      <c r="CH563">
        <v>0</v>
      </c>
      <c r="CI563" t="s">
        <v>112</v>
      </c>
      <c r="CJ563" t="s">
        <v>112</v>
      </c>
      <c r="CK563">
        <v>44457.4</v>
      </c>
      <c r="CL563">
        <v>4018500</v>
      </c>
      <c r="CM563">
        <v>0</v>
      </c>
      <c r="CN563">
        <v>1</v>
      </c>
      <c r="CO563">
        <v>4391810.2300000004</v>
      </c>
      <c r="CP563">
        <v>52508.18</v>
      </c>
      <c r="CQ563" t="s">
        <v>145</v>
      </c>
      <c r="CR563">
        <v>52513.718399999991</v>
      </c>
      <c r="CS563">
        <v>3.11</v>
      </c>
      <c r="CT563">
        <v>45</v>
      </c>
      <c r="CU563" t="s">
        <v>171</v>
      </c>
      <c r="CV563" t="s">
        <v>463</v>
      </c>
      <c r="CW563">
        <v>343</v>
      </c>
    </row>
    <row r="564" spans="1:101" x14ac:dyDescent="0.2">
      <c r="A564" t="s">
        <v>106</v>
      </c>
      <c r="B564" s="46">
        <v>45249</v>
      </c>
      <c r="C564" t="s">
        <v>1054</v>
      </c>
      <c r="D564" t="s">
        <v>108</v>
      </c>
      <c r="E564" t="s">
        <v>1055</v>
      </c>
      <c r="F564" t="s">
        <v>110</v>
      </c>
      <c r="G564" t="s">
        <v>111</v>
      </c>
      <c r="H564" t="s">
        <v>112</v>
      </c>
      <c r="I564" t="s">
        <v>112</v>
      </c>
      <c r="J564" t="s">
        <v>112</v>
      </c>
      <c r="K564" t="s">
        <v>150</v>
      </c>
      <c r="L564" t="s">
        <v>1036</v>
      </c>
      <c r="M564" t="s">
        <v>112</v>
      </c>
      <c r="N564" t="s">
        <v>112</v>
      </c>
      <c r="O564">
        <v>1</v>
      </c>
      <c r="P564">
        <v>0</v>
      </c>
      <c r="Q564">
        <v>1</v>
      </c>
      <c r="R564">
        <v>33</v>
      </c>
      <c r="S564" t="s">
        <v>166</v>
      </c>
      <c r="T564" t="s">
        <v>152</v>
      </c>
      <c r="U564" t="s">
        <v>153</v>
      </c>
      <c r="V564" t="s">
        <v>154</v>
      </c>
      <c r="W564" t="s">
        <v>119</v>
      </c>
      <c r="X564" t="s">
        <v>112</v>
      </c>
      <c r="Y564" t="s">
        <v>166</v>
      </c>
      <c r="Z564" t="s">
        <v>152</v>
      </c>
      <c r="AA564" t="s">
        <v>153</v>
      </c>
      <c r="AB564" t="s">
        <v>154</v>
      </c>
      <c r="AC564" t="s">
        <v>119</v>
      </c>
      <c r="AD564" t="s">
        <v>112</v>
      </c>
      <c r="AE564" t="s">
        <v>121</v>
      </c>
      <c r="AF564" t="s">
        <v>122</v>
      </c>
      <c r="AG564">
        <v>4235274</v>
      </c>
      <c r="AH564" t="s">
        <v>166</v>
      </c>
      <c r="AI564" t="s">
        <v>152</v>
      </c>
      <c r="AJ564" t="s">
        <v>153</v>
      </c>
      <c r="AK564" t="s">
        <v>154</v>
      </c>
      <c r="AL564" t="s">
        <v>119</v>
      </c>
      <c r="AM564" t="s">
        <v>112</v>
      </c>
      <c r="AN564" t="s">
        <v>121</v>
      </c>
      <c r="AO564" t="s">
        <v>122</v>
      </c>
      <c r="AP564" t="s">
        <v>122</v>
      </c>
      <c r="AQ564" t="s">
        <v>124</v>
      </c>
      <c r="AR564" t="s">
        <v>125</v>
      </c>
      <c r="AS564">
        <v>2</v>
      </c>
      <c r="AT564" t="s">
        <v>126</v>
      </c>
      <c r="AU564" t="s">
        <v>155</v>
      </c>
      <c r="AV564" t="s">
        <v>156</v>
      </c>
      <c r="AW564">
        <v>1</v>
      </c>
      <c r="AX564" t="s">
        <v>129</v>
      </c>
      <c r="AY564">
        <v>42006.77</v>
      </c>
      <c r="AZ564">
        <v>3780756</v>
      </c>
      <c r="BA564">
        <v>51854.7</v>
      </c>
      <c r="BB564">
        <v>90.003500000000003</v>
      </c>
      <c r="BC564" t="s">
        <v>130</v>
      </c>
      <c r="BD564" t="s">
        <v>112</v>
      </c>
      <c r="BE564" t="s">
        <v>157</v>
      </c>
      <c r="BF564" t="s">
        <v>133</v>
      </c>
      <c r="BG564" t="s">
        <v>167</v>
      </c>
      <c r="BH564" t="s">
        <v>168</v>
      </c>
      <c r="BI564" t="s">
        <v>112</v>
      </c>
      <c r="BJ564" t="s">
        <v>112</v>
      </c>
      <c r="BK564" t="s">
        <v>169</v>
      </c>
      <c r="BL564" t="s">
        <v>159</v>
      </c>
      <c r="BM564" t="s">
        <v>726</v>
      </c>
      <c r="BN564" t="s">
        <v>161</v>
      </c>
      <c r="BO564">
        <v>1</v>
      </c>
      <c r="BP564" t="s">
        <v>205</v>
      </c>
      <c r="BR564" t="s">
        <v>150</v>
      </c>
      <c r="BS564">
        <v>33</v>
      </c>
      <c r="BT564">
        <v>0</v>
      </c>
      <c r="BU564">
        <v>0</v>
      </c>
      <c r="BW564">
        <v>0</v>
      </c>
      <c r="BY564" t="s">
        <v>106</v>
      </c>
      <c r="BZ564" t="s">
        <v>142</v>
      </c>
      <c r="CA564" t="s">
        <v>112</v>
      </c>
      <c r="CB564" t="s">
        <v>112</v>
      </c>
      <c r="CC564" t="s">
        <v>121</v>
      </c>
      <c r="CD564">
        <v>15801.9</v>
      </c>
      <c r="CE564" t="s">
        <v>144</v>
      </c>
      <c r="CF564">
        <v>4000000</v>
      </c>
      <c r="CG564">
        <v>15654.3</v>
      </c>
      <c r="CH564">
        <v>0</v>
      </c>
      <c r="CI564" t="s">
        <v>112</v>
      </c>
      <c r="CJ564" t="s">
        <v>112</v>
      </c>
      <c r="CK564">
        <v>42006.77</v>
      </c>
      <c r="CL564">
        <v>3780756</v>
      </c>
      <c r="CM564">
        <v>0</v>
      </c>
      <c r="CN564">
        <v>1</v>
      </c>
      <c r="CO564">
        <v>4235274</v>
      </c>
      <c r="CP564">
        <v>51854.7</v>
      </c>
      <c r="CQ564" t="s">
        <v>145</v>
      </c>
      <c r="CR564">
        <v>51854.868749999994</v>
      </c>
      <c r="CS564">
        <v>3.3125</v>
      </c>
      <c r="CT564">
        <v>45</v>
      </c>
      <c r="CU564" t="s">
        <v>171</v>
      </c>
      <c r="CV564" t="s">
        <v>350</v>
      </c>
      <c r="CW564">
        <v>229</v>
      </c>
    </row>
    <row r="565" spans="1:101" x14ac:dyDescent="0.2">
      <c r="A565" t="s">
        <v>106</v>
      </c>
      <c r="B565" s="46">
        <v>45085</v>
      </c>
      <c r="C565" t="s">
        <v>920</v>
      </c>
      <c r="D565" t="s">
        <v>108</v>
      </c>
      <c r="E565" t="s">
        <v>921</v>
      </c>
      <c r="F565" t="s">
        <v>110</v>
      </c>
      <c r="G565" t="s">
        <v>111</v>
      </c>
      <c r="H565" t="s">
        <v>112</v>
      </c>
      <c r="I565" t="s">
        <v>112</v>
      </c>
      <c r="J565" t="s">
        <v>112</v>
      </c>
      <c r="K565" t="s">
        <v>150</v>
      </c>
      <c r="L565" t="s">
        <v>151</v>
      </c>
      <c r="M565" t="s">
        <v>112</v>
      </c>
      <c r="N565" t="s">
        <v>112</v>
      </c>
      <c r="O565">
        <v>1</v>
      </c>
      <c r="P565">
        <v>0</v>
      </c>
      <c r="Q565">
        <v>1</v>
      </c>
      <c r="R565">
        <v>33</v>
      </c>
      <c r="S565" t="s">
        <v>166</v>
      </c>
      <c r="T565" t="s">
        <v>152</v>
      </c>
      <c r="U565" t="s">
        <v>153</v>
      </c>
      <c r="V565" t="s">
        <v>154</v>
      </c>
      <c r="W565" t="s">
        <v>119</v>
      </c>
      <c r="X565" t="s">
        <v>112</v>
      </c>
      <c r="Y565" t="s">
        <v>166</v>
      </c>
      <c r="Z565" t="s">
        <v>152</v>
      </c>
      <c r="AA565" t="s">
        <v>153</v>
      </c>
      <c r="AB565" t="s">
        <v>154</v>
      </c>
      <c r="AC565" t="s">
        <v>119</v>
      </c>
      <c r="AD565" t="s">
        <v>112</v>
      </c>
      <c r="AE565" t="s">
        <v>121</v>
      </c>
      <c r="AF565" t="s">
        <v>122</v>
      </c>
      <c r="AG565">
        <v>3937318.16</v>
      </c>
      <c r="AH565" t="s">
        <v>166</v>
      </c>
      <c r="AI565" t="s">
        <v>152</v>
      </c>
      <c r="AJ565" t="s">
        <v>153</v>
      </c>
      <c r="AK565" t="s">
        <v>154</v>
      </c>
      <c r="AL565" t="s">
        <v>119</v>
      </c>
      <c r="AM565" t="s">
        <v>112</v>
      </c>
      <c r="AN565" t="s">
        <v>121</v>
      </c>
      <c r="AO565" t="s">
        <v>122</v>
      </c>
      <c r="AP565" t="s">
        <v>122</v>
      </c>
      <c r="AQ565" t="s">
        <v>124</v>
      </c>
      <c r="AR565" t="s">
        <v>125</v>
      </c>
      <c r="AS565">
        <v>2</v>
      </c>
      <c r="AT565" t="s">
        <v>126</v>
      </c>
      <c r="AU565" t="s">
        <v>155</v>
      </c>
      <c r="AV565" t="s">
        <v>156</v>
      </c>
      <c r="AW565">
        <v>1</v>
      </c>
      <c r="AX565" t="s">
        <v>129</v>
      </c>
      <c r="AY565">
        <v>44493.919999999998</v>
      </c>
      <c r="AZ565">
        <v>3586664</v>
      </c>
      <c r="BA565">
        <v>52176.93</v>
      </c>
      <c r="BB565">
        <v>80.610200000000006</v>
      </c>
      <c r="BC565" t="s">
        <v>130</v>
      </c>
      <c r="BD565" t="s">
        <v>112</v>
      </c>
      <c r="BE565" t="s">
        <v>157</v>
      </c>
      <c r="BF565" t="s">
        <v>133</v>
      </c>
      <c r="BG565" t="s">
        <v>134</v>
      </c>
      <c r="BH565" t="s">
        <v>112</v>
      </c>
      <c r="BI565" t="s">
        <v>112</v>
      </c>
      <c r="BJ565" t="s">
        <v>112</v>
      </c>
      <c r="BK565" t="s">
        <v>169</v>
      </c>
      <c r="BL565" t="s">
        <v>159</v>
      </c>
      <c r="BM565" t="s">
        <v>212</v>
      </c>
      <c r="BN565" t="s">
        <v>161</v>
      </c>
      <c r="BO565">
        <v>1</v>
      </c>
      <c r="BP565" t="s">
        <v>922</v>
      </c>
      <c r="BR565" t="s">
        <v>150</v>
      </c>
      <c r="BS565">
        <v>33</v>
      </c>
      <c r="BT565">
        <v>0</v>
      </c>
      <c r="BU565">
        <v>0</v>
      </c>
      <c r="BW565">
        <v>0</v>
      </c>
      <c r="BY565" t="s">
        <v>106</v>
      </c>
      <c r="BZ565" t="s">
        <v>142</v>
      </c>
      <c r="CA565" t="s">
        <v>112</v>
      </c>
      <c r="CB565" t="s">
        <v>112</v>
      </c>
      <c r="CC565" t="s">
        <v>121</v>
      </c>
      <c r="CD565">
        <v>15313.3</v>
      </c>
      <c r="CE565" t="s">
        <v>144</v>
      </c>
      <c r="CF565">
        <v>4000000</v>
      </c>
      <c r="CG565">
        <v>15129.7</v>
      </c>
      <c r="CH565">
        <v>0</v>
      </c>
      <c r="CI565" t="s">
        <v>112</v>
      </c>
      <c r="CJ565" t="s">
        <v>112</v>
      </c>
      <c r="CK565">
        <v>44493.919999999998</v>
      </c>
      <c r="CL565">
        <v>3586664</v>
      </c>
      <c r="CM565">
        <v>0</v>
      </c>
      <c r="CN565">
        <v>1</v>
      </c>
      <c r="CO565">
        <v>3937318.16</v>
      </c>
      <c r="CP565">
        <v>52176.93</v>
      </c>
      <c r="CQ565" t="s">
        <v>145</v>
      </c>
      <c r="CR565">
        <v>52176.28342</v>
      </c>
      <c r="CS565">
        <v>3.4485999999999999</v>
      </c>
      <c r="CT565">
        <v>45</v>
      </c>
      <c r="CU565" t="s">
        <v>171</v>
      </c>
      <c r="CV565" t="s">
        <v>350</v>
      </c>
      <c r="CW565">
        <v>546</v>
      </c>
    </row>
    <row r="566" spans="1:101" x14ac:dyDescent="0.2">
      <c r="A566" t="s">
        <v>106</v>
      </c>
      <c r="B566" s="46">
        <v>45290</v>
      </c>
      <c r="C566" t="s">
        <v>928</v>
      </c>
      <c r="D566" t="s">
        <v>108</v>
      </c>
      <c r="E566" t="s">
        <v>929</v>
      </c>
      <c r="F566" t="s">
        <v>110</v>
      </c>
      <c r="G566" t="s">
        <v>111</v>
      </c>
      <c r="H566" t="s">
        <v>112</v>
      </c>
      <c r="I566" t="s">
        <v>112</v>
      </c>
      <c r="J566" t="s">
        <v>112</v>
      </c>
      <c r="K566" t="s">
        <v>150</v>
      </c>
      <c r="L566" t="s">
        <v>151</v>
      </c>
      <c r="M566" t="s">
        <v>112</v>
      </c>
      <c r="N566" t="s">
        <v>112</v>
      </c>
      <c r="O566">
        <v>1</v>
      </c>
      <c r="P566">
        <v>0</v>
      </c>
      <c r="Q566">
        <v>1</v>
      </c>
      <c r="R566">
        <v>33</v>
      </c>
      <c r="S566" t="s">
        <v>166</v>
      </c>
      <c r="T566" t="s">
        <v>152</v>
      </c>
      <c r="U566" t="s">
        <v>153</v>
      </c>
      <c r="V566" t="s">
        <v>154</v>
      </c>
      <c r="W566" t="s">
        <v>119</v>
      </c>
      <c r="X566" t="s">
        <v>112</v>
      </c>
      <c r="Y566" t="s">
        <v>166</v>
      </c>
      <c r="Z566" t="s">
        <v>152</v>
      </c>
      <c r="AA566" t="s">
        <v>153</v>
      </c>
      <c r="AB566" t="s">
        <v>154</v>
      </c>
      <c r="AC566" t="s">
        <v>119</v>
      </c>
      <c r="AD566" t="s">
        <v>112</v>
      </c>
      <c r="AE566" t="s">
        <v>121</v>
      </c>
      <c r="AF566" t="s">
        <v>122</v>
      </c>
      <c r="AG566">
        <v>3533444.94</v>
      </c>
      <c r="AH566" t="s">
        <v>166</v>
      </c>
      <c r="AI566" t="s">
        <v>152</v>
      </c>
      <c r="AJ566" t="s">
        <v>153</v>
      </c>
      <c r="AK566" t="s">
        <v>154</v>
      </c>
      <c r="AL566" t="s">
        <v>119</v>
      </c>
      <c r="AM566" t="s">
        <v>112</v>
      </c>
      <c r="AN566" t="s">
        <v>121</v>
      </c>
      <c r="AO566" t="s">
        <v>122</v>
      </c>
      <c r="AP566" t="s">
        <v>122</v>
      </c>
      <c r="AQ566" t="s">
        <v>124</v>
      </c>
      <c r="AR566" t="s">
        <v>125</v>
      </c>
      <c r="AS566">
        <v>2</v>
      </c>
      <c r="AT566" t="s">
        <v>126</v>
      </c>
      <c r="AU566" t="s">
        <v>155</v>
      </c>
      <c r="AV566" t="s">
        <v>156</v>
      </c>
      <c r="AW566">
        <v>1</v>
      </c>
      <c r="AX566" t="s">
        <v>129</v>
      </c>
      <c r="AY566">
        <v>39483.72</v>
      </c>
      <c r="AZ566">
        <v>3182791</v>
      </c>
      <c r="BA566">
        <v>46824.84</v>
      </c>
      <c r="BB566">
        <v>80.610200000000006</v>
      </c>
      <c r="BC566" t="s">
        <v>130</v>
      </c>
      <c r="BD566" t="s">
        <v>112</v>
      </c>
      <c r="BE566" t="s">
        <v>157</v>
      </c>
      <c r="BF566" t="s">
        <v>133</v>
      </c>
      <c r="BG566" t="s">
        <v>134</v>
      </c>
      <c r="BH566" t="s">
        <v>112</v>
      </c>
      <c r="BI566" t="s">
        <v>112</v>
      </c>
      <c r="BJ566" t="s">
        <v>112</v>
      </c>
      <c r="BK566" t="s">
        <v>169</v>
      </c>
      <c r="BL566" t="s">
        <v>159</v>
      </c>
      <c r="BM566" t="s">
        <v>212</v>
      </c>
      <c r="BN566" t="s">
        <v>161</v>
      </c>
      <c r="BO566">
        <v>1</v>
      </c>
      <c r="BP566" t="s">
        <v>205</v>
      </c>
      <c r="BR566" t="s">
        <v>150</v>
      </c>
      <c r="BS566">
        <v>33</v>
      </c>
      <c r="BT566">
        <v>0</v>
      </c>
      <c r="BU566">
        <v>0</v>
      </c>
      <c r="BW566">
        <v>0</v>
      </c>
      <c r="BY566" t="s">
        <v>106</v>
      </c>
      <c r="BZ566" t="s">
        <v>142</v>
      </c>
      <c r="CA566" t="s">
        <v>112</v>
      </c>
      <c r="CB566" t="s">
        <v>112</v>
      </c>
      <c r="CC566" t="s">
        <v>121</v>
      </c>
      <c r="CD566">
        <v>16055.92</v>
      </c>
      <c r="CE566" t="s">
        <v>144</v>
      </c>
      <c r="CF566">
        <v>4000000</v>
      </c>
      <c r="CG566">
        <v>15836.32</v>
      </c>
      <c r="CH566">
        <v>0</v>
      </c>
      <c r="CI566" t="s">
        <v>112</v>
      </c>
      <c r="CJ566" t="s">
        <v>112</v>
      </c>
      <c r="CK566">
        <v>39483.72</v>
      </c>
      <c r="CL566">
        <v>3182791</v>
      </c>
      <c r="CM566">
        <v>0</v>
      </c>
      <c r="CN566">
        <v>1</v>
      </c>
      <c r="CO566">
        <v>3533444.94</v>
      </c>
      <c r="CP566">
        <v>46824.84</v>
      </c>
      <c r="CQ566" t="s">
        <v>145</v>
      </c>
      <c r="CR566">
        <v>46824.830975999997</v>
      </c>
      <c r="CS566">
        <v>2.9567999999999999</v>
      </c>
      <c r="CT566">
        <v>45</v>
      </c>
      <c r="CU566" t="s">
        <v>171</v>
      </c>
      <c r="CV566" t="s">
        <v>369</v>
      </c>
      <c r="CW566">
        <v>140</v>
      </c>
    </row>
    <row r="567" spans="1:101" x14ac:dyDescent="0.2">
      <c r="A567" t="s">
        <v>106</v>
      </c>
      <c r="B567" s="46">
        <v>45179</v>
      </c>
      <c r="C567" t="s">
        <v>925</v>
      </c>
      <c r="D567" t="s">
        <v>108</v>
      </c>
      <c r="E567" t="s">
        <v>926</v>
      </c>
      <c r="F567" t="s">
        <v>110</v>
      </c>
      <c r="G567" t="s">
        <v>111</v>
      </c>
      <c r="H567" t="s">
        <v>112</v>
      </c>
      <c r="I567" t="s">
        <v>112</v>
      </c>
      <c r="J567" t="s">
        <v>112</v>
      </c>
      <c r="K567" t="s">
        <v>150</v>
      </c>
      <c r="L567" t="s">
        <v>151</v>
      </c>
      <c r="M567" t="s">
        <v>112</v>
      </c>
      <c r="N567" t="s">
        <v>112</v>
      </c>
      <c r="O567">
        <v>1</v>
      </c>
      <c r="P567">
        <v>0</v>
      </c>
      <c r="Q567">
        <v>1</v>
      </c>
      <c r="R567">
        <v>33</v>
      </c>
      <c r="S567" t="s">
        <v>166</v>
      </c>
      <c r="T567" t="s">
        <v>152</v>
      </c>
      <c r="U567" t="s">
        <v>153</v>
      </c>
      <c r="V567" t="s">
        <v>154</v>
      </c>
      <c r="W567" t="s">
        <v>119</v>
      </c>
      <c r="X567" t="s">
        <v>112</v>
      </c>
      <c r="Y567" t="s">
        <v>166</v>
      </c>
      <c r="Z567" t="s">
        <v>152</v>
      </c>
      <c r="AA567" t="s">
        <v>153</v>
      </c>
      <c r="AB567" t="s">
        <v>154</v>
      </c>
      <c r="AC567" t="s">
        <v>119</v>
      </c>
      <c r="AD567" t="s">
        <v>112</v>
      </c>
      <c r="AE567" t="s">
        <v>121</v>
      </c>
      <c r="AF567" t="s">
        <v>122</v>
      </c>
      <c r="AG567">
        <v>3451343.45</v>
      </c>
      <c r="AH567" t="s">
        <v>166</v>
      </c>
      <c r="AI567" t="s">
        <v>152</v>
      </c>
      <c r="AJ567" t="s">
        <v>153</v>
      </c>
      <c r="AK567" t="s">
        <v>154</v>
      </c>
      <c r="AL567" t="s">
        <v>119</v>
      </c>
      <c r="AM567" t="s">
        <v>112</v>
      </c>
      <c r="AN567" t="s">
        <v>121</v>
      </c>
      <c r="AO567" t="s">
        <v>122</v>
      </c>
      <c r="AP567" t="s">
        <v>122</v>
      </c>
      <c r="AQ567" t="s">
        <v>124</v>
      </c>
      <c r="AR567" t="s">
        <v>125</v>
      </c>
      <c r="AS567">
        <v>2</v>
      </c>
      <c r="AT567" t="s">
        <v>126</v>
      </c>
      <c r="AU567" t="s">
        <v>155</v>
      </c>
      <c r="AV567" t="s">
        <v>156</v>
      </c>
      <c r="AW567">
        <v>1</v>
      </c>
      <c r="AX567" t="s">
        <v>129</v>
      </c>
      <c r="AY567">
        <v>38465.22</v>
      </c>
      <c r="AZ567">
        <v>3100689</v>
      </c>
      <c r="BA567">
        <v>45736.84</v>
      </c>
      <c r="BB567">
        <v>80.610200000000006</v>
      </c>
      <c r="BC567" t="s">
        <v>130</v>
      </c>
      <c r="BD567" t="s">
        <v>112</v>
      </c>
      <c r="BE567" t="s">
        <v>157</v>
      </c>
      <c r="BF567" t="s">
        <v>133</v>
      </c>
      <c r="BG567" t="s">
        <v>134</v>
      </c>
      <c r="BH567" t="s">
        <v>112</v>
      </c>
      <c r="BI567" t="s">
        <v>112</v>
      </c>
      <c r="BJ567" t="s">
        <v>112</v>
      </c>
      <c r="BK567" t="s">
        <v>169</v>
      </c>
      <c r="BL567" t="s">
        <v>159</v>
      </c>
      <c r="BM567" t="s">
        <v>212</v>
      </c>
      <c r="BN567" t="s">
        <v>161</v>
      </c>
      <c r="BO567">
        <v>1</v>
      </c>
      <c r="BP567" t="s">
        <v>927</v>
      </c>
      <c r="BR567" t="s">
        <v>150</v>
      </c>
      <c r="BS567">
        <v>33</v>
      </c>
      <c r="BT567">
        <v>0</v>
      </c>
      <c r="BU567">
        <v>0</v>
      </c>
      <c r="BW567">
        <v>0</v>
      </c>
      <c r="BY567" t="s">
        <v>106</v>
      </c>
      <c r="BZ567" t="s">
        <v>142</v>
      </c>
      <c r="CA567" t="s">
        <v>112</v>
      </c>
      <c r="CB567" t="s">
        <v>112</v>
      </c>
      <c r="CC567" t="s">
        <v>121</v>
      </c>
      <c r="CD567">
        <v>16490.05</v>
      </c>
      <c r="CE567" t="s">
        <v>144</v>
      </c>
      <c r="CF567">
        <v>4000000</v>
      </c>
      <c r="CG567">
        <v>16446.849999999999</v>
      </c>
      <c r="CH567">
        <v>0</v>
      </c>
      <c r="CI567" t="s">
        <v>112</v>
      </c>
      <c r="CJ567" t="s">
        <v>112</v>
      </c>
      <c r="CK567">
        <v>38465.22</v>
      </c>
      <c r="CL567">
        <v>3100689</v>
      </c>
      <c r="CM567">
        <v>0</v>
      </c>
      <c r="CN567">
        <v>1</v>
      </c>
      <c r="CO567">
        <v>3451343.45</v>
      </c>
      <c r="CP567">
        <v>45736.84</v>
      </c>
      <c r="CQ567" t="s">
        <v>145</v>
      </c>
      <c r="CR567">
        <v>45737.045164999996</v>
      </c>
      <c r="CS567">
        <v>2.7808999999999999</v>
      </c>
      <c r="CT567">
        <v>45</v>
      </c>
      <c r="CU567" t="s">
        <v>171</v>
      </c>
      <c r="CV567" t="s">
        <v>372</v>
      </c>
      <c r="CW567">
        <v>163</v>
      </c>
    </row>
    <row r="568" spans="1:101" x14ac:dyDescent="0.2">
      <c r="A568" t="s">
        <v>106</v>
      </c>
      <c r="B568" s="46">
        <v>44800</v>
      </c>
      <c r="C568" t="s">
        <v>569</v>
      </c>
      <c r="D568" t="s">
        <v>108</v>
      </c>
      <c r="E568" t="s">
        <v>570</v>
      </c>
      <c r="F568" t="s">
        <v>110</v>
      </c>
      <c r="G568" t="s">
        <v>111</v>
      </c>
      <c r="H568" t="s">
        <v>112</v>
      </c>
      <c r="I568" t="s">
        <v>112</v>
      </c>
      <c r="J568" t="s">
        <v>112</v>
      </c>
      <c r="K568" t="s">
        <v>150</v>
      </c>
      <c r="L568" t="s">
        <v>151</v>
      </c>
      <c r="M568" t="s">
        <v>112</v>
      </c>
      <c r="N568" t="s">
        <v>112</v>
      </c>
      <c r="O568">
        <v>1</v>
      </c>
      <c r="P568">
        <v>0</v>
      </c>
      <c r="Q568">
        <v>1</v>
      </c>
      <c r="R568">
        <v>33</v>
      </c>
      <c r="S568" t="s">
        <v>166</v>
      </c>
      <c r="T568" t="s">
        <v>152</v>
      </c>
      <c r="U568" t="s">
        <v>153</v>
      </c>
      <c r="V568" t="s">
        <v>154</v>
      </c>
      <c r="W568" t="s">
        <v>119</v>
      </c>
      <c r="X568" t="s">
        <v>112</v>
      </c>
      <c r="Y568" t="s">
        <v>166</v>
      </c>
      <c r="Z568" t="s">
        <v>152</v>
      </c>
      <c r="AA568" t="s">
        <v>153</v>
      </c>
      <c r="AB568" t="s">
        <v>154</v>
      </c>
      <c r="AC568" t="s">
        <v>119</v>
      </c>
      <c r="AD568" t="s">
        <v>112</v>
      </c>
      <c r="AE568" t="s">
        <v>121</v>
      </c>
      <c r="AF568" t="s">
        <v>122</v>
      </c>
      <c r="AG568">
        <v>3685884.25</v>
      </c>
      <c r="AH568" t="s">
        <v>166</v>
      </c>
      <c r="AI568" t="s">
        <v>152</v>
      </c>
      <c r="AJ568" t="s">
        <v>153</v>
      </c>
      <c r="AK568" t="s">
        <v>154</v>
      </c>
      <c r="AL568" t="s">
        <v>119</v>
      </c>
      <c r="AM568" t="s">
        <v>112</v>
      </c>
      <c r="AN568" t="s">
        <v>121</v>
      </c>
      <c r="AO568" t="s">
        <v>122</v>
      </c>
      <c r="AP568" t="s">
        <v>122</v>
      </c>
      <c r="AQ568" t="s">
        <v>124</v>
      </c>
      <c r="AR568" t="s">
        <v>125</v>
      </c>
      <c r="AS568">
        <v>2</v>
      </c>
      <c r="AT568" t="s">
        <v>126</v>
      </c>
      <c r="AU568" t="s">
        <v>155</v>
      </c>
      <c r="AV568" t="s">
        <v>156</v>
      </c>
      <c r="AW568">
        <v>1</v>
      </c>
      <c r="AX568" t="s">
        <v>129</v>
      </c>
      <c r="AY568">
        <v>42501.88</v>
      </c>
      <c r="AZ568">
        <v>3343665</v>
      </c>
      <c r="BA568">
        <v>50059.07</v>
      </c>
      <c r="BB568">
        <v>78.671000000000006</v>
      </c>
      <c r="BC568" t="s">
        <v>130</v>
      </c>
      <c r="BD568" t="s">
        <v>112</v>
      </c>
      <c r="BE568" t="s">
        <v>157</v>
      </c>
      <c r="BF568" t="s">
        <v>133</v>
      </c>
      <c r="BG568" t="s">
        <v>134</v>
      </c>
      <c r="BH568" t="s">
        <v>112</v>
      </c>
      <c r="BI568" t="s">
        <v>112</v>
      </c>
      <c r="BJ568" t="s">
        <v>112</v>
      </c>
      <c r="BK568" t="s">
        <v>169</v>
      </c>
      <c r="BL568" t="s">
        <v>159</v>
      </c>
      <c r="BM568" t="s">
        <v>212</v>
      </c>
      <c r="BN568" t="s">
        <v>161</v>
      </c>
      <c r="BO568">
        <v>1</v>
      </c>
      <c r="BP568" t="s">
        <v>571</v>
      </c>
      <c r="BR568" t="s">
        <v>150</v>
      </c>
      <c r="BS568">
        <v>33</v>
      </c>
      <c r="BT568">
        <v>0</v>
      </c>
      <c r="BU568">
        <v>0</v>
      </c>
      <c r="BW568">
        <v>0</v>
      </c>
      <c r="BY568" t="s">
        <v>106</v>
      </c>
      <c r="BZ568" t="s">
        <v>142</v>
      </c>
      <c r="CA568" t="s">
        <v>112</v>
      </c>
      <c r="CB568" t="s">
        <v>112</v>
      </c>
      <c r="CC568" t="s">
        <v>121</v>
      </c>
      <c r="CD568">
        <v>16869.98</v>
      </c>
      <c r="CE568" t="s">
        <v>144</v>
      </c>
      <c r="CF568">
        <v>4000000</v>
      </c>
      <c r="CG568">
        <v>16812.38</v>
      </c>
      <c r="CH568">
        <v>0</v>
      </c>
      <c r="CI568" t="s">
        <v>112</v>
      </c>
      <c r="CJ568" t="s">
        <v>112</v>
      </c>
      <c r="CK568">
        <v>42501.88</v>
      </c>
      <c r="CL568">
        <v>3343665</v>
      </c>
      <c r="CM568">
        <v>0</v>
      </c>
      <c r="CN568">
        <v>1</v>
      </c>
      <c r="CO568">
        <v>3685884.25</v>
      </c>
      <c r="CP568">
        <v>50059.07</v>
      </c>
      <c r="CQ568" t="s">
        <v>145</v>
      </c>
      <c r="CR568">
        <v>50058.861450000004</v>
      </c>
      <c r="CS568">
        <v>2.9775</v>
      </c>
      <c r="CT568">
        <v>45</v>
      </c>
      <c r="CU568" t="s">
        <v>171</v>
      </c>
      <c r="CV568" t="s">
        <v>350</v>
      </c>
      <c r="CW568">
        <v>568</v>
      </c>
    </row>
    <row r="569" spans="1:101" x14ac:dyDescent="0.2">
      <c r="A569" t="s">
        <v>106</v>
      </c>
      <c r="B569" s="46">
        <v>44600</v>
      </c>
      <c r="C569" t="s">
        <v>566</v>
      </c>
      <c r="D569" t="s">
        <v>108</v>
      </c>
      <c r="E569" t="s">
        <v>567</v>
      </c>
      <c r="F569" t="s">
        <v>110</v>
      </c>
      <c r="G569" t="s">
        <v>111</v>
      </c>
      <c r="H569" t="s">
        <v>112</v>
      </c>
      <c r="I569" t="s">
        <v>112</v>
      </c>
      <c r="J569" t="s">
        <v>112</v>
      </c>
      <c r="K569" t="s">
        <v>150</v>
      </c>
      <c r="L569" t="s">
        <v>151</v>
      </c>
      <c r="M569" t="s">
        <v>112</v>
      </c>
      <c r="N569" t="s">
        <v>112</v>
      </c>
      <c r="O569">
        <v>1</v>
      </c>
      <c r="P569">
        <v>0</v>
      </c>
      <c r="Q569">
        <v>1</v>
      </c>
      <c r="R569">
        <v>33</v>
      </c>
      <c r="S569" t="s">
        <v>166</v>
      </c>
      <c r="T569" t="s">
        <v>152</v>
      </c>
      <c r="U569" t="s">
        <v>153</v>
      </c>
      <c r="V569" t="s">
        <v>154</v>
      </c>
      <c r="W569" t="s">
        <v>119</v>
      </c>
      <c r="X569" t="s">
        <v>112</v>
      </c>
      <c r="Y569" t="s">
        <v>166</v>
      </c>
      <c r="Z569" t="s">
        <v>152</v>
      </c>
      <c r="AA569" t="s">
        <v>153</v>
      </c>
      <c r="AB569" t="s">
        <v>154</v>
      </c>
      <c r="AC569" t="s">
        <v>119</v>
      </c>
      <c r="AD569" t="s">
        <v>112</v>
      </c>
      <c r="AE569" t="s">
        <v>121</v>
      </c>
      <c r="AF569" t="s">
        <v>122</v>
      </c>
      <c r="AG569">
        <v>3726311.7</v>
      </c>
      <c r="AH569" t="s">
        <v>166</v>
      </c>
      <c r="AI569" t="s">
        <v>152</v>
      </c>
      <c r="AJ569" t="s">
        <v>153</v>
      </c>
      <c r="AK569" t="s">
        <v>154</v>
      </c>
      <c r="AL569" t="s">
        <v>119</v>
      </c>
      <c r="AM569" t="s">
        <v>112</v>
      </c>
      <c r="AN569" t="s">
        <v>121</v>
      </c>
      <c r="AO569" t="s">
        <v>122</v>
      </c>
      <c r="AP569" t="s">
        <v>122</v>
      </c>
      <c r="AQ569" t="s">
        <v>124</v>
      </c>
      <c r="AR569" t="s">
        <v>125</v>
      </c>
      <c r="AS569">
        <v>2</v>
      </c>
      <c r="AT569" t="s">
        <v>126</v>
      </c>
      <c r="AU569" t="s">
        <v>155</v>
      </c>
      <c r="AV569" t="s">
        <v>156</v>
      </c>
      <c r="AW569">
        <v>1</v>
      </c>
      <c r="AX569" t="s">
        <v>129</v>
      </c>
      <c r="AY569">
        <v>43015.76</v>
      </c>
      <c r="AZ569">
        <v>3384093</v>
      </c>
      <c r="BA569">
        <v>50608.13</v>
      </c>
      <c r="BB569">
        <v>78.671000000000006</v>
      </c>
      <c r="BC569" t="s">
        <v>130</v>
      </c>
      <c r="BD569" t="s">
        <v>112</v>
      </c>
      <c r="BE569" t="s">
        <v>157</v>
      </c>
      <c r="BF569" t="s">
        <v>133</v>
      </c>
      <c r="BG569" t="s">
        <v>134</v>
      </c>
      <c r="BH569" t="s">
        <v>112</v>
      </c>
      <c r="BI569" t="s">
        <v>112</v>
      </c>
      <c r="BJ569" t="s">
        <v>112</v>
      </c>
      <c r="BK569" t="s">
        <v>169</v>
      </c>
      <c r="BL569" t="s">
        <v>159</v>
      </c>
      <c r="BM569" t="s">
        <v>212</v>
      </c>
      <c r="BN569" t="s">
        <v>161</v>
      </c>
      <c r="BO569">
        <v>1</v>
      </c>
      <c r="BP569" t="s">
        <v>568</v>
      </c>
      <c r="BR569" t="s">
        <v>150</v>
      </c>
      <c r="BS569">
        <v>33</v>
      </c>
      <c r="BT569">
        <v>0</v>
      </c>
      <c r="BU569">
        <v>0</v>
      </c>
      <c r="BW569">
        <v>0</v>
      </c>
      <c r="BY569" t="s">
        <v>106</v>
      </c>
      <c r="BZ569" t="s">
        <v>142</v>
      </c>
      <c r="CA569" t="s">
        <v>112</v>
      </c>
      <c r="CB569" t="s">
        <v>112</v>
      </c>
      <c r="CC569" t="s">
        <v>121</v>
      </c>
      <c r="CD569">
        <v>16833.05</v>
      </c>
      <c r="CE569" t="s">
        <v>144</v>
      </c>
      <c r="CF569">
        <v>4000000</v>
      </c>
      <c r="CG569">
        <v>16779.05</v>
      </c>
      <c r="CH569">
        <v>0</v>
      </c>
      <c r="CI569" t="s">
        <v>112</v>
      </c>
      <c r="CJ569" t="s">
        <v>112</v>
      </c>
      <c r="CK569">
        <v>43015.76</v>
      </c>
      <c r="CL569">
        <v>3384093</v>
      </c>
      <c r="CM569">
        <v>0</v>
      </c>
      <c r="CN569">
        <v>1</v>
      </c>
      <c r="CO569">
        <v>3726311.7</v>
      </c>
      <c r="CP569">
        <v>50608.13</v>
      </c>
      <c r="CQ569" t="s">
        <v>145</v>
      </c>
      <c r="CR569">
        <v>50607.292704999993</v>
      </c>
      <c r="CS569">
        <v>3.0160999999999998</v>
      </c>
      <c r="CT569">
        <v>45</v>
      </c>
      <c r="CU569" t="s">
        <v>171</v>
      </c>
      <c r="CV569" t="s">
        <v>372</v>
      </c>
      <c r="CW569">
        <v>68</v>
      </c>
    </row>
    <row r="570" spans="1:101" x14ac:dyDescent="0.2">
      <c r="A570" t="s">
        <v>106</v>
      </c>
      <c r="B570" s="46">
        <v>44634</v>
      </c>
      <c r="C570" t="s">
        <v>559</v>
      </c>
      <c r="D570" t="s">
        <v>108</v>
      </c>
      <c r="E570" t="s">
        <v>560</v>
      </c>
      <c r="F570" t="s">
        <v>110</v>
      </c>
      <c r="G570" t="s">
        <v>111</v>
      </c>
      <c r="H570" t="s">
        <v>112</v>
      </c>
      <c r="I570" t="s">
        <v>112</v>
      </c>
      <c r="J570" t="s">
        <v>112</v>
      </c>
      <c r="K570" t="s">
        <v>150</v>
      </c>
      <c r="L570" t="s">
        <v>151</v>
      </c>
      <c r="M570" t="s">
        <v>112</v>
      </c>
      <c r="N570" t="s">
        <v>112</v>
      </c>
      <c r="O570">
        <v>1</v>
      </c>
      <c r="P570">
        <v>0</v>
      </c>
      <c r="Q570">
        <v>1</v>
      </c>
      <c r="R570">
        <v>38</v>
      </c>
      <c r="S570" t="s">
        <v>166</v>
      </c>
      <c r="T570" t="s">
        <v>152</v>
      </c>
      <c r="U570" t="s">
        <v>153</v>
      </c>
      <c r="V570" t="s">
        <v>154</v>
      </c>
      <c r="W570" t="s">
        <v>119</v>
      </c>
      <c r="X570" t="s">
        <v>112</v>
      </c>
      <c r="Y570" t="s">
        <v>166</v>
      </c>
      <c r="Z570" t="s">
        <v>152</v>
      </c>
      <c r="AA570" t="s">
        <v>153</v>
      </c>
      <c r="AB570" t="s">
        <v>154</v>
      </c>
      <c r="AC570" t="s">
        <v>119</v>
      </c>
      <c r="AD570" t="s">
        <v>112</v>
      </c>
      <c r="AE570" t="s">
        <v>121</v>
      </c>
      <c r="AF570" t="s">
        <v>122</v>
      </c>
      <c r="AG570">
        <v>4001225.94</v>
      </c>
      <c r="AH570" t="s">
        <v>166</v>
      </c>
      <c r="AI570" t="s">
        <v>152</v>
      </c>
      <c r="AJ570" t="s">
        <v>153</v>
      </c>
      <c r="AK570" t="s">
        <v>154</v>
      </c>
      <c r="AL570" t="s">
        <v>119</v>
      </c>
      <c r="AM570" t="s">
        <v>112</v>
      </c>
      <c r="AN570" t="s">
        <v>121</v>
      </c>
      <c r="AO570" t="s">
        <v>122</v>
      </c>
      <c r="AP570" t="s">
        <v>122</v>
      </c>
      <c r="AQ570" t="s">
        <v>124</v>
      </c>
      <c r="AR570" t="s">
        <v>125</v>
      </c>
      <c r="AS570">
        <v>2</v>
      </c>
      <c r="AT570" t="s">
        <v>126</v>
      </c>
      <c r="AU570" t="s">
        <v>155</v>
      </c>
      <c r="AV570" t="s">
        <v>156</v>
      </c>
      <c r="AW570">
        <v>1</v>
      </c>
      <c r="AX570" t="s">
        <v>129</v>
      </c>
      <c r="AY570">
        <v>46510.239999999998</v>
      </c>
      <c r="AZ570">
        <v>3659007</v>
      </c>
      <c r="BA570">
        <v>54341.82</v>
      </c>
      <c r="BB570">
        <v>78.671000000000006</v>
      </c>
      <c r="BC570" t="s">
        <v>130</v>
      </c>
      <c r="BD570" t="s">
        <v>112</v>
      </c>
      <c r="BE570" t="s">
        <v>157</v>
      </c>
      <c r="BF570" t="s">
        <v>133</v>
      </c>
      <c r="BG570" t="s">
        <v>134</v>
      </c>
      <c r="BH570" t="s">
        <v>112</v>
      </c>
      <c r="BI570" t="s">
        <v>112</v>
      </c>
      <c r="BJ570" t="s">
        <v>112</v>
      </c>
      <c r="BK570" t="s">
        <v>169</v>
      </c>
      <c r="BL570" t="s">
        <v>159</v>
      </c>
      <c r="BM570" t="s">
        <v>212</v>
      </c>
      <c r="BN570" t="s">
        <v>161</v>
      </c>
      <c r="BO570">
        <v>1</v>
      </c>
      <c r="BP570" t="s">
        <v>561</v>
      </c>
      <c r="BR570" t="s">
        <v>150</v>
      </c>
      <c r="BS570">
        <v>38</v>
      </c>
      <c r="BT570">
        <v>0</v>
      </c>
      <c r="BU570">
        <v>0</v>
      </c>
      <c r="BW570">
        <v>0</v>
      </c>
      <c r="BY570" t="s">
        <v>106</v>
      </c>
      <c r="BZ570" t="s">
        <v>142</v>
      </c>
      <c r="CA570" t="s">
        <v>112</v>
      </c>
      <c r="CB570" t="s">
        <v>112</v>
      </c>
      <c r="CC570" t="s">
        <v>121</v>
      </c>
      <c r="CD570">
        <v>19681.93</v>
      </c>
      <c r="CE570" t="s">
        <v>144</v>
      </c>
      <c r="CF570">
        <v>4000000</v>
      </c>
      <c r="CG570">
        <v>19617.13</v>
      </c>
      <c r="CH570">
        <v>0</v>
      </c>
      <c r="CI570" t="s">
        <v>112</v>
      </c>
      <c r="CJ570" t="s">
        <v>112</v>
      </c>
      <c r="CK570">
        <v>46510.239999999998</v>
      </c>
      <c r="CL570">
        <v>3659007</v>
      </c>
      <c r="CM570">
        <v>0</v>
      </c>
      <c r="CN570">
        <v>1</v>
      </c>
      <c r="CO570">
        <v>4001225.94</v>
      </c>
      <c r="CP570">
        <v>54341.82</v>
      </c>
      <c r="CQ570" t="s">
        <v>145</v>
      </c>
      <c r="CR570">
        <v>54341.411812999999</v>
      </c>
      <c r="CS570">
        <v>2.7700999999999998</v>
      </c>
      <c r="CT570">
        <v>45</v>
      </c>
      <c r="CU570" t="s">
        <v>171</v>
      </c>
      <c r="CV570" t="s">
        <v>463</v>
      </c>
      <c r="CW570">
        <v>282</v>
      </c>
    </row>
    <row r="571" spans="1:101" x14ac:dyDescent="0.2">
      <c r="A571" t="s">
        <v>106</v>
      </c>
      <c r="B571" s="46">
        <v>44676</v>
      </c>
      <c r="C571" t="s">
        <v>244</v>
      </c>
      <c r="D571" t="s">
        <v>108</v>
      </c>
      <c r="E571" t="s">
        <v>245</v>
      </c>
      <c r="F571" t="s">
        <v>110</v>
      </c>
      <c r="G571" t="s">
        <v>111</v>
      </c>
      <c r="H571" t="s">
        <v>112</v>
      </c>
      <c r="I571" t="s">
        <v>112</v>
      </c>
      <c r="J571" t="s">
        <v>112</v>
      </c>
      <c r="K571" t="s">
        <v>175</v>
      </c>
      <c r="L571" t="s">
        <v>176</v>
      </c>
      <c r="M571" t="s">
        <v>112</v>
      </c>
      <c r="N571" t="s">
        <v>112</v>
      </c>
      <c r="O571">
        <v>1</v>
      </c>
      <c r="Q571">
        <v>1</v>
      </c>
      <c r="R571">
        <v>33</v>
      </c>
      <c r="S571" t="s">
        <v>166</v>
      </c>
      <c r="T571" t="s">
        <v>152</v>
      </c>
      <c r="U571" t="s">
        <v>153</v>
      </c>
      <c r="V571" t="s">
        <v>177</v>
      </c>
      <c r="W571" t="s">
        <v>119</v>
      </c>
      <c r="X571" t="s">
        <v>112</v>
      </c>
      <c r="Y571" t="s">
        <v>166</v>
      </c>
      <c r="Z571" t="s">
        <v>152</v>
      </c>
      <c r="AA571" t="s">
        <v>153</v>
      </c>
      <c r="AB571" t="s">
        <v>177</v>
      </c>
      <c r="AC571" t="s">
        <v>119</v>
      </c>
      <c r="AD571" t="s">
        <v>112</v>
      </c>
      <c r="AE571" t="s">
        <v>121</v>
      </c>
      <c r="AF571" t="s">
        <v>122</v>
      </c>
      <c r="AG571">
        <v>3182376.41</v>
      </c>
      <c r="AH571" t="s">
        <v>166</v>
      </c>
      <c r="AI571" t="s">
        <v>152</v>
      </c>
      <c r="AJ571" t="s">
        <v>153</v>
      </c>
      <c r="AK571" t="s">
        <v>177</v>
      </c>
      <c r="AL571" t="s">
        <v>119</v>
      </c>
      <c r="AM571" t="s">
        <v>112</v>
      </c>
      <c r="AN571" t="s">
        <v>121</v>
      </c>
      <c r="AO571" t="s">
        <v>122</v>
      </c>
      <c r="AP571" t="s">
        <v>122</v>
      </c>
      <c r="AQ571" t="s">
        <v>124</v>
      </c>
      <c r="AR571" t="s">
        <v>125</v>
      </c>
      <c r="AS571">
        <v>2</v>
      </c>
      <c r="AT571" t="s">
        <v>106</v>
      </c>
      <c r="AU571" t="s">
        <v>155</v>
      </c>
      <c r="AV571" t="s">
        <v>156</v>
      </c>
      <c r="AW571">
        <v>1</v>
      </c>
      <c r="AX571" t="s">
        <v>129</v>
      </c>
      <c r="AY571">
        <v>40008.54</v>
      </c>
      <c r="AZ571">
        <v>2925148</v>
      </c>
      <c r="BA571">
        <v>47094.41</v>
      </c>
      <c r="BB571">
        <v>73.113100000000003</v>
      </c>
      <c r="BC571" t="s">
        <v>130</v>
      </c>
      <c r="BD571" t="s">
        <v>112</v>
      </c>
      <c r="BE571" t="s">
        <v>157</v>
      </c>
      <c r="BF571" t="s">
        <v>133</v>
      </c>
      <c r="BG571" t="s">
        <v>134</v>
      </c>
      <c r="BH571" t="s">
        <v>112</v>
      </c>
      <c r="BI571" t="s">
        <v>178</v>
      </c>
      <c r="BJ571" t="s">
        <v>112</v>
      </c>
      <c r="BK571" t="s">
        <v>125</v>
      </c>
      <c r="BL571" t="s">
        <v>179</v>
      </c>
      <c r="BM571" t="s">
        <v>180</v>
      </c>
      <c r="BN571" t="s">
        <v>181</v>
      </c>
      <c r="BO571">
        <v>1</v>
      </c>
      <c r="BP571" t="s">
        <v>199</v>
      </c>
      <c r="BR571" t="s">
        <v>150</v>
      </c>
      <c r="BS571">
        <v>33</v>
      </c>
      <c r="BT571">
        <v>1</v>
      </c>
      <c r="BY571" t="s">
        <v>106</v>
      </c>
      <c r="BZ571" t="s">
        <v>142</v>
      </c>
      <c r="CA571" t="s">
        <v>112</v>
      </c>
      <c r="CB571" t="s">
        <v>112</v>
      </c>
      <c r="CC571" t="s">
        <v>121</v>
      </c>
      <c r="CD571">
        <v>17072.66</v>
      </c>
      <c r="CE571" t="s">
        <v>144</v>
      </c>
      <c r="CF571">
        <v>4000000</v>
      </c>
      <c r="CG571">
        <v>16982.66</v>
      </c>
      <c r="CI571" t="s">
        <v>112</v>
      </c>
      <c r="CJ571" t="s">
        <v>112</v>
      </c>
      <c r="CK571">
        <v>40008.54</v>
      </c>
      <c r="CL571">
        <v>2925148</v>
      </c>
      <c r="CM571">
        <v>0</v>
      </c>
      <c r="CN571">
        <v>1</v>
      </c>
      <c r="CO571">
        <v>3182376.41</v>
      </c>
      <c r="CP571">
        <v>47094.41</v>
      </c>
      <c r="CQ571" t="s">
        <v>145</v>
      </c>
      <c r="CR571">
        <v>47094.614446</v>
      </c>
      <c r="CS571">
        <v>2.7730999999999999</v>
      </c>
      <c r="CT571">
        <v>941</v>
      </c>
      <c r="CU571" t="s">
        <v>183</v>
      </c>
      <c r="CV571" t="s">
        <v>147</v>
      </c>
      <c r="CW571">
        <v>560</v>
      </c>
    </row>
    <row r="572" spans="1:101" x14ac:dyDescent="0.2">
      <c r="A572" t="s">
        <v>106</v>
      </c>
      <c r="B572" s="46">
        <v>44764</v>
      </c>
      <c r="C572" t="s">
        <v>240</v>
      </c>
      <c r="D572" t="s">
        <v>108</v>
      </c>
      <c r="E572" t="s">
        <v>241</v>
      </c>
      <c r="F572" t="s">
        <v>3244</v>
      </c>
      <c r="G572" t="s">
        <v>111</v>
      </c>
      <c r="H572" t="s">
        <v>112</v>
      </c>
      <c r="I572" t="s">
        <v>112</v>
      </c>
      <c r="J572" t="s">
        <v>112</v>
      </c>
      <c r="K572" t="s">
        <v>175</v>
      </c>
      <c r="L572" t="s">
        <v>176</v>
      </c>
      <c r="M572" t="s">
        <v>112</v>
      </c>
      <c r="N572" t="s">
        <v>112</v>
      </c>
      <c r="O572">
        <v>1</v>
      </c>
      <c r="Q572">
        <v>1</v>
      </c>
      <c r="R572">
        <v>33</v>
      </c>
      <c r="S572" t="s">
        <v>166</v>
      </c>
      <c r="T572" t="s">
        <v>152</v>
      </c>
      <c r="U572" t="s">
        <v>153</v>
      </c>
      <c r="V572" t="s">
        <v>177</v>
      </c>
      <c r="W572" t="s">
        <v>119</v>
      </c>
      <c r="X572" t="s">
        <v>112</v>
      </c>
      <c r="Y572" t="s">
        <v>166</v>
      </c>
      <c r="Z572" t="s">
        <v>152</v>
      </c>
      <c r="AA572" t="s">
        <v>153</v>
      </c>
      <c r="AB572" t="s">
        <v>177</v>
      </c>
      <c r="AC572" t="s">
        <v>119</v>
      </c>
      <c r="AD572" t="s">
        <v>112</v>
      </c>
      <c r="AE572" t="s">
        <v>121</v>
      </c>
      <c r="AF572" t="s">
        <v>122</v>
      </c>
      <c r="AG572">
        <v>3279996.29</v>
      </c>
      <c r="AH572" t="s">
        <v>166</v>
      </c>
      <c r="AI572" t="s">
        <v>152</v>
      </c>
      <c r="AJ572" t="s">
        <v>153</v>
      </c>
      <c r="AK572" t="s">
        <v>177</v>
      </c>
      <c r="AL572" t="s">
        <v>119</v>
      </c>
      <c r="AM572" t="s">
        <v>112</v>
      </c>
      <c r="AN572" t="s">
        <v>121</v>
      </c>
      <c r="AO572" t="s">
        <v>122</v>
      </c>
      <c r="AP572" t="s">
        <v>122</v>
      </c>
      <c r="AQ572" t="s">
        <v>124</v>
      </c>
      <c r="AR572" t="s">
        <v>125</v>
      </c>
      <c r="AS572">
        <v>2</v>
      </c>
      <c r="AT572" t="s">
        <v>106</v>
      </c>
      <c r="AU572" t="s">
        <v>155</v>
      </c>
      <c r="AV572" t="s">
        <v>156</v>
      </c>
      <c r="AW572">
        <v>1</v>
      </c>
      <c r="AX572" t="s">
        <v>129</v>
      </c>
      <c r="AY572">
        <v>41343.730000000003</v>
      </c>
      <c r="AZ572">
        <v>3022768</v>
      </c>
      <c r="BA572">
        <v>48539.040000000001</v>
      </c>
      <c r="BB572">
        <v>73.113100000000003</v>
      </c>
      <c r="BC572" t="s">
        <v>130</v>
      </c>
      <c r="BD572" t="s">
        <v>112</v>
      </c>
      <c r="BE572" t="s">
        <v>157</v>
      </c>
      <c r="BF572" t="s">
        <v>133</v>
      </c>
      <c r="BG572" t="s">
        <v>134</v>
      </c>
      <c r="BH572" t="s">
        <v>112</v>
      </c>
      <c r="BI572" t="s">
        <v>178</v>
      </c>
      <c r="BJ572" t="s">
        <v>112</v>
      </c>
      <c r="BK572" t="s">
        <v>125</v>
      </c>
      <c r="BL572" t="s">
        <v>179</v>
      </c>
      <c r="BM572" t="s">
        <v>180</v>
      </c>
      <c r="BN572" t="s">
        <v>181</v>
      </c>
      <c r="BO572">
        <v>1</v>
      </c>
      <c r="BP572" t="s">
        <v>202</v>
      </c>
      <c r="BR572" t="s">
        <v>150</v>
      </c>
      <c r="BS572">
        <v>33</v>
      </c>
      <c r="BT572">
        <v>1</v>
      </c>
      <c r="BY572" t="s">
        <v>106</v>
      </c>
      <c r="BZ572" t="s">
        <v>142</v>
      </c>
      <c r="CA572" t="s">
        <v>112</v>
      </c>
      <c r="CB572" t="s">
        <v>112</v>
      </c>
      <c r="CC572" t="s">
        <v>121</v>
      </c>
      <c r="CD572">
        <v>17243.75</v>
      </c>
      <c r="CE572" t="s">
        <v>144</v>
      </c>
      <c r="CF572">
        <v>4000000</v>
      </c>
      <c r="CG572">
        <v>17243.75</v>
      </c>
      <c r="CI572" t="s">
        <v>112</v>
      </c>
      <c r="CJ572" t="s">
        <v>112</v>
      </c>
      <c r="CK572">
        <v>41343.730000000003</v>
      </c>
      <c r="CL572">
        <v>3022768</v>
      </c>
      <c r="CM572">
        <v>0</v>
      </c>
      <c r="CN572">
        <v>1</v>
      </c>
      <c r="CO572">
        <v>3279996.29</v>
      </c>
      <c r="CP572">
        <v>48539.040000000001</v>
      </c>
      <c r="CQ572" t="s">
        <v>145</v>
      </c>
      <c r="CR572">
        <v>48539.431875000002</v>
      </c>
      <c r="CS572">
        <v>2.8149000000000002</v>
      </c>
      <c r="CT572">
        <v>941</v>
      </c>
      <c r="CU572" t="s">
        <v>183</v>
      </c>
      <c r="CV572" t="s">
        <v>147</v>
      </c>
      <c r="CW572">
        <v>560</v>
      </c>
    </row>
    <row r="573" spans="1:101" x14ac:dyDescent="0.2">
      <c r="A573" t="s">
        <v>106</v>
      </c>
      <c r="B573" s="46">
        <v>44625</v>
      </c>
      <c r="C573" t="s">
        <v>246</v>
      </c>
      <c r="D573" t="s">
        <v>108</v>
      </c>
      <c r="E573" t="s">
        <v>247</v>
      </c>
      <c r="F573" t="s">
        <v>3244</v>
      </c>
      <c r="G573" t="s">
        <v>111</v>
      </c>
      <c r="H573" t="s">
        <v>112</v>
      </c>
      <c r="I573" t="s">
        <v>112</v>
      </c>
      <c r="J573" t="s">
        <v>112</v>
      </c>
      <c r="K573" t="s">
        <v>175</v>
      </c>
      <c r="L573" t="s">
        <v>176</v>
      </c>
      <c r="M573" t="s">
        <v>112</v>
      </c>
      <c r="N573" t="s">
        <v>112</v>
      </c>
      <c r="O573">
        <v>1</v>
      </c>
      <c r="P573">
        <v>0</v>
      </c>
      <c r="Q573">
        <v>1</v>
      </c>
      <c r="R573">
        <v>33</v>
      </c>
      <c r="S573" t="s">
        <v>166</v>
      </c>
      <c r="T573" t="s">
        <v>152</v>
      </c>
      <c r="U573" t="s">
        <v>153</v>
      </c>
      <c r="V573" t="s">
        <v>177</v>
      </c>
      <c r="W573" t="s">
        <v>119</v>
      </c>
      <c r="X573" t="s">
        <v>112</v>
      </c>
      <c r="Y573" t="s">
        <v>166</v>
      </c>
      <c r="Z573" t="s">
        <v>152</v>
      </c>
      <c r="AA573" t="s">
        <v>153</v>
      </c>
      <c r="AB573" t="s">
        <v>177</v>
      </c>
      <c r="AC573" t="s">
        <v>119</v>
      </c>
      <c r="AD573" t="s">
        <v>112</v>
      </c>
      <c r="AE573" t="s">
        <v>121</v>
      </c>
      <c r="AF573" t="s">
        <v>122</v>
      </c>
      <c r="AG573">
        <v>3718204.77</v>
      </c>
      <c r="AH573" t="s">
        <v>166</v>
      </c>
      <c r="AI573" t="s">
        <v>152</v>
      </c>
      <c r="AJ573" t="s">
        <v>153</v>
      </c>
      <c r="AK573" t="s">
        <v>177</v>
      </c>
      <c r="AL573" t="s">
        <v>119</v>
      </c>
      <c r="AM573" t="s">
        <v>112</v>
      </c>
      <c r="AN573" t="s">
        <v>121</v>
      </c>
      <c r="AO573" t="s">
        <v>122</v>
      </c>
      <c r="AP573" t="s">
        <v>122</v>
      </c>
      <c r="AQ573" t="s">
        <v>124</v>
      </c>
      <c r="AR573" t="s">
        <v>125</v>
      </c>
      <c r="AS573">
        <v>2</v>
      </c>
      <c r="AT573" t="s">
        <v>106</v>
      </c>
      <c r="AU573" t="s">
        <v>155</v>
      </c>
      <c r="AV573" t="s">
        <v>156</v>
      </c>
      <c r="AW573">
        <v>1</v>
      </c>
      <c r="AX573" t="s">
        <v>129</v>
      </c>
      <c r="AY573">
        <v>47337.3</v>
      </c>
      <c r="AZ573">
        <v>3460977</v>
      </c>
      <c r="BA573">
        <v>55023.87</v>
      </c>
      <c r="BB573">
        <v>73.113100000000003</v>
      </c>
      <c r="BC573" t="s">
        <v>130</v>
      </c>
      <c r="BD573" t="s">
        <v>112</v>
      </c>
      <c r="BE573" t="s">
        <v>157</v>
      </c>
      <c r="BF573" t="s">
        <v>133</v>
      </c>
      <c r="BG573" t="s">
        <v>134</v>
      </c>
      <c r="BH573" t="s">
        <v>112</v>
      </c>
      <c r="BI573" t="s">
        <v>178</v>
      </c>
      <c r="BJ573" t="s">
        <v>112</v>
      </c>
      <c r="BK573" t="s">
        <v>125</v>
      </c>
      <c r="BL573" t="s">
        <v>179</v>
      </c>
      <c r="BM573" t="s">
        <v>180</v>
      </c>
      <c r="BN573" t="s">
        <v>181</v>
      </c>
      <c r="BO573">
        <v>1</v>
      </c>
      <c r="BP573" t="s">
        <v>199</v>
      </c>
      <c r="BR573" t="s">
        <v>150</v>
      </c>
      <c r="BS573">
        <v>33</v>
      </c>
      <c r="BT573">
        <v>1</v>
      </c>
      <c r="BU573">
        <v>0</v>
      </c>
      <c r="BW573">
        <v>0</v>
      </c>
      <c r="BY573" t="s">
        <v>106</v>
      </c>
      <c r="BZ573" t="s">
        <v>142</v>
      </c>
      <c r="CA573" t="s">
        <v>112</v>
      </c>
      <c r="CB573" t="s">
        <v>112</v>
      </c>
      <c r="CC573" t="s">
        <v>121</v>
      </c>
      <c r="CD573">
        <v>16646.240000000002</v>
      </c>
      <c r="CE573" t="s">
        <v>144</v>
      </c>
      <c r="CF573">
        <v>4000000</v>
      </c>
      <c r="CG573">
        <v>16484.240000000002</v>
      </c>
      <c r="CH573">
        <v>0</v>
      </c>
      <c r="CI573" t="s">
        <v>112</v>
      </c>
      <c r="CJ573" t="s">
        <v>112</v>
      </c>
      <c r="CK573">
        <v>47337.3</v>
      </c>
      <c r="CL573">
        <v>3460977</v>
      </c>
      <c r="CM573">
        <v>0</v>
      </c>
      <c r="CN573">
        <v>1</v>
      </c>
      <c r="CO573">
        <v>3718204.77</v>
      </c>
      <c r="CP573">
        <v>55023.87</v>
      </c>
      <c r="CQ573" t="s">
        <v>145</v>
      </c>
      <c r="CR573">
        <v>55024.393120000008</v>
      </c>
      <c r="CS573">
        <v>3.3380000000000001</v>
      </c>
      <c r="CT573">
        <v>941</v>
      </c>
      <c r="CU573" t="s">
        <v>183</v>
      </c>
      <c r="CV573" t="s">
        <v>147</v>
      </c>
      <c r="CW573">
        <v>1</v>
      </c>
    </row>
    <row r="574" spans="1:101" x14ac:dyDescent="0.2">
      <c r="A574" t="s">
        <v>106</v>
      </c>
      <c r="B574" s="46">
        <v>44586</v>
      </c>
      <c r="C574" t="s">
        <v>256</v>
      </c>
      <c r="D574" t="s">
        <v>108</v>
      </c>
      <c r="E574" t="s">
        <v>257</v>
      </c>
      <c r="F574" t="s">
        <v>3244</v>
      </c>
      <c r="G574" t="s">
        <v>111</v>
      </c>
      <c r="H574" t="s">
        <v>112</v>
      </c>
      <c r="I574" t="s">
        <v>112</v>
      </c>
      <c r="J574" t="s">
        <v>112</v>
      </c>
      <c r="K574" t="s">
        <v>175</v>
      </c>
      <c r="L574" t="s">
        <v>176</v>
      </c>
      <c r="M574" t="s">
        <v>112</v>
      </c>
      <c r="N574" t="s">
        <v>112</v>
      </c>
      <c r="O574">
        <v>1</v>
      </c>
      <c r="P574">
        <v>0</v>
      </c>
      <c r="Q574">
        <v>1</v>
      </c>
      <c r="R574">
        <v>33</v>
      </c>
      <c r="S574" t="s">
        <v>166</v>
      </c>
      <c r="T574" t="s">
        <v>152</v>
      </c>
      <c r="U574" t="s">
        <v>153</v>
      </c>
      <c r="V574" t="s">
        <v>177</v>
      </c>
      <c r="W574" t="s">
        <v>119</v>
      </c>
      <c r="X574" t="s">
        <v>112</v>
      </c>
      <c r="Y574" t="s">
        <v>166</v>
      </c>
      <c r="Z574" t="s">
        <v>152</v>
      </c>
      <c r="AA574" t="s">
        <v>153</v>
      </c>
      <c r="AB574" t="s">
        <v>177</v>
      </c>
      <c r="AC574" t="s">
        <v>119</v>
      </c>
      <c r="AD574" t="s">
        <v>112</v>
      </c>
      <c r="AE574" t="s">
        <v>121</v>
      </c>
      <c r="AF574" t="s">
        <v>122</v>
      </c>
      <c r="AG574">
        <v>2984409.53</v>
      </c>
      <c r="AH574" t="s">
        <v>166</v>
      </c>
      <c r="AI574" t="s">
        <v>152</v>
      </c>
      <c r="AJ574" t="s">
        <v>153</v>
      </c>
      <c r="AK574" t="s">
        <v>177</v>
      </c>
      <c r="AL574" t="s">
        <v>119</v>
      </c>
      <c r="AM574" t="s">
        <v>112</v>
      </c>
      <c r="AN574" t="s">
        <v>121</v>
      </c>
      <c r="AO574" t="s">
        <v>122</v>
      </c>
      <c r="AP574" t="s">
        <v>122</v>
      </c>
      <c r="AQ574" t="s">
        <v>124</v>
      </c>
      <c r="AR574" t="s">
        <v>125</v>
      </c>
      <c r="AS574">
        <v>2</v>
      </c>
      <c r="AT574" t="s">
        <v>106</v>
      </c>
      <c r="AU574" t="s">
        <v>155</v>
      </c>
      <c r="AV574" t="s">
        <v>156</v>
      </c>
      <c r="AW574">
        <v>1</v>
      </c>
      <c r="AX574" t="s">
        <v>129</v>
      </c>
      <c r="AY574">
        <v>37300.86</v>
      </c>
      <c r="AZ574">
        <v>2727182</v>
      </c>
      <c r="BA574">
        <v>44164.800000000003</v>
      </c>
      <c r="BB574">
        <v>73.113100000000003</v>
      </c>
      <c r="BC574" t="s">
        <v>130</v>
      </c>
      <c r="BD574" t="s">
        <v>112</v>
      </c>
      <c r="BE574" t="s">
        <v>157</v>
      </c>
      <c r="BF574" t="s">
        <v>133</v>
      </c>
      <c r="BG574" t="s">
        <v>134</v>
      </c>
      <c r="BH574" t="s">
        <v>112</v>
      </c>
      <c r="BI574" t="s">
        <v>178</v>
      </c>
      <c r="BJ574" t="s">
        <v>112</v>
      </c>
      <c r="BK574" t="s">
        <v>125</v>
      </c>
      <c r="BL574" t="s">
        <v>179</v>
      </c>
      <c r="BM574" t="s">
        <v>180</v>
      </c>
      <c r="BN574" t="s">
        <v>181</v>
      </c>
      <c r="BO574">
        <v>1</v>
      </c>
      <c r="BP574" t="s">
        <v>258</v>
      </c>
      <c r="BR574" t="s">
        <v>150</v>
      </c>
      <c r="BS574">
        <v>33</v>
      </c>
      <c r="BT574">
        <v>1</v>
      </c>
      <c r="BU574">
        <v>0</v>
      </c>
      <c r="BW574">
        <v>0</v>
      </c>
      <c r="BY574" t="s">
        <v>106</v>
      </c>
      <c r="BZ574" t="s">
        <v>142</v>
      </c>
      <c r="CA574" t="s">
        <v>112</v>
      </c>
      <c r="CB574" t="s">
        <v>112</v>
      </c>
      <c r="CC574" t="s">
        <v>121</v>
      </c>
      <c r="CD574">
        <v>15075.84</v>
      </c>
      <c r="CE574" t="s">
        <v>144</v>
      </c>
      <c r="CF574">
        <v>4000000</v>
      </c>
      <c r="CG574">
        <v>14804.65</v>
      </c>
      <c r="CH574">
        <v>0</v>
      </c>
      <c r="CI574" t="s">
        <v>112</v>
      </c>
      <c r="CJ574" t="s">
        <v>112</v>
      </c>
      <c r="CK574">
        <v>37300.86</v>
      </c>
      <c r="CL574">
        <v>2727182</v>
      </c>
      <c r="CM574">
        <v>0</v>
      </c>
      <c r="CN574">
        <v>1</v>
      </c>
      <c r="CO574">
        <v>2984409.53</v>
      </c>
      <c r="CP574">
        <v>44164.800000000003</v>
      </c>
      <c r="CQ574" t="s">
        <v>145</v>
      </c>
      <c r="CR574">
        <v>44165.231879999999</v>
      </c>
      <c r="CS574">
        <v>2.9832000000000001</v>
      </c>
      <c r="CT574">
        <v>941</v>
      </c>
      <c r="CU574" t="s">
        <v>183</v>
      </c>
      <c r="CV574" t="s">
        <v>147</v>
      </c>
      <c r="CW574">
        <v>564</v>
      </c>
    </row>
    <row r="575" spans="1:101" x14ac:dyDescent="0.2">
      <c r="A575" t="s">
        <v>106</v>
      </c>
      <c r="B575" s="46">
        <v>44920</v>
      </c>
      <c r="C575" t="s">
        <v>238</v>
      </c>
      <c r="D575" t="s">
        <v>108</v>
      </c>
      <c r="E575" t="s">
        <v>239</v>
      </c>
      <c r="F575" t="s">
        <v>3244</v>
      </c>
      <c r="G575" t="s">
        <v>111</v>
      </c>
      <c r="H575" t="s">
        <v>112</v>
      </c>
      <c r="I575" t="s">
        <v>112</v>
      </c>
      <c r="J575" t="s">
        <v>112</v>
      </c>
      <c r="K575" t="s">
        <v>175</v>
      </c>
      <c r="L575" t="s">
        <v>176</v>
      </c>
      <c r="M575" t="s">
        <v>112</v>
      </c>
      <c r="N575" t="s">
        <v>112</v>
      </c>
      <c r="O575">
        <v>1</v>
      </c>
      <c r="P575">
        <v>0</v>
      </c>
      <c r="Q575">
        <v>1</v>
      </c>
      <c r="R575">
        <v>33</v>
      </c>
      <c r="S575" t="s">
        <v>166</v>
      </c>
      <c r="T575" t="s">
        <v>152</v>
      </c>
      <c r="U575" t="s">
        <v>153</v>
      </c>
      <c r="V575" t="s">
        <v>177</v>
      </c>
      <c r="W575" t="s">
        <v>119</v>
      </c>
      <c r="X575" t="s">
        <v>112</v>
      </c>
      <c r="Y575" t="s">
        <v>166</v>
      </c>
      <c r="Z575" t="s">
        <v>152</v>
      </c>
      <c r="AA575" t="s">
        <v>153</v>
      </c>
      <c r="AB575" t="s">
        <v>177</v>
      </c>
      <c r="AC575" t="s">
        <v>119</v>
      </c>
      <c r="AD575" t="s">
        <v>112</v>
      </c>
      <c r="AE575" t="s">
        <v>121</v>
      </c>
      <c r="AF575" t="s">
        <v>122</v>
      </c>
      <c r="AG575">
        <v>3611028.28</v>
      </c>
      <c r="AH575" t="s">
        <v>166</v>
      </c>
      <c r="AI575" t="s">
        <v>152</v>
      </c>
      <c r="AJ575" t="s">
        <v>153</v>
      </c>
      <c r="AK575" t="s">
        <v>177</v>
      </c>
      <c r="AL575" t="s">
        <v>119</v>
      </c>
      <c r="AM575" t="s">
        <v>112</v>
      </c>
      <c r="AN575" t="s">
        <v>121</v>
      </c>
      <c r="AO575" t="s">
        <v>122</v>
      </c>
      <c r="AP575" t="s">
        <v>122</v>
      </c>
      <c r="AQ575" t="s">
        <v>124</v>
      </c>
      <c r="AR575" t="s">
        <v>125</v>
      </c>
      <c r="AS575">
        <v>2</v>
      </c>
      <c r="AT575" t="s">
        <v>106</v>
      </c>
      <c r="AU575" t="s">
        <v>155</v>
      </c>
      <c r="AV575" t="s">
        <v>156</v>
      </c>
      <c r="AW575">
        <v>1</v>
      </c>
      <c r="AX575" t="s">
        <v>129</v>
      </c>
      <c r="AY575">
        <v>45871.4</v>
      </c>
      <c r="AZ575">
        <v>3353800</v>
      </c>
      <c r="BA575">
        <v>53437.81</v>
      </c>
      <c r="BB575">
        <v>73.113100000000003</v>
      </c>
      <c r="BC575" t="s">
        <v>130</v>
      </c>
      <c r="BD575" t="s">
        <v>112</v>
      </c>
      <c r="BE575" t="s">
        <v>157</v>
      </c>
      <c r="BF575" t="s">
        <v>133</v>
      </c>
      <c r="BG575" t="s">
        <v>134</v>
      </c>
      <c r="BH575" t="s">
        <v>112</v>
      </c>
      <c r="BI575" t="s">
        <v>178</v>
      </c>
      <c r="BJ575" t="s">
        <v>112</v>
      </c>
      <c r="BK575" t="s">
        <v>125</v>
      </c>
      <c r="BL575" t="s">
        <v>179</v>
      </c>
      <c r="BM575" t="s">
        <v>180</v>
      </c>
      <c r="BN575" t="s">
        <v>181</v>
      </c>
      <c r="BO575">
        <v>1</v>
      </c>
      <c r="BP575" t="s">
        <v>199</v>
      </c>
      <c r="BR575" t="s">
        <v>150</v>
      </c>
      <c r="BS575">
        <v>33</v>
      </c>
      <c r="BT575">
        <v>1</v>
      </c>
      <c r="BU575">
        <v>0</v>
      </c>
      <c r="BW575">
        <v>0</v>
      </c>
      <c r="BY575" t="s">
        <v>106</v>
      </c>
      <c r="BZ575" t="s">
        <v>142</v>
      </c>
      <c r="CA575" t="s">
        <v>112</v>
      </c>
      <c r="CB575" t="s">
        <v>112</v>
      </c>
      <c r="CC575" t="s">
        <v>121</v>
      </c>
      <c r="CD575">
        <v>16475.37</v>
      </c>
      <c r="CE575" t="s">
        <v>144</v>
      </c>
      <c r="CF575">
        <v>4000000</v>
      </c>
      <c r="CG575">
        <v>16274.37</v>
      </c>
      <c r="CH575">
        <v>0</v>
      </c>
      <c r="CI575" t="s">
        <v>112</v>
      </c>
      <c r="CJ575" t="s">
        <v>112</v>
      </c>
      <c r="CK575">
        <v>45871.4</v>
      </c>
      <c r="CL575">
        <v>3353800</v>
      </c>
      <c r="CM575">
        <v>0</v>
      </c>
      <c r="CN575">
        <v>1</v>
      </c>
      <c r="CO575">
        <v>3611028.28</v>
      </c>
      <c r="CP575">
        <v>53437.81</v>
      </c>
      <c r="CQ575" t="s">
        <v>145</v>
      </c>
      <c r="CR575">
        <v>53438.521331999997</v>
      </c>
      <c r="CS575">
        <v>3.2835999999999999</v>
      </c>
      <c r="CT575">
        <v>941</v>
      </c>
      <c r="CU575" t="s">
        <v>183</v>
      </c>
      <c r="CV575" t="s">
        <v>147</v>
      </c>
      <c r="CW575">
        <v>46</v>
      </c>
    </row>
    <row r="576" spans="1:101" x14ac:dyDescent="0.2">
      <c r="A576" t="s">
        <v>106</v>
      </c>
      <c r="B576" s="46">
        <v>44676</v>
      </c>
      <c r="C576" t="s">
        <v>252</v>
      </c>
      <c r="D576" t="s">
        <v>108</v>
      </c>
      <c r="E576" t="s">
        <v>253</v>
      </c>
      <c r="F576" t="s">
        <v>3244</v>
      </c>
      <c r="G576" t="s">
        <v>111</v>
      </c>
      <c r="H576" t="s">
        <v>112</v>
      </c>
      <c r="I576" t="s">
        <v>112</v>
      </c>
      <c r="J576" t="s">
        <v>112</v>
      </c>
      <c r="K576" t="s">
        <v>175</v>
      </c>
      <c r="L576" t="s">
        <v>176</v>
      </c>
      <c r="M576" t="s">
        <v>112</v>
      </c>
      <c r="N576" t="s">
        <v>112</v>
      </c>
      <c r="O576">
        <v>1</v>
      </c>
      <c r="P576">
        <v>0</v>
      </c>
      <c r="Q576">
        <v>1</v>
      </c>
      <c r="R576">
        <v>33</v>
      </c>
      <c r="S576" t="s">
        <v>166</v>
      </c>
      <c r="T576" t="s">
        <v>152</v>
      </c>
      <c r="U576" t="s">
        <v>153</v>
      </c>
      <c r="V576" t="s">
        <v>177</v>
      </c>
      <c r="W576" t="s">
        <v>119</v>
      </c>
      <c r="X576" t="s">
        <v>112</v>
      </c>
      <c r="Y576" t="s">
        <v>166</v>
      </c>
      <c r="Z576" t="s">
        <v>152</v>
      </c>
      <c r="AA576" t="s">
        <v>153</v>
      </c>
      <c r="AB576" t="s">
        <v>177</v>
      </c>
      <c r="AC576" t="s">
        <v>119</v>
      </c>
      <c r="AD576" t="s">
        <v>112</v>
      </c>
      <c r="AE576" t="s">
        <v>121</v>
      </c>
      <c r="AF576" t="s">
        <v>122</v>
      </c>
      <c r="AG576">
        <v>3329381.99</v>
      </c>
      <c r="AH576" t="s">
        <v>166</v>
      </c>
      <c r="AI576" t="s">
        <v>152</v>
      </c>
      <c r="AJ576" t="s">
        <v>153</v>
      </c>
      <c r="AK576" t="s">
        <v>177</v>
      </c>
      <c r="AL576" t="s">
        <v>119</v>
      </c>
      <c r="AM576" t="s">
        <v>112</v>
      </c>
      <c r="AN576" t="s">
        <v>121</v>
      </c>
      <c r="AO576" t="s">
        <v>122</v>
      </c>
      <c r="AP576" t="s">
        <v>122</v>
      </c>
      <c r="AQ576" t="s">
        <v>124</v>
      </c>
      <c r="AR576" t="s">
        <v>125</v>
      </c>
      <c r="AS576">
        <v>2</v>
      </c>
      <c r="AT576" t="s">
        <v>106</v>
      </c>
      <c r="AU576" t="s">
        <v>155</v>
      </c>
      <c r="AV576" t="s">
        <v>156</v>
      </c>
      <c r="AW576">
        <v>1</v>
      </c>
      <c r="AX576" t="s">
        <v>129</v>
      </c>
      <c r="AY576">
        <v>42019.199999999997</v>
      </c>
      <c r="AZ576">
        <v>3072154</v>
      </c>
      <c r="BA576">
        <v>49269.87</v>
      </c>
      <c r="BB576">
        <v>73.113100000000003</v>
      </c>
      <c r="BC576" t="s">
        <v>130</v>
      </c>
      <c r="BD576" t="s">
        <v>112</v>
      </c>
      <c r="BE576" t="s">
        <v>157</v>
      </c>
      <c r="BF576" t="s">
        <v>133</v>
      </c>
      <c r="BG576" t="s">
        <v>134</v>
      </c>
      <c r="BH576" t="s">
        <v>112</v>
      </c>
      <c r="BI576" t="s">
        <v>178</v>
      </c>
      <c r="BJ576" t="s">
        <v>112</v>
      </c>
      <c r="BK576" t="s">
        <v>125</v>
      </c>
      <c r="BL576" t="s">
        <v>179</v>
      </c>
      <c r="BM576" t="s">
        <v>180</v>
      </c>
      <c r="BN576" t="s">
        <v>181</v>
      </c>
      <c r="BO576">
        <v>1</v>
      </c>
      <c r="BP576" t="s">
        <v>199</v>
      </c>
      <c r="BR576" t="s">
        <v>150</v>
      </c>
      <c r="BS576">
        <v>33</v>
      </c>
      <c r="BT576">
        <v>1</v>
      </c>
      <c r="BU576">
        <v>0</v>
      </c>
      <c r="BW576">
        <v>0</v>
      </c>
      <c r="BY576" t="s">
        <v>106</v>
      </c>
      <c r="BZ576" t="s">
        <v>142</v>
      </c>
      <c r="CA576" t="s">
        <v>112</v>
      </c>
      <c r="CB576" t="s">
        <v>112</v>
      </c>
      <c r="CC576" t="s">
        <v>121</v>
      </c>
      <c r="CD576">
        <v>17053.52</v>
      </c>
      <c r="CE576" t="s">
        <v>144</v>
      </c>
      <c r="CF576">
        <v>4000000</v>
      </c>
      <c r="CG576">
        <v>17053.52</v>
      </c>
      <c r="CH576">
        <v>0</v>
      </c>
      <c r="CI576" t="s">
        <v>112</v>
      </c>
      <c r="CJ576" t="s">
        <v>112</v>
      </c>
      <c r="CK576">
        <v>42019.199999999997</v>
      </c>
      <c r="CL576">
        <v>3072154</v>
      </c>
      <c r="CM576">
        <v>0</v>
      </c>
      <c r="CN576">
        <v>1</v>
      </c>
      <c r="CO576">
        <v>3329381.99</v>
      </c>
      <c r="CP576">
        <v>49269.87</v>
      </c>
      <c r="CQ576" t="s">
        <v>145</v>
      </c>
      <c r="CR576">
        <v>49269.324632000003</v>
      </c>
      <c r="CS576">
        <v>2.8891</v>
      </c>
      <c r="CT576">
        <v>941</v>
      </c>
      <c r="CU576" t="s">
        <v>183</v>
      </c>
      <c r="CV576" t="s">
        <v>147</v>
      </c>
      <c r="CW576">
        <v>210</v>
      </c>
    </row>
    <row r="577" spans="1:101" x14ac:dyDescent="0.2">
      <c r="A577" t="s">
        <v>106</v>
      </c>
      <c r="B577" s="46">
        <v>45235</v>
      </c>
      <c r="C577" t="s">
        <v>776</v>
      </c>
      <c r="D577" t="s">
        <v>108</v>
      </c>
      <c r="E577" t="s">
        <v>777</v>
      </c>
      <c r="F577" t="s">
        <v>3244</v>
      </c>
      <c r="G577" t="s">
        <v>111</v>
      </c>
      <c r="H577" t="s">
        <v>112</v>
      </c>
      <c r="I577" t="s">
        <v>112</v>
      </c>
      <c r="J577" t="s">
        <v>112</v>
      </c>
      <c r="K577" t="s">
        <v>150</v>
      </c>
      <c r="L577" t="s">
        <v>151</v>
      </c>
      <c r="M577" t="s">
        <v>112</v>
      </c>
      <c r="N577" t="s">
        <v>112</v>
      </c>
      <c r="O577">
        <v>1</v>
      </c>
      <c r="Q577">
        <v>1</v>
      </c>
      <c r="R577">
        <v>33</v>
      </c>
      <c r="S577" t="s">
        <v>112</v>
      </c>
      <c r="T577" t="s">
        <v>152</v>
      </c>
      <c r="U577" t="s">
        <v>153</v>
      </c>
      <c r="V577" t="s">
        <v>154</v>
      </c>
      <c r="W577" t="s">
        <v>119</v>
      </c>
      <c r="X577" t="s">
        <v>112</v>
      </c>
      <c r="Y577" t="s">
        <v>112</v>
      </c>
      <c r="Z577" t="s">
        <v>152</v>
      </c>
      <c r="AA577" t="s">
        <v>153</v>
      </c>
      <c r="AB577" t="s">
        <v>154</v>
      </c>
      <c r="AC577" t="s">
        <v>119</v>
      </c>
      <c r="AD577" t="s">
        <v>112</v>
      </c>
      <c r="AE577" t="s">
        <v>121</v>
      </c>
      <c r="AF577" t="s">
        <v>122</v>
      </c>
      <c r="AG577">
        <v>3977677.48</v>
      </c>
      <c r="AH577" t="s">
        <v>112</v>
      </c>
      <c r="AI577" t="s">
        <v>152</v>
      </c>
      <c r="AJ577" t="s">
        <v>153</v>
      </c>
      <c r="AK577" t="s">
        <v>154</v>
      </c>
      <c r="AL577" t="s">
        <v>119</v>
      </c>
      <c r="AM577" t="s">
        <v>112</v>
      </c>
      <c r="AN577" t="s">
        <v>121</v>
      </c>
      <c r="AO577" t="s">
        <v>122</v>
      </c>
      <c r="AP577" t="s">
        <v>122</v>
      </c>
      <c r="AQ577" t="s">
        <v>124</v>
      </c>
      <c r="AR577" t="s">
        <v>125</v>
      </c>
      <c r="AS577">
        <v>2</v>
      </c>
      <c r="AT577" t="s">
        <v>126</v>
      </c>
      <c r="AU577" t="s">
        <v>155</v>
      </c>
      <c r="AV577" t="s">
        <v>156</v>
      </c>
      <c r="AX577" t="s">
        <v>129</v>
      </c>
      <c r="AY577">
        <v>36847.32</v>
      </c>
      <c r="BB577">
        <v>97.403000000000006</v>
      </c>
      <c r="BC577" t="s">
        <v>112</v>
      </c>
      <c r="BD577" t="s">
        <v>112</v>
      </c>
      <c r="BE577" t="s">
        <v>157</v>
      </c>
      <c r="BF577" t="s">
        <v>133</v>
      </c>
      <c r="BG577" t="s">
        <v>134</v>
      </c>
      <c r="BH577" t="s">
        <v>112</v>
      </c>
      <c r="BI577" t="s">
        <v>112</v>
      </c>
      <c r="BJ577" t="s">
        <v>112</v>
      </c>
      <c r="BK577" t="s">
        <v>158</v>
      </c>
      <c r="BL577" t="s">
        <v>159</v>
      </c>
      <c r="BM577" t="s">
        <v>212</v>
      </c>
      <c r="BN577" t="s">
        <v>161</v>
      </c>
      <c r="BP577" t="s">
        <v>213</v>
      </c>
      <c r="BR577" t="s">
        <v>150</v>
      </c>
      <c r="BS577">
        <v>33</v>
      </c>
      <c r="BT577">
        <v>0</v>
      </c>
      <c r="BU577">
        <v>0</v>
      </c>
      <c r="BW577">
        <v>0</v>
      </c>
      <c r="BY577" t="s">
        <v>106</v>
      </c>
      <c r="BZ577" t="s">
        <v>142</v>
      </c>
      <c r="CA577" t="s">
        <v>112</v>
      </c>
      <c r="CB577" t="s">
        <v>112</v>
      </c>
      <c r="CC577" t="s">
        <v>121</v>
      </c>
      <c r="CD577">
        <v>16718.8</v>
      </c>
      <c r="CE577" t="s">
        <v>144</v>
      </c>
      <c r="CF577">
        <v>4000000</v>
      </c>
      <c r="CG577">
        <v>16589.2</v>
      </c>
      <c r="CH577">
        <v>0</v>
      </c>
      <c r="CI577" t="s">
        <v>112</v>
      </c>
      <c r="CJ577" t="s">
        <v>112</v>
      </c>
      <c r="CK577">
        <v>36847.32</v>
      </c>
      <c r="CM577">
        <v>0</v>
      </c>
      <c r="CN577">
        <v>1</v>
      </c>
      <c r="CO577">
        <v>3977677.48</v>
      </c>
      <c r="CP577">
        <v>44090.7</v>
      </c>
      <c r="CQ577" t="s">
        <v>145</v>
      </c>
      <c r="CR577">
        <v>44127.272000000004</v>
      </c>
      <c r="CS577">
        <v>2.66</v>
      </c>
      <c r="CT577">
        <v>45</v>
      </c>
      <c r="CV577" t="s">
        <v>206</v>
      </c>
      <c r="CW577">
        <v>286</v>
      </c>
    </row>
    <row r="578" spans="1:101" x14ac:dyDescent="0.2">
      <c r="A578" t="s">
        <v>106</v>
      </c>
      <c r="B578" s="46">
        <v>45131</v>
      </c>
      <c r="C578" t="s">
        <v>1508</v>
      </c>
      <c r="D578" t="s">
        <v>108</v>
      </c>
      <c r="E578" t="s">
        <v>1509</v>
      </c>
      <c r="F578" t="s">
        <v>3244</v>
      </c>
      <c r="G578" t="s">
        <v>111</v>
      </c>
      <c r="H578" t="s">
        <v>112</v>
      </c>
      <c r="I578" t="s">
        <v>112</v>
      </c>
      <c r="J578" t="s">
        <v>112</v>
      </c>
      <c r="K578" t="s">
        <v>150</v>
      </c>
      <c r="L578" t="s">
        <v>151</v>
      </c>
      <c r="M578" t="s">
        <v>112</v>
      </c>
      <c r="N578" t="s">
        <v>112</v>
      </c>
      <c r="O578">
        <v>1</v>
      </c>
      <c r="Q578">
        <v>1</v>
      </c>
      <c r="R578">
        <v>33</v>
      </c>
      <c r="S578" t="s">
        <v>112</v>
      </c>
      <c r="T578" t="s">
        <v>152</v>
      </c>
      <c r="U578" t="s">
        <v>153</v>
      </c>
      <c r="V578" t="s">
        <v>154</v>
      </c>
      <c r="W578" t="s">
        <v>119</v>
      </c>
      <c r="X578" t="s">
        <v>112</v>
      </c>
      <c r="Y578" t="s">
        <v>112</v>
      </c>
      <c r="Z578" t="s">
        <v>152</v>
      </c>
      <c r="AA578" t="s">
        <v>153</v>
      </c>
      <c r="AB578" t="s">
        <v>154</v>
      </c>
      <c r="AC578" t="s">
        <v>119</v>
      </c>
      <c r="AD578" t="s">
        <v>112</v>
      </c>
      <c r="AE578" t="s">
        <v>121</v>
      </c>
      <c r="AF578" t="s">
        <v>122</v>
      </c>
      <c r="AG578">
        <v>4409430.5199999996</v>
      </c>
      <c r="AH578" t="s">
        <v>112</v>
      </c>
      <c r="AI578" t="s">
        <v>152</v>
      </c>
      <c r="AJ578" t="s">
        <v>153</v>
      </c>
      <c r="AK578" t="s">
        <v>154</v>
      </c>
      <c r="AL578" t="s">
        <v>119</v>
      </c>
      <c r="AM578" t="s">
        <v>112</v>
      </c>
      <c r="AN578" t="s">
        <v>121</v>
      </c>
      <c r="AO578" t="s">
        <v>122</v>
      </c>
      <c r="AP578" t="s">
        <v>122</v>
      </c>
      <c r="AQ578" t="s">
        <v>124</v>
      </c>
      <c r="AR578" t="s">
        <v>125</v>
      </c>
      <c r="AS578">
        <v>2</v>
      </c>
      <c r="AT578" t="s">
        <v>126</v>
      </c>
      <c r="AU578" t="s">
        <v>155</v>
      </c>
      <c r="AV578" t="s">
        <v>156</v>
      </c>
      <c r="AX578" t="s">
        <v>129</v>
      </c>
      <c r="AY578">
        <v>40859.800000000003</v>
      </c>
      <c r="BB578">
        <v>98.3155</v>
      </c>
      <c r="BC578" t="s">
        <v>112</v>
      </c>
      <c r="BD578" t="s">
        <v>112</v>
      </c>
      <c r="BE578" t="s">
        <v>157</v>
      </c>
      <c r="BF578" t="s">
        <v>133</v>
      </c>
      <c r="BG578" t="s">
        <v>134</v>
      </c>
      <c r="BH578" t="s">
        <v>112</v>
      </c>
      <c r="BI578" t="s">
        <v>112</v>
      </c>
      <c r="BJ578" t="s">
        <v>112</v>
      </c>
      <c r="BK578" t="s">
        <v>158</v>
      </c>
      <c r="BL578" t="s">
        <v>159</v>
      </c>
      <c r="BM578" t="s">
        <v>212</v>
      </c>
      <c r="BN578" t="s">
        <v>161</v>
      </c>
      <c r="BP578" t="s">
        <v>232</v>
      </c>
      <c r="BR578" t="s">
        <v>150</v>
      </c>
      <c r="BS578">
        <v>33</v>
      </c>
      <c r="BT578">
        <v>0</v>
      </c>
      <c r="BU578">
        <v>0</v>
      </c>
      <c r="BW578">
        <v>0</v>
      </c>
      <c r="BY578" t="s">
        <v>106</v>
      </c>
      <c r="BZ578" t="s">
        <v>142</v>
      </c>
      <c r="CA578" t="s">
        <v>112</v>
      </c>
      <c r="CB578" t="s">
        <v>112</v>
      </c>
      <c r="CC578" t="s">
        <v>121</v>
      </c>
      <c r="CD578">
        <v>16974.78</v>
      </c>
      <c r="CE578" t="s">
        <v>144</v>
      </c>
      <c r="CF578">
        <v>4000000</v>
      </c>
      <c r="CG578">
        <v>16866.78</v>
      </c>
      <c r="CH578">
        <v>0</v>
      </c>
      <c r="CI578" t="s">
        <v>112</v>
      </c>
      <c r="CJ578" t="s">
        <v>112</v>
      </c>
      <c r="CK578">
        <v>40859.800000000003</v>
      </c>
      <c r="CM578">
        <v>0</v>
      </c>
      <c r="CN578">
        <v>1</v>
      </c>
      <c r="CO578">
        <v>4409430.5199999996</v>
      </c>
      <c r="CP578">
        <v>47900.74</v>
      </c>
      <c r="CQ578" t="s">
        <v>145</v>
      </c>
      <c r="CR578">
        <v>47901.655199999994</v>
      </c>
      <c r="CS578">
        <v>2.84</v>
      </c>
      <c r="CT578">
        <v>45</v>
      </c>
      <c r="CV578" t="s">
        <v>1140</v>
      </c>
      <c r="CW578">
        <v>15</v>
      </c>
    </row>
    <row r="579" spans="1:101" x14ac:dyDescent="0.2">
      <c r="A579" t="s">
        <v>106</v>
      </c>
      <c r="B579" s="46">
        <v>44731</v>
      </c>
      <c r="C579" t="s">
        <v>1543</v>
      </c>
      <c r="D579" t="s">
        <v>108</v>
      </c>
      <c r="E579" t="s">
        <v>1544</v>
      </c>
      <c r="F579" t="s">
        <v>3244</v>
      </c>
      <c r="G579" t="s">
        <v>111</v>
      </c>
      <c r="H579" t="s">
        <v>112</v>
      </c>
      <c r="I579" t="s">
        <v>112</v>
      </c>
      <c r="J579" t="s">
        <v>112</v>
      </c>
      <c r="K579" t="s">
        <v>150</v>
      </c>
      <c r="L579" t="s">
        <v>151</v>
      </c>
      <c r="M579" t="s">
        <v>112</v>
      </c>
      <c r="N579" t="s">
        <v>112</v>
      </c>
      <c r="O579">
        <v>1</v>
      </c>
      <c r="Q579">
        <v>1</v>
      </c>
      <c r="R579">
        <v>33</v>
      </c>
      <c r="S579" t="s">
        <v>112</v>
      </c>
      <c r="T579" t="s">
        <v>152</v>
      </c>
      <c r="U579" t="s">
        <v>153</v>
      </c>
      <c r="V579" t="s">
        <v>154</v>
      </c>
      <c r="W579" t="s">
        <v>119</v>
      </c>
      <c r="X579" t="s">
        <v>112</v>
      </c>
      <c r="Y579" t="s">
        <v>112</v>
      </c>
      <c r="Z579" t="s">
        <v>152</v>
      </c>
      <c r="AA579" t="s">
        <v>153</v>
      </c>
      <c r="AB579" t="s">
        <v>154</v>
      </c>
      <c r="AC579" t="s">
        <v>119</v>
      </c>
      <c r="AD579" t="s">
        <v>112</v>
      </c>
      <c r="AE579" t="s">
        <v>121</v>
      </c>
      <c r="AF579" t="s">
        <v>122</v>
      </c>
      <c r="AG579">
        <v>4763985.7</v>
      </c>
      <c r="AH579" t="s">
        <v>112</v>
      </c>
      <c r="AI579" t="s">
        <v>152</v>
      </c>
      <c r="AJ579" t="s">
        <v>153</v>
      </c>
      <c r="AK579" t="s">
        <v>154</v>
      </c>
      <c r="AL579" t="s">
        <v>119</v>
      </c>
      <c r="AM579" t="s">
        <v>112</v>
      </c>
      <c r="AN579" t="s">
        <v>121</v>
      </c>
      <c r="AO579" t="s">
        <v>122</v>
      </c>
      <c r="AP579" t="s">
        <v>122</v>
      </c>
      <c r="AQ579" t="s">
        <v>124</v>
      </c>
      <c r="AR579" t="s">
        <v>125</v>
      </c>
      <c r="AS579">
        <v>2</v>
      </c>
      <c r="AT579" t="s">
        <v>126</v>
      </c>
      <c r="AU579" t="s">
        <v>155</v>
      </c>
      <c r="AV579" t="s">
        <v>156</v>
      </c>
      <c r="AX579" t="s">
        <v>129</v>
      </c>
      <c r="AY579">
        <v>44466.1</v>
      </c>
      <c r="BB579">
        <v>98.3155</v>
      </c>
      <c r="BC579" t="s">
        <v>112</v>
      </c>
      <c r="BD579" t="s">
        <v>112</v>
      </c>
      <c r="BE579" t="s">
        <v>157</v>
      </c>
      <c r="BF579" t="s">
        <v>133</v>
      </c>
      <c r="BG579" t="s">
        <v>134</v>
      </c>
      <c r="BH579" t="s">
        <v>112</v>
      </c>
      <c r="BI579" t="s">
        <v>112</v>
      </c>
      <c r="BJ579" t="s">
        <v>112</v>
      </c>
      <c r="BK579" t="s">
        <v>158</v>
      </c>
      <c r="BL579" t="s">
        <v>159</v>
      </c>
      <c r="BM579" t="s">
        <v>212</v>
      </c>
      <c r="BN579" t="s">
        <v>161</v>
      </c>
      <c r="BP579" t="s">
        <v>205</v>
      </c>
      <c r="BR579" t="s">
        <v>150</v>
      </c>
      <c r="BS579">
        <v>33</v>
      </c>
      <c r="BT579">
        <v>0</v>
      </c>
      <c r="BU579">
        <v>0</v>
      </c>
      <c r="BW579">
        <v>0</v>
      </c>
      <c r="BY579" t="s">
        <v>106</v>
      </c>
      <c r="BZ579" t="s">
        <v>142</v>
      </c>
      <c r="CA579" t="s">
        <v>112</v>
      </c>
      <c r="CB579" t="s">
        <v>112</v>
      </c>
      <c r="CC579" t="s">
        <v>121</v>
      </c>
      <c r="CD579">
        <v>17043.330000000002</v>
      </c>
      <c r="CE579" t="s">
        <v>144</v>
      </c>
      <c r="CF579">
        <v>4000000</v>
      </c>
      <c r="CG579">
        <v>16986.330000000002</v>
      </c>
      <c r="CH579">
        <v>0</v>
      </c>
      <c r="CI579" t="s">
        <v>112</v>
      </c>
      <c r="CJ579" t="s">
        <v>112</v>
      </c>
      <c r="CK579">
        <v>44466.1</v>
      </c>
      <c r="CM579">
        <v>0</v>
      </c>
      <c r="CN579">
        <v>1</v>
      </c>
      <c r="CO579">
        <v>4763985.7</v>
      </c>
      <c r="CP579">
        <v>51752.36</v>
      </c>
      <c r="CQ579" t="s">
        <v>145</v>
      </c>
      <c r="CR579">
        <v>51808.306499999999</v>
      </c>
      <c r="CS579">
        <v>3.05</v>
      </c>
      <c r="CT579">
        <v>45</v>
      </c>
      <c r="CV579" t="s">
        <v>729</v>
      </c>
      <c r="CW579">
        <v>180</v>
      </c>
    </row>
    <row r="580" spans="1:101" x14ac:dyDescent="0.2">
      <c r="A580" t="s">
        <v>106</v>
      </c>
      <c r="B580" s="46">
        <v>44608</v>
      </c>
      <c r="C580" t="s">
        <v>1539</v>
      </c>
      <c r="D580" t="s">
        <v>108</v>
      </c>
      <c r="E580" t="s">
        <v>1540</v>
      </c>
      <c r="F580" t="s">
        <v>3244</v>
      </c>
      <c r="G580" t="s">
        <v>111</v>
      </c>
      <c r="H580" t="s">
        <v>112</v>
      </c>
      <c r="I580" t="s">
        <v>112</v>
      </c>
      <c r="J580" t="s">
        <v>112</v>
      </c>
      <c r="K580" t="s">
        <v>150</v>
      </c>
      <c r="L580" t="s">
        <v>151</v>
      </c>
      <c r="M580" t="s">
        <v>112</v>
      </c>
      <c r="N580" t="s">
        <v>112</v>
      </c>
      <c r="O580">
        <v>1</v>
      </c>
      <c r="Q580">
        <v>1</v>
      </c>
      <c r="R580">
        <v>33</v>
      </c>
      <c r="S580" t="s">
        <v>112</v>
      </c>
      <c r="T580" t="s">
        <v>152</v>
      </c>
      <c r="U580" t="s">
        <v>153</v>
      </c>
      <c r="V580" t="s">
        <v>154</v>
      </c>
      <c r="W580" t="s">
        <v>119</v>
      </c>
      <c r="X580" t="s">
        <v>112</v>
      </c>
      <c r="Y580" t="s">
        <v>112</v>
      </c>
      <c r="Z580" t="s">
        <v>152</v>
      </c>
      <c r="AA580" t="s">
        <v>153</v>
      </c>
      <c r="AB580" t="s">
        <v>154</v>
      </c>
      <c r="AC580" t="s">
        <v>119</v>
      </c>
      <c r="AD580" t="s">
        <v>112</v>
      </c>
      <c r="AE580" t="s">
        <v>121</v>
      </c>
      <c r="AF580" t="s">
        <v>122</v>
      </c>
      <c r="AG580">
        <v>5091720.42</v>
      </c>
      <c r="AH580" t="s">
        <v>112</v>
      </c>
      <c r="AI580" t="s">
        <v>152</v>
      </c>
      <c r="AJ580" t="s">
        <v>153</v>
      </c>
      <c r="AK580" t="s">
        <v>154</v>
      </c>
      <c r="AL580" t="s">
        <v>119</v>
      </c>
      <c r="AM580" t="s">
        <v>112</v>
      </c>
      <c r="AN580" t="s">
        <v>121</v>
      </c>
      <c r="AO580" t="s">
        <v>122</v>
      </c>
      <c r="AP580" t="s">
        <v>122</v>
      </c>
      <c r="AQ580" t="s">
        <v>124</v>
      </c>
      <c r="AR580" t="s">
        <v>125</v>
      </c>
      <c r="AS580">
        <v>2</v>
      </c>
      <c r="AT580" t="s">
        <v>126</v>
      </c>
      <c r="AU580" t="s">
        <v>155</v>
      </c>
      <c r="AV580" t="s">
        <v>156</v>
      </c>
      <c r="AX580" t="s">
        <v>129</v>
      </c>
      <c r="AY580">
        <v>47799.6</v>
      </c>
      <c r="BB580">
        <v>98.3155</v>
      </c>
      <c r="BC580" t="s">
        <v>112</v>
      </c>
      <c r="BD580" t="s">
        <v>112</v>
      </c>
      <c r="BE580" t="s">
        <v>157</v>
      </c>
      <c r="BF580" t="s">
        <v>133</v>
      </c>
      <c r="BG580" t="s">
        <v>134</v>
      </c>
      <c r="BH580" t="s">
        <v>112</v>
      </c>
      <c r="BI580" t="s">
        <v>112</v>
      </c>
      <c r="BJ580" t="s">
        <v>112</v>
      </c>
      <c r="BK580" t="s">
        <v>158</v>
      </c>
      <c r="BL580" t="s">
        <v>159</v>
      </c>
      <c r="BM580" t="s">
        <v>212</v>
      </c>
      <c r="BN580" t="s">
        <v>161</v>
      </c>
      <c r="BP580" t="s">
        <v>162</v>
      </c>
      <c r="BR580" t="s">
        <v>150</v>
      </c>
      <c r="BS580">
        <v>33</v>
      </c>
      <c r="BT580">
        <v>0</v>
      </c>
      <c r="BU580">
        <v>0</v>
      </c>
      <c r="BW580">
        <v>0</v>
      </c>
      <c r="BY580" t="s">
        <v>106</v>
      </c>
      <c r="BZ580" t="s">
        <v>142</v>
      </c>
      <c r="CA580" t="s">
        <v>112</v>
      </c>
      <c r="CB580" t="s">
        <v>112</v>
      </c>
      <c r="CC580" t="s">
        <v>121</v>
      </c>
      <c r="CD580">
        <v>16412.16</v>
      </c>
      <c r="CE580" t="s">
        <v>144</v>
      </c>
      <c r="CF580">
        <v>4000000</v>
      </c>
      <c r="CG580">
        <v>16412.16</v>
      </c>
      <c r="CH580">
        <v>0</v>
      </c>
      <c r="CI580" t="s">
        <v>112</v>
      </c>
      <c r="CJ580" t="s">
        <v>112</v>
      </c>
      <c r="CK580">
        <v>47799.6</v>
      </c>
      <c r="CM580">
        <v>0</v>
      </c>
      <c r="CN580">
        <v>1</v>
      </c>
      <c r="CO580">
        <v>5091720.42</v>
      </c>
      <c r="CP580">
        <v>55312.62</v>
      </c>
      <c r="CQ580" t="s">
        <v>145</v>
      </c>
      <c r="CR580">
        <v>55308.979200000002</v>
      </c>
      <c r="CS580">
        <v>3.37</v>
      </c>
      <c r="CT580">
        <v>45</v>
      </c>
      <c r="CV580" t="s">
        <v>163</v>
      </c>
      <c r="CW580">
        <v>152</v>
      </c>
    </row>
    <row r="581" spans="1:101" x14ac:dyDescent="0.2">
      <c r="A581" t="s">
        <v>106</v>
      </c>
      <c r="B581" s="46">
        <v>45106</v>
      </c>
      <c r="C581" t="s">
        <v>2128</v>
      </c>
      <c r="D581" t="s">
        <v>108</v>
      </c>
      <c r="E581" t="s">
        <v>2129</v>
      </c>
      <c r="F581" t="s">
        <v>3244</v>
      </c>
      <c r="G581" t="s">
        <v>111</v>
      </c>
      <c r="H581" t="s">
        <v>112</v>
      </c>
      <c r="I581" t="s">
        <v>112</v>
      </c>
      <c r="J581" t="s">
        <v>112</v>
      </c>
      <c r="K581" t="s">
        <v>150</v>
      </c>
      <c r="L581" t="s">
        <v>151</v>
      </c>
      <c r="M581" t="s">
        <v>112</v>
      </c>
      <c r="N581" t="s">
        <v>112</v>
      </c>
      <c r="O581">
        <v>1</v>
      </c>
      <c r="Q581">
        <v>1</v>
      </c>
      <c r="R581">
        <v>33</v>
      </c>
      <c r="S581" t="s">
        <v>112</v>
      </c>
      <c r="T581" t="s">
        <v>152</v>
      </c>
      <c r="U581" t="s">
        <v>153</v>
      </c>
      <c r="V581" t="s">
        <v>154</v>
      </c>
      <c r="W581" t="s">
        <v>119</v>
      </c>
      <c r="X581" t="s">
        <v>112</v>
      </c>
      <c r="Y581" t="s">
        <v>112</v>
      </c>
      <c r="Z581" t="s">
        <v>152</v>
      </c>
      <c r="AA581" t="s">
        <v>153</v>
      </c>
      <c r="AB581" t="s">
        <v>154</v>
      </c>
      <c r="AC581" t="s">
        <v>119</v>
      </c>
      <c r="AD581" t="s">
        <v>112</v>
      </c>
      <c r="AE581" t="s">
        <v>121</v>
      </c>
      <c r="AF581" t="s">
        <v>122</v>
      </c>
      <c r="AG581">
        <v>5500152.5499999998</v>
      </c>
      <c r="AH581" t="s">
        <v>112</v>
      </c>
      <c r="AI581" t="s">
        <v>152</v>
      </c>
      <c r="AJ581" t="s">
        <v>153</v>
      </c>
      <c r="AK581" t="s">
        <v>154</v>
      </c>
      <c r="AL581" t="s">
        <v>119</v>
      </c>
      <c r="AM581" t="s">
        <v>112</v>
      </c>
      <c r="AN581" t="s">
        <v>121</v>
      </c>
      <c r="AO581" t="s">
        <v>122</v>
      </c>
      <c r="AP581" t="s">
        <v>122</v>
      </c>
      <c r="AQ581" t="s">
        <v>124</v>
      </c>
      <c r="AR581" t="s">
        <v>125</v>
      </c>
      <c r="AS581">
        <v>2</v>
      </c>
      <c r="AT581" t="s">
        <v>126</v>
      </c>
      <c r="AU581" t="s">
        <v>155</v>
      </c>
      <c r="AV581" t="s">
        <v>156</v>
      </c>
      <c r="AX581" t="s">
        <v>129</v>
      </c>
      <c r="AY581">
        <v>49391.4</v>
      </c>
      <c r="BB581">
        <v>103.035</v>
      </c>
      <c r="BC581" t="s">
        <v>112</v>
      </c>
      <c r="BD581" t="s">
        <v>112</v>
      </c>
      <c r="BE581" t="s">
        <v>157</v>
      </c>
      <c r="BF581" t="s">
        <v>133</v>
      </c>
      <c r="BG581" t="s">
        <v>134</v>
      </c>
      <c r="BH581" t="s">
        <v>112</v>
      </c>
      <c r="BI581" t="s">
        <v>112</v>
      </c>
      <c r="BJ581" t="s">
        <v>112</v>
      </c>
      <c r="BK581" t="s">
        <v>158</v>
      </c>
      <c r="BL581" t="s">
        <v>159</v>
      </c>
      <c r="BM581" t="s">
        <v>212</v>
      </c>
      <c r="BN581" t="s">
        <v>161</v>
      </c>
      <c r="BP581" t="s">
        <v>205</v>
      </c>
      <c r="BR581" t="s">
        <v>150</v>
      </c>
      <c r="BS581">
        <v>33</v>
      </c>
      <c r="BT581">
        <v>0</v>
      </c>
      <c r="BU581">
        <v>0</v>
      </c>
      <c r="BW581">
        <v>0</v>
      </c>
      <c r="BY581" t="s">
        <v>106</v>
      </c>
      <c r="BZ581" t="s">
        <v>142</v>
      </c>
      <c r="CA581" t="s">
        <v>112</v>
      </c>
      <c r="CB581" t="s">
        <v>112</v>
      </c>
      <c r="CC581" t="s">
        <v>121</v>
      </c>
      <c r="CD581">
        <v>16552.560000000001</v>
      </c>
      <c r="CE581" t="s">
        <v>144</v>
      </c>
      <c r="CF581">
        <v>4000000</v>
      </c>
      <c r="CG581">
        <v>16444.560000000001</v>
      </c>
      <c r="CH581">
        <v>0</v>
      </c>
      <c r="CI581" t="s">
        <v>112</v>
      </c>
      <c r="CJ581" t="s">
        <v>112</v>
      </c>
      <c r="CK581">
        <v>49391.4</v>
      </c>
      <c r="CM581">
        <v>0</v>
      </c>
      <c r="CN581">
        <v>1</v>
      </c>
      <c r="CO581">
        <v>5500152.5499999998</v>
      </c>
      <c r="CP581">
        <v>56705.64</v>
      </c>
      <c r="CQ581" t="s">
        <v>145</v>
      </c>
      <c r="CR581">
        <v>56733.732000000011</v>
      </c>
      <c r="CS581">
        <v>3.45</v>
      </c>
      <c r="CT581">
        <v>45</v>
      </c>
      <c r="CV581" t="s">
        <v>206</v>
      </c>
      <c r="CW581">
        <v>597</v>
      </c>
    </row>
    <row r="582" spans="1:101" x14ac:dyDescent="0.2">
      <c r="A582" t="s">
        <v>106</v>
      </c>
      <c r="B582" s="46">
        <v>44819</v>
      </c>
      <c r="C582" t="s">
        <v>2128</v>
      </c>
      <c r="D582" t="s">
        <v>108</v>
      </c>
      <c r="E582" t="s">
        <v>2129</v>
      </c>
      <c r="F582" t="s">
        <v>3244</v>
      </c>
      <c r="G582" t="s">
        <v>111</v>
      </c>
      <c r="H582" t="s">
        <v>112</v>
      </c>
      <c r="I582" t="s">
        <v>112</v>
      </c>
      <c r="J582" t="s">
        <v>112</v>
      </c>
      <c r="K582" t="s">
        <v>150</v>
      </c>
      <c r="L582" t="s">
        <v>151</v>
      </c>
      <c r="M582" t="s">
        <v>112</v>
      </c>
      <c r="N582" t="s">
        <v>112</v>
      </c>
      <c r="O582">
        <v>1</v>
      </c>
      <c r="Q582">
        <v>1</v>
      </c>
      <c r="R582">
        <v>33</v>
      </c>
      <c r="S582" t="s">
        <v>112</v>
      </c>
      <c r="T582" t="s">
        <v>152</v>
      </c>
      <c r="U582" t="s">
        <v>153</v>
      </c>
      <c r="V582" t="s">
        <v>154</v>
      </c>
      <c r="W582" t="s">
        <v>119</v>
      </c>
      <c r="X582" t="s">
        <v>112</v>
      </c>
      <c r="Y582" t="s">
        <v>112</v>
      </c>
      <c r="Z582" t="s">
        <v>152</v>
      </c>
      <c r="AA582" t="s">
        <v>153</v>
      </c>
      <c r="AB582" t="s">
        <v>154</v>
      </c>
      <c r="AC582" t="s">
        <v>119</v>
      </c>
      <c r="AD582" t="s">
        <v>112</v>
      </c>
      <c r="AE582" t="s">
        <v>121</v>
      </c>
      <c r="AF582" t="s">
        <v>122</v>
      </c>
      <c r="AG582">
        <v>5500152.5499999998</v>
      </c>
      <c r="AH582" t="s">
        <v>112</v>
      </c>
      <c r="AI582" t="s">
        <v>152</v>
      </c>
      <c r="AJ582" t="s">
        <v>153</v>
      </c>
      <c r="AK582" t="s">
        <v>154</v>
      </c>
      <c r="AL582" t="s">
        <v>119</v>
      </c>
      <c r="AM582" t="s">
        <v>112</v>
      </c>
      <c r="AN582" t="s">
        <v>121</v>
      </c>
      <c r="AO582" t="s">
        <v>122</v>
      </c>
      <c r="AP582" t="s">
        <v>122</v>
      </c>
      <c r="AQ582" t="s">
        <v>124</v>
      </c>
      <c r="AR582" t="s">
        <v>125</v>
      </c>
      <c r="AS582">
        <v>2</v>
      </c>
      <c r="AT582" t="s">
        <v>126</v>
      </c>
      <c r="AU582" t="s">
        <v>155</v>
      </c>
      <c r="AV582" t="s">
        <v>156</v>
      </c>
      <c r="AX582" t="s">
        <v>129</v>
      </c>
      <c r="AY582">
        <v>49391.4</v>
      </c>
      <c r="BB582">
        <v>103.035</v>
      </c>
      <c r="BC582" t="s">
        <v>112</v>
      </c>
      <c r="BD582" t="s">
        <v>112</v>
      </c>
      <c r="BE582" t="s">
        <v>157</v>
      </c>
      <c r="BF582" t="s">
        <v>133</v>
      </c>
      <c r="BG582" t="s">
        <v>134</v>
      </c>
      <c r="BH582" t="s">
        <v>112</v>
      </c>
      <c r="BI582" t="s">
        <v>112</v>
      </c>
      <c r="BJ582" t="s">
        <v>112</v>
      </c>
      <c r="BK582" t="s">
        <v>158</v>
      </c>
      <c r="BL582" t="s">
        <v>159</v>
      </c>
      <c r="BM582" t="s">
        <v>212</v>
      </c>
      <c r="BN582" t="s">
        <v>161</v>
      </c>
      <c r="BP582" t="s">
        <v>205</v>
      </c>
      <c r="BR582" t="s">
        <v>150</v>
      </c>
      <c r="BS582">
        <v>33</v>
      </c>
      <c r="BT582">
        <v>0</v>
      </c>
      <c r="BU582">
        <v>0</v>
      </c>
      <c r="BW582">
        <v>0</v>
      </c>
      <c r="BY582" t="s">
        <v>106</v>
      </c>
      <c r="BZ582" t="s">
        <v>142</v>
      </c>
      <c r="CA582" t="s">
        <v>112</v>
      </c>
      <c r="CB582" t="s">
        <v>112</v>
      </c>
      <c r="CC582" t="s">
        <v>121</v>
      </c>
      <c r="CD582">
        <v>16552.560000000001</v>
      </c>
      <c r="CE582" t="s">
        <v>144</v>
      </c>
      <c r="CF582">
        <v>4000000</v>
      </c>
      <c r="CG582">
        <v>16444.560000000001</v>
      </c>
      <c r="CH582">
        <v>0</v>
      </c>
      <c r="CI582" t="s">
        <v>112</v>
      </c>
      <c r="CJ582" t="s">
        <v>112</v>
      </c>
      <c r="CK582">
        <v>49391.4</v>
      </c>
      <c r="CM582">
        <v>0</v>
      </c>
      <c r="CN582">
        <v>1</v>
      </c>
      <c r="CO582">
        <v>5500152.5499999998</v>
      </c>
      <c r="CP582">
        <v>56705.64</v>
      </c>
      <c r="CQ582" t="s">
        <v>145</v>
      </c>
      <c r="CR582">
        <v>56733.732000000011</v>
      </c>
      <c r="CS582">
        <v>3.45</v>
      </c>
      <c r="CT582">
        <v>45</v>
      </c>
      <c r="CV582" t="s">
        <v>206</v>
      </c>
      <c r="CW582">
        <v>597</v>
      </c>
    </row>
    <row r="583" spans="1:101" x14ac:dyDescent="0.2">
      <c r="A583" t="s">
        <v>106</v>
      </c>
      <c r="B583" s="46">
        <v>45237</v>
      </c>
      <c r="C583" t="s">
        <v>1918</v>
      </c>
      <c r="D583" t="s">
        <v>108</v>
      </c>
      <c r="E583" t="s">
        <v>1919</v>
      </c>
      <c r="F583" t="s">
        <v>3244</v>
      </c>
      <c r="G583" t="s">
        <v>111</v>
      </c>
      <c r="H583" t="s">
        <v>112</v>
      </c>
      <c r="I583" t="s">
        <v>112</v>
      </c>
      <c r="J583" t="s">
        <v>112</v>
      </c>
      <c r="K583" t="s">
        <v>150</v>
      </c>
      <c r="L583" t="s">
        <v>151</v>
      </c>
      <c r="M583" t="s">
        <v>112</v>
      </c>
      <c r="N583" t="s">
        <v>112</v>
      </c>
      <c r="O583">
        <v>1</v>
      </c>
      <c r="Q583">
        <v>1</v>
      </c>
      <c r="R583">
        <v>33</v>
      </c>
      <c r="S583" t="s">
        <v>112</v>
      </c>
      <c r="T583" t="s">
        <v>1704</v>
      </c>
      <c r="U583" t="s">
        <v>153</v>
      </c>
      <c r="V583" t="s">
        <v>154</v>
      </c>
      <c r="W583" t="s">
        <v>119</v>
      </c>
      <c r="X583" t="s">
        <v>112</v>
      </c>
      <c r="Y583" t="s">
        <v>112</v>
      </c>
      <c r="Z583" t="s">
        <v>152</v>
      </c>
      <c r="AA583" t="s">
        <v>153</v>
      </c>
      <c r="AB583" t="s">
        <v>154</v>
      </c>
      <c r="AC583" t="s">
        <v>119</v>
      </c>
      <c r="AD583" t="s">
        <v>112</v>
      </c>
      <c r="AE583" t="s">
        <v>121</v>
      </c>
      <c r="AF583" t="s">
        <v>122</v>
      </c>
      <c r="AG583">
        <v>4707995.55</v>
      </c>
      <c r="AH583" t="s">
        <v>112</v>
      </c>
      <c r="AI583" t="s">
        <v>152</v>
      </c>
      <c r="AJ583" t="s">
        <v>153</v>
      </c>
      <c r="AK583" t="s">
        <v>154</v>
      </c>
      <c r="AL583" t="s">
        <v>119</v>
      </c>
      <c r="AM583" t="s">
        <v>112</v>
      </c>
      <c r="AN583" t="s">
        <v>121</v>
      </c>
      <c r="AO583" t="s">
        <v>122</v>
      </c>
      <c r="AP583" t="s">
        <v>122</v>
      </c>
      <c r="AQ583" t="s">
        <v>124</v>
      </c>
      <c r="AR583" t="s">
        <v>125</v>
      </c>
      <c r="AS583">
        <v>2</v>
      </c>
      <c r="AT583" t="s">
        <v>126</v>
      </c>
      <c r="AU583" t="s">
        <v>155</v>
      </c>
      <c r="AV583" t="s">
        <v>156</v>
      </c>
      <c r="AX583" t="s">
        <v>129</v>
      </c>
      <c r="AY583">
        <v>41524.69</v>
      </c>
      <c r="BB583">
        <v>101.5646</v>
      </c>
      <c r="BC583" t="s">
        <v>112</v>
      </c>
      <c r="BD583" t="s">
        <v>112</v>
      </c>
      <c r="BE583" t="s">
        <v>157</v>
      </c>
      <c r="BF583" t="s">
        <v>133</v>
      </c>
      <c r="BG583" t="s">
        <v>134</v>
      </c>
      <c r="BH583" t="s">
        <v>112</v>
      </c>
      <c r="BI583" t="s">
        <v>112</v>
      </c>
      <c r="BJ583" t="s">
        <v>112</v>
      </c>
      <c r="BK583" t="s">
        <v>169</v>
      </c>
      <c r="BL583" t="s">
        <v>159</v>
      </c>
      <c r="BM583" t="s">
        <v>212</v>
      </c>
      <c r="BN583" t="s">
        <v>161</v>
      </c>
      <c r="BP583" t="s">
        <v>232</v>
      </c>
      <c r="BR583" t="s">
        <v>150</v>
      </c>
      <c r="BS583">
        <v>33</v>
      </c>
      <c r="BY583" t="s">
        <v>106</v>
      </c>
      <c r="BZ583" t="s">
        <v>142</v>
      </c>
      <c r="CA583" t="s">
        <v>112</v>
      </c>
      <c r="CB583" t="s">
        <v>112</v>
      </c>
      <c r="CC583" t="s">
        <v>121</v>
      </c>
      <c r="CD583">
        <v>16417.71</v>
      </c>
      <c r="CE583" t="s">
        <v>144</v>
      </c>
      <c r="CF583">
        <v>4000000</v>
      </c>
      <c r="CG583">
        <v>16252.11</v>
      </c>
      <c r="CI583" t="s">
        <v>112</v>
      </c>
      <c r="CJ583" t="s">
        <v>112</v>
      </c>
      <c r="CK583">
        <v>41524.69</v>
      </c>
      <c r="CM583">
        <v>0</v>
      </c>
      <c r="CN583">
        <v>1</v>
      </c>
      <c r="CO583">
        <v>4707995.55</v>
      </c>
      <c r="CP583">
        <v>49713</v>
      </c>
      <c r="CQ583" t="s">
        <v>145</v>
      </c>
      <c r="CR583">
        <v>49731.456600000005</v>
      </c>
      <c r="CS583">
        <v>3.06</v>
      </c>
      <c r="CT583">
        <v>45</v>
      </c>
      <c r="CV583" t="s">
        <v>163</v>
      </c>
    </row>
    <row r="584" spans="1:101" x14ac:dyDescent="0.2">
      <c r="A584" t="s">
        <v>106</v>
      </c>
      <c r="B584" s="46">
        <v>45148</v>
      </c>
      <c r="C584" t="s">
        <v>1990</v>
      </c>
      <c r="D584" t="s">
        <v>108</v>
      </c>
      <c r="E584" t="s">
        <v>1991</v>
      </c>
      <c r="F584" t="s">
        <v>3244</v>
      </c>
      <c r="G584" t="s">
        <v>111</v>
      </c>
      <c r="H584" t="s">
        <v>112</v>
      </c>
      <c r="I584" t="s">
        <v>112</v>
      </c>
      <c r="J584" t="s">
        <v>112</v>
      </c>
      <c r="K584" t="s">
        <v>150</v>
      </c>
      <c r="L584" t="s">
        <v>151</v>
      </c>
      <c r="M584" t="s">
        <v>112</v>
      </c>
      <c r="N584" t="s">
        <v>112</v>
      </c>
      <c r="O584">
        <v>1</v>
      </c>
      <c r="Q584">
        <v>1</v>
      </c>
      <c r="R584">
        <v>33</v>
      </c>
      <c r="S584" t="s">
        <v>112</v>
      </c>
      <c r="T584" t="s">
        <v>1704</v>
      </c>
      <c r="U584" t="s">
        <v>153</v>
      </c>
      <c r="V584" t="s">
        <v>154</v>
      </c>
      <c r="W584" t="s">
        <v>119</v>
      </c>
      <c r="X584" t="s">
        <v>112</v>
      </c>
      <c r="Y584" t="s">
        <v>112</v>
      </c>
      <c r="Z584" t="s">
        <v>152</v>
      </c>
      <c r="AA584" t="s">
        <v>153</v>
      </c>
      <c r="AB584" t="s">
        <v>154</v>
      </c>
      <c r="AC584" t="s">
        <v>119</v>
      </c>
      <c r="AD584" t="s">
        <v>112</v>
      </c>
      <c r="AE584" t="s">
        <v>121</v>
      </c>
      <c r="AF584" t="s">
        <v>122</v>
      </c>
      <c r="AG584">
        <v>4031509.3</v>
      </c>
      <c r="AH584" t="s">
        <v>112</v>
      </c>
      <c r="AI584" t="s">
        <v>152</v>
      </c>
      <c r="AJ584" t="s">
        <v>153</v>
      </c>
      <c r="AK584" t="s">
        <v>154</v>
      </c>
      <c r="AL584" t="s">
        <v>119</v>
      </c>
      <c r="AM584" t="s">
        <v>112</v>
      </c>
      <c r="AN584" t="s">
        <v>121</v>
      </c>
      <c r="AO584" t="s">
        <v>122</v>
      </c>
      <c r="AP584" t="s">
        <v>122</v>
      </c>
      <c r="AQ584" t="s">
        <v>124</v>
      </c>
      <c r="AR584" t="s">
        <v>125</v>
      </c>
      <c r="AS584">
        <v>2</v>
      </c>
      <c r="AT584" t="s">
        <v>126</v>
      </c>
      <c r="AU584" t="s">
        <v>155</v>
      </c>
      <c r="AV584" t="s">
        <v>156</v>
      </c>
      <c r="AX584" t="s">
        <v>129</v>
      </c>
      <c r="AY584">
        <v>35564.04</v>
      </c>
      <c r="BB584">
        <v>101.5646</v>
      </c>
      <c r="BC584" t="s">
        <v>112</v>
      </c>
      <c r="BD584" t="s">
        <v>112</v>
      </c>
      <c r="BE584" t="s">
        <v>157</v>
      </c>
      <c r="BF584" t="s">
        <v>133</v>
      </c>
      <c r="BG584" t="s">
        <v>167</v>
      </c>
      <c r="BH584" t="s">
        <v>112</v>
      </c>
      <c r="BI584" t="s">
        <v>112</v>
      </c>
      <c r="BJ584" t="s">
        <v>112</v>
      </c>
      <c r="BK584" t="s">
        <v>169</v>
      </c>
      <c r="BL584" t="s">
        <v>159</v>
      </c>
      <c r="BM584" t="s">
        <v>160</v>
      </c>
      <c r="BN584" t="s">
        <v>161</v>
      </c>
      <c r="BP584" t="s">
        <v>213</v>
      </c>
      <c r="BR584" t="s">
        <v>150</v>
      </c>
      <c r="BS584">
        <v>33</v>
      </c>
      <c r="BY584" t="s">
        <v>106</v>
      </c>
      <c r="BZ584" t="s">
        <v>142</v>
      </c>
      <c r="CA584" t="s">
        <v>112</v>
      </c>
      <c r="CB584" t="s">
        <v>112</v>
      </c>
      <c r="CC584" t="s">
        <v>121</v>
      </c>
      <c r="CD584">
        <v>16563.849999999999</v>
      </c>
      <c r="CE584" t="s">
        <v>144</v>
      </c>
      <c r="CF584">
        <v>4000000</v>
      </c>
      <c r="CG584">
        <v>16434.25</v>
      </c>
      <c r="CI584" t="s">
        <v>112</v>
      </c>
      <c r="CJ584" t="s">
        <v>112</v>
      </c>
      <c r="CK584">
        <v>35564.04</v>
      </c>
      <c r="CM584">
        <v>0</v>
      </c>
      <c r="CN584">
        <v>1</v>
      </c>
      <c r="CO584">
        <v>4031509.3</v>
      </c>
      <c r="CP584">
        <v>42569.8</v>
      </c>
      <c r="CQ584" t="s">
        <v>145</v>
      </c>
      <c r="CR584">
        <v>42564.707499999997</v>
      </c>
      <c r="CS584">
        <v>2.59</v>
      </c>
      <c r="CT584">
        <v>45</v>
      </c>
      <c r="CV584" t="s">
        <v>1140</v>
      </c>
      <c r="CW584">
        <v>134</v>
      </c>
    </row>
    <row r="585" spans="1:101" x14ac:dyDescent="0.2">
      <c r="A585" t="s">
        <v>106</v>
      </c>
      <c r="B585" s="46">
        <v>45109</v>
      </c>
      <c r="C585" t="s">
        <v>1990</v>
      </c>
      <c r="D585" t="s">
        <v>108</v>
      </c>
      <c r="E585" t="s">
        <v>1991</v>
      </c>
      <c r="F585" t="s">
        <v>3244</v>
      </c>
      <c r="G585" t="s">
        <v>111</v>
      </c>
      <c r="H585" t="s">
        <v>112</v>
      </c>
      <c r="I585" t="s">
        <v>112</v>
      </c>
      <c r="J585" t="s">
        <v>112</v>
      </c>
      <c r="K585" t="s">
        <v>150</v>
      </c>
      <c r="L585" t="s">
        <v>151</v>
      </c>
      <c r="M585" t="s">
        <v>112</v>
      </c>
      <c r="N585" t="s">
        <v>112</v>
      </c>
      <c r="O585">
        <v>1</v>
      </c>
      <c r="Q585">
        <v>1</v>
      </c>
      <c r="R585">
        <v>33</v>
      </c>
      <c r="S585" t="s">
        <v>112</v>
      </c>
      <c r="T585" t="s">
        <v>1704</v>
      </c>
      <c r="U585" t="s">
        <v>153</v>
      </c>
      <c r="V585" t="s">
        <v>154</v>
      </c>
      <c r="W585" t="s">
        <v>119</v>
      </c>
      <c r="X585" t="s">
        <v>112</v>
      </c>
      <c r="Y585" t="s">
        <v>112</v>
      </c>
      <c r="Z585" t="s">
        <v>152</v>
      </c>
      <c r="AA585" t="s">
        <v>153</v>
      </c>
      <c r="AB585" t="s">
        <v>154</v>
      </c>
      <c r="AC585" t="s">
        <v>119</v>
      </c>
      <c r="AD585" t="s">
        <v>112</v>
      </c>
      <c r="AE585" t="s">
        <v>121</v>
      </c>
      <c r="AF585" t="s">
        <v>122</v>
      </c>
      <c r="AG585">
        <v>4031509.3</v>
      </c>
      <c r="AH585" t="s">
        <v>112</v>
      </c>
      <c r="AI585" t="s">
        <v>152</v>
      </c>
      <c r="AJ585" t="s">
        <v>153</v>
      </c>
      <c r="AK585" t="s">
        <v>154</v>
      </c>
      <c r="AL585" t="s">
        <v>119</v>
      </c>
      <c r="AM585" t="s">
        <v>112</v>
      </c>
      <c r="AN585" t="s">
        <v>121</v>
      </c>
      <c r="AO585" t="s">
        <v>122</v>
      </c>
      <c r="AP585" t="s">
        <v>122</v>
      </c>
      <c r="AQ585" t="s">
        <v>124</v>
      </c>
      <c r="AR585" t="s">
        <v>125</v>
      </c>
      <c r="AS585">
        <v>2</v>
      </c>
      <c r="AT585" t="s">
        <v>126</v>
      </c>
      <c r="AU585" t="s">
        <v>155</v>
      </c>
      <c r="AV585" t="s">
        <v>156</v>
      </c>
      <c r="AX585" t="s">
        <v>129</v>
      </c>
      <c r="AY585">
        <v>35564.04</v>
      </c>
      <c r="BB585">
        <v>101.5646</v>
      </c>
      <c r="BC585" t="s">
        <v>112</v>
      </c>
      <c r="BD585" t="s">
        <v>112</v>
      </c>
      <c r="BE585" t="s">
        <v>157</v>
      </c>
      <c r="BF585" t="s">
        <v>133</v>
      </c>
      <c r="BG585" t="s">
        <v>167</v>
      </c>
      <c r="BH585" t="s">
        <v>112</v>
      </c>
      <c r="BI585" t="s">
        <v>112</v>
      </c>
      <c r="BJ585" t="s">
        <v>112</v>
      </c>
      <c r="BK585" t="s">
        <v>169</v>
      </c>
      <c r="BL585" t="s">
        <v>159</v>
      </c>
      <c r="BM585" t="s">
        <v>160</v>
      </c>
      <c r="BN585" t="s">
        <v>161</v>
      </c>
      <c r="BP585" t="s">
        <v>213</v>
      </c>
      <c r="BR585" t="s">
        <v>150</v>
      </c>
      <c r="BS585">
        <v>33</v>
      </c>
      <c r="BY585" t="s">
        <v>106</v>
      </c>
      <c r="BZ585" t="s">
        <v>142</v>
      </c>
      <c r="CA585" t="s">
        <v>112</v>
      </c>
      <c r="CB585" t="s">
        <v>112</v>
      </c>
      <c r="CC585" t="s">
        <v>121</v>
      </c>
      <c r="CD585">
        <v>16563.849999999999</v>
      </c>
      <c r="CE585" t="s">
        <v>144</v>
      </c>
      <c r="CF585">
        <v>4000000</v>
      </c>
      <c r="CG585">
        <v>16434.25</v>
      </c>
      <c r="CI585" t="s">
        <v>112</v>
      </c>
      <c r="CJ585" t="s">
        <v>112</v>
      </c>
      <c r="CK585">
        <v>35564.04</v>
      </c>
      <c r="CM585">
        <v>0</v>
      </c>
      <c r="CN585">
        <v>1</v>
      </c>
      <c r="CO585">
        <v>4031509.3</v>
      </c>
      <c r="CP585">
        <v>42569.8</v>
      </c>
      <c r="CQ585" t="s">
        <v>145</v>
      </c>
      <c r="CR585">
        <v>42564.707499999997</v>
      </c>
      <c r="CS585">
        <v>2.59</v>
      </c>
      <c r="CT585">
        <v>45</v>
      </c>
      <c r="CV585" t="s">
        <v>1140</v>
      </c>
      <c r="CW585">
        <v>134</v>
      </c>
    </row>
    <row r="586" spans="1:101" x14ac:dyDescent="0.2">
      <c r="A586" t="s">
        <v>106</v>
      </c>
      <c r="B586" s="46">
        <v>44982</v>
      </c>
      <c r="C586" t="s">
        <v>1988</v>
      </c>
      <c r="D586" t="s">
        <v>108</v>
      </c>
      <c r="E586" t="s">
        <v>1989</v>
      </c>
      <c r="F586" t="s">
        <v>3244</v>
      </c>
      <c r="G586" t="s">
        <v>111</v>
      </c>
      <c r="H586" t="s">
        <v>112</v>
      </c>
      <c r="I586" t="s">
        <v>112</v>
      </c>
      <c r="J586" t="s">
        <v>112</v>
      </c>
      <c r="K586" t="s">
        <v>150</v>
      </c>
      <c r="L586" t="s">
        <v>151</v>
      </c>
      <c r="M586" t="s">
        <v>112</v>
      </c>
      <c r="N586" t="s">
        <v>112</v>
      </c>
      <c r="O586">
        <v>1</v>
      </c>
      <c r="Q586">
        <v>1</v>
      </c>
      <c r="R586">
        <v>33</v>
      </c>
      <c r="S586" t="s">
        <v>112</v>
      </c>
      <c r="T586" t="s">
        <v>1704</v>
      </c>
      <c r="U586" t="s">
        <v>153</v>
      </c>
      <c r="V586" t="s">
        <v>154</v>
      </c>
      <c r="W586" t="s">
        <v>119</v>
      </c>
      <c r="X586" t="s">
        <v>112</v>
      </c>
      <c r="Y586" t="s">
        <v>112</v>
      </c>
      <c r="Z586" t="s">
        <v>152</v>
      </c>
      <c r="AA586" t="s">
        <v>153</v>
      </c>
      <c r="AB586" t="s">
        <v>154</v>
      </c>
      <c r="AC586" t="s">
        <v>119</v>
      </c>
      <c r="AD586" t="s">
        <v>112</v>
      </c>
      <c r="AE586" t="s">
        <v>121</v>
      </c>
      <c r="AF586" t="s">
        <v>122</v>
      </c>
      <c r="AG586">
        <v>5185600.03</v>
      </c>
      <c r="AH586" t="s">
        <v>112</v>
      </c>
      <c r="AI586" t="s">
        <v>152</v>
      </c>
      <c r="AJ586" t="s">
        <v>153</v>
      </c>
      <c r="AK586" t="s">
        <v>154</v>
      </c>
      <c r="AL586" t="s">
        <v>119</v>
      </c>
      <c r="AM586" t="s">
        <v>112</v>
      </c>
      <c r="AN586" t="s">
        <v>121</v>
      </c>
      <c r="AO586" t="s">
        <v>122</v>
      </c>
      <c r="AP586" t="s">
        <v>122</v>
      </c>
      <c r="AQ586" t="s">
        <v>124</v>
      </c>
      <c r="AR586" t="s">
        <v>125</v>
      </c>
      <c r="AS586">
        <v>2</v>
      </c>
      <c r="AT586" t="s">
        <v>126</v>
      </c>
      <c r="AU586" t="s">
        <v>155</v>
      </c>
      <c r="AV586" t="s">
        <v>156</v>
      </c>
      <c r="AX586" t="s">
        <v>129</v>
      </c>
      <c r="AY586">
        <v>46927.16</v>
      </c>
      <c r="BB586">
        <v>101.5646</v>
      </c>
      <c r="BC586" t="s">
        <v>112</v>
      </c>
      <c r="BD586" t="s">
        <v>112</v>
      </c>
      <c r="BE586" t="s">
        <v>157</v>
      </c>
      <c r="BF586" t="s">
        <v>133</v>
      </c>
      <c r="BG586" t="s">
        <v>167</v>
      </c>
      <c r="BH586" t="s">
        <v>112</v>
      </c>
      <c r="BI586" t="s">
        <v>112</v>
      </c>
      <c r="BJ586" t="s">
        <v>112</v>
      </c>
      <c r="BK586" t="s">
        <v>169</v>
      </c>
      <c r="BL586" t="s">
        <v>159</v>
      </c>
      <c r="BM586" t="s">
        <v>160</v>
      </c>
      <c r="BN586" t="s">
        <v>161</v>
      </c>
      <c r="BP586" t="s">
        <v>205</v>
      </c>
      <c r="BR586" t="s">
        <v>150</v>
      </c>
      <c r="BS586">
        <v>33</v>
      </c>
      <c r="BY586" t="s">
        <v>106</v>
      </c>
      <c r="BZ586" t="s">
        <v>142</v>
      </c>
      <c r="CA586" t="s">
        <v>112</v>
      </c>
      <c r="CB586" t="s">
        <v>112</v>
      </c>
      <c r="CC586" t="s">
        <v>121</v>
      </c>
      <c r="CD586">
        <v>16189.49</v>
      </c>
      <c r="CE586" t="s">
        <v>144</v>
      </c>
      <c r="CF586">
        <v>4000000</v>
      </c>
      <c r="CG586">
        <v>16081.49</v>
      </c>
      <c r="CI586" t="s">
        <v>112</v>
      </c>
      <c r="CJ586" t="s">
        <v>112</v>
      </c>
      <c r="CK586">
        <v>46927.16</v>
      </c>
      <c r="CM586">
        <v>0</v>
      </c>
      <c r="CN586">
        <v>1</v>
      </c>
      <c r="CO586">
        <v>5185600.03</v>
      </c>
      <c r="CP586">
        <v>54756.160000000003</v>
      </c>
      <c r="CQ586" t="s">
        <v>145</v>
      </c>
      <c r="CR586">
        <v>54677.065999999999</v>
      </c>
      <c r="CS586">
        <v>3.4</v>
      </c>
      <c r="CT586">
        <v>45</v>
      </c>
      <c r="CV586" t="s">
        <v>233</v>
      </c>
      <c r="CW586">
        <v>365</v>
      </c>
    </row>
    <row r="587" spans="1:101" x14ac:dyDescent="0.2">
      <c r="A587" t="s">
        <v>106</v>
      </c>
      <c r="B587" s="46">
        <v>45279</v>
      </c>
      <c r="C587" t="s">
        <v>1988</v>
      </c>
      <c r="D587" t="s">
        <v>108</v>
      </c>
      <c r="E587" t="s">
        <v>1989</v>
      </c>
      <c r="F587" t="s">
        <v>3244</v>
      </c>
      <c r="G587" t="s">
        <v>111</v>
      </c>
      <c r="H587" t="s">
        <v>112</v>
      </c>
      <c r="I587" t="s">
        <v>112</v>
      </c>
      <c r="J587" t="s">
        <v>112</v>
      </c>
      <c r="K587" t="s">
        <v>150</v>
      </c>
      <c r="L587" t="s">
        <v>151</v>
      </c>
      <c r="M587" t="s">
        <v>112</v>
      </c>
      <c r="N587" t="s">
        <v>112</v>
      </c>
      <c r="O587">
        <v>1</v>
      </c>
      <c r="Q587">
        <v>1</v>
      </c>
      <c r="R587">
        <v>33</v>
      </c>
      <c r="S587" t="s">
        <v>112</v>
      </c>
      <c r="T587" t="s">
        <v>1704</v>
      </c>
      <c r="U587" t="s">
        <v>153</v>
      </c>
      <c r="V587" t="s">
        <v>154</v>
      </c>
      <c r="W587" t="s">
        <v>119</v>
      </c>
      <c r="X587" t="s">
        <v>112</v>
      </c>
      <c r="Y587" t="s">
        <v>112</v>
      </c>
      <c r="Z587" t="s">
        <v>152</v>
      </c>
      <c r="AA587" t="s">
        <v>153</v>
      </c>
      <c r="AB587" t="s">
        <v>154</v>
      </c>
      <c r="AC587" t="s">
        <v>119</v>
      </c>
      <c r="AD587" t="s">
        <v>112</v>
      </c>
      <c r="AE587" t="s">
        <v>121</v>
      </c>
      <c r="AF587" t="s">
        <v>122</v>
      </c>
      <c r="AG587">
        <v>5185600.03</v>
      </c>
      <c r="AH587" t="s">
        <v>112</v>
      </c>
      <c r="AI587" t="s">
        <v>152</v>
      </c>
      <c r="AJ587" t="s">
        <v>153</v>
      </c>
      <c r="AK587" t="s">
        <v>154</v>
      </c>
      <c r="AL587" t="s">
        <v>119</v>
      </c>
      <c r="AM587" t="s">
        <v>112</v>
      </c>
      <c r="AN587" t="s">
        <v>121</v>
      </c>
      <c r="AO587" t="s">
        <v>122</v>
      </c>
      <c r="AP587" t="s">
        <v>122</v>
      </c>
      <c r="AQ587" t="s">
        <v>124</v>
      </c>
      <c r="AR587" t="s">
        <v>125</v>
      </c>
      <c r="AS587">
        <v>2</v>
      </c>
      <c r="AT587" t="s">
        <v>126</v>
      </c>
      <c r="AU587" t="s">
        <v>155</v>
      </c>
      <c r="AV587" t="s">
        <v>156</v>
      </c>
      <c r="AX587" t="s">
        <v>129</v>
      </c>
      <c r="AY587">
        <v>46927.16</v>
      </c>
      <c r="BB587">
        <v>101.5646</v>
      </c>
      <c r="BC587" t="s">
        <v>112</v>
      </c>
      <c r="BD587" t="s">
        <v>112</v>
      </c>
      <c r="BE587" t="s">
        <v>157</v>
      </c>
      <c r="BF587" t="s">
        <v>133</v>
      </c>
      <c r="BG587" t="s">
        <v>167</v>
      </c>
      <c r="BH587" t="s">
        <v>112</v>
      </c>
      <c r="BI587" t="s">
        <v>112</v>
      </c>
      <c r="BJ587" t="s">
        <v>112</v>
      </c>
      <c r="BK587" t="s">
        <v>169</v>
      </c>
      <c r="BL587" t="s">
        <v>159</v>
      </c>
      <c r="BM587" t="s">
        <v>160</v>
      </c>
      <c r="BN587" t="s">
        <v>161</v>
      </c>
      <c r="BP587" t="s">
        <v>205</v>
      </c>
      <c r="BR587" t="s">
        <v>150</v>
      </c>
      <c r="BS587">
        <v>33</v>
      </c>
      <c r="BY587" t="s">
        <v>106</v>
      </c>
      <c r="BZ587" t="s">
        <v>142</v>
      </c>
      <c r="CA587" t="s">
        <v>112</v>
      </c>
      <c r="CB587" t="s">
        <v>112</v>
      </c>
      <c r="CC587" t="s">
        <v>121</v>
      </c>
      <c r="CD587">
        <v>16189.49</v>
      </c>
      <c r="CE587" t="s">
        <v>144</v>
      </c>
      <c r="CF587">
        <v>4000000</v>
      </c>
      <c r="CG587">
        <v>16081.49</v>
      </c>
      <c r="CI587" t="s">
        <v>112</v>
      </c>
      <c r="CJ587" t="s">
        <v>112</v>
      </c>
      <c r="CK587">
        <v>46927.16</v>
      </c>
      <c r="CM587">
        <v>0</v>
      </c>
      <c r="CN587">
        <v>1</v>
      </c>
      <c r="CO587">
        <v>5185600.03</v>
      </c>
      <c r="CP587">
        <v>54756.160000000003</v>
      </c>
      <c r="CQ587" t="s">
        <v>145</v>
      </c>
      <c r="CR587">
        <v>54677.065999999999</v>
      </c>
      <c r="CS587">
        <v>3.4</v>
      </c>
      <c r="CT587">
        <v>45</v>
      </c>
      <c r="CV587" t="s">
        <v>233</v>
      </c>
      <c r="CW587">
        <v>365</v>
      </c>
    </row>
    <row r="588" spans="1:101" x14ac:dyDescent="0.2">
      <c r="A588" t="s">
        <v>106</v>
      </c>
      <c r="B588" s="46">
        <v>45206</v>
      </c>
      <c r="C588" t="s">
        <v>1920</v>
      </c>
      <c r="D588" t="s">
        <v>108</v>
      </c>
      <c r="E588" t="s">
        <v>1921</v>
      </c>
      <c r="F588" t="s">
        <v>3244</v>
      </c>
      <c r="G588" t="s">
        <v>111</v>
      </c>
      <c r="H588" t="s">
        <v>112</v>
      </c>
      <c r="I588" t="s">
        <v>112</v>
      </c>
      <c r="J588" t="s">
        <v>112</v>
      </c>
      <c r="K588" t="s">
        <v>150</v>
      </c>
      <c r="L588" t="s">
        <v>151</v>
      </c>
      <c r="M588" t="s">
        <v>112</v>
      </c>
      <c r="N588" t="s">
        <v>112</v>
      </c>
      <c r="O588">
        <v>1</v>
      </c>
      <c r="Q588">
        <v>1</v>
      </c>
      <c r="R588">
        <v>33</v>
      </c>
      <c r="S588" t="s">
        <v>112</v>
      </c>
      <c r="T588" t="s">
        <v>1704</v>
      </c>
      <c r="U588" t="s">
        <v>153</v>
      </c>
      <c r="V588" t="s">
        <v>154</v>
      </c>
      <c r="W588" t="s">
        <v>119</v>
      </c>
      <c r="X588" t="s">
        <v>112</v>
      </c>
      <c r="Y588" t="s">
        <v>112</v>
      </c>
      <c r="Z588" t="s">
        <v>152</v>
      </c>
      <c r="AA588" t="s">
        <v>153</v>
      </c>
      <c r="AB588" t="s">
        <v>154</v>
      </c>
      <c r="AC588" t="s">
        <v>119</v>
      </c>
      <c r="AD588" t="s">
        <v>112</v>
      </c>
      <c r="AE588" t="s">
        <v>121</v>
      </c>
      <c r="AF588" t="s">
        <v>122</v>
      </c>
      <c r="AG588">
        <v>4292002.18</v>
      </c>
      <c r="AH588" t="s">
        <v>112</v>
      </c>
      <c r="AI588" t="s">
        <v>152</v>
      </c>
      <c r="AJ588" t="s">
        <v>153</v>
      </c>
      <c r="AK588" t="s">
        <v>154</v>
      </c>
      <c r="AL588" t="s">
        <v>119</v>
      </c>
      <c r="AM588" t="s">
        <v>112</v>
      </c>
      <c r="AN588" t="s">
        <v>121</v>
      </c>
      <c r="AO588" t="s">
        <v>122</v>
      </c>
      <c r="AP588" t="s">
        <v>122</v>
      </c>
      <c r="AQ588" t="s">
        <v>124</v>
      </c>
      <c r="AR588" t="s">
        <v>125</v>
      </c>
      <c r="AS588">
        <v>2</v>
      </c>
      <c r="AT588" t="s">
        <v>126</v>
      </c>
      <c r="AU588" t="s">
        <v>155</v>
      </c>
      <c r="AV588" t="s">
        <v>156</v>
      </c>
      <c r="AX588" t="s">
        <v>129</v>
      </c>
      <c r="AY588">
        <v>37428.839999999997</v>
      </c>
      <c r="BB588">
        <v>101.5646</v>
      </c>
      <c r="BC588" t="s">
        <v>112</v>
      </c>
      <c r="BD588" t="s">
        <v>112</v>
      </c>
      <c r="BE588" t="s">
        <v>157</v>
      </c>
      <c r="BF588" t="s">
        <v>133</v>
      </c>
      <c r="BG588" t="s">
        <v>134</v>
      </c>
      <c r="BH588" t="s">
        <v>112</v>
      </c>
      <c r="BI588" t="s">
        <v>112</v>
      </c>
      <c r="BJ588" t="s">
        <v>112</v>
      </c>
      <c r="BK588" t="s">
        <v>169</v>
      </c>
      <c r="BL588" t="s">
        <v>159</v>
      </c>
      <c r="BM588" t="s">
        <v>212</v>
      </c>
      <c r="BN588" t="s">
        <v>161</v>
      </c>
      <c r="BP588" t="s">
        <v>232</v>
      </c>
      <c r="BR588" t="s">
        <v>150</v>
      </c>
      <c r="BS588">
        <v>33</v>
      </c>
      <c r="BT588">
        <v>0</v>
      </c>
      <c r="BU588">
        <v>0</v>
      </c>
      <c r="BW588">
        <v>0</v>
      </c>
      <c r="BY588" t="s">
        <v>106</v>
      </c>
      <c r="BZ588" t="s">
        <v>142</v>
      </c>
      <c r="CA588" t="s">
        <v>112</v>
      </c>
      <c r="CB588" t="s">
        <v>112</v>
      </c>
      <c r="CC588" t="s">
        <v>121</v>
      </c>
      <c r="CD588">
        <v>16664.89</v>
      </c>
      <c r="CE588" t="s">
        <v>144</v>
      </c>
      <c r="CF588">
        <v>4000000</v>
      </c>
      <c r="CG588">
        <v>16556.89</v>
      </c>
      <c r="CH588">
        <v>0</v>
      </c>
      <c r="CI588" t="s">
        <v>112</v>
      </c>
      <c r="CJ588" t="s">
        <v>112</v>
      </c>
      <c r="CK588">
        <v>37428.839999999997</v>
      </c>
      <c r="CM588">
        <v>0</v>
      </c>
      <c r="CN588">
        <v>1</v>
      </c>
      <c r="CO588">
        <v>4292002.18</v>
      </c>
      <c r="CP588">
        <v>45320.42</v>
      </c>
      <c r="CQ588" t="s">
        <v>145</v>
      </c>
      <c r="CR588">
        <v>45365.878600000004</v>
      </c>
      <c r="CS588">
        <v>2.74</v>
      </c>
      <c r="CT588">
        <v>45</v>
      </c>
      <c r="CV588" t="s">
        <v>233</v>
      </c>
      <c r="CW588">
        <v>121</v>
      </c>
    </row>
    <row r="589" spans="1:101" x14ac:dyDescent="0.2">
      <c r="A589" t="s">
        <v>106</v>
      </c>
      <c r="B589" s="46">
        <v>45051</v>
      </c>
      <c r="C589" t="s">
        <v>1959</v>
      </c>
      <c r="D589" t="s">
        <v>108</v>
      </c>
      <c r="E589" t="s">
        <v>1960</v>
      </c>
      <c r="F589" t="s">
        <v>3244</v>
      </c>
      <c r="G589" t="s">
        <v>111</v>
      </c>
      <c r="H589" t="s">
        <v>112</v>
      </c>
      <c r="I589" t="s">
        <v>112</v>
      </c>
      <c r="J589" t="s">
        <v>112</v>
      </c>
      <c r="K589" t="s">
        <v>150</v>
      </c>
      <c r="L589" t="s">
        <v>151</v>
      </c>
      <c r="M589" t="s">
        <v>112</v>
      </c>
      <c r="N589" t="s">
        <v>112</v>
      </c>
      <c r="O589">
        <v>1</v>
      </c>
      <c r="Q589">
        <v>1</v>
      </c>
      <c r="R589">
        <v>33</v>
      </c>
      <c r="S589" t="s">
        <v>112</v>
      </c>
      <c r="T589" t="s">
        <v>1704</v>
      </c>
      <c r="U589" t="s">
        <v>153</v>
      </c>
      <c r="V589" t="s">
        <v>154</v>
      </c>
      <c r="W589" t="s">
        <v>119</v>
      </c>
      <c r="X589" t="s">
        <v>112</v>
      </c>
      <c r="Y589" t="s">
        <v>112</v>
      </c>
      <c r="Z589" t="s">
        <v>152</v>
      </c>
      <c r="AA589" t="s">
        <v>153</v>
      </c>
      <c r="AB589" t="s">
        <v>154</v>
      </c>
      <c r="AC589" t="s">
        <v>119</v>
      </c>
      <c r="AD589" t="s">
        <v>112</v>
      </c>
      <c r="AE589" t="s">
        <v>121</v>
      </c>
      <c r="AF589" t="s">
        <v>122</v>
      </c>
      <c r="AG589">
        <v>4698585.59</v>
      </c>
      <c r="AH589" t="s">
        <v>112</v>
      </c>
      <c r="AI589" t="s">
        <v>152</v>
      </c>
      <c r="AJ589" t="s">
        <v>153</v>
      </c>
      <c r="AK589" t="s">
        <v>154</v>
      </c>
      <c r="AL589" t="s">
        <v>119</v>
      </c>
      <c r="AM589" t="s">
        <v>112</v>
      </c>
      <c r="AN589" t="s">
        <v>121</v>
      </c>
      <c r="AO589" t="s">
        <v>122</v>
      </c>
      <c r="AP589" t="s">
        <v>122</v>
      </c>
      <c r="AQ589" t="s">
        <v>124</v>
      </c>
      <c r="AR589" t="s">
        <v>125</v>
      </c>
      <c r="AS589">
        <v>2</v>
      </c>
      <c r="AT589" t="s">
        <v>126</v>
      </c>
      <c r="AU589" t="s">
        <v>155</v>
      </c>
      <c r="AV589" t="s">
        <v>156</v>
      </c>
      <c r="AX589" t="s">
        <v>129</v>
      </c>
      <c r="AY589">
        <v>41612.04</v>
      </c>
      <c r="BB589">
        <v>101.5646</v>
      </c>
      <c r="BC589" t="s">
        <v>112</v>
      </c>
      <c r="BD589" t="s">
        <v>112</v>
      </c>
      <c r="BE589" t="s">
        <v>157</v>
      </c>
      <c r="BF589" t="s">
        <v>133</v>
      </c>
      <c r="BG589" t="s">
        <v>134</v>
      </c>
      <c r="BH589" t="s">
        <v>112</v>
      </c>
      <c r="BI589" t="s">
        <v>112</v>
      </c>
      <c r="BJ589" t="s">
        <v>112</v>
      </c>
      <c r="BK589" t="s">
        <v>169</v>
      </c>
      <c r="BL589" t="s">
        <v>159</v>
      </c>
      <c r="BM589" t="s">
        <v>212</v>
      </c>
      <c r="BN589" t="s">
        <v>161</v>
      </c>
      <c r="BP589" t="s">
        <v>232</v>
      </c>
      <c r="BR589" t="s">
        <v>150</v>
      </c>
      <c r="BS589">
        <v>33</v>
      </c>
      <c r="BT589">
        <v>0</v>
      </c>
      <c r="BU589">
        <v>0</v>
      </c>
      <c r="BW589">
        <v>0</v>
      </c>
      <c r="BY589" t="s">
        <v>106</v>
      </c>
      <c r="BZ589" t="s">
        <v>142</v>
      </c>
      <c r="CA589" t="s">
        <v>112</v>
      </c>
      <c r="CB589" t="s">
        <v>112</v>
      </c>
      <c r="CC589" t="s">
        <v>121</v>
      </c>
      <c r="CD589">
        <v>16684.439999999999</v>
      </c>
      <c r="CE589" t="s">
        <v>144</v>
      </c>
      <c r="CF589">
        <v>4000000</v>
      </c>
      <c r="CG589">
        <v>16630.439999999999</v>
      </c>
      <c r="CH589">
        <v>0</v>
      </c>
      <c r="CI589" t="s">
        <v>112</v>
      </c>
      <c r="CJ589" t="s">
        <v>112</v>
      </c>
      <c r="CK589">
        <v>41612.04</v>
      </c>
      <c r="CM589">
        <v>0</v>
      </c>
      <c r="CN589">
        <v>1</v>
      </c>
      <c r="CO589">
        <v>4698585.59</v>
      </c>
      <c r="CP589">
        <v>49613.64</v>
      </c>
      <c r="CQ589" t="s">
        <v>145</v>
      </c>
      <c r="CR589">
        <v>49558.711199999998</v>
      </c>
      <c r="CS589">
        <v>2.98</v>
      </c>
      <c r="CT589">
        <v>45</v>
      </c>
      <c r="CV589" t="s">
        <v>1140</v>
      </c>
      <c r="CW589">
        <v>246</v>
      </c>
    </row>
    <row r="590" spans="1:101" x14ac:dyDescent="0.2">
      <c r="A590" t="s">
        <v>106</v>
      </c>
      <c r="B590" s="46">
        <v>44636</v>
      </c>
      <c r="C590" t="s">
        <v>1959</v>
      </c>
      <c r="D590" t="s">
        <v>108</v>
      </c>
      <c r="E590" t="s">
        <v>1960</v>
      </c>
      <c r="F590" t="s">
        <v>3244</v>
      </c>
      <c r="G590" t="s">
        <v>111</v>
      </c>
      <c r="H590" t="s">
        <v>112</v>
      </c>
      <c r="I590" t="s">
        <v>112</v>
      </c>
      <c r="J590" t="s">
        <v>112</v>
      </c>
      <c r="K590" t="s">
        <v>150</v>
      </c>
      <c r="L590" t="s">
        <v>151</v>
      </c>
      <c r="M590" t="s">
        <v>112</v>
      </c>
      <c r="N590" t="s">
        <v>112</v>
      </c>
      <c r="O590">
        <v>1</v>
      </c>
      <c r="Q590">
        <v>1</v>
      </c>
      <c r="R590">
        <v>33</v>
      </c>
      <c r="S590" t="s">
        <v>112</v>
      </c>
      <c r="T590" t="s">
        <v>1704</v>
      </c>
      <c r="U590" t="s">
        <v>153</v>
      </c>
      <c r="V590" t="s">
        <v>154</v>
      </c>
      <c r="W590" t="s">
        <v>119</v>
      </c>
      <c r="X590" t="s">
        <v>112</v>
      </c>
      <c r="Y590" t="s">
        <v>112</v>
      </c>
      <c r="Z590" t="s">
        <v>152</v>
      </c>
      <c r="AA590" t="s">
        <v>153</v>
      </c>
      <c r="AB590" t="s">
        <v>154</v>
      </c>
      <c r="AC590" t="s">
        <v>119</v>
      </c>
      <c r="AD590" t="s">
        <v>112</v>
      </c>
      <c r="AE590" t="s">
        <v>121</v>
      </c>
      <c r="AF590" t="s">
        <v>122</v>
      </c>
      <c r="AG590">
        <v>4698585.59</v>
      </c>
      <c r="AH590" t="s">
        <v>112</v>
      </c>
      <c r="AI590" t="s">
        <v>152</v>
      </c>
      <c r="AJ590" t="s">
        <v>153</v>
      </c>
      <c r="AK590" t="s">
        <v>154</v>
      </c>
      <c r="AL590" t="s">
        <v>119</v>
      </c>
      <c r="AM590" t="s">
        <v>112</v>
      </c>
      <c r="AN590" t="s">
        <v>121</v>
      </c>
      <c r="AO590" t="s">
        <v>122</v>
      </c>
      <c r="AP590" t="s">
        <v>122</v>
      </c>
      <c r="AQ590" t="s">
        <v>124</v>
      </c>
      <c r="AR590" t="s">
        <v>125</v>
      </c>
      <c r="AS590">
        <v>2</v>
      </c>
      <c r="AT590" t="s">
        <v>126</v>
      </c>
      <c r="AU590" t="s">
        <v>155</v>
      </c>
      <c r="AV590" t="s">
        <v>156</v>
      </c>
      <c r="AX590" t="s">
        <v>129</v>
      </c>
      <c r="AY590">
        <v>41612.04</v>
      </c>
      <c r="BB590">
        <v>101.5646</v>
      </c>
      <c r="BC590" t="s">
        <v>112</v>
      </c>
      <c r="BD590" t="s">
        <v>112</v>
      </c>
      <c r="BE590" t="s">
        <v>157</v>
      </c>
      <c r="BF590" t="s">
        <v>133</v>
      </c>
      <c r="BG590" t="s">
        <v>134</v>
      </c>
      <c r="BH590" t="s">
        <v>112</v>
      </c>
      <c r="BI590" t="s">
        <v>112</v>
      </c>
      <c r="BJ590" t="s">
        <v>112</v>
      </c>
      <c r="BK590" t="s">
        <v>169</v>
      </c>
      <c r="BL590" t="s">
        <v>159</v>
      </c>
      <c r="BM590" t="s">
        <v>212</v>
      </c>
      <c r="BN590" t="s">
        <v>161</v>
      </c>
      <c r="BP590" t="s">
        <v>232</v>
      </c>
      <c r="BR590" t="s">
        <v>150</v>
      </c>
      <c r="BS590">
        <v>33</v>
      </c>
      <c r="BT590">
        <v>0</v>
      </c>
      <c r="BU590">
        <v>0</v>
      </c>
      <c r="BW590">
        <v>0</v>
      </c>
      <c r="BY590" t="s">
        <v>106</v>
      </c>
      <c r="BZ590" t="s">
        <v>142</v>
      </c>
      <c r="CA590" t="s">
        <v>112</v>
      </c>
      <c r="CB590" t="s">
        <v>112</v>
      </c>
      <c r="CC590" t="s">
        <v>121</v>
      </c>
      <c r="CD590">
        <v>16684.439999999999</v>
      </c>
      <c r="CE590" t="s">
        <v>144</v>
      </c>
      <c r="CF590">
        <v>4000000</v>
      </c>
      <c r="CG590">
        <v>16630.439999999999</v>
      </c>
      <c r="CH590">
        <v>0</v>
      </c>
      <c r="CI590" t="s">
        <v>112</v>
      </c>
      <c r="CJ590" t="s">
        <v>112</v>
      </c>
      <c r="CK590">
        <v>41612.04</v>
      </c>
      <c r="CM590">
        <v>0</v>
      </c>
      <c r="CN590">
        <v>1</v>
      </c>
      <c r="CO590">
        <v>4698585.59</v>
      </c>
      <c r="CP590">
        <v>49613.64</v>
      </c>
      <c r="CQ590" t="s">
        <v>145</v>
      </c>
      <c r="CR590">
        <v>49558.711199999998</v>
      </c>
      <c r="CS590">
        <v>2.98</v>
      </c>
      <c r="CT590">
        <v>45</v>
      </c>
      <c r="CV590" t="s">
        <v>1140</v>
      </c>
      <c r="CW590">
        <v>246</v>
      </c>
    </row>
    <row r="591" spans="1:101" x14ac:dyDescent="0.2">
      <c r="A591" t="s">
        <v>106</v>
      </c>
      <c r="B591" s="46">
        <v>44996</v>
      </c>
      <c r="C591" t="s">
        <v>1475</v>
      </c>
      <c r="D591" t="s">
        <v>108</v>
      </c>
      <c r="E591" t="s">
        <v>1476</v>
      </c>
      <c r="F591" t="s">
        <v>3244</v>
      </c>
      <c r="G591" t="s">
        <v>111</v>
      </c>
      <c r="H591" t="s">
        <v>112</v>
      </c>
      <c r="I591" t="s">
        <v>112</v>
      </c>
      <c r="J591" t="s">
        <v>112</v>
      </c>
      <c r="K591" t="s">
        <v>150</v>
      </c>
      <c r="L591" t="s">
        <v>1439</v>
      </c>
      <c r="M591" t="s">
        <v>112</v>
      </c>
      <c r="N591" t="s">
        <v>112</v>
      </c>
      <c r="O591">
        <v>1</v>
      </c>
      <c r="Q591">
        <v>1</v>
      </c>
      <c r="R591">
        <v>33</v>
      </c>
      <c r="S591" t="s">
        <v>166</v>
      </c>
      <c r="T591" t="s">
        <v>152</v>
      </c>
      <c r="U591" t="s">
        <v>153</v>
      </c>
      <c r="V591" t="s">
        <v>154</v>
      </c>
      <c r="W591" t="s">
        <v>119</v>
      </c>
      <c r="X591" t="s">
        <v>112</v>
      </c>
      <c r="Y591" t="s">
        <v>166</v>
      </c>
      <c r="Z591" t="s">
        <v>152</v>
      </c>
      <c r="AA591" t="s">
        <v>153</v>
      </c>
      <c r="AB591" t="s">
        <v>154</v>
      </c>
      <c r="AC591" t="s">
        <v>119</v>
      </c>
      <c r="AD591" t="s">
        <v>112</v>
      </c>
      <c r="AE591" t="s">
        <v>121</v>
      </c>
      <c r="AF591" t="s">
        <v>122</v>
      </c>
      <c r="AG591">
        <v>4420072.2699999996</v>
      </c>
      <c r="AH591" t="s">
        <v>166</v>
      </c>
      <c r="AI591" t="s">
        <v>152</v>
      </c>
      <c r="AJ591" t="s">
        <v>153</v>
      </c>
      <c r="AK591" t="s">
        <v>154</v>
      </c>
      <c r="AL591" t="s">
        <v>119</v>
      </c>
      <c r="AM591" t="s">
        <v>112</v>
      </c>
      <c r="AN591" t="s">
        <v>121</v>
      </c>
      <c r="AO591" t="s">
        <v>122</v>
      </c>
      <c r="AP591" t="s">
        <v>122</v>
      </c>
      <c r="AQ591" t="s">
        <v>124</v>
      </c>
      <c r="AR591" t="s">
        <v>125</v>
      </c>
      <c r="AS591">
        <v>2</v>
      </c>
      <c r="AT591" t="s">
        <v>126</v>
      </c>
      <c r="AU591" t="s">
        <v>155</v>
      </c>
      <c r="AV591" t="s">
        <v>156</v>
      </c>
      <c r="AW591">
        <v>1</v>
      </c>
      <c r="AX591" t="s">
        <v>129</v>
      </c>
      <c r="AY591">
        <v>40119.839999999997</v>
      </c>
      <c r="AZ591">
        <v>4007531</v>
      </c>
      <c r="BA591">
        <v>48773.05</v>
      </c>
      <c r="BB591">
        <v>99.888999999999996</v>
      </c>
      <c r="BC591" t="s">
        <v>130</v>
      </c>
      <c r="BD591" t="s">
        <v>112</v>
      </c>
      <c r="BE591" t="s">
        <v>157</v>
      </c>
      <c r="BF591" t="s">
        <v>133</v>
      </c>
      <c r="BG591" t="s">
        <v>167</v>
      </c>
      <c r="BH591" t="s">
        <v>168</v>
      </c>
      <c r="BI591" t="s">
        <v>112</v>
      </c>
      <c r="BJ591" t="s">
        <v>112</v>
      </c>
      <c r="BK591" t="s">
        <v>169</v>
      </c>
      <c r="BL591" t="s">
        <v>159</v>
      </c>
      <c r="BM591" t="s">
        <v>726</v>
      </c>
      <c r="BN591" t="s">
        <v>161</v>
      </c>
      <c r="BO591">
        <v>1</v>
      </c>
      <c r="BP591" t="s">
        <v>810</v>
      </c>
      <c r="BR591" t="s">
        <v>150</v>
      </c>
      <c r="BS591">
        <v>33</v>
      </c>
      <c r="BY591" t="s">
        <v>106</v>
      </c>
      <c r="BZ591" t="s">
        <v>142</v>
      </c>
      <c r="CA591" t="s">
        <v>112</v>
      </c>
      <c r="CB591" t="s">
        <v>112</v>
      </c>
      <c r="CC591" t="s">
        <v>121</v>
      </c>
      <c r="CD591">
        <v>16056.65</v>
      </c>
      <c r="CE591" t="s">
        <v>144</v>
      </c>
      <c r="CF591">
        <v>4000000</v>
      </c>
      <c r="CG591">
        <v>15905.44</v>
      </c>
      <c r="CI591" t="s">
        <v>112</v>
      </c>
      <c r="CJ591" t="s">
        <v>112</v>
      </c>
      <c r="CK591">
        <v>40119.839999999997</v>
      </c>
      <c r="CL591">
        <v>4007531</v>
      </c>
      <c r="CM591">
        <v>0</v>
      </c>
      <c r="CN591">
        <v>1</v>
      </c>
      <c r="CO591">
        <v>4420072.2699999996</v>
      </c>
      <c r="CP591">
        <v>48773.05</v>
      </c>
      <c r="CQ591" t="s">
        <v>145</v>
      </c>
      <c r="CR591">
        <v>48829.700799999999</v>
      </c>
      <c r="CS591">
        <v>3.07</v>
      </c>
      <c r="CT591">
        <v>45</v>
      </c>
      <c r="CU591" t="s">
        <v>171</v>
      </c>
      <c r="CV591" t="s">
        <v>172</v>
      </c>
      <c r="CW591">
        <v>140</v>
      </c>
    </row>
    <row r="592" spans="1:101" x14ac:dyDescent="0.2">
      <c r="A592" t="s">
        <v>106</v>
      </c>
      <c r="B592" s="46">
        <v>44987</v>
      </c>
      <c r="C592" t="s">
        <v>1471</v>
      </c>
      <c r="D592" t="s">
        <v>108</v>
      </c>
      <c r="E592" t="s">
        <v>1472</v>
      </c>
      <c r="F592" t="s">
        <v>3244</v>
      </c>
      <c r="G592" t="s">
        <v>111</v>
      </c>
      <c r="H592" t="s">
        <v>112</v>
      </c>
      <c r="I592" t="s">
        <v>112</v>
      </c>
      <c r="J592" t="s">
        <v>112</v>
      </c>
      <c r="K592" t="s">
        <v>150</v>
      </c>
      <c r="L592" t="s">
        <v>1439</v>
      </c>
      <c r="M592" t="s">
        <v>112</v>
      </c>
      <c r="N592" t="s">
        <v>112</v>
      </c>
      <c r="O592">
        <v>1</v>
      </c>
      <c r="P592">
        <v>0</v>
      </c>
      <c r="Q592">
        <v>1</v>
      </c>
      <c r="R592">
        <v>33</v>
      </c>
      <c r="S592" t="s">
        <v>166</v>
      </c>
      <c r="T592" t="s">
        <v>152</v>
      </c>
      <c r="U592" t="s">
        <v>153</v>
      </c>
      <c r="V592" t="s">
        <v>154</v>
      </c>
      <c r="W592" t="s">
        <v>119</v>
      </c>
      <c r="X592" t="s">
        <v>112</v>
      </c>
      <c r="Y592" t="s">
        <v>166</v>
      </c>
      <c r="Z592" t="s">
        <v>152</v>
      </c>
      <c r="AA592" t="s">
        <v>153</v>
      </c>
      <c r="AB592" t="s">
        <v>154</v>
      </c>
      <c r="AC592" t="s">
        <v>119</v>
      </c>
      <c r="AD592" t="s">
        <v>112</v>
      </c>
      <c r="AE592" t="s">
        <v>121</v>
      </c>
      <c r="AF592" t="s">
        <v>122</v>
      </c>
      <c r="AG592">
        <v>4401720.66</v>
      </c>
      <c r="AH592" t="s">
        <v>166</v>
      </c>
      <c r="AI592" t="s">
        <v>152</v>
      </c>
      <c r="AJ592" t="s">
        <v>153</v>
      </c>
      <c r="AK592" t="s">
        <v>154</v>
      </c>
      <c r="AL592" t="s">
        <v>119</v>
      </c>
      <c r="AM592" t="s">
        <v>112</v>
      </c>
      <c r="AN592" t="s">
        <v>121</v>
      </c>
      <c r="AO592" t="s">
        <v>122</v>
      </c>
      <c r="AP592" t="s">
        <v>122</v>
      </c>
      <c r="AQ592" t="s">
        <v>124</v>
      </c>
      <c r="AR592" t="s">
        <v>125</v>
      </c>
      <c r="AS592">
        <v>2</v>
      </c>
      <c r="AT592" t="s">
        <v>126</v>
      </c>
      <c r="AU592" t="s">
        <v>155</v>
      </c>
      <c r="AV592" t="s">
        <v>156</v>
      </c>
      <c r="AW592">
        <v>1</v>
      </c>
      <c r="AX592" t="s">
        <v>129</v>
      </c>
      <c r="AY592">
        <v>39936.120000000003</v>
      </c>
      <c r="AZ592">
        <v>3989179</v>
      </c>
      <c r="BA592">
        <v>48570.55</v>
      </c>
      <c r="BB592">
        <v>99.888999999999996</v>
      </c>
      <c r="BC592" t="s">
        <v>130</v>
      </c>
      <c r="BD592" t="s">
        <v>112</v>
      </c>
      <c r="BE592" t="s">
        <v>157</v>
      </c>
      <c r="BF592" t="s">
        <v>133</v>
      </c>
      <c r="BG592" t="s">
        <v>134</v>
      </c>
      <c r="BH592" t="s">
        <v>112</v>
      </c>
      <c r="BI592" t="s">
        <v>112</v>
      </c>
      <c r="BJ592" t="s">
        <v>112</v>
      </c>
      <c r="BK592" t="s">
        <v>169</v>
      </c>
      <c r="BL592" t="s">
        <v>159</v>
      </c>
      <c r="BM592" t="s">
        <v>722</v>
      </c>
      <c r="BN592" t="s">
        <v>161</v>
      </c>
      <c r="BO592">
        <v>1</v>
      </c>
      <c r="BP592" t="s">
        <v>162</v>
      </c>
      <c r="BR592" t="s">
        <v>150</v>
      </c>
      <c r="BS592">
        <v>33</v>
      </c>
      <c r="BT592">
        <v>0</v>
      </c>
      <c r="BU592">
        <v>0</v>
      </c>
      <c r="BW592">
        <v>0</v>
      </c>
      <c r="BY592" t="s">
        <v>106</v>
      </c>
      <c r="BZ592" t="s">
        <v>142</v>
      </c>
      <c r="CA592" t="s">
        <v>112</v>
      </c>
      <c r="CB592" t="s">
        <v>112</v>
      </c>
      <c r="CC592" t="s">
        <v>121</v>
      </c>
      <c r="CD592">
        <v>16780.740000000002</v>
      </c>
      <c r="CE592" t="s">
        <v>144</v>
      </c>
      <c r="CF592">
        <v>4000000</v>
      </c>
      <c r="CG592">
        <v>16672.740000000002</v>
      </c>
      <c r="CH592">
        <v>0</v>
      </c>
      <c r="CI592" t="s">
        <v>112</v>
      </c>
      <c r="CJ592" t="s">
        <v>112</v>
      </c>
      <c r="CK592">
        <v>39936.120000000003</v>
      </c>
      <c r="CL592">
        <v>3989179</v>
      </c>
      <c r="CM592">
        <v>0</v>
      </c>
      <c r="CN592">
        <v>1</v>
      </c>
      <c r="CO592">
        <v>4401720.66</v>
      </c>
      <c r="CP592">
        <v>48570.55</v>
      </c>
      <c r="CQ592" t="s">
        <v>145</v>
      </c>
      <c r="CR592">
        <v>48517.673400000007</v>
      </c>
      <c r="CS592">
        <v>2.91</v>
      </c>
      <c r="CT592">
        <v>45</v>
      </c>
      <c r="CU592" t="s">
        <v>171</v>
      </c>
      <c r="CV592" t="s">
        <v>372</v>
      </c>
      <c r="CW592">
        <v>108</v>
      </c>
    </row>
    <row r="593" spans="1:101" x14ac:dyDescent="0.2">
      <c r="A593" t="s">
        <v>106</v>
      </c>
      <c r="B593" s="46">
        <v>45132</v>
      </c>
      <c r="C593" t="s">
        <v>1467</v>
      </c>
      <c r="D593" t="s">
        <v>108</v>
      </c>
      <c r="E593" t="s">
        <v>1468</v>
      </c>
      <c r="F593" t="s">
        <v>110</v>
      </c>
      <c r="G593" t="s">
        <v>111</v>
      </c>
      <c r="H593" t="s">
        <v>112</v>
      </c>
      <c r="I593" t="s">
        <v>112</v>
      </c>
      <c r="J593" t="s">
        <v>112</v>
      </c>
      <c r="K593" t="s">
        <v>150</v>
      </c>
      <c r="L593" t="s">
        <v>1439</v>
      </c>
      <c r="M593" t="s">
        <v>112</v>
      </c>
      <c r="N593" t="s">
        <v>112</v>
      </c>
      <c r="O593">
        <v>1</v>
      </c>
      <c r="P593">
        <v>0</v>
      </c>
      <c r="Q593">
        <v>1</v>
      </c>
      <c r="R593">
        <v>33</v>
      </c>
      <c r="S593" t="s">
        <v>166</v>
      </c>
      <c r="T593" t="s">
        <v>152</v>
      </c>
      <c r="U593" t="s">
        <v>153</v>
      </c>
      <c r="V593" t="s">
        <v>154</v>
      </c>
      <c r="W593" t="s">
        <v>119</v>
      </c>
      <c r="X593" t="s">
        <v>112</v>
      </c>
      <c r="Y593" t="s">
        <v>166</v>
      </c>
      <c r="Z593" t="s">
        <v>152</v>
      </c>
      <c r="AA593" t="s">
        <v>153</v>
      </c>
      <c r="AB593" t="s">
        <v>154</v>
      </c>
      <c r="AC593" t="s">
        <v>119</v>
      </c>
      <c r="AD593" t="s">
        <v>112</v>
      </c>
      <c r="AE593" t="s">
        <v>121</v>
      </c>
      <c r="AF593" t="s">
        <v>122</v>
      </c>
      <c r="AG593">
        <v>4742611.8499999996</v>
      </c>
      <c r="AH593" t="s">
        <v>166</v>
      </c>
      <c r="AI593" t="s">
        <v>152</v>
      </c>
      <c r="AJ593" t="s">
        <v>153</v>
      </c>
      <c r="AK593" t="s">
        <v>154</v>
      </c>
      <c r="AL593" t="s">
        <v>119</v>
      </c>
      <c r="AM593" t="s">
        <v>112</v>
      </c>
      <c r="AN593" t="s">
        <v>121</v>
      </c>
      <c r="AO593" t="s">
        <v>122</v>
      </c>
      <c r="AP593" t="s">
        <v>122</v>
      </c>
      <c r="AQ593" t="s">
        <v>124</v>
      </c>
      <c r="AR593" t="s">
        <v>125</v>
      </c>
      <c r="AS593">
        <v>2</v>
      </c>
      <c r="AT593" t="s">
        <v>126</v>
      </c>
      <c r="AU593" t="s">
        <v>155</v>
      </c>
      <c r="AV593" t="s">
        <v>156</v>
      </c>
      <c r="AW593">
        <v>1</v>
      </c>
      <c r="AX593" t="s">
        <v>129</v>
      </c>
      <c r="AY593">
        <v>43348.82</v>
      </c>
      <c r="AZ593">
        <v>4330070</v>
      </c>
      <c r="BA593">
        <v>52332.1</v>
      </c>
      <c r="BB593">
        <v>99.888999999999996</v>
      </c>
      <c r="BC593" t="s">
        <v>130</v>
      </c>
      <c r="BD593" t="s">
        <v>112</v>
      </c>
      <c r="BE593" t="s">
        <v>157</v>
      </c>
      <c r="BF593" t="s">
        <v>133</v>
      </c>
      <c r="BG593" t="s">
        <v>134</v>
      </c>
      <c r="BH593" t="s">
        <v>112</v>
      </c>
      <c r="BI593" t="s">
        <v>112</v>
      </c>
      <c r="BJ593" t="s">
        <v>112</v>
      </c>
      <c r="BK593" t="s">
        <v>169</v>
      </c>
      <c r="BL593" t="s">
        <v>159</v>
      </c>
      <c r="BM593" t="s">
        <v>722</v>
      </c>
      <c r="BN593" t="s">
        <v>161</v>
      </c>
      <c r="BO593">
        <v>1</v>
      </c>
      <c r="BP593" t="s">
        <v>466</v>
      </c>
      <c r="BR593" t="s">
        <v>150</v>
      </c>
      <c r="BS593">
        <v>33</v>
      </c>
      <c r="BT593">
        <v>0</v>
      </c>
      <c r="BU593">
        <v>0</v>
      </c>
      <c r="BW593">
        <v>0</v>
      </c>
      <c r="BY593" t="s">
        <v>106</v>
      </c>
      <c r="BZ593" t="s">
        <v>142</v>
      </c>
      <c r="CA593" t="s">
        <v>112</v>
      </c>
      <c r="CB593" t="s">
        <v>112</v>
      </c>
      <c r="CC593" t="s">
        <v>121</v>
      </c>
      <c r="CD593">
        <v>16930.75</v>
      </c>
      <c r="CE593" t="s">
        <v>144</v>
      </c>
      <c r="CF593">
        <v>4000000</v>
      </c>
      <c r="CG593">
        <v>16930.75</v>
      </c>
      <c r="CH593">
        <v>0</v>
      </c>
      <c r="CI593" t="s">
        <v>112</v>
      </c>
      <c r="CJ593" t="s">
        <v>112</v>
      </c>
      <c r="CK593">
        <v>43348.82</v>
      </c>
      <c r="CL593">
        <v>4330070</v>
      </c>
      <c r="CM593">
        <v>0</v>
      </c>
      <c r="CN593">
        <v>1</v>
      </c>
      <c r="CO593">
        <v>4742611.8499999996</v>
      </c>
      <c r="CP593">
        <v>52332.1</v>
      </c>
      <c r="CQ593" t="s">
        <v>145</v>
      </c>
      <c r="CR593">
        <v>52316.017499999994</v>
      </c>
      <c r="CS593">
        <v>3.09</v>
      </c>
      <c r="CT593">
        <v>45</v>
      </c>
      <c r="CU593" t="s">
        <v>171</v>
      </c>
      <c r="CV593" t="s">
        <v>172</v>
      </c>
      <c r="CW593">
        <v>368</v>
      </c>
    </row>
    <row r="594" spans="1:101" x14ac:dyDescent="0.2">
      <c r="A594" t="s">
        <v>106</v>
      </c>
      <c r="B594" s="46">
        <v>45041</v>
      </c>
      <c r="C594" t="s">
        <v>1463</v>
      </c>
      <c r="D594" t="s">
        <v>108</v>
      </c>
      <c r="E594" t="s">
        <v>1464</v>
      </c>
      <c r="F594" t="s">
        <v>110</v>
      </c>
      <c r="G594" t="s">
        <v>111</v>
      </c>
      <c r="H594" t="s">
        <v>112</v>
      </c>
      <c r="I594" t="s">
        <v>112</v>
      </c>
      <c r="J594" t="s">
        <v>112</v>
      </c>
      <c r="K594" t="s">
        <v>150</v>
      </c>
      <c r="L594" t="s">
        <v>1439</v>
      </c>
      <c r="M594" t="s">
        <v>112</v>
      </c>
      <c r="N594" t="s">
        <v>112</v>
      </c>
      <c r="O594">
        <v>1</v>
      </c>
      <c r="P594">
        <v>0</v>
      </c>
      <c r="Q594">
        <v>1</v>
      </c>
      <c r="R594">
        <v>33</v>
      </c>
      <c r="S594" t="s">
        <v>166</v>
      </c>
      <c r="T594" t="s">
        <v>152</v>
      </c>
      <c r="U594" t="s">
        <v>153</v>
      </c>
      <c r="V594" t="s">
        <v>154</v>
      </c>
      <c r="W594" t="s">
        <v>119</v>
      </c>
      <c r="X594" t="s">
        <v>112</v>
      </c>
      <c r="Y594" t="s">
        <v>166</v>
      </c>
      <c r="Z594" t="s">
        <v>152</v>
      </c>
      <c r="AA594" t="s">
        <v>153</v>
      </c>
      <c r="AB594" t="s">
        <v>154</v>
      </c>
      <c r="AC594" t="s">
        <v>119</v>
      </c>
      <c r="AD594" t="s">
        <v>112</v>
      </c>
      <c r="AE594" t="s">
        <v>121</v>
      </c>
      <c r="AF594" t="s">
        <v>122</v>
      </c>
      <c r="AG594">
        <v>5107883.95</v>
      </c>
      <c r="AH594" t="s">
        <v>166</v>
      </c>
      <c r="AI594" t="s">
        <v>152</v>
      </c>
      <c r="AJ594" t="s">
        <v>153</v>
      </c>
      <c r="AK594" t="s">
        <v>154</v>
      </c>
      <c r="AL594" t="s">
        <v>119</v>
      </c>
      <c r="AM594" t="s">
        <v>112</v>
      </c>
      <c r="AN594" t="s">
        <v>121</v>
      </c>
      <c r="AO594" t="s">
        <v>122</v>
      </c>
      <c r="AP594" t="s">
        <v>122</v>
      </c>
      <c r="AQ594" t="s">
        <v>124</v>
      </c>
      <c r="AR594" t="s">
        <v>125</v>
      </c>
      <c r="AS594">
        <v>2</v>
      </c>
      <c r="AT594" t="s">
        <v>126</v>
      </c>
      <c r="AU594" t="s">
        <v>155</v>
      </c>
      <c r="AV594" t="s">
        <v>156</v>
      </c>
      <c r="AW594">
        <v>1</v>
      </c>
      <c r="AX594" t="s">
        <v>129</v>
      </c>
      <c r="AY594">
        <v>47005.599999999999</v>
      </c>
      <c r="AZ594">
        <v>4695342</v>
      </c>
      <c r="BA594">
        <v>56362.67</v>
      </c>
      <c r="BB594">
        <v>99.888999999999996</v>
      </c>
      <c r="BC594" t="s">
        <v>130</v>
      </c>
      <c r="BD594" t="s">
        <v>112</v>
      </c>
      <c r="BE594" t="s">
        <v>157</v>
      </c>
      <c r="BF594" t="s">
        <v>133</v>
      </c>
      <c r="BG594" t="s">
        <v>134</v>
      </c>
      <c r="BH594" t="s">
        <v>112</v>
      </c>
      <c r="BI594" t="s">
        <v>112</v>
      </c>
      <c r="BJ594" t="s">
        <v>112</v>
      </c>
      <c r="BK594" t="s">
        <v>169</v>
      </c>
      <c r="BL594" t="s">
        <v>159</v>
      </c>
      <c r="BM594" t="s">
        <v>722</v>
      </c>
      <c r="BN594" t="s">
        <v>161</v>
      </c>
      <c r="BO594">
        <v>1</v>
      </c>
      <c r="BP594" t="s">
        <v>1281</v>
      </c>
      <c r="BR594" t="s">
        <v>150</v>
      </c>
      <c r="BS594">
        <v>33</v>
      </c>
      <c r="BT594">
        <v>0</v>
      </c>
      <c r="BU594">
        <v>0</v>
      </c>
      <c r="BW594">
        <v>0</v>
      </c>
      <c r="BY594" t="s">
        <v>106</v>
      </c>
      <c r="BZ594" t="s">
        <v>142</v>
      </c>
      <c r="CA594" t="s">
        <v>112</v>
      </c>
      <c r="CB594" t="s">
        <v>112</v>
      </c>
      <c r="CC594" t="s">
        <v>121</v>
      </c>
      <c r="CD594">
        <v>17081.82</v>
      </c>
      <c r="CE594" t="s">
        <v>144</v>
      </c>
      <c r="CF594">
        <v>4000000</v>
      </c>
      <c r="CG594">
        <v>17081.82</v>
      </c>
      <c r="CH594">
        <v>0</v>
      </c>
      <c r="CI594" t="s">
        <v>112</v>
      </c>
      <c r="CJ594" t="s">
        <v>112</v>
      </c>
      <c r="CK594">
        <v>47005.599999999999</v>
      </c>
      <c r="CL594">
        <v>4695342</v>
      </c>
      <c r="CM594">
        <v>0</v>
      </c>
      <c r="CN594">
        <v>1</v>
      </c>
      <c r="CO594">
        <v>5107883.95</v>
      </c>
      <c r="CP594">
        <v>56362.67</v>
      </c>
      <c r="CQ594" t="s">
        <v>145</v>
      </c>
      <c r="CR594">
        <v>56370.005999999994</v>
      </c>
      <c r="CS594">
        <v>3.3</v>
      </c>
      <c r="CT594">
        <v>45</v>
      </c>
      <c r="CU594" t="s">
        <v>171</v>
      </c>
      <c r="CV594" t="s">
        <v>463</v>
      </c>
      <c r="CW594">
        <v>150</v>
      </c>
    </row>
    <row r="595" spans="1:101" x14ac:dyDescent="0.2">
      <c r="A595" t="s">
        <v>106</v>
      </c>
      <c r="B595" s="46">
        <v>45238</v>
      </c>
      <c r="C595" t="s">
        <v>1473</v>
      </c>
      <c r="D595" t="s">
        <v>108</v>
      </c>
      <c r="E595" t="s">
        <v>1474</v>
      </c>
      <c r="F595" t="s">
        <v>110</v>
      </c>
      <c r="G595" t="s">
        <v>111</v>
      </c>
      <c r="H595" t="s">
        <v>112</v>
      </c>
      <c r="I595" t="s">
        <v>112</v>
      </c>
      <c r="J595" t="s">
        <v>112</v>
      </c>
      <c r="K595" t="s">
        <v>150</v>
      </c>
      <c r="L595" t="s">
        <v>1439</v>
      </c>
      <c r="M595" t="s">
        <v>112</v>
      </c>
      <c r="N595" t="s">
        <v>112</v>
      </c>
      <c r="O595">
        <v>1</v>
      </c>
      <c r="P595">
        <v>0</v>
      </c>
      <c r="Q595">
        <v>1</v>
      </c>
      <c r="R595">
        <v>33</v>
      </c>
      <c r="S595" t="s">
        <v>166</v>
      </c>
      <c r="T595" t="s">
        <v>152</v>
      </c>
      <c r="U595" t="s">
        <v>153</v>
      </c>
      <c r="V595" t="s">
        <v>154</v>
      </c>
      <c r="W595" t="s">
        <v>119</v>
      </c>
      <c r="X595" t="s">
        <v>112</v>
      </c>
      <c r="Y595" t="s">
        <v>166</v>
      </c>
      <c r="Z595" t="s">
        <v>152</v>
      </c>
      <c r="AA595" t="s">
        <v>153</v>
      </c>
      <c r="AB595" t="s">
        <v>154</v>
      </c>
      <c r="AC595" t="s">
        <v>119</v>
      </c>
      <c r="AD595" t="s">
        <v>112</v>
      </c>
      <c r="AE595" t="s">
        <v>121</v>
      </c>
      <c r="AF595" t="s">
        <v>122</v>
      </c>
      <c r="AG595">
        <v>4394053.18</v>
      </c>
      <c r="AH595" t="s">
        <v>166</v>
      </c>
      <c r="AI595" t="s">
        <v>152</v>
      </c>
      <c r="AJ595" t="s">
        <v>153</v>
      </c>
      <c r="AK595" t="s">
        <v>154</v>
      </c>
      <c r="AL595" t="s">
        <v>119</v>
      </c>
      <c r="AM595" t="s">
        <v>112</v>
      </c>
      <c r="AN595" t="s">
        <v>121</v>
      </c>
      <c r="AO595" t="s">
        <v>122</v>
      </c>
      <c r="AP595" t="s">
        <v>122</v>
      </c>
      <c r="AQ595" t="s">
        <v>124</v>
      </c>
      <c r="AR595" t="s">
        <v>125</v>
      </c>
      <c r="AS595">
        <v>2</v>
      </c>
      <c r="AT595" t="s">
        <v>126</v>
      </c>
      <c r="AU595" t="s">
        <v>155</v>
      </c>
      <c r="AV595" t="s">
        <v>156</v>
      </c>
      <c r="AW595">
        <v>1</v>
      </c>
      <c r="AX595" t="s">
        <v>129</v>
      </c>
      <c r="AY595">
        <v>39859.360000000001</v>
      </c>
      <c r="AZ595">
        <v>3981512</v>
      </c>
      <c r="BA595">
        <v>48485.94</v>
      </c>
      <c r="BB595">
        <v>99.888999999999996</v>
      </c>
      <c r="BC595" t="s">
        <v>130</v>
      </c>
      <c r="BD595" t="s">
        <v>112</v>
      </c>
      <c r="BE595" t="s">
        <v>157</v>
      </c>
      <c r="BF595" t="s">
        <v>133</v>
      </c>
      <c r="BG595" t="s">
        <v>134</v>
      </c>
      <c r="BH595" t="s">
        <v>112</v>
      </c>
      <c r="BI595" t="s">
        <v>112</v>
      </c>
      <c r="BJ595" t="s">
        <v>112</v>
      </c>
      <c r="BK595" t="s">
        <v>169</v>
      </c>
      <c r="BL595" t="s">
        <v>159</v>
      </c>
      <c r="BM595" t="s">
        <v>722</v>
      </c>
      <c r="BN595" t="s">
        <v>161</v>
      </c>
      <c r="BO595">
        <v>1</v>
      </c>
      <c r="BP595" t="s">
        <v>162</v>
      </c>
      <c r="BR595" t="s">
        <v>150</v>
      </c>
      <c r="BS595">
        <v>33</v>
      </c>
      <c r="BT595">
        <v>0</v>
      </c>
      <c r="BU595">
        <v>0</v>
      </c>
      <c r="BW595">
        <v>0</v>
      </c>
      <c r="BY595" t="s">
        <v>106</v>
      </c>
      <c r="BZ595" t="s">
        <v>142</v>
      </c>
      <c r="CA595" t="s">
        <v>112</v>
      </c>
      <c r="CB595" t="s">
        <v>112</v>
      </c>
      <c r="CC595" t="s">
        <v>121</v>
      </c>
      <c r="CD595">
        <v>16639.61</v>
      </c>
      <c r="CE595" t="s">
        <v>144</v>
      </c>
      <c r="CF595">
        <v>4000000</v>
      </c>
      <c r="CG595">
        <v>16586.810000000001</v>
      </c>
      <c r="CH595">
        <v>0</v>
      </c>
      <c r="CI595" t="s">
        <v>112</v>
      </c>
      <c r="CJ595" t="s">
        <v>112</v>
      </c>
      <c r="CK595">
        <v>39859.360000000001</v>
      </c>
      <c r="CL595">
        <v>3981512</v>
      </c>
      <c r="CM595">
        <v>0</v>
      </c>
      <c r="CN595">
        <v>1</v>
      </c>
      <c r="CO595">
        <v>4394053.18</v>
      </c>
      <c r="CP595">
        <v>48485.94</v>
      </c>
      <c r="CQ595" t="s">
        <v>145</v>
      </c>
      <c r="CR595">
        <v>48433.485200000003</v>
      </c>
      <c r="CS595">
        <v>2.92</v>
      </c>
      <c r="CT595">
        <v>45</v>
      </c>
      <c r="CU595" t="s">
        <v>171</v>
      </c>
      <c r="CV595" t="s">
        <v>372</v>
      </c>
      <c r="CW595">
        <v>571</v>
      </c>
    </row>
    <row r="596" spans="1:101" x14ac:dyDescent="0.2">
      <c r="A596" t="s">
        <v>106</v>
      </c>
      <c r="B596" s="46">
        <v>44994</v>
      </c>
      <c r="C596" t="s">
        <v>1309</v>
      </c>
      <c r="D596" t="s">
        <v>108</v>
      </c>
      <c r="E596" t="s">
        <v>1310</v>
      </c>
      <c r="F596" t="s">
        <v>110</v>
      </c>
      <c r="G596" t="s">
        <v>111</v>
      </c>
      <c r="H596" t="s">
        <v>112</v>
      </c>
      <c r="I596" t="s">
        <v>112</v>
      </c>
      <c r="J596" t="s">
        <v>112</v>
      </c>
      <c r="K596" t="s">
        <v>150</v>
      </c>
      <c r="L596" t="s">
        <v>1060</v>
      </c>
      <c r="M596" t="s">
        <v>112</v>
      </c>
      <c r="N596" t="s">
        <v>112</v>
      </c>
      <c r="O596">
        <v>1</v>
      </c>
      <c r="P596">
        <v>0</v>
      </c>
      <c r="Q596">
        <v>1</v>
      </c>
      <c r="R596">
        <v>33</v>
      </c>
      <c r="S596" t="s">
        <v>166</v>
      </c>
      <c r="T596" t="s">
        <v>152</v>
      </c>
      <c r="U596" t="s">
        <v>153</v>
      </c>
      <c r="V596" t="s">
        <v>154</v>
      </c>
      <c r="W596" t="s">
        <v>119</v>
      </c>
      <c r="X596" t="s">
        <v>112</v>
      </c>
      <c r="Y596" t="s">
        <v>166</v>
      </c>
      <c r="Z596" t="s">
        <v>152</v>
      </c>
      <c r="AA596" t="s">
        <v>153</v>
      </c>
      <c r="AB596" t="s">
        <v>154</v>
      </c>
      <c r="AC596" t="s">
        <v>119</v>
      </c>
      <c r="AD596" t="s">
        <v>112</v>
      </c>
      <c r="AE596" t="s">
        <v>121</v>
      </c>
      <c r="AF596" t="s">
        <v>122</v>
      </c>
      <c r="AG596">
        <v>4136539.91</v>
      </c>
      <c r="AH596" t="s">
        <v>166</v>
      </c>
      <c r="AI596" t="s">
        <v>152</v>
      </c>
      <c r="AJ596" t="s">
        <v>153</v>
      </c>
      <c r="AK596" t="s">
        <v>154</v>
      </c>
      <c r="AL596" t="s">
        <v>119</v>
      </c>
      <c r="AM596" t="s">
        <v>112</v>
      </c>
      <c r="AN596" t="s">
        <v>121</v>
      </c>
      <c r="AO596" t="s">
        <v>122</v>
      </c>
      <c r="AP596" t="s">
        <v>122</v>
      </c>
      <c r="AQ596" t="s">
        <v>124</v>
      </c>
      <c r="AR596" t="s">
        <v>125</v>
      </c>
      <c r="AS596">
        <v>2</v>
      </c>
      <c r="AT596" t="s">
        <v>126</v>
      </c>
      <c r="AU596" t="s">
        <v>155</v>
      </c>
      <c r="AV596" t="s">
        <v>156</v>
      </c>
      <c r="AW596">
        <v>1</v>
      </c>
      <c r="AX596" t="s">
        <v>129</v>
      </c>
      <c r="AY596">
        <v>42345</v>
      </c>
      <c r="AZ596">
        <v>3768946</v>
      </c>
      <c r="BA596">
        <v>50053.91</v>
      </c>
      <c r="BB596">
        <v>89.005700000000004</v>
      </c>
      <c r="BC596" t="s">
        <v>130</v>
      </c>
      <c r="BD596" t="s">
        <v>112</v>
      </c>
      <c r="BE596" t="s">
        <v>157</v>
      </c>
      <c r="BF596" t="s">
        <v>133</v>
      </c>
      <c r="BG596" t="s">
        <v>134</v>
      </c>
      <c r="BH596" t="s">
        <v>112</v>
      </c>
      <c r="BI596" t="s">
        <v>112</v>
      </c>
      <c r="BJ596" t="s">
        <v>112</v>
      </c>
      <c r="BK596" t="s">
        <v>169</v>
      </c>
      <c r="BL596" t="s">
        <v>159</v>
      </c>
      <c r="BM596" t="s">
        <v>722</v>
      </c>
      <c r="BN596" t="s">
        <v>161</v>
      </c>
      <c r="BO596">
        <v>1</v>
      </c>
      <c r="BP596" t="s">
        <v>232</v>
      </c>
      <c r="BR596" t="s">
        <v>150</v>
      </c>
      <c r="BS596">
        <v>33</v>
      </c>
      <c r="BT596">
        <v>0</v>
      </c>
      <c r="BU596">
        <v>0</v>
      </c>
      <c r="BW596">
        <v>0</v>
      </c>
      <c r="BY596" t="s">
        <v>106</v>
      </c>
      <c r="BZ596" t="s">
        <v>142</v>
      </c>
      <c r="CA596" t="s">
        <v>112</v>
      </c>
      <c r="CB596" t="s">
        <v>112</v>
      </c>
      <c r="CC596" t="s">
        <v>121</v>
      </c>
      <c r="CD596">
        <v>16885.439999999999</v>
      </c>
      <c r="CE596" t="s">
        <v>144</v>
      </c>
      <c r="CF596">
        <v>4000000</v>
      </c>
      <c r="CG596">
        <v>16885.439999999999</v>
      </c>
      <c r="CH596">
        <v>0</v>
      </c>
      <c r="CI596" t="s">
        <v>112</v>
      </c>
      <c r="CJ596" t="s">
        <v>112</v>
      </c>
      <c r="CK596">
        <v>42345</v>
      </c>
      <c r="CL596">
        <v>3768946</v>
      </c>
      <c r="CM596">
        <v>0</v>
      </c>
      <c r="CN596">
        <v>1</v>
      </c>
      <c r="CO596">
        <v>4136539.91</v>
      </c>
      <c r="CP596">
        <v>50053.91</v>
      </c>
      <c r="CQ596" t="s">
        <v>145</v>
      </c>
      <c r="CR596">
        <v>49980.902399999999</v>
      </c>
      <c r="CS596">
        <v>2.96</v>
      </c>
      <c r="CT596">
        <v>45</v>
      </c>
      <c r="CU596" t="s">
        <v>171</v>
      </c>
      <c r="CV596" t="s">
        <v>350</v>
      </c>
      <c r="CW596">
        <v>340</v>
      </c>
    </row>
    <row r="597" spans="1:101" x14ac:dyDescent="0.2">
      <c r="A597" t="s">
        <v>106</v>
      </c>
      <c r="B597" s="46">
        <v>45011</v>
      </c>
      <c r="C597" t="s">
        <v>1305</v>
      </c>
      <c r="D597" t="s">
        <v>108</v>
      </c>
      <c r="E597" t="s">
        <v>1306</v>
      </c>
      <c r="F597" t="s">
        <v>110</v>
      </c>
      <c r="G597" t="s">
        <v>111</v>
      </c>
      <c r="H597" t="s">
        <v>112</v>
      </c>
      <c r="I597" t="s">
        <v>112</v>
      </c>
      <c r="J597" t="s">
        <v>112</v>
      </c>
      <c r="K597" t="s">
        <v>150</v>
      </c>
      <c r="L597" t="s">
        <v>1060</v>
      </c>
      <c r="M597" t="s">
        <v>112</v>
      </c>
      <c r="N597" t="s">
        <v>112</v>
      </c>
      <c r="O597">
        <v>1</v>
      </c>
      <c r="P597">
        <v>0</v>
      </c>
      <c r="Q597">
        <v>1</v>
      </c>
      <c r="R597">
        <v>33</v>
      </c>
      <c r="S597" t="s">
        <v>166</v>
      </c>
      <c r="T597" t="s">
        <v>152</v>
      </c>
      <c r="U597" t="s">
        <v>153</v>
      </c>
      <c r="V597" t="s">
        <v>154</v>
      </c>
      <c r="W597" t="s">
        <v>119</v>
      </c>
      <c r="X597" t="s">
        <v>112</v>
      </c>
      <c r="Y597" t="s">
        <v>166</v>
      </c>
      <c r="Z597" t="s">
        <v>152</v>
      </c>
      <c r="AA597" t="s">
        <v>153</v>
      </c>
      <c r="AB597" t="s">
        <v>154</v>
      </c>
      <c r="AC597" t="s">
        <v>119</v>
      </c>
      <c r="AD597" t="s">
        <v>112</v>
      </c>
      <c r="AE597" t="s">
        <v>121</v>
      </c>
      <c r="AF597" t="s">
        <v>122</v>
      </c>
      <c r="AG597">
        <v>4157559.49</v>
      </c>
      <c r="AH597" t="s">
        <v>166</v>
      </c>
      <c r="AI597" t="s">
        <v>152</v>
      </c>
      <c r="AJ597" t="s">
        <v>153</v>
      </c>
      <c r="AK597" t="s">
        <v>154</v>
      </c>
      <c r="AL597" t="s">
        <v>119</v>
      </c>
      <c r="AM597" t="s">
        <v>112</v>
      </c>
      <c r="AN597" t="s">
        <v>121</v>
      </c>
      <c r="AO597" t="s">
        <v>122</v>
      </c>
      <c r="AP597" t="s">
        <v>122</v>
      </c>
      <c r="AQ597" t="s">
        <v>124</v>
      </c>
      <c r="AR597" t="s">
        <v>125</v>
      </c>
      <c r="AS597">
        <v>2</v>
      </c>
      <c r="AT597" t="s">
        <v>126</v>
      </c>
      <c r="AU597" t="s">
        <v>155</v>
      </c>
      <c r="AV597" t="s">
        <v>156</v>
      </c>
      <c r="AW597">
        <v>1</v>
      </c>
      <c r="AX597" t="s">
        <v>129</v>
      </c>
      <c r="AY597">
        <v>42581.16</v>
      </c>
      <c r="AZ597">
        <v>3789966</v>
      </c>
      <c r="BA597">
        <v>50308.25</v>
      </c>
      <c r="BB597">
        <v>89.005700000000004</v>
      </c>
      <c r="BC597" t="s">
        <v>130</v>
      </c>
      <c r="BD597" t="s">
        <v>112</v>
      </c>
      <c r="BE597" t="s">
        <v>157</v>
      </c>
      <c r="BF597" t="s">
        <v>133</v>
      </c>
      <c r="BG597" t="s">
        <v>134</v>
      </c>
      <c r="BH597" t="s">
        <v>112</v>
      </c>
      <c r="BI597" t="s">
        <v>112</v>
      </c>
      <c r="BJ597" t="s">
        <v>112</v>
      </c>
      <c r="BK597" t="s">
        <v>169</v>
      </c>
      <c r="BL597" t="s">
        <v>159</v>
      </c>
      <c r="BM597" t="s">
        <v>722</v>
      </c>
      <c r="BN597" t="s">
        <v>161</v>
      </c>
      <c r="BO597">
        <v>1</v>
      </c>
      <c r="BP597" t="s">
        <v>466</v>
      </c>
      <c r="BR597" t="s">
        <v>150</v>
      </c>
      <c r="BS597">
        <v>33</v>
      </c>
      <c r="BT597">
        <v>0</v>
      </c>
      <c r="BU597">
        <v>0</v>
      </c>
      <c r="BW597">
        <v>0</v>
      </c>
      <c r="BY597" t="s">
        <v>106</v>
      </c>
      <c r="BZ597" t="s">
        <v>142</v>
      </c>
      <c r="CA597" t="s">
        <v>112</v>
      </c>
      <c r="CB597" t="s">
        <v>112</v>
      </c>
      <c r="CC597" t="s">
        <v>121</v>
      </c>
      <c r="CD597">
        <v>16942.490000000002</v>
      </c>
      <c r="CE597" t="s">
        <v>144</v>
      </c>
      <c r="CF597">
        <v>4000000</v>
      </c>
      <c r="CG597">
        <v>16942.490000000002</v>
      </c>
      <c r="CH597">
        <v>0</v>
      </c>
      <c r="CI597" t="s">
        <v>112</v>
      </c>
      <c r="CJ597" t="s">
        <v>112</v>
      </c>
      <c r="CK597">
        <v>42581.16</v>
      </c>
      <c r="CL597">
        <v>3789966</v>
      </c>
      <c r="CM597">
        <v>0</v>
      </c>
      <c r="CN597">
        <v>1</v>
      </c>
      <c r="CO597">
        <v>4157559.49</v>
      </c>
      <c r="CP597">
        <v>50308.25</v>
      </c>
      <c r="CQ597" t="s">
        <v>145</v>
      </c>
      <c r="CR597">
        <v>50319.195300000007</v>
      </c>
      <c r="CS597">
        <v>2.97</v>
      </c>
      <c r="CT597">
        <v>45</v>
      </c>
      <c r="CU597" t="s">
        <v>171</v>
      </c>
      <c r="CV597" t="s">
        <v>369</v>
      </c>
      <c r="CW597">
        <v>144</v>
      </c>
    </row>
    <row r="598" spans="1:101" x14ac:dyDescent="0.2">
      <c r="A598" t="s">
        <v>106</v>
      </c>
      <c r="B598" s="46">
        <v>45184</v>
      </c>
      <c r="C598" t="s">
        <v>1295</v>
      </c>
      <c r="D598" t="s">
        <v>108</v>
      </c>
      <c r="E598" t="s">
        <v>1296</v>
      </c>
      <c r="F598" t="s">
        <v>110</v>
      </c>
      <c r="G598" t="s">
        <v>111</v>
      </c>
      <c r="H598" t="s">
        <v>112</v>
      </c>
      <c r="I598" t="s">
        <v>112</v>
      </c>
      <c r="J598" t="s">
        <v>112</v>
      </c>
      <c r="K598" t="s">
        <v>150</v>
      </c>
      <c r="L598" t="s">
        <v>1060</v>
      </c>
      <c r="M598" t="s">
        <v>112</v>
      </c>
      <c r="N598" t="s">
        <v>112</v>
      </c>
      <c r="O598">
        <v>1</v>
      </c>
      <c r="P598">
        <v>0</v>
      </c>
      <c r="Q598">
        <v>1</v>
      </c>
      <c r="R598">
        <v>33</v>
      </c>
      <c r="S598" t="s">
        <v>166</v>
      </c>
      <c r="T598" t="s">
        <v>152</v>
      </c>
      <c r="U598" t="s">
        <v>153</v>
      </c>
      <c r="V598" t="s">
        <v>154</v>
      </c>
      <c r="W598" t="s">
        <v>119</v>
      </c>
      <c r="X598" t="s">
        <v>112</v>
      </c>
      <c r="Y598" t="s">
        <v>166</v>
      </c>
      <c r="Z598" t="s">
        <v>152</v>
      </c>
      <c r="AA598" t="s">
        <v>153</v>
      </c>
      <c r="AB598" t="s">
        <v>154</v>
      </c>
      <c r="AC598" t="s">
        <v>119</v>
      </c>
      <c r="AD598" t="s">
        <v>112</v>
      </c>
      <c r="AE598" t="s">
        <v>121</v>
      </c>
      <c r="AF598" t="s">
        <v>122</v>
      </c>
      <c r="AG598">
        <v>4331198.9400000004</v>
      </c>
      <c r="AH598" t="s">
        <v>166</v>
      </c>
      <c r="AI598" t="s">
        <v>152</v>
      </c>
      <c r="AJ598" t="s">
        <v>153</v>
      </c>
      <c r="AK598" t="s">
        <v>154</v>
      </c>
      <c r="AL598" t="s">
        <v>119</v>
      </c>
      <c r="AM598" t="s">
        <v>112</v>
      </c>
      <c r="AN598" t="s">
        <v>121</v>
      </c>
      <c r="AO598" t="s">
        <v>122</v>
      </c>
      <c r="AP598" t="s">
        <v>122</v>
      </c>
      <c r="AQ598" t="s">
        <v>124</v>
      </c>
      <c r="AR598" t="s">
        <v>125</v>
      </c>
      <c r="AS598">
        <v>2</v>
      </c>
      <c r="AT598" t="s">
        <v>126</v>
      </c>
      <c r="AU598" t="s">
        <v>155</v>
      </c>
      <c r="AV598" t="s">
        <v>156</v>
      </c>
      <c r="AW598">
        <v>1</v>
      </c>
      <c r="AX598" t="s">
        <v>129</v>
      </c>
      <c r="AY598">
        <v>44012.04</v>
      </c>
      <c r="AZ598">
        <v>3917322</v>
      </c>
      <c r="BA598">
        <v>52409.36</v>
      </c>
      <c r="BB598">
        <v>89.005700000000004</v>
      </c>
      <c r="BC598" t="s">
        <v>130</v>
      </c>
      <c r="BD598" t="s">
        <v>112</v>
      </c>
      <c r="BE598" t="s">
        <v>157</v>
      </c>
      <c r="BF598" t="s">
        <v>133</v>
      </c>
      <c r="BG598" t="s">
        <v>134</v>
      </c>
      <c r="BH598" t="s">
        <v>112</v>
      </c>
      <c r="BI598" t="s">
        <v>112</v>
      </c>
      <c r="BJ598" t="s">
        <v>112</v>
      </c>
      <c r="BK598" t="s">
        <v>169</v>
      </c>
      <c r="BL598" t="s">
        <v>159</v>
      </c>
      <c r="BM598" t="s">
        <v>722</v>
      </c>
      <c r="BN598" t="s">
        <v>161</v>
      </c>
      <c r="BO598">
        <v>1</v>
      </c>
      <c r="BP598" t="s">
        <v>205</v>
      </c>
      <c r="BR598" t="s">
        <v>150</v>
      </c>
      <c r="BS598">
        <v>33</v>
      </c>
      <c r="BT598">
        <v>0</v>
      </c>
      <c r="BU598">
        <v>0</v>
      </c>
      <c r="BW598">
        <v>0</v>
      </c>
      <c r="BY598" t="s">
        <v>106</v>
      </c>
      <c r="BZ598" t="s">
        <v>142</v>
      </c>
      <c r="CA598" t="s">
        <v>112</v>
      </c>
      <c r="CB598" t="s">
        <v>112</v>
      </c>
      <c r="CC598" t="s">
        <v>121</v>
      </c>
      <c r="CD598">
        <v>16713.37</v>
      </c>
      <c r="CE598" t="s">
        <v>144</v>
      </c>
      <c r="CF598">
        <v>4000000</v>
      </c>
      <c r="CG598">
        <v>16677.37</v>
      </c>
      <c r="CH598">
        <v>0</v>
      </c>
      <c r="CI598" t="s">
        <v>112</v>
      </c>
      <c r="CJ598" t="s">
        <v>112</v>
      </c>
      <c r="CK598">
        <v>44012.04</v>
      </c>
      <c r="CL598">
        <v>3917322</v>
      </c>
      <c r="CM598">
        <v>0</v>
      </c>
      <c r="CN598">
        <v>1</v>
      </c>
      <c r="CO598">
        <v>4331198.9400000004</v>
      </c>
      <c r="CP598">
        <v>52409.36</v>
      </c>
      <c r="CQ598" t="s">
        <v>145</v>
      </c>
      <c r="CR598">
        <v>52366.941800000001</v>
      </c>
      <c r="CS598">
        <v>3.14</v>
      </c>
      <c r="CT598">
        <v>45</v>
      </c>
      <c r="CU598" t="s">
        <v>171</v>
      </c>
      <c r="CV598" t="s">
        <v>463</v>
      </c>
      <c r="CW598">
        <v>169</v>
      </c>
    </row>
    <row r="599" spans="1:101" x14ac:dyDescent="0.2">
      <c r="A599" t="s">
        <v>106</v>
      </c>
      <c r="B599" s="46">
        <v>45149</v>
      </c>
      <c r="C599" t="s">
        <v>1311</v>
      </c>
      <c r="D599" t="s">
        <v>108</v>
      </c>
      <c r="E599" t="s">
        <v>1312</v>
      </c>
      <c r="F599" t="s">
        <v>110</v>
      </c>
      <c r="G599" t="s">
        <v>111</v>
      </c>
      <c r="H599" t="s">
        <v>112</v>
      </c>
      <c r="I599" t="s">
        <v>112</v>
      </c>
      <c r="J599" t="s">
        <v>112</v>
      </c>
      <c r="K599" t="s">
        <v>150</v>
      </c>
      <c r="L599" t="s">
        <v>1060</v>
      </c>
      <c r="M599" t="s">
        <v>112</v>
      </c>
      <c r="N599" t="s">
        <v>112</v>
      </c>
      <c r="O599">
        <v>1</v>
      </c>
      <c r="P599">
        <v>0</v>
      </c>
      <c r="Q599">
        <v>1</v>
      </c>
      <c r="R599">
        <v>33</v>
      </c>
      <c r="S599" t="s">
        <v>166</v>
      </c>
      <c r="T599" t="s">
        <v>152</v>
      </c>
      <c r="U599" t="s">
        <v>153</v>
      </c>
      <c r="V599" t="s">
        <v>154</v>
      </c>
      <c r="W599" t="s">
        <v>119</v>
      </c>
      <c r="X599" t="s">
        <v>112</v>
      </c>
      <c r="Y599" t="s">
        <v>166</v>
      </c>
      <c r="Z599" t="s">
        <v>152</v>
      </c>
      <c r="AA599" t="s">
        <v>153</v>
      </c>
      <c r="AB599" t="s">
        <v>154</v>
      </c>
      <c r="AC599" t="s">
        <v>119</v>
      </c>
      <c r="AD599" t="s">
        <v>112</v>
      </c>
      <c r="AE599" t="s">
        <v>121</v>
      </c>
      <c r="AF599" t="s">
        <v>122</v>
      </c>
      <c r="AG599">
        <v>4289932.33</v>
      </c>
      <c r="AH599" t="s">
        <v>166</v>
      </c>
      <c r="AI599" t="s">
        <v>152</v>
      </c>
      <c r="AJ599" t="s">
        <v>153</v>
      </c>
      <c r="AK599" t="s">
        <v>154</v>
      </c>
      <c r="AL599" t="s">
        <v>119</v>
      </c>
      <c r="AM599" t="s">
        <v>112</v>
      </c>
      <c r="AN599" t="s">
        <v>121</v>
      </c>
      <c r="AO599" t="s">
        <v>122</v>
      </c>
      <c r="AP599" t="s">
        <v>122</v>
      </c>
      <c r="AQ599" t="s">
        <v>124</v>
      </c>
      <c r="AR599" t="s">
        <v>125</v>
      </c>
      <c r="AS599">
        <v>2</v>
      </c>
      <c r="AT599" t="s">
        <v>126</v>
      </c>
      <c r="AU599" t="s">
        <v>155</v>
      </c>
      <c r="AV599" t="s">
        <v>156</v>
      </c>
      <c r="AW599">
        <v>1</v>
      </c>
      <c r="AX599" t="s">
        <v>129</v>
      </c>
      <c r="AY599">
        <v>44068.4</v>
      </c>
      <c r="AZ599">
        <v>3922339</v>
      </c>
      <c r="BA599">
        <v>51910.02</v>
      </c>
      <c r="BB599">
        <v>89.005700000000004</v>
      </c>
      <c r="BC599" t="s">
        <v>130</v>
      </c>
      <c r="BD599" t="s">
        <v>112</v>
      </c>
      <c r="BE599" t="s">
        <v>157</v>
      </c>
      <c r="BF599" t="s">
        <v>133</v>
      </c>
      <c r="BG599" t="s">
        <v>134</v>
      </c>
      <c r="BH599" t="s">
        <v>112</v>
      </c>
      <c r="BI599" t="s">
        <v>112</v>
      </c>
      <c r="BJ599" t="s">
        <v>112</v>
      </c>
      <c r="BK599" t="s">
        <v>169</v>
      </c>
      <c r="BL599" t="s">
        <v>159</v>
      </c>
      <c r="BM599" t="s">
        <v>722</v>
      </c>
      <c r="BN599" t="s">
        <v>161</v>
      </c>
      <c r="BO599">
        <v>1</v>
      </c>
      <c r="BP599" t="s">
        <v>162</v>
      </c>
      <c r="BR599" t="s">
        <v>150</v>
      </c>
      <c r="BS599">
        <v>33</v>
      </c>
      <c r="BT599">
        <v>0</v>
      </c>
      <c r="BU599">
        <v>0</v>
      </c>
      <c r="BW599">
        <v>0</v>
      </c>
      <c r="BY599" t="s">
        <v>106</v>
      </c>
      <c r="BZ599" t="s">
        <v>142</v>
      </c>
      <c r="CA599" t="s">
        <v>112</v>
      </c>
      <c r="CB599" t="s">
        <v>112</v>
      </c>
      <c r="CC599" t="s">
        <v>121</v>
      </c>
      <c r="CD599">
        <v>16856.759999999998</v>
      </c>
      <c r="CE599" t="s">
        <v>144</v>
      </c>
      <c r="CF599">
        <v>4000000</v>
      </c>
      <c r="CG599">
        <v>16791.96</v>
      </c>
      <c r="CH599">
        <v>0</v>
      </c>
      <c r="CI599" t="s">
        <v>112</v>
      </c>
      <c r="CJ599" t="s">
        <v>112</v>
      </c>
      <c r="CK599">
        <v>44068.4</v>
      </c>
      <c r="CL599">
        <v>3922339</v>
      </c>
      <c r="CM599">
        <v>0</v>
      </c>
      <c r="CN599">
        <v>1</v>
      </c>
      <c r="CO599">
        <v>4289932.33</v>
      </c>
      <c r="CP599">
        <v>51910.02</v>
      </c>
      <c r="CQ599" t="s">
        <v>145</v>
      </c>
      <c r="CR599">
        <v>51887.156399999993</v>
      </c>
      <c r="CS599">
        <v>3.09</v>
      </c>
      <c r="CT599">
        <v>45</v>
      </c>
      <c r="CU599" t="s">
        <v>171</v>
      </c>
      <c r="CV599" t="s">
        <v>372</v>
      </c>
      <c r="CW599">
        <v>80</v>
      </c>
    </row>
    <row r="600" spans="1:101" x14ac:dyDescent="0.2">
      <c r="A600" t="s">
        <v>106</v>
      </c>
      <c r="B600" s="46">
        <v>45047</v>
      </c>
      <c r="C600" t="s">
        <v>1297</v>
      </c>
      <c r="D600" t="s">
        <v>108</v>
      </c>
      <c r="E600" t="s">
        <v>1298</v>
      </c>
      <c r="F600" t="s">
        <v>110</v>
      </c>
      <c r="G600" t="s">
        <v>111</v>
      </c>
      <c r="H600" t="s">
        <v>112</v>
      </c>
      <c r="I600" t="s">
        <v>112</v>
      </c>
      <c r="J600" t="s">
        <v>112</v>
      </c>
      <c r="K600" t="s">
        <v>150</v>
      </c>
      <c r="L600" t="s">
        <v>1060</v>
      </c>
      <c r="M600" t="s">
        <v>112</v>
      </c>
      <c r="N600" t="s">
        <v>112</v>
      </c>
      <c r="O600">
        <v>1</v>
      </c>
      <c r="P600">
        <v>0</v>
      </c>
      <c r="Q600">
        <v>1</v>
      </c>
      <c r="R600">
        <v>33</v>
      </c>
      <c r="S600" t="s">
        <v>166</v>
      </c>
      <c r="T600" t="s">
        <v>152</v>
      </c>
      <c r="U600" t="s">
        <v>153</v>
      </c>
      <c r="V600" t="s">
        <v>154</v>
      </c>
      <c r="W600" t="s">
        <v>119</v>
      </c>
      <c r="X600" t="s">
        <v>112</v>
      </c>
      <c r="Y600" t="s">
        <v>166</v>
      </c>
      <c r="Z600" t="s">
        <v>152</v>
      </c>
      <c r="AA600" t="s">
        <v>153</v>
      </c>
      <c r="AB600" t="s">
        <v>154</v>
      </c>
      <c r="AC600" t="s">
        <v>119</v>
      </c>
      <c r="AD600" t="s">
        <v>112</v>
      </c>
      <c r="AE600" t="s">
        <v>121</v>
      </c>
      <c r="AF600" t="s">
        <v>122</v>
      </c>
      <c r="AG600">
        <v>4249306.57</v>
      </c>
      <c r="AH600" t="s">
        <v>166</v>
      </c>
      <c r="AI600" t="s">
        <v>152</v>
      </c>
      <c r="AJ600" t="s">
        <v>153</v>
      </c>
      <c r="AK600" t="s">
        <v>154</v>
      </c>
      <c r="AL600" t="s">
        <v>119</v>
      </c>
      <c r="AM600" t="s">
        <v>112</v>
      </c>
      <c r="AN600" t="s">
        <v>121</v>
      </c>
      <c r="AO600" t="s">
        <v>122</v>
      </c>
      <c r="AP600" t="s">
        <v>122</v>
      </c>
      <c r="AQ600" t="s">
        <v>124</v>
      </c>
      <c r="AR600" t="s">
        <v>125</v>
      </c>
      <c r="AS600">
        <v>2</v>
      </c>
      <c r="AT600" t="s">
        <v>126</v>
      </c>
      <c r="AU600" t="s">
        <v>155</v>
      </c>
      <c r="AV600" t="s">
        <v>156</v>
      </c>
      <c r="AW600">
        <v>1</v>
      </c>
      <c r="AX600" t="s">
        <v>129</v>
      </c>
      <c r="AY600">
        <v>43091.96</v>
      </c>
      <c r="AZ600">
        <v>3835430</v>
      </c>
      <c r="BA600">
        <v>51418.43</v>
      </c>
      <c r="BB600">
        <v>89.005700000000004</v>
      </c>
      <c r="BC600" t="s">
        <v>130</v>
      </c>
      <c r="BD600" t="s">
        <v>112</v>
      </c>
      <c r="BE600" t="s">
        <v>157</v>
      </c>
      <c r="BF600" t="s">
        <v>133</v>
      </c>
      <c r="BG600" t="s">
        <v>167</v>
      </c>
      <c r="BH600" t="s">
        <v>168</v>
      </c>
      <c r="BI600" t="s">
        <v>112</v>
      </c>
      <c r="BJ600" t="s">
        <v>112</v>
      </c>
      <c r="BK600" t="s">
        <v>169</v>
      </c>
      <c r="BL600" t="s">
        <v>159</v>
      </c>
      <c r="BM600" t="s">
        <v>726</v>
      </c>
      <c r="BN600" t="s">
        <v>161</v>
      </c>
      <c r="BO600">
        <v>1</v>
      </c>
      <c r="BP600" t="s">
        <v>205</v>
      </c>
      <c r="BR600" t="s">
        <v>150</v>
      </c>
      <c r="BS600">
        <v>33</v>
      </c>
      <c r="BT600">
        <v>0</v>
      </c>
      <c r="BU600">
        <v>0</v>
      </c>
      <c r="BW600">
        <v>0</v>
      </c>
      <c r="BY600" t="s">
        <v>106</v>
      </c>
      <c r="BZ600" t="s">
        <v>142</v>
      </c>
      <c r="CA600" t="s">
        <v>112</v>
      </c>
      <c r="CB600" t="s">
        <v>112</v>
      </c>
      <c r="CC600" t="s">
        <v>121</v>
      </c>
      <c r="CD600">
        <v>16543.55</v>
      </c>
      <c r="CE600" t="s">
        <v>144</v>
      </c>
      <c r="CF600">
        <v>4000000</v>
      </c>
      <c r="CG600">
        <v>16489.55</v>
      </c>
      <c r="CH600">
        <v>0</v>
      </c>
      <c r="CI600" t="s">
        <v>112</v>
      </c>
      <c r="CJ600" t="s">
        <v>112</v>
      </c>
      <c r="CK600">
        <v>43091.96</v>
      </c>
      <c r="CL600">
        <v>3835430</v>
      </c>
      <c r="CM600">
        <v>0</v>
      </c>
      <c r="CN600">
        <v>1</v>
      </c>
      <c r="CO600">
        <v>4249306.57</v>
      </c>
      <c r="CP600">
        <v>51418.43</v>
      </c>
      <c r="CQ600" t="s">
        <v>145</v>
      </c>
      <c r="CR600">
        <v>51447.396000000001</v>
      </c>
      <c r="CS600">
        <v>3.12</v>
      </c>
      <c r="CT600">
        <v>45</v>
      </c>
      <c r="CU600" t="s">
        <v>171</v>
      </c>
      <c r="CV600" t="s">
        <v>369</v>
      </c>
      <c r="CW600">
        <v>238</v>
      </c>
    </row>
    <row r="601" spans="1:101" x14ac:dyDescent="0.2">
      <c r="A601" t="s">
        <v>106</v>
      </c>
      <c r="B601" s="46">
        <v>44992</v>
      </c>
      <c r="C601" t="s">
        <v>1301</v>
      </c>
      <c r="D601" t="s">
        <v>108</v>
      </c>
      <c r="E601" t="s">
        <v>1302</v>
      </c>
      <c r="F601" t="s">
        <v>110</v>
      </c>
      <c r="G601" t="s">
        <v>111</v>
      </c>
      <c r="H601" t="s">
        <v>112</v>
      </c>
      <c r="I601" t="s">
        <v>112</v>
      </c>
      <c r="J601" t="s">
        <v>112</v>
      </c>
      <c r="K601" t="s">
        <v>150</v>
      </c>
      <c r="L601" t="s">
        <v>1060</v>
      </c>
      <c r="M601" t="s">
        <v>112</v>
      </c>
      <c r="N601" t="s">
        <v>112</v>
      </c>
      <c r="O601">
        <v>1</v>
      </c>
      <c r="P601">
        <v>0</v>
      </c>
      <c r="Q601">
        <v>1</v>
      </c>
      <c r="R601">
        <v>33</v>
      </c>
      <c r="S601" t="s">
        <v>166</v>
      </c>
      <c r="T601" t="s">
        <v>152</v>
      </c>
      <c r="U601" t="s">
        <v>153</v>
      </c>
      <c r="V601" t="s">
        <v>154</v>
      </c>
      <c r="W601" t="s">
        <v>119</v>
      </c>
      <c r="X601" t="s">
        <v>112</v>
      </c>
      <c r="Y601" t="s">
        <v>166</v>
      </c>
      <c r="Z601" t="s">
        <v>152</v>
      </c>
      <c r="AA601" t="s">
        <v>153</v>
      </c>
      <c r="AB601" t="s">
        <v>154</v>
      </c>
      <c r="AC601" t="s">
        <v>119</v>
      </c>
      <c r="AD601" t="s">
        <v>112</v>
      </c>
      <c r="AE601" t="s">
        <v>121</v>
      </c>
      <c r="AF601" t="s">
        <v>122</v>
      </c>
      <c r="AG601">
        <v>4170290.87</v>
      </c>
      <c r="AH601" t="s">
        <v>166</v>
      </c>
      <c r="AI601" t="s">
        <v>152</v>
      </c>
      <c r="AJ601" t="s">
        <v>153</v>
      </c>
      <c r="AK601" t="s">
        <v>154</v>
      </c>
      <c r="AL601" t="s">
        <v>119</v>
      </c>
      <c r="AM601" t="s">
        <v>112</v>
      </c>
      <c r="AN601" t="s">
        <v>121</v>
      </c>
      <c r="AO601" t="s">
        <v>122</v>
      </c>
      <c r="AP601" t="s">
        <v>122</v>
      </c>
      <c r="AQ601" t="s">
        <v>124</v>
      </c>
      <c r="AR601" t="s">
        <v>125</v>
      </c>
      <c r="AS601">
        <v>2</v>
      </c>
      <c r="AT601" t="s">
        <v>126</v>
      </c>
      <c r="AU601" t="s">
        <v>155</v>
      </c>
      <c r="AV601" t="s">
        <v>156</v>
      </c>
      <c r="AW601">
        <v>1</v>
      </c>
      <c r="AX601" t="s">
        <v>129</v>
      </c>
      <c r="AY601">
        <v>42724.2</v>
      </c>
      <c r="AZ601">
        <v>3802697</v>
      </c>
      <c r="BA601">
        <v>50462.31</v>
      </c>
      <c r="BB601">
        <v>89.005700000000004</v>
      </c>
      <c r="BC601" t="s">
        <v>130</v>
      </c>
      <c r="BD601" t="s">
        <v>112</v>
      </c>
      <c r="BE601" t="s">
        <v>157</v>
      </c>
      <c r="BF601" t="s">
        <v>133</v>
      </c>
      <c r="BG601" t="s">
        <v>167</v>
      </c>
      <c r="BH601" t="s">
        <v>168</v>
      </c>
      <c r="BI601" t="s">
        <v>112</v>
      </c>
      <c r="BJ601" t="s">
        <v>112</v>
      </c>
      <c r="BK601" t="s">
        <v>169</v>
      </c>
      <c r="BL601" t="s">
        <v>159</v>
      </c>
      <c r="BM601" t="s">
        <v>726</v>
      </c>
      <c r="BN601" t="s">
        <v>161</v>
      </c>
      <c r="BO601">
        <v>1</v>
      </c>
      <c r="BP601" t="s">
        <v>162</v>
      </c>
      <c r="BR601" t="s">
        <v>150</v>
      </c>
      <c r="BS601">
        <v>33</v>
      </c>
      <c r="BT601">
        <v>0</v>
      </c>
      <c r="BU601">
        <v>0</v>
      </c>
      <c r="BW601">
        <v>0</v>
      </c>
      <c r="BY601" t="s">
        <v>106</v>
      </c>
      <c r="BZ601" t="s">
        <v>142</v>
      </c>
      <c r="CA601" t="s">
        <v>112</v>
      </c>
      <c r="CB601" t="s">
        <v>112</v>
      </c>
      <c r="CC601" t="s">
        <v>121</v>
      </c>
      <c r="CD601">
        <v>17143.68</v>
      </c>
      <c r="CE601" t="s">
        <v>144</v>
      </c>
      <c r="CF601">
        <v>4000000</v>
      </c>
      <c r="CG601">
        <v>17143.68</v>
      </c>
      <c r="CH601">
        <v>0</v>
      </c>
      <c r="CI601" t="s">
        <v>112</v>
      </c>
      <c r="CJ601" t="s">
        <v>112</v>
      </c>
      <c r="CK601">
        <v>42724.2</v>
      </c>
      <c r="CL601">
        <v>3802697</v>
      </c>
      <c r="CM601">
        <v>0</v>
      </c>
      <c r="CN601">
        <v>1</v>
      </c>
      <c r="CO601">
        <v>4170290.87</v>
      </c>
      <c r="CP601">
        <v>50462.31</v>
      </c>
      <c r="CQ601" t="s">
        <v>145</v>
      </c>
      <c r="CR601">
        <v>50402.419199999997</v>
      </c>
      <c r="CS601">
        <v>2.94</v>
      </c>
      <c r="CT601">
        <v>45</v>
      </c>
      <c r="CU601" t="s">
        <v>171</v>
      </c>
      <c r="CV601" t="s">
        <v>372</v>
      </c>
      <c r="CW601">
        <v>127</v>
      </c>
    </row>
    <row r="602" spans="1:101" x14ac:dyDescent="0.2">
      <c r="A602" t="s">
        <v>106</v>
      </c>
      <c r="B602" s="46">
        <v>45118</v>
      </c>
      <c r="C602" t="s">
        <v>1299</v>
      </c>
      <c r="D602" t="s">
        <v>108</v>
      </c>
      <c r="E602" t="s">
        <v>1300</v>
      </c>
      <c r="F602" t="s">
        <v>110</v>
      </c>
      <c r="G602" t="s">
        <v>111</v>
      </c>
      <c r="H602" t="s">
        <v>112</v>
      </c>
      <c r="I602" t="s">
        <v>112</v>
      </c>
      <c r="J602" t="s">
        <v>112</v>
      </c>
      <c r="K602" t="s">
        <v>150</v>
      </c>
      <c r="L602" t="s">
        <v>1060</v>
      </c>
      <c r="M602" t="s">
        <v>112</v>
      </c>
      <c r="N602" t="s">
        <v>112</v>
      </c>
      <c r="O602">
        <v>1</v>
      </c>
      <c r="P602">
        <v>0</v>
      </c>
      <c r="Q602">
        <v>1</v>
      </c>
      <c r="R602">
        <v>33</v>
      </c>
      <c r="S602" t="s">
        <v>166</v>
      </c>
      <c r="T602" t="s">
        <v>152</v>
      </c>
      <c r="U602" t="s">
        <v>153</v>
      </c>
      <c r="V602" t="s">
        <v>154</v>
      </c>
      <c r="W602" t="s">
        <v>119</v>
      </c>
      <c r="X602" t="s">
        <v>112</v>
      </c>
      <c r="Y602" t="s">
        <v>166</v>
      </c>
      <c r="Z602" t="s">
        <v>152</v>
      </c>
      <c r="AA602" t="s">
        <v>153</v>
      </c>
      <c r="AB602" t="s">
        <v>154</v>
      </c>
      <c r="AC602" t="s">
        <v>119</v>
      </c>
      <c r="AD602" t="s">
        <v>112</v>
      </c>
      <c r="AE602" t="s">
        <v>121</v>
      </c>
      <c r="AF602" t="s">
        <v>122</v>
      </c>
      <c r="AG602">
        <v>4075291.52</v>
      </c>
      <c r="AH602" t="s">
        <v>166</v>
      </c>
      <c r="AI602" t="s">
        <v>152</v>
      </c>
      <c r="AJ602" t="s">
        <v>153</v>
      </c>
      <c r="AK602" t="s">
        <v>154</v>
      </c>
      <c r="AL602" t="s">
        <v>119</v>
      </c>
      <c r="AM602" t="s">
        <v>112</v>
      </c>
      <c r="AN602" t="s">
        <v>121</v>
      </c>
      <c r="AO602" t="s">
        <v>122</v>
      </c>
      <c r="AP602" t="s">
        <v>122</v>
      </c>
      <c r="AQ602" t="s">
        <v>124</v>
      </c>
      <c r="AR602" t="s">
        <v>125</v>
      </c>
      <c r="AS602">
        <v>2</v>
      </c>
      <c r="AT602" t="s">
        <v>126</v>
      </c>
      <c r="AU602" t="s">
        <v>155</v>
      </c>
      <c r="AV602" t="s">
        <v>156</v>
      </c>
      <c r="AW602">
        <v>1</v>
      </c>
      <c r="AX602" t="s">
        <v>129</v>
      </c>
      <c r="AY602">
        <v>41656.86</v>
      </c>
      <c r="AZ602">
        <v>3707698</v>
      </c>
      <c r="BA602">
        <v>49312.77</v>
      </c>
      <c r="BB602">
        <v>89.005700000000004</v>
      </c>
      <c r="BC602" t="s">
        <v>130</v>
      </c>
      <c r="BD602" t="s">
        <v>112</v>
      </c>
      <c r="BE602" t="s">
        <v>157</v>
      </c>
      <c r="BF602" t="s">
        <v>133</v>
      </c>
      <c r="BG602" t="s">
        <v>167</v>
      </c>
      <c r="BH602" t="s">
        <v>168</v>
      </c>
      <c r="BI602" t="s">
        <v>112</v>
      </c>
      <c r="BJ602" t="s">
        <v>112</v>
      </c>
      <c r="BK602" t="s">
        <v>169</v>
      </c>
      <c r="BL602" t="s">
        <v>159</v>
      </c>
      <c r="BM602" t="s">
        <v>726</v>
      </c>
      <c r="BN602" t="s">
        <v>161</v>
      </c>
      <c r="BO602">
        <v>1</v>
      </c>
      <c r="BP602" t="s">
        <v>205</v>
      </c>
      <c r="BR602" t="s">
        <v>150</v>
      </c>
      <c r="BS602">
        <v>33</v>
      </c>
      <c r="BT602">
        <v>0</v>
      </c>
      <c r="BU602">
        <v>0</v>
      </c>
      <c r="BW602">
        <v>0</v>
      </c>
      <c r="BY602" t="s">
        <v>106</v>
      </c>
      <c r="BZ602" t="s">
        <v>142</v>
      </c>
      <c r="CA602" t="s">
        <v>112</v>
      </c>
      <c r="CB602" t="s">
        <v>112</v>
      </c>
      <c r="CC602" t="s">
        <v>121</v>
      </c>
      <c r="CD602">
        <v>16656.29</v>
      </c>
      <c r="CE602" t="s">
        <v>144</v>
      </c>
      <c r="CF602">
        <v>4000000</v>
      </c>
      <c r="CG602">
        <v>16548.29</v>
      </c>
      <c r="CH602">
        <v>0</v>
      </c>
      <c r="CI602" t="s">
        <v>112</v>
      </c>
      <c r="CJ602" t="s">
        <v>112</v>
      </c>
      <c r="CK602">
        <v>41656.86</v>
      </c>
      <c r="CL602">
        <v>3707698</v>
      </c>
      <c r="CM602">
        <v>0</v>
      </c>
      <c r="CN602">
        <v>1</v>
      </c>
      <c r="CO602">
        <v>4075291.52</v>
      </c>
      <c r="CP602">
        <v>49312.77</v>
      </c>
      <c r="CQ602" t="s">
        <v>145</v>
      </c>
      <c r="CR602">
        <v>49313.904200000004</v>
      </c>
      <c r="CS602">
        <v>2.98</v>
      </c>
      <c r="CT602">
        <v>45</v>
      </c>
      <c r="CU602" t="s">
        <v>171</v>
      </c>
      <c r="CV602" t="s">
        <v>463</v>
      </c>
      <c r="CW602">
        <v>555</v>
      </c>
    </row>
    <row r="603" spans="1:101" x14ac:dyDescent="0.2">
      <c r="A603" t="s">
        <v>106</v>
      </c>
      <c r="B603" s="46">
        <v>44960</v>
      </c>
      <c r="C603" t="s">
        <v>1307</v>
      </c>
      <c r="D603" t="s">
        <v>108</v>
      </c>
      <c r="E603" t="s">
        <v>1308</v>
      </c>
      <c r="F603" t="s">
        <v>110</v>
      </c>
      <c r="G603" t="s">
        <v>111</v>
      </c>
      <c r="H603" t="s">
        <v>112</v>
      </c>
      <c r="I603" t="s">
        <v>112</v>
      </c>
      <c r="J603" t="s">
        <v>112</v>
      </c>
      <c r="K603" t="s">
        <v>150</v>
      </c>
      <c r="L603" t="s">
        <v>1060</v>
      </c>
      <c r="M603" t="s">
        <v>112</v>
      </c>
      <c r="N603" t="s">
        <v>112</v>
      </c>
      <c r="O603">
        <v>1</v>
      </c>
      <c r="P603">
        <v>0</v>
      </c>
      <c r="Q603">
        <v>1</v>
      </c>
      <c r="R603">
        <v>33</v>
      </c>
      <c r="S603" t="s">
        <v>166</v>
      </c>
      <c r="T603" t="s">
        <v>152</v>
      </c>
      <c r="U603" t="s">
        <v>153</v>
      </c>
      <c r="V603" t="s">
        <v>154</v>
      </c>
      <c r="W603" t="s">
        <v>119</v>
      </c>
      <c r="X603" t="s">
        <v>112</v>
      </c>
      <c r="Y603" t="s">
        <v>166</v>
      </c>
      <c r="Z603" t="s">
        <v>152</v>
      </c>
      <c r="AA603" t="s">
        <v>153</v>
      </c>
      <c r="AB603" t="s">
        <v>154</v>
      </c>
      <c r="AC603" t="s">
        <v>119</v>
      </c>
      <c r="AD603" t="s">
        <v>112</v>
      </c>
      <c r="AE603" t="s">
        <v>121</v>
      </c>
      <c r="AF603" t="s">
        <v>122</v>
      </c>
      <c r="AG603">
        <v>4281914.7</v>
      </c>
      <c r="AH603" t="s">
        <v>166</v>
      </c>
      <c r="AI603" t="s">
        <v>152</v>
      </c>
      <c r="AJ603" t="s">
        <v>153</v>
      </c>
      <c r="AK603" t="s">
        <v>154</v>
      </c>
      <c r="AL603" t="s">
        <v>119</v>
      </c>
      <c r="AM603" t="s">
        <v>112</v>
      </c>
      <c r="AN603" t="s">
        <v>121</v>
      </c>
      <c r="AO603" t="s">
        <v>122</v>
      </c>
      <c r="AP603" t="s">
        <v>122</v>
      </c>
      <c r="AQ603" t="s">
        <v>124</v>
      </c>
      <c r="AR603" t="s">
        <v>125</v>
      </c>
      <c r="AS603">
        <v>2</v>
      </c>
      <c r="AT603" t="s">
        <v>126</v>
      </c>
      <c r="AU603" t="s">
        <v>155</v>
      </c>
      <c r="AV603" t="s">
        <v>156</v>
      </c>
      <c r="AW603">
        <v>1</v>
      </c>
      <c r="AX603" t="s">
        <v>129</v>
      </c>
      <c r="AY603">
        <v>43278.32</v>
      </c>
      <c r="AZ603">
        <v>3852017</v>
      </c>
      <c r="BA603">
        <v>51813</v>
      </c>
      <c r="BB603">
        <v>89.005700000000004</v>
      </c>
      <c r="BC603" t="s">
        <v>130</v>
      </c>
      <c r="BD603" t="s">
        <v>112</v>
      </c>
      <c r="BE603" t="s">
        <v>157</v>
      </c>
      <c r="BF603" t="s">
        <v>133</v>
      </c>
      <c r="BG603" t="s">
        <v>167</v>
      </c>
      <c r="BH603" t="s">
        <v>168</v>
      </c>
      <c r="BI603" t="s">
        <v>112</v>
      </c>
      <c r="BJ603" t="s">
        <v>112</v>
      </c>
      <c r="BK603" t="s">
        <v>169</v>
      </c>
      <c r="BL603" t="s">
        <v>159</v>
      </c>
      <c r="BM603" t="s">
        <v>726</v>
      </c>
      <c r="BN603" t="s">
        <v>161</v>
      </c>
      <c r="BO603">
        <v>1</v>
      </c>
      <c r="BP603" t="s">
        <v>162</v>
      </c>
      <c r="BR603" t="s">
        <v>150</v>
      </c>
      <c r="BS603">
        <v>33</v>
      </c>
      <c r="BT603">
        <v>0</v>
      </c>
      <c r="BU603">
        <v>0</v>
      </c>
      <c r="BW603">
        <v>0</v>
      </c>
      <c r="BY603" t="s">
        <v>106</v>
      </c>
      <c r="BZ603" t="s">
        <v>142</v>
      </c>
      <c r="CA603" t="s">
        <v>112</v>
      </c>
      <c r="CB603" t="s">
        <v>112</v>
      </c>
      <c r="CC603" t="s">
        <v>121</v>
      </c>
      <c r="CD603">
        <v>16875.13</v>
      </c>
      <c r="CE603" t="s">
        <v>144</v>
      </c>
      <c r="CF603">
        <v>4000000</v>
      </c>
      <c r="CG603">
        <v>16831.93</v>
      </c>
      <c r="CH603">
        <v>0</v>
      </c>
      <c r="CI603" t="s">
        <v>112</v>
      </c>
      <c r="CJ603" t="s">
        <v>112</v>
      </c>
      <c r="CK603">
        <v>43278.32</v>
      </c>
      <c r="CL603">
        <v>3852017</v>
      </c>
      <c r="CM603">
        <v>0</v>
      </c>
      <c r="CN603">
        <v>1</v>
      </c>
      <c r="CO603">
        <v>4281914.7</v>
      </c>
      <c r="CP603">
        <v>51813</v>
      </c>
      <c r="CQ603" t="s">
        <v>145</v>
      </c>
      <c r="CR603">
        <v>51842.344400000002</v>
      </c>
      <c r="CS603">
        <v>3.08</v>
      </c>
      <c r="CT603">
        <v>45</v>
      </c>
      <c r="CU603" t="s">
        <v>171</v>
      </c>
      <c r="CV603" t="s">
        <v>350</v>
      </c>
      <c r="CW603">
        <v>220</v>
      </c>
    </row>
    <row r="604" spans="1:101" x14ac:dyDescent="0.2">
      <c r="A604" t="s">
        <v>106</v>
      </c>
      <c r="B604" s="46">
        <v>45114</v>
      </c>
      <c r="C604" t="s">
        <v>1048</v>
      </c>
      <c r="D604" t="s">
        <v>108</v>
      </c>
      <c r="E604" t="s">
        <v>1049</v>
      </c>
      <c r="F604" t="s">
        <v>110</v>
      </c>
      <c r="G604" t="s">
        <v>111</v>
      </c>
      <c r="H604" t="s">
        <v>112</v>
      </c>
      <c r="I604" t="s">
        <v>112</v>
      </c>
      <c r="J604" t="s">
        <v>112</v>
      </c>
      <c r="K604" t="s">
        <v>150</v>
      </c>
      <c r="L604" t="s">
        <v>1036</v>
      </c>
      <c r="M604" t="s">
        <v>112</v>
      </c>
      <c r="N604" t="s">
        <v>112</v>
      </c>
      <c r="O604">
        <v>1</v>
      </c>
      <c r="P604">
        <v>0</v>
      </c>
      <c r="Q604">
        <v>1</v>
      </c>
      <c r="R604">
        <v>33</v>
      </c>
      <c r="S604" t="s">
        <v>166</v>
      </c>
      <c r="T604" t="s">
        <v>152</v>
      </c>
      <c r="U604" t="s">
        <v>153</v>
      </c>
      <c r="V604" t="s">
        <v>154</v>
      </c>
      <c r="W604" t="s">
        <v>119</v>
      </c>
      <c r="X604" t="s">
        <v>112</v>
      </c>
      <c r="Y604" t="s">
        <v>166</v>
      </c>
      <c r="Z604" t="s">
        <v>152</v>
      </c>
      <c r="AA604" t="s">
        <v>153</v>
      </c>
      <c r="AB604" t="s">
        <v>154</v>
      </c>
      <c r="AC604" t="s">
        <v>119</v>
      </c>
      <c r="AD604" t="s">
        <v>112</v>
      </c>
      <c r="AE604" t="s">
        <v>121</v>
      </c>
      <c r="AF604" t="s">
        <v>122</v>
      </c>
      <c r="AG604">
        <v>4350631.84</v>
      </c>
      <c r="AH604" t="s">
        <v>166</v>
      </c>
      <c r="AI604" t="s">
        <v>152</v>
      </c>
      <c r="AJ604" t="s">
        <v>153</v>
      </c>
      <c r="AK604" t="s">
        <v>154</v>
      </c>
      <c r="AL604" t="s">
        <v>119</v>
      </c>
      <c r="AM604" t="s">
        <v>112</v>
      </c>
      <c r="AN604" t="s">
        <v>121</v>
      </c>
      <c r="AO604" t="s">
        <v>122</v>
      </c>
      <c r="AP604" t="s">
        <v>122</v>
      </c>
      <c r="AQ604" t="s">
        <v>124</v>
      </c>
      <c r="AR604" t="s">
        <v>125</v>
      </c>
      <c r="AS604">
        <v>2</v>
      </c>
      <c r="AT604" t="s">
        <v>126</v>
      </c>
      <c r="AU604" t="s">
        <v>155</v>
      </c>
      <c r="AV604" t="s">
        <v>156</v>
      </c>
      <c r="AW604">
        <v>1</v>
      </c>
      <c r="AX604" t="s">
        <v>129</v>
      </c>
      <c r="AY604">
        <v>44119.66</v>
      </c>
      <c r="AZ604">
        <v>3960176</v>
      </c>
      <c r="BA604">
        <v>52996.12</v>
      </c>
      <c r="BB604">
        <v>89.759900000000002</v>
      </c>
      <c r="BC604" t="s">
        <v>130</v>
      </c>
      <c r="BD604" t="s">
        <v>112</v>
      </c>
      <c r="BE604" t="s">
        <v>157</v>
      </c>
      <c r="BF604" t="s">
        <v>133</v>
      </c>
      <c r="BG604" t="s">
        <v>167</v>
      </c>
      <c r="BH604" t="s">
        <v>168</v>
      </c>
      <c r="BI604" t="s">
        <v>112</v>
      </c>
      <c r="BJ604" t="s">
        <v>112</v>
      </c>
      <c r="BK604" t="s">
        <v>169</v>
      </c>
      <c r="BL604" t="s">
        <v>159</v>
      </c>
      <c r="BM604" t="s">
        <v>726</v>
      </c>
      <c r="BN604" t="s">
        <v>161</v>
      </c>
      <c r="BO604">
        <v>1</v>
      </c>
      <c r="BP604" t="s">
        <v>205</v>
      </c>
      <c r="BR604" t="s">
        <v>150</v>
      </c>
      <c r="BS604">
        <v>33</v>
      </c>
      <c r="BT604">
        <v>0</v>
      </c>
      <c r="BU604">
        <v>0</v>
      </c>
      <c r="BW604">
        <v>0</v>
      </c>
      <c r="BY604" t="s">
        <v>106</v>
      </c>
      <c r="BZ604" t="s">
        <v>142</v>
      </c>
      <c r="CA604" t="s">
        <v>112</v>
      </c>
      <c r="CB604" t="s">
        <v>112</v>
      </c>
      <c r="CC604" t="s">
        <v>121</v>
      </c>
      <c r="CD604">
        <v>16822.98</v>
      </c>
      <c r="CE604" t="s">
        <v>144</v>
      </c>
      <c r="CF604">
        <v>4000000</v>
      </c>
      <c r="CG604">
        <v>16822.98</v>
      </c>
      <c r="CH604">
        <v>0</v>
      </c>
      <c r="CI604" t="s">
        <v>112</v>
      </c>
      <c r="CJ604" t="s">
        <v>112</v>
      </c>
      <c r="CK604">
        <v>44119.66</v>
      </c>
      <c r="CL604">
        <v>3960176</v>
      </c>
      <c r="CM604">
        <v>0</v>
      </c>
      <c r="CN604">
        <v>1</v>
      </c>
      <c r="CO604">
        <v>4350631.84</v>
      </c>
      <c r="CP604">
        <v>52996.12</v>
      </c>
      <c r="CQ604" t="s">
        <v>145</v>
      </c>
      <c r="CR604">
        <v>52995.751595999995</v>
      </c>
      <c r="CS604">
        <v>3.1501999999999999</v>
      </c>
      <c r="CT604">
        <v>45</v>
      </c>
      <c r="CU604" t="s">
        <v>171</v>
      </c>
      <c r="CV604" t="s">
        <v>172</v>
      </c>
      <c r="CW604">
        <v>182</v>
      </c>
    </row>
    <row r="605" spans="1:101" x14ac:dyDescent="0.2">
      <c r="A605" t="s">
        <v>106</v>
      </c>
      <c r="B605" s="46">
        <v>45007</v>
      </c>
      <c r="C605" t="s">
        <v>1056</v>
      </c>
      <c r="D605" t="s">
        <v>108</v>
      </c>
      <c r="E605" t="s">
        <v>1057</v>
      </c>
      <c r="F605" t="s">
        <v>110</v>
      </c>
      <c r="G605" t="s">
        <v>111</v>
      </c>
      <c r="H605" t="s">
        <v>112</v>
      </c>
      <c r="I605" t="s">
        <v>112</v>
      </c>
      <c r="J605" t="s">
        <v>112</v>
      </c>
      <c r="K605" t="s">
        <v>150</v>
      </c>
      <c r="L605" t="s">
        <v>1036</v>
      </c>
      <c r="M605" t="s">
        <v>112</v>
      </c>
      <c r="N605" t="s">
        <v>112</v>
      </c>
      <c r="O605">
        <v>1</v>
      </c>
      <c r="P605">
        <v>0</v>
      </c>
      <c r="Q605">
        <v>1</v>
      </c>
      <c r="R605">
        <v>33</v>
      </c>
      <c r="S605" t="s">
        <v>166</v>
      </c>
      <c r="T605" t="s">
        <v>152</v>
      </c>
      <c r="U605" t="s">
        <v>153</v>
      </c>
      <c r="V605" t="s">
        <v>154</v>
      </c>
      <c r="W605" t="s">
        <v>119</v>
      </c>
      <c r="X605" t="s">
        <v>112</v>
      </c>
      <c r="Y605" t="s">
        <v>166</v>
      </c>
      <c r="Z605" t="s">
        <v>152</v>
      </c>
      <c r="AA605" t="s">
        <v>153</v>
      </c>
      <c r="AB605" t="s">
        <v>154</v>
      </c>
      <c r="AC605" t="s">
        <v>119</v>
      </c>
      <c r="AD605" t="s">
        <v>112</v>
      </c>
      <c r="AE605" t="s">
        <v>121</v>
      </c>
      <c r="AF605" t="s">
        <v>122</v>
      </c>
      <c r="AG605">
        <v>4178520.82</v>
      </c>
      <c r="AH605" t="s">
        <v>166</v>
      </c>
      <c r="AI605" t="s">
        <v>152</v>
      </c>
      <c r="AJ605" t="s">
        <v>153</v>
      </c>
      <c r="AK605" t="s">
        <v>154</v>
      </c>
      <c r="AL605" t="s">
        <v>119</v>
      </c>
      <c r="AM605" t="s">
        <v>112</v>
      </c>
      <c r="AN605" t="s">
        <v>121</v>
      </c>
      <c r="AO605" t="s">
        <v>122</v>
      </c>
      <c r="AP605" t="s">
        <v>122</v>
      </c>
      <c r="AQ605" t="s">
        <v>124</v>
      </c>
      <c r="AR605" t="s">
        <v>125</v>
      </c>
      <c r="AS605">
        <v>2</v>
      </c>
      <c r="AT605" t="s">
        <v>126</v>
      </c>
      <c r="AU605" t="s">
        <v>155</v>
      </c>
      <c r="AV605" t="s">
        <v>156</v>
      </c>
      <c r="AW605">
        <v>1</v>
      </c>
      <c r="AX605" t="s">
        <v>129</v>
      </c>
      <c r="AY605">
        <v>42202.2</v>
      </c>
      <c r="AZ605">
        <v>3788065</v>
      </c>
      <c r="BA605">
        <v>50899.6</v>
      </c>
      <c r="BB605">
        <v>89.759900000000002</v>
      </c>
      <c r="BC605" t="s">
        <v>130</v>
      </c>
      <c r="BD605" t="s">
        <v>112</v>
      </c>
      <c r="BE605" t="s">
        <v>157</v>
      </c>
      <c r="BF605" t="s">
        <v>133</v>
      </c>
      <c r="BG605" t="s">
        <v>167</v>
      </c>
      <c r="BH605" t="s">
        <v>168</v>
      </c>
      <c r="BI605" t="s">
        <v>112</v>
      </c>
      <c r="BJ605" t="s">
        <v>112</v>
      </c>
      <c r="BK605" t="s">
        <v>169</v>
      </c>
      <c r="BL605" t="s">
        <v>159</v>
      </c>
      <c r="BM605" t="s">
        <v>726</v>
      </c>
      <c r="BN605" t="s">
        <v>161</v>
      </c>
      <c r="BO605">
        <v>1</v>
      </c>
      <c r="BP605" t="s">
        <v>205</v>
      </c>
      <c r="BR605" t="s">
        <v>150</v>
      </c>
      <c r="BS605">
        <v>33</v>
      </c>
      <c r="BT605">
        <v>0</v>
      </c>
      <c r="BU605">
        <v>0</v>
      </c>
      <c r="BW605">
        <v>0</v>
      </c>
      <c r="BY605" t="s">
        <v>106</v>
      </c>
      <c r="BZ605" t="s">
        <v>142</v>
      </c>
      <c r="CA605" t="s">
        <v>112</v>
      </c>
      <c r="CB605" t="s">
        <v>112</v>
      </c>
      <c r="CC605" t="s">
        <v>121</v>
      </c>
      <c r="CD605">
        <v>15852.69</v>
      </c>
      <c r="CE605" t="s">
        <v>144</v>
      </c>
      <c r="CF605">
        <v>4000000</v>
      </c>
      <c r="CG605">
        <v>15728.49</v>
      </c>
      <c r="CH605">
        <v>0</v>
      </c>
      <c r="CI605" t="s">
        <v>112</v>
      </c>
      <c r="CJ605" t="s">
        <v>112</v>
      </c>
      <c r="CK605">
        <v>42202.2</v>
      </c>
      <c r="CL605">
        <v>3788065</v>
      </c>
      <c r="CM605">
        <v>0</v>
      </c>
      <c r="CN605">
        <v>1</v>
      </c>
      <c r="CO605">
        <v>4178520.82</v>
      </c>
      <c r="CP605">
        <v>50899.6</v>
      </c>
      <c r="CQ605" t="s">
        <v>145</v>
      </c>
      <c r="CR605">
        <v>50898.966488999999</v>
      </c>
      <c r="CS605">
        <v>3.2361</v>
      </c>
      <c r="CT605">
        <v>45</v>
      </c>
      <c r="CU605" t="s">
        <v>171</v>
      </c>
      <c r="CV605" t="s">
        <v>172</v>
      </c>
      <c r="CW605">
        <v>178</v>
      </c>
    </row>
    <row r="606" spans="1:101" x14ac:dyDescent="0.2">
      <c r="A606" t="s">
        <v>106</v>
      </c>
      <c r="B606" s="46">
        <v>45154</v>
      </c>
      <c r="C606" t="s">
        <v>1050</v>
      </c>
      <c r="D606" t="s">
        <v>108</v>
      </c>
      <c r="E606" t="s">
        <v>1051</v>
      </c>
      <c r="F606" t="s">
        <v>110</v>
      </c>
      <c r="G606" t="s">
        <v>111</v>
      </c>
      <c r="H606" t="s">
        <v>112</v>
      </c>
      <c r="I606" t="s">
        <v>112</v>
      </c>
      <c r="J606" t="s">
        <v>112</v>
      </c>
      <c r="K606" t="s">
        <v>150</v>
      </c>
      <c r="L606" t="s">
        <v>1036</v>
      </c>
      <c r="M606" t="s">
        <v>112</v>
      </c>
      <c r="N606" t="s">
        <v>112</v>
      </c>
      <c r="O606">
        <v>1</v>
      </c>
      <c r="P606">
        <v>0</v>
      </c>
      <c r="Q606">
        <v>1</v>
      </c>
      <c r="R606">
        <v>33</v>
      </c>
      <c r="S606" t="s">
        <v>166</v>
      </c>
      <c r="T606" t="s">
        <v>152</v>
      </c>
      <c r="U606" t="s">
        <v>153</v>
      </c>
      <c r="V606" t="s">
        <v>154</v>
      </c>
      <c r="W606" t="s">
        <v>119</v>
      </c>
      <c r="X606" t="s">
        <v>112</v>
      </c>
      <c r="Y606" t="s">
        <v>166</v>
      </c>
      <c r="Z606" t="s">
        <v>152</v>
      </c>
      <c r="AA606" t="s">
        <v>153</v>
      </c>
      <c r="AB606" t="s">
        <v>154</v>
      </c>
      <c r="AC606" t="s">
        <v>119</v>
      </c>
      <c r="AD606" t="s">
        <v>112</v>
      </c>
      <c r="AE606" t="s">
        <v>121</v>
      </c>
      <c r="AF606" t="s">
        <v>122</v>
      </c>
      <c r="AG606">
        <v>4088725.02</v>
      </c>
      <c r="AH606" t="s">
        <v>166</v>
      </c>
      <c r="AI606" t="s">
        <v>152</v>
      </c>
      <c r="AJ606" t="s">
        <v>153</v>
      </c>
      <c r="AK606" t="s">
        <v>154</v>
      </c>
      <c r="AL606" t="s">
        <v>119</v>
      </c>
      <c r="AM606" t="s">
        <v>112</v>
      </c>
      <c r="AN606" t="s">
        <v>121</v>
      </c>
      <c r="AO606" t="s">
        <v>122</v>
      </c>
      <c r="AP606" t="s">
        <v>122</v>
      </c>
      <c r="AQ606" t="s">
        <v>124</v>
      </c>
      <c r="AR606" t="s">
        <v>125</v>
      </c>
      <c r="AS606">
        <v>2</v>
      </c>
      <c r="AT606" t="s">
        <v>126</v>
      </c>
      <c r="AU606" t="s">
        <v>155</v>
      </c>
      <c r="AV606" t="s">
        <v>156</v>
      </c>
      <c r="AW606">
        <v>1</v>
      </c>
      <c r="AX606" t="s">
        <v>129</v>
      </c>
      <c r="AY606">
        <v>41201.800000000003</v>
      </c>
      <c r="AZ606">
        <v>3698269</v>
      </c>
      <c r="BA606">
        <v>49805.77</v>
      </c>
      <c r="BB606">
        <v>89.759900000000002</v>
      </c>
      <c r="BC606" t="s">
        <v>130</v>
      </c>
      <c r="BD606" t="s">
        <v>112</v>
      </c>
      <c r="BE606" t="s">
        <v>157</v>
      </c>
      <c r="BF606" t="s">
        <v>133</v>
      </c>
      <c r="BG606" t="s">
        <v>167</v>
      </c>
      <c r="BH606" t="s">
        <v>168</v>
      </c>
      <c r="BI606" t="s">
        <v>112</v>
      </c>
      <c r="BJ606" t="s">
        <v>112</v>
      </c>
      <c r="BK606" t="s">
        <v>169</v>
      </c>
      <c r="BL606" t="s">
        <v>159</v>
      </c>
      <c r="BM606" t="s">
        <v>726</v>
      </c>
      <c r="BN606" t="s">
        <v>161</v>
      </c>
      <c r="BO606">
        <v>1</v>
      </c>
      <c r="BP606" t="s">
        <v>232</v>
      </c>
      <c r="BR606" t="s">
        <v>150</v>
      </c>
      <c r="BS606">
        <v>33</v>
      </c>
      <c r="BT606">
        <v>0</v>
      </c>
      <c r="BU606">
        <v>0</v>
      </c>
      <c r="BW606">
        <v>0</v>
      </c>
      <c r="BY606" t="s">
        <v>106</v>
      </c>
      <c r="BZ606" t="s">
        <v>142</v>
      </c>
      <c r="CA606" t="s">
        <v>112</v>
      </c>
      <c r="CB606" t="s">
        <v>112</v>
      </c>
      <c r="CC606" t="s">
        <v>121</v>
      </c>
      <c r="CD606">
        <v>16590.84</v>
      </c>
      <c r="CE606" t="s">
        <v>144</v>
      </c>
      <c r="CF606">
        <v>4000000</v>
      </c>
      <c r="CG606">
        <v>16533.240000000002</v>
      </c>
      <c r="CH606">
        <v>0</v>
      </c>
      <c r="CI606" t="s">
        <v>112</v>
      </c>
      <c r="CJ606" t="s">
        <v>112</v>
      </c>
      <c r="CK606">
        <v>41201.800000000003</v>
      </c>
      <c r="CL606">
        <v>3698269</v>
      </c>
      <c r="CM606">
        <v>0</v>
      </c>
      <c r="CN606">
        <v>1</v>
      </c>
      <c r="CO606">
        <v>4088725.02</v>
      </c>
      <c r="CP606">
        <v>49805.77</v>
      </c>
      <c r="CQ606" t="s">
        <v>145</v>
      </c>
      <c r="CR606">
        <v>49806.385500000011</v>
      </c>
      <c r="CS606">
        <v>3.0125000000000002</v>
      </c>
      <c r="CT606">
        <v>45</v>
      </c>
      <c r="CU606" t="s">
        <v>171</v>
      </c>
      <c r="CV606" t="s">
        <v>463</v>
      </c>
      <c r="CW606">
        <v>169</v>
      </c>
    </row>
    <row r="607" spans="1:101" x14ac:dyDescent="0.2">
      <c r="A607" t="s">
        <v>106</v>
      </c>
      <c r="B607" s="46">
        <v>45252</v>
      </c>
      <c r="C607" t="s">
        <v>1052</v>
      </c>
      <c r="D607" t="s">
        <v>108</v>
      </c>
      <c r="E607" t="s">
        <v>1053</v>
      </c>
      <c r="F607" t="s">
        <v>110</v>
      </c>
      <c r="G607" t="s">
        <v>111</v>
      </c>
      <c r="H607" t="s">
        <v>112</v>
      </c>
      <c r="I607" t="s">
        <v>112</v>
      </c>
      <c r="J607" t="s">
        <v>112</v>
      </c>
      <c r="K607" t="s">
        <v>150</v>
      </c>
      <c r="L607" t="s">
        <v>1036</v>
      </c>
      <c r="M607" t="s">
        <v>112</v>
      </c>
      <c r="N607" t="s">
        <v>112</v>
      </c>
      <c r="O607">
        <v>1</v>
      </c>
      <c r="P607">
        <v>0</v>
      </c>
      <c r="Q607">
        <v>1</v>
      </c>
      <c r="R607">
        <v>33</v>
      </c>
      <c r="S607" t="s">
        <v>166</v>
      </c>
      <c r="T607" t="s">
        <v>152</v>
      </c>
      <c r="U607" t="s">
        <v>153</v>
      </c>
      <c r="V607" t="s">
        <v>154</v>
      </c>
      <c r="W607" t="s">
        <v>119</v>
      </c>
      <c r="X607" t="s">
        <v>112</v>
      </c>
      <c r="Y607" t="s">
        <v>166</v>
      </c>
      <c r="Z607" t="s">
        <v>152</v>
      </c>
      <c r="AA607" t="s">
        <v>153</v>
      </c>
      <c r="AB607" t="s">
        <v>154</v>
      </c>
      <c r="AC607" t="s">
        <v>119</v>
      </c>
      <c r="AD607" t="s">
        <v>112</v>
      </c>
      <c r="AE607" t="s">
        <v>121</v>
      </c>
      <c r="AF607" t="s">
        <v>122</v>
      </c>
      <c r="AG607">
        <v>4334499.29</v>
      </c>
      <c r="AH607" t="s">
        <v>166</v>
      </c>
      <c r="AI607" t="s">
        <v>152</v>
      </c>
      <c r="AJ607" t="s">
        <v>153</v>
      </c>
      <c r="AK607" t="s">
        <v>154</v>
      </c>
      <c r="AL607" t="s">
        <v>119</v>
      </c>
      <c r="AM607" t="s">
        <v>112</v>
      </c>
      <c r="AN607" t="s">
        <v>121</v>
      </c>
      <c r="AO607" t="s">
        <v>122</v>
      </c>
      <c r="AP607" t="s">
        <v>122</v>
      </c>
      <c r="AQ607" t="s">
        <v>124</v>
      </c>
      <c r="AR607" t="s">
        <v>125</v>
      </c>
      <c r="AS607">
        <v>2</v>
      </c>
      <c r="AT607" t="s">
        <v>126</v>
      </c>
      <c r="AU607" t="s">
        <v>155</v>
      </c>
      <c r="AV607" t="s">
        <v>156</v>
      </c>
      <c r="AW607">
        <v>1</v>
      </c>
      <c r="AX607" t="s">
        <v>129</v>
      </c>
      <c r="AY607">
        <v>43439.93</v>
      </c>
      <c r="AZ607">
        <v>3899164</v>
      </c>
      <c r="BA607">
        <v>52799.61</v>
      </c>
      <c r="BB607">
        <v>89.759900000000002</v>
      </c>
      <c r="BC607" t="s">
        <v>130</v>
      </c>
      <c r="BD607" t="s">
        <v>112</v>
      </c>
      <c r="BE607" t="s">
        <v>157</v>
      </c>
      <c r="BF607" t="s">
        <v>133</v>
      </c>
      <c r="BG607" t="s">
        <v>167</v>
      </c>
      <c r="BH607" t="s">
        <v>168</v>
      </c>
      <c r="BI607" t="s">
        <v>112</v>
      </c>
      <c r="BJ607" t="s">
        <v>112</v>
      </c>
      <c r="BK607" t="s">
        <v>169</v>
      </c>
      <c r="BL607" t="s">
        <v>159</v>
      </c>
      <c r="BM607" t="s">
        <v>726</v>
      </c>
      <c r="BN607" t="s">
        <v>161</v>
      </c>
      <c r="BO607">
        <v>1</v>
      </c>
      <c r="BP607" t="s">
        <v>466</v>
      </c>
      <c r="BR607" t="s">
        <v>150</v>
      </c>
      <c r="BS607">
        <v>33</v>
      </c>
      <c r="BT607">
        <v>0</v>
      </c>
      <c r="BU607">
        <v>0</v>
      </c>
      <c r="BW607">
        <v>0</v>
      </c>
      <c r="BY607" t="s">
        <v>106</v>
      </c>
      <c r="BZ607" t="s">
        <v>142</v>
      </c>
      <c r="CA607" t="s">
        <v>112</v>
      </c>
      <c r="CB607" t="s">
        <v>112</v>
      </c>
      <c r="CC607" t="s">
        <v>121</v>
      </c>
      <c r="CD607">
        <v>16604.02</v>
      </c>
      <c r="CE607" t="s">
        <v>144</v>
      </c>
      <c r="CF607">
        <v>4000000</v>
      </c>
      <c r="CG607">
        <v>16539.22</v>
      </c>
      <c r="CH607">
        <v>0</v>
      </c>
      <c r="CI607" t="s">
        <v>112</v>
      </c>
      <c r="CJ607" t="s">
        <v>112</v>
      </c>
      <c r="CK607">
        <v>43439.93</v>
      </c>
      <c r="CL607">
        <v>3899164</v>
      </c>
      <c r="CM607">
        <v>0</v>
      </c>
      <c r="CN607">
        <v>1</v>
      </c>
      <c r="CO607">
        <v>4334499.29</v>
      </c>
      <c r="CP607">
        <v>52799.61</v>
      </c>
      <c r="CQ607" t="s">
        <v>145</v>
      </c>
      <c r="CR607">
        <v>52799.805928000009</v>
      </c>
      <c r="CS607">
        <v>3.1924000000000001</v>
      </c>
      <c r="CT607">
        <v>45</v>
      </c>
      <c r="CU607" t="s">
        <v>171</v>
      </c>
      <c r="CV607" t="s">
        <v>369</v>
      </c>
      <c r="CW607">
        <v>196</v>
      </c>
    </row>
    <row r="608" spans="1:101" x14ac:dyDescent="0.2">
      <c r="A608" t="s">
        <v>106</v>
      </c>
      <c r="B608" s="46">
        <v>44952</v>
      </c>
      <c r="C608" t="s">
        <v>918</v>
      </c>
      <c r="D608" t="s">
        <v>108</v>
      </c>
      <c r="E608" t="s">
        <v>919</v>
      </c>
      <c r="F608" t="s">
        <v>110</v>
      </c>
      <c r="G608" t="s">
        <v>111</v>
      </c>
      <c r="H608" t="s">
        <v>112</v>
      </c>
      <c r="I608" t="s">
        <v>112</v>
      </c>
      <c r="J608" t="s">
        <v>112</v>
      </c>
      <c r="K608" t="s">
        <v>150</v>
      </c>
      <c r="L608" t="s">
        <v>151</v>
      </c>
      <c r="M608" t="s">
        <v>112</v>
      </c>
      <c r="N608" t="s">
        <v>112</v>
      </c>
      <c r="O608">
        <v>1</v>
      </c>
      <c r="P608">
        <v>0</v>
      </c>
      <c r="Q608">
        <v>1</v>
      </c>
      <c r="R608">
        <v>33</v>
      </c>
      <c r="S608" t="s">
        <v>166</v>
      </c>
      <c r="T608" t="s">
        <v>152</v>
      </c>
      <c r="U608" t="s">
        <v>153</v>
      </c>
      <c r="V608" t="s">
        <v>154</v>
      </c>
      <c r="W608" t="s">
        <v>119</v>
      </c>
      <c r="X608" t="s">
        <v>112</v>
      </c>
      <c r="Y608" t="s">
        <v>166</v>
      </c>
      <c r="Z608" t="s">
        <v>152</v>
      </c>
      <c r="AA608" t="s">
        <v>153</v>
      </c>
      <c r="AB608" t="s">
        <v>154</v>
      </c>
      <c r="AC608" t="s">
        <v>119</v>
      </c>
      <c r="AD608" t="s">
        <v>112</v>
      </c>
      <c r="AE608" t="s">
        <v>121</v>
      </c>
      <c r="AF608" t="s">
        <v>122</v>
      </c>
      <c r="AG608">
        <v>3496777.46</v>
      </c>
      <c r="AH608" t="s">
        <v>166</v>
      </c>
      <c r="AI608" t="s">
        <v>152</v>
      </c>
      <c r="AJ608" t="s">
        <v>153</v>
      </c>
      <c r="AK608" t="s">
        <v>154</v>
      </c>
      <c r="AL608" t="s">
        <v>119</v>
      </c>
      <c r="AM608" t="s">
        <v>112</v>
      </c>
      <c r="AN608" t="s">
        <v>121</v>
      </c>
      <c r="AO608" t="s">
        <v>122</v>
      </c>
      <c r="AP608" t="s">
        <v>122</v>
      </c>
      <c r="AQ608" t="s">
        <v>124</v>
      </c>
      <c r="AR608" t="s">
        <v>125</v>
      </c>
      <c r="AS608">
        <v>2</v>
      </c>
      <c r="AT608" t="s">
        <v>126</v>
      </c>
      <c r="AU608" t="s">
        <v>155</v>
      </c>
      <c r="AV608" t="s">
        <v>156</v>
      </c>
      <c r="AW608">
        <v>1</v>
      </c>
      <c r="AX608" t="s">
        <v>129</v>
      </c>
      <c r="AY608">
        <v>38641.769999999997</v>
      </c>
      <c r="AZ608">
        <v>3106833</v>
      </c>
      <c r="BA608">
        <v>46046.22</v>
      </c>
      <c r="BB608">
        <v>80.400899999999993</v>
      </c>
      <c r="BC608" t="s">
        <v>130</v>
      </c>
      <c r="BD608" t="s">
        <v>112</v>
      </c>
      <c r="BE608" t="s">
        <v>157</v>
      </c>
      <c r="BF608" t="s">
        <v>133</v>
      </c>
      <c r="BG608" t="s">
        <v>134</v>
      </c>
      <c r="BH608" t="s">
        <v>112</v>
      </c>
      <c r="BI608" t="s">
        <v>112</v>
      </c>
      <c r="BJ608" t="s">
        <v>112</v>
      </c>
      <c r="BK608" t="s">
        <v>169</v>
      </c>
      <c r="BL608" t="s">
        <v>159</v>
      </c>
      <c r="BM608" t="s">
        <v>212</v>
      </c>
      <c r="BN608" t="s">
        <v>161</v>
      </c>
      <c r="BO608">
        <v>1</v>
      </c>
      <c r="BP608" t="s">
        <v>232</v>
      </c>
      <c r="BR608" t="s">
        <v>150</v>
      </c>
      <c r="BS608">
        <v>33</v>
      </c>
      <c r="BT608">
        <v>0</v>
      </c>
      <c r="BU608">
        <v>0</v>
      </c>
      <c r="BW608">
        <v>0</v>
      </c>
      <c r="BY608" t="s">
        <v>106</v>
      </c>
      <c r="BZ608" t="s">
        <v>142</v>
      </c>
      <c r="CA608" t="s">
        <v>112</v>
      </c>
      <c r="CB608" t="s">
        <v>112</v>
      </c>
      <c r="CC608" t="s">
        <v>121</v>
      </c>
      <c r="CD608">
        <v>16854.41</v>
      </c>
      <c r="CE608" t="s">
        <v>144</v>
      </c>
      <c r="CF608">
        <v>4000000</v>
      </c>
      <c r="CG608">
        <v>16742.810000000001</v>
      </c>
      <c r="CH608">
        <v>0</v>
      </c>
      <c r="CI608" t="s">
        <v>112</v>
      </c>
      <c r="CJ608" t="s">
        <v>112</v>
      </c>
      <c r="CK608">
        <v>38641.769999999997</v>
      </c>
      <c r="CL608">
        <v>3106833</v>
      </c>
      <c r="CM608">
        <v>0</v>
      </c>
      <c r="CN608">
        <v>1</v>
      </c>
      <c r="CO608">
        <v>3496777.46</v>
      </c>
      <c r="CP608">
        <v>46046.22</v>
      </c>
      <c r="CQ608" t="s">
        <v>145</v>
      </c>
      <c r="CR608">
        <v>46046.076062</v>
      </c>
      <c r="CS608">
        <v>2.7502</v>
      </c>
      <c r="CT608">
        <v>45</v>
      </c>
      <c r="CU608" t="s">
        <v>171</v>
      </c>
      <c r="CV608" t="s">
        <v>463</v>
      </c>
      <c r="CW608">
        <v>314</v>
      </c>
    </row>
    <row r="609" spans="1:101" x14ac:dyDescent="0.2">
      <c r="A609" t="s">
        <v>106</v>
      </c>
      <c r="B609" s="46">
        <v>45219</v>
      </c>
      <c r="C609" t="s">
        <v>916</v>
      </c>
      <c r="D609" t="s">
        <v>108</v>
      </c>
      <c r="E609" t="s">
        <v>917</v>
      </c>
      <c r="F609" t="s">
        <v>110</v>
      </c>
      <c r="G609" t="s">
        <v>111</v>
      </c>
      <c r="H609" t="s">
        <v>112</v>
      </c>
      <c r="I609" t="s">
        <v>112</v>
      </c>
      <c r="J609" t="s">
        <v>112</v>
      </c>
      <c r="K609" t="s">
        <v>150</v>
      </c>
      <c r="L609" t="s">
        <v>151</v>
      </c>
      <c r="M609" t="s">
        <v>112</v>
      </c>
      <c r="N609" t="s">
        <v>112</v>
      </c>
      <c r="O609">
        <v>1</v>
      </c>
      <c r="P609">
        <v>0</v>
      </c>
      <c r="Q609">
        <v>1</v>
      </c>
      <c r="R609">
        <v>38</v>
      </c>
      <c r="S609" t="s">
        <v>166</v>
      </c>
      <c r="T609" t="s">
        <v>152</v>
      </c>
      <c r="U609" t="s">
        <v>153</v>
      </c>
      <c r="V609" t="s">
        <v>154</v>
      </c>
      <c r="W609" t="s">
        <v>119</v>
      </c>
      <c r="X609" t="s">
        <v>112</v>
      </c>
      <c r="Y609" t="s">
        <v>166</v>
      </c>
      <c r="Z609" t="s">
        <v>152</v>
      </c>
      <c r="AA609" t="s">
        <v>153</v>
      </c>
      <c r="AB609" t="s">
        <v>154</v>
      </c>
      <c r="AC609" t="s">
        <v>119</v>
      </c>
      <c r="AD609" t="s">
        <v>112</v>
      </c>
      <c r="AE609" t="s">
        <v>121</v>
      </c>
      <c r="AF609" t="s">
        <v>122</v>
      </c>
      <c r="AG609">
        <v>3940251.94</v>
      </c>
      <c r="AH609" t="s">
        <v>166</v>
      </c>
      <c r="AI609" t="s">
        <v>152</v>
      </c>
      <c r="AJ609" t="s">
        <v>153</v>
      </c>
      <c r="AK609" t="s">
        <v>154</v>
      </c>
      <c r="AL609" t="s">
        <v>119</v>
      </c>
      <c r="AM609" t="s">
        <v>112</v>
      </c>
      <c r="AN609" t="s">
        <v>121</v>
      </c>
      <c r="AO609" t="s">
        <v>122</v>
      </c>
      <c r="AP609" t="s">
        <v>122</v>
      </c>
      <c r="AQ609" t="s">
        <v>124</v>
      </c>
      <c r="AR609" t="s">
        <v>125</v>
      </c>
      <c r="AS609">
        <v>2</v>
      </c>
      <c r="AT609" t="s">
        <v>126</v>
      </c>
      <c r="AU609" t="s">
        <v>155</v>
      </c>
      <c r="AV609" t="s">
        <v>156</v>
      </c>
      <c r="AW609">
        <v>1</v>
      </c>
      <c r="AX609" t="s">
        <v>129</v>
      </c>
      <c r="AY609">
        <v>44657.56</v>
      </c>
      <c r="AZ609">
        <v>3590508</v>
      </c>
      <c r="BA609">
        <v>51885.97</v>
      </c>
      <c r="BB609">
        <v>80.400899999999993</v>
      </c>
      <c r="BC609" t="s">
        <v>130</v>
      </c>
      <c r="BD609" t="s">
        <v>112</v>
      </c>
      <c r="BE609" t="s">
        <v>157</v>
      </c>
      <c r="BF609" t="s">
        <v>133</v>
      </c>
      <c r="BG609" t="s">
        <v>134</v>
      </c>
      <c r="BH609" t="s">
        <v>112</v>
      </c>
      <c r="BI609" t="s">
        <v>112</v>
      </c>
      <c r="BJ609" t="s">
        <v>112</v>
      </c>
      <c r="BK609" t="s">
        <v>169</v>
      </c>
      <c r="BL609" t="s">
        <v>159</v>
      </c>
      <c r="BM609" t="s">
        <v>212</v>
      </c>
      <c r="BN609" t="s">
        <v>161</v>
      </c>
      <c r="BO609">
        <v>1</v>
      </c>
      <c r="BP609" t="s">
        <v>205</v>
      </c>
      <c r="BR609" t="s">
        <v>150</v>
      </c>
      <c r="BS609">
        <v>38</v>
      </c>
      <c r="BT609">
        <v>0</v>
      </c>
      <c r="BU609">
        <v>0</v>
      </c>
      <c r="BW609">
        <v>0</v>
      </c>
      <c r="BY609" t="s">
        <v>106</v>
      </c>
      <c r="BZ609" t="s">
        <v>142</v>
      </c>
      <c r="CA609" t="s">
        <v>112</v>
      </c>
      <c r="CB609" t="s">
        <v>112</v>
      </c>
      <c r="CC609" t="s">
        <v>121</v>
      </c>
      <c r="CD609">
        <v>18847.080000000002</v>
      </c>
      <c r="CE609" t="s">
        <v>144</v>
      </c>
      <c r="CF609">
        <v>4000000</v>
      </c>
      <c r="CG609">
        <v>18609.48</v>
      </c>
      <c r="CH609">
        <v>0</v>
      </c>
      <c r="CI609" t="s">
        <v>112</v>
      </c>
      <c r="CJ609" t="s">
        <v>112</v>
      </c>
      <c r="CK609">
        <v>44657.56</v>
      </c>
      <c r="CL609">
        <v>3590508</v>
      </c>
      <c r="CM609">
        <v>0</v>
      </c>
      <c r="CN609">
        <v>1</v>
      </c>
      <c r="CO609">
        <v>3940251.94</v>
      </c>
      <c r="CP609">
        <v>51885.97</v>
      </c>
      <c r="CQ609" t="s">
        <v>145</v>
      </c>
      <c r="CR609">
        <v>51885.091187999999</v>
      </c>
      <c r="CS609">
        <v>2.7881</v>
      </c>
      <c r="CT609">
        <v>45</v>
      </c>
      <c r="CU609" t="s">
        <v>171</v>
      </c>
      <c r="CV609" t="s">
        <v>369</v>
      </c>
      <c r="CW609">
        <v>221</v>
      </c>
    </row>
    <row r="610" spans="1:101" x14ac:dyDescent="0.2">
      <c r="A610" t="s">
        <v>106</v>
      </c>
      <c r="B610" s="46">
        <v>45255</v>
      </c>
      <c r="C610" t="s">
        <v>914</v>
      </c>
      <c r="D610" t="s">
        <v>108</v>
      </c>
      <c r="E610" t="s">
        <v>915</v>
      </c>
      <c r="F610" t="s">
        <v>110</v>
      </c>
      <c r="G610" t="s">
        <v>111</v>
      </c>
      <c r="H610" t="s">
        <v>112</v>
      </c>
      <c r="I610" t="s">
        <v>112</v>
      </c>
      <c r="J610" t="s">
        <v>112</v>
      </c>
      <c r="K610" t="s">
        <v>150</v>
      </c>
      <c r="L610" t="s">
        <v>151</v>
      </c>
      <c r="M610" t="s">
        <v>112</v>
      </c>
      <c r="N610" t="s">
        <v>112</v>
      </c>
      <c r="O610">
        <v>1</v>
      </c>
      <c r="P610">
        <v>0</v>
      </c>
      <c r="Q610">
        <v>1</v>
      </c>
      <c r="R610">
        <v>33</v>
      </c>
      <c r="S610" t="s">
        <v>166</v>
      </c>
      <c r="T610" t="s">
        <v>152</v>
      </c>
      <c r="U610" t="s">
        <v>153</v>
      </c>
      <c r="V610" t="s">
        <v>154</v>
      </c>
      <c r="W610" t="s">
        <v>119</v>
      </c>
      <c r="X610" t="s">
        <v>112</v>
      </c>
      <c r="Y610" t="s">
        <v>166</v>
      </c>
      <c r="Z610" t="s">
        <v>152</v>
      </c>
      <c r="AA610" t="s">
        <v>153</v>
      </c>
      <c r="AB610" t="s">
        <v>154</v>
      </c>
      <c r="AC610" t="s">
        <v>119</v>
      </c>
      <c r="AD610" t="s">
        <v>112</v>
      </c>
      <c r="AE610" t="s">
        <v>121</v>
      </c>
      <c r="AF610" t="s">
        <v>122</v>
      </c>
      <c r="AG610">
        <v>3961471.34</v>
      </c>
      <c r="AH610" t="s">
        <v>166</v>
      </c>
      <c r="AI610" t="s">
        <v>152</v>
      </c>
      <c r="AJ610" t="s">
        <v>153</v>
      </c>
      <c r="AK610" t="s">
        <v>154</v>
      </c>
      <c r="AL610" t="s">
        <v>119</v>
      </c>
      <c r="AM610" t="s">
        <v>112</v>
      </c>
      <c r="AN610" t="s">
        <v>121</v>
      </c>
      <c r="AO610" t="s">
        <v>122</v>
      </c>
      <c r="AP610" t="s">
        <v>122</v>
      </c>
      <c r="AQ610" t="s">
        <v>124</v>
      </c>
      <c r="AR610" t="s">
        <v>125</v>
      </c>
      <c r="AS610">
        <v>2</v>
      </c>
      <c r="AT610" t="s">
        <v>126</v>
      </c>
      <c r="AU610" t="s">
        <v>155</v>
      </c>
      <c r="AV610" t="s">
        <v>156</v>
      </c>
      <c r="AW610">
        <v>1</v>
      </c>
      <c r="AX610" t="s">
        <v>129</v>
      </c>
      <c r="AY610">
        <v>44921.48</v>
      </c>
      <c r="AZ610">
        <v>3611727</v>
      </c>
      <c r="BA610">
        <v>52165.39</v>
      </c>
      <c r="BB610">
        <v>80.400899999999993</v>
      </c>
      <c r="BC610" t="s">
        <v>130</v>
      </c>
      <c r="BD610" t="s">
        <v>112</v>
      </c>
      <c r="BE610" t="s">
        <v>157</v>
      </c>
      <c r="BF610" t="s">
        <v>133</v>
      </c>
      <c r="BG610" t="s">
        <v>134</v>
      </c>
      <c r="BH610" t="s">
        <v>112</v>
      </c>
      <c r="BI610" t="s">
        <v>112</v>
      </c>
      <c r="BJ610" t="s">
        <v>112</v>
      </c>
      <c r="BK610" t="s">
        <v>169</v>
      </c>
      <c r="BL610" t="s">
        <v>159</v>
      </c>
      <c r="BM610" t="s">
        <v>212</v>
      </c>
      <c r="BN610" t="s">
        <v>161</v>
      </c>
      <c r="BO610">
        <v>1</v>
      </c>
      <c r="BP610" t="s">
        <v>232</v>
      </c>
      <c r="BR610" t="s">
        <v>150</v>
      </c>
      <c r="BS610">
        <v>33</v>
      </c>
      <c r="BT610">
        <v>0</v>
      </c>
      <c r="BU610">
        <v>0</v>
      </c>
      <c r="BW610">
        <v>0</v>
      </c>
      <c r="BY610" t="s">
        <v>106</v>
      </c>
      <c r="BZ610" t="s">
        <v>142</v>
      </c>
      <c r="CA610" t="s">
        <v>112</v>
      </c>
      <c r="CB610" t="s">
        <v>112</v>
      </c>
      <c r="CC610" t="s">
        <v>121</v>
      </c>
      <c r="CD610">
        <v>15798.26</v>
      </c>
      <c r="CE610" t="s">
        <v>144</v>
      </c>
      <c r="CF610">
        <v>4000000</v>
      </c>
      <c r="CG610">
        <v>15578.66</v>
      </c>
      <c r="CH610">
        <v>0</v>
      </c>
      <c r="CI610" t="s">
        <v>112</v>
      </c>
      <c r="CJ610" t="s">
        <v>112</v>
      </c>
      <c r="CK610">
        <v>44921.48</v>
      </c>
      <c r="CL610">
        <v>3611727</v>
      </c>
      <c r="CM610">
        <v>0</v>
      </c>
      <c r="CN610">
        <v>1</v>
      </c>
      <c r="CO610">
        <v>3961471.34</v>
      </c>
      <c r="CP610">
        <v>52165.39</v>
      </c>
      <c r="CQ610" t="s">
        <v>145</v>
      </c>
      <c r="CR610">
        <v>52165.14301</v>
      </c>
      <c r="CS610">
        <v>3.3485</v>
      </c>
      <c r="CT610">
        <v>45</v>
      </c>
      <c r="CU610" t="s">
        <v>171</v>
      </c>
      <c r="CV610" t="s">
        <v>350</v>
      </c>
      <c r="CW610">
        <v>248</v>
      </c>
    </row>
    <row r="611" spans="1:101" x14ac:dyDescent="0.2">
      <c r="A611" t="s">
        <v>106</v>
      </c>
      <c r="B611" s="46">
        <v>44810</v>
      </c>
      <c r="C611" t="s">
        <v>550</v>
      </c>
      <c r="D611" t="s">
        <v>108</v>
      </c>
      <c r="E611" t="s">
        <v>551</v>
      </c>
      <c r="F611" t="s">
        <v>110</v>
      </c>
      <c r="G611" t="s">
        <v>111</v>
      </c>
      <c r="H611" t="s">
        <v>112</v>
      </c>
      <c r="I611" t="s">
        <v>112</v>
      </c>
      <c r="J611" t="s">
        <v>112</v>
      </c>
      <c r="K611" t="s">
        <v>175</v>
      </c>
      <c r="L611" t="s">
        <v>552</v>
      </c>
      <c r="M611" t="s">
        <v>112</v>
      </c>
      <c r="N611" t="s">
        <v>112</v>
      </c>
      <c r="O611">
        <v>1</v>
      </c>
      <c r="P611">
        <v>0</v>
      </c>
      <c r="Q611">
        <v>1</v>
      </c>
      <c r="R611">
        <v>33</v>
      </c>
      <c r="S611" t="s">
        <v>166</v>
      </c>
      <c r="T611" t="s">
        <v>152</v>
      </c>
      <c r="U611" t="s">
        <v>153</v>
      </c>
      <c r="V611" t="s">
        <v>154</v>
      </c>
      <c r="W611" t="s">
        <v>119</v>
      </c>
      <c r="X611" t="s">
        <v>112</v>
      </c>
      <c r="Y611" t="s">
        <v>166</v>
      </c>
      <c r="Z611" t="s">
        <v>152</v>
      </c>
      <c r="AA611" t="s">
        <v>153</v>
      </c>
      <c r="AB611" t="s">
        <v>154</v>
      </c>
      <c r="AC611" t="s">
        <v>119</v>
      </c>
      <c r="AD611" t="s">
        <v>112</v>
      </c>
      <c r="AE611" t="s">
        <v>121</v>
      </c>
      <c r="AF611" t="s">
        <v>122</v>
      </c>
      <c r="AG611">
        <v>3761943.93</v>
      </c>
      <c r="AH611" t="s">
        <v>166</v>
      </c>
      <c r="AI611" t="s">
        <v>152</v>
      </c>
      <c r="AJ611" t="s">
        <v>153</v>
      </c>
      <c r="AK611" t="s">
        <v>154</v>
      </c>
      <c r="AL611" t="s">
        <v>119</v>
      </c>
      <c r="AM611" t="s">
        <v>112</v>
      </c>
      <c r="AN611" t="s">
        <v>121</v>
      </c>
      <c r="AO611" t="s">
        <v>122</v>
      </c>
      <c r="AP611" t="s">
        <v>122</v>
      </c>
      <c r="AQ611" t="s">
        <v>124</v>
      </c>
      <c r="AR611" t="s">
        <v>125</v>
      </c>
      <c r="AS611">
        <v>2</v>
      </c>
      <c r="AT611" t="s">
        <v>126</v>
      </c>
      <c r="AU611" t="s">
        <v>155</v>
      </c>
      <c r="AV611" t="s">
        <v>156</v>
      </c>
      <c r="AW611">
        <v>1</v>
      </c>
      <c r="AX611" t="s">
        <v>129</v>
      </c>
      <c r="AY611">
        <v>43846.559999999998</v>
      </c>
      <c r="AZ611">
        <v>3422408</v>
      </c>
      <c r="BA611">
        <v>51680.52</v>
      </c>
      <c r="BB611">
        <v>78.054199999999994</v>
      </c>
      <c r="BC611" t="s">
        <v>130</v>
      </c>
      <c r="BD611" t="s">
        <v>112</v>
      </c>
      <c r="BE611" t="s">
        <v>157</v>
      </c>
      <c r="BF611" t="s">
        <v>133</v>
      </c>
      <c r="BG611" t="s">
        <v>134</v>
      </c>
      <c r="BH611" t="s">
        <v>112</v>
      </c>
      <c r="BI611" t="s">
        <v>112</v>
      </c>
      <c r="BJ611" t="s">
        <v>112</v>
      </c>
      <c r="BK611" t="s">
        <v>169</v>
      </c>
      <c r="BL611" t="s">
        <v>159</v>
      </c>
      <c r="BM611" t="s">
        <v>212</v>
      </c>
      <c r="BN611" t="s">
        <v>161</v>
      </c>
      <c r="BO611">
        <v>1</v>
      </c>
      <c r="BP611" t="s">
        <v>162</v>
      </c>
      <c r="BR611" t="s">
        <v>150</v>
      </c>
      <c r="BS611">
        <v>33</v>
      </c>
      <c r="BT611">
        <v>0</v>
      </c>
      <c r="BU611">
        <v>0</v>
      </c>
      <c r="BW611">
        <v>0</v>
      </c>
      <c r="BY611" t="s">
        <v>106</v>
      </c>
      <c r="BZ611" t="s">
        <v>142</v>
      </c>
      <c r="CA611" t="s">
        <v>112</v>
      </c>
      <c r="CB611" t="s">
        <v>112</v>
      </c>
      <c r="CC611" t="s">
        <v>121</v>
      </c>
      <c r="CD611">
        <v>17122.669999999998</v>
      </c>
      <c r="CE611" t="s">
        <v>144</v>
      </c>
      <c r="CF611">
        <v>4000000</v>
      </c>
      <c r="CG611">
        <v>17122.669999999998</v>
      </c>
      <c r="CH611">
        <v>0</v>
      </c>
      <c r="CI611" t="s">
        <v>112</v>
      </c>
      <c r="CJ611" t="s">
        <v>112</v>
      </c>
      <c r="CK611">
        <v>43846.559999999998</v>
      </c>
      <c r="CL611">
        <v>3422408</v>
      </c>
      <c r="CM611">
        <v>0</v>
      </c>
      <c r="CN611">
        <v>1</v>
      </c>
      <c r="CO611">
        <v>3761943.93</v>
      </c>
      <c r="CP611">
        <v>51680.52</v>
      </c>
      <c r="CQ611" t="s">
        <v>145</v>
      </c>
      <c r="CR611">
        <v>51681.354860999993</v>
      </c>
      <c r="CS611">
        <v>3.0183</v>
      </c>
      <c r="CT611">
        <v>45</v>
      </c>
      <c r="CU611" t="s">
        <v>171</v>
      </c>
      <c r="CV611" t="s">
        <v>350</v>
      </c>
      <c r="CW611">
        <v>568</v>
      </c>
    </row>
    <row r="612" spans="1:101" x14ac:dyDescent="0.2">
      <c r="A612" t="s">
        <v>106</v>
      </c>
      <c r="B612" s="46">
        <v>44645</v>
      </c>
      <c r="C612" t="s">
        <v>544</v>
      </c>
      <c r="D612" t="s">
        <v>108</v>
      </c>
      <c r="E612" t="s">
        <v>545</v>
      </c>
      <c r="F612" t="s">
        <v>110</v>
      </c>
      <c r="G612" t="s">
        <v>111</v>
      </c>
      <c r="H612" t="s">
        <v>112</v>
      </c>
      <c r="I612" t="s">
        <v>112</v>
      </c>
      <c r="J612" t="s">
        <v>112</v>
      </c>
      <c r="K612" t="s">
        <v>150</v>
      </c>
      <c r="L612" t="s">
        <v>151</v>
      </c>
      <c r="M612" t="s">
        <v>112</v>
      </c>
      <c r="N612" t="s">
        <v>112</v>
      </c>
      <c r="O612">
        <v>1</v>
      </c>
      <c r="P612">
        <v>0</v>
      </c>
      <c r="Q612">
        <v>1</v>
      </c>
      <c r="R612">
        <v>33</v>
      </c>
      <c r="S612" t="s">
        <v>166</v>
      </c>
      <c r="T612" t="s">
        <v>152</v>
      </c>
      <c r="U612" t="s">
        <v>153</v>
      </c>
      <c r="V612" t="s">
        <v>154</v>
      </c>
      <c r="W612" t="s">
        <v>119</v>
      </c>
      <c r="X612" t="s">
        <v>112</v>
      </c>
      <c r="Y612" t="s">
        <v>166</v>
      </c>
      <c r="Z612" t="s">
        <v>152</v>
      </c>
      <c r="AA612" t="s">
        <v>153</v>
      </c>
      <c r="AB612" t="s">
        <v>154</v>
      </c>
      <c r="AC612" t="s">
        <v>119</v>
      </c>
      <c r="AD612" t="s">
        <v>112</v>
      </c>
      <c r="AE612" t="s">
        <v>121</v>
      </c>
      <c r="AF612" t="s">
        <v>122</v>
      </c>
      <c r="AG612">
        <v>3830547.33</v>
      </c>
      <c r="AH612" t="s">
        <v>166</v>
      </c>
      <c r="AI612" t="s">
        <v>152</v>
      </c>
      <c r="AJ612" t="s">
        <v>153</v>
      </c>
      <c r="AK612" t="s">
        <v>154</v>
      </c>
      <c r="AL612" t="s">
        <v>119</v>
      </c>
      <c r="AM612" t="s">
        <v>112</v>
      </c>
      <c r="AN612" t="s">
        <v>121</v>
      </c>
      <c r="AO612" t="s">
        <v>122</v>
      </c>
      <c r="AP612" t="s">
        <v>122</v>
      </c>
      <c r="AQ612" t="s">
        <v>124</v>
      </c>
      <c r="AR612" t="s">
        <v>125</v>
      </c>
      <c r="AS612">
        <v>2</v>
      </c>
      <c r="AT612" t="s">
        <v>126</v>
      </c>
      <c r="AU612" t="s">
        <v>155</v>
      </c>
      <c r="AV612" t="s">
        <v>156</v>
      </c>
      <c r="AW612">
        <v>1</v>
      </c>
      <c r="AX612" t="s">
        <v>129</v>
      </c>
      <c r="AY612">
        <v>44725.48</v>
      </c>
      <c r="AZ612">
        <v>3491012</v>
      </c>
      <c r="BA612">
        <v>52622.97</v>
      </c>
      <c r="BB612">
        <v>78.054199999999994</v>
      </c>
      <c r="BC612" t="s">
        <v>130</v>
      </c>
      <c r="BD612" t="s">
        <v>112</v>
      </c>
      <c r="BE612" t="s">
        <v>157</v>
      </c>
      <c r="BF612" t="s">
        <v>133</v>
      </c>
      <c r="BG612" t="s">
        <v>134</v>
      </c>
      <c r="BH612" t="s">
        <v>112</v>
      </c>
      <c r="BI612" t="s">
        <v>112</v>
      </c>
      <c r="BJ612" t="s">
        <v>112</v>
      </c>
      <c r="BK612" t="s">
        <v>169</v>
      </c>
      <c r="BL612" t="s">
        <v>159</v>
      </c>
      <c r="BM612" t="s">
        <v>212</v>
      </c>
      <c r="BN612" t="s">
        <v>161</v>
      </c>
      <c r="BO612">
        <v>1</v>
      </c>
      <c r="BP612" t="s">
        <v>162</v>
      </c>
      <c r="BR612" t="s">
        <v>150</v>
      </c>
      <c r="BS612">
        <v>33</v>
      </c>
      <c r="BT612">
        <v>0</v>
      </c>
      <c r="BU612">
        <v>0</v>
      </c>
      <c r="BW612">
        <v>0</v>
      </c>
      <c r="BY612" t="s">
        <v>106</v>
      </c>
      <c r="BZ612" t="s">
        <v>142</v>
      </c>
      <c r="CA612" t="s">
        <v>112</v>
      </c>
      <c r="CB612" t="s">
        <v>112</v>
      </c>
      <c r="CC612" t="s">
        <v>121</v>
      </c>
      <c r="CD612">
        <v>16511.68</v>
      </c>
      <c r="CE612" t="s">
        <v>144</v>
      </c>
      <c r="CF612">
        <v>4000000</v>
      </c>
      <c r="CG612">
        <v>16457.68</v>
      </c>
      <c r="CH612">
        <v>0</v>
      </c>
      <c r="CI612" t="s">
        <v>112</v>
      </c>
      <c r="CJ612" t="s">
        <v>112</v>
      </c>
      <c r="CK612">
        <v>44725.48</v>
      </c>
      <c r="CL612">
        <v>3491012</v>
      </c>
      <c r="CM612">
        <v>0</v>
      </c>
      <c r="CN612">
        <v>1</v>
      </c>
      <c r="CO612">
        <v>3830547.33</v>
      </c>
      <c r="CP612">
        <v>52622.97</v>
      </c>
      <c r="CQ612" t="s">
        <v>145</v>
      </c>
      <c r="CR612">
        <v>52623.431799999998</v>
      </c>
      <c r="CS612">
        <v>3.1974999999999998</v>
      </c>
      <c r="CT612">
        <v>45</v>
      </c>
      <c r="CU612" t="s">
        <v>171</v>
      </c>
      <c r="CV612" t="s">
        <v>350</v>
      </c>
      <c r="CW612">
        <v>20</v>
      </c>
    </row>
    <row r="613" spans="1:101" x14ac:dyDescent="0.2">
      <c r="A613" t="s">
        <v>106</v>
      </c>
      <c r="B613" s="46">
        <v>44734</v>
      </c>
      <c r="C613" t="s">
        <v>548</v>
      </c>
      <c r="D613" t="s">
        <v>108</v>
      </c>
      <c r="E613" t="s">
        <v>549</v>
      </c>
      <c r="F613" t="s">
        <v>110</v>
      </c>
      <c r="G613" t="s">
        <v>111</v>
      </c>
      <c r="H613" t="s">
        <v>112</v>
      </c>
      <c r="I613" t="s">
        <v>112</v>
      </c>
      <c r="J613" t="s">
        <v>112</v>
      </c>
      <c r="K613" t="s">
        <v>150</v>
      </c>
      <c r="L613" t="s">
        <v>151</v>
      </c>
      <c r="M613" t="s">
        <v>112</v>
      </c>
      <c r="N613" t="s">
        <v>112</v>
      </c>
      <c r="O613">
        <v>1</v>
      </c>
      <c r="P613">
        <v>0</v>
      </c>
      <c r="Q613">
        <v>1</v>
      </c>
      <c r="R613">
        <v>33</v>
      </c>
      <c r="S613" t="s">
        <v>166</v>
      </c>
      <c r="T613" t="s">
        <v>152</v>
      </c>
      <c r="U613" t="s">
        <v>153</v>
      </c>
      <c r="V613" t="s">
        <v>154</v>
      </c>
      <c r="W613" t="s">
        <v>119</v>
      </c>
      <c r="X613" t="s">
        <v>112</v>
      </c>
      <c r="Y613" t="s">
        <v>166</v>
      </c>
      <c r="Z613" t="s">
        <v>152</v>
      </c>
      <c r="AA613" t="s">
        <v>153</v>
      </c>
      <c r="AB613" t="s">
        <v>154</v>
      </c>
      <c r="AC613" t="s">
        <v>119</v>
      </c>
      <c r="AD613" t="s">
        <v>112</v>
      </c>
      <c r="AE613" t="s">
        <v>121</v>
      </c>
      <c r="AF613" t="s">
        <v>122</v>
      </c>
      <c r="AG613">
        <v>3529219.87</v>
      </c>
      <c r="AH613" t="s">
        <v>166</v>
      </c>
      <c r="AI613" t="s">
        <v>152</v>
      </c>
      <c r="AJ613" t="s">
        <v>153</v>
      </c>
      <c r="AK613" t="s">
        <v>154</v>
      </c>
      <c r="AL613" t="s">
        <v>119</v>
      </c>
      <c r="AM613" t="s">
        <v>112</v>
      </c>
      <c r="AN613" t="s">
        <v>121</v>
      </c>
      <c r="AO613" t="s">
        <v>122</v>
      </c>
      <c r="AP613" t="s">
        <v>122</v>
      </c>
      <c r="AQ613" t="s">
        <v>124</v>
      </c>
      <c r="AR613" t="s">
        <v>125</v>
      </c>
      <c r="AS613">
        <v>2</v>
      </c>
      <c r="AT613" t="s">
        <v>126</v>
      </c>
      <c r="AU613" t="s">
        <v>155</v>
      </c>
      <c r="AV613" t="s">
        <v>156</v>
      </c>
      <c r="AW613">
        <v>1</v>
      </c>
      <c r="AX613" t="s">
        <v>129</v>
      </c>
      <c r="AY613">
        <v>40164.99</v>
      </c>
      <c r="AZ613">
        <v>3135046</v>
      </c>
      <c r="BA613">
        <v>48483.42</v>
      </c>
      <c r="BB613">
        <v>78.054199999999994</v>
      </c>
      <c r="BC613" t="s">
        <v>130</v>
      </c>
      <c r="BD613" t="s">
        <v>112</v>
      </c>
      <c r="BE613" t="s">
        <v>157</v>
      </c>
      <c r="BF613" t="s">
        <v>133</v>
      </c>
      <c r="BG613" t="s">
        <v>134</v>
      </c>
      <c r="BH613" t="s">
        <v>112</v>
      </c>
      <c r="BI613" t="s">
        <v>112</v>
      </c>
      <c r="BJ613" t="s">
        <v>112</v>
      </c>
      <c r="BK613" t="s">
        <v>169</v>
      </c>
      <c r="BL613" t="s">
        <v>159</v>
      </c>
      <c r="BM613" t="s">
        <v>212</v>
      </c>
      <c r="BN613" t="s">
        <v>161</v>
      </c>
      <c r="BO613">
        <v>1</v>
      </c>
      <c r="BP613" t="s">
        <v>205</v>
      </c>
      <c r="BR613" t="s">
        <v>150</v>
      </c>
      <c r="BS613">
        <v>33</v>
      </c>
      <c r="BT613">
        <v>0</v>
      </c>
      <c r="BU613">
        <v>0</v>
      </c>
      <c r="BW613">
        <v>0</v>
      </c>
      <c r="BY613" t="s">
        <v>106</v>
      </c>
      <c r="BZ613" t="s">
        <v>142</v>
      </c>
      <c r="CA613" t="s">
        <v>112</v>
      </c>
      <c r="CB613" t="s">
        <v>112</v>
      </c>
      <c r="CC613" t="s">
        <v>121</v>
      </c>
      <c r="CD613">
        <v>16346.46</v>
      </c>
      <c r="CE613" t="s">
        <v>144</v>
      </c>
      <c r="CF613">
        <v>4000000</v>
      </c>
      <c r="CG613">
        <v>16288.86</v>
      </c>
      <c r="CH613">
        <v>0</v>
      </c>
      <c r="CI613" t="s">
        <v>112</v>
      </c>
      <c r="CJ613" t="s">
        <v>112</v>
      </c>
      <c r="CK613">
        <v>40164.99</v>
      </c>
      <c r="CL613">
        <v>3135046</v>
      </c>
      <c r="CM613">
        <v>0</v>
      </c>
      <c r="CN613">
        <v>1</v>
      </c>
      <c r="CO613">
        <v>3529219.87</v>
      </c>
      <c r="CP613">
        <v>48483.42</v>
      </c>
      <c r="CQ613" t="s">
        <v>145</v>
      </c>
      <c r="CR613">
        <v>48483.791790000003</v>
      </c>
      <c r="CS613">
        <v>2.9765000000000001</v>
      </c>
      <c r="CT613">
        <v>45</v>
      </c>
      <c r="CU613" t="s">
        <v>171</v>
      </c>
      <c r="CV613" t="s">
        <v>463</v>
      </c>
      <c r="CW613">
        <v>563</v>
      </c>
    </row>
    <row r="614" spans="1:101" x14ac:dyDescent="0.2">
      <c r="A614" t="s">
        <v>106</v>
      </c>
      <c r="B614" s="46">
        <v>44622</v>
      </c>
      <c r="C614" t="s">
        <v>553</v>
      </c>
      <c r="D614" t="s">
        <v>108</v>
      </c>
      <c r="E614" t="s">
        <v>554</v>
      </c>
      <c r="F614" t="s">
        <v>110</v>
      </c>
      <c r="G614" t="s">
        <v>111</v>
      </c>
      <c r="H614" t="s">
        <v>112</v>
      </c>
      <c r="I614" t="s">
        <v>112</v>
      </c>
      <c r="J614" t="s">
        <v>112</v>
      </c>
      <c r="K614" t="s">
        <v>150</v>
      </c>
      <c r="L614" t="s">
        <v>151</v>
      </c>
      <c r="M614" t="s">
        <v>112</v>
      </c>
      <c r="N614" t="s">
        <v>112</v>
      </c>
      <c r="O614">
        <v>1</v>
      </c>
      <c r="P614">
        <v>0</v>
      </c>
      <c r="Q614">
        <v>1</v>
      </c>
      <c r="R614">
        <v>33</v>
      </c>
      <c r="S614" t="s">
        <v>166</v>
      </c>
      <c r="T614" t="s">
        <v>152</v>
      </c>
      <c r="U614" t="s">
        <v>153</v>
      </c>
      <c r="V614" t="s">
        <v>154</v>
      </c>
      <c r="W614" t="s">
        <v>119</v>
      </c>
      <c r="X614" t="s">
        <v>112</v>
      </c>
      <c r="Y614" t="s">
        <v>166</v>
      </c>
      <c r="Z614" t="s">
        <v>152</v>
      </c>
      <c r="AA614" t="s">
        <v>153</v>
      </c>
      <c r="AB614" t="s">
        <v>154</v>
      </c>
      <c r="AC614" t="s">
        <v>119</v>
      </c>
      <c r="AD614" t="s">
        <v>112</v>
      </c>
      <c r="AE614" t="s">
        <v>121</v>
      </c>
      <c r="AF614" t="s">
        <v>122</v>
      </c>
      <c r="AG614">
        <v>3769840.68</v>
      </c>
      <c r="AH614" t="s">
        <v>166</v>
      </c>
      <c r="AI614" t="s">
        <v>152</v>
      </c>
      <c r="AJ614" t="s">
        <v>153</v>
      </c>
      <c r="AK614" t="s">
        <v>154</v>
      </c>
      <c r="AL614" t="s">
        <v>119</v>
      </c>
      <c r="AM614" t="s">
        <v>112</v>
      </c>
      <c r="AN614" t="s">
        <v>121</v>
      </c>
      <c r="AO614" t="s">
        <v>122</v>
      </c>
      <c r="AP614" t="s">
        <v>122</v>
      </c>
      <c r="AQ614" t="s">
        <v>124</v>
      </c>
      <c r="AR614" t="s">
        <v>125</v>
      </c>
      <c r="AS614">
        <v>2</v>
      </c>
      <c r="AT614" t="s">
        <v>126</v>
      </c>
      <c r="AU614" t="s">
        <v>155</v>
      </c>
      <c r="AV614" t="s">
        <v>156</v>
      </c>
      <c r="AW614">
        <v>1</v>
      </c>
      <c r="AX614" t="s">
        <v>129</v>
      </c>
      <c r="AY614">
        <v>43947.73</v>
      </c>
      <c r="AZ614">
        <v>3430305</v>
      </c>
      <c r="BA614">
        <v>51789</v>
      </c>
      <c r="BB614">
        <v>78.054199999999994</v>
      </c>
      <c r="BC614" t="s">
        <v>130</v>
      </c>
      <c r="BD614" t="s">
        <v>112</v>
      </c>
      <c r="BE614" t="s">
        <v>157</v>
      </c>
      <c r="BF614" t="s">
        <v>133</v>
      </c>
      <c r="BG614" t="s">
        <v>134</v>
      </c>
      <c r="BH614" t="s">
        <v>112</v>
      </c>
      <c r="BI614" t="s">
        <v>112</v>
      </c>
      <c r="BJ614" t="s">
        <v>112</v>
      </c>
      <c r="BK614" t="s">
        <v>169</v>
      </c>
      <c r="BL614" t="s">
        <v>159</v>
      </c>
      <c r="BM614" t="s">
        <v>212</v>
      </c>
      <c r="BN614" t="s">
        <v>161</v>
      </c>
      <c r="BO614">
        <v>1</v>
      </c>
      <c r="BP614" t="s">
        <v>555</v>
      </c>
      <c r="BR614" t="s">
        <v>150</v>
      </c>
      <c r="BS614">
        <v>33</v>
      </c>
      <c r="BT614">
        <v>0</v>
      </c>
      <c r="BU614">
        <v>0</v>
      </c>
      <c r="BW614">
        <v>0</v>
      </c>
      <c r="BY614" t="s">
        <v>106</v>
      </c>
      <c r="BZ614" t="s">
        <v>142</v>
      </c>
      <c r="CA614" t="s">
        <v>112</v>
      </c>
      <c r="CB614" t="s">
        <v>112</v>
      </c>
      <c r="CC614" t="s">
        <v>121</v>
      </c>
      <c r="CD614">
        <v>17076.52</v>
      </c>
      <c r="CE614" t="s">
        <v>144</v>
      </c>
      <c r="CF614">
        <v>4000000</v>
      </c>
      <c r="CG614">
        <v>17076.52</v>
      </c>
      <c r="CH614">
        <v>0</v>
      </c>
      <c r="CI614" t="s">
        <v>112</v>
      </c>
      <c r="CJ614" t="s">
        <v>112</v>
      </c>
      <c r="CK614">
        <v>43947.73</v>
      </c>
      <c r="CL614">
        <v>3430305</v>
      </c>
      <c r="CM614">
        <v>0</v>
      </c>
      <c r="CN614">
        <v>1</v>
      </c>
      <c r="CO614">
        <v>3769840.68</v>
      </c>
      <c r="CP614">
        <v>51789</v>
      </c>
      <c r="CQ614" t="s">
        <v>145</v>
      </c>
      <c r="CR614">
        <v>51789.669856</v>
      </c>
      <c r="CS614">
        <v>3.0327999999999999</v>
      </c>
      <c r="CT614">
        <v>45</v>
      </c>
      <c r="CU614" t="s">
        <v>171</v>
      </c>
      <c r="CV614" t="s">
        <v>372</v>
      </c>
      <c r="CW614">
        <v>368</v>
      </c>
    </row>
    <row r="615" spans="1:101" x14ac:dyDescent="0.2">
      <c r="A615" t="s">
        <v>106</v>
      </c>
      <c r="B615" s="46">
        <v>44799</v>
      </c>
      <c r="C615" t="s">
        <v>556</v>
      </c>
      <c r="D615" t="s">
        <v>108</v>
      </c>
      <c r="E615" t="s">
        <v>557</v>
      </c>
      <c r="F615" t="s">
        <v>110</v>
      </c>
      <c r="G615" t="s">
        <v>111</v>
      </c>
      <c r="H615" t="s">
        <v>112</v>
      </c>
      <c r="I615" t="s">
        <v>112</v>
      </c>
      <c r="J615" t="s">
        <v>112</v>
      </c>
      <c r="K615" t="s">
        <v>150</v>
      </c>
      <c r="L615" t="s">
        <v>151</v>
      </c>
      <c r="M615" t="s">
        <v>112</v>
      </c>
      <c r="N615" t="s">
        <v>112</v>
      </c>
      <c r="O615">
        <v>1</v>
      </c>
      <c r="P615">
        <v>0</v>
      </c>
      <c r="Q615">
        <v>1</v>
      </c>
      <c r="R615">
        <v>33</v>
      </c>
      <c r="S615" t="s">
        <v>166</v>
      </c>
      <c r="T615" t="s">
        <v>152</v>
      </c>
      <c r="U615" t="s">
        <v>153</v>
      </c>
      <c r="V615" t="s">
        <v>154</v>
      </c>
      <c r="W615" t="s">
        <v>119</v>
      </c>
      <c r="X615" t="s">
        <v>112</v>
      </c>
      <c r="Y615" t="s">
        <v>166</v>
      </c>
      <c r="Z615" t="s">
        <v>152</v>
      </c>
      <c r="AA615" t="s">
        <v>153</v>
      </c>
      <c r="AB615" t="s">
        <v>154</v>
      </c>
      <c r="AC615" t="s">
        <v>119</v>
      </c>
      <c r="AD615" t="s">
        <v>112</v>
      </c>
      <c r="AE615" t="s">
        <v>121</v>
      </c>
      <c r="AF615" t="s">
        <v>122</v>
      </c>
      <c r="AG615">
        <v>3921085.52</v>
      </c>
      <c r="AH615" t="s">
        <v>166</v>
      </c>
      <c r="AI615" t="s">
        <v>152</v>
      </c>
      <c r="AJ615" t="s">
        <v>153</v>
      </c>
      <c r="AK615" t="s">
        <v>154</v>
      </c>
      <c r="AL615" t="s">
        <v>119</v>
      </c>
      <c r="AM615" t="s">
        <v>112</v>
      </c>
      <c r="AN615" t="s">
        <v>121</v>
      </c>
      <c r="AO615" t="s">
        <v>122</v>
      </c>
      <c r="AP615" t="s">
        <v>122</v>
      </c>
      <c r="AQ615" t="s">
        <v>124</v>
      </c>
      <c r="AR615" t="s">
        <v>125</v>
      </c>
      <c r="AS615">
        <v>2</v>
      </c>
      <c r="AT615" t="s">
        <v>126</v>
      </c>
      <c r="AU615" t="s">
        <v>155</v>
      </c>
      <c r="AV615" t="s">
        <v>156</v>
      </c>
      <c r="AW615">
        <v>1</v>
      </c>
      <c r="AX615" t="s">
        <v>129</v>
      </c>
      <c r="AY615">
        <v>45885.42</v>
      </c>
      <c r="AZ615">
        <v>3581550</v>
      </c>
      <c r="BA615">
        <v>53866.76</v>
      </c>
      <c r="BB615">
        <v>78.054199999999994</v>
      </c>
      <c r="BC615" t="s">
        <v>130</v>
      </c>
      <c r="BD615" t="s">
        <v>112</v>
      </c>
      <c r="BE615" t="s">
        <v>157</v>
      </c>
      <c r="BF615" t="s">
        <v>133</v>
      </c>
      <c r="BG615" t="s">
        <v>134</v>
      </c>
      <c r="BH615" t="s">
        <v>112</v>
      </c>
      <c r="BI615" t="s">
        <v>112</v>
      </c>
      <c r="BJ615" t="s">
        <v>112</v>
      </c>
      <c r="BK615" t="s">
        <v>169</v>
      </c>
      <c r="BL615" t="s">
        <v>159</v>
      </c>
      <c r="BM615" t="s">
        <v>212</v>
      </c>
      <c r="BN615" t="s">
        <v>161</v>
      </c>
      <c r="BO615">
        <v>1</v>
      </c>
      <c r="BP615" t="s">
        <v>558</v>
      </c>
      <c r="BR615" t="s">
        <v>150</v>
      </c>
      <c r="BS615">
        <v>33</v>
      </c>
      <c r="BT615">
        <v>0</v>
      </c>
      <c r="BU615">
        <v>0</v>
      </c>
      <c r="BW615">
        <v>0</v>
      </c>
      <c r="BY615" t="s">
        <v>106</v>
      </c>
      <c r="BZ615" t="s">
        <v>142</v>
      </c>
      <c r="CA615" t="s">
        <v>112</v>
      </c>
      <c r="CB615" t="s">
        <v>112</v>
      </c>
      <c r="CC615" t="s">
        <v>121</v>
      </c>
      <c r="CD615">
        <v>16618.09</v>
      </c>
      <c r="CE615" t="s">
        <v>144</v>
      </c>
      <c r="CF615">
        <v>4000000</v>
      </c>
      <c r="CG615">
        <v>16618.09</v>
      </c>
      <c r="CH615">
        <v>0</v>
      </c>
      <c r="CI615" t="s">
        <v>112</v>
      </c>
      <c r="CJ615" t="s">
        <v>112</v>
      </c>
      <c r="CK615">
        <v>45885.42</v>
      </c>
      <c r="CL615">
        <v>3581550</v>
      </c>
      <c r="CM615">
        <v>0</v>
      </c>
      <c r="CN615">
        <v>1</v>
      </c>
      <c r="CO615">
        <v>3921085.52</v>
      </c>
      <c r="CP615">
        <v>53866.76</v>
      </c>
      <c r="CQ615" t="s">
        <v>145</v>
      </c>
      <c r="CR615">
        <v>53867.538734999995</v>
      </c>
      <c r="CS615">
        <v>3.2414999999999998</v>
      </c>
      <c r="CT615">
        <v>45</v>
      </c>
      <c r="CU615" t="s">
        <v>171</v>
      </c>
      <c r="CV615" t="s">
        <v>350</v>
      </c>
      <c r="CW615">
        <v>568</v>
      </c>
    </row>
    <row r="616" spans="1:101" x14ac:dyDescent="0.2">
      <c r="A616" t="s">
        <v>106</v>
      </c>
      <c r="B616" s="46">
        <v>44785</v>
      </c>
      <c r="C616" t="s">
        <v>248</v>
      </c>
      <c r="D616" t="s">
        <v>108</v>
      </c>
      <c r="E616" t="s">
        <v>249</v>
      </c>
      <c r="F616" t="s">
        <v>110</v>
      </c>
      <c r="G616" t="s">
        <v>111</v>
      </c>
      <c r="H616" t="s">
        <v>112</v>
      </c>
      <c r="I616" t="s">
        <v>112</v>
      </c>
      <c r="J616" t="s">
        <v>112</v>
      </c>
      <c r="K616" t="s">
        <v>175</v>
      </c>
      <c r="L616" t="s">
        <v>176</v>
      </c>
      <c r="M616" t="s">
        <v>112</v>
      </c>
      <c r="N616" t="s">
        <v>112</v>
      </c>
      <c r="O616">
        <v>1</v>
      </c>
      <c r="P616">
        <v>0</v>
      </c>
      <c r="Q616">
        <v>1</v>
      </c>
      <c r="R616">
        <v>33</v>
      </c>
      <c r="S616" t="s">
        <v>166</v>
      </c>
      <c r="T616" t="s">
        <v>152</v>
      </c>
      <c r="U616" t="s">
        <v>153</v>
      </c>
      <c r="V616" t="s">
        <v>177</v>
      </c>
      <c r="W616" t="s">
        <v>119</v>
      </c>
      <c r="X616" t="s">
        <v>112</v>
      </c>
      <c r="Y616" t="s">
        <v>166</v>
      </c>
      <c r="Z616" t="s">
        <v>152</v>
      </c>
      <c r="AA616" t="s">
        <v>153</v>
      </c>
      <c r="AB616" t="s">
        <v>177</v>
      </c>
      <c r="AC616" t="s">
        <v>119</v>
      </c>
      <c r="AD616" t="s">
        <v>112</v>
      </c>
      <c r="AE616" t="s">
        <v>121</v>
      </c>
      <c r="AF616" t="s">
        <v>122</v>
      </c>
      <c r="AG616">
        <v>3479788.83</v>
      </c>
      <c r="AH616" t="s">
        <v>166</v>
      </c>
      <c r="AI616" t="s">
        <v>152</v>
      </c>
      <c r="AJ616" t="s">
        <v>153</v>
      </c>
      <c r="AK616" t="s">
        <v>177</v>
      </c>
      <c r="AL616" t="s">
        <v>119</v>
      </c>
      <c r="AM616" t="s">
        <v>112</v>
      </c>
      <c r="AN616" t="s">
        <v>121</v>
      </c>
      <c r="AO616" t="s">
        <v>122</v>
      </c>
      <c r="AP616" t="s">
        <v>122</v>
      </c>
      <c r="AQ616" t="s">
        <v>124</v>
      </c>
      <c r="AR616" t="s">
        <v>125</v>
      </c>
      <c r="AS616">
        <v>2</v>
      </c>
      <c r="AT616" t="s">
        <v>106</v>
      </c>
      <c r="AU616" t="s">
        <v>155</v>
      </c>
      <c r="AV616" t="s">
        <v>156</v>
      </c>
      <c r="AW616">
        <v>1</v>
      </c>
      <c r="AX616" t="s">
        <v>129</v>
      </c>
      <c r="AY616">
        <v>44271.54</v>
      </c>
      <c r="AZ616">
        <v>3222561</v>
      </c>
      <c r="BA616">
        <v>51341.36</v>
      </c>
      <c r="BB616">
        <v>72.790800000000004</v>
      </c>
      <c r="BC616" t="s">
        <v>130</v>
      </c>
      <c r="BD616" t="s">
        <v>112</v>
      </c>
      <c r="BE616" t="s">
        <v>157</v>
      </c>
      <c r="BF616" t="s">
        <v>133</v>
      </c>
      <c r="BG616" t="s">
        <v>134</v>
      </c>
      <c r="BH616" t="s">
        <v>112</v>
      </c>
      <c r="BI616" t="s">
        <v>178</v>
      </c>
      <c r="BJ616" t="s">
        <v>112</v>
      </c>
      <c r="BK616" t="s">
        <v>125</v>
      </c>
      <c r="BL616" t="s">
        <v>179</v>
      </c>
      <c r="BM616" t="s">
        <v>180</v>
      </c>
      <c r="BN616" t="s">
        <v>181</v>
      </c>
      <c r="BO616">
        <v>1</v>
      </c>
      <c r="BP616" t="s">
        <v>199</v>
      </c>
      <c r="BR616" t="s">
        <v>150</v>
      </c>
      <c r="BS616">
        <v>33</v>
      </c>
      <c r="BT616">
        <v>1</v>
      </c>
      <c r="BU616">
        <v>0</v>
      </c>
      <c r="BW616">
        <v>0</v>
      </c>
      <c r="BY616" t="s">
        <v>106</v>
      </c>
      <c r="BZ616" t="s">
        <v>142</v>
      </c>
      <c r="CA616" t="s">
        <v>112</v>
      </c>
      <c r="CB616" t="s">
        <v>112</v>
      </c>
      <c r="CC616" t="s">
        <v>121</v>
      </c>
      <c r="CD616">
        <v>17008.650000000001</v>
      </c>
      <c r="CE616" t="s">
        <v>144</v>
      </c>
      <c r="CF616">
        <v>4000000</v>
      </c>
      <c r="CG616">
        <v>16990.650000000001</v>
      </c>
      <c r="CH616">
        <v>0</v>
      </c>
      <c r="CI616" t="s">
        <v>112</v>
      </c>
      <c r="CJ616" t="s">
        <v>112</v>
      </c>
      <c r="CK616">
        <v>44271.54</v>
      </c>
      <c r="CL616">
        <v>3222561</v>
      </c>
      <c r="CM616">
        <v>0</v>
      </c>
      <c r="CN616">
        <v>1</v>
      </c>
      <c r="CO616">
        <v>3479788.83</v>
      </c>
      <c r="CP616">
        <v>51341.36</v>
      </c>
      <c r="CQ616" t="s">
        <v>145</v>
      </c>
      <c r="CR616">
        <v>51340.647105000004</v>
      </c>
      <c r="CS616">
        <v>3.0217000000000001</v>
      </c>
      <c r="CT616">
        <v>941</v>
      </c>
      <c r="CU616" t="s">
        <v>183</v>
      </c>
      <c r="CV616" t="s">
        <v>190</v>
      </c>
      <c r="CW616">
        <v>252</v>
      </c>
    </row>
    <row r="617" spans="1:101" x14ac:dyDescent="0.2">
      <c r="A617" t="s">
        <v>106</v>
      </c>
      <c r="B617" s="46">
        <v>45235</v>
      </c>
      <c r="C617" t="s">
        <v>234</v>
      </c>
      <c r="D617" t="s">
        <v>108</v>
      </c>
      <c r="E617" t="s">
        <v>235</v>
      </c>
      <c r="F617" t="s">
        <v>110</v>
      </c>
      <c r="G617" t="s">
        <v>111</v>
      </c>
      <c r="H617" t="s">
        <v>112</v>
      </c>
      <c r="I617" t="s">
        <v>112</v>
      </c>
      <c r="J617" t="s">
        <v>112</v>
      </c>
      <c r="K617" t="s">
        <v>175</v>
      </c>
      <c r="L617" t="s">
        <v>176</v>
      </c>
      <c r="M617" t="s">
        <v>112</v>
      </c>
      <c r="N617" t="s">
        <v>112</v>
      </c>
      <c r="O617">
        <v>1</v>
      </c>
      <c r="P617">
        <v>0</v>
      </c>
      <c r="Q617">
        <v>1</v>
      </c>
      <c r="R617">
        <v>33</v>
      </c>
      <c r="S617" t="s">
        <v>166</v>
      </c>
      <c r="T617" t="s">
        <v>152</v>
      </c>
      <c r="U617" t="s">
        <v>153</v>
      </c>
      <c r="V617" t="s">
        <v>177</v>
      </c>
      <c r="W617" t="s">
        <v>119</v>
      </c>
      <c r="X617" t="s">
        <v>112</v>
      </c>
      <c r="Y617" t="s">
        <v>166</v>
      </c>
      <c r="Z617" t="s">
        <v>152</v>
      </c>
      <c r="AA617" t="s">
        <v>153</v>
      </c>
      <c r="AB617" t="s">
        <v>177</v>
      </c>
      <c r="AC617" t="s">
        <v>119</v>
      </c>
      <c r="AD617" t="s">
        <v>112</v>
      </c>
      <c r="AE617" t="s">
        <v>121</v>
      </c>
      <c r="AF617" t="s">
        <v>122</v>
      </c>
      <c r="AG617">
        <v>3488493.16</v>
      </c>
      <c r="AH617" t="s">
        <v>166</v>
      </c>
      <c r="AI617" t="s">
        <v>152</v>
      </c>
      <c r="AJ617" t="s">
        <v>153</v>
      </c>
      <c r="AK617" t="s">
        <v>177</v>
      </c>
      <c r="AL617" t="s">
        <v>119</v>
      </c>
      <c r="AM617" t="s">
        <v>112</v>
      </c>
      <c r="AN617" t="s">
        <v>121</v>
      </c>
      <c r="AO617" t="s">
        <v>122</v>
      </c>
      <c r="AP617" t="s">
        <v>122</v>
      </c>
      <c r="AQ617" t="s">
        <v>124</v>
      </c>
      <c r="AR617" t="s">
        <v>125</v>
      </c>
      <c r="AS617">
        <v>2</v>
      </c>
      <c r="AT617" t="s">
        <v>106</v>
      </c>
      <c r="AU617" t="s">
        <v>155</v>
      </c>
      <c r="AV617" t="s">
        <v>156</v>
      </c>
      <c r="AW617">
        <v>1</v>
      </c>
      <c r="AX617" t="s">
        <v>129</v>
      </c>
      <c r="AY617">
        <v>44391.12</v>
      </c>
      <c r="AZ617">
        <v>3231265</v>
      </c>
      <c r="BA617">
        <v>51469.78</v>
      </c>
      <c r="BB617">
        <v>72.790800000000004</v>
      </c>
      <c r="BC617" t="s">
        <v>130</v>
      </c>
      <c r="BD617" t="s">
        <v>112</v>
      </c>
      <c r="BE617" t="s">
        <v>157</v>
      </c>
      <c r="BF617" t="s">
        <v>133</v>
      </c>
      <c r="BG617" t="s">
        <v>134</v>
      </c>
      <c r="BH617" t="s">
        <v>112</v>
      </c>
      <c r="BI617" t="s">
        <v>178</v>
      </c>
      <c r="BJ617" t="s">
        <v>112</v>
      </c>
      <c r="BK617" t="s">
        <v>125</v>
      </c>
      <c r="BL617" t="s">
        <v>179</v>
      </c>
      <c r="BM617" t="s">
        <v>180</v>
      </c>
      <c r="BN617" t="s">
        <v>181</v>
      </c>
      <c r="BO617">
        <v>1</v>
      </c>
      <c r="BP617" t="s">
        <v>199</v>
      </c>
      <c r="BR617" t="s">
        <v>150</v>
      </c>
      <c r="BS617">
        <v>33</v>
      </c>
      <c r="BT617">
        <v>1</v>
      </c>
      <c r="BU617">
        <v>0</v>
      </c>
      <c r="BW617">
        <v>0</v>
      </c>
      <c r="BY617" t="s">
        <v>106</v>
      </c>
      <c r="BZ617" t="s">
        <v>142</v>
      </c>
      <c r="CA617" t="s">
        <v>112</v>
      </c>
      <c r="CB617" t="s">
        <v>112</v>
      </c>
      <c r="CC617" t="s">
        <v>121</v>
      </c>
      <c r="CD617">
        <v>17395.37</v>
      </c>
      <c r="CE617" t="s">
        <v>144</v>
      </c>
      <c r="CF617">
        <v>4000000</v>
      </c>
      <c r="CG617">
        <v>17395.37</v>
      </c>
      <c r="CH617">
        <v>0</v>
      </c>
      <c r="CI617" t="s">
        <v>112</v>
      </c>
      <c r="CJ617" t="s">
        <v>112</v>
      </c>
      <c r="CK617">
        <v>44391.12</v>
      </c>
      <c r="CL617">
        <v>3231265</v>
      </c>
      <c r="CM617">
        <v>0</v>
      </c>
      <c r="CN617">
        <v>1</v>
      </c>
      <c r="CO617">
        <v>3488493.16</v>
      </c>
      <c r="CP617">
        <v>51469.78</v>
      </c>
      <c r="CQ617" t="s">
        <v>145</v>
      </c>
      <c r="CR617">
        <v>51469.420756</v>
      </c>
      <c r="CS617">
        <v>2.9588000000000001</v>
      </c>
      <c r="CT617">
        <v>941</v>
      </c>
      <c r="CU617" t="s">
        <v>183</v>
      </c>
      <c r="CV617" t="s">
        <v>147</v>
      </c>
      <c r="CW617">
        <v>166</v>
      </c>
    </row>
    <row r="618" spans="1:101" x14ac:dyDescent="0.2">
      <c r="A618" t="s">
        <v>106</v>
      </c>
      <c r="B618" s="46">
        <v>45027</v>
      </c>
      <c r="C618" t="s">
        <v>222</v>
      </c>
      <c r="D618" t="s">
        <v>108</v>
      </c>
      <c r="E618" t="s">
        <v>223</v>
      </c>
      <c r="F618" t="s">
        <v>110</v>
      </c>
      <c r="G618" t="s">
        <v>111</v>
      </c>
      <c r="H618" t="s">
        <v>112</v>
      </c>
      <c r="I618" t="s">
        <v>112</v>
      </c>
      <c r="J618" t="s">
        <v>112</v>
      </c>
      <c r="K618" t="s">
        <v>175</v>
      </c>
      <c r="L618" t="s">
        <v>176</v>
      </c>
      <c r="M618" t="s">
        <v>112</v>
      </c>
      <c r="N618" t="s">
        <v>112</v>
      </c>
      <c r="O618">
        <v>1</v>
      </c>
      <c r="P618">
        <v>0</v>
      </c>
      <c r="Q618">
        <v>1</v>
      </c>
      <c r="R618">
        <v>33</v>
      </c>
      <c r="S618" t="s">
        <v>166</v>
      </c>
      <c r="T618" t="s">
        <v>152</v>
      </c>
      <c r="U618" t="s">
        <v>153</v>
      </c>
      <c r="V618" t="s">
        <v>177</v>
      </c>
      <c r="W618" t="s">
        <v>119</v>
      </c>
      <c r="X618" t="s">
        <v>112</v>
      </c>
      <c r="Y618" t="s">
        <v>166</v>
      </c>
      <c r="Z618" t="s">
        <v>152</v>
      </c>
      <c r="AA618" t="s">
        <v>153</v>
      </c>
      <c r="AB618" t="s">
        <v>177</v>
      </c>
      <c r="AC618" t="s">
        <v>119</v>
      </c>
      <c r="AD618" t="s">
        <v>112</v>
      </c>
      <c r="AE618" t="s">
        <v>121</v>
      </c>
      <c r="AF618" t="s">
        <v>122</v>
      </c>
      <c r="AG618">
        <v>3326408.43</v>
      </c>
      <c r="AH618" t="s">
        <v>166</v>
      </c>
      <c r="AI618" t="s">
        <v>152</v>
      </c>
      <c r="AJ618" t="s">
        <v>153</v>
      </c>
      <c r="AK618" t="s">
        <v>177</v>
      </c>
      <c r="AL618" t="s">
        <v>119</v>
      </c>
      <c r="AM618" t="s">
        <v>112</v>
      </c>
      <c r="AN618" t="s">
        <v>121</v>
      </c>
      <c r="AO618" t="s">
        <v>122</v>
      </c>
      <c r="AP618" t="s">
        <v>122</v>
      </c>
      <c r="AQ618" t="s">
        <v>124</v>
      </c>
      <c r="AR618" t="s">
        <v>125</v>
      </c>
      <c r="AS618">
        <v>2</v>
      </c>
      <c r="AT618" t="s">
        <v>106</v>
      </c>
      <c r="AU618" t="s">
        <v>155</v>
      </c>
      <c r="AV618" t="s">
        <v>156</v>
      </c>
      <c r="AW618">
        <v>1</v>
      </c>
      <c r="AX618" t="s">
        <v>129</v>
      </c>
      <c r="AY618">
        <v>42164.4</v>
      </c>
      <c r="AZ618">
        <v>3069180</v>
      </c>
      <c r="BA618">
        <v>49078.36</v>
      </c>
      <c r="BB618">
        <v>72.790800000000004</v>
      </c>
      <c r="BC618" t="s">
        <v>130</v>
      </c>
      <c r="BD618" t="s">
        <v>112</v>
      </c>
      <c r="BE618" t="s">
        <v>157</v>
      </c>
      <c r="BF618" t="s">
        <v>133</v>
      </c>
      <c r="BG618" t="s">
        <v>134</v>
      </c>
      <c r="BH618" t="s">
        <v>112</v>
      </c>
      <c r="BI618" t="s">
        <v>178</v>
      </c>
      <c r="BJ618" t="s">
        <v>112</v>
      </c>
      <c r="BK618" t="s">
        <v>125</v>
      </c>
      <c r="BL618" t="s">
        <v>179</v>
      </c>
      <c r="BM618" t="s">
        <v>180</v>
      </c>
      <c r="BN618" t="s">
        <v>181</v>
      </c>
      <c r="BO618">
        <v>1</v>
      </c>
      <c r="BP618" t="s">
        <v>199</v>
      </c>
      <c r="BR618" t="s">
        <v>150</v>
      </c>
      <c r="BS618">
        <v>33</v>
      </c>
      <c r="BT618">
        <v>1</v>
      </c>
      <c r="BU618">
        <v>0</v>
      </c>
      <c r="BW618">
        <v>0</v>
      </c>
      <c r="BY618" t="s">
        <v>106</v>
      </c>
      <c r="BZ618" t="s">
        <v>142</v>
      </c>
      <c r="CA618" t="s">
        <v>112</v>
      </c>
      <c r="CB618" t="s">
        <v>112</v>
      </c>
      <c r="CC618" t="s">
        <v>121</v>
      </c>
      <c r="CD618">
        <v>16959.509999999998</v>
      </c>
      <c r="CE618" t="s">
        <v>144</v>
      </c>
      <c r="CF618">
        <v>4000000</v>
      </c>
      <c r="CG618">
        <v>16959.509999999998</v>
      </c>
      <c r="CH618">
        <v>0</v>
      </c>
      <c r="CI618" t="s">
        <v>112</v>
      </c>
      <c r="CJ618" t="s">
        <v>112</v>
      </c>
      <c r="CK618">
        <v>42164.4</v>
      </c>
      <c r="CL618">
        <v>3069180</v>
      </c>
      <c r="CM618">
        <v>0</v>
      </c>
      <c r="CN618">
        <v>1</v>
      </c>
      <c r="CO618">
        <v>3326408.43</v>
      </c>
      <c r="CP618">
        <v>49078.36</v>
      </c>
      <c r="CQ618" t="s">
        <v>145</v>
      </c>
      <c r="CR618">
        <v>49079.125988999993</v>
      </c>
      <c r="CS618">
        <v>2.8938999999999999</v>
      </c>
      <c r="CT618">
        <v>941</v>
      </c>
      <c r="CU618" t="s">
        <v>183</v>
      </c>
      <c r="CV618" t="s">
        <v>147</v>
      </c>
      <c r="CW618">
        <v>344</v>
      </c>
    </row>
    <row r="619" spans="1:101" x14ac:dyDescent="0.2">
      <c r="A619" t="s">
        <v>106</v>
      </c>
      <c r="B619" s="46">
        <v>45189</v>
      </c>
      <c r="C619" t="s">
        <v>214</v>
      </c>
      <c r="D619" t="s">
        <v>108</v>
      </c>
      <c r="E619" t="s">
        <v>215</v>
      </c>
      <c r="F619" t="s">
        <v>110</v>
      </c>
      <c r="G619" t="s">
        <v>111</v>
      </c>
      <c r="H619" t="s">
        <v>112</v>
      </c>
      <c r="I619" t="s">
        <v>112</v>
      </c>
      <c r="J619" t="s">
        <v>112</v>
      </c>
      <c r="K619" t="s">
        <v>175</v>
      </c>
      <c r="L619" t="s">
        <v>176</v>
      </c>
      <c r="M619" t="s">
        <v>112</v>
      </c>
      <c r="N619" t="s">
        <v>112</v>
      </c>
      <c r="O619">
        <v>1</v>
      </c>
      <c r="P619">
        <v>0</v>
      </c>
      <c r="Q619">
        <v>1</v>
      </c>
      <c r="R619">
        <v>33</v>
      </c>
      <c r="S619" t="s">
        <v>166</v>
      </c>
      <c r="T619" t="s">
        <v>152</v>
      </c>
      <c r="U619" t="s">
        <v>153</v>
      </c>
      <c r="V619" t="s">
        <v>177</v>
      </c>
      <c r="W619" t="s">
        <v>119</v>
      </c>
      <c r="X619" t="s">
        <v>112</v>
      </c>
      <c r="Y619" t="s">
        <v>166</v>
      </c>
      <c r="Z619" t="s">
        <v>152</v>
      </c>
      <c r="AA619" t="s">
        <v>153</v>
      </c>
      <c r="AB619" t="s">
        <v>177</v>
      </c>
      <c r="AC619" t="s">
        <v>119</v>
      </c>
      <c r="AD619" t="s">
        <v>112</v>
      </c>
      <c r="AE619" t="s">
        <v>121</v>
      </c>
      <c r="AF619" t="s">
        <v>122</v>
      </c>
      <c r="AG619">
        <v>3714368.83</v>
      </c>
      <c r="AH619" t="s">
        <v>166</v>
      </c>
      <c r="AI619" t="s">
        <v>152</v>
      </c>
      <c r="AJ619" t="s">
        <v>153</v>
      </c>
      <c r="AK619" t="s">
        <v>177</v>
      </c>
      <c r="AL619" t="s">
        <v>119</v>
      </c>
      <c r="AM619" t="s">
        <v>112</v>
      </c>
      <c r="AN619" t="s">
        <v>121</v>
      </c>
      <c r="AO619" t="s">
        <v>122</v>
      </c>
      <c r="AP619" t="s">
        <v>122</v>
      </c>
      <c r="AQ619" t="s">
        <v>124</v>
      </c>
      <c r="AR619" t="s">
        <v>125</v>
      </c>
      <c r="AS619">
        <v>2</v>
      </c>
      <c r="AT619" t="s">
        <v>106</v>
      </c>
      <c r="AU619" t="s">
        <v>155</v>
      </c>
      <c r="AV619" t="s">
        <v>156</v>
      </c>
      <c r="AW619">
        <v>1</v>
      </c>
      <c r="AX619" t="s">
        <v>129</v>
      </c>
      <c r="AY619">
        <v>47494.2</v>
      </c>
      <c r="AZ619">
        <v>3457141</v>
      </c>
      <c r="BA619">
        <v>54802.39</v>
      </c>
      <c r="BB619">
        <v>72.790800000000004</v>
      </c>
      <c r="BC619" t="s">
        <v>130</v>
      </c>
      <c r="BD619" t="s">
        <v>112</v>
      </c>
      <c r="BE619" t="s">
        <v>157</v>
      </c>
      <c r="BF619" t="s">
        <v>133</v>
      </c>
      <c r="BG619" t="s">
        <v>134</v>
      </c>
      <c r="BH619" t="s">
        <v>112</v>
      </c>
      <c r="BI619" t="s">
        <v>178</v>
      </c>
      <c r="BJ619" t="s">
        <v>112</v>
      </c>
      <c r="BK619" t="s">
        <v>125</v>
      </c>
      <c r="BL619" t="s">
        <v>179</v>
      </c>
      <c r="BM619" t="s">
        <v>180</v>
      </c>
      <c r="BN619" t="s">
        <v>181</v>
      </c>
      <c r="BO619">
        <v>1</v>
      </c>
      <c r="BP619" t="s">
        <v>199</v>
      </c>
      <c r="BR619" t="s">
        <v>150</v>
      </c>
      <c r="BS619">
        <v>33</v>
      </c>
      <c r="BT619">
        <v>1</v>
      </c>
      <c r="BU619">
        <v>0</v>
      </c>
      <c r="BW619">
        <v>0</v>
      </c>
      <c r="BY619" t="s">
        <v>106</v>
      </c>
      <c r="BZ619" t="s">
        <v>142</v>
      </c>
      <c r="CA619" t="s">
        <v>112</v>
      </c>
      <c r="CB619" t="s">
        <v>112</v>
      </c>
      <c r="CC619" t="s">
        <v>121</v>
      </c>
      <c r="CD619">
        <v>15810.6</v>
      </c>
      <c r="CE619" t="s">
        <v>144</v>
      </c>
      <c r="CF619">
        <v>4000000</v>
      </c>
      <c r="CG619">
        <v>15736.2</v>
      </c>
      <c r="CH619">
        <v>0</v>
      </c>
      <c r="CI619" t="s">
        <v>112</v>
      </c>
      <c r="CJ619" t="s">
        <v>112</v>
      </c>
      <c r="CK619">
        <v>47494.2</v>
      </c>
      <c r="CL619">
        <v>3457141</v>
      </c>
      <c r="CM619">
        <v>0</v>
      </c>
      <c r="CN619">
        <v>1</v>
      </c>
      <c r="CO619">
        <v>3714368.83</v>
      </c>
      <c r="CP619">
        <v>54802.39</v>
      </c>
      <c r="CQ619" t="s">
        <v>145</v>
      </c>
      <c r="CR619">
        <v>54802.890120000004</v>
      </c>
      <c r="CS619">
        <v>3.4826000000000001</v>
      </c>
      <c r="CT619">
        <v>941</v>
      </c>
      <c r="CU619" t="s">
        <v>183</v>
      </c>
      <c r="CV619" t="s">
        <v>147</v>
      </c>
      <c r="CW619">
        <v>220</v>
      </c>
    </row>
    <row r="620" spans="1:101" x14ac:dyDescent="0.2">
      <c r="A620" t="s">
        <v>106</v>
      </c>
      <c r="B620" s="46">
        <v>44967</v>
      </c>
      <c r="C620" t="s">
        <v>218</v>
      </c>
      <c r="D620" t="s">
        <v>108</v>
      </c>
      <c r="E620" t="s">
        <v>219</v>
      </c>
      <c r="F620" t="s">
        <v>110</v>
      </c>
      <c r="G620" t="s">
        <v>111</v>
      </c>
      <c r="H620" t="s">
        <v>112</v>
      </c>
      <c r="I620" t="s">
        <v>112</v>
      </c>
      <c r="J620" t="s">
        <v>112</v>
      </c>
      <c r="K620" t="s">
        <v>175</v>
      </c>
      <c r="L620" t="s">
        <v>176</v>
      </c>
      <c r="M620" t="s">
        <v>112</v>
      </c>
      <c r="N620" t="s">
        <v>112</v>
      </c>
      <c r="O620">
        <v>1</v>
      </c>
      <c r="P620">
        <v>0</v>
      </c>
      <c r="Q620">
        <v>1</v>
      </c>
      <c r="R620">
        <v>33</v>
      </c>
      <c r="S620" t="s">
        <v>166</v>
      </c>
      <c r="T620" t="s">
        <v>152</v>
      </c>
      <c r="U620" t="s">
        <v>153</v>
      </c>
      <c r="V620" t="s">
        <v>177</v>
      </c>
      <c r="W620" t="s">
        <v>119</v>
      </c>
      <c r="X620" t="s">
        <v>112</v>
      </c>
      <c r="Y620" t="s">
        <v>166</v>
      </c>
      <c r="Z620" t="s">
        <v>152</v>
      </c>
      <c r="AA620" t="s">
        <v>153</v>
      </c>
      <c r="AB620" t="s">
        <v>177</v>
      </c>
      <c r="AC620" t="s">
        <v>119</v>
      </c>
      <c r="AD620" t="s">
        <v>112</v>
      </c>
      <c r="AE620" t="s">
        <v>121</v>
      </c>
      <c r="AF620" t="s">
        <v>122</v>
      </c>
      <c r="AG620">
        <v>3450173.17</v>
      </c>
      <c r="AH620" t="s">
        <v>166</v>
      </c>
      <c r="AI620" t="s">
        <v>152</v>
      </c>
      <c r="AJ620" t="s">
        <v>153</v>
      </c>
      <c r="AK620" t="s">
        <v>177</v>
      </c>
      <c r="AL620" t="s">
        <v>119</v>
      </c>
      <c r="AM620" t="s">
        <v>112</v>
      </c>
      <c r="AN620" t="s">
        <v>121</v>
      </c>
      <c r="AO620" t="s">
        <v>122</v>
      </c>
      <c r="AP620" t="s">
        <v>122</v>
      </c>
      <c r="AQ620" t="s">
        <v>124</v>
      </c>
      <c r="AR620" t="s">
        <v>125</v>
      </c>
      <c r="AS620">
        <v>2</v>
      </c>
      <c r="AT620" t="s">
        <v>106</v>
      </c>
      <c r="AU620" t="s">
        <v>155</v>
      </c>
      <c r="AV620" t="s">
        <v>156</v>
      </c>
      <c r="AW620">
        <v>1</v>
      </c>
      <c r="AX620" t="s">
        <v>129</v>
      </c>
      <c r="AY620">
        <v>43864.68</v>
      </c>
      <c r="AZ620">
        <v>3192945</v>
      </c>
      <c r="BA620">
        <v>50904.4</v>
      </c>
      <c r="BB620">
        <v>72.790800000000004</v>
      </c>
      <c r="BC620" t="s">
        <v>130</v>
      </c>
      <c r="BD620" t="s">
        <v>112</v>
      </c>
      <c r="BE620" t="s">
        <v>157</v>
      </c>
      <c r="BF620" t="s">
        <v>133</v>
      </c>
      <c r="BG620" t="s">
        <v>134</v>
      </c>
      <c r="BH620" t="s">
        <v>112</v>
      </c>
      <c r="BI620" t="s">
        <v>178</v>
      </c>
      <c r="BJ620" t="s">
        <v>112</v>
      </c>
      <c r="BK620" t="s">
        <v>125</v>
      </c>
      <c r="BL620" t="s">
        <v>179</v>
      </c>
      <c r="BM620" t="s">
        <v>180</v>
      </c>
      <c r="BN620" t="s">
        <v>181</v>
      </c>
      <c r="BO620">
        <v>1</v>
      </c>
      <c r="BP620" t="s">
        <v>199</v>
      </c>
      <c r="BR620" t="s">
        <v>150</v>
      </c>
      <c r="BS620">
        <v>33</v>
      </c>
      <c r="BT620">
        <v>1</v>
      </c>
      <c r="BU620">
        <v>0</v>
      </c>
      <c r="BW620">
        <v>0</v>
      </c>
      <c r="BY620" t="s">
        <v>106</v>
      </c>
      <c r="BZ620" t="s">
        <v>142</v>
      </c>
      <c r="CA620" t="s">
        <v>112</v>
      </c>
      <c r="CB620" t="s">
        <v>112</v>
      </c>
      <c r="CC620" t="s">
        <v>121</v>
      </c>
      <c r="CD620">
        <v>17481.84</v>
      </c>
      <c r="CE620" t="s">
        <v>144</v>
      </c>
      <c r="CF620">
        <v>4000000</v>
      </c>
      <c r="CG620">
        <v>17481.84</v>
      </c>
      <c r="CH620">
        <v>0</v>
      </c>
      <c r="CI620" t="s">
        <v>112</v>
      </c>
      <c r="CJ620" t="s">
        <v>112</v>
      </c>
      <c r="CK620">
        <v>43864.68</v>
      </c>
      <c r="CL620">
        <v>3192945</v>
      </c>
      <c r="CM620">
        <v>0</v>
      </c>
      <c r="CN620">
        <v>1</v>
      </c>
      <c r="CO620">
        <v>3450173.17</v>
      </c>
      <c r="CP620">
        <v>50904.4</v>
      </c>
      <c r="CQ620" t="s">
        <v>145</v>
      </c>
      <c r="CR620">
        <v>50903.621712</v>
      </c>
      <c r="CS620">
        <v>2.9117999999999999</v>
      </c>
      <c r="CT620">
        <v>941</v>
      </c>
      <c r="CU620" t="s">
        <v>183</v>
      </c>
      <c r="CV620" t="s">
        <v>147</v>
      </c>
      <c r="CW620">
        <v>77</v>
      </c>
    </row>
    <row r="621" spans="1:101" x14ac:dyDescent="0.2">
      <c r="A621" t="s">
        <v>106</v>
      </c>
      <c r="B621" s="46">
        <v>45229</v>
      </c>
      <c r="C621" t="s">
        <v>224</v>
      </c>
      <c r="D621" t="s">
        <v>108</v>
      </c>
      <c r="E621" t="s">
        <v>225</v>
      </c>
      <c r="F621" t="s">
        <v>110</v>
      </c>
      <c r="G621" t="s">
        <v>111</v>
      </c>
      <c r="H621" t="s">
        <v>112</v>
      </c>
      <c r="I621" t="s">
        <v>112</v>
      </c>
      <c r="J621" t="s">
        <v>112</v>
      </c>
      <c r="K621" t="s">
        <v>175</v>
      </c>
      <c r="L621" t="s">
        <v>176</v>
      </c>
      <c r="M621" t="s">
        <v>112</v>
      </c>
      <c r="N621" t="s">
        <v>112</v>
      </c>
      <c r="O621">
        <v>1</v>
      </c>
      <c r="P621">
        <v>0</v>
      </c>
      <c r="Q621">
        <v>1</v>
      </c>
      <c r="R621">
        <v>33</v>
      </c>
      <c r="S621" t="s">
        <v>166</v>
      </c>
      <c r="T621" t="s">
        <v>152</v>
      </c>
      <c r="U621" t="s">
        <v>153</v>
      </c>
      <c r="V621" t="s">
        <v>177</v>
      </c>
      <c r="W621" t="s">
        <v>119</v>
      </c>
      <c r="X621" t="s">
        <v>112</v>
      </c>
      <c r="Y621" t="s">
        <v>166</v>
      </c>
      <c r="Z621" t="s">
        <v>152</v>
      </c>
      <c r="AA621" t="s">
        <v>153</v>
      </c>
      <c r="AB621" t="s">
        <v>177</v>
      </c>
      <c r="AC621" t="s">
        <v>119</v>
      </c>
      <c r="AD621" t="s">
        <v>112</v>
      </c>
      <c r="AE621" t="s">
        <v>121</v>
      </c>
      <c r="AF621" t="s">
        <v>122</v>
      </c>
      <c r="AG621">
        <v>3443071.7</v>
      </c>
      <c r="AH621" t="s">
        <v>166</v>
      </c>
      <c r="AI621" t="s">
        <v>152</v>
      </c>
      <c r="AJ621" t="s">
        <v>153</v>
      </c>
      <c r="AK621" t="s">
        <v>177</v>
      </c>
      <c r="AL621" t="s">
        <v>119</v>
      </c>
      <c r="AM621" t="s">
        <v>112</v>
      </c>
      <c r="AN621" t="s">
        <v>121</v>
      </c>
      <c r="AO621" t="s">
        <v>122</v>
      </c>
      <c r="AP621" t="s">
        <v>122</v>
      </c>
      <c r="AQ621" t="s">
        <v>124</v>
      </c>
      <c r="AR621" t="s">
        <v>125</v>
      </c>
      <c r="AS621">
        <v>2</v>
      </c>
      <c r="AT621" t="s">
        <v>106</v>
      </c>
      <c r="AU621" t="s">
        <v>155</v>
      </c>
      <c r="AV621" t="s">
        <v>156</v>
      </c>
      <c r="AW621">
        <v>1</v>
      </c>
      <c r="AX621" t="s">
        <v>129</v>
      </c>
      <c r="AY621">
        <v>43767.12</v>
      </c>
      <c r="AZ621">
        <v>3185844</v>
      </c>
      <c r="BA621">
        <v>50799.63</v>
      </c>
      <c r="BB621">
        <v>72.790800000000004</v>
      </c>
      <c r="BC621" t="s">
        <v>130</v>
      </c>
      <c r="BD621" t="s">
        <v>112</v>
      </c>
      <c r="BE621" t="s">
        <v>157</v>
      </c>
      <c r="BF621" t="s">
        <v>133</v>
      </c>
      <c r="BG621" t="s">
        <v>134</v>
      </c>
      <c r="BH621" t="s">
        <v>112</v>
      </c>
      <c r="BI621" t="s">
        <v>178</v>
      </c>
      <c r="BJ621" t="s">
        <v>112</v>
      </c>
      <c r="BK621" t="s">
        <v>125</v>
      </c>
      <c r="BL621" t="s">
        <v>179</v>
      </c>
      <c r="BM621" t="s">
        <v>180</v>
      </c>
      <c r="BN621" t="s">
        <v>181</v>
      </c>
      <c r="BO621">
        <v>1</v>
      </c>
      <c r="BP621" t="s">
        <v>199</v>
      </c>
      <c r="BR621" t="s">
        <v>150</v>
      </c>
      <c r="BS621">
        <v>33</v>
      </c>
      <c r="BT621">
        <v>1</v>
      </c>
      <c r="BU621">
        <v>0</v>
      </c>
      <c r="BW621">
        <v>0</v>
      </c>
      <c r="BY621" t="s">
        <v>106</v>
      </c>
      <c r="BZ621" t="s">
        <v>142</v>
      </c>
      <c r="CA621" t="s">
        <v>112</v>
      </c>
      <c r="CB621" t="s">
        <v>112</v>
      </c>
      <c r="CC621" t="s">
        <v>121</v>
      </c>
      <c r="CD621">
        <v>16774.84</v>
      </c>
      <c r="CE621" t="s">
        <v>144</v>
      </c>
      <c r="CF621">
        <v>4000000</v>
      </c>
      <c r="CG621">
        <v>16666.84</v>
      </c>
      <c r="CH621">
        <v>0</v>
      </c>
      <c r="CI621" t="s">
        <v>112</v>
      </c>
      <c r="CJ621" t="s">
        <v>112</v>
      </c>
      <c r="CK621">
        <v>43767.12</v>
      </c>
      <c r="CL621">
        <v>3185844</v>
      </c>
      <c r="CM621">
        <v>0</v>
      </c>
      <c r="CN621">
        <v>1</v>
      </c>
      <c r="CO621">
        <v>3443071.7</v>
      </c>
      <c r="CP621">
        <v>50799.63</v>
      </c>
      <c r="CQ621" t="s">
        <v>145</v>
      </c>
      <c r="CR621">
        <v>50798.861635999994</v>
      </c>
      <c r="CS621">
        <v>3.0478999999999998</v>
      </c>
      <c r="CT621">
        <v>941</v>
      </c>
      <c r="CU621" t="s">
        <v>183</v>
      </c>
      <c r="CV621" t="s">
        <v>190</v>
      </c>
      <c r="CW621">
        <v>238</v>
      </c>
    </row>
    <row r="622" spans="1:101" x14ac:dyDescent="0.2">
      <c r="A622" t="s">
        <v>106</v>
      </c>
      <c r="B622" s="46">
        <v>45120</v>
      </c>
      <c r="C622" t="s">
        <v>226</v>
      </c>
      <c r="D622" t="s">
        <v>108</v>
      </c>
      <c r="E622" t="s">
        <v>227</v>
      </c>
      <c r="F622" t="s">
        <v>110</v>
      </c>
      <c r="G622" t="s">
        <v>111</v>
      </c>
      <c r="H622" t="s">
        <v>112</v>
      </c>
      <c r="I622" t="s">
        <v>112</v>
      </c>
      <c r="J622" t="s">
        <v>112</v>
      </c>
      <c r="K622" t="s">
        <v>175</v>
      </c>
      <c r="L622" t="s">
        <v>176</v>
      </c>
      <c r="M622" t="s">
        <v>112</v>
      </c>
      <c r="N622" t="s">
        <v>112</v>
      </c>
      <c r="O622">
        <v>1</v>
      </c>
      <c r="P622">
        <v>0</v>
      </c>
      <c r="Q622">
        <v>1</v>
      </c>
      <c r="R622">
        <v>33</v>
      </c>
      <c r="S622" t="s">
        <v>166</v>
      </c>
      <c r="T622" t="s">
        <v>152</v>
      </c>
      <c r="U622" t="s">
        <v>153</v>
      </c>
      <c r="V622" t="s">
        <v>177</v>
      </c>
      <c r="W622" t="s">
        <v>119</v>
      </c>
      <c r="X622" t="s">
        <v>112</v>
      </c>
      <c r="Y622" t="s">
        <v>166</v>
      </c>
      <c r="Z622" t="s">
        <v>152</v>
      </c>
      <c r="AA622" t="s">
        <v>153</v>
      </c>
      <c r="AB622" t="s">
        <v>177</v>
      </c>
      <c r="AC622" t="s">
        <v>119</v>
      </c>
      <c r="AD622" t="s">
        <v>112</v>
      </c>
      <c r="AE622" t="s">
        <v>121</v>
      </c>
      <c r="AF622" t="s">
        <v>122</v>
      </c>
      <c r="AG622">
        <v>3257236.79</v>
      </c>
      <c r="AH622" t="s">
        <v>166</v>
      </c>
      <c r="AI622" t="s">
        <v>152</v>
      </c>
      <c r="AJ622" t="s">
        <v>153</v>
      </c>
      <c r="AK622" t="s">
        <v>177</v>
      </c>
      <c r="AL622" t="s">
        <v>119</v>
      </c>
      <c r="AM622" t="s">
        <v>112</v>
      </c>
      <c r="AN622" t="s">
        <v>121</v>
      </c>
      <c r="AO622" t="s">
        <v>122</v>
      </c>
      <c r="AP622" t="s">
        <v>122</v>
      </c>
      <c r="AQ622" t="s">
        <v>124</v>
      </c>
      <c r="AR622" t="s">
        <v>125</v>
      </c>
      <c r="AS622">
        <v>2</v>
      </c>
      <c r="AT622" t="s">
        <v>106</v>
      </c>
      <c r="AU622" t="s">
        <v>155</v>
      </c>
      <c r="AV622" t="s">
        <v>156</v>
      </c>
      <c r="AW622">
        <v>1</v>
      </c>
      <c r="AX622" t="s">
        <v>129</v>
      </c>
      <c r="AY622">
        <v>41214.120000000003</v>
      </c>
      <c r="AZ622">
        <v>3000009</v>
      </c>
      <c r="BA622">
        <v>48057.79</v>
      </c>
      <c r="BB622">
        <v>72.790800000000004</v>
      </c>
      <c r="BC622" t="s">
        <v>130</v>
      </c>
      <c r="BD622" t="s">
        <v>112</v>
      </c>
      <c r="BE622" t="s">
        <v>157</v>
      </c>
      <c r="BF622" t="s">
        <v>133</v>
      </c>
      <c r="BG622" t="s">
        <v>134</v>
      </c>
      <c r="BH622" t="s">
        <v>112</v>
      </c>
      <c r="BI622" t="s">
        <v>178</v>
      </c>
      <c r="BJ622" t="s">
        <v>112</v>
      </c>
      <c r="BK622" t="s">
        <v>125</v>
      </c>
      <c r="BL622" t="s">
        <v>179</v>
      </c>
      <c r="BM622" t="s">
        <v>180</v>
      </c>
      <c r="BN622" t="s">
        <v>181</v>
      </c>
      <c r="BO622">
        <v>1</v>
      </c>
      <c r="BP622" t="s">
        <v>199</v>
      </c>
      <c r="BR622" t="s">
        <v>150</v>
      </c>
      <c r="BS622">
        <v>33</v>
      </c>
      <c r="BT622">
        <v>1</v>
      </c>
      <c r="BU622">
        <v>0</v>
      </c>
      <c r="BW622">
        <v>0</v>
      </c>
      <c r="BY622" t="s">
        <v>106</v>
      </c>
      <c r="BZ622" t="s">
        <v>142</v>
      </c>
      <c r="CA622" t="s">
        <v>112</v>
      </c>
      <c r="CB622" t="s">
        <v>112</v>
      </c>
      <c r="CC622" t="s">
        <v>121</v>
      </c>
      <c r="CD622">
        <v>16741.03</v>
      </c>
      <c r="CE622" t="s">
        <v>144</v>
      </c>
      <c r="CF622">
        <v>4000000</v>
      </c>
      <c r="CG622">
        <v>16741.03</v>
      </c>
      <c r="CH622">
        <v>0</v>
      </c>
      <c r="CI622" t="s">
        <v>112</v>
      </c>
      <c r="CJ622" t="s">
        <v>112</v>
      </c>
      <c r="CK622">
        <v>41214.120000000003</v>
      </c>
      <c r="CL622">
        <v>3000009</v>
      </c>
      <c r="CM622">
        <v>0</v>
      </c>
      <c r="CN622">
        <v>1</v>
      </c>
      <c r="CO622">
        <v>3257236.79</v>
      </c>
      <c r="CP622">
        <v>48057.79</v>
      </c>
      <c r="CQ622" t="s">
        <v>145</v>
      </c>
      <c r="CR622">
        <v>48058.474820999996</v>
      </c>
      <c r="CS622">
        <v>2.8706999999999998</v>
      </c>
      <c r="CT622">
        <v>941</v>
      </c>
      <c r="CU622" t="s">
        <v>183</v>
      </c>
      <c r="CV622" t="s">
        <v>147</v>
      </c>
      <c r="CW622">
        <v>4</v>
      </c>
    </row>
    <row r="623" spans="1:101" x14ac:dyDescent="0.2">
      <c r="A623" t="s">
        <v>106</v>
      </c>
      <c r="B623" s="46">
        <v>45286</v>
      </c>
      <c r="C623" t="s">
        <v>220</v>
      </c>
      <c r="D623" t="s">
        <v>108</v>
      </c>
      <c r="E623" t="s">
        <v>221</v>
      </c>
      <c r="F623" t="s">
        <v>110</v>
      </c>
      <c r="G623" t="s">
        <v>111</v>
      </c>
      <c r="H623" t="s">
        <v>112</v>
      </c>
      <c r="I623" t="s">
        <v>112</v>
      </c>
      <c r="J623" t="s">
        <v>112</v>
      </c>
      <c r="K623" t="s">
        <v>175</v>
      </c>
      <c r="L623" t="s">
        <v>176</v>
      </c>
      <c r="M623" t="s">
        <v>112</v>
      </c>
      <c r="N623" t="s">
        <v>112</v>
      </c>
      <c r="O623">
        <v>1</v>
      </c>
      <c r="P623">
        <v>0</v>
      </c>
      <c r="Q623">
        <v>1</v>
      </c>
      <c r="R623">
        <v>33</v>
      </c>
      <c r="S623" t="s">
        <v>166</v>
      </c>
      <c r="T623" t="s">
        <v>152</v>
      </c>
      <c r="U623" t="s">
        <v>153</v>
      </c>
      <c r="V623" t="s">
        <v>177</v>
      </c>
      <c r="W623" t="s">
        <v>119</v>
      </c>
      <c r="X623" t="s">
        <v>112</v>
      </c>
      <c r="Y623" t="s">
        <v>166</v>
      </c>
      <c r="Z623" t="s">
        <v>152</v>
      </c>
      <c r="AA623" t="s">
        <v>153</v>
      </c>
      <c r="AB623" t="s">
        <v>177</v>
      </c>
      <c r="AC623" t="s">
        <v>119</v>
      </c>
      <c r="AD623" t="s">
        <v>112</v>
      </c>
      <c r="AE623" t="s">
        <v>121</v>
      </c>
      <c r="AF623" t="s">
        <v>122</v>
      </c>
      <c r="AG623">
        <v>3511444.1</v>
      </c>
      <c r="AH623" t="s">
        <v>166</v>
      </c>
      <c r="AI623" t="s">
        <v>152</v>
      </c>
      <c r="AJ623" t="s">
        <v>153</v>
      </c>
      <c r="AK623" t="s">
        <v>177</v>
      </c>
      <c r="AL623" t="s">
        <v>119</v>
      </c>
      <c r="AM623" t="s">
        <v>112</v>
      </c>
      <c r="AN623" t="s">
        <v>121</v>
      </c>
      <c r="AO623" t="s">
        <v>122</v>
      </c>
      <c r="AP623" t="s">
        <v>122</v>
      </c>
      <c r="AQ623" t="s">
        <v>124</v>
      </c>
      <c r="AR623" t="s">
        <v>125</v>
      </c>
      <c r="AS623">
        <v>2</v>
      </c>
      <c r="AT623" t="s">
        <v>106</v>
      </c>
      <c r="AU623" t="s">
        <v>155</v>
      </c>
      <c r="AV623" t="s">
        <v>156</v>
      </c>
      <c r="AW623">
        <v>1</v>
      </c>
      <c r="AX623" t="s">
        <v>129</v>
      </c>
      <c r="AY623">
        <v>44706.42</v>
      </c>
      <c r="AZ623">
        <v>3254216</v>
      </c>
      <c r="BA623">
        <v>51808.4</v>
      </c>
      <c r="BB623">
        <v>72.790800000000004</v>
      </c>
      <c r="BC623" t="s">
        <v>130</v>
      </c>
      <c r="BD623" t="s">
        <v>112</v>
      </c>
      <c r="BE623" t="s">
        <v>157</v>
      </c>
      <c r="BF623" t="s">
        <v>133</v>
      </c>
      <c r="BG623" t="s">
        <v>134</v>
      </c>
      <c r="BH623" t="s">
        <v>112</v>
      </c>
      <c r="BI623" t="s">
        <v>178</v>
      </c>
      <c r="BJ623" t="s">
        <v>112</v>
      </c>
      <c r="BK623" t="s">
        <v>125</v>
      </c>
      <c r="BL623" t="s">
        <v>179</v>
      </c>
      <c r="BM623" t="s">
        <v>180</v>
      </c>
      <c r="BN623" t="s">
        <v>181</v>
      </c>
      <c r="BO623">
        <v>1</v>
      </c>
      <c r="BP623" t="s">
        <v>199</v>
      </c>
      <c r="BR623" t="s">
        <v>150</v>
      </c>
      <c r="BS623">
        <v>33</v>
      </c>
      <c r="BT623">
        <v>1</v>
      </c>
      <c r="BU623">
        <v>0</v>
      </c>
      <c r="BW623">
        <v>0</v>
      </c>
      <c r="BY623" t="s">
        <v>106</v>
      </c>
      <c r="BZ623" t="s">
        <v>142</v>
      </c>
      <c r="CA623" t="s">
        <v>112</v>
      </c>
      <c r="CB623" t="s">
        <v>112</v>
      </c>
      <c r="CC623" t="s">
        <v>121</v>
      </c>
      <c r="CD623">
        <v>17281.37</v>
      </c>
      <c r="CE623" t="s">
        <v>144</v>
      </c>
      <c r="CF623">
        <v>4000000</v>
      </c>
      <c r="CG623">
        <v>17281.37</v>
      </c>
      <c r="CH623">
        <v>0</v>
      </c>
      <c r="CI623" t="s">
        <v>112</v>
      </c>
      <c r="CJ623" t="s">
        <v>112</v>
      </c>
      <c r="CK623">
        <v>44706.42</v>
      </c>
      <c r="CL623">
        <v>3254216</v>
      </c>
      <c r="CM623">
        <v>0</v>
      </c>
      <c r="CN623">
        <v>1</v>
      </c>
      <c r="CO623">
        <v>3511444.1</v>
      </c>
      <c r="CP623">
        <v>51808.4</v>
      </c>
      <c r="CQ623" t="s">
        <v>145</v>
      </c>
      <c r="CR623">
        <v>51807.819122999994</v>
      </c>
      <c r="CS623">
        <v>2.9979</v>
      </c>
      <c r="CT623">
        <v>941</v>
      </c>
      <c r="CU623" t="s">
        <v>183</v>
      </c>
      <c r="CV623" t="s">
        <v>147</v>
      </c>
      <c r="CW623">
        <v>144</v>
      </c>
    </row>
    <row r="624" spans="1:101" x14ac:dyDescent="0.2">
      <c r="A624" t="s">
        <v>106</v>
      </c>
      <c r="B624" s="46">
        <v>45136</v>
      </c>
      <c r="C624" t="s">
        <v>228</v>
      </c>
      <c r="D624" t="s">
        <v>108</v>
      </c>
      <c r="E624" t="s">
        <v>229</v>
      </c>
      <c r="F624" t="s">
        <v>110</v>
      </c>
      <c r="G624" t="s">
        <v>111</v>
      </c>
      <c r="H624" t="s">
        <v>112</v>
      </c>
      <c r="I624" t="s">
        <v>112</v>
      </c>
      <c r="J624" t="s">
        <v>112</v>
      </c>
      <c r="K624" t="s">
        <v>175</v>
      </c>
      <c r="L624" t="s">
        <v>176</v>
      </c>
      <c r="M624" t="s">
        <v>112</v>
      </c>
      <c r="N624" t="s">
        <v>112</v>
      </c>
      <c r="O624">
        <v>1</v>
      </c>
      <c r="P624">
        <v>0</v>
      </c>
      <c r="Q624">
        <v>1</v>
      </c>
      <c r="R624">
        <v>33</v>
      </c>
      <c r="S624" t="s">
        <v>166</v>
      </c>
      <c r="T624" t="s">
        <v>152</v>
      </c>
      <c r="U624" t="s">
        <v>153</v>
      </c>
      <c r="V624" t="s">
        <v>177</v>
      </c>
      <c r="W624" t="s">
        <v>119</v>
      </c>
      <c r="X624" t="s">
        <v>112</v>
      </c>
      <c r="Y624" t="s">
        <v>166</v>
      </c>
      <c r="Z624" t="s">
        <v>152</v>
      </c>
      <c r="AA624" t="s">
        <v>153</v>
      </c>
      <c r="AB624" t="s">
        <v>177</v>
      </c>
      <c r="AC624" t="s">
        <v>119</v>
      </c>
      <c r="AD624" t="s">
        <v>112</v>
      </c>
      <c r="AE624" t="s">
        <v>121</v>
      </c>
      <c r="AF624" t="s">
        <v>122</v>
      </c>
      <c r="AG624">
        <v>3435638.3</v>
      </c>
      <c r="AH624" t="s">
        <v>166</v>
      </c>
      <c r="AI624" t="s">
        <v>152</v>
      </c>
      <c r="AJ624" t="s">
        <v>153</v>
      </c>
      <c r="AK624" t="s">
        <v>177</v>
      </c>
      <c r="AL624" t="s">
        <v>119</v>
      </c>
      <c r="AM624" t="s">
        <v>112</v>
      </c>
      <c r="AN624" t="s">
        <v>121</v>
      </c>
      <c r="AO624" t="s">
        <v>122</v>
      </c>
      <c r="AP624" t="s">
        <v>122</v>
      </c>
      <c r="AQ624" t="s">
        <v>124</v>
      </c>
      <c r="AR624" t="s">
        <v>125</v>
      </c>
      <c r="AS624">
        <v>2</v>
      </c>
      <c r="AT624" t="s">
        <v>106</v>
      </c>
      <c r="AU624" t="s">
        <v>155</v>
      </c>
      <c r="AV624" t="s">
        <v>156</v>
      </c>
      <c r="AW624">
        <v>1</v>
      </c>
      <c r="AX624" t="s">
        <v>129</v>
      </c>
      <c r="AY624">
        <v>43665</v>
      </c>
      <c r="AZ624">
        <v>3178410</v>
      </c>
      <c r="BA624">
        <v>50689.95</v>
      </c>
      <c r="BB624">
        <v>72.790800000000004</v>
      </c>
      <c r="BC624" t="s">
        <v>130</v>
      </c>
      <c r="BD624" t="s">
        <v>112</v>
      </c>
      <c r="BE624" t="s">
        <v>157</v>
      </c>
      <c r="BF624" t="s">
        <v>133</v>
      </c>
      <c r="BG624" t="s">
        <v>134</v>
      </c>
      <c r="BH624" t="s">
        <v>112</v>
      </c>
      <c r="BI624" t="s">
        <v>178</v>
      </c>
      <c r="BJ624" t="s">
        <v>112</v>
      </c>
      <c r="BK624" t="s">
        <v>125</v>
      </c>
      <c r="BL624" t="s">
        <v>179</v>
      </c>
      <c r="BM624" t="s">
        <v>180</v>
      </c>
      <c r="BN624" t="s">
        <v>181</v>
      </c>
      <c r="BO624">
        <v>1</v>
      </c>
      <c r="BP624" t="s">
        <v>199</v>
      </c>
      <c r="BR624" t="s">
        <v>150</v>
      </c>
      <c r="BS624">
        <v>33</v>
      </c>
      <c r="BT624">
        <v>1</v>
      </c>
      <c r="BU624">
        <v>0</v>
      </c>
      <c r="BW624">
        <v>0</v>
      </c>
      <c r="BY624" t="s">
        <v>106</v>
      </c>
      <c r="BZ624" t="s">
        <v>142</v>
      </c>
      <c r="CA624" t="s">
        <v>112</v>
      </c>
      <c r="CB624" t="s">
        <v>112</v>
      </c>
      <c r="CC624" t="s">
        <v>121</v>
      </c>
      <c r="CD624">
        <v>17285.7</v>
      </c>
      <c r="CE624" t="s">
        <v>144</v>
      </c>
      <c r="CF624">
        <v>4000000</v>
      </c>
      <c r="CG624">
        <v>17285.7</v>
      </c>
      <c r="CH624">
        <v>0</v>
      </c>
      <c r="CI624" t="s">
        <v>112</v>
      </c>
      <c r="CJ624" t="s">
        <v>112</v>
      </c>
      <c r="CK624">
        <v>43665</v>
      </c>
      <c r="CL624">
        <v>3178410</v>
      </c>
      <c r="CM624">
        <v>0</v>
      </c>
      <c r="CN624">
        <v>1</v>
      </c>
      <c r="CO624">
        <v>3435638.3</v>
      </c>
      <c r="CP624">
        <v>50689.95</v>
      </c>
      <c r="CQ624" t="s">
        <v>145</v>
      </c>
      <c r="CR624">
        <v>50690.315250000007</v>
      </c>
      <c r="CS624">
        <v>2.9325000000000001</v>
      </c>
      <c r="CT624">
        <v>941</v>
      </c>
      <c r="CU624" t="s">
        <v>183</v>
      </c>
      <c r="CV624" t="s">
        <v>147</v>
      </c>
      <c r="CW624">
        <v>65</v>
      </c>
    </row>
    <row r="625" spans="1:101" x14ac:dyDescent="0.2">
      <c r="A625" t="s">
        <v>106</v>
      </c>
      <c r="B625" s="46">
        <v>44566</v>
      </c>
      <c r="C625" t="s">
        <v>236</v>
      </c>
      <c r="D625" t="s">
        <v>108</v>
      </c>
      <c r="E625" t="s">
        <v>237</v>
      </c>
      <c r="F625" t="s">
        <v>110</v>
      </c>
      <c r="G625" t="s">
        <v>111</v>
      </c>
      <c r="H625" t="s">
        <v>112</v>
      </c>
      <c r="I625" t="s">
        <v>112</v>
      </c>
      <c r="J625" t="s">
        <v>112</v>
      </c>
      <c r="K625" t="s">
        <v>175</v>
      </c>
      <c r="L625" t="s">
        <v>176</v>
      </c>
      <c r="M625" t="s">
        <v>112</v>
      </c>
      <c r="N625" t="s">
        <v>112</v>
      </c>
      <c r="O625">
        <v>1</v>
      </c>
      <c r="P625">
        <v>0</v>
      </c>
      <c r="Q625">
        <v>1</v>
      </c>
      <c r="R625">
        <v>33</v>
      </c>
      <c r="S625" t="s">
        <v>166</v>
      </c>
      <c r="T625" t="s">
        <v>152</v>
      </c>
      <c r="U625" t="s">
        <v>153</v>
      </c>
      <c r="V625" t="s">
        <v>177</v>
      </c>
      <c r="W625" t="s">
        <v>119</v>
      </c>
      <c r="X625" t="s">
        <v>112</v>
      </c>
      <c r="Y625" t="s">
        <v>166</v>
      </c>
      <c r="Z625" t="s">
        <v>152</v>
      </c>
      <c r="AA625" t="s">
        <v>153</v>
      </c>
      <c r="AB625" t="s">
        <v>177</v>
      </c>
      <c r="AC625" t="s">
        <v>119</v>
      </c>
      <c r="AD625" t="s">
        <v>112</v>
      </c>
      <c r="AE625" t="s">
        <v>121</v>
      </c>
      <c r="AF625" t="s">
        <v>122</v>
      </c>
      <c r="AG625">
        <v>3612097.76</v>
      </c>
      <c r="AH625" t="s">
        <v>166</v>
      </c>
      <c r="AI625" t="s">
        <v>152</v>
      </c>
      <c r="AJ625" t="s">
        <v>153</v>
      </c>
      <c r="AK625" t="s">
        <v>177</v>
      </c>
      <c r="AL625" t="s">
        <v>119</v>
      </c>
      <c r="AM625" t="s">
        <v>112</v>
      </c>
      <c r="AN625" t="s">
        <v>121</v>
      </c>
      <c r="AO625" t="s">
        <v>122</v>
      </c>
      <c r="AP625" t="s">
        <v>122</v>
      </c>
      <c r="AQ625" t="s">
        <v>124</v>
      </c>
      <c r="AR625" t="s">
        <v>125</v>
      </c>
      <c r="AS625">
        <v>2</v>
      </c>
      <c r="AT625" t="s">
        <v>106</v>
      </c>
      <c r="AU625" t="s">
        <v>155</v>
      </c>
      <c r="AV625" t="s">
        <v>156</v>
      </c>
      <c r="AW625">
        <v>1</v>
      </c>
      <c r="AX625" t="s">
        <v>129</v>
      </c>
      <c r="AY625">
        <v>46089.2</v>
      </c>
      <c r="AZ625">
        <v>3354870</v>
      </c>
      <c r="BA625">
        <v>53293.46</v>
      </c>
      <c r="BB625">
        <v>72.790800000000004</v>
      </c>
      <c r="BC625" t="s">
        <v>130</v>
      </c>
      <c r="BD625" t="s">
        <v>112</v>
      </c>
      <c r="BE625" t="s">
        <v>157</v>
      </c>
      <c r="BF625" t="s">
        <v>133</v>
      </c>
      <c r="BG625" t="s">
        <v>134</v>
      </c>
      <c r="BH625" t="s">
        <v>112</v>
      </c>
      <c r="BI625" t="s">
        <v>178</v>
      </c>
      <c r="BJ625" t="s">
        <v>112</v>
      </c>
      <c r="BK625" t="s">
        <v>125</v>
      </c>
      <c r="BL625" t="s">
        <v>179</v>
      </c>
      <c r="BM625" t="s">
        <v>180</v>
      </c>
      <c r="BN625" t="s">
        <v>181</v>
      </c>
      <c r="BO625">
        <v>1</v>
      </c>
      <c r="BP625" t="s">
        <v>199</v>
      </c>
      <c r="BR625" t="s">
        <v>150</v>
      </c>
      <c r="BS625">
        <v>33</v>
      </c>
      <c r="BT625">
        <v>1</v>
      </c>
      <c r="BU625">
        <v>0</v>
      </c>
      <c r="BW625">
        <v>0</v>
      </c>
      <c r="BY625" t="s">
        <v>106</v>
      </c>
      <c r="BZ625" t="s">
        <v>142</v>
      </c>
      <c r="CA625" t="s">
        <v>112</v>
      </c>
      <c r="CB625" t="s">
        <v>112</v>
      </c>
      <c r="CC625" t="s">
        <v>121</v>
      </c>
      <c r="CD625">
        <v>16530.990000000002</v>
      </c>
      <c r="CE625" t="s">
        <v>144</v>
      </c>
      <c r="CF625">
        <v>4000000</v>
      </c>
      <c r="CG625">
        <v>16368.39</v>
      </c>
      <c r="CH625">
        <v>0</v>
      </c>
      <c r="CI625" t="s">
        <v>112</v>
      </c>
      <c r="CJ625" t="s">
        <v>112</v>
      </c>
      <c r="CK625">
        <v>46089.2</v>
      </c>
      <c r="CL625">
        <v>3354870</v>
      </c>
      <c r="CM625">
        <v>0</v>
      </c>
      <c r="CN625">
        <v>1</v>
      </c>
      <c r="CO625">
        <v>3612097.76</v>
      </c>
      <c r="CP625">
        <v>53293.46</v>
      </c>
      <c r="CQ625" t="s">
        <v>145</v>
      </c>
      <c r="CR625">
        <v>53293.841001000001</v>
      </c>
      <c r="CS625">
        <v>3.2559</v>
      </c>
      <c r="CT625">
        <v>941</v>
      </c>
      <c r="CU625" t="s">
        <v>183</v>
      </c>
      <c r="CV625" t="s">
        <v>147</v>
      </c>
      <c r="CW625">
        <v>325</v>
      </c>
    </row>
    <row r="626" spans="1:101" x14ac:dyDescent="0.2">
      <c r="A626" t="s">
        <v>106</v>
      </c>
      <c r="B626" s="46">
        <v>44965</v>
      </c>
      <c r="C626" t="s">
        <v>216</v>
      </c>
      <c r="D626" t="s">
        <v>108</v>
      </c>
      <c r="E626" t="s">
        <v>217</v>
      </c>
      <c r="F626" t="s">
        <v>110</v>
      </c>
      <c r="G626" t="s">
        <v>111</v>
      </c>
      <c r="H626" t="s">
        <v>112</v>
      </c>
      <c r="I626" t="s">
        <v>112</v>
      </c>
      <c r="J626" t="s">
        <v>112</v>
      </c>
      <c r="K626" t="s">
        <v>175</v>
      </c>
      <c r="L626" t="s">
        <v>176</v>
      </c>
      <c r="M626" t="s">
        <v>112</v>
      </c>
      <c r="N626" t="s">
        <v>112</v>
      </c>
      <c r="O626">
        <v>1</v>
      </c>
      <c r="P626">
        <v>0</v>
      </c>
      <c r="Q626">
        <v>1</v>
      </c>
      <c r="R626">
        <v>33</v>
      </c>
      <c r="S626" t="s">
        <v>166</v>
      </c>
      <c r="T626" t="s">
        <v>152</v>
      </c>
      <c r="U626" t="s">
        <v>153</v>
      </c>
      <c r="V626" t="s">
        <v>177</v>
      </c>
      <c r="W626" t="s">
        <v>119</v>
      </c>
      <c r="X626" t="s">
        <v>112</v>
      </c>
      <c r="Y626" t="s">
        <v>166</v>
      </c>
      <c r="Z626" t="s">
        <v>152</v>
      </c>
      <c r="AA626" t="s">
        <v>153</v>
      </c>
      <c r="AB626" t="s">
        <v>177</v>
      </c>
      <c r="AC626" t="s">
        <v>119</v>
      </c>
      <c r="AD626" t="s">
        <v>112</v>
      </c>
      <c r="AE626" t="s">
        <v>121</v>
      </c>
      <c r="AF626" t="s">
        <v>122</v>
      </c>
      <c r="AG626">
        <v>3196382.22</v>
      </c>
      <c r="AH626" t="s">
        <v>166</v>
      </c>
      <c r="AI626" t="s">
        <v>152</v>
      </c>
      <c r="AJ626" t="s">
        <v>153</v>
      </c>
      <c r="AK626" t="s">
        <v>177</v>
      </c>
      <c r="AL626" t="s">
        <v>119</v>
      </c>
      <c r="AM626" t="s">
        <v>112</v>
      </c>
      <c r="AN626" t="s">
        <v>121</v>
      </c>
      <c r="AO626" t="s">
        <v>122</v>
      </c>
      <c r="AP626" t="s">
        <v>122</v>
      </c>
      <c r="AQ626" t="s">
        <v>124</v>
      </c>
      <c r="AR626" t="s">
        <v>125</v>
      </c>
      <c r="AS626">
        <v>2</v>
      </c>
      <c r="AT626" t="s">
        <v>106</v>
      </c>
      <c r="AU626" t="s">
        <v>155</v>
      </c>
      <c r="AV626" t="s">
        <v>156</v>
      </c>
      <c r="AW626">
        <v>1</v>
      </c>
      <c r="AX626" t="s">
        <v>129</v>
      </c>
      <c r="AY626">
        <v>40378.1</v>
      </c>
      <c r="AZ626">
        <v>2939154</v>
      </c>
      <c r="BA626">
        <v>47159.93</v>
      </c>
      <c r="BB626">
        <v>72.790800000000004</v>
      </c>
      <c r="BC626" t="s">
        <v>130</v>
      </c>
      <c r="BD626" t="s">
        <v>112</v>
      </c>
      <c r="BE626" t="s">
        <v>157</v>
      </c>
      <c r="BF626" t="s">
        <v>133</v>
      </c>
      <c r="BG626" t="s">
        <v>134</v>
      </c>
      <c r="BH626" t="s">
        <v>112</v>
      </c>
      <c r="BI626" t="s">
        <v>178</v>
      </c>
      <c r="BJ626" t="s">
        <v>112</v>
      </c>
      <c r="BK626" t="s">
        <v>125</v>
      </c>
      <c r="BL626" t="s">
        <v>179</v>
      </c>
      <c r="BM626" t="s">
        <v>180</v>
      </c>
      <c r="BN626" t="s">
        <v>181</v>
      </c>
      <c r="BO626">
        <v>1</v>
      </c>
      <c r="BP626" t="s">
        <v>202</v>
      </c>
      <c r="BR626" t="s">
        <v>150</v>
      </c>
      <c r="BS626">
        <v>33</v>
      </c>
      <c r="BT626">
        <v>1</v>
      </c>
      <c r="BU626">
        <v>0</v>
      </c>
      <c r="BW626">
        <v>0</v>
      </c>
      <c r="BY626" t="s">
        <v>106</v>
      </c>
      <c r="BZ626" t="s">
        <v>142</v>
      </c>
      <c r="CA626" t="s">
        <v>112</v>
      </c>
      <c r="CB626" t="s">
        <v>112</v>
      </c>
      <c r="CC626" t="s">
        <v>121</v>
      </c>
      <c r="CD626">
        <v>17331.02</v>
      </c>
      <c r="CE626" t="s">
        <v>144</v>
      </c>
      <c r="CF626">
        <v>4000000</v>
      </c>
      <c r="CG626">
        <v>17331.02</v>
      </c>
      <c r="CH626">
        <v>0</v>
      </c>
      <c r="CI626" t="s">
        <v>112</v>
      </c>
      <c r="CJ626" t="s">
        <v>112</v>
      </c>
      <c r="CK626">
        <v>40378.1</v>
      </c>
      <c r="CL626">
        <v>2939154</v>
      </c>
      <c r="CM626">
        <v>0</v>
      </c>
      <c r="CN626">
        <v>1</v>
      </c>
      <c r="CO626">
        <v>3196382.22</v>
      </c>
      <c r="CP626">
        <v>47159.93</v>
      </c>
      <c r="CQ626" t="s">
        <v>145</v>
      </c>
      <c r="CR626">
        <v>47159.438521999997</v>
      </c>
      <c r="CS626">
        <v>2.7210999999999999</v>
      </c>
      <c r="CT626">
        <v>941</v>
      </c>
      <c r="CU626" t="s">
        <v>183</v>
      </c>
      <c r="CV626" t="s">
        <v>190</v>
      </c>
      <c r="CW626">
        <v>233</v>
      </c>
    </row>
    <row r="627" spans="1:101" x14ac:dyDescent="0.2">
      <c r="A627" t="s">
        <v>106</v>
      </c>
      <c r="B627" s="46">
        <v>45141</v>
      </c>
      <c r="C627" t="s">
        <v>756</v>
      </c>
      <c r="D627" t="s">
        <v>108</v>
      </c>
      <c r="E627" t="s">
        <v>757</v>
      </c>
      <c r="F627" t="s">
        <v>110</v>
      </c>
      <c r="G627" t="s">
        <v>111</v>
      </c>
      <c r="H627" t="s">
        <v>112</v>
      </c>
      <c r="I627" t="s">
        <v>112</v>
      </c>
      <c r="J627" t="s">
        <v>112</v>
      </c>
      <c r="K627" t="s">
        <v>150</v>
      </c>
      <c r="L627" t="s">
        <v>151</v>
      </c>
      <c r="M627" t="s">
        <v>112</v>
      </c>
      <c r="N627" t="s">
        <v>112</v>
      </c>
      <c r="O627">
        <v>1</v>
      </c>
      <c r="Q627">
        <v>1</v>
      </c>
      <c r="R627">
        <v>33</v>
      </c>
      <c r="S627" t="s">
        <v>112</v>
      </c>
      <c r="T627" t="s">
        <v>152</v>
      </c>
      <c r="U627" t="s">
        <v>153</v>
      </c>
      <c r="V627" t="s">
        <v>154</v>
      </c>
      <c r="W627" t="s">
        <v>119</v>
      </c>
      <c r="X627" t="s">
        <v>112</v>
      </c>
      <c r="Y627" t="s">
        <v>112</v>
      </c>
      <c r="Z627" t="s">
        <v>152</v>
      </c>
      <c r="AA627" t="s">
        <v>153</v>
      </c>
      <c r="AB627" t="s">
        <v>154</v>
      </c>
      <c r="AC627" t="s">
        <v>119</v>
      </c>
      <c r="AD627" t="s">
        <v>112</v>
      </c>
      <c r="AE627" t="s">
        <v>121</v>
      </c>
      <c r="AF627" t="s">
        <v>122</v>
      </c>
      <c r="AG627">
        <v>4265462.46</v>
      </c>
      <c r="AH627" t="s">
        <v>112</v>
      </c>
      <c r="AI627" t="s">
        <v>152</v>
      </c>
      <c r="AJ627" t="s">
        <v>153</v>
      </c>
      <c r="AK627" t="s">
        <v>154</v>
      </c>
      <c r="AL627" t="s">
        <v>119</v>
      </c>
      <c r="AM627" t="s">
        <v>112</v>
      </c>
      <c r="AN627" t="s">
        <v>121</v>
      </c>
      <c r="AO627" t="s">
        <v>122</v>
      </c>
      <c r="AP627" t="s">
        <v>122</v>
      </c>
      <c r="AQ627" t="s">
        <v>124</v>
      </c>
      <c r="AR627" t="s">
        <v>125</v>
      </c>
      <c r="AS627">
        <v>2</v>
      </c>
      <c r="AT627" t="s">
        <v>126</v>
      </c>
      <c r="AU627" t="s">
        <v>155</v>
      </c>
      <c r="AV627" t="s">
        <v>156</v>
      </c>
      <c r="AX627" t="s">
        <v>129</v>
      </c>
      <c r="AY627">
        <v>39501</v>
      </c>
      <c r="BB627">
        <v>98.076899999999995</v>
      </c>
      <c r="BC627" t="s">
        <v>112</v>
      </c>
      <c r="BD627" t="s">
        <v>112</v>
      </c>
      <c r="BE627" t="s">
        <v>157</v>
      </c>
      <c r="BF627" t="s">
        <v>133</v>
      </c>
      <c r="BG627" t="s">
        <v>134</v>
      </c>
      <c r="BH627" t="s">
        <v>112</v>
      </c>
      <c r="BI627" t="s">
        <v>112</v>
      </c>
      <c r="BJ627" t="s">
        <v>112</v>
      </c>
      <c r="BK627" t="s">
        <v>158</v>
      </c>
      <c r="BL627" t="s">
        <v>159</v>
      </c>
      <c r="BM627" t="s">
        <v>212</v>
      </c>
      <c r="BN627" t="s">
        <v>161</v>
      </c>
      <c r="BP627" t="s">
        <v>213</v>
      </c>
      <c r="BR627" t="s">
        <v>150</v>
      </c>
      <c r="BS627">
        <v>33</v>
      </c>
      <c r="BT627">
        <v>0</v>
      </c>
      <c r="BU627">
        <v>0</v>
      </c>
      <c r="BW627">
        <v>0</v>
      </c>
      <c r="BY627" t="s">
        <v>106</v>
      </c>
      <c r="BZ627" t="s">
        <v>142</v>
      </c>
      <c r="CA627" t="s">
        <v>112</v>
      </c>
      <c r="CB627" t="s">
        <v>112</v>
      </c>
      <c r="CC627" t="s">
        <v>121</v>
      </c>
      <c r="CD627">
        <v>16873.740000000002</v>
      </c>
      <c r="CE627" t="s">
        <v>144</v>
      </c>
      <c r="CF627">
        <v>4000000</v>
      </c>
      <c r="CG627">
        <v>16744.14</v>
      </c>
      <c r="CH627">
        <v>0</v>
      </c>
      <c r="CI627" t="s">
        <v>112</v>
      </c>
      <c r="CJ627" t="s">
        <v>112</v>
      </c>
      <c r="CK627">
        <v>39501</v>
      </c>
      <c r="CM627">
        <v>0</v>
      </c>
      <c r="CN627">
        <v>1</v>
      </c>
      <c r="CO627">
        <v>4265462.46</v>
      </c>
      <c r="CP627">
        <v>46881.15</v>
      </c>
      <c r="CQ627" t="s">
        <v>145</v>
      </c>
      <c r="CR627">
        <v>46883.591999999997</v>
      </c>
      <c r="CS627">
        <v>2.8</v>
      </c>
      <c r="CT627">
        <v>45</v>
      </c>
      <c r="CV627" t="s">
        <v>233</v>
      </c>
      <c r="CW627">
        <v>272</v>
      </c>
    </row>
    <row r="628" spans="1:101" x14ac:dyDescent="0.2">
      <c r="A628" t="s">
        <v>106</v>
      </c>
      <c r="B628" s="46">
        <v>45240</v>
      </c>
      <c r="C628" t="s">
        <v>778</v>
      </c>
      <c r="D628" t="s">
        <v>108</v>
      </c>
      <c r="E628" t="s">
        <v>779</v>
      </c>
      <c r="F628" t="s">
        <v>110</v>
      </c>
      <c r="G628" t="s">
        <v>111</v>
      </c>
      <c r="H628" t="s">
        <v>112</v>
      </c>
      <c r="I628" t="s">
        <v>112</v>
      </c>
      <c r="J628" t="s">
        <v>112</v>
      </c>
      <c r="K628" t="s">
        <v>150</v>
      </c>
      <c r="L628" t="s">
        <v>151</v>
      </c>
      <c r="M628" t="s">
        <v>112</v>
      </c>
      <c r="N628" t="s">
        <v>112</v>
      </c>
      <c r="O628">
        <v>1</v>
      </c>
      <c r="Q628">
        <v>1</v>
      </c>
      <c r="R628">
        <v>33</v>
      </c>
      <c r="S628" t="s">
        <v>112</v>
      </c>
      <c r="T628" t="s">
        <v>152</v>
      </c>
      <c r="U628" t="s">
        <v>153</v>
      </c>
      <c r="V628" t="s">
        <v>154</v>
      </c>
      <c r="W628" t="s">
        <v>119</v>
      </c>
      <c r="X628" t="s">
        <v>112</v>
      </c>
      <c r="Y628" t="s">
        <v>112</v>
      </c>
      <c r="Z628" t="s">
        <v>152</v>
      </c>
      <c r="AA628" t="s">
        <v>153</v>
      </c>
      <c r="AB628" t="s">
        <v>154</v>
      </c>
      <c r="AC628" t="s">
        <v>119</v>
      </c>
      <c r="AD628" t="s">
        <v>112</v>
      </c>
      <c r="AE628" t="s">
        <v>121</v>
      </c>
      <c r="AF628" t="s">
        <v>122</v>
      </c>
      <c r="AG628">
        <v>4077480.42</v>
      </c>
      <c r="AH628" t="s">
        <v>112</v>
      </c>
      <c r="AI628" t="s">
        <v>152</v>
      </c>
      <c r="AJ628" t="s">
        <v>153</v>
      </c>
      <c r="AK628" t="s">
        <v>154</v>
      </c>
      <c r="AL628" t="s">
        <v>119</v>
      </c>
      <c r="AM628" t="s">
        <v>112</v>
      </c>
      <c r="AN628" t="s">
        <v>121</v>
      </c>
      <c r="AO628" t="s">
        <v>122</v>
      </c>
      <c r="AP628" t="s">
        <v>122</v>
      </c>
      <c r="AQ628" t="s">
        <v>124</v>
      </c>
      <c r="AR628" t="s">
        <v>125</v>
      </c>
      <c r="AS628">
        <v>2</v>
      </c>
      <c r="AT628" t="s">
        <v>126</v>
      </c>
      <c r="AU628" t="s">
        <v>155</v>
      </c>
      <c r="AV628" t="s">
        <v>156</v>
      </c>
      <c r="AX628" t="s">
        <v>129</v>
      </c>
      <c r="AY628">
        <v>37584.32</v>
      </c>
      <c r="BB628">
        <v>98.076899999999995</v>
      </c>
      <c r="BC628" t="s">
        <v>112</v>
      </c>
      <c r="BD628" t="s">
        <v>112</v>
      </c>
      <c r="BE628" t="s">
        <v>157</v>
      </c>
      <c r="BF628" t="s">
        <v>133</v>
      </c>
      <c r="BG628" t="s">
        <v>134</v>
      </c>
      <c r="BH628" t="s">
        <v>112</v>
      </c>
      <c r="BI628" t="s">
        <v>112</v>
      </c>
      <c r="BJ628" t="s">
        <v>112</v>
      </c>
      <c r="BK628" t="s">
        <v>158</v>
      </c>
      <c r="BL628" t="s">
        <v>159</v>
      </c>
      <c r="BM628" t="s">
        <v>212</v>
      </c>
      <c r="BN628" t="s">
        <v>161</v>
      </c>
      <c r="BP628" t="s">
        <v>205</v>
      </c>
      <c r="BR628" t="s">
        <v>150</v>
      </c>
      <c r="BS628">
        <v>33</v>
      </c>
      <c r="BT628">
        <v>0</v>
      </c>
      <c r="BU628">
        <v>0</v>
      </c>
      <c r="BW628">
        <v>0</v>
      </c>
      <c r="BY628" t="s">
        <v>106</v>
      </c>
      <c r="BZ628" t="s">
        <v>142</v>
      </c>
      <c r="CA628" t="s">
        <v>112</v>
      </c>
      <c r="CB628" t="s">
        <v>112</v>
      </c>
      <c r="CC628" t="s">
        <v>121</v>
      </c>
      <c r="CD628">
        <v>15295.25</v>
      </c>
      <c r="CE628" t="s">
        <v>144</v>
      </c>
      <c r="CF628">
        <v>4000000</v>
      </c>
      <c r="CG628">
        <v>14962.85</v>
      </c>
      <c r="CH628">
        <v>0</v>
      </c>
      <c r="CI628" t="s">
        <v>112</v>
      </c>
      <c r="CJ628" t="s">
        <v>112</v>
      </c>
      <c r="CK628">
        <v>37584.32</v>
      </c>
      <c r="CM628">
        <v>0</v>
      </c>
      <c r="CN628">
        <v>1</v>
      </c>
      <c r="CO628">
        <v>4077480.42</v>
      </c>
      <c r="CP628">
        <v>44815.06</v>
      </c>
      <c r="CQ628" t="s">
        <v>145</v>
      </c>
      <c r="CR628">
        <v>44888.55</v>
      </c>
      <c r="CS628">
        <v>3</v>
      </c>
      <c r="CT628">
        <v>45</v>
      </c>
      <c r="CV628" t="s">
        <v>206</v>
      </c>
      <c r="CW628">
        <v>146</v>
      </c>
    </row>
    <row r="629" spans="1:101" x14ac:dyDescent="0.2">
      <c r="A629" t="s">
        <v>106</v>
      </c>
      <c r="B629" s="46">
        <v>45283</v>
      </c>
      <c r="C629" t="s">
        <v>2122</v>
      </c>
      <c r="D629" t="s">
        <v>108</v>
      </c>
      <c r="E629" t="s">
        <v>2123</v>
      </c>
      <c r="F629" t="s">
        <v>110</v>
      </c>
      <c r="G629" t="s">
        <v>111</v>
      </c>
      <c r="H629" t="s">
        <v>112</v>
      </c>
      <c r="I629" t="s">
        <v>112</v>
      </c>
      <c r="J629" t="s">
        <v>112</v>
      </c>
      <c r="K629" t="s">
        <v>150</v>
      </c>
      <c r="L629" t="s">
        <v>151</v>
      </c>
      <c r="M629" t="s">
        <v>112</v>
      </c>
      <c r="N629" t="s">
        <v>112</v>
      </c>
      <c r="O629">
        <v>1</v>
      </c>
      <c r="Q629">
        <v>1</v>
      </c>
      <c r="R629">
        <v>33</v>
      </c>
      <c r="S629" t="s">
        <v>112</v>
      </c>
      <c r="T629" t="s">
        <v>152</v>
      </c>
      <c r="U629" t="s">
        <v>153</v>
      </c>
      <c r="V629" t="s">
        <v>154</v>
      </c>
      <c r="W629" t="s">
        <v>119</v>
      </c>
      <c r="X629" t="s">
        <v>112</v>
      </c>
      <c r="Y629" t="s">
        <v>112</v>
      </c>
      <c r="Z629" t="s">
        <v>152</v>
      </c>
      <c r="AA629" t="s">
        <v>153</v>
      </c>
      <c r="AB629" t="s">
        <v>154</v>
      </c>
      <c r="AC629" t="s">
        <v>119</v>
      </c>
      <c r="AD629" t="s">
        <v>112</v>
      </c>
      <c r="AE629" t="s">
        <v>121</v>
      </c>
      <c r="AF629" t="s">
        <v>122</v>
      </c>
      <c r="AG629">
        <v>4818762.67</v>
      </c>
      <c r="AH629" t="s">
        <v>112</v>
      </c>
      <c r="AI629" t="s">
        <v>152</v>
      </c>
      <c r="AJ629" t="s">
        <v>153</v>
      </c>
      <c r="AK629" t="s">
        <v>154</v>
      </c>
      <c r="AL629" t="s">
        <v>119</v>
      </c>
      <c r="AM629" t="s">
        <v>112</v>
      </c>
      <c r="AN629" t="s">
        <v>121</v>
      </c>
      <c r="AO629" t="s">
        <v>122</v>
      </c>
      <c r="AP629" t="s">
        <v>122</v>
      </c>
      <c r="AQ629" t="s">
        <v>124</v>
      </c>
      <c r="AR629" t="s">
        <v>125</v>
      </c>
      <c r="AS629">
        <v>2</v>
      </c>
      <c r="AT629" t="s">
        <v>126</v>
      </c>
      <c r="AU629" t="s">
        <v>155</v>
      </c>
      <c r="AV629" t="s">
        <v>156</v>
      </c>
      <c r="AX629" t="s">
        <v>129</v>
      </c>
      <c r="AY629">
        <v>40959.589999999997</v>
      </c>
      <c r="BB629">
        <v>105.95440000000001</v>
      </c>
      <c r="BC629" t="s">
        <v>112</v>
      </c>
      <c r="BD629" t="s">
        <v>112</v>
      </c>
      <c r="BE629" t="s">
        <v>157</v>
      </c>
      <c r="BF629" t="s">
        <v>133</v>
      </c>
      <c r="BG629" t="s">
        <v>134</v>
      </c>
      <c r="BH629" t="s">
        <v>112</v>
      </c>
      <c r="BI629" t="s">
        <v>112</v>
      </c>
      <c r="BJ629" t="s">
        <v>112</v>
      </c>
      <c r="BK629" t="s">
        <v>158</v>
      </c>
      <c r="BL629" t="s">
        <v>159</v>
      </c>
      <c r="BM629" t="s">
        <v>212</v>
      </c>
      <c r="BN629" t="s">
        <v>161</v>
      </c>
      <c r="BP629" t="s">
        <v>466</v>
      </c>
      <c r="BR629" t="s">
        <v>150</v>
      </c>
      <c r="BS629">
        <v>33</v>
      </c>
      <c r="BT629">
        <v>0</v>
      </c>
      <c r="BU629">
        <v>0</v>
      </c>
      <c r="BW629">
        <v>0</v>
      </c>
      <c r="BY629" t="s">
        <v>106</v>
      </c>
      <c r="BZ629" t="s">
        <v>142</v>
      </c>
      <c r="CA629" t="s">
        <v>112</v>
      </c>
      <c r="CB629" t="s">
        <v>112</v>
      </c>
      <c r="CC629" t="s">
        <v>121</v>
      </c>
      <c r="CD629">
        <v>16621.89</v>
      </c>
      <c r="CE629" t="s">
        <v>144</v>
      </c>
      <c r="CF629">
        <v>4000000</v>
      </c>
      <c r="CG629">
        <v>16535.490000000002</v>
      </c>
      <c r="CH629">
        <v>0</v>
      </c>
      <c r="CI629" t="s">
        <v>112</v>
      </c>
      <c r="CJ629" t="s">
        <v>112</v>
      </c>
      <c r="CK629">
        <v>40959.589999999997</v>
      </c>
      <c r="CM629">
        <v>0</v>
      </c>
      <c r="CN629">
        <v>1</v>
      </c>
      <c r="CO629">
        <v>4818762.67</v>
      </c>
      <c r="CP629">
        <v>48196.88</v>
      </c>
      <c r="CQ629" t="s">
        <v>145</v>
      </c>
      <c r="CR629">
        <v>48118.275900000008</v>
      </c>
      <c r="CS629">
        <v>2.91</v>
      </c>
      <c r="CT629">
        <v>45</v>
      </c>
      <c r="CV629" t="s">
        <v>729</v>
      </c>
      <c r="CW629">
        <v>340</v>
      </c>
    </row>
    <row r="630" spans="1:101" x14ac:dyDescent="0.2">
      <c r="A630" t="s">
        <v>106</v>
      </c>
      <c r="B630" s="46">
        <v>44946</v>
      </c>
      <c r="C630" t="s">
        <v>2122</v>
      </c>
      <c r="D630" t="s">
        <v>108</v>
      </c>
      <c r="E630" t="s">
        <v>2123</v>
      </c>
      <c r="F630" t="s">
        <v>110</v>
      </c>
      <c r="G630" t="s">
        <v>111</v>
      </c>
      <c r="H630" t="s">
        <v>112</v>
      </c>
      <c r="I630" t="s">
        <v>112</v>
      </c>
      <c r="J630" t="s">
        <v>112</v>
      </c>
      <c r="K630" t="s">
        <v>150</v>
      </c>
      <c r="L630" t="s">
        <v>151</v>
      </c>
      <c r="M630" t="s">
        <v>112</v>
      </c>
      <c r="N630" t="s">
        <v>112</v>
      </c>
      <c r="O630">
        <v>1</v>
      </c>
      <c r="Q630">
        <v>1</v>
      </c>
      <c r="R630">
        <v>33</v>
      </c>
      <c r="S630" t="s">
        <v>112</v>
      </c>
      <c r="T630" t="s">
        <v>152</v>
      </c>
      <c r="U630" t="s">
        <v>153</v>
      </c>
      <c r="V630" t="s">
        <v>154</v>
      </c>
      <c r="W630" t="s">
        <v>119</v>
      </c>
      <c r="X630" t="s">
        <v>112</v>
      </c>
      <c r="Y630" t="s">
        <v>112</v>
      </c>
      <c r="Z630" t="s">
        <v>152</v>
      </c>
      <c r="AA630" t="s">
        <v>153</v>
      </c>
      <c r="AB630" t="s">
        <v>154</v>
      </c>
      <c r="AC630" t="s">
        <v>119</v>
      </c>
      <c r="AD630" t="s">
        <v>112</v>
      </c>
      <c r="AE630" t="s">
        <v>121</v>
      </c>
      <c r="AF630" t="s">
        <v>122</v>
      </c>
      <c r="AG630">
        <v>4818762.67</v>
      </c>
      <c r="AH630" t="s">
        <v>112</v>
      </c>
      <c r="AI630" t="s">
        <v>152</v>
      </c>
      <c r="AJ630" t="s">
        <v>153</v>
      </c>
      <c r="AK630" t="s">
        <v>154</v>
      </c>
      <c r="AL630" t="s">
        <v>119</v>
      </c>
      <c r="AM630" t="s">
        <v>112</v>
      </c>
      <c r="AN630" t="s">
        <v>121</v>
      </c>
      <c r="AO630" t="s">
        <v>122</v>
      </c>
      <c r="AP630" t="s">
        <v>122</v>
      </c>
      <c r="AQ630" t="s">
        <v>124</v>
      </c>
      <c r="AR630" t="s">
        <v>125</v>
      </c>
      <c r="AS630">
        <v>2</v>
      </c>
      <c r="AT630" t="s">
        <v>126</v>
      </c>
      <c r="AU630" t="s">
        <v>155</v>
      </c>
      <c r="AV630" t="s">
        <v>156</v>
      </c>
      <c r="AX630" t="s">
        <v>129</v>
      </c>
      <c r="AY630">
        <v>40959.589999999997</v>
      </c>
      <c r="BB630">
        <v>105.95440000000001</v>
      </c>
      <c r="BC630" t="s">
        <v>112</v>
      </c>
      <c r="BD630" t="s">
        <v>112</v>
      </c>
      <c r="BE630" t="s">
        <v>157</v>
      </c>
      <c r="BF630" t="s">
        <v>133</v>
      </c>
      <c r="BG630" t="s">
        <v>134</v>
      </c>
      <c r="BH630" t="s">
        <v>112</v>
      </c>
      <c r="BI630" t="s">
        <v>112</v>
      </c>
      <c r="BJ630" t="s">
        <v>112</v>
      </c>
      <c r="BK630" t="s">
        <v>158</v>
      </c>
      <c r="BL630" t="s">
        <v>159</v>
      </c>
      <c r="BM630" t="s">
        <v>212</v>
      </c>
      <c r="BN630" t="s">
        <v>161</v>
      </c>
      <c r="BP630" t="s">
        <v>466</v>
      </c>
      <c r="BR630" t="s">
        <v>150</v>
      </c>
      <c r="BS630">
        <v>33</v>
      </c>
      <c r="BT630">
        <v>0</v>
      </c>
      <c r="BU630">
        <v>0</v>
      </c>
      <c r="BW630">
        <v>0</v>
      </c>
      <c r="BY630" t="s">
        <v>106</v>
      </c>
      <c r="BZ630" t="s">
        <v>142</v>
      </c>
      <c r="CA630" t="s">
        <v>112</v>
      </c>
      <c r="CB630" t="s">
        <v>112</v>
      </c>
      <c r="CC630" t="s">
        <v>121</v>
      </c>
      <c r="CD630">
        <v>16621.89</v>
      </c>
      <c r="CE630" t="s">
        <v>144</v>
      </c>
      <c r="CF630">
        <v>4000000</v>
      </c>
      <c r="CG630">
        <v>16535.490000000002</v>
      </c>
      <c r="CH630">
        <v>0</v>
      </c>
      <c r="CI630" t="s">
        <v>112</v>
      </c>
      <c r="CJ630" t="s">
        <v>112</v>
      </c>
      <c r="CK630">
        <v>40959.589999999997</v>
      </c>
      <c r="CM630">
        <v>0</v>
      </c>
      <c r="CN630">
        <v>1</v>
      </c>
      <c r="CO630">
        <v>4818762.67</v>
      </c>
      <c r="CP630">
        <v>48196.88</v>
      </c>
      <c r="CQ630" t="s">
        <v>145</v>
      </c>
      <c r="CR630">
        <v>48118.275900000008</v>
      </c>
      <c r="CS630">
        <v>2.91</v>
      </c>
      <c r="CT630">
        <v>45</v>
      </c>
      <c r="CV630" t="s">
        <v>729</v>
      </c>
      <c r="CW630">
        <v>340</v>
      </c>
    </row>
    <row r="631" spans="1:101" x14ac:dyDescent="0.2">
      <c r="A631" t="s">
        <v>106</v>
      </c>
      <c r="B631" s="46">
        <v>45201</v>
      </c>
      <c r="C631" t="s">
        <v>2106</v>
      </c>
      <c r="D631" t="s">
        <v>108</v>
      </c>
      <c r="E631" t="s">
        <v>2107</v>
      </c>
      <c r="F631" t="s">
        <v>110</v>
      </c>
      <c r="G631" t="s">
        <v>111</v>
      </c>
      <c r="H631" t="s">
        <v>112</v>
      </c>
      <c r="I631" t="s">
        <v>112</v>
      </c>
      <c r="J631" t="s">
        <v>112</v>
      </c>
      <c r="K631" t="s">
        <v>150</v>
      </c>
      <c r="L631" t="s">
        <v>151</v>
      </c>
      <c r="M631" t="s">
        <v>112</v>
      </c>
      <c r="N631" t="s">
        <v>112</v>
      </c>
      <c r="O631">
        <v>1</v>
      </c>
      <c r="Q631">
        <v>1</v>
      </c>
      <c r="R631">
        <v>33</v>
      </c>
      <c r="S631" t="s">
        <v>112</v>
      </c>
      <c r="T631" t="s">
        <v>152</v>
      </c>
      <c r="U631" t="s">
        <v>153</v>
      </c>
      <c r="V631" t="s">
        <v>154</v>
      </c>
      <c r="W631" t="s">
        <v>119</v>
      </c>
      <c r="X631" t="s">
        <v>112</v>
      </c>
      <c r="Y631" t="s">
        <v>112</v>
      </c>
      <c r="Z631" t="s">
        <v>152</v>
      </c>
      <c r="AA631" t="s">
        <v>153</v>
      </c>
      <c r="AB631" t="s">
        <v>154</v>
      </c>
      <c r="AC631" t="s">
        <v>119</v>
      </c>
      <c r="AD631" t="s">
        <v>112</v>
      </c>
      <c r="AE631" t="s">
        <v>121</v>
      </c>
      <c r="AF631" t="s">
        <v>122</v>
      </c>
      <c r="AG631">
        <v>5355486.34</v>
      </c>
      <c r="AH631" t="s">
        <v>112</v>
      </c>
      <c r="AI631" t="s">
        <v>152</v>
      </c>
      <c r="AJ631" t="s">
        <v>153</v>
      </c>
      <c r="AK631" t="s">
        <v>154</v>
      </c>
      <c r="AL631" t="s">
        <v>119</v>
      </c>
      <c r="AM631" t="s">
        <v>112</v>
      </c>
      <c r="AN631" t="s">
        <v>121</v>
      </c>
      <c r="AO631" t="s">
        <v>122</v>
      </c>
      <c r="AP631" t="s">
        <v>122</v>
      </c>
      <c r="AQ631" t="s">
        <v>124</v>
      </c>
      <c r="AR631" t="s">
        <v>125</v>
      </c>
      <c r="AS631">
        <v>2</v>
      </c>
      <c r="AT631" t="s">
        <v>126</v>
      </c>
      <c r="AU631" t="s">
        <v>155</v>
      </c>
      <c r="AV631" t="s">
        <v>156</v>
      </c>
      <c r="AX631" t="s">
        <v>129</v>
      </c>
      <c r="AY631">
        <v>46555.199999999997</v>
      </c>
      <c r="BB631">
        <v>105.95440000000001</v>
      </c>
      <c r="BC631" t="s">
        <v>112</v>
      </c>
      <c r="BD631" t="s">
        <v>112</v>
      </c>
      <c r="BE631" t="s">
        <v>157</v>
      </c>
      <c r="BF631" t="s">
        <v>133</v>
      </c>
      <c r="BG631" t="s">
        <v>134</v>
      </c>
      <c r="BH631" t="s">
        <v>112</v>
      </c>
      <c r="BI631" t="s">
        <v>112</v>
      </c>
      <c r="BJ631" t="s">
        <v>112</v>
      </c>
      <c r="BK631" t="s">
        <v>158</v>
      </c>
      <c r="BL631" t="s">
        <v>159</v>
      </c>
      <c r="BM631" t="s">
        <v>212</v>
      </c>
      <c r="BN631" t="s">
        <v>161</v>
      </c>
      <c r="BP631" t="s">
        <v>213</v>
      </c>
      <c r="BR631" t="s">
        <v>150</v>
      </c>
      <c r="BS631">
        <v>33</v>
      </c>
      <c r="BT631">
        <v>0</v>
      </c>
      <c r="BU631">
        <v>0</v>
      </c>
      <c r="BW631">
        <v>0</v>
      </c>
      <c r="BY631" t="s">
        <v>106</v>
      </c>
      <c r="BZ631" t="s">
        <v>142</v>
      </c>
      <c r="CA631" t="s">
        <v>112</v>
      </c>
      <c r="CB631" t="s">
        <v>112</v>
      </c>
      <c r="CC631" t="s">
        <v>121</v>
      </c>
      <c r="CD631">
        <v>16631.099999999999</v>
      </c>
      <c r="CE631" t="s">
        <v>144</v>
      </c>
      <c r="CF631">
        <v>4000000</v>
      </c>
      <c r="CG631">
        <v>16415.099999999999</v>
      </c>
      <c r="CH631">
        <v>0</v>
      </c>
      <c r="CI631" t="s">
        <v>112</v>
      </c>
      <c r="CJ631" t="s">
        <v>112</v>
      </c>
      <c r="CK631">
        <v>46555.199999999997</v>
      </c>
      <c r="CM631">
        <v>0</v>
      </c>
      <c r="CN631">
        <v>1</v>
      </c>
      <c r="CO631">
        <v>5355486.34</v>
      </c>
      <c r="CP631">
        <v>53565.15</v>
      </c>
      <c r="CQ631" t="s">
        <v>145</v>
      </c>
      <c r="CR631">
        <v>53513.225999999995</v>
      </c>
      <c r="CS631">
        <v>3.26</v>
      </c>
      <c r="CT631">
        <v>45</v>
      </c>
      <c r="CV631" t="s">
        <v>163</v>
      </c>
      <c r="CW631">
        <v>600</v>
      </c>
    </row>
    <row r="632" spans="1:101" x14ac:dyDescent="0.2">
      <c r="A632" t="s">
        <v>106</v>
      </c>
      <c r="B632" s="46">
        <v>45264</v>
      </c>
      <c r="C632" t="s">
        <v>2106</v>
      </c>
      <c r="D632" t="s">
        <v>108</v>
      </c>
      <c r="E632" t="s">
        <v>2107</v>
      </c>
      <c r="F632" t="s">
        <v>110</v>
      </c>
      <c r="G632" t="s">
        <v>111</v>
      </c>
      <c r="H632" t="s">
        <v>112</v>
      </c>
      <c r="I632" t="s">
        <v>112</v>
      </c>
      <c r="J632" t="s">
        <v>112</v>
      </c>
      <c r="K632" t="s">
        <v>150</v>
      </c>
      <c r="L632" t="s">
        <v>151</v>
      </c>
      <c r="M632" t="s">
        <v>112</v>
      </c>
      <c r="N632" t="s">
        <v>112</v>
      </c>
      <c r="O632">
        <v>1</v>
      </c>
      <c r="Q632">
        <v>1</v>
      </c>
      <c r="R632">
        <v>33</v>
      </c>
      <c r="S632" t="s">
        <v>112</v>
      </c>
      <c r="T632" t="s">
        <v>152</v>
      </c>
      <c r="U632" t="s">
        <v>153</v>
      </c>
      <c r="V632" t="s">
        <v>154</v>
      </c>
      <c r="W632" t="s">
        <v>119</v>
      </c>
      <c r="X632" t="s">
        <v>112</v>
      </c>
      <c r="Y632" t="s">
        <v>112</v>
      </c>
      <c r="Z632" t="s">
        <v>152</v>
      </c>
      <c r="AA632" t="s">
        <v>153</v>
      </c>
      <c r="AB632" t="s">
        <v>154</v>
      </c>
      <c r="AC632" t="s">
        <v>119</v>
      </c>
      <c r="AD632" t="s">
        <v>112</v>
      </c>
      <c r="AE632" t="s">
        <v>121</v>
      </c>
      <c r="AF632" t="s">
        <v>122</v>
      </c>
      <c r="AG632">
        <v>5355486.34</v>
      </c>
      <c r="AH632" t="s">
        <v>112</v>
      </c>
      <c r="AI632" t="s">
        <v>152</v>
      </c>
      <c r="AJ632" t="s">
        <v>153</v>
      </c>
      <c r="AK632" t="s">
        <v>154</v>
      </c>
      <c r="AL632" t="s">
        <v>119</v>
      </c>
      <c r="AM632" t="s">
        <v>112</v>
      </c>
      <c r="AN632" t="s">
        <v>121</v>
      </c>
      <c r="AO632" t="s">
        <v>122</v>
      </c>
      <c r="AP632" t="s">
        <v>122</v>
      </c>
      <c r="AQ632" t="s">
        <v>124</v>
      </c>
      <c r="AR632" t="s">
        <v>125</v>
      </c>
      <c r="AS632">
        <v>2</v>
      </c>
      <c r="AT632" t="s">
        <v>126</v>
      </c>
      <c r="AU632" t="s">
        <v>155</v>
      </c>
      <c r="AV632" t="s">
        <v>156</v>
      </c>
      <c r="AX632" t="s">
        <v>129</v>
      </c>
      <c r="AY632">
        <v>46555.199999999997</v>
      </c>
      <c r="BB632">
        <v>105.95440000000001</v>
      </c>
      <c r="BC632" t="s">
        <v>112</v>
      </c>
      <c r="BD632" t="s">
        <v>112</v>
      </c>
      <c r="BE632" t="s">
        <v>157</v>
      </c>
      <c r="BF632" t="s">
        <v>133</v>
      </c>
      <c r="BG632" t="s">
        <v>134</v>
      </c>
      <c r="BH632" t="s">
        <v>112</v>
      </c>
      <c r="BI632" t="s">
        <v>112</v>
      </c>
      <c r="BJ632" t="s">
        <v>112</v>
      </c>
      <c r="BK632" t="s">
        <v>158</v>
      </c>
      <c r="BL632" t="s">
        <v>159</v>
      </c>
      <c r="BM632" t="s">
        <v>212</v>
      </c>
      <c r="BN632" t="s">
        <v>161</v>
      </c>
      <c r="BP632" t="s">
        <v>213</v>
      </c>
      <c r="BR632" t="s">
        <v>150</v>
      </c>
      <c r="BS632">
        <v>33</v>
      </c>
      <c r="BT632">
        <v>0</v>
      </c>
      <c r="BU632">
        <v>0</v>
      </c>
      <c r="BW632">
        <v>0</v>
      </c>
      <c r="BY632" t="s">
        <v>106</v>
      </c>
      <c r="BZ632" t="s">
        <v>142</v>
      </c>
      <c r="CA632" t="s">
        <v>112</v>
      </c>
      <c r="CB632" t="s">
        <v>112</v>
      </c>
      <c r="CC632" t="s">
        <v>121</v>
      </c>
      <c r="CD632">
        <v>16631.099999999999</v>
      </c>
      <c r="CE632" t="s">
        <v>144</v>
      </c>
      <c r="CF632">
        <v>4000000</v>
      </c>
      <c r="CG632">
        <v>16415.099999999999</v>
      </c>
      <c r="CH632">
        <v>0</v>
      </c>
      <c r="CI632" t="s">
        <v>112</v>
      </c>
      <c r="CJ632" t="s">
        <v>112</v>
      </c>
      <c r="CK632">
        <v>46555.199999999997</v>
      </c>
      <c r="CM632">
        <v>0</v>
      </c>
      <c r="CN632">
        <v>1</v>
      </c>
      <c r="CO632">
        <v>5355486.34</v>
      </c>
      <c r="CP632">
        <v>53565.15</v>
      </c>
      <c r="CQ632" t="s">
        <v>145</v>
      </c>
      <c r="CR632">
        <v>53513.225999999995</v>
      </c>
      <c r="CS632">
        <v>3.26</v>
      </c>
      <c r="CT632">
        <v>45</v>
      </c>
      <c r="CV632" t="s">
        <v>163</v>
      </c>
      <c r="CW632">
        <v>600</v>
      </c>
    </row>
    <row r="633" spans="1:101" x14ac:dyDescent="0.2">
      <c r="A633" t="s">
        <v>106</v>
      </c>
      <c r="B633" s="46">
        <v>45230</v>
      </c>
      <c r="C633" t="s">
        <v>1955</v>
      </c>
      <c r="D633" t="s">
        <v>108</v>
      </c>
      <c r="E633" t="s">
        <v>1956</v>
      </c>
      <c r="F633" t="s">
        <v>110</v>
      </c>
      <c r="G633" t="s">
        <v>111</v>
      </c>
      <c r="H633" t="s">
        <v>112</v>
      </c>
      <c r="I633" t="s">
        <v>112</v>
      </c>
      <c r="J633" t="s">
        <v>112</v>
      </c>
      <c r="K633" t="s">
        <v>150</v>
      </c>
      <c r="L633" t="s">
        <v>151</v>
      </c>
      <c r="M633" t="s">
        <v>112</v>
      </c>
      <c r="N633" t="s">
        <v>112</v>
      </c>
      <c r="O633">
        <v>1</v>
      </c>
      <c r="Q633">
        <v>1</v>
      </c>
      <c r="R633">
        <v>33</v>
      </c>
      <c r="S633" t="s">
        <v>112</v>
      </c>
      <c r="T633" t="s">
        <v>152</v>
      </c>
      <c r="U633" t="s">
        <v>153</v>
      </c>
      <c r="V633" t="s">
        <v>154</v>
      </c>
      <c r="W633" t="s">
        <v>119</v>
      </c>
      <c r="X633" t="s">
        <v>112</v>
      </c>
      <c r="Y633" t="s">
        <v>112</v>
      </c>
      <c r="Z633" t="s">
        <v>152</v>
      </c>
      <c r="AA633" t="s">
        <v>153</v>
      </c>
      <c r="AB633" t="s">
        <v>154</v>
      </c>
      <c r="AC633" t="s">
        <v>119</v>
      </c>
      <c r="AD633" t="s">
        <v>112</v>
      </c>
      <c r="AE633" t="s">
        <v>121</v>
      </c>
      <c r="AF633" t="s">
        <v>122</v>
      </c>
      <c r="AG633">
        <v>4407081.16</v>
      </c>
      <c r="AH633" t="s">
        <v>112</v>
      </c>
      <c r="AI633" t="s">
        <v>152</v>
      </c>
      <c r="AJ633" t="s">
        <v>153</v>
      </c>
      <c r="AK633" t="s">
        <v>154</v>
      </c>
      <c r="AL633" t="s">
        <v>119</v>
      </c>
      <c r="AM633" t="s">
        <v>112</v>
      </c>
      <c r="AN633" t="s">
        <v>121</v>
      </c>
      <c r="AO633" t="s">
        <v>122</v>
      </c>
      <c r="AP633" t="s">
        <v>122</v>
      </c>
      <c r="AQ633" t="s">
        <v>124</v>
      </c>
      <c r="AR633" t="s">
        <v>125</v>
      </c>
      <c r="AS633">
        <v>2</v>
      </c>
      <c r="AT633" t="s">
        <v>126</v>
      </c>
      <c r="AU633" t="s">
        <v>155</v>
      </c>
      <c r="AV633" t="s">
        <v>156</v>
      </c>
      <c r="AX633" t="s">
        <v>129</v>
      </c>
      <c r="AY633">
        <v>38436.839999999997</v>
      </c>
      <c r="BB633">
        <v>103.53319999999999</v>
      </c>
      <c r="BC633" t="s">
        <v>112</v>
      </c>
      <c r="BD633" t="s">
        <v>112</v>
      </c>
      <c r="BE633" t="s">
        <v>157</v>
      </c>
      <c r="BF633" t="s">
        <v>133</v>
      </c>
      <c r="BG633" t="s">
        <v>134</v>
      </c>
      <c r="BH633" t="s">
        <v>112</v>
      </c>
      <c r="BI633" t="s">
        <v>112</v>
      </c>
      <c r="BJ633" t="s">
        <v>112</v>
      </c>
      <c r="BK633" t="s">
        <v>169</v>
      </c>
      <c r="BL633" t="s">
        <v>159</v>
      </c>
      <c r="BM633" t="s">
        <v>212</v>
      </c>
      <c r="BN633" t="s">
        <v>161</v>
      </c>
      <c r="BP633" t="s">
        <v>213</v>
      </c>
      <c r="BR633" t="s">
        <v>150</v>
      </c>
      <c r="BS633">
        <v>33</v>
      </c>
      <c r="BT633">
        <v>0</v>
      </c>
      <c r="BU633">
        <v>0</v>
      </c>
      <c r="BW633">
        <v>0</v>
      </c>
      <c r="BY633" t="s">
        <v>106</v>
      </c>
      <c r="BZ633" t="s">
        <v>142</v>
      </c>
      <c r="CA633" t="s">
        <v>112</v>
      </c>
      <c r="CB633" t="s">
        <v>112</v>
      </c>
      <c r="CC633" t="s">
        <v>121</v>
      </c>
      <c r="CD633">
        <v>16548.63</v>
      </c>
      <c r="CE633" t="s">
        <v>144</v>
      </c>
      <c r="CF633">
        <v>4000000</v>
      </c>
      <c r="CG633">
        <v>16375.83</v>
      </c>
      <c r="CH633">
        <v>0</v>
      </c>
      <c r="CI633" t="s">
        <v>112</v>
      </c>
      <c r="CJ633" t="s">
        <v>112</v>
      </c>
      <c r="CK633">
        <v>38436.839999999997</v>
      </c>
      <c r="CM633">
        <v>0</v>
      </c>
      <c r="CN633">
        <v>1</v>
      </c>
      <c r="CO633">
        <v>4407081.16</v>
      </c>
      <c r="CP633">
        <v>45665.31</v>
      </c>
      <c r="CQ633" t="s">
        <v>145</v>
      </c>
      <c r="CR633">
        <v>45688.565699999999</v>
      </c>
      <c r="CS633">
        <v>2.79</v>
      </c>
      <c r="CT633">
        <v>45</v>
      </c>
      <c r="CV633" t="s">
        <v>206</v>
      </c>
      <c r="CW633">
        <v>140</v>
      </c>
    </row>
    <row r="634" spans="1:101" x14ac:dyDescent="0.2">
      <c r="A634" t="s">
        <v>106</v>
      </c>
      <c r="B634" s="46">
        <v>44791</v>
      </c>
      <c r="C634" t="s">
        <v>1955</v>
      </c>
      <c r="D634" t="s">
        <v>108</v>
      </c>
      <c r="E634" t="s">
        <v>1956</v>
      </c>
      <c r="F634" t="s">
        <v>110</v>
      </c>
      <c r="G634" t="s">
        <v>111</v>
      </c>
      <c r="H634" t="s">
        <v>112</v>
      </c>
      <c r="I634" t="s">
        <v>112</v>
      </c>
      <c r="J634" t="s">
        <v>112</v>
      </c>
      <c r="K634" t="s">
        <v>150</v>
      </c>
      <c r="L634" t="s">
        <v>151</v>
      </c>
      <c r="M634" t="s">
        <v>112</v>
      </c>
      <c r="N634" t="s">
        <v>112</v>
      </c>
      <c r="O634">
        <v>1</v>
      </c>
      <c r="Q634">
        <v>1</v>
      </c>
      <c r="R634">
        <v>33</v>
      </c>
      <c r="S634" t="s">
        <v>112</v>
      </c>
      <c r="T634" t="s">
        <v>152</v>
      </c>
      <c r="U634" t="s">
        <v>153</v>
      </c>
      <c r="V634" t="s">
        <v>154</v>
      </c>
      <c r="W634" t="s">
        <v>119</v>
      </c>
      <c r="X634" t="s">
        <v>112</v>
      </c>
      <c r="Y634" t="s">
        <v>112</v>
      </c>
      <c r="Z634" t="s">
        <v>152</v>
      </c>
      <c r="AA634" t="s">
        <v>153</v>
      </c>
      <c r="AB634" t="s">
        <v>154</v>
      </c>
      <c r="AC634" t="s">
        <v>119</v>
      </c>
      <c r="AD634" t="s">
        <v>112</v>
      </c>
      <c r="AE634" t="s">
        <v>121</v>
      </c>
      <c r="AF634" t="s">
        <v>122</v>
      </c>
      <c r="AG634">
        <v>4407081.16</v>
      </c>
      <c r="AH634" t="s">
        <v>112</v>
      </c>
      <c r="AI634" t="s">
        <v>152</v>
      </c>
      <c r="AJ634" t="s">
        <v>153</v>
      </c>
      <c r="AK634" t="s">
        <v>154</v>
      </c>
      <c r="AL634" t="s">
        <v>119</v>
      </c>
      <c r="AM634" t="s">
        <v>112</v>
      </c>
      <c r="AN634" t="s">
        <v>121</v>
      </c>
      <c r="AO634" t="s">
        <v>122</v>
      </c>
      <c r="AP634" t="s">
        <v>122</v>
      </c>
      <c r="AQ634" t="s">
        <v>124</v>
      </c>
      <c r="AR634" t="s">
        <v>125</v>
      </c>
      <c r="AS634">
        <v>2</v>
      </c>
      <c r="AT634" t="s">
        <v>126</v>
      </c>
      <c r="AU634" t="s">
        <v>155</v>
      </c>
      <c r="AV634" t="s">
        <v>156</v>
      </c>
      <c r="AX634" t="s">
        <v>129</v>
      </c>
      <c r="AY634">
        <v>38436.839999999997</v>
      </c>
      <c r="BB634">
        <v>103.53319999999999</v>
      </c>
      <c r="BC634" t="s">
        <v>112</v>
      </c>
      <c r="BD634" t="s">
        <v>112</v>
      </c>
      <c r="BE634" t="s">
        <v>157</v>
      </c>
      <c r="BF634" t="s">
        <v>133</v>
      </c>
      <c r="BG634" t="s">
        <v>134</v>
      </c>
      <c r="BH634" t="s">
        <v>112</v>
      </c>
      <c r="BI634" t="s">
        <v>112</v>
      </c>
      <c r="BJ634" t="s">
        <v>112</v>
      </c>
      <c r="BK634" t="s">
        <v>169</v>
      </c>
      <c r="BL634" t="s">
        <v>159</v>
      </c>
      <c r="BM634" t="s">
        <v>212</v>
      </c>
      <c r="BN634" t="s">
        <v>161</v>
      </c>
      <c r="BP634" t="s">
        <v>213</v>
      </c>
      <c r="BR634" t="s">
        <v>150</v>
      </c>
      <c r="BS634">
        <v>33</v>
      </c>
      <c r="BT634">
        <v>0</v>
      </c>
      <c r="BU634">
        <v>0</v>
      </c>
      <c r="BW634">
        <v>0</v>
      </c>
      <c r="BY634" t="s">
        <v>106</v>
      </c>
      <c r="BZ634" t="s">
        <v>142</v>
      </c>
      <c r="CA634" t="s">
        <v>112</v>
      </c>
      <c r="CB634" t="s">
        <v>112</v>
      </c>
      <c r="CC634" t="s">
        <v>121</v>
      </c>
      <c r="CD634">
        <v>16548.63</v>
      </c>
      <c r="CE634" t="s">
        <v>144</v>
      </c>
      <c r="CF634">
        <v>4000000</v>
      </c>
      <c r="CG634">
        <v>16375.83</v>
      </c>
      <c r="CH634">
        <v>0</v>
      </c>
      <c r="CI634" t="s">
        <v>112</v>
      </c>
      <c r="CJ634" t="s">
        <v>112</v>
      </c>
      <c r="CK634">
        <v>38436.839999999997</v>
      </c>
      <c r="CM634">
        <v>0</v>
      </c>
      <c r="CN634">
        <v>1</v>
      </c>
      <c r="CO634">
        <v>4407081.16</v>
      </c>
      <c r="CP634">
        <v>45665.31</v>
      </c>
      <c r="CQ634" t="s">
        <v>145</v>
      </c>
      <c r="CR634">
        <v>45688.565699999999</v>
      </c>
      <c r="CS634">
        <v>2.79</v>
      </c>
      <c r="CT634">
        <v>45</v>
      </c>
      <c r="CV634" t="s">
        <v>206</v>
      </c>
      <c r="CW634">
        <v>140</v>
      </c>
    </row>
    <row r="635" spans="1:101" x14ac:dyDescent="0.2">
      <c r="A635" t="s">
        <v>106</v>
      </c>
      <c r="B635" s="46">
        <v>45122</v>
      </c>
      <c r="C635" t="s">
        <v>1916</v>
      </c>
      <c r="D635" t="s">
        <v>108</v>
      </c>
      <c r="E635" t="s">
        <v>1917</v>
      </c>
      <c r="F635" t="s">
        <v>110</v>
      </c>
      <c r="G635" t="s">
        <v>111</v>
      </c>
      <c r="H635" t="s">
        <v>112</v>
      </c>
      <c r="I635" t="s">
        <v>112</v>
      </c>
      <c r="J635" t="s">
        <v>112</v>
      </c>
      <c r="K635" t="s">
        <v>150</v>
      </c>
      <c r="L635" t="s">
        <v>151</v>
      </c>
      <c r="M635" t="s">
        <v>112</v>
      </c>
      <c r="N635" t="s">
        <v>112</v>
      </c>
      <c r="O635">
        <v>1</v>
      </c>
      <c r="Q635">
        <v>1</v>
      </c>
      <c r="R635">
        <v>33</v>
      </c>
      <c r="S635" t="s">
        <v>112</v>
      </c>
      <c r="T635" t="s">
        <v>152</v>
      </c>
      <c r="U635" t="s">
        <v>153</v>
      </c>
      <c r="V635" t="s">
        <v>154</v>
      </c>
      <c r="W635" t="s">
        <v>119</v>
      </c>
      <c r="X635" t="s">
        <v>112</v>
      </c>
      <c r="Y635" t="s">
        <v>112</v>
      </c>
      <c r="Z635" t="s">
        <v>152</v>
      </c>
      <c r="AA635" t="s">
        <v>153</v>
      </c>
      <c r="AB635" t="s">
        <v>154</v>
      </c>
      <c r="AC635" t="s">
        <v>119</v>
      </c>
      <c r="AD635" t="s">
        <v>112</v>
      </c>
      <c r="AE635" t="s">
        <v>121</v>
      </c>
      <c r="AF635" t="s">
        <v>122</v>
      </c>
      <c r="AG635">
        <v>4839626.3099999996</v>
      </c>
      <c r="AH635" t="s">
        <v>112</v>
      </c>
      <c r="AI635" t="s">
        <v>152</v>
      </c>
      <c r="AJ635" t="s">
        <v>153</v>
      </c>
      <c r="AK635" t="s">
        <v>154</v>
      </c>
      <c r="AL635" t="s">
        <v>119</v>
      </c>
      <c r="AM635" t="s">
        <v>112</v>
      </c>
      <c r="AN635" t="s">
        <v>121</v>
      </c>
      <c r="AO635" t="s">
        <v>122</v>
      </c>
      <c r="AP635" t="s">
        <v>122</v>
      </c>
      <c r="AQ635" t="s">
        <v>124</v>
      </c>
      <c r="AR635" t="s">
        <v>125</v>
      </c>
      <c r="AS635">
        <v>2</v>
      </c>
      <c r="AT635" t="s">
        <v>126</v>
      </c>
      <c r="AU635" t="s">
        <v>155</v>
      </c>
      <c r="AV635" t="s">
        <v>156</v>
      </c>
      <c r="AX635" t="s">
        <v>129</v>
      </c>
      <c r="AY635">
        <v>41914.68</v>
      </c>
      <c r="BB635">
        <v>103.53319999999999</v>
      </c>
      <c r="BC635" t="s">
        <v>112</v>
      </c>
      <c r="BD635" t="s">
        <v>112</v>
      </c>
      <c r="BE635" t="s">
        <v>157</v>
      </c>
      <c r="BF635" t="s">
        <v>133</v>
      </c>
      <c r="BG635" t="s">
        <v>134</v>
      </c>
      <c r="BH635" t="s">
        <v>112</v>
      </c>
      <c r="BI635" t="s">
        <v>112</v>
      </c>
      <c r="BJ635" t="s">
        <v>112</v>
      </c>
      <c r="BK635" t="s">
        <v>169</v>
      </c>
      <c r="BL635" t="s">
        <v>159</v>
      </c>
      <c r="BM635" t="s">
        <v>212</v>
      </c>
      <c r="BN635" t="s">
        <v>161</v>
      </c>
      <c r="BP635" t="s">
        <v>205</v>
      </c>
      <c r="BR635" t="s">
        <v>150</v>
      </c>
      <c r="BS635">
        <v>33</v>
      </c>
      <c r="BT635">
        <v>0</v>
      </c>
      <c r="BU635">
        <v>0</v>
      </c>
      <c r="BW635">
        <v>0</v>
      </c>
      <c r="BY635" t="s">
        <v>106</v>
      </c>
      <c r="BZ635" t="s">
        <v>142</v>
      </c>
      <c r="CA635" t="s">
        <v>112</v>
      </c>
      <c r="CB635" t="s">
        <v>112</v>
      </c>
      <c r="CC635" t="s">
        <v>121</v>
      </c>
      <c r="CD635">
        <v>16673.37</v>
      </c>
      <c r="CE635" t="s">
        <v>144</v>
      </c>
      <c r="CF635">
        <v>4000000</v>
      </c>
      <c r="CG635">
        <v>16635.79</v>
      </c>
      <c r="CH635">
        <v>0</v>
      </c>
      <c r="CI635" t="s">
        <v>112</v>
      </c>
      <c r="CJ635" t="s">
        <v>112</v>
      </c>
      <c r="CK635">
        <v>41914.68</v>
      </c>
      <c r="CM635">
        <v>0</v>
      </c>
      <c r="CN635">
        <v>1</v>
      </c>
      <c r="CO635">
        <v>4839626.3099999996</v>
      </c>
      <c r="CP635">
        <v>50147.25</v>
      </c>
      <c r="CQ635" t="s">
        <v>145</v>
      </c>
      <c r="CR635">
        <v>50073.727899999998</v>
      </c>
      <c r="CS635">
        <v>3.01</v>
      </c>
      <c r="CT635">
        <v>45</v>
      </c>
      <c r="CV635" t="s">
        <v>233</v>
      </c>
      <c r="CW635">
        <v>321</v>
      </c>
    </row>
    <row r="636" spans="1:101" x14ac:dyDescent="0.2">
      <c r="A636" t="s">
        <v>106</v>
      </c>
      <c r="B636" s="46">
        <v>45051</v>
      </c>
      <c r="C636" t="s">
        <v>1957</v>
      </c>
      <c r="D636" t="s">
        <v>108</v>
      </c>
      <c r="E636" t="s">
        <v>1958</v>
      </c>
      <c r="F636" t="s">
        <v>110</v>
      </c>
      <c r="G636" t="s">
        <v>111</v>
      </c>
      <c r="H636" t="s">
        <v>112</v>
      </c>
      <c r="I636" t="s">
        <v>112</v>
      </c>
      <c r="J636" t="s">
        <v>112</v>
      </c>
      <c r="K636" t="s">
        <v>150</v>
      </c>
      <c r="L636" t="s">
        <v>151</v>
      </c>
      <c r="M636" t="s">
        <v>112</v>
      </c>
      <c r="N636" t="s">
        <v>112</v>
      </c>
      <c r="O636">
        <v>1</v>
      </c>
      <c r="Q636">
        <v>1</v>
      </c>
      <c r="R636">
        <v>33</v>
      </c>
      <c r="S636" t="s">
        <v>112</v>
      </c>
      <c r="T636" t="s">
        <v>152</v>
      </c>
      <c r="U636" t="s">
        <v>153</v>
      </c>
      <c r="V636" t="s">
        <v>154</v>
      </c>
      <c r="W636" t="s">
        <v>119</v>
      </c>
      <c r="X636" t="s">
        <v>112</v>
      </c>
      <c r="Y636" t="s">
        <v>112</v>
      </c>
      <c r="Z636" t="s">
        <v>152</v>
      </c>
      <c r="AA636" t="s">
        <v>153</v>
      </c>
      <c r="AB636" t="s">
        <v>154</v>
      </c>
      <c r="AC636" t="s">
        <v>119</v>
      </c>
      <c r="AD636" t="s">
        <v>112</v>
      </c>
      <c r="AE636" t="s">
        <v>121</v>
      </c>
      <c r="AF636" t="s">
        <v>122</v>
      </c>
      <c r="AG636">
        <v>4780533.7</v>
      </c>
      <c r="AH636" t="s">
        <v>112</v>
      </c>
      <c r="AI636" t="s">
        <v>152</v>
      </c>
      <c r="AJ636" t="s">
        <v>153</v>
      </c>
      <c r="AK636" t="s">
        <v>154</v>
      </c>
      <c r="AL636" t="s">
        <v>119</v>
      </c>
      <c r="AM636" t="s">
        <v>112</v>
      </c>
      <c r="AN636" t="s">
        <v>121</v>
      </c>
      <c r="AO636" t="s">
        <v>122</v>
      </c>
      <c r="AP636" t="s">
        <v>122</v>
      </c>
      <c r="AQ636" t="s">
        <v>124</v>
      </c>
      <c r="AR636" t="s">
        <v>125</v>
      </c>
      <c r="AS636">
        <v>2</v>
      </c>
      <c r="AT636" t="s">
        <v>126</v>
      </c>
      <c r="AU636" t="s">
        <v>155</v>
      </c>
      <c r="AV636" t="s">
        <v>156</v>
      </c>
      <c r="AX636" t="s">
        <v>129</v>
      </c>
      <c r="AY636">
        <v>42043.92</v>
      </c>
      <c r="BB636">
        <v>103.53319999999999</v>
      </c>
      <c r="BC636" t="s">
        <v>112</v>
      </c>
      <c r="BD636" t="s">
        <v>112</v>
      </c>
      <c r="BE636" t="s">
        <v>157</v>
      </c>
      <c r="BF636" t="s">
        <v>133</v>
      </c>
      <c r="BG636" t="s">
        <v>134</v>
      </c>
      <c r="BH636" t="s">
        <v>112</v>
      </c>
      <c r="BI636" t="s">
        <v>112</v>
      </c>
      <c r="BJ636" t="s">
        <v>112</v>
      </c>
      <c r="BK636" t="s">
        <v>169</v>
      </c>
      <c r="BL636" t="s">
        <v>159</v>
      </c>
      <c r="BM636" t="s">
        <v>212</v>
      </c>
      <c r="BN636" t="s">
        <v>161</v>
      </c>
      <c r="BP636" t="s">
        <v>162</v>
      </c>
      <c r="BR636" t="s">
        <v>150</v>
      </c>
      <c r="BS636">
        <v>33</v>
      </c>
      <c r="BT636">
        <v>0</v>
      </c>
      <c r="BU636">
        <v>0</v>
      </c>
      <c r="BW636">
        <v>0</v>
      </c>
      <c r="BY636" t="s">
        <v>106</v>
      </c>
      <c r="BZ636" t="s">
        <v>142</v>
      </c>
      <c r="CA636" t="s">
        <v>112</v>
      </c>
      <c r="CB636" t="s">
        <v>112</v>
      </c>
      <c r="CC636" t="s">
        <v>121</v>
      </c>
      <c r="CD636">
        <v>16363.65</v>
      </c>
      <c r="CE636" t="s">
        <v>144</v>
      </c>
      <c r="CF636">
        <v>4000000</v>
      </c>
      <c r="CG636">
        <v>16363.65</v>
      </c>
      <c r="CH636">
        <v>0</v>
      </c>
      <c r="CI636" t="s">
        <v>112</v>
      </c>
      <c r="CJ636" t="s">
        <v>112</v>
      </c>
      <c r="CK636">
        <v>42043.92</v>
      </c>
      <c r="CM636">
        <v>0</v>
      </c>
      <c r="CN636">
        <v>1</v>
      </c>
      <c r="CO636">
        <v>4780533.7</v>
      </c>
      <c r="CP636">
        <v>49534.95</v>
      </c>
      <c r="CQ636" t="s">
        <v>145</v>
      </c>
      <c r="CR636">
        <v>49581.859499999999</v>
      </c>
      <c r="CS636">
        <v>3.03</v>
      </c>
      <c r="CT636">
        <v>45</v>
      </c>
      <c r="CV636" t="s">
        <v>1140</v>
      </c>
      <c r="CW636">
        <v>557</v>
      </c>
    </row>
    <row r="637" spans="1:101" x14ac:dyDescent="0.2">
      <c r="A637" t="s">
        <v>106</v>
      </c>
      <c r="B637" s="46">
        <v>44605</v>
      </c>
      <c r="C637" t="s">
        <v>1957</v>
      </c>
      <c r="D637" t="s">
        <v>108</v>
      </c>
      <c r="E637" t="s">
        <v>1958</v>
      </c>
      <c r="F637" t="s">
        <v>110</v>
      </c>
      <c r="G637" t="s">
        <v>111</v>
      </c>
      <c r="H637" t="s">
        <v>112</v>
      </c>
      <c r="I637" t="s">
        <v>112</v>
      </c>
      <c r="J637" t="s">
        <v>112</v>
      </c>
      <c r="K637" t="s">
        <v>150</v>
      </c>
      <c r="L637" t="s">
        <v>151</v>
      </c>
      <c r="M637" t="s">
        <v>112</v>
      </c>
      <c r="N637" t="s">
        <v>112</v>
      </c>
      <c r="O637">
        <v>1</v>
      </c>
      <c r="Q637">
        <v>1</v>
      </c>
      <c r="R637">
        <v>33</v>
      </c>
      <c r="S637" t="s">
        <v>112</v>
      </c>
      <c r="T637" t="s">
        <v>152</v>
      </c>
      <c r="U637" t="s">
        <v>153</v>
      </c>
      <c r="V637" t="s">
        <v>154</v>
      </c>
      <c r="W637" t="s">
        <v>119</v>
      </c>
      <c r="X637" t="s">
        <v>112</v>
      </c>
      <c r="Y637" t="s">
        <v>112</v>
      </c>
      <c r="Z637" t="s">
        <v>152</v>
      </c>
      <c r="AA637" t="s">
        <v>153</v>
      </c>
      <c r="AB637" t="s">
        <v>154</v>
      </c>
      <c r="AC637" t="s">
        <v>119</v>
      </c>
      <c r="AD637" t="s">
        <v>112</v>
      </c>
      <c r="AE637" t="s">
        <v>121</v>
      </c>
      <c r="AF637" t="s">
        <v>122</v>
      </c>
      <c r="AG637">
        <v>4780533.7</v>
      </c>
      <c r="AH637" t="s">
        <v>112</v>
      </c>
      <c r="AI637" t="s">
        <v>152</v>
      </c>
      <c r="AJ637" t="s">
        <v>153</v>
      </c>
      <c r="AK637" t="s">
        <v>154</v>
      </c>
      <c r="AL637" t="s">
        <v>119</v>
      </c>
      <c r="AM637" t="s">
        <v>112</v>
      </c>
      <c r="AN637" t="s">
        <v>121</v>
      </c>
      <c r="AO637" t="s">
        <v>122</v>
      </c>
      <c r="AP637" t="s">
        <v>122</v>
      </c>
      <c r="AQ637" t="s">
        <v>124</v>
      </c>
      <c r="AR637" t="s">
        <v>125</v>
      </c>
      <c r="AS637">
        <v>2</v>
      </c>
      <c r="AT637" t="s">
        <v>126</v>
      </c>
      <c r="AU637" t="s">
        <v>155</v>
      </c>
      <c r="AV637" t="s">
        <v>156</v>
      </c>
      <c r="AX637" t="s">
        <v>129</v>
      </c>
      <c r="AY637">
        <v>42043.92</v>
      </c>
      <c r="BB637">
        <v>103.53319999999999</v>
      </c>
      <c r="BC637" t="s">
        <v>112</v>
      </c>
      <c r="BD637" t="s">
        <v>112</v>
      </c>
      <c r="BE637" t="s">
        <v>157</v>
      </c>
      <c r="BF637" t="s">
        <v>133</v>
      </c>
      <c r="BG637" t="s">
        <v>134</v>
      </c>
      <c r="BH637" t="s">
        <v>112</v>
      </c>
      <c r="BI637" t="s">
        <v>112</v>
      </c>
      <c r="BJ637" t="s">
        <v>112</v>
      </c>
      <c r="BK637" t="s">
        <v>169</v>
      </c>
      <c r="BL637" t="s">
        <v>159</v>
      </c>
      <c r="BM637" t="s">
        <v>212</v>
      </c>
      <c r="BN637" t="s">
        <v>161</v>
      </c>
      <c r="BP637" t="s">
        <v>162</v>
      </c>
      <c r="BR637" t="s">
        <v>150</v>
      </c>
      <c r="BS637">
        <v>33</v>
      </c>
      <c r="BT637">
        <v>0</v>
      </c>
      <c r="BU637">
        <v>0</v>
      </c>
      <c r="BW637">
        <v>0</v>
      </c>
      <c r="BY637" t="s">
        <v>106</v>
      </c>
      <c r="BZ637" t="s">
        <v>142</v>
      </c>
      <c r="CA637" t="s">
        <v>112</v>
      </c>
      <c r="CB637" t="s">
        <v>112</v>
      </c>
      <c r="CC637" t="s">
        <v>121</v>
      </c>
      <c r="CD637">
        <v>16363.65</v>
      </c>
      <c r="CE637" t="s">
        <v>144</v>
      </c>
      <c r="CF637">
        <v>4000000</v>
      </c>
      <c r="CG637">
        <v>16363.65</v>
      </c>
      <c r="CH637">
        <v>0</v>
      </c>
      <c r="CI637" t="s">
        <v>112</v>
      </c>
      <c r="CJ637" t="s">
        <v>112</v>
      </c>
      <c r="CK637">
        <v>42043.92</v>
      </c>
      <c r="CM637">
        <v>0</v>
      </c>
      <c r="CN637">
        <v>1</v>
      </c>
      <c r="CO637">
        <v>4780533.7</v>
      </c>
      <c r="CP637">
        <v>49534.95</v>
      </c>
      <c r="CQ637" t="s">
        <v>145</v>
      </c>
      <c r="CR637">
        <v>49581.859499999999</v>
      </c>
      <c r="CS637">
        <v>3.03</v>
      </c>
      <c r="CT637">
        <v>45</v>
      </c>
      <c r="CV637" t="s">
        <v>1140</v>
      </c>
      <c r="CW637">
        <v>557</v>
      </c>
    </row>
    <row r="638" spans="1:101" x14ac:dyDescent="0.2">
      <c r="A638" t="s">
        <v>106</v>
      </c>
      <c r="B638" s="46">
        <v>44972</v>
      </c>
      <c r="C638" t="s">
        <v>1986</v>
      </c>
      <c r="D638" t="s">
        <v>108</v>
      </c>
      <c r="E638" t="s">
        <v>1987</v>
      </c>
      <c r="F638" t="s">
        <v>110</v>
      </c>
      <c r="G638" t="s">
        <v>111</v>
      </c>
      <c r="H638" t="s">
        <v>112</v>
      </c>
      <c r="I638" t="s">
        <v>112</v>
      </c>
      <c r="J638" t="s">
        <v>112</v>
      </c>
      <c r="K638" t="s">
        <v>150</v>
      </c>
      <c r="L638" t="s">
        <v>151</v>
      </c>
      <c r="M638" t="s">
        <v>112</v>
      </c>
      <c r="N638" t="s">
        <v>112</v>
      </c>
      <c r="O638">
        <v>1</v>
      </c>
      <c r="Q638">
        <v>1</v>
      </c>
      <c r="R638">
        <v>33</v>
      </c>
      <c r="S638" t="s">
        <v>112</v>
      </c>
      <c r="T638" t="s">
        <v>152</v>
      </c>
      <c r="U638" t="s">
        <v>153</v>
      </c>
      <c r="V638" t="s">
        <v>154</v>
      </c>
      <c r="W638" t="s">
        <v>119</v>
      </c>
      <c r="X638" t="s">
        <v>112</v>
      </c>
      <c r="Y638" t="s">
        <v>112</v>
      </c>
      <c r="Z638" t="s">
        <v>152</v>
      </c>
      <c r="AA638" t="s">
        <v>153</v>
      </c>
      <c r="AB638" t="s">
        <v>154</v>
      </c>
      <c r="AC638" t="s">
        <v>119</v>
      </c>
      <c r="AD638" t="s">
        <v>112</v>
      </c>
      <c r="AE638" t="s">
        <v>121</v>
      </c>
      <c r="AF638" t="s">
        <v>122</v>
      </c>
      <c r="AG638">
        <v>4773398.1900000004</v>
      </c>
      <c r="AH638" t="s">
        <v>112</v>
      </c>
      <c r="AI638" t="s">
        <v>152</v>
      </c>
      <c r="AJ638" t="s">
        <v>153</v>
      </c>
      <c r="AK638" t="s">
        <v>154</v>
      </c>
      <c r="AL638" t="s">
        <v>119</v>
      </c>
      <c r="AM638" t="s">
        <v>112</v>
      </c>
      <c r="AN638" t="s">
        <v>121</v>
      </c>
      <c r="AO638" t="s">
        <v>122</v>
      </c>
      <c r="AP638" t="s">
        <v>122</v>
      </c>
      <c r="AQ638" t="s">
        <v>124</v>
      </c>
      <c r="AR638" t="s">
        <v>125</v>
      </c>
      <c r="AS638">
        <v>2</v>
      </c>
      <c r="AT638" t="s">
        <v>126</v>
      </c>
      <c r="AU638" t="s">
        <v>155</v>
      </c>
      <c r="AV638" t="s">
        <v>156</v>
      </c>
      <c r="AX638" t="s">
        <v>129</v>
      </c>
      <c r="AY638">
        <v>41455</v>
      </c>
      <c r="BB638">
        <v>103.53319999999999</v>
      </c>
      <c r="BC638" t="s">
        <v>112</v>
      </c>
      <c r="BD638" t="s">
        <v>112</v>
      </c>
      <c r="BE638" t="s">
        <v>157</v>
      </c>
      <c r="BF638" t="s">
        <v>133</v>
      </c>
      <c r="BG638" t="s">
        <v>167</v>
      </c>
      <c r="BH638" t="s">
        <v>112</v>
      </c>
      <c r="BI638" t="s">
        <v>112</v>
      </c>
      <c r="BJ638" t="s">
        <v>112</v>
      </c>
      <c r="BK638" t="s">
        <v>169</v>
      </c>
      <c r="BL638" t="s">
        <v>159</v>
      </c>
      <c r="BM638" t="s">
        <v>160</v>
      </c>
      <c r="BN638" t="s">
        <v>161</v>
      </c>
      <c r="BP638" t="s">
        <v>205</v>
      </c>
      <c r="BR638" t="s">
        <v>150</v>
      </c>
      <c r="BS638">
        <v>33</v>
      </c>
      <c r="BT638">
        <v>0</v>
      </c>
      <c r="BU638">
        <v>0</v>
      </c>
      <c r="BW638">
        <v>0</v>
      </c>
      <c r="BY638" t="s">
        <v>106</v>
      </c>
      <c r="BZ638" t="s">
        <v>142</v>
      </c>
      <c r="CA638" t="s">
        <v>112</v>
      </c>
      <c r="CB638" t="s">
        <v>112</v>
      </c>
      <c r="CC638" t="s">
        <v>121</v>
      </c>
      <c r="CD638">
        <v>16569.84</v>
      </c>
      <c r="CE638" t="s">
        <v>144</v>
      </c>
      <c r="CF638">
        <v>4000000</v>
      </c>
      <c r="CG638">
        <v>16440.240000000002</v>
      </c>
      <c r="CH638">
        <v>0</v>
      </c>
      <c r="CI638" t="s">
        <v>112</v>
      </c>
      <c r="CJ638" t="s">
        <v>112</v>
      </c>
      <c r="CK638">
        <v>41455</v>
      </c>
      <c r="CM638">
        <v>0</v>
      </c>
      <c r="CN638">
        <v>1</v>
      </c>
      <c r="CO638">
        <v>4773398.1900000004</v>
      </c>
      <c r="CP638">
        <v>49461.01</v>
      </c>
      <c r="CQ638" t="s">
        <v>145</v>
      </c>
      <c r="CR638">
        <v>49485.1224</v>
      </c>
      <c r="CS638">
        <v>3.01</v>
      </c>
      <c r="CT638">
        <v>45</v>
      </c>
      <c r="CV638" t="s">
        <v>206</v>
      </c>
      <c r="CW638">
        <v>324</v>
      </c>
    </row>
    <row r="639" spans="1:101" x14ac:dyDescent="0.2">
      <c r="A639" t="s">
        <v>106</v>
      </c>
      <c r="B639" s="46">
        <v>45224</v>
      </c>
      <c r="C639" t="s">
        <v>1986</v>
      </c>
      <c r="D639" t="s">
        <v>108</v>
      </c>
      <c r="E639" t="s">
        <v>1987</v>
      </c>
      <c r="F639" t="s">
        <v>110</v>
      </c>
      <c r="G639" t="s">
        <v>111</v>
      </c>
      <c r="H639" t="s">
        <v>112</v>
      </c>
      <c r="I639" t="s">
        <v>112</v>
      </c>
      <c r="J639" t="s">
        <v>112</v>
      </c>
      <c r="K639" t="s">
        <v>150</v>
      </c>
      <c r="L639" t="s">
        <v>151</v>
      </c>
      <c r="M639" t="s">
        <v>112</v>
      </c>
      <c r="N639" t="s">
        <v>112</v>
      </c>
      <c r="O639">
        <v>1</v>
      </c>
      <c r="Q639">
        <v>1</v>
      </c>
      <c r="R639">
        <v>33</v>
      </c>
      <c r="S639" t="s">
        <v>112</v>
      </c>
      <c r="T639" t="s">
        <v>152</v>
      </c>
      <c r="U639" t="s">
        <v>153</v>
      </c>
      <c r="V639" t="s">
        <v>154</v>
      </c>
      <c r="W639" t="s">
        <v>119</v>
      </c>
      <c r="X639" t="s">
        <v>112</v>
      </c>
      <c r="Y639" t="s">
        <v>112</v>
      </c>
      <c r="Z639" t="s">
        <v>152</v>
      </c>
      <c r="AA639" t="s">
        <v>153</v>
      </c>
      <c r="AB639" t="s">
        <v>154</v>
      </c>
      <c r="AC639" t="s">
        <v>119</v>
      </c>
      <c r="AD639" t="s">
        <v>112</v>
      </c>
      <c r="AE639" t="s">
        <v>121</v>
      </c>
      <c r="AF639" t="s">
        <v>122</v>
      </c>
      <c r="AG639">
        <v>4773398.1900000004</v>
      </c>
      <c r="AH639" t="s">
        <v>112</v>
      </c>
      <c r="AI639" t="s">
        <v>152</v>
      </c>
      <c r="AJ639" t="s">
        <v>153</v>
      </c>
      <c r="AK639" t="s">
        <v>154</v>
      </c>
      <c r="AL639" t="s">
        <v>119</v>
      </c>
      <c r="AM639" t="s">
        <v>112</v>
      </c>
      <c r="AN639" t="s">
        <v>121</v>
      </c>
      <c r="AO639" t="s">
        <v>122</v>
      </c>
      <c r="AP639" t="s">
        <v>122</v>
      </c>
      <c r="AQ639" t="s">
        <v>124</v>
      </c>
      <c r="AR639" t="s">
        <v>125</v>
      </c>
      <c r="AS639">
        <v>2</v>
      </c>
      <c r="AT639" t="s">
        <v>126</v>
      </c>
      <c r="AU639" t="s">
        <v>155</v>
      </c>
      <c r="AV639" t="s">
        <v>156</v>
      </c>
      <c r="AX639" t="s">
        <v>129</v>
      </c>
      <c r="AY639">
        <v>41455</v>
      </c>
      <c r="BB639">
        <v>103.53319999999999</v>
      </c>
      <c r="BC639" t="s">
        <v>112</v>
      </c>
      <c r="BD639" t="s">
        <v>112</v>
      </c>
      <c r="BE639" t="s">
        <v>157</v>
      </c>
      <c r="BF639" t="s">
        <v>133</v>
      </c>
      <c r="BG639" t="s">
        <v>167</v>
      </c>
      <c r="BH639" t="s">
        <v>112</v>
      </c>
      <c r="BI639" t="s">
        <v>112</v>
      </c>
      <c r="BJ639" t="s">
        <v>112</v>
      </c>
      <c r="BK639" t="s">
        <v>169</v>
      </c>
      <c r="BL639" t="s">
        <v>159</v>
      </c>
      <c r="BM639" t="s">
        <v>160</v>
      </c>
      <c r="BN639" t="s">
        <v>161</v>
      </c>
      <c r="BP639" t="s">
        <v>205</v>
      </c>
      <c r="BR639" t="s">
        <v>150</v>
      </c>
      <c r="BS639">
        <v>33</v>
      </c>
      <c r="BT639">
        <v>0</v>
      </c>
      <c r="BU639">
        <v>0</v>
      </c>
      <c r="BW639">
        <v>0</v>
      </c>
      <c r="BY639" t="s">
        <v>106</v>
      </c>
      <c r="BZ639" t="s">
        <v>142</v>
      </c>
      <c r="CA639" t="s">
        <v>112</v>
      </c>
      <c r="CB639" t="s">
        <v>112</v>
      </c>
      <c r="CC639" t="s">
        <v>121</v>
      </c>
      <c r="CD639">
        <v>16569.84</v>
      </c>
      <c r="CE639" t="s">
        <v>144</v>
      </c>
      <c r="CF639">
        <v>4000000</v>
      </c>
      <c r="CG639">
        <v>16440.240000000002</v>
      </c>
      <c r="CH639">
        <v>0</v>
      </c>
      <c r="CI639" t="s">
        <v>112</v>
      </c>
      <c r="CJ639" t="s">
        <v>112</v>
      </c>
      <c r="CK639">
        <v>41455</v>
      </c>
      <c r="CM639">
        <v>0</v>
      </c>
      <c r="CN639">
        <v>1</v>
      </c>
      <c r="CO639">
        <v>4773398.1900000004</v>
      </c>
      <c r="CP639">
        <v>49461.01</v>
      </c>
      <c r="CQ639" t="s">
        <v>145</v>
      </c>
      <c r="CR639">
        <v>49485.1224</v>
      </c>
      <c r="CS639">
        <v>3.01</v>
      </c>
      <c r="CT639">
        <v>45</v>
      </c>
      <c r="CV639" t="s">
        <v>206</v>
      </c>
      <c r="CW639">
        <v>324</v>
      </c>
    </row>
    <row r="640" spans="1:101" x14ac:dyDescent="0.2">
      <c r="A640" t="s">
        <v>106</v>
      </c>
      <c r="B640" s="46">
        <v>45104</v>
      </c>
      <c r="C640" t="s">
        <v>1452</v>
      </c>
      <c r="D640" t="s">
        <v>108</v>
      </c>
      <c r="E640" t="s">
        <v>1453</v>
      </c>
      <c r="F640" t="s">
        <v>110</v>
      </c>
      <c r="G640" t="s">
        <v>111</v>
      </c>
      <c r="H640" t="s">
        <v>112</v>
      </c>
      <c r="I640" t="s">
        <v>112</v>
      </c>
      <c r="J640" t="s">
        <v>112</v>
      </c>
      <c r="K640" t="s">
        <v>150</v>
      </c>
      <c r="L640" t="s">
        <v>1439</v>
      </c>
      <c r="M640" t="s">
        <v>112</v>
      </c>
      <c r="N640" t="s">
        <v>112</v>
      </c>
      <c r="O640">
        <v>1</v>
      </c>
      <c r="P640">
        <v>0</v>
      </c>
      <c r="Q640">
        <v>1</v>
      </c>
      <c r="R640">
        <v>33</v>
      </c>
      <c r="S640" t="s">
        <v>166</v>
      </c>
      <c r="T640" t="s">
        <v>152</v>
      </c>
      <c r="U640" t="s">
        <v>153</v>
      </c>
      <c r="V640" t="s">
        <v>154</v>
      </c>
      <c r="W640" t="s">
        <v>119</v>
      </c>
      <c r="X640" t="s">
        <v>112</v>
      </c>
      <c r="Y640" t="s">
        <v>166</v>
      </c>
      <c r="Z640" t="s">
        <v>152</v>
      </c>
      <c r="AA640" t="s">
        <v>153</v>
      </c>
      <c r="AB640" t="s">
        <v>154</v>
      </c>
      <c r="AC640" t="s">
        <v>119</v>
      </c>
      <c r="AD640" t="s">
        <v>112</v>
      </c>
      <c r="AE640" t="s">
        <v>121</v>
      </c>
      <c r="AF640" t="s">
        <v>122</v>
      </c>
      <c r="AG640">
        <v>4626579.01</v>
      </c>
      <c r="AH640" t="s">
        <v>166</v>
      </c>
      <c r="AI640" t="s">
        <v>152</v>
      </c>
      <c r="AJ640" t="s">
        <v>153</v>
      </c>
      <c r="AK640" t="s">
        <v>154</v>
      </c>
      <c r="AL640" t="s">
        <v>119</v>
      </c>
      <c r="AM640" t="s">
        <v>112</v>
      </c>
      <c r="AN640" t="s">
        <v>121</v>
      </c>
      <c r="AO640" t="s">
        <v>122</v>
      </c>
      <c r="AP640" t="s">
        <v>122</v>
      </c>
      <c r="AQ640" t="s">
        <v>124</v>
      </c>
      <c r="AR640" t="s">
        <v>125</v>
      </c>
      <c r="AS640">
        <v>2</v>
      </c>
      <c r="AT640" t="s">
        <v>126</v>
      </c>
      <c r="AU640" t="s">
        <v>155</v>
      </c>
      <c r="AV640" t="s">
        <v>156</v>
      </c>
      <c r="AW640">
        <v>1</v>
      </c>
      <c r="AX640" t="s">
        <v>129</v>
      </c>
      <c r="AY640">
        <v>42285.48</v>
      </c>
      <c r="AZ640">
        <v>4214911</v>
      </c>
      <c r="BA640">
        <v>51119.88</v>
      </c>
      <c r="BB640">
        <v>99.677499999999995</v>
      </c>
      <c r="BC640" t="s">
        <v>130</v>
      </c>
      <c r="BD640" t="s">
        <v>112</v>
      </c>
      <c r="BE640" t="s">
        <v>157</v>
      </c>
      <c r="BF640" t="s">
        <v>133</v>
      </c>
      <c r="BG640" t="s">
        <v>134</v>
      </c>
      <c r="BH640" t="s">
        <v>112</v>
      </c>
      <c r="BI640" t="s">
        <v>112</v>
      </c>
      <c r="BJ640" t="s">
        <v>112</v>
      </c>
      <c r="BK640" t="s">
        <v>169</v>
      </c>
      <c r="BL640" t="s">
        <v>159</v>
      </c>
      <c r="BM640" t="s">
        <v>722</v>
      </c>
      <c r="BN640" t="s">
        <v>161</v>
      </c>
      <c r="BO640">
        <v>1</v>
      </c>
      <c r="BP640" t="s">
        <v>466</v>
      </c>
      <c r="BR640" t="s">
        <v>150</v>
      </c>
      <c r="BS640">
        <v>33</v>
      </c>
      <c r="BT640">
        <v>0</v>
      </c>
      <c r="BU640">
        <v>0</v>
      </c>
      <c r="BW640">
        <v>0</v>
      </c>
      <c r="BY640" t="s">
        <v>106</v>
      </c>
      <c r="BZ640" t="s">
        <v>142</v>
      </c>
      <c r="CA640" t="s">
        <v>112</v>
      </c>
      <c r="CB640" t="s">
        <v>112</v>
      </c>
      <c r="CC640" t="s">
        <v>121</v>
      </c>
      <c r="CD640">
        <v>16095.65</v>
      </c>
      <c r="CE640" t="s">
        <v>144</v>
      </c>
      <c r="CF640">
        <v>4000000</v>
      </c>
      <c r="CG640">
        <v>15965.45</v>
      </c>
      <c r="CH640">
        <v>0</v>
      </c>
      <c r="CI640" t="s">
        <v>112</v>
      </c>
      <c r="CJ640" t="s">
        <v>112</v>
      </c>
      <c r="CK640">
        <v>42285.48</v>
      </c>
      <c r="CL640">
        <v>4214911</v>
      </c>
      <c r="CM640">
        <v>0</v>
      </c>
      <c r="CN640">
        <v>1</v>
      </c>
      <c r="CO640">
        <v>4626579.01</v>
      </c>
      <c r="CP640">
        <v>51119.88</v>
      </c>
      <c r="CQ640" t="s">
        <v>145</v>
      </c>
      <c r="CR640">
        <v>51089.440000000002</v>
      </c>
      <c r="CS640">
        <v>3.2</v>
      </c>
      <c r="CT640">
        <v>45</v>
      </c>
      <c r="CU640" t="s">
        <v>171</v>
      </c>
      <c r="CV640" t="s">
        <v>350</v>
      </c>
      <c r="CW640">
        <v>212</v>
      </c>
    </row>
    <row r="641" spans="1:101" x14ac:dyDescent="0.2">
      <c r="A641" t="s">
        <v>106</v>
      </c>
      <c r="B641" s="46">
        <v>45136</v>
      </c>
      <c r="C641" t="s">
        <v>1457</v>
      </c>
      <c r="D641" t="s">
        <v>108</v>
      </c>
      <c r="E641" t="s">
        <v>1458</v>
      </c>
      <c r="F641" t="s">
        <v>110</v>
      </c>
      <c r="G641" t="s">
        <v>111</v>
      </c>
      <c r="H641" t="s">
        <v>112</v>
      </c>
      <c r="I641" t="s">
        <v>112</v>
      </c>
      <c r="J641" t="s">
        <v>112</v>
      </c>
      <c r="K641" t="s">
        <v>150</v>
      </c>
      <c r="L641" t="s">
        <v>1439</v>
      </c>
      <c r="M641" t="s">
        <v>112</v>
      </c>
      <c r="N641" t="s">
        <v>112</v>
      </c>
      <c r="O641">
        <v>1</v>
      </c>
      <c r="P641">
        <v>0</v>
      </c>
      <c r="Q641">
        <v>1</v>
      </c>
      <c r="R641">
        <v>33</v>
      </c>
      <c r="S641" t="s">
        <v>166</v>
      </c>
      <c r="T641" t="s">
        <v>152</v>
      </c>
      <c r="U641" t="s">
        <v>153</v>
      </c>
      <c r="V641" t="s">
        <v>154</v>
      </c>
      <c r="W641" t="s">
        <v>119</v>
      </c>
      <c r="X641" t="s">
        <v>112</v>
      </c>
      <c r="Y641" t="s">
        <v>166</v>
      </c>
      <c r="Z641" t="s">
        <v>152</v>
      </c>
      <c r="AA641" t="s">
        <v>153</v>
      </c>
      <c r="AB641" t="s">
        <v>154</v>
      </c>
      <c r="AC641" t="s">
        <v>119</v>
      </c>
      <c r="AD641" t="s">
        <v>112</v>
      </c>
      <c r="AE641" t="s">
        <v>121</v>
      </c>
      <c r="AF641" t="s">
        <v>122</v>
      </c>
      <c r="AG641">
        <v>4668694.75</v>
      </c>
      <c r="AH641" t="s">
        <v>166</v>
      </c>
      <c r="AI641" t="s">
        <v>152</v>
      </c>
      <c r="AJ641" t="s">
        <v>153</v>
      </c>
      <c r="AK641" t="s">
        <v>154</v>
      </c>
      <c r="AL641" t="s">
        <v>119</v>
      </c>
      <c r="AM641" t="s">
        <v>112</v>
      </c>
      <c r="AN641" t="s">
        <v>121</v>
      </c>
      <c r="AO641" t="s">
        <v>122</v>
      </c>
      <c r="AP641" t="s">
        <v>122</v>
      </c>
      <c r="AQ641" t="s">
        <v>124</v>
      </c>
      <c r="AR641" t="s">
        <v>125</v>
      </c>
      <c r="AS641">
        <v>2</v>
      </c>
      <c r="AT641" t="s">
        <v>126</v>
      </c>
      <c r="AU641" t="s">
        <v>155</v>
      </c>
      <c r="AV641" t="s">
        <v>156</v>
      </c>
      <c r="AW641">
        <v>1</v>
      </c>
      <c r="AX641" t="s">
        <v>129</v>
      </c>
      <c r="AY641">
        <v>42708</v>
      </c>
      <c r="AZ641">
        <v>4257027</v>
      </c>
      <c r="BA641">
        <v>51585.22</v>
      </c>
      <c r="BB641">
        <v>99.677499999999995</v>
      </c>
      <c r="BC641" t="s">
        <v>130</v>
      </c>
      <c r="BD641" t="s">
        <v>112</v>
      </c>
      <c r="BE641" t="s">
        <v>157</v>
      </c>
      <c r="BF641" t="s">
        <v>133</v>
      </c>
      <c r="BG641" t="s">
        <v>134</v>
      </c>
      <c r="BH641" t="s">
        <v>112</v>
      </c>
      <c r="BI641" t="s">
        <v>112</v>
      </c>
      <c r="BJ641" t="s">
        <v>112</v>
      </c>
      <c r="BK641" t="s">
        <v>169</v>
      </c>
      <c r="BL641" t="s">
        <v>159</v>
      </c>
      <c r="BM641" t="s">
        <v>722</v>
      </c>
      <c r="BN641" t="s">
        <v>161</v>
      </c>
      <c r="BO641">
        <v>1</v>
      </c>
      <c r="BP641" t="s">
        <v>653</v>
      </c>
      <c r="BR641" t="s">
        <v>150</v>
      </c>
      <c r="BS641">
        <v>33</v>
      </c>
      <c r="BT641">
        <v>0</v>
      </c>
      <c r="BU641">
        <v>0</v>
      </c>
      <c r="BW641">
        <v>0</v>
      </c>
      <c r="BY641" t="s">
        <v>106</v>
      </c>
      <c r="BZ641" t="s">
        <v>142</v>
      </c>
      <c r="CA641" t="s">
        <v>112</v>
      </c>
      <c r="CB641" t="s">
        <v>112</v>
      </c>
      <c r="CC641" t="s">
        <v>121</v>
      </c>
      <c r="CD641">
        <v>16259.34</v>
      </c>
      <c r="CE641" t="s">
        <v>144</v>
      </c>
      <c r="CF641">
        <v>4000000</v>
      </c>
      <c r="CG641">
        <v>16086.6</v>
      </c>
      <c r="CH641">
        <v>0</v>
      </c>
      <c r="CI641" t="s">
        <v>112</v>
      </c>
      <c r="CJ641" t="s">
        <v>112</v>
      </c>
      <c r="CK641">
        <v>42708</v>
      </c>
      <c r="CL641">
        <v>4257027</v>
      </c>
      <c r="CM641">
        <v>0</v>
      </c>
      <c r="CN641">
        <v>1</v>
      </c>
      <c r="CO641">
        <v>4668694.75</v>
      </c>
      <c r="CP641">
        <v>51585.22</v>
      </c>
      <c r="CQ641" t="s">
        <v>145</v>
      </c>
      <c r="CR641">
        <v>51637.985999999997</v>
      </c>
      <c r="CS641">
        <v>3.21</v>
      </c>
      <c r="CT641">
        <v>45</v>
      </c>
      <c r="CU641" t="s">
        <v>171</v>
      </c>
      <c r="CV641" t="s">
        <v>372</v>
      </c>
      <c r="CW641">
        <v>567</v>
      </c>
    </row>
    <row r="642" spans="1:101" x14ac:dyDescent="0.2">
      <c r="A642" t="s">
        <v>106</v>
      </c>
      <c r="B642" s="46">
        <v>45112</v>
      </c>
      <c r="C642" t="s">
        <v>1454</v>
      </c>
      <c r="D642" t="s">
        <v>108</v>
      </c>
      <c r="E642" t="s">
        <v>1455</v>
      </c>
      <c r="F642" t="s">
        <v>110</v>
      </c>
      <c r="G642" t="s">
        <v>111</v>
      </c>
      <c r="H642" t="s">
        <v>112</v>
      </c>
      <c r="I642" t="s">
        <v>112</v>
      </c>
      <c r="J642" t="s">
        <v>112</v>
      </c>
      <c r="K642" t="s">
        <v>150</v>
      </c>
      <c r="L642" t="s">
        <v>1439</v>
      </c>
      <c r="M642" t="s">
        <v>112</v>
      </c>
      <c r="N642" t="s">
        <v>112</v>
      </c>
      <c r="O642">
        <v>1</v>
      </c>
      <c r="P642">
        <v>0</v>
      </c>
      <c r="Q642">
        <v>1</v>
      </c>
      <c r="R642">
        <v>33</v>
      </c>
      <c r="S642" t="s">
        <v>166</v>
      </c>
      <c r="T642" t="s">
        <v>152</v>
      </c>
      <c r="U642" t="s">
        <v>153</v>
      </c>
      <c r="V642" t="s">
        <v>154</v>
      </c>
      <c r="W642" t="s">
        <v>119</v>
      </c>
      <c r="X642" t="s">
        <v>112</v>
      </c>
      <c r="Y642" t="s">
        <v>166</v>
      </c>
      <c r="Z642" t="s">
        <v>152</v>
      </c>
      <c r="AA642" t="s">
        <v>153</v>
      </c>
      <c r="AB642" t="s">
        <v>154</v>
      </c>
      <c r="AC642" t="s">
        <v>119</v>
      </c>
      <c r="AD642" t="s">
        <v>112</v>
      </c>
      <c r="AE642" t="s">
        <v>121</v>
      </c>
      <c r="AF642" t="s">
        <v>122</v>
      </c>
      <c r="AG642">
        <v>5159726.05</v>
      </c>
      <c r="AH642" t="s">
        <v>166</v>
      </c>
      <c r="AI642" t="s">
        <v>152</v>
      </c>
      <c r="AJ642" t="s">
        <v>153</v>
      </c>
      <c r="AK642" t="s">
        <v>154</v>
      </c>
      <c r="AL642" t="s">
        <v>119</v>
      </c>
      <c r="AM642" t="s">
        <v>112</v>
      </c>
      <c r="AN642" t="s">
        <v>121</v>
      </c>
      <c r="AO642" t="s">
        <v>122</v>
      </c>
      <c r="AP642" t="s">
        <v>122</v>
      </c>
      <c r="AQ642" t="s">
        <v>124</v>
      </c>
      <c r="AR642" t="s">
        <v>125</v>
      </c>
      <c r="AS642">
        <v>2</v>
      </c>
      <c r="AT642" t="s">
        <v>126</v>
      </c>
      <c r="AU642" t="s">
        <v>155</v>
      </c>
      <c r="AV642" t="s">
        <v>156</v>
      </c>
      <c r="AW642">
        <v>1</v>
      </c>
      <c r="AX642" t="s">
        <v>129</v>
      </c>
      <c r="AY642">
        <v>47634.2</v>
      </c>
      <c r="AZ642">
        <v>4748058</v>
      </c>
      <c r="BA642">
        <v>57010.71</v>
      </c>
      <c r="BB642">
        <v>99.677499999999995</v>
      </c>
      <c r="BC642" t="s">
        <v>130</v>
      </c>
      <c r="BD642" t="s">
        <v>112</v>
      </c>
      <c r="BE642" t="s">
        <v>157</v>
      </c>
      <c r="BF642" t="s">
        <v>133</v>
      </c>
      <c r="BG642" t="s">
        <v>134</v>
      </c>
      <c r="BH642" t="s">
        <v>112</v>
      </c>
      <c r="BI642" t="s">
        <v>112</v>
      </c>
      <c r="BJ642" t="s">
        <v>112</v>
      </c>
      <c r="BK642" t="s">
        <v>169</v>
      </c>
      <c r="BL642" t="s">
        <v>159</v>
      </c>
      <c r="BM642" t="s">
        <v>722</v>
      </c>
      <c r="BN642" t="s">
        <v>161</v>
      </c>
      <c r="BO642">
        <v>1</v>
      </c>
      <c r="BP642" t="s">
        <v>1456</v>
      </c>
      <c r="BR642" t="s">
        <v>150</v>
      </c>
      <c r="BS642">
        <v>33</v>
      </c>
      <c r="BT642">
        <v>0</v>
      </c>
      <c r="BU642">
        <v>0</v>
      </c>
      <c r="BW642">
        <v>0</v>
      </c>
      <c r="BY642" t="s">
        <v>106</v>
      </c>
      <c r="BZ642" t="s">
        <v>142</v>
      </c>
      <c r="CA642" t="s">
        <v>112</v>
      </c>
      <c r="CB642" t="s">
        <v>112</v>
      </c>
      <c r="CC642" t="s">
        <v>121</v>
      </c>
      <c r="CD642">
        <v>16840.5</v>
      </c>
      <c r="CE642" t="s">
        <v>144</v>
      </c>
      <c r="CF642">
        <v>4000000</v>
      </c>
      <c r="CG642">
        <v>16840.5</v>
      </c>
      <c r="CH642">
        <v>0</v>
      </c>
      <c r="CI642" t="s">
        <v>112</v>
      </c>
      <c r="CJ642" t="s">
        <v>112</v>
      </c>
      <c r="CK642">
        <v>47634.2</v>
      </c>
      <c r="CL642">
        <v>4748058</v>
      </c>
      <c r="CM642">
        <v>0</v>
      </c>
      <c r="CN642">
        <v>1</v>
      </c>
      <c r="CO642">
        <v>5159726.05</v>
      </c>
      <c r="CP642">
        <v>57010.71</v>
      </c>
      <c r="CQ642" t="s">
        <v>145</v>
      </c>
      <c r="CR642">
        <v>57089.295000000006</v>
      </c>
      <c r="CS642">
        <v>3.39</v>
      </c>
      <c r="CT642">
        <v>45</v>
      </c>
      <c r="CU642" t="s">
        <v>171</v>
      </c>
      <c r="CV642" t="s">
        <v>463</v>
      </c>
      <c r="CW642">
        <v>286</v>
      </c>
    </row>
    <row r="643" spans="1:101" x14ac:dyDescent="0.2">
      <c r="A643" t="s">
        <v>106</v>
      </c>
      <c r="B643" s="46">
        <v>45241</v>
      </c>
      <c r="C643" t="s">
        <v>1172</v>
      </c>
      <c r="D643" t="s">
        <v>108</v>
      </c>
      <c r="E643" t="s">
        <v>1173</v>
      </c>
      <c r="F643" t="s">
        <v>110</v>
      </c>
      <c r="G643" t="s">
        <v>111</v>
      </c>
      <c r="H643" t="s">
        <v>112</v>
      </c>
      <c r="I643" t="s">
        <v>112</v>
      </c>
      <c r="J643" t="s">
        <v>112</v>
      </c>
      <c r="K643" t="s">
        <v>150</v>
      </c>
      <c r="L643" t="s">
        <v>1143</v>
      </c>
      <c r="M643" t="s">
        <v>112</v>
      </c>
      <c r="N643" t="s">
        <v>112</v>
      </c>
      <c r="O643">
        <v>1</v>
      </c>
      <c r="P643">
        <v>0</v>
      </c>
      <c r="Q643">
        <v>1</v>
      </c>
      <c r="R643">
        <v>33</v>
      </c>
      <c r="S643" t="s">
        <v>166</v>
      </c>
      <c r="T643" t="s">
        <v>152</v>
      </c>
      <c r="U643" t="s">
        <v>153</v>
      </c>
      <c r="V643" t="s">
        <v>154</v>
      </c>
      <c r="W643" t="s">
        <v>119</v>
      </c>
      <c r="X643" t="s">
        <v>112</v>
      </c>
      <c r="Y643" t="s">
        <v>166</v>
      </c>
      <c r="Z643" t="s">
        <v>152</v>
      </c>
      <c r="AA643" t="s">
        <v>153</v>
      </c>
      <c r="AB643" t="s">
        <v>154</v>
      </c>
      <c r="AC643" t="s">
        <v>119</v>
      </c>
      <c r="AD643" t="s">
        <v>112</v>
      </c>
      <c r="AE643" t="s">
        <v>121</v>
      </c>
      <c r="AF643" t="s">
        <v>122</v>
      </c>
      <c r="AG643">
        <v>4027549.81</v>
      </c>
      <c r="AH643" t="s">
        <v>166</v>
      </c>
      <c r="AI643" t="s">
        <v>152</v>
      </c>
      <c r="AJ643" t="s">
        <v>153</v>
      </c>
      <c r="AK643" t="s">
        <v>154</v>
      </c>
      <c r="AL643" t="s">
        <v>119</v>
      </c>
      <c r="AM643" t="s">
        <v>112</v>
      </c>
      <c r="AN643" t="s">
        <v>121</v>
      </c>
      <c r="AO643" t="s">
        <v>122</v>
      </c>
      <c r="AP643" t="s">
        <v>122</v>
      </c>
      <c r="AQ643" t="s">
        <v>124</v>
      </c>
      <c r="AR643" t="s">
        <v>125</v>
      </c>
      <c r="AS643">
        <v>2</v>
      </c>
      <c r="AT643" t="s">
        <v>126</v>
      </c>
      <c r="AU643" t="s">
        <v>155</v>
      </c>
      <c r="AV643" t="s">
        <v>156</v>
      </c>
      <c r="AW643">
        <v>1</v>
      </c>
      <c r="AX643" t="s">
        <v>129</v>
      </c>
      <c r="AY643">
        <v>44460.44</v>
      </c>
      <c r="AZ643">
        <v>3685224</v>
      </c>
      <c r="BA643">
        <v>53074.67</v>
      </c>
      <c r="BB643">
        <v>82.887699999999995</v>
      </c>
      <c r="BC643" t="s">
        <v>130</v>
      </c>
      <c r="BD643" t="s">
        <v>112</v>
      </c>
      <c r="BE643" t="s">
        <v>157</v>
      </c>
      <c r="BF643" t="s">
        <v>133</v>
      </c>
      <c r="BG643" t="s">
        <v>134</v>
      </c>
      <c r="BH643" t="s">
        <v>112</v>
      </c>
      <c r="BI643" t="s">
        <v>112</v>
      </c>
      <c r="BJ643" t="s">
        <v>112</v>
      </c>
      <c r="BK643" t="s">
        <v>169</v>
      </c>
      <c r="BL643" t="s">
        <v>159</v>
      </c>
      <c r="BM643" t="s">
        <v>722</v>
      </c>
      <c r="BN643" t="s">
        <v>161</v>
      </c>
      <c r="BO643">
        <v>1</v>
      </c>
      <c r="BP643" t="s">
        <v>162</v>
      </c>
      <c r="BR643" t="s">
        <v>150</v>
      </c>
      <c r="BS643">
        <v>33</v>
      </c>
      <c r="BT643">
        <v>0</v>
      </c>
      <c r="BU643">
        <v>0</v>
      </c>
      <c r="BW643">
        <v>0</v>
      </c>
      <c r="BY643" t="s">
        <v>106</v>
      </c>
      <c r="BZ643" t="s">
        <v>142</v>
      </c>
      <c r="CA643" t="s">
        <v>112</v>
      </c>
      <c r="CB643" t="s">
        <v>112</v>
      </c>
      <c r="CC643" t="s">
        <v>121</v>
      </c>
      <c r="CD643">
        <v>17453.28</v>
      </c>
      <c r="CE643" t="s">
        <v>144</v>
      </c>
      <c r="CF643">
        <v>4000000</v>
      </c>
      <c r="CG643">
        <v>17453.28</v>
      </c>
      <c r="CH643">
        <v>0</v>
      </c>
      <c r="CI643" t="s">
        <v>112</v>
      </c>
      <c r="CJ643" t="s">
        <v>112</v>
      </c>
      <c r="CK643">
        <v>44460.44</v>
      </c>
      <c r="CL643">
        <v>3685224</v>
      </c>
      <c r="CM643">
        <v>0</v>
      </c>
      <c r="CN643">
        <v>1</v>
      </c>
      <c r="CO643">
        <v>4027549.81</v>
      </c>
      <c r="CP643">
        <v>53074.67</v>
      </c>
      <c r="CQ643" t="s">
        <v>145</v>
      </c>
      <c r="CR643">
        <v>53075.424479999994</v>
      </c>
      <c r="CS643">
        <v>3.0409999999999999</v>
      </c>
      <c r="CT643">
        <v>45</v>
      </c>
      <c r="CU643" t="s">
        <v>171</v>
      </c>
      <c r="CV643" t="s">
        <v>350</v>
      </c>
      <c r="CW643">
        <v>42</v>
      </c>
    </row>
    <row r="644" spans="1:101" x14ac:dyDescent="0.2">
      <c r="A644" t="s">
        <v>106</v>
      </c>
      <c r="B644" s="46">
        <v>45045</v>
      </c>
      <c r="C644" t="s">
        <v>1168</v>
      </c>
      <c r="D644" t="s">
        <v>108</v>
      </c>
      <c r="E644" t="s">
        <v>1169</v>
      </c>
      <c r="F644" t="s">
        <v>110</v>
      </c>
      <c r="G644" t="s">
        <v>111</v>
      </c>
      <c r="H644" t="s">
        <v>112</v>
      </c>
      <c r="I644" t="s">
        <v>112</v>
      </c>
      <c r="J644" t="s">
        <v>112</v>
      </c>
      <c r="K644" t="s">
        <v>150</v>
      </c>
      <c r="L644" t="s">
        <v>1143</v>
      </c>
      <c r="M644" t="s">
        <v>112</v>
      </c>
      <c r="N644" t="s">
        <v>112</v>
      </c>
      <c r="O644">
        <v>1</v>
      </c>
      <c r="P644">
        <v>0</v>
      </c>
      <c r="Q644">
        <v>1</v>
      </c>
      <c r="R644">
        <v>33</v>
      </c>
      <c r="S644" t="s">
        <v>166</v>
      </c>
      <c r="T644" t="s">
        <v>152</v>
      </c>
      <c r="U644" t="s">
        <v>153</v>
      </c>
      <c r="V644" t="s">
        <v>154</v>
      </c>
      <c r="W644" t="s">
        <v>119</v>
      </c>
      <c r="X644" t="s">
        <v>112</v>
      </c>
      <c r="Y644" t="s">
        <v>166</v>
      </c>
      <c r="Z644" t="s">
        <v>152</v>
      </c>
      <c r="AA644" t="s">
        <v>153</v>
      </c>
      <c r="AB644" t="s">
        <v>154</v>
      </c>
      <c r="AC644" t="s">
        <v>119</v>
      </c>
      <c r="AD644" t="s">
        <v>112</v>
      </c>
      <c r="AE644" t="s">
        <v>121</v>
      </c>
      <c r="AF644" t="s">
        <v>122</v>
      </c>
      <c r="AG644">
        <v>3924858.58</v>
      </c>
      <c r="AH644" t="s">
        <v>166</v>
      </c>
      <c r="AI644" t="s">
        <v>152</v>
      </c>
      <c r="AJ644" t="s">
        <v>153</v>
      </c>
      <c r="AK644" t="s">
        <v>154</v>
      </c>
      <c r="AL644" t="s">
        <v>119</v>
      </c>
      <c r="AM644" t="s">
        <v>112</v>
      </c>
      <c r="AN644" t="s">
        <v>121</v>
      </c>
      <c r="AO644" t="s">
        <v>122</v>
      </c>
      <c r="AP644" t="s">
        <v>122</v>
      </c>
      <c r="AQ644" t="s">
        <v>124</v>
      </c>
      <c r="AR644" t="s">
        <v>125</v>
      </c>
      <c r="AS644">
        <v>2</v>
      </c>
      <c r="AT644" t="s">
        <v>126</v>
      </c>
      <c r="AU644" t="s">
        <v>155</v>
      </c>
      <c r="AV644" t="s">
        <v>156</v>
      </c>
      <c r="AW644">
        <v>1</v>
      </c>
      <c r="AX644" t="s">
        <v>129</v>
      </c>
      <c r="AY644">
        <v>43221.52</v>
      </c>
      <c r="AZ644">
        <v>3582532</v>
      </c>
      <c r="BA644">
        <v>51721.41</v>
      </c>
      <c r="BB644">
        <v>82.887699999999995</v>
      </c>
      <c r="BC644" t="s">
        <v>130</v>
      </c>
      <c r="BD644" t="s">
        <v>112</v>
      </c>
      <c r="BE644" t="s">
        <v>157</v>
      </c>
      <c r="BF644" t="s">
        <v>133</v>
      </c>
      <c r="BG644" t="s">
        <v>134</v>
      </c>
      <c r="BH644" t="s">
        <v>112</v>
      </c>
      <c r="BI644" t="s">
        <v>112</v>
      </c>
      <c r="BJ644" t="s">
        <v>112</v>
      </c>
      <c r="BK644" t="s">
        <v>169</v>
      </c>
      <c r="BL644" t="s">
        <v>159</v>
      </c>
      <c r="BM644" t="s">
        <v>722</v>
      </c>
      <c r="BN644" t="s">
        <v>161</v>
      </c>
      <c r="BO644">
        <v>1</v>
      </c>
      <c r="BP644" t="s">
        <v>232</v>
      </c>
      <c r="BR644" t="s">
        <v>150</v>
      </c>
      <c r="BS644">
        <v>33</v>
      </c>
      <c r="BT644">
        <v>0</v>
      </c>
      <c r="BU644">
        <v>0</v>
      </c>
      <c r="BW644">
        <v>0</v>
      </c>
      <c r="BY644" t="s">
        <v>106</v>
      </c>
      <c r="BZ644" t="s">
        <v>142</v>
      </c>
      <c r="CA644" t="s">
        <v>112</v>
      </c>
      <c r="CB644" t="s">
        <v>112</v>
      </c>
      <c r="CC644" t="s">
        <v>121</v>
      </c>
      <c r="CD644">
        <v>17483.62</v>
      </c>
      <c r="CE644" t="s">
        <v>144</v>
      </c>
      <c r="CF644">
        <v>4000000</v>
      </c>
      <c r="CG644">
        <v>17483.62</v>
      </c>
      <c r="CH644">
        <v>0</v>
      </c>
      <c r="CI644" t="s">
        <v>112</v>
      </c>
      <c r="CJ644" t="s">
        <v>112</v>
      </c>
      <c r="CK644">
        <v>43221.52</v>
      </c>
      <c r="CL644">
        <v>3582532</v>
      </c>
      <c r="CM644">
        <v>0</v>
      </c>
      <c r="CN644">
        <v>1</v>
      </c>
      <c r="CO644">
        <v>3924858.58</v>
      </c>
      <c r="CP644">
        <v>51721.41</v>
      </c>
      <c r="CQ644" t="s">
        <v>145</v>
      </c>
      <c r="CR644">
        <v>51721.793045999999</v>
      </c>
      <c r="CS644">
        <v>2.9582999999999999</v>
      </c>
      <c r="CT644">
        <v>45</v>
      </c>
      <c r="CU644" t="s">
        <v>171</v>
      </c>
      <c r="CV644" t="s">
        <v>463</v>
      </c>
      <c r="CW644">
        <v>68</v>
      </c>
    </row>
    <row r="645" spans="1:101" x14ac:dyDescent="0.2">
      <c r="A645" t="s">
        <v>106</v>
      </c>
      <c r="B645" s="46">
        <v>45135</v>
      </c>
      <c r="C645" t="s">
        <v>1166</v>
      </c>
      <c r="D645" t="s">
        <v>108</v>
      </c>
      <c r="E645" t="s">
        <v>1167</v>
      </c>
      <c r="F645" t="s">
        <v>110</v>
      </c>
      <c r="G645" t="s">
        <v>111</v>
      </c>
      <c r="H645" t="s">
        <v>112</v>
      </c>
      <c r="I645" t="s">
        <v>112</v>
      </c>
      <c r="J645" t="s">
        <v>112</v>
      </c>
      <c r="K645" t="s">
        <v>150</v>
      </c>
      <c r="L645" t="s">
        <v>1143</v>
      </c>
      <c r="M645" t="s">
        <v>112</v>
      </c>
      <c r="N645" t="s">
        <v>112</v>
      </c>
      <c r="O645">
        <v>1</v>
      </c>
      <c r="P645">
        <v>0</v>
      </c>
      <c r="Q645">
        <v>1</v>
      </c>
      <c r="R645">
        <v>33</v>
      </c>
      <c r="S645" t="s">
        <v>166</v>
      </c>
      <c r="T645" t="s">
        <v>152</v>
      </c>
      <c r="U645" t="s">
        <v>153</v>
      </c>
      <c r="V645" t="s">
        <v>154</v>
      </c>
      <c r="W645" t="s">
        <v>119</v>
      </c>
      <c r="X645" t="s">
        <v>112</v>
      </c>
      <c r="Y645" t="s">
        <v>166</v>
      </c>
      <c r="Z645" t="s">
        <v>152</v>
      </c>
      <c r="AA645" t="s">
        <v>153</v>
      </c>
      <c r="AB645" t="s">
        <v>154</v>
      </c>
      <c r="AC645" t="s">
        <v>119</v>
      </c>
      <c r="AD645" t="s">
        <v>112</v>
      </c>
      <c r="AE645" t="s">
        <v>121</v>
      </c>
      <c r="AF645" t="s">
        <v>122</v>
      </c>
      <c r="AG645">
        <v>4164047.63</v>
      </c>
      <c r="AH645" t="s">
        <v>166</v>
      </c>
      <c r="AI645" t="s">
        <v>152</v>
      </c>
      <c r="AJ645" t="s">
        <v>153</v>
      </c>
      <c r="AK645" t="s">
        <v>154</v>
      </c>
      <c r="AL645" t="s">
        <v>119</v>
      </c>
      <c r="AM645" t="s">
        <v>112</v>
      </c>
      <c r="AN645" t="s">
        <v>121</v>
      </c>
      <c r="AO645" t="s">
        <v>122</v>
      </c>
      <c r="AP645" t="s">
        <v>122</v>
      </c>
      <c r="AQ645" t="s">
        <v>124</v>
      </c>
      <c r="AR645" t="s">
        <v>125</v>
      </c>
      <c r="AS645">
        <v>2</v>
      </c>
      <c r="AT645" t="s">
        <v>126</v>
      </c>
      <c r="AU645" t="s">
        <v>155</v>
      </c>
      <c r="AV645" t="s">
        <v>156</v>
      </c>
      <c r="AW645">
        <v>1</v>
      </c>
      <c r="AX645" t="s">
        <v>129</v>
      </c>
      <c r="AY645">
        <v>45587.22</v>
      </c>
      <c r="AZ645">
        <v>3778620</v>
      </c>
      <c r="BA645">
        <v>54873.42</v>
      </c>
      <c r="BB645">
        <v>82.887699999999995</v>
      </c>
      <c r="BC645" t="s">
        <v>130</v>
      </c>
      <c r="BD645" t="s">
        <v>112</v>
      </c>
      <c r="BE645" t="s">
        <v>157</v>
      </c>
      <c r="BF645" t="s">
        <v>133</v>
      </c>
      <c r="BG645" t="s">
        <v>134</v>
      </c>
      <c r="BH645" t="s">
        <v>112</v>
      </c>
      <c r="BI645" t="s">
        <v>112</v>
      </c>
      <c r="BJ645" t="s">
        <v>112</v>
      </c>
      <c r="BK645" t="s">
        <v>169</v>
      </c>
      <c r="BL645" t="s">
        <v>159</v>
      </c>
      <c r="BM645" t="s">
        <v>722</v>
      </c>
      <c r="BN645" t="s">
        <v>161</v>
      </c>
      <c r="BO645">
        <v>1</v>
      </c>
      <c r="BP645" t="s">
        <v>162</v>
      </c>
      <c r="BR645" t="s">
        <v>150</v>
      </c>
      <c r="BS645">
        <v>33</v>
      </c>
      <c r="BT645">
        <v>0</v>
      </c>
      <c r="BU645">
        <v>0</v>
      </c>
      <c r="BW645">
        <v>0</v>
      </c>
      <c r="BY645" t="s">
        <v>106</v>
      </c>
      <c r="BZ645" t="s">
        <v>142</v>
      </c>
      <c r="CA645" t="s">
        <v>112</v>
      </c>
      <c r="CB645" t="s">
        <v>112</v>
      </c>
      <c r="CC645" t="s">
        <v>121</v>
      </c>
      <c r="CD645">
        <v>16886.23</v>
      </c>
      <c r="CE645" t="s">
        <v>144</v>
      </c>
      <c r="CF645">
        <v>4000000</v>
      </c>
      <c r="CG645">
        <v>16886.23</v>
      </c>
      <c r="CH645">
        <v>0</v>
      </c>
      <c r="CI645" t="s">
        <v>112</v>
      </c>
      <c r="CJ645" t="s">
        <v>112</v>
      </c>
      <c r="CK645">
        <v>45587.22</v>
      </c>
      <c r="CL645">
        <v>3778620</v>
      </c>
      <c r="CM645">
        <v>0</v>
      </c>
      <c r="CN645">
        <v>1</v>
      </c>
      <c r="CO645">
        <v>4164047.63</v>
      </c>
      <c r="CP645">
        <v>54873.42</v>
      </c>
      <c r="CQ645" t="s">
        <v>145</v>
      </c>
      <c r="CR645">
        <v>54873.493007999998</v>
      </c>
      <c r="CS645">
        <v>3.2496</v>
      </c>
      <c r="CT645">
        <v>45</v>
      </c>
      <c r="CU645" t="s">
        <v>171</v>
      </c>
      <c r="CV645" t="s">
        <v>350</v>
      </c>
      <c r="CW645">
        <v>567</v>
      </c>
    </row>
    <row r="646" spans="1:101" x14ac:dyDescent="0.2">
      <c r="A646" t="s">
        <v>106</v>
      </c>
      <c r="B646" s="46">
        <v>45139</v>
      </c>
      <c r="C646" t="s">
        <v>1170</v>
      </c>
      <c r="D646" t="s">
        <v>108</v>
      </c>
      <c r="E646" t="s">
        <v>1171</v>
      </c>
      <c r="F646" t="s">
        <v>110</v>
      </c>
      <c r="G646" t="s">
        <v>111</v>
      </c>
      <c r="H646" t="s">
        <v>112</v>
      </c>
      <c r="I646" t="s">
        <v>112</v>
      </c>
      <c r="J646" t="s">
        <v>112</v>
      </c>
      <c r="K646" t="s">
        <v>150</v>
      </c>
      <c r="L646" t="s">
        <v>1143</v>
      </c>
      <c r="M646" t="s">
        <v>112</v>
      </c>
      <c r="N646" t="s">
        <v>112</v>
      </c>
      <c r="O646">
        <v>1</v>
      </c>
      <c r="P646">
        <v>0</v>
      </c>
      <c r="Q646">
        <v>1</v>
      </c>
      <c r="R646">
        <v>33</v>
      </c>
      <c r="S646" t="s">
        <v>166</v>
      </c>
      <c r="T646" t="s">
        <v>152</v>
      </c>
      <c r="U646" t="s">
        <v>153</v>
      </c>
      <c r="V646" t="s">
        <v>154</v>
      </c>
      <c r="W646" t="s">
        <v>119</v>
      </c>
      <c r="X646" t="s">
        <v>112</v>
      </c>
      <c r="Y646" t="s">
        <v>166</v>
      </c>
      <c r="Z646" t="s">
        <v>152</v>
      </c>
      <c r="AA646" t="s">
        <v>153</v>
      </c>
      <c r="AB646" t="s">
        <v>154</v>
      </c>
      <c r="AC646" t="s">
        <v>119</v>
      </c>
      <c r="AD646" t="s">
        <v>112</v>
      </c>
      <c r="AE646" t="s">
        <v>121</v>
      </c>
      <c r="AF646" t="s">
        <v>122</v>
      </c>
      <c r="AG646">
        <v>4569051.84</v>
      </c>
      <c r="AH646" t="s">
        <v>166</v>
      </c>
      <c r="AI646" t="s">
        <v>152</v>
      </c>
      <c r="AJ646" t="s">
        <v>153</v>
      </c>
      <c r="AK646" t="s">
        <v>154</v>
      </c>
      <c r="AL646" t="s">
        <v>119</v>
      </c>
      <c r="AM646" t="s">
        <v>112</v>
      </c>
      <c r="AN646" t="s">
        <v>121</v>
      </c>
      <c r="AO646" t="s">
        <v>122</v>
      </c>
      <c r="AP646" t="s">
        <v>122</v>
      </c>
      <c r="AQ646" t="s">
        <v>124</v>
      </c>
      <c r="AR646" t="s">
        <v>125</v>
      </c>
      <c r="AS646">
        <v>2</v>
      </c>
      <c r="AT646" t="s">
        <v>126</v>
      </c>
      <c r="AU646" t="s">
        <v>155</v>
      </c>
      <c r="AV646" t="s">
        <v>156</v>
      </c>
      <c r="AW646">
        <v>1</v>
      </c>
      <c r="AX646" t="s">
        <v>129</v>
      </c>
      <c r="AY646">
        <v>50993.4</v>
      </c>
      <c r="AZ646">
        <v>4226726</v>
      </c>
      <c r="BA646">
        <v>60210.53</v>
      </c>
      <c r="BB646">
        <v>82.887699999999995</v>
      </c>
      <c r="BC646" t="s">
        <v>130</v>
      </c>
      <c r="BD646" t="s">
        <v>112</v>
      </c>
      <c r="BE646" t="s">
        <v>157</v>
      </c>
      <c r="BF646" t="s">
        <v>133</v>
      </c>
      <c r="BG646" t="s">
        <v>134</v>
      </c>
      <c r="BH646" t="s">
        <v>112</v>
      </c>
      <c r="BI646" t="s">
        <v>112</v>
      </c>
      <c r="BJ646" t="s">
        <v>112</v>
      </c>
      <c r="BK646" t="s">
        <v>169</v>
      </c>
      <c r="BL646" t="s">
        <v>159</v>
      </c>
      <c r="BM646" t="s">
        <v>722</v>
      </c>
      <c r="BN646" t="s">
        <v>161</v>
      </c>
      <c r="BO646">
        <v>1</v>
      </c>
      <c r="BP646" t="s">
        <v>162</v>
      </c>
      <c r="BR646" t="s">
        <v>150</v>
      </c>
      <c r="BS646">
        <v>33</v>
      </c>
      <c r="BT646">
        <v>0</v>
      </c>
      <c r="BU646">
        <v>0</v>
      </c>
      <c r="BW646">
        <v>0</v>
      </c>
      <c r="BY646" t="s">
        <v>106</v>
      </c>
      <c r="BZ646" t="s">
        <v>142</v>
      </c>
      <c r="CA646" t="s">
        <v>112</v>
      </c>
      <c r="CB646" t="s">
        <v>112</v>
      </c>
      <c r="CC646" t="s">
        <v>121</v>
      </c>
      <c r="CD646">
        <v>16968.900000000001</v>
      </c>
      <c r="CE646" t="s">
        <v>144</v>
      </c>
      <c r="CF646">
        <v>4000000</v>
      </c>
      <c r="CG646">
        <v>16968.900000000001</v>
      </c>
      <c r="CH646">
        <v>0</v>
      </c>
      <c r="CI646" t="s">
        <v>112</v>
      </c>
      <c r="CJ646" t="s">
        <v>112</v>
      </c>
      <c r="CK646">
        <v>50993.4</v>
      </c>
      <c r="CL646">
        <v>4226726</v>
      </c>
      <c r="CM646">
        <v>0</v>
      </c>
      <c r="CN646">
        <v>1</v>
      </c>
      <c r="CO646">
        <v>4569051.84</v>
      </c>
      <c r="CP646">
        <v>60210.53</v>
      </c>
      <c r="CQ646" t="s">
        <v>145</v>
      </c>
      <c r="CR646">
        <v>60210.747869999999</v>
      </c>
      <c r="CS646">
        <v>3.5482999999999998</v>
      </c>
      <c r="CT646">
        <v>45</v>
      </c>
      <c r="CU646" t="s">
        <v>171</v>
      </c>
      <c r="CV646" t="s">
        <v>372</v>
      </c>
      <c r="CW646">
        <v>257</v>
      </c>
    </row>
    <row r="647" spans="1:101" x14ac:dyDescent="0.2">
      <c r="A647" t="s">
        <v>106</v>
      </c>
      <c r="B647" s="46">
        <v>44982</v>
      </c>
      <c r="C647" t="s">
        <v>1037</v>
      </c>
      <c r="D647" t="s">
        <v>108</v>
      </c>
      <c r="E647" t="s">
        <v>1038</v>
      </c>
      <c r="F647" t="s">
        <v>110</v>
      </c>
      <c r="G647" t="s">
        <v>111</v>
      </c>
      <c r="H647" t="s">
        <v>112</v>
      </c>
      <c r="I647" t="s">
        <v>112</v>
      </c>
      <c r="J647" t="s">
        <v>112</v>
      </c>
      <c r="K647" t="s">
        <v>150</v>
      </c>
      <c r="L647" t="s">
        <v>1036</v>
      </c>
      <c r="M647" t="s">
        <v>112</v>
      </c>
      <c r="N647" t="s">
        <v>112</v>
      </c>
      <c r="O647">
        <v>1</v>
      </c>
      <c r="P647">
        <v>0</v>
      </c>
      <c r="Q647">
        <v>1</v>
      </c>
      <c r="R647">
        <v>38</v>
      </c>
      <c r="S647" t="s">
        <v>166</v>
      </c>
      <c r="T647" t="s">
        <v>152</v>
      </c>
      <c r="U647" t="s">
        <v>153</v>
      </c>
      <c r="V647" t="s">
        <v>154</v>
      </c>
      <c r="W647" t="s">
        <v>119</v>
      </c>
      <c r="X647" t="s">
        <v>112</v>
      </c>
      <c r="Y647" t="s">
        <v>166</v>
      </c>
      <c r="Z647" t="s">
        <v>152</v>
      </c>
      <c r="AA647" t="s">
        <v>153</v>
      </c>
      <c r="AB647" t="s">
        <v>154</v>
      </c>
      <c r="AC647" t="s">
        <v>119</v>
      </c>
      <c r="AD647" t="s">
        <v>112</v>
      </c>
      <c r="AE647" t="s">
        <v>121</v>
      </c>
      <c r="AF647" t="s">
        <v>122</v>
      </c>
      <c r="AG647">
        <v>4477852.47</v>
      </c>
      <c r="AH647" t="s">
        <v>166</v>
      </c>
      <c r="AI647" t="s">
        <v>152</v>
      </c>
      <c r="AJ647" t="s">
        <v>153</v>
      </c>
      <c r="AK647" t="s">
        <v>154</v>
      </c>
      <c r="AL647" t="s">
        <v>119</v>
      </c>
      <c r="AM647" t="s">
        <v>112</v>
      </c>
      <c r="AN647" t="s">
        <v>121</v>
      </c>
      <c r="AO647" t="s">
        <v>122</v>
      </c>
      <c r="AP647" t="s">
        <v>122</v>
      </c>
      <c r="AQ647" t="s">
        <v>124</v>
      </c>
      <c r="AR647" t="s">
        <v>125</v>
      </c>
      <c r="AS647">
        <v>2</v>
      </c>
      <c r="AT647" t="s">
        <v>126</v>
      </c>
      <c r="AU647" t="s">
        <v>155</v>
      </c>
      <c r="AV647" t="s">
        <v>156</v>
      </c>
      <c r="AW647">
        <v>1</v>
      </c>
      <c r="AX647" t="s">
        <v>129</v>
      </c>
      <c r="AY647">
        <v>45555.24</v>
      </c>
      <c r="AZ647">
        <v>4087540</v>
      </c>
      <c r="BA647">
        <v>54488.41</v>
      </c>
      <c r="BB647">
        <v>89.727099999999993</v>
      </c>
      <c r="BC647" t="s">
        <v>130</v>
      </c>
      <c r="BD647" t="s">
        <v>112</v>
      </c>
      <c r="BE647" t="s">
        <v>157</v>
      </c>
      <c r="BF647" t="s">
        <v>133</v>
      </c>
      <c r="BG647" t="s">
        <v>167</v>
      </c>
      <c r="BH647" t="s">
        <v>168</v>
      </c>
      <c r="BI647" t="s">
        <v>112</v>
      </c>
      <c r="BJ647" t="s">
        <v>112</v>
      </c>
      <c r="BK647" t="s">
        <v>169</v>
      </c>
      <c r="BL647" t="s">
        <v>159</v>
      </c>
      <c r="BM647" t="s">
        <v>726</v>
      </c>
      <c r="BN647" t="s">
        <v>161</v>
      </c>
      <c r="BO647">
        <v>1</v>
      </c>
      <c r="BP647" t="s">
        <v>205</v>
      </c>
      <c r="BR647" t="s">
        <v>150</v>
      </c>
      <c r="BS647">
        <v>38</v>
      </c>
      <c r="BT647">
        <v>0</v>
      </c>
      <c r="BU647">
        <v>0</v>
      </c>
      <c r="BW647">
        <v>0</v>
      </c>
      <c r="BY647" t="s">
        <v>106</v>
      </c>
      <c r="BZ647" t="s">
        <v>142</v>
      </c>
      <c r="CA647" t="s">
        <v>112</v>
      </c>
      <c r="CB647" t="s">
        <v>112</v>
      </c>
      <c r="CC647" t="s">
        <v>121</v>
      </c>
      <c r="CD647">
        <v>18235.75</v>
      </c>
      <c r="CE647" t="s">
        <v>144</v>
      </c>
      <c r="CF647">
        <v>4000000</v>
      </c>
      <c r="CG647">
        <v>17911.75</v>
      </c>
      <c r="CH647">
        <v>0</v>
      </c>
      <c r="CI647" t="s">
        <v>112</v>
      </c>
      <c r="CJ647" t="s">
        <v>112</v>
      </c>
      <c r="CK647">
        <v>45555.24</v>
      </c>
      <c r="CL647">
        <v>4087540</v>
      </c>
      <c r="CM647">
        <v>0</v>
      </c>
      <c r="CN647">
        <v>1</v>
      </c>
      <c r="CO647">
        <v>4477852.47</v>
      </c>
      <c r="CP647">
        <v>54488.41</v>
      </c>
      <c r="CQ647" t="s">
        <v>145</v>
      </c>
      <c r="CR647">
        <v>54487.5435</v>
      </c>
      <c r="CS647">
        <v>3.0419999999999998</v>
      </c>
      <c r="CT647">
        <v>45</v>
      </c>
      <c r="CU647" t="s">
        <v>171</v>
      </c>
      <c r="CV647" t="s">
        <v>172</v>
      </c>
      <c r="CW647">
        <v>340</v>
      </c>
    </row>
    <row r="648" spans="1:101" x14ac:dyDescent="0.2">
      <c r="A648" t="s">
        <v>106</v>
      </c>
      <c r="B648" s="46">
        <v>45082</v>
      </c>
      <c r="C648" t="s">
        <v>1039</v>
      </c>
      <c r="D648" t="s">
        <v>108</v>
      </c>
      <c r="E648" t="s">
        <v>1040</v>
      </c>
      <c r="F648" t="s">
        <v>110</v>
      </c>
      <c r="G648" t="s">
        <v>111</v>
      </c>
      <c r="H648" t="s">
        <v>112</v>
      </c>
      <c r="I648" t="s">
        <v>112</v>
      </c>
      <c r="J648" t="s">
        <v>112</v>
      </c>
      <c r="K648" t="s">
        <v>150</v>
      </c>
      <c r="L648" t="s">
        <v>1036</v>
      </c>
      <c r="M648" t="s">
        <v>112</v>
      </c>
      <c r="N648" t="s">
        <v>112</v>
      </c>
      <c r="O648">
        <v>1</v>
      </c>
      <c r="P648">
        <v>0</v>
      </c>
      <c r="Q648">
        <v>1</v>
      </c>
      <c r="R648">
        <v>33</v>
      </c>
      <c r="S648" t="s">
        <v>166</v>
      </c>
      <c r="T648" t="s">
        <v>152</v>
      </c>
      <c r="U648" t="s">
        <v>153</v>
      </c>
      <c r="V648" t="s">
        <v>154</v>
      </c>
      <c r="W648" t="s">
        <v>119</v>
      </c>
      <c r="X648" t="s">
        <v>112</v>
      </c>
      <c r="Y648" t="s">
        <v>166</v>
      </c>
      <c r="Z648" t="s">
        <v>152</v>
      </c>
      <c r="AA648" t="s">
        <v>153</v>
      </c>
      <c r="AB648" t="s">
        <v>154</v>
      </c>
      <c r="AC648" t="s">
        <v>119</v>
      </c>
      <c r="AD648" t="s">
        <v>112</v>
      </c>
      <c r="AE648" t="s">
        <v>121</v>
      </c>
      <c r="AF648" t="s">
        <v>122</v>
      </c>
      <c r="AG648">
        <v>4100435.16</v>
      </c>
      <c r="AH648" t="s">
        <v>166</v>
      </c>
      <c r="AI648" t="s">
        <v>152</v>
      </c>
      <c r="AJ648" t="s">
        <v>153</v>
      </c>
      <c r="AK648" t="s">
        <v>154</v>
      </c>
      <c r="AL648" t="s">
        <v>119</v>
      </c>
      <c r="AM648" t="s">
        <v>112</v>
      </c>
      <c r="AN648" t="s">
        <v>121</v>
      </c>
      <c r="AO648" t="s">
        <v>122</v>
      </c>
      <c r="AP648" t="s">
        <v>122</v>
      </c>
      <c r="AQ648" t="s">
        <v>124</v>
      </c>
      <c r="AR648" t="s">
        <v>125</v>
      </c>
      <c r="AS648">
        <v>2</v>
      </c>
      <c r="AT648" t="s">
        <v>126</v>
      </c>
      <c r="AU648" t="s">
        <v>155</v>
      </c>
      <c r="AV648" t="s">
        <v>156</v>
      </c>
      <c r="AW648">
        <v>1</v>
      </c>
      <c r="AX648" t="s">
        <v>129</v>
      </c>
      <c r="AY648">
        <v>41348.959999999999</v>
      </c>
      <c r="AZ648">
        <v>3710122</v>
      </c>
      <c r="BA648">
        <v>49895.839999999997</v>
      </c>
      <c r="BB648">
        <v>89.727099999999993</v>
      </c>
      <c r="BC648" t="s">
        <v>130</v>
      </c>
      <c r="BD648" t="s">
        <v>112</v>
      </c>
      <c r="BE648" t="s">
        <v>157</v>
      </c>
      <c r="BF648" t="s">
        <v>133</v>
      </c>
      <c r="BG648" t="s">
        <v>167</v>
      </c>
      <c r="BH648" t="s">
        <v>168</v>
      </c>
      <c r="BI648" t="s">
        <v>112</v>
      </c>
      <c r="BJ648" t="s">
        <v>112</v>
      </c>
      <c r="BK648" t="s">
        <v>169</v>
      </c>
      <c r="BL648" t="s">
        <v>159</v>
      </c>
      <c r="BM648" t="s">
        <v>726</v>
      </c>
      <c r="BN648" t="s">
        <v>161</v>
      </c>
      <c r="BO648">
        <v>1</v>
      </c>
      <c r="BP648" t="s">
        <v>466</v>
      </c>
      <c r="BR648" t="s">
        <v>150</v>
      </c>
      <c r="BS648">
        <v>33</v>
      </c>
      <c r="BT648">
        <v>0</v>
      </c>
      <c r="BU648">
        <v>0</v>
      </c>
      <c r="BW648">
        <v>0</v>
      </c>
      <c r="BY648" t="s">
        <v>106</v>
      </c>
      <c r="BZ648" t="s">
        <v>142</v>
      </c>
      <c r="CA648" t="s">
        <v>112</v>
      </c>
      <c r="CB648" t="s">
        <v>112</v>
      </c>
      <c r="CC648" t="s">
        <v>121</v>
      </c>
      <c r="CD648">
        <v>17191.43</v>
      </c>
      <c r="CE648" t="s">
        <v>144</v>
      </c>
      <c r="CF648">
        <v>4000000</v>
      </c>
      <c r="CG648">
        <v>17141.03</v>
      </c>
      <c r="CH648">
        <v>0</v>
      </c>
      <c r="CI648" t="s">
        <v>112</v>
      </c>
      <c r="CJ648" t="s">
        <v>112</v>
      </c>
      <c r="CK648">
        <v>41348.959999999999</v>
      </c>
      <c r="CL648">
        <v>3710122</v>
      </c>
      <c r="CM648">
        <v>0</v>
      </c>
      <c r="CN648">
        <v>1</v>
      </c>
      <c r="CO648">
        <v>4100435.16</v>
      </c>
      <c r="CP648">
        <v>49895.839999999997</v>
      </c>
      <c r="CQ648" t="s">
        <v>145</v>
      </c>
      <c r="CR648">
        <v>49895.82422699999</v>
      </c>
      <c r="CS648">
        <v>2.9108999999999998</v>
      </c>
      <c r="CT648">
        <v>45</v>
      </c>
      <c r="CU648" t="s">
        <v>171</v>
      </c>
      <c r="CV648" t="s">
        <v>369</v>
      </c>
      <c r="CW648">
        <v>288</v>
      </c>
    </row>
    <row r="649" spans="1:101" x14ac:dyDescent="0.2">
      <c r="A649" t="s">
        <v>106</v>
      </c>
      <c r="B649" s="46">
        <v>45054</v>
      </c>
      <c r="C649" t="s">
        <v>1046</v>
      </c>
      <c r="D649" t="s">
        <v>108</v>
      </c>
      <c r="E649" t="s">
        <v>1047</v>
      </c>
      <c r="F649" t="s">
        <v>110</v>
      </c>
      <c r="G649" t="s">
        <v>111</v>
      </c>
      <c r="H649" t="s">
        <v>112</v>
      </c>
      <c r="I649" t="s">
        <v>112</v>
      </c>
      <c r="J649" t="s">
        <v>112</v>
      </c>
      <c r="K649" t="s">
        <v>150</v>
      </c>
      <c r="L649" t="s">
        <v>1036</v>
      </c>
      <c r="M649" t="s">
        <v>112</v>
      </c>
      <c r="N649" t="s">
        <v>112</v>
      </c>
      <c r="O649">
        <v>1</v>
      </c>
      <c r="P649">
        <v>0</v>
      </c>
      <c r="Q649">
        <v>1</v>
      </c>
      <c r="R649">
        <v>33</v>
      </c>
      <c r="S649" t="s">
        <v>166</v>
      </c>
      <c r="T649" t="s">
        <v>152</v>
      </c>
      <c r="U649" t="s">
        <v>153</v>
      </c>
      <c r="V649" t="s">
        <v>154</v>
      </c>
      <c r="W649" t="s">
        <v>119</v>
      </c>
      <c r="X649" t="s">
        <v>112</v>
      </c>
      <c r="Y649" t="s">
        <v>166</v>
      </c>
      <c r="Z649" t="s">
        <v>152</v>
      </c>
      <c r="AA649" t="s">
        <v>153</v>
      </c>
      <c r="AB649" t="s">
        <v>154</v>
      </c>
      <c r="AC649" t="s">
        <v>119</v>
      </c>
      <c r="AD649" t="s">
        <v>112</v>
      </c>
      <c r="AE649" t="s">
        <v>121</v>
      </c>
      <c r="AF649" t="s">
        <v>122</v>
      </c>
      <c r="AG649">
        <v>4660629.26</v>
      </c>
      <c r="AH649" t="s">
        <v>166</v>
      </c>
      <c r="AI649" t="s">
        <v>152</v>
      </c>
      <c r="AJ649" t="s">
        <v>153</v>
      </c>
      <c r="AK649" t="s">
        <v>154</v>
      </c>
      <c r="AL649" t="s">
        <v>119</v>
      </c>
      <c r="AM649" t="s">
        <v>112</v>
      </c>
      <c r="AN649" t="s">
        <v>121</v>
      </c>
      <c r="AO649" t="s">
        <v>122</v>
      </c>
      <c r="AP649" t="s">
        <v>122</v>
      </c>
      <c r="AQ649" t="s">
        <v>124</v>
      </c>
      <c r="AR649" t="s">
        <v>125</v>
      </c>
      <c r="AS649">
        <v>2</v>
      </c>
      <c r="AT649" t="s">
        <v>126</v>
      </c>
      <c r="AU649" t="s">
        <v>155</v>
      </c>
      <c r="AV649" t="s">
        <v>156</v>
      </c>
      <c r="AW649">
        <v>1</v>
      </c>
      <c r="AX649" t="s">
        <v>129</v>
      </c>
      <c r="AY649">
        <v>47592.27</v>
      </c>
      <c r="AZ649">
        <v>4270316</v>
      </c>
      <c r="BA649">
        <v>56712.52</v>
      </c>
      <c r="BB649">
        <v>89.727099999999993</v>
      </c>
      <c r="BC649" t="s">
        <v>130</v>
      </c>
      <c r="BD649" t="s">
        <v>112</v>
      </c>
      <c r="BE649" t="s">
        <v>157</v>
      </c>
      <c r="BF649" t="s">
        <v>133</v>
      </c>
      <c r="BG649" t="s">
        <v>167</v>
      </c>
      <c r="BH649" t="s">
        <v>168</v>
      </c>
      <c r="BI649" t="s">
        <v>112</v>
      </c>
      <c r="BJ649" t="s">
        <v>112</v>
      </c>
      <c r="BK649" t="s">
        <v>169</v>
      </c>
      <c r="BL649" t="s">
        <v>159</v>
      </c>
      <c r="BM649" t="s">
        <v>726</v>
      </c>
      <c r="BN649" t="s">
        <v>161</v>
      </c>
      <c r="BO649">
        <v>1</v>
      </c>
      <c r="BP649" t="s">
        <v>466</v>
      </c>
      <c r="BR649" t="s">
        <v>150</v>
      </c>
      <c r="BS649">
        <v>33</v>
      </c>
      <c r="BT649">
        <v>0</v>
      </c>
      <c r="BU649">
        <v>0</v>
      </c>
      <c r="BW649">
        <v>0</v>
      </c>
      <c r="BY649" t="s">
        <v>106</v>
      </c>
      <c r="BZ649" t="s">
        <v>142</v>
      </c>
      <c r="CA649" t="s">
        <v>112</v>
      </c>
      <c r="CB649" t="s">
        <v>112</v>
      </c>
      <c r="CC649" t="s">
        <v>121</v>
      </c>
      <c r="CD649">
        <v>16947.45</v>
      </c>
      <c r="CE649" t="s">
        <v>144</v>
      </c>
      <c r="CF649">
        <v>4000000</v>
      </c>
      <c r="CG649">
        <v>16947.45</v>
      </c>
      <c r="CH649">
        <v>0</v>
      </c>
      <c r="CI649" t="s">
        <v>112</v>
      </c>
      <c r="CJ649" t="s">
        <v>112</v>
      </c>
      <c r="CK649">
        <v>47592.27</v>
      </c>
      <c r="CL649">
        <v>4270316</v>
      </c>
      <c r="CM649">
        <v>0</v>
      </c>
      <c r="CN649">
        <v>1</v>
      </c>
      <c r="CO649">
        <v>4660629.26</v>
      </c>
      <c r="CP649">
        <v>56712.52</v>
      </c>
      <c r="CQ649" t="s">
        <v>145</v>
      </c>
      <c r="CR649">
        <v>56712.946680000001</v>
      </c>
      <c r="CS649">
        <v>3.3464</v>
      </c>
      <c r="CT649">
        <v>45</v>
      </c>
      <c r="CU649" t="s">
        <v>171</v>
      </c>
      <c r="CV649" t="s">
        <v>369</v>
      </c>
      <c r="CW649">
        <v>555</v>
      </c>
    </row>
    <row r="650" spans="1:101" x14ac:dyDescent="0.2">
      <c r="A650" t="s">
        <v>106</v>
      </c>
      <c r="B650" s="46">
        <v>45250</v>
      </c>
      <c r="C650" t="s">
        <v>207</v>
      </c>
      <c r="D650" t="s">
        <v>108</v>
      </c>
      <c r="E650" t="s">
        <v>208</v>
      </c>
      <c r="F650" t="s">
        <v>110</v>
      </c>
      <c r="G650" t="s">
        <v>111</v>
      </c>
      <c r="H650" t="s">
        <v>112</v>
      </c>
      <c r="I650" t="s">
        <v>112</v>
      </c>
      <c r="J650" t="s">
        <v>112</v>
      </c>
      <c r="K650" t="s">
        <v>175</v>
      </c>
      <c r="L650" t="s">
        <v>176</v>
      </c>
      <c r="M650" t="s">
        <v>112</v>
      </c>
      <c r="N650" t="s">
        <v>112</v>
      </c>
      <c r="O650">
        <v>1</v>
      </c>
      <c r="P650">
        <v>0</v>
      </c>
      <c r="Q650">
        <v>1</v>
      </c>
      <c r="R650">
        <v>33</v>
      </c>
      <c r="S650" t="s">
        <v>166</v>
      </c>
      <c r="T650" t="s">
        <v>152</v>
      </c>
      <c r="U650" t="s">
        <v>153</v>
      </c>
      <c r="V650" t="s">
        <v>177</v>
      </c>
      <c r="W650" t="s">
        <v>119</v>
      </c>
      <c r="X650" t="s">
        <v>112</v>
      </c>
      <c r="Y650" t="s">
        <v>166</v>
      </c>
      <c r="Z650" t="s">
        <v>152</v>
      </c>
      <c r="AA650" t="s">
        <v>153</v>
      </c>
      <c r="AB650" t="s">
        <v>177</v>
      </c>
      <c r="AC650" t="s">
        <v>119</v>
      </c>
      <c r="AD650" t="s">
        <v>112</v>
      </c>
      <c r="AE650" t="s">
        <v>121</v>
      </c>
      <c r="AF650" t="s">
        <v>122</v>
      </c>
      <c r="AG650">
        <v>3071667.16</v>
      </c>
      <c r="AH650" t="s">
        <v>166</v>
      </c>
      <c r="AI650" t="s">
        <v>152</v>
      </c>
      <c r="AJ650" t="s">
        <v>153</v>
      </c>
      <c r="AK650" t="s">
        <v>177</v>
      </c>
      <c r="AL650" t="s">
        <v>119</v>
      </c>
      <c r="AM650" t="s">
        <v>112</v>
      </c>
      <c r="AN650" t="s">
        <v>121</v>
      </c>
      <c r="AO650" t="s">
        <v>122</v>
      </c>
      <c r="AP650" t="s">
        <v>122</v>
      </c>
      <c r="AQ650" t="s">
        <v>124</v>
      </c>
      <c r="AR650" t="s">
        <v>125</v>
      </c>
      <c r="AS650">
        <v>2</v>
      </c>
      <c r="AT650" t="s">
        <v>106</v>
      </c>
      <c r="AU650" t="s">
        <v>155</v>
      </c>
      <c r="AV650" t="s">
        <v>156</v>
      </c>
      <c r="AW650">
        <v>1</v>
      </c>
      <c r="AX650" t="s">
        <v>129</v>
      </c>
      <c r="AY650">
        <v>37963.14</v>
      </c>
      <c r="AZ650">
        <v>2814439</v>
      </c>
      <c r="BA650">
        <v>44503.89</v>
      </c>
      <c r="BB650">
        <v>74.136099999999999</v>
      </c>
      <c r="BC650" t="s">
        <v>130</v>
      </c>
      <c r="BD650" t="s">
        <v>112</v>
      </c>
      <c r="BE650" t="s">
        <v>157</v>
      </c>
      <c r="BF650" t="s">
        <v>133</v>
      </c>
      <c r="BG650" t="s">
        <v>134</v>
      </c>
      <c r="BH650" t="s">
        <v>112</v>
      </c>
      <c r="BI650" t="s">
        <v>178</v>
      </c>
      <c r="BJ650" t="s">
        <v>112</v>
      </c>
      <c r="BK650" t="s">
        <v>125</v>
      </c>
      <c r="BL650" t="s">
        <v>179</v>
      </c>
      <c r="BM650" t="s">
        <v>180</v>
      </c>
      <c r="BN650" t="s">
        <v>181</v>
      </c>
      <c r="BO650">
        <v>1</v>
      </c>
      <c r="BP650" t="s">
        <v>209</v>
      </c>
      <c r="BR650" t="s">
        <v>150</v>
      </c>
      <c r="BS650">
        <v>33</v>
      </c>
      <c r="BT650">
        <v>1</v>
      </c>
      <c r="BU650">
        <v>0</v>
      </c>
      <c r="BW650">
        <v>0</v>
      </c>
      <c r="BY650" t="s">
        <v>106</v>
      </c>
      <c r="BZ650" t="s">
        <v>142</v>
      </c>
      <c r="CA650" t="s">
        <v>112</v>
      </c>
      <c r="CB650" t="s">
        <v>112</v>
      </c>
      <c r="CC650" t="s">
        <v>121</v>
      </c>
      <c r="CD650">
        <v>15592.69</v>
      </c>
      <c r="CE650" t="s">
        <v>144</v>
      </c>
      <c r="CF650">
        <v>4000000</v>
      </c>
      <c r="CG650">
        <v>15271.69</v>
      </c>
      <c r="CH650">
        <v>0</v>
      </c>
      <c r="CI650" t="s">
        <v>112</v>
      </c>
      <c r="CJ650" t="s">
        <v>112</v>
      </c>
      <c r="CK650">
        <v>37963.14</v>
      </c>
      <c r="CL650">
        <v>2814439</v>
      </c>
      <c r="CM650">
        <v>0</v>
      </c>
      <c r="CN650">
        <v>1</v>
      </c>
      <c r="CO650">
        <v>3071667.16</v>
      </c>
      <c r="CP650">
        <v>44503.89</v>
      </c>
      <c r="CQ650" t="s">
        <v>145</v>
      </c>
      <c r="CR650">
        <v>44503.231828999997</v>
      </c>
      <c r="CS650">
        <v>2.9140999999999999</v>
      </c>
      <c r="CT650">
        <v>941</v>
      </c>
      <c r="CU650" t="s">
        <v>183</v>
      </c>
      <c r="CV650" t="s">
        <v>190</v>
      </c>
      <c r="CW650">
        <v>229</v>
      </c>
    </row>
    <row r="651" spans="1:101" x14ac:dyDescent="0.2">
      <c r="A651" t="s">
        <v>106</v>
      </c>
      <c r="B651" s="46">
        <v>44954</v>
      </c>
      <c r="C651" t="s">
        <v>768</v>
      </c>
      <c r="D651" t="s">
        <v>108</v>
      </c>
      <c r="E651" t="s">
        <v>769</v>
      </c>
      <c r="F651" t="s">
        <v>110</v>
      </c>
      <c r="G651" t="s">
        <v>111</v>
      </c>
      <c r="H651" t="s">
        <v>112</v>
      </c>
      <c r="I651" t="s">
        <v>112</v>
      </c>
      <c r="J651" t="s">
        <v>112</v>
      </c>
      <c r="K651" t="s">
        <v>150</v>
      </c>
      <c r="L651" t="s">
        <v>151</v>
      </c>
      <c r="M651" t="s">
        <v>112</v>
      </c>
      <c r="N651" t="s">
        <v>112</v>
      </c>
      <c r="O651">
        <v>1</v>
      </c>
      <c r="Q651">
        <v>1</v>
      </c>
      <c r="R651">
        <v>33</v>
      </c>
      <c r="S651" t="s">
        <v>112</v>
      </c>
      <c r="T651" t="s">
        <v>152</v>
      </c>
      <c r="U651" t="s">
        <v>153</v>
      </c>
      <c r="V651" t="s">
        <v>154</v>
      </c>
      <c r="W651" t="s">
        <v>119</v>
      </c>
      <c r="X651" t="s">
        <v>112</v>
      </c>
      <c r="Y651" t="s">
        <v>112</v>
      </c>
      <c r="Z651" t="s">
        <v>152</v>
      </c>
      <c r="AA651" t="s">
        <v>153</v>
      </c>
      <c r="AB651" t="s">
        <v>154</v>
      </c>
      <c r="AC651" t="s">
        <v>119</v>
      </c>
      <c r="AD651" t="s">
        <v>112</v>
      </c>
      <c r="AE651" t="s">
        <v>121</v>
      </c>
      <c r="AF651" t="s">
        <v>122</v>
      </c>
      <c r="AG651">
        <v>4713744.26</v>
      </c>
      <c r="AH651" t="s">
        <v>112</v>
      </c>
      <c r="AI651" t="s">
        <v>152</v>
      </c>
      <c r="AJ651" t="s">
        <v>153</v>
      </c>
      <c r="AK651" t="s">
        <v>154</v>
      </c>
      <c r="AL651" t="s">
        <v>119</v>
      </c>
      <c r="AM651" t="s">
        <v>112</v>
      </c>
      <c r="AN651" t="s">
        <v>121</v>
      </c>
      <c r="AO651" t="s">
        <v>122</v>
      </c>
      <c r="AP651" t="s">
        <v>122</v>
      </c>
      <c r="AQ651" t="s">
        <v>124</v>
      </c>
      <c r="AR651" t="s">
        <v>125</v>
      </c>
      <c r="AS651">
        <v>2</v>
      </c>
      <c r="AT651" t="s">
        <v>126</v>
      </c>
      <c r="AU651" t="s">
        <v>155</v>
      </c>
      <c r="AV651" t="s">
        <v>156</v>
      </c>
      <c r="AX651" t="s">
        <v>129</v>
      </c>
      <c r="AY651">
        <v>43700.22</v>
      </c>
      <c r="BB651">
        <v>98.840900000000005</v>
      </c>
      <c r="BC651" t="s">
        <v>112</v>
      </c>
      <c r="BD651" t="s">
        <v>112</v>
      </c>
      <c r="BE651" t="s">
        <v>157</v>
      </c>
      <c r="BF651" t="s">
        <v>133</v>
      </c>
      <c r="BG651" t="s">
        <v>134</v>
      </c>
      <c r="BH651" t="s">
        <v>112</v>
      </c>
      <c r="BI651" t="s">
        <v>112</v>
      </c>
      <c r="BJ651" t="s">
        <v>112</v>
      </c>
      <c r="BK651" t="s">
        <v>158</v>
      </c>
      <c r="BL651" t="s">
        <v>159</v>
      </c>
      <c r="BM651" t="s">
        <v>212</v>
      </c>
      <c r="BN651" t="s">
        <v>161</v>
      </c>
      <c r="BP651" t="s">
        <v>162</v>
      </c>
      <c r="BR651" t="s">
        <v>150</v>
      </c>
      <c r="BS651">
        <v>33</v>
      </c>
      <c r="BT651">
        <v>0</v>
      </c>
      <c r="BU651">
        <v>0</v>
      </c>
      <c r="BW651">
        <v>0</v>
      </c>
      <c r="BY651" t="s">
        <v>106</v>
      </c>
      <c r="BZ651" t="s">
        <v>142</v>
      </c>
      <c r="CA651" t="s">
        <v>112</v>
      </c>
      <c r="CB651" t="s">
        <v>112</v>
      </c>
      <c r="CC651" t="s">
        <v>121</v>
      </c>
      <c r="CD651">
        <v>17278.11</v>
      </c>
      <c r="CE651" t="s">
        <v>144</v>
      </c>
      <c r="CF651">
        <v>4000000</v>
      </c>
      <c r="CG651">
        <v>17278.11</v>
      </c>
      <c r="CH651">
        <v>0</v>
      </c>
      <c r="CI651" t="s">
        <v>112</v>
      </c>
      <c r="CJ651" t="s">
        <v>112</v>
      </c>
      <c r="CK651">
        <v>43700.22</v>
      </c>
      <c r="CM651">
        <v>0</v>
      </c>
      <c r="CN651">
        <v>1</v>
      </c>
      <c r="CO651">
        <v>4713744.26</v>
      </c>
      <c r="CP651">
        <v>51437.52</v>
      </c>
      <c r="CQ651" t="s">
        <v>145</v>
      </c>
      <c r="CR651">
        <v>51488.767800000001</v>
      </c>
      <c r="CS651">
        <v>2.98</v>
      </c>
      <c r="CT651">
        <v>45</v>
      </c>
      <c r="CV651" t="s">
        <v>163</v>
      </c>
      <c r="CW651">
        <v>182</v>
      </c>
    </row>
    <row r="652" spans="1:101" x14ac:dyDescent="0.2">
      <c r="A652" t="s">
        <v>106</v>
      </c>
      <c r="B652" s="46">
        <v>45214</v>
      </c>
      <c r="C652" t="s">
        <v>727</v>
      </c>
      <c r="D652" t="s">
        <v>108</v>
      </c>
      <c r="E652" t="s">
        <v>728</v>
      </c>
      <c r="F652" t="s">
        <v>110</v>
      </c>
      <c r="G652" t="s">
        <v>111</v>
      </c>
      <c r="H652" t="s">
        <v>112</v>
      </c>
      <c r="I652" t="s">
        <v>112</v>
      </c>
      <c r="J652" t="s">
        <v>112</v>
      </c>
      <c r="K652" t="s">
        <v>150</v>
      </c>
      <c r="L652" t="s">
        <v>151</v>
      </c>
      <c r="M652" t="s">
        <v>112</v>
      </c>
      <c r="N652" t="s">
        <v>112</v>
      </c>
      <c r="O652">
        <v>1</v>
      </c>
      <c r="Q652">
        <v>1</v>
      </c>
      <c r="R652">
        <v>33</v>
      </c>
      <c r="S652" t="s">
        <v>112</v>
      </c>
      <c r="T652" t="s">
        <v>152</v>
      </c>
      <c r="U652" t="s">
        <v>153</v>
      </c>
      <c r="V652" t="s">
        <v>154</v>
      </c>
      <c r="W652" t="s">
        <v>119</v>
      </c>
      <c r="X652" t="s">
        <v>112</v>
      </c>
      <c r="Y652" t="s">
        <v>112</v>
      </c>
      <c r="Z652" t="s">
        <v>152</v>
      </c>
      <c r="AA652" t="s">
        <v>153</v>
      </c>
      <c r="AB652" t="s">
        <v>154</v>
      </c>
      <c r="AC652" t="s">
        <v>119</v>
      </c>
      <c r="AD652" t="s">
        <v>112</v>
      </c>
      <c r="AE652" t="s">
        <v>121</v>
      </c>
      <c r="AF652" t="s">
        <v>122</v>
      </c>
      <c r="AG652">
        <v>4096186.32</v>
      </c>
      <c r="AH652" t="s">
        <v>112</v>
      </c>
      <c r="AI652" t="s">
        <v>152</v>
      </c>
      <c r="AJ652" t="s">
        <v>153</v>
      </c>
      <c r="AK652" t="s">
        <v>154</v>
      </c>
      <c r="AL652" t="s">
        <v>119</v>
      </c>
      <c r="AM652" t="s">
        <v>112</v>
      </c>
      <c r="AN652" t="s">
        <v>121</v>
      </c>
      <c r="AO652" t="s">
        <v>122</v>
      </c>
      <c r="AP652" t="s">
        <v>122</v>
      </c>
      <c r="AQ652" t="s">
        <v>124</v>
      </c>
      <c r="AR652" t="s">
        <v>125</v>
      </c>
      <c r="AS652">
        <v>2</v>
      </c>
      <c r="AT652" t="s">
        <v>126</v>
      </c>
      <c r="AU652" t="s">
        <v>155</v>
      </c>
      <c r="AV652" t="s">
        <v>156</v>
      </c>
      <c r="AX652" t="s">
        <v>129</v>
      </c>
      <c r="AY652">
        <v>37452.22</v>
      </c>
      <c r="BB652">
        <v>98.840900000000005</v>
      </c>
      <c r="BC652" t="s">
        <v>112</v>
      </c>
      <c r="BD652" t="s">
        <v>112</v>
      </c>
      <c r="BE652" t="s">
        <v>157</v>
      </c>
      <c r="BF652" t="s">
        <v>133</v>
      </c>
      <c r="BG652" t="s">
        <v>134</v>
      </c>
      <c r="BH652" t="s">
        <v>112</v>
      </c>
      <c r="BI652" t="s">
        <v>112</v>
      </c>
      <c r="BJ652" t="s">
        <v>112</v>
      </c>
      <c r="BK652" t="s">
        <v>158</v>
      </c>
      <c r="BL652" t="s">
        <v>159</v>
      </c>
      <c r="BM652" t="s">
        <v>212</v>
      </c>
      <c r="BN652" t="s">
        <v>161</v>
      </c>
      <c r="BP652" t="s">
        <v>205</v>
      </c>
      <c r="BR652" t="s">
        <v>150</v>
      </c>
      <c r="BS652">
        <v>33</v>
      </c>
      <c r="BT652">
        <v>0</v>
      </c>
      <c r="BU652">
        <v>0</v>
      </c>
      <c r="BW652">
        <v>0</v>
      </c>
      <c r="BY652" t="s">
        <v>106</v>
      </c>
      <c r="BZ652" t="s">
        <v>142</v>
      </c>
      <c r="CA652" t="s">
        <v>112</v>
      </c>
      <c r="CB652" t="s">
        <v>112</v>
      </c>
      <c r="CC652" t="s">
        <v>121</v>
      </c>
      <c r="CD652">
        <v>15023.14</v>
      </c>
      <c r="CE652" t="s">
        <v>144</v>
      </c>
      <c r="CF652">
        <v>4000000</v>
      </c>
      <c r="CG652">
        <v>14763.34</v>
      </c>
      <c r="CH652">
        <v>0</v>
      </c>
      <c r="CI652" t="s">
        <v>112</v>
      </c>
      <c r="CJ652" t="s">
        <v>112</v>
      </c>
      <c r="CK652">
        <v>37452.22</v>
      </c>
      <c r="CM652">
        <v>0</v>
      </c>
      <c r="CN652">
        <v>1</v>
      </c>
      <c r="CO652">
        <v>4096186.32</v>
      </c>
      <c r="CP652">
        <v>44698.57</v>
      </c>
      <c r="CQ652" t="s">
        <v>145</v>
      </c>
      <c r="CR652">
        <v>44732.9202</v>
      </c>
      <c r="CS652">
        <v>3.03</v>
      </c>
      <c r="CT652">
        <v>45</v>
      </c>
      <c r="CV652" t="s">
        <v>729</v>
      </c>
      <c r="CW652">
        <v>174</v>
      </c>
    </row>
    <row r="653" spans="1:101" x14ac:dyDescent="0.2">
      <c r="A653" t="s">
        <v>106</v>
      </c>
      <c r="B653" s="46">
        <v>45237</v>
      </c>
      <c r="C653" t="s">
        <v>850</v>
      </c>
      <c r="D653" t="s">
        <v>108</v>
      </c>
      <c r="E653" t="s">
        <v>851</v>
      </c>
      <c r="F653" t="s">
        <v>110</v>
      </c>
      <c r="G653" t="s">
        <v>111</v>
      </c>
      <c r="H653" t="s">
        <v>112</v>
      </c>
      <c r="I653" t="s">
        <v>112</v>
      </c>
      <c r="J653" t="s">
        <v>112</v>
      </c>
      <c r="K653" t="s">
        <v>150</v>
      </c>
      <c r="L653" t="s">
        <v>151</v>
      </c>
      <c r="M653" t="s">
        <v>112</v>
      </c>
      <c r="N653" t="s">
        <v>112</v>
      </c>
      <c r="O653">
        <v>1</v>
      </c>
      <c r="Q653">
        <v>1</v>
      </c>
      <c r="R653">
        <v>33</v>
      </c>
      <c r="S653" t="s">
        <v>112</v>
      </c>
      <c r="T653" t="s">
        <v>152</v>
      </c>
      <c r="U653" t="s">
        <v>153</v>
      </c>
      <c r="V653" t="s">
        <v>154</v>
      </c>
      <c r="W653" t="s">
        <v>119</v>
      </c>
      <c r="X653" t="s">
        <v>112</v>
      </c>
      <c r="Y653" t="s">
        <v>112</v>
      </c>
      <c r="Z653" t="s">
        <v>152</v>
      </c>
      <c r="AA653" t="s">
        <v>153</v>
      </c>
      <c r="AB653" t="s">
        <v>154</v>
      </c>
      <c r="AC653" t="s">
        <v>119</v>
      </c>
      <c r="AD653" t="s">
        <v>112</v>
      </c>
      <c r="AE653" t="s">
        <v>121</v>
      </c>
      <c r="AF653" t="s">
        <v>122</v>
      </c>
      <c r="AG653">
        <v>4457558.54</v>
      </c>
      <c r="AH653" t="s">
        <v>112</v>
      </c>
      <c r="AI653" t="s">
        <v>152</v>
      </c>
      <c r="AJ653" t="s">
        <v>153</v>
      </c>
      <c r="AK653" t="s">
        <v>154</v>
      </c>
      <c r="AL653" t="s">
        <v>119</v>
      </c>
      <c r="AM653" t="s">
        <v>112</v>
      </c>
      <c r="AN653" t="s">
        <v>121</v>
      </c>
      <c r="AO653" t="s">
        <v>122</v>
      </c>
      <c r="AP653" t="s">
        <v>122</v>
      </c>
      <c r="AQ653" t="s">
        <v>124</v>
      </c>
      <c r="AR653" t="s">
        <v>125</v>
      </c>
      <c r="AS653">
        <v>2</v>
      </c>
      <c r="AT653" t="s">
        <v>126</v>
      </c>
      <c r="AU653" t="s">
        <v>155</v>
      </c>
      <c r="AV653" t="s">
        <v>156</v>
      </c>
      <c r="AX653" t="s">
        <v>129</v>
      </c>
      <c r="AY653">
        <v>41108.32</v>
      </c>
      <c r="BB653">
        <v>98.840900000000005</v>
      </c>
      <c r="BC653" t="s">
        <v>112</v>
      </c>
      <c r="BD653" t="s">
        <v>112</v>
      </c>
      <c r="BE653" t="s">
        <v>157</v>
      </c>
      <c r="BF653" t="s">
        <v>133</v>
      </c>
      <c r="BG653" t="s">
        <v>167</v>
      </c>
      <c r="BH653" t="s">
        <v>112</v>
      </c>
      <c r="BI653" t="s">
        <v>112</v>
      </c>
      <c r="BJ653" t="s">
        <v>112</v>
      </c>
      <c r="BK653" t="s">
        <v>158</v>
      </c>
      <c r="BL653" t="s">
        <v>159</v>
      </c>
      <c r="BM653" t="s">
        <v>160</v>
      </c>
      <c r="BN653" t="s">
        <v>161</v>
      </c>
      <c r="BP653" t="s">
        <v>162</v>
      </c>
      <c r="BR653" t="s">
        <v>150</v>
      </c>
      <c r="BS653">
        <v>33</v>
      </c>
      <c r="BT653">
        <v>0</v>
      </c>
      <c r="BU653">
        <v>0</v>
      </c>
      <c r="BW653">
        <v>0</v>
      </c>
      <c r="BY653" t="s">
        <v>106</v>
      </c>
      <c r="BZ653" t="s">
        <v>142</v>
      </c>
      <c r="CA653" t="s">
        <v>112</v>
      </c>
      <c r="CB653" t="s">
        <v>112</v>
      </c>
      <c r="CC653" t="s">
        <v>121</v>
      </c>
      <c r="CD653">
        <v>17166.82</v>
      </c>
      <c r="CE653" t="s">
        <v>144</v>
      </c>
      <c r="CF653">
        <v>4000000</v>
      </c>
      <c r="CG653">
        <v>17130.82</v>
      </c>
      <c r="CH653">
        <v>0</v>
      </c>
      <c r="CI653" t="s">
        <v>112</v>
      </c>
      <c r="CJ653" t="s">
        <v>112</v>
      </c>
      <c r="CK653">
        <v>41108.32</v>
      </c>
      <c r="CM653">
        <v>0</v>
      </c>
      <c r="CN653">
        <v>1</v>
      </c>
      <c r="CO653">
        <v>4457558.54</v>
      </c>
      <c r="CP653">
        <v>48641.96</v>
      </c>
      <c r="CQ653" t="s">
        <v>145</v>
      </c>
      <c r="CR653">
        <v>48651.5288</v>
      </c>
      <c r="CS653">
        <v>2.84</v>
      </c>
      <c r="CT653">
        <v>45</v>
      </c>
      <c r="CV653" t="s">
        <v>163</v>
      </c>
      <c r="CW653">
        <v>4</v>
      </c>
    </row>
    <row r="654" spans="1:101" x14ac:dyDescent="0.2">
      <c r="A654" t="s">
        <v>106</v>
      </c>
      <c r="B654" s="46">
        <v>44997</v>
      </c>
      <c r="C654" t="s">
        <v>856</v>
      </c>
      <c r="D654" t="s">
        <v>108</v>
      </c>
      <c r="E654" t="s">
        <v>857</v>
      </c>
      <c r="F654" t="s">
        <v>110</v>
      </c>
      <c r="G654" t="s">
        <v>111</v>
      </c>
      <c r="H654" t="s">
        <v>112</v>
      </c>
      <c r="I654" t="s">
        <v>112</v>
      </c>
      <c r="J654" t="s">
        <v>112</v>
      </c>
      <c r="K654" t="s">
        <v>150</v>
      </c>
      <c r="L654" t="s">
        <v>151</v>
      </c>
      <c r="M654" t="s">
        <v>112</v>
      </c>
      <c r="N654" t="s">
        <v>112</v>
      </c>
      <c r="O654">
        <v>1</v>
      </c>
      <c r="Q654">
        <v>1</v>
      </c>
      <c r="R654">
        <v>33</v>
      </c>
      <c r="S654" t="s">
        <v>112</v>
      </c>
      <c r="T654" t="s">
        <v>152</v>
      </c>
      <c r="U654" t="s">
        <v>153</v>
      </c>
      <c r="V654" t="s">
        <v>154</v>
      </c>
      <c r="W654" t="s">
        <v>119</v>
      </c>
      <c r="X654" t="s">
        <v>112</v>
      </c>
      <c r="Y654" t="s">
        <v>112</v>
      </c>
      <c r="Z654" t="s">
        <v>152</v>
      </c>
      <c r="AA654" t="s">
        <v>153</v>
      </c>
      <c r="AB654" t="s">
        <v>154</v>
      </c>
      <c r="AC654" t="s">
        <v>119</v>
      </c>
      <c r="AD654" t="s">
        <v>112</v>
      </c>
      <c r="AE654" t="s">
        <v>121</v>
      </c>
      <c r="AF654" t="s">
        <v>122</v>
      </c>
      <c r="AG654">
        <v>4847450.3</v>
      </c>
      <c r="AH654" t="s">
        <v>112</v>
      </c>
      <c r="AI654" t="s">
        <v>152</v>
      </c>
      <c r="AJ654" t="s">
        <v>153</v>
      </c>
      <c r="AK654" t="s">
        <v>154</v>
      </c>
      <c r="AL654" t="s">
        <v>119</v>
      </c>
      <c r="AM654" t="s">
        <v>112</v>
      </c>
      <c r="AN654" t="s">
        <v>121</v>
      </c>
      <c r="AO654" t="s">
        <v>122</v>
      </c>
      <c r="AP654" t="s">
        <v>122</v>
      </c>
      <c r="AQ654" t="s">
        <v>124</v>
      </c>
      <c r="AR654" t="s">
        <v>125</v>
      </c>
      <c r="AS654">
        <v>2</v>
      </c>
      <c r="AT654" t="s">
        <v>126</v>
      </c>
      <c r="AU654" t="s">
        <v>155</v>
      </c>
      <c r="AV654" t="s">
        <v>156</v>
      </c>
      <c r="AX654" t="s">
        <v>129</v>
      </c>
      <c r="AY654">
        <v>45052.959999999999</v>
      </c>
      <c r="BB654">
        <v>98.840900000000005</v>
      </c>
      <c r="BC654" t="s">
        <v>112</v>
      </c>
      <c r="BD654" t="s">
        <v>112</v>
      </c>
      <c r="BE654" t="s">
        <v>157</v>
      </c>
      <c r="BF654" t="s">
        <v>133</v>
      </c>
      <c r="BG654" t="s">
        <v>134</v>
      </c>
      <c r="BH654" t="s">
        <v>112</v>
      </c>
      <c r="BI654" t="s">
        <v>112</v>
      </c>
      <c r="BJ654" t="s">
        <v>112</v>
      </c>
      <c r="BK654" t="s">
        <v>158</v>
      </c>
      <c r="BL654" t="s">
        <v>159</v>
      </c>
      <c r="BM654" t="s">
        <v>212</v>
      </c>
      <c r="BN654" t="s">
        <v>161</v>
      </c>
      <c r="BP654" t="s">
        <v>232</v>
      </c>
      <c r="BR654" t="s">
        <v>150</v>
      </c>
      <c r="BS654">
        <v>33</v>
      </c>
      <c r="BT654">
        <v>0</v>
      </c>
      <c r="BU654">
        <v>0</v>
      </c>
      <c r="BW654">
        <v>0</v>
      </c>
      <c r="BY654" t="s">
        <v>106</v>
      </c>
      <c r="BZ654" t="s">
        <v>142</v>
      </c>
      <c r="CA654" t="s">
        <v>112</v>
      </c>
      <c r="CB654" t="s">
        <v>112</v>
      </c>
      <c r="CC654" t="s">
        <v>121</v>
      </c>
      <c r="CD654">
        <v>15861.05</v>
      </c>
      <c r="CE654" t="s">
        <v>144</v>
      </c>
      <c r="CF654">
        <v>4000000</v>
      </c>
      <c r="CG654">
        <v>15771.05</v>
      </c>
      <c r="CH654">
        <v>0</v>
      </c>
      <c r="CI654" t="s">
        <v>112</v>
      </c>
      <c r="CJ654" t="s">
        <v>112</v>
      </c>
      <c r="CK654">
        <v>45052.959999999999</v>
      </c>
      <c r="CM654">
        <v>0</v>
      </c>
      <c r="CN654">
        <v>1</v>
      </c>
      <c r="CO654">
        <v>4847450.3</v>
      </c>
      <c r="CP654">
        <v>52896.55</v>
      </c>
      <c r="CQ654" t="s">
        <v>145</v>
      </c>
      <c r="CR654">
        <v>52833.017500000002</v>
      </c>
      <c r="CS654">
        <v>3.35</v>
      </c>
      <c r="CT654">
        <v>45</v>
      </c>
      <c r="CV654" t="s">
        <v>233</v>
      </c>
      <c r="CW654">
        <v>310</v>
      </c>
    </row>
    <row r="655" spans="1:101" x14ac:dyDescent="0.2">
      <c r="A655" t="s">
        <v>106</v>
      </c>
      <c r="B655" s="46">
        <v>45155</v>
      </c>
      <c r="C655" t="s">
        <v>883</v>
      </c>
      <c r="D655" t="s">
        <v>108</v>
      </c>
      <c r="E655" t="s">
        <v>884</v>
      </c>
      <c r="F655" t="s">
        <v>110</v>
      </c>
      <c r="G655" t="s">
        <v>111</v>
      </c>
      <c r="H655" t="s">
        <v>112</v>
      </c>
      <c r="I655" t="s">
        <v>112</v>
      </c>
      <c r="J655" t="s">
        <v>112</v>
      </c>
      <c r="K655" t="s">
        <v>150</v>
      </c>
      <c r="L655" t="s">
        <v>151</v>
      </c>
      <c r="M655" t="s">
        <v>112</v>
      </c>
      <c r="N655" t="s">
        <v>112</v>
      </c>
      <c r="O655">
        <v>1</v>
      </c>
      <c r="Q655">
        <v>1</v>
      </c>
      <c r="R655">
        <v>33</v>
      </c>
      <c r="S655" t="s">
        <v>112</v>
      </c>
      <c r="T655" t="s">
        <v>152</v>
      </c>
      <c r="U655" t="s">
        <v>153</v>
      </c>
      <c r="V655" t="s">
        <v>154</v>
      </c>
      <c r="W655" t="s">
        <v>119</v>
      </c>
      <c r="X655" t="s">
        <v>112</v>
      </c>
      <c r="Y655" t="s">
        <v>112</v>
      </c>
      <c r="Z655" t="s">
        <v>152</v>
      </c>
      <c r="AA655" t="s">
        <v>153</v>
      </c>
      <c r="AB655" t="s">
        <v>154</v>
      </c>
      <c r="AC655" t="s">
        <v>119</v>
      </c>
      <c r="AD655" t="s">
        <v>112</v>
      </c>
      <c r="AE655" t="s">
        <v>121</v>
      </c>
      <c r="AF655" t="s">
        <v>122</v>
      </c>
      <c r="AG655">
        <v>4304511.3099999996</v>
      </c>
      <c r="AH655" t="s">
        <v>112</v>
      </c>
      <c r="AI655" t="s">
        <v>152</v>
      </c>
      <c r="AJ655" t="s">
        <v>153</v>
      </c>
      <c r="AK655" t="s">
        <v>154</v>
      </c>
      <c r="AL655" t="s">
        <v>119</v>
      </c>
      <c r="AM655" t="s">
        <v>112</v>
      </c>
      <c r="AN655" t="s">
        <v>121</v>
      </c>
      <c r="AO655" t="s">
        <v>122</v>
      </c>
      <c r="AP655" t="s">
        <v>122</v>
      </c>
      <c r="AQ655" t="s">
        <v>124</v>
      </c>
      <c r="AR655" t="s">
        <v>125</v>
      </c>
      <c r="AS655">
        <v>2</v>
      </c>
      <c r="AT655" t="s">
        <v>126</v>
      </c>
      <c r="AU655" t="s">
        <v>155</v>
      </c>
      <c r="AV655" t="s">
        <v>156</v>
      </c>
      <c r="AX655" t="s">
        <v>129</v>
      </c>
      <c r="AY655">
        <v>39559.9</v>
      </c>
      <c r="BB655">
        <v>98.840900000000005</v>
      </c>
      <c r="BC655" t="s">
        <v>112</v>
      </c>
      <c r="BD655" t="s">
        <v>112</v>
      </c>
      <c r="BE655" t="s">
        <v>157</v>
      </c>
      <c r="BF655" t="s">
        <v>133</v>
      </c>
      <c r="BG655" t="s">
        <v>167</v>
      </c>
      <c r="BH655" t="s">
        <v>112</v>
      </c>
      <c r="BI655" t="s">
        <v>112</v>
      </c>
      <c r="BJ655" t="s">
        <v>112</v>
      </c>
      <c r="BK655" t="s">
        <v>158</v>
      </c>
      <c r="BL655" t="s">
        <v>159</v>
      </c>
      <c r="BM655" t="s">
        <v>160</v>
      </c>
      <c r="BN655" t="s">
        <v>161</v>
      </c>
      <c r="BP655" t="s">
        <v>232</v>
      </c>
      <c r="BR655" t="s">
        <v>150</v>
      </c>
      <c r="BS655">
        <v>33</v>
      </c>
      <c r="BT655">
        <v>0</v>
      </c>
      <c r="BU655">
        <v>0</v>
      </c>
      <c r="BW655">
        <v>0</v>
      </c>
      <c r="BY655" t="s">
        <v>106</v>
      </c>
      <c r="BZ655" t="s">
        <v>142</v>
      </c>
      <c r="CA655" t="s">
        <v>112</v>
      </c>
      <c r="CB655" t="s">
        <v>112</v>
      </c>
      <c r="CC655" t="s">
        <v>121</v>
      </c>
      <c r="CD655">
        <v>16381.04</v>
      </c>
      <c r="CE655" t="s">
        <v>144</v>
      </c>
      <c r="CF655">
        <v>4000000</v>
      </c>
      <c r="CG655">
        <v>16271.9</v>
      </c>
      <c r="CH655">
        <v>0</v>
      </c>
      <c r="CI655" t="s">
        <v>112</v>
      </c>
      <c r="CJ655" t="s">
        <v>112</v>
      </c>
      <c r="CK655">
        <v>39559.9</v>
      </c>
      <c r="CM655">
        <v>0</v>
      </c>
      <c r="CN655">
        <v>1</v>
      </c>
      <c r="CO655">
        <v>4304511.3099999996</v>
      </c>
      <c r="CP655">
        <v>46971.87</v>
      </c>
      <c r="CQ655" t="s">
        <v>145</v>
      </c>
      <c r="CR655">
        <v>47025.790999999997</v>
      </c>
      <c r="CS655">
        <v>2.89</v>
      </c>
      <c r="CT655">
        <v>45</v>
      </c>
      <c r="CV655" t="s">
        <v>233</v>
      </c>
      <c r="CW655">
        <v>15</v>
      </c>
    </row>
    <row r="656" spans="1:101" x14ac:dyDescent="0.2">
      <c r="A656" t="s">
        <v>106</v>
      </c>
      <c r="B656" s="46">
        <v>45090</v>
      </c>
      <c r="C656" t="s">
        <v>784</v>
      </c>
      <c r="D656" t="s">
        <v>108</v>
      </c>
      <c r="E656" t="s">
        <v>785</v>
      </c>
      <c r="F656" t="s">
        <v>110</v>
      </c>
      <c r="G656" t="s">
        <v>111</v>
      </c>
      <c r="H656" t="s">
        <v>112</v>
      </c>
      <c r="I656" t="s">
        <v>112</v>
      </c>
      <c r="J656" t="s">
        <v>112</v>
      </c>
      <c r="K656" t="s">
        <v>150</v>
      </c>
      <c r="L656" t="s">
        <v>151</v>
      </c>
      <c r="M656" t="s">
        <v>112</v>
      </c>
      <c r="N656" t="s">
        <v>112</v>
      </c>
      <c r="O656">
        <v>1</v>
      </c>
      <c r="Q656">
        <v>1</v>
      </c>
      <c r="R656">
        <v>33</v>
      </c>
      <c r="S656" t="s">
        <v>112</v>
      </c>
      <c r="T656" t="s">
        <v>152</v>
      </c>
      <c r="U656" t="s">
        <v>153</v>
      </c>
      <c r="V656" t="s">
        <v>154</v>
      </c>
      <c r="W656" t="s">
        <v>119</v>
      </c>
      <c r="X656" t="s">
        <v>112</v>
      </c>
      <c r="Y656" t="s">
        <v>112</v>
      </c>
      <c r="Z656" t="s">
        <v>152</v>
      </c>
      <c r="AA656" t="s">
        <v>153</v>
      </c>
      <c r="AB656" t="s">
        <v>154</v>
      </c>
      <c r="AC656" t="s">
        <v>119</v>
      </c>
      <c r="AD656" t="s">
        <v>112</v>
      </c>
      <c r="AE656" t="s">
        <v>121</v>
      </c>
      <c r="AF656" t="s">
        <v>122</v>
      </c>
      <c r="AG656">
        <v>5163468.38</v>
      </c>
      <c r="AH656" t="s">
        <v>112</v>
      </c>
      <c r="AI656" t="s">
        <v>152</v>
      </c>
      <c r="AJ656" t="s">
        <v>153</v>
      </c>
      <c r="AK656" t="s">
        <v>154</v>
      </c>
      <c r="AL656" t="s">
        <v>119</v>
      </c>
      <c r="AM656" t="s">
        <v>112</v>
      </c>
      <c r="AN656" t="s">
        <v>121</v>
      </c>
      <c r="AO656" t="s">
        <v>122</v>
      </c>
      <c r="AP656" t="s">
        <v>122</v>
      </c>
      <c r="AQ656" t="s">
        <v>124</v>
      </c>
      <c r="AR656" t="s">
        <v>125</v>
      </c>
      <c r="AS656">
        <v>2</v>
      </c>
      <c r="AT656" t="s">
        <v>126</v>
      </c>
      <c r="AU656" t="s">
        <v>155</v>
      </c>
      <c r="AV656" t="s">
        <v>156</v>
      </c>
      <c r="AX656" t="s">
        <v>129</v>
      </c>
      <c r="AY656">
        <v>48250.2</v>
      </c>
      <c r="BB656">
        <v>98.840900000000005</v>
      </c>
      <c r="BC656" t="s">
        <v>112</v>
      </c>
      <c r="BD656" t="s">
        <v>112</v>
      </c>
      <c r="BE656" t="s">
        <v>157</v>
      </c>
      <c r="BF656" t="s">
        <v>133</v>
      </c>
      <c r="BG656" t="s">
        <v>167</v>
      </c>
      <c r="BH656" t="s">
        <v>112</v>
      </c>
      <c r="BI656" t="s">
        <v>112</v>
      </c>
      <c r="BJ656" t="s">
        <v>112</v>
      </c>
      <c r="BK656" t="s">
        <v>158</v>
      </c>
      <c r="BL656" t="s">
        <v>159</v>
      </c>
      <c r="BM656" t="s">
        <v>160</v>
      </c>
      <c r="BN656" t="s">
        <v>161</v>
      </c>
      <c r="BP656" t="s">
        <v>205</v>
      </c>
      <c r="BR656" t="s">
        <v>150</v>
      </c>
      <c r="BS656">
        <v>33</v>
      </c>
      <c r="BT656">
        <v>0</v>
      </c>
      <c r="BU656">
        <v>0</v>
      </c>
      <c r="BW656">
        <v>0</v>
      </c>
      <c r="BY656" t="s">
        <v>106</v>
      </c>
      <c r="BZ656" t="s">
        <v>142</v>
      </c>
      <c r="CA656" t="s">
        <v>112</v>
      </c>
      <c r="CB656" t="s">
        <v>112</v>
      </c>
      <c r="CC656" t="s">
        <v>121</v>
      </c>
      <c r="CD656">
        <v>16602.419999999998</v>
      </c>
      <c r="CE656" t="s">
        <v>144</v>
      </c>
      <c r="CF656">
        <v>4000000</v>
      </c>
      <c r="CG656">
        <v>16476.419999999998</v>
      </c>
      <c r="CH656">
        <v>0</v>
      </c>
      <c r="CI656" t="s">
        <v>112</v>
      </c>
      <c r="CJ656" t="s">
        <v>112</v>
      </c>
      <c r="CK656">
        <v>48250.2</v>
      </c>
      <c r="CM656">
        <v>0</v>
      </c>
      <c r="CN656">
        <v>1</v>
      </c>
      <c r="CO656">
        <v>5163468.38</v>
      </c>
      <c r="CP656">
        <v>56345.01</v>
      </c>
      <c r="CQ656" t="s">
        <v>145</v>
      </c>
      <c r="CR656">
        <v>56349.35639999999</v>
      </c>
      <c r="CS656">
        <v>3.42</v>
      </c>
      <c r="CT656">
        <v>45</v>
      </c>
      <c r="CV656" t="s">
        <v>729</v>
      </c>
      <c r="CW656">
        <v>174</v>
      </c>
    </row>
    <row r="657" spans="1:101" x14ac:dyDescent="0.2">
      <c r="A657" t="s">
        <v>106</v>
      </c>
      <c r="B657" s="46">
        <v>45101</v>
      </c>
      <c r="C657" t="s">
        <v>842</v>
      </c>
      <c r="D657" t="s">
        <v>108</v>
      </c>
      <c r="E657" t="s">
        <v>843</v>
      </c>
      <c r="F657" t="s">
        <v>110</v>
      </c>
      <c r="G657" t="s">
        <v>111</v>
      </c>
      <c r="H657" t="s">
        <v>112</v>
      </c>
      <c r="I657" t="s">
        <v>112</v>
      </c>
      <c r="J657" t="s">
        <v>112</v>
      </c>
      <c r="K657" t="s">
        <v>150</v>
      </c>
      <c r="L657" t="s">
        <v>151</v>
      </c>
      <c r="M657" t="s">
        <v>112</v>
      </c>
      <c r="N657" t="s">
        <v>112</v>
      </c>
      <c r="O657">
        <v>1</v>
      </c>
      <c r="Q657">
        <v>1</v>
      </c>
      <c r="R657">
        <v>33</v>
      </c>
      <c r="S657" t="s">
        <v>112</v>
      </c>
      <c r="T657" t="s">
        <v>152</v>
      </c>
      <c r="U657" t="s">
        <v>153</v>
      </c>
      <c r="V657" t="s">
        <v>154</v>
      </c>
      <c r="W657" t="s">
        <v>119</v>
      </c>
      <c r="X657" t="s">
        <v>112</v>
      </c>
      <c r="Y657" t="s">
        <v>112</v>
      </c>
      <c r="Z657" t="s">
        <v>152</v>
      </c>
      <c r="AA657" t="s">
        <v>153</v>
      </c>
      <c r="AB657" t="s">
        <v>154</v>
      </c>
      <c r="AC657" t="s">
        <v>119</v>
      </c>
      <c r="AD657" t="s">
        <v>112</v>
      </c>
      <c r="AE657" t="s">
        <v>121</v>
      </c>
      <c r="AF657" t="s">
        <v>122</v>
      </c>
      <c r="AG657">
        <v>4090967.52</v>
      </c>
      <c r="AH657" t="s">
        <v>112</v>
      </c>
      <c r="AI657" t="s">
        <v>152</v>
      </c>
      <c r="AJ657" t="s">
        <v>153</v>
      </c>
      <c r="AK657" t="s">
        <v>154</v>
      </c>
      <c r="AL657" t="s">
        <v>119</v>
      </c>
      <c r="AM657" t="s">
        <v>112</v>
      </c>
      <c r="AN657" t="s">
        <v>121</v>
      </c>
      <c r="AO657" t="s">
        <v>122</v>
      </c>
      <c r="AP657" t="s">
        <v>122</v>
      </c>
      <c r="AQ657" t="s">
        <v>124</v>
      </c>
      <c r="AR657" t="s">
        <v>125</v>
      </c>
      <c r="AS657">
        <v>2</v>
      </c>
      <c r="AT657" t="s">
        <v>126</v>
      </c>
      <c r="AU657" t="s">
        <v>155</v>
      </c>
      <c r="AV657" t="s">
        <v>156</v>
      </c>
      <c r="AX657" t="s">
        <v>129</v>
      </c>
      <c r="AY657">
        <v>37399.42</v>
      </c>
      <c r="BB657">
        <v>98.840900000000005</v>
      </c>
      <c r="BC657" t="s">
        <v>112</v>
      </c>
      <c r="BD657" t="s">
        <v>112</v>
      </c>
      <c r="BE657" t="s">
        <v>157</v>
      </c>
      <c r="BF657" t="s">
        <v>133</v>
      </c>
      <c r="BG657" t="s">
        <v>167</v>
      </c>
      <c r="BH657" t="s">
        <v>112</v>
      </c>
      <c r="BI657" t="s">
        <v>112</v>
      </c>
      <c r="BJ657" t="s">
        <v>112</v>
      </c>
      <c r="BK657" t="s">
        <v>158</v>
      </c>
      <c r="BL657" t="s">
        <v>159</v>
      </c>
      <c r="BM657" t="s">
        <v>160</v>
      </c>
      <c r="BN657" t="s">
        <v>161</v>
      </c>
      <c r="BP657" t="s">
        <v>281</v>
      </c>
      <c r="BR657" t="s">
        <v>150</v>
      </c>
      <c r="BS657">
        <v>33</v>
      </c>
      <c r="BT657">
        <v>0</v>
      </c>
      <c r="BU657">
        <v>0</v>
      </c>
      <c r="BW657">
        <v>0</v>
      </c>
      <c r="BY657" t="s">
        <v>106</v>
      </c>
      <c r="BZ657" t="s">
        <v>142</v>
      </c>
      <c r="CA657" t="s">
        <v>112</v>
      </c>
      <c r="CB657" t="s">
        <v>112</v>
      </c>
      <c r="CC657" t="s">
        <v>121</v>
      </c>
      <c r="CD657">
        <v>15917.75</v>
      </c>
      <c r="CE657" t="s">
        <v>144</v>
      </c>
      <c r="CF657">
        <v>4000000</v>
      </c>
      <c r="CG657">
        <v>15680.15</v>
      </c>
      <c r="CH657">
        <v>0</v>
      </c>
      <c r="CI657" t="s">
        <v>112</v>
      </c>
      <c r="CJ657" t="s">
        <v>112</v>
      </c>
      <c r="CK657">
        <v>37399.42</v>
      </c>
      <c r="CM657">
        <v>0</v>
      </c>
      <c r="CN657">
        <v>1</v>
      </c>
      <c r="CO657">
        <v>4090967.52</v>
      </c>
      <c r="CP657">
        <v>44641.63</v>
      </c>
      <c r="CQ657" t="s">
        <v>145</v>
      </c>
      <c r="CR657">
        <v>44688.427499999998</v>
      </c>
      <c r="CS657">
        <v>2.85</v>
      </c>
      <c r="CT657">
        <v>45</v>
      </c>
      <c r="CV657" t="s">
        <v>729</v>
      </c>
      <c r="CW657">
        <v>152</v>
      </c>
    </row>
    <row r="658" spans="1:101" x14ac:dyDescent="0.2">
      <c r="A658" t="s">
        <v>106</v>
      </c>
      <c r="B658" s="46">
        <v>45201</v>
      </c>
      <c r="C658" t="s">
        <v>816</v>
      </c>
      <c r="D658" t="s">
        <v>108</v>
      </c>
      <c r="E658" t="s">
        <v>817</v>
      </c>
      <c r="F658" t="s">
        <v>110</v>
      </c>
      <c r="G658" t="s">
        <v>111</v>
      </c>
      <c r="H658" t="s">
        <v>112</v>
      </c>
      <c r="I658" t="s">
        <v>112</v>
      </c>
      <c r="J658" t="s">
        <v>112</v>
      </c>
      <c r="K658" t="s">
        <v>150</v>
      </c>
      <c r="L658" t="s">
        <v>151</v>
      </c>
      <c r="M658" t="s">
        <v>112</v>
      </c>
      <c r="N658" t="s">
        <v>112</v>
      </c>
      <c r="O658">
        <v>1</v>
      </c>
      <c r="Q658">
        <v>1</v>
      </c>
      <c r="R658">
        <v>33</v>
      </c>
      <c r="S658" t="s">
        <v>112</v>
      </c>
      <c r="T658" t="s">
        <v>152</v>
      </c>
      <c r="U658" t="s">
        <v>153</v>
      </c>
      <c r="V658" t="s">
        <v>154</v>
      </c>
      <c r="W658" t="s">
        <v>119</v>
      </c>
      <c r="X658" t="s">
        <v>112</v>
      </c>
      <c r="Y658" t="s">
        <v>112</v>
      </c>
      <c r="Z658" t="s">
        <v>152</v>
      </c>
      <c r="AA658" t="s">
        <v>153</v>
      </c>
      <c r="AB658" t="s">
        <v>154</v>
      </c>
      <c r="AC658" t="s">
        <v>119</v>
      </c>
      <c r="AD658" t="s">
        <v>112</v>
      </c>
      <c r="AE658" t="s">
        <v>121</v>
      </c>
      <c r="AF658" t="s">
        <v>122</v>
      </c>
      <c r="AG658">
        <v>4839665.59</v>
      </c>
      <c r="AH658" t="s">
        <v>112</v>
      </c>
      <c r="AI658" t="s">
        <v>152</v>
      </c>
      <c r="AJ658" t="s">
        <v>153</v>
      </c>
      <c r="AK658" t="s">
        <v>154</v>
      </c>
      <c r="AL658" t="s">
        <v>119</v>
      </c>
      <c r="AM658" t="s">
        <v>112</v>
      </c>
      <c r="AN658" t="s">
        <v>121</v>
      </c>
      <c r="AO658" t="s">
        <v>122</v>
      </c>
      <c r="AP658" t="s">
        <v>122</v>
      </c>
      <c r="AQ658" t="s">
        <v>124</v>
      </c>
      <c r="AR658" t="s">
        <v>125</v>
      </c>
      <c r="AS658">
        <v>2</v>
      </c>
      <c r="AT658" t="s">
        <v>126</v>
      </c>
      <c r="AU658" t="s">
        <v>155</v>
      </c>
      <c r="AV658" t="s">
        <v>156</v>
      </c>
      <c r="AX658" t="s">
        <v>129</v>
      </c>
      <c r="AY658">
        <v>44974.2</v>
      </c>
      <c r="BB658">
        <v>98.840900000000005</v>
      </c>
      <c r="BC658" t="s">
        <v>112</v>
      </c>
      <c r="BD658" t="s">
        <v>112</v>
      </c>
      <c r="BE658" t="s">
        <v>157</v>
      </c>
      <c r="BF658" t="s">
        <v>133</v>
      </c>
      <c r="BG658" t="s">
        <v>167</v>
      </c>
      <c r="BH658" t="s">
        <v>112</v>
      </c>
      <c r="BI658" t="s">
        <v>112</v>
      </c>
      <c r="BJ658" t="s">
        <v>112</v>
      </c>
      <c r="BK658" t="s">
        <v>158</v>
      </c>
      <c r="BL658" t="s">
        <v>159</v>
      </c>
      <c r="BM658" t="s">
        <v>160</v>
      </c>
      <c r="BN658" t="s">
        <v>161</v>
      </c>
      <c r="BP658" t="s">
        <v>162</v>
      </c>
      <c r="BR658" t="s">
        <v>150</v>
      </c>
      <c r="BS658">
        <v>33</v>
      </c>
      <c r="BT658">
        <v>0</v>
      </c>
      <c r="BU658">
        <v>0</v>
      </c>
      <c r="BW658">
        <v>0</v>
      </c>
      <c r="BY658" t="s">
        <v>106</v>
      </c>
      <c r="BZ658" t="s">
        <v>142</v>
      </c>
      <c r="CA658" t="s">
        <v>112</v>
      </c>
      <c r="CB658" t="s">
        <v>112</v>
      </c>
      <c r="CC658" t="s">
        <v>121</v>
      </c>
      <c r="CD658">
        <v>16854.060000000001</v>
      </c>
      <c r="CE658" t="s">
        <v>144</v>
      </c>
      <c r="CF658">
        <v>4000000</v>
      </c>
      <c r="CG658">
        <v>16800.060000000001</v>
      </c>
      <c r="CH658">
        <v>0</v>
      </c>
      <c r="CI658" t="s">
        <v>112</v>
      </c>
      <c r="CJ658" t="s">
        <v>112</v>
      </c>
      <c r="CK658">
        <v>44974.2</v>
      </c>
      <c r="CN658">
        <v>1</v>
      </c>
      <c r="CO658">
        <v>4839665.59</v>
      </c>
      <c r="CP658">
        <v>52811.6</v>
      </c>
      <c r="CQ658" t="s">
        <v>145</v>
      </c>
      <c r="CR658">
        <v>52752.188400000006</v>
      </c>
      <c r="CS658">
        <v>3.14</v>
      </c>
      <c r="CT658">
        <v>45</v>
      </c>
      <c r="CV658" t="s">
        <v>163</v>
      </c>
      <c r="CW658">
        <v>589</v>
      </c>
    </row>
    <row r="659" spans="1:101" x14ac:dyDescent="0.2">
      <c r="A659" t="s">
        <v>106</v>
      </c>
      <c r="B659" s="46">
        <v>45047</v>
      </c>
      <c r="C659" t="s">
        <v>803</v>
      </c>
      <c r="D659" t="s">
        <v>108</v>
      </c>
      <c r="E659" t="s">
        <v>804</v>
      </c>
      <c r="F659" t="s">
        <v>110</v>
      </c>
      <c r="G659" t="s">
        <v>111</v>
      </c>
      <c r="H659" t="s">
        <v>112</v>
      </c>
      <c r="I659" t="s">
        <v>112</v>
      </c>
      <c r="J659" t="s">
        <v>112</v>
      </c>
      <c r="K659" t="s">
        <v>150</v>
      </c>
      <c r="L659" t="s">
        <v>151</v>
      </c>
      <c r="M659" t="s">
        <v>112</v>
      </c>
      <c r="N659" t="s">
        <v>112</v>
      </c>
      <c r="O659">
        <v>1</v>
      </c>
      <c r="Q659">
        <v>1</v>
      </c>
      <c r="R659">
        <v>33</v>
      </c>
      <c r="S659" t="s">
        <v>112</v>
      </c>
      <c r="T659" t="s">
        <v>152</v>
      </c>
      <c r="U659" t="s">
        <v>153</v>
      </c>
      <c r="V659" t="s">
        <v>154</v>
      </c>
      <c r="W659" t="s">
        <v>119</v>
      </c>
      <c r="X659" t="s">
        <v>112</v>
      </c>
      <c r="Y659" t="s">
        <v>112</v>
      </c>
      <c r="Z659" t="s">
        <v>152</v>
      </c>
      <c r="AA659" t="s">
        <v>153</v>
      </c>
      <c r="AB659" t="s">
        <v>154</v>
      </c>
      <c r="AC659" t="s">
        <v>119</v>
      </c>
      <c r="AD659" t="s">
        <v>112</v>
      </c>
      <c r="AE659" t="s">
        <v>121</v>
      </c>
      <c r="AF659" t="s">
        <v>122</v>
      </c>
      <c r="AG659">
        <v>4579793.0999999996</v>
      </c>
      <c r="AH659" t="s">
        <v>112</v>
      </c>
      <c r="AI659" t="s">
        <v>152</v>
      </c>
      <c r="AJ659" t="s">
        <v>153</v>
      </c>
      <c r="AK659" t="s">
        <v>154</v>
      </c>
      <c r="AL659" t="s">
        <v>119</v>
      </c>
      <c r="AM659" t="s">
        <v>112</v>
      </c>
      <c r="AN659" t="s">
        <v>121</v>
      </c>
      <c r="AO659" t="s">
        <v>122</v>
      </c>
      <c r="AP659" t="s">
        <v>122</v>
      </c>
      <c r="AQ659" t="s">
        <v>124</v>
      </c>
      <c r="AR659" t="s">
        <v>125</v>
      </c>
      <c r="AS659">
        <v>2</v>
      </c>
      <c r="AT659" t="s">
        <v>126</v>
      </c>
      <c r="AU659" t="s">
        <v>155</v>
      </c>
      <c r="AV659" t="s">
        <v>156</v>
      </c>
      <c r="AX659" t="s">
        <v>129</v>
      </c>
      <c r="AY659">
        <v>42345</v>
      </c>
      <c r="BB659">
        <v>98.840900000000005</v>
      </c>
      <c r="BC659" t="s">
        <v>112</v>
      </c>
      <c r="BD659" t="s">
        <v>112</v>
      </c>
      <c r="BE659" t="s">
        <v>157</v>
      </c>
      <c r="BF659" t="s">
        <v>133</v>
      </c>
      <c r="BG659" t="s">
        <v>167</v>
      </c>
      <c r="BH659" t="s">
        <v>112</v>
      </c>
      <c r="BI659" t="s">
        <v>112</v>
      </c>
      <c r="BJ659" t="s">
        <v>112</v>
      </c>
      <c r="BK659" t="s">
        <v>158</v>
      </c>
      <c r="BL659" t="s">
        <v>159</v>
      </c>
      <c r="BM659" t="s">
        <v>160</v>
      </c>
      <c r="BN659" t="s">
        <v>161</v>
      </c>
      <c r="BP659" t="s">
        <v>205</v>
      </c>
      <c r="BR659" t="s">
        <v>150</v>
      </c>
      <c r="BS659">
        <v>33</v>
      </c>
      <c r="BT659">
        <v>0</v>
      </c>
      <c r="BU659">
        <v>0</v>
      </c>
      <c r="BW659">
        <v>0</v>
      </c>
      <c r="BY659" t="s">
        <v>106</v>
      </c>
      <c r="BZ659" t="s">
        <v>142</v>
      </c>
      <c r="CA659" t="s">
        <v>112</v>
      </c>
      <c r="CB659" t="s">
        <v>112</v>
      </c>
      <c r="CC659" t="s">
        <v>121</v>
      </c>
      <c r="CD659">
        <v>16885.439999999999</v>
      </c>
      <c r="CE659" t="s">
        <v>144</v>
      </c>
      <c r="CF659">
        <v>4000000</v>
      </c>
      <c r="CG659">
        <v>16885.439999999999</v>
      </c>
      <c r="CH659">
        <v>0</v>
      </c>
      <c r="CI659" t="s">
        <v>112</v>
      </c>
      <c r="CJ659" t="s">
        <v>112</v>
      </c>
      <c r="CK659">
        <v>42345</v>
      </c>
      <c r="CM659">
        <v>0</v>
      </c>
      <c r="CN659">
        <v>1</v>
      </c>
      <c r="CO659">
        <v>4579793.0999999996</v>
      </c>
      <c r="CP659">
        <v>49975.81</v>
      </c>
      <c r="CQ659" t="s">
        <v>145</v>
      </c>
      <c r="CR659">
        <v>49980.902399999999</v>
      </c>
      <c r="CS659">
        <v>2.96</v>
      </c>
      <c r="CT659">
        <v>45</v>
      </c>
      <c r="CV659" t="s">
        <v>729</v>
      </c>
      <c r="CW659">
        <v>604</v>
      </c>
    </row>
    <row r="660" spans="1:101" x14ac:dyDescent="0.2">
      <c r="A660" t="s">
        <v>106</v>
      </c>
      <c r="B660" s="46">
        <v>45228</v>
      </c>
      <c r="C660" t="s">
        <v>830</v>
      </c>
      <c r="D660" t="s">
        <v>108</v>
      </c>
      <c r="E660" t="s">
        <v>831</v>
      </c>
      <c r="F660" t="s">
        <v>110</v>
      </c>
      <c r="G660" t="s">
        <v>111</v>
      </c>
      <c r="H660" t="s">
        <v>112</v>
      </c>
      <c r="I660" t="s">
        <v>112</v>
      </c>
      <c r="J660" t="s">
        <v>112</v>
      </c>
      <c r="K660" t="s">
        <v>150</v>
      </c>
      <c r="L660" t="s">
        <v>151</v>
      </c>
      <c r="M660" t="s">
        <v>112</v>
      </c>
      <c r="N660" t="s">
        <v>112</v>
      </c>
      <c r="O660">
        <v>1</v>
      </c>
      <c r="Q660">
        <v>1</v>
      </c>
      <c r="R660">
        <v>33</v>
      </c>
      <c r="S660" t="s">
        <v>112</v>
      </c>
      <c r="T660" t="s">
        <v>152</v>
      </c>
      <c r="U660" t="s">
        <v>153</v>
      </c>
      <c r="V660" t="s">
        <v>154</v>
      </c>
      <c r="W660" t="s">
        <v>119</v>
      </c>
      <c r="X660" t="s">
        <v>112</v>
      </c>
      <c r="Y660" t="s">
        <v>112</v>
      </c>
      <c r="Z660" t="s">
        <v>152</v>
      </c>
      <c r="AA660" t="s">
        <v>153</v>
      </c>
      <c r="AB660" t="s">
        <v>154</v>
      </c>
      <c r="AC660" t="s">
        <v>119</v>
      </c>
      <c r="AD660" t="s">
        <v>112</v>
      </c>
      <c r="AE660" t="s">
        <v>121</v>
      </c>
      <c r="AF660" t="s">
        <v>122</v>
      </c>
      <c r="AG660">
        <v>4507829.0199999996</v>
      </c>
      <c r="AH660" t="s">
        <v>112</v>
      </c>
      <c r="AI660" t="s">
        <v>152</v>
      </c>
      <c r="AJ660" t="s">
        <v>153</v>
      </c>
      <c r="AK660" t="s">
        <v>154</v>
      </c>
      <c r="AL660" t="s">
        <v>119</v>
      </c>
      <c r="AM660" t="s">
        <v>112</v>
      </c>
      <c r="AN660" t="s">
        <v>121</v>
      </c>
      <c r="AO660" t="s">
        <v>122</v>
      </c>
      <c r="AP660" t="s">
        <v>122</v>
      </c>
      <c r="AQ660" t="s">
        <v>124</v>
      </c>
      <c r="AR660" t="s">
        <v>125</v>
      </c>
      <c r="AS660">
        <v>2</v>
      </c>
      <c r="AT660" t="s">
        <v>126</v>
      </c>
      <c r="AU660" t="s">
        <v>155</v>
      </c>
      <c r="AV660" t="s">
        <v>156</v>
      </c>
      <c r="AX660" t="s">
        <v>129</v>
      </c>
      <c r="AY660">
        <v>41616.92</v>
      </c>
      <c r="BB660">
        <v>98.840900000000005</v>
      </c>
      <c r="BC660" t="s">
        <v>112</v>
      </c>
      <c r="BD660" t="s">
        <v>112</v>
      </c>
      <c r="BE660" t="s">
        <v>157</v>
      </c>
      <c r="BF660" t="s">
        <v>133</v>
      </c>
      <c r="BG660" t="s">
        <v>167</v>
      </c>
      <c r="BH660" t="s">
        <v>112</v>
      </c>
      <c r="BI660" t="s">
        <v>112</v>
      </c>
      <c r="BJ660" t="s">
        <v>112</v>
      </c>
      <c r="BK660" t="s">
        <v>158</v>
      </c>
      <c r="BL660" t="s">
        <v>159</v>
      </c>
      <c r="BM660" t="s">
        <v>160</v>
      </c>
      <c r="BN660" t="s">
        <v>161</v>
      </c>
      <c r="BP660" t="s">
        <v>232</v>
      </c>
      <c r="BR660" t="s">
        <v>150</v>
      </c>
      <c r="BS660">
        <v>33</v>
      </c>
      <c r="BT660">
        <v>0</v>
      </c>
      <c r="BU660">
        <v>0</v>
      </c>
      <c r="BW660">
        <v>0</v>
      </c>
      <c r="BY660" t="s">
        <v>106</v>
      </c>
      <c r="BZ660" t="s">
        <v>142</v>
      </c>
      <c r="CA660" t="s">
        <v>112</v>
      </c>
      <c r="CB660" t="s">
        <v>112</v>
      </c>
      <c r="CC660" t="s">
        <v>121</v>
      </c>
      <c r="CD660">
        <v>17087.78</v>
      </c>
      <c r="CE660" t="s">
        <v>144</v>
      </c>
      <c r="CF660">
        <v>4000000</v>
      </c>
      <c r="CG660">
        <v>16962.580000000002</v>
      </c>
      <c r="CH660">
        <v>0</v>
      </c>
      <c r="CI660" t="s">
        <v>112</v>
      </c>
      <c r="CJ660" t="s">
        <v>112</v>
      </c>
      <c r="CK660">
        <v>41616.92</v>
      </c>
      <c r="CM660">
        <v>0</v>
      </c>
      <c r="CN660">
        <v>1</v>
      </c>
      <c r="CO660">
        <v>4507829.0199999996</v>
      </c>
      <c r="CP660">
        <v>49190.52</v>
      </c>
      <c r="CQ660" t="s">
        <v>145</v>
      </c>
      <c r="CR660">
        <v>49191.482000000004</v>
      </c>
      <c r="CS660">
        <v>2.9</v>
      </c>
      <c r="CT660">
        <v>45</v>
      </c>
      <c r="CV660" t="s">
        <v>233</v>
      </c>
      <c r="CW660">
        <v>180</v>
      </c>
    </row>
    <row r="661" spans="1:101" x14ac:dyDescent="0.2">
      <c r="A661" t="s">
        <v>106</v>
      </c>
      <c r="B661" s="46">
        <v>45183</v>
      </c>
      <c r="C661" t="s">
        <v>846</v>
      </c>
      <c r="D661" t="s">
        <v>108</v>
      </c>
      <c r="E661" t="s">
        <v>847</v>
      </c>
      <c r="F661" t="s">
        <v>110</v>
      </c>
      <c r="G661" t="s">
        <v>111</v>
      </c>
      <c r="H661" t="s">
        <v>112</v>
      </c>
      <c r="I661" t="s">
        <v>112</v>
      </c>
      <c r="J661" t="s">
        <v>112</v>
      </c>
      <c r="K661" t="s">
        <v>150</v>
      </c>
      <c r="L661" t="s">
        <v>151</v>
      </c>
      <c r="M661" t="s">
        <v>112</v>
      </c>
      <c r="N661" t="s">
        <v>112</v>
      </c>
      <c r="O661">
        <v>1</v>
      </c>
      <c r="Q661">
        <v>1</v>
      </c>
      <c r="R661">
        <v>33</v>
      </c>
      <c r="S661" t="s">
        <v>112</v>
      </c>
      <c r="T661" t="s">
        <v>152</v>
      </c>
      <c r="U661" t="s">
        <v>153</v>
      </c>
      <c r="V661" t="s">
        <v>154</v>
      </c>
      <c r="W661" t="s">
        <v>119</v>
      </c>
      <c r="X661" t="s">
        <v>112</v>
      </c>
      <c r="Y661" t="s">
        <v>112</v>
      </c>
      <c r="Z661" t="s">
        <v>152</v>
      </c>
      <c r="AA661" t="s">
        <v>153</v>
      </c>
      <c r="AB661" t="s">
        <v>154</v>
      </c>
      <c r="AC661" t="s">
        <v>119</v>
      </c>
      <c r="AD661" t="s">
        <v>112</v>
      </c>
      <c r="AE661" t="s">
        <v>121</v>
      </c>
      <c r="AF661" t="s">
        <v>122</v>
      </c>
      <c r="AG661">
        <v>4390425.8</v>
      </c>
      <c r="AH661" t="s">
        <v>112</v>
      </c>
      <c r="AI661" t="s">
        <v>152</v>
      </c>
      <c r="AJ661" t="s">
        <v>153</v>
      </c>
      <c r="AK661" t="s">
        <v>154</v>
      </c>
      <c r="AL661" t="s">
        <v>119</v>
      </c>
      <c r="AM661" t="s">
        <v>112</v>
      </c>
      <c r="AN661" t="s">
        <v>121</v>
      </c>
      <c r="AO661" t="s">
        <v>122</v>
      </c>
      <c r="AP661" t="s">
        <v>122</v>
      </c>
      <c r="AQ661" t="s">
        <v>124</v>
      </c>
      <c r="AR661" t="s">
        <v>125</v>
      </c>
      <c r="AS661">
        <v>2</v>
      </c>
      <c r="AT661" t="s">
        <v>126</v>
      </c>
      <c r="AU661" t="s">
        <v>155</v>
      </c>
      <c r="AV661" t="s">
        <v>156</v>
      </c>
      <c r="AX661" t="s">
        <v>129</v>
      </c>
      <c r="AY661">
        <v>40429.120000000003</v>
      </c>
      <c r="BB661">
        <v>98.840900000000005</v>
      </c>
      <c r="BC661" t="s">
        <v>112</v>
      </c>
      <c r="BD661" t="s">
        <v>112</v>
      </c>
      <c r="BE661" t="s">
        <v>157</v>
      </c>
      <c r="BF661" t="s">
        <v>133</v>
      </c>
      <c r="BG661" t="s">
        <v>167</v>
      </c>
      <c r="BH661" t="s">
        <v>112</v>
      </c>
      <c r="BI661" t="s">
        <v>112</v>
      </c>
      <c r="BJ661" t="s">
        <v>112</v>
      </c>
      <c r="BK661" t="s">
        <v>158</v>
      </c>
      <c r="BL661" t="s">
        <v>159</v>
      </c>
      <c r="BM661" t="s">
        <v>160</v>
      </c>
      <c r="BN661" t="s">
        <v>161</v>
      </c>
      <c r="BP661" t="s">
        <v>162</v>
      </c>
      <c r="BR661" t="s">
        <v>150</v>
      </c>
      <c r="BS661">
        <v>33</v>
      </c>
      <c r="BT661">
        <v>0</v>
      </c>
      <c r="BU661">
        <v>0</v>
      </c>
      <c r="BW661">
        <v>0</v>
      </c>
      <c r="BY661" t="s">
        <v>106</v>
      </c>
      <c r="BZ661" t="s">
        <v>142</v>
      </c>
      <c r="CA661" t="s">
        <v>112</v>
      </c>
      <c r="CB661" t="s">
        <v>112</v>
      </c>
      <c r="CC661" t="s">
        <v>121</v>
      </c>
      <c r="CD661">
        <v>16931.5</v>
      </c>
      <c r="CE661" t="s">
        <v>144</v>
      </c>
      <c r="CF661">
        <v>4000000</v>
      </c>
      <c r="CG661">
        <v>16746.099999999999</v>
      </c>
      <c r="CH661">
        <v>0</v>
      </c>
      <c r="CI661" t="s">
        <v>112</v>
      </c>
      <c r="CJ661" t="s">
        <v>112</v>
      </c>
      <c r="CK661">
        <v>40429.120000000003</v>
      </c>
      <c r="CM661">
        <v>0</v>
      </c>
      <c r="CN661">
        <v>1</v>
      </c>
      <c r="CO661">
        <v>4390425.8</v>
      </c>
      <c r="CP661">
        <v>47909.39</v>
      </c>
      <c r="CQ661" t="s">
        <v>145</v>
      </c>
      <c r="CR661">
        <v>47893.84599999999</v>
      </c>
      <c r="CS661">
        <v>2.86</v>
      </c>
      <c r="CT661">
        <v>45</v>
      </c>
      <c r="CV661" t="s">
        <v>163</v>
      </c>
      <c r="CW661">
        <v>590</v>
      </c>
    </row>
    <row r="662" spans="1:101" x14ac:dyDescent="0.2">
      <c r="A662" t="s">
        <v>106</v>
      </c>
      <c r="B662" s="46">
        <v>44934</v>
      </c>
      <c r="C662" t="s">
        <v>2110</v>
      </c>
      <c r="D662" t="s">
        <v>108</v>
      </c>
      <c r="E662" t="s">
        <v>2111</v>
      </c>
      <c r="F662" t="s">
        <v>110</v>
      </c>
      <c r="G662" t="s">
        <v>111</v>
      </c>
      <c r="H662" t="s">
        <v>112</v>
      </c>
      <c r="I662" t="s">
        <v>112</v>
      </c>
      <c r="J662" t="s">
        <v>112</v>
      </c>
      <c r="K662" t="s">
        <v>150</v>
      </c>
      <c r="L662" t="s">
        <v>151</v>
      </c>
      <c r="M662" t="s">
        <v>112</v>
      </c>
      <c r="N662" t="s">
        <v>112</v>
      </c>
      <c r="O662">
        <v>1</v>
      </c>
      <c r="Q662">
        <v>1</v>
      </c>
      <c r="R662">
        <v>33</v>
      </c>
      <c r="S662" t="s">
        <v>112</v>
      </c>
      <c r="T662" t="s">
        <v>152</v>
      </c>
      <c r="U662" t="s">
        <v>153</v>
      </c>
      <c r="V662" t="s">
        <v>154</v>
      </c>
      <c r="W662" t="s">
        <v>119</v>
      </c>
      <c r="X662" t="s">
        <v>112</v>
      </c>
      <c r="Y662" t="s">
        <v>112</v>
      </c>
      <c r="Z662" t="s">
        <v>152</v>
      </c>
      <c r="AA662" t="s">
        <v>153</v>
      </c>
      <c r="AB662" t="s">
        <v>154</v>
      </c>
      <c r="AC662" t="s">
        <v>119</v>
      </c>
      <c r="AD662" t="s">
        <v>112</v>
      </c>
      <c r="AE662" t="s">
        <v>121</v>
      </c>
      <c r="AF662" t="s">
        <v>122</v>
      </c>
      <c r="AG662">
        <v>5132175.97</v>
      </c>
      <c r="AH662" t="s">
        <v>112</v>
      </c>
      <c r="AI662" t="s">
        <v>152</v>
      </c>
      <c r="AJ662" t="s">
        <v>153</v>
      </c>
      <c r="AK662" t="s">
        <v>154</v>
      </c>
      <c r="AL662" t="s">
        <v>119</v>
      </c>
      <c r="AM662" t="s">
        <v>112</v>
      </c>
      <c r="AN662" t="s">
        <v>121</v>
      </c>
      <c r="AO662" t="s">
        <v>122</v>
      </c>
      <c r="AP662" t="s">
        <v>122</v>
      </c>
      <c r="AQ662" t="s">
        <v>124</v>
      </c>
      <c r="AR662" t="s">
        <v>125</v>
      </c>
      <c r="AS662">
        <v>2</v>
      </c>
      <c r="AT662" t="s">
        <v>126</v>
      </c>
      <c r="AU662" t="s">
        <v>155</v>
      </c>
      <c r="AV662" t="s">
        <v>156</v>
      </c>
      <c r="AX662" t="s">
        <v>129</v>
      </c>
      <c r="AY662">
        <v>44040.42</v>
      </c>
      <c r="BB662">
        <v>105.68640000000001</v>
      </c>
      <c r="BC662" t="s">
        <v>112</v>
      </c>
      <c r="BD662" t="s">
        <v>112</v>
      </c>
      <c r="BE662" t="s">
        <v>157</v>
      </c>
      <c r="BF662" t="s">
        <v>133</v>
      </c>
      <c r="BG662" t="s">
        <v>134</v>
      </c>
      <c r="BH662" t="s">
        <v>112</v>
      </c>
      <c r="BI662" t="s">
        <v>112</v>
      </c>
      <c r="BJ662" t="s">
        <v>112</v>
      </c>
      <c r="BK662" t="s">
        <v>158</v>
      </c>
      <c r="BL662" t="s">
        <v>159</v>
      </c>
      <c r="BM662" t="s">
        <v>212</v>
      </c>
      <c r="BN662" t="s">
        <v>161</v>
      </c>
      <c r="BP662" t="s">
        <v>232</v>
      </c>
      <c r="BR662" t="s">
        <v>150</v>
      </c>
      <c r="BS662">
        <v>33</v>
      </c>
      <c r="BT662">
        <v>0</v>
      </c>
      <c r="BU662">
        <v>0</v>
      </c>
      <c r="BW662">
        <v>0</v>
      </c>
      <c r="BY662" t="s">
        <v>106</v>
      </c>
      <c r="BZ662" t="s">
        <v>142</v>
      </c>
      <c r="CA662" t="s">
        <v>112</v>
      </c>
      <c r="CB662" t="s">
        <v>112</v>
      </c>
      <c r="CC662" t="s">
        <v>121</v>
      </c>
      <c r="CD662">
        <v>15349.83</v>
      </c>
      <c r="CE662" t="s">
        <v>144</v>
      </c>
      <c r="CF662">
        <v>4000000</v>
      </c>
      <c r="CG662">
        <v>15097.23</v>
      </c>
      <c r="CH662">
        <v>0</v>
      </c>
      <c r="CI662" t="s">
        <v>112</v>
      </c>
      <c r="CJ662" t="s">
        <v>112</v>
      </c>
      <c r="CK662">
        <v>44040.42</v>
      </c>
      <c r="CM662">
        <v>0</v>
      </c>
      <c r="CN662">
        <v>1</v>
      </c>
      <c r="CO662">
        <v>5132175.97</v>
      </c>
      <c r="CP662">
        <v>51355.19</v>
      </c>
      <c r="CQ662" t="s">
        <v>145</v>
      </c>
      <c r="CR662">
        <v>51330.581999999995</v>
      </c>
      <c r="CS662">
        <v>3.4</v>
      </c>
      <c r="CT662">
        <v>45</v>
      </c>
      <c r="CV662" t="s">
        <v>233</v>
      </c>
      <c r="CW662">
        <v>590</v>
      </c>
    </row>
    <row r="663" spans="1:101" x14ac:dyDescent="0.2">
      <c r="A663" t="s">
        <v>106</v>
      </c>
      <c r="B663" s="46">
        <v>45078</v>
      </c>
      <c r="C663" t="s">
        <v>2110</v>
      </c>
      <c r="D663" t="s">
        <v>108</v>
      </c>
      <c r="E663" t="s">
        <v>2111</v>
      </c>
      <c r="F663" t="s">
        <v>110</v>
      </c>
      <c r="G663" t="s">
        <v>111</v>
      </c>
      <c r="H663" t="s">
        <v>112</v>
      </c>
      <c r="I663" t="s">
        <v>112</v>
      </c>
      <c r="J663" t="s">
        <v>112</v>
      </c>
      <c r="K663" t="s">
        <v>150</v>
      </c>
      <c r="L663" t="s">
        <v>151</v>
      </c>
      <c r="M663" t="s">
        <v>112</v>
      </c>
      <c r="N663" t="s">
        <v>112</v>
      </c>
      <c r="O663">
        <v>1</v>
      </c>
      <c r="Q663">
        <v>1</v>
      </c>
      <c r="R663">
        <v>33</v>
      </c>
      <c r="S663" t="s">
        <v>112</v>
      </c>
      <c r="T663" t="s">
        <v>152</v>
      </c>
      <c r="U663" t="s">
        <v>153</v>
      </c>
      <c r="V663" t="s">
        <v>154</v>
      </c>
      <c r="W663" t="s">
        <v>119</v>
      </c>
      <c r="X663" t="s">
        <v>112</v>
      </c>
      <c r="Y663" t="s">
        <v>112</v>
      </c>
      <c r="Z663" t="s">
        <v>152</v>
      </c>
      <c r="AA663" t="s">
        <v>153</v>
      </c>
      <c r="AB663" t="s">
        <v>154</v>
      </c>
      <c r="AC663" t="s">
        <v>119</v>
      </c>
      <c r="AD663" t="s">
        <v>112</v>
      </c>
      <c r="AE663" t="s">
        <v>121</v>
      </c>
      <c r="AF663" t="s">
        <v>122</v>
      </c>
      <c r="AG663">
        <v>5132175.97</v>
      </c>
      <c r="AH663" t="s">
        <v>112</v>
      </c>
      <c r="AI663" t="s">
        <v>152</v>
      </c>
      <c r="AJ663" t="s">
        <v>153</v>
      </c>
      <c r="AK663" t="s">
        <v>154</v>
      </c>
      <c r="AL663" t="s">
        <v>119</v>
      </c>
      <c r="AM663" t="s">
        <v>112</v>
      </c>
      <c r="AN663" t="s">
        <v>121</v>
      </c>
      <c r="AO663" t="s">
        <v>122</v>
      </c>
      <c r="AP663" t="s">
        <v>122</v>
      </c>
      <c r="AQ663" t="s">
        <v>124</v>
      </c>
      <c r="AR663" t="s">
        <v>125</v>
      </c>
      <c r="AS663">
        <v>2</v>
      </c>
      <c r="AT663" t="s">
        <v>126</v>
      </c>
      <c r="AU663" t="s">
        <v>155</v>
      </c>
      <c r="AV663" t="s">
        <v>156</v>
      </c>
      <c r="AX663" t="s">
        <v>129</v>
      </c>
      <c r="AY663">
        <v>44040.42</v>
      </c>
      <c r="BB663">
        <v>105.68640000000001</v>
      </c>
      <c r="BC663" t="s">
        <v>112</v>
      </c>
      <c r="BD663" t="s">
        <v>112</v>
      </c>
      <c r="BE663" t="s">
        <v>157</v>
      </c>
      <c r="BF663" t="s">
        <v>133</v>
      </c>
      <c r="BG663" t="s">
        <v>134</v>
      </c>
      <c r="BH663" t="s">
        <v>112</v>
      </c>
      <c r="BI663" t="s">
        <v>112</v>
      </c>
      <c r="BJ663" t="s">
        <v>112</v>
      </c>
      <c r="BK663" t="s">
        <v>158</v>
      </c>
      <c r="BL663" t="s">
        <v>159</v>
      </c>
      <c r="BM663" t="s">
        <v>212</v>
      </c>
      <c r="BN663" t="s">
        <v>161</v>
      </c>
      <c r="BP663" t="s">
        <v>232</v>
      </c>
      <c r="BR663" t="s">
        <v>150</v>
      </c>
      <c r="BS663">
        <v>33</v>
      </c>
      <c r="BT663">
        <v>0</v>
      </c>
      <c r="BU663">
        <v>0</v>
      </c>
      <c r="BW663">
        <v>0</v>
      </c>
      <c r="BY663" t="s">
        <v>106</v>
      </c>
      <c r="BZ663" t="s">
        <v>142</v>
      </c>
      <c r="CA663" t="s">
        <v>112</v>
      </c>
      <c r="CB663" t="s">
        <v>112</v>
      </c>
      <c r="CC663" t="s">
        <v>121</v>
      </c>
      <c r="CD663">
        <v>15349.83</v>
      </c>
      <c r="CE663" t="s">
        <v>144</v>
      </c>
      <c r="CF663">
        <v>4000000</v>
      </c>
      <c r="CG663">
        <v>15097.23</v>
      </c>
      <c r="CH663">
        <v>0</v>
      </c>
      <c r="CI663" t="s">
        <v>112</v>
      </c>
      <c r="CJ663" t="s">
        <v>112</v>
      </c>
      <c r="CK663">
        <v>44040.42</v>
      </c>
      <c r="CM663">
        <v>0</v>
      </c>
      <c r="CN663">
        <v>1</v>
      </c>
      <c r="CO663">
        <v>5132175.97</v>
      </c>
      <c r="CP663">
        <v>51355.19</v>
      </c>
      <c r="CQ663" t="s">
        <v>145</v>
      </c>
      <c r="CR663">
        <v>51330.581999999995</v>
      </c>
      <c r="CS663">
        <v>3.4</v>
      </c>
      <c r="CT663">
        <v>45</v>
      </c>
      <c r="CV663" t="s">
        <v>233</v>
      </c>
      <c r="CW663">
        <v>590</v>
      </c>
    </row>
    <row r="664" spans="1:101" x14ac:dyDescent="0.2">
      <c r="A664" t="s">
        <v>106</v>
      </c>
      <c r="B664" s="46">
        <v>45186</v>
      </c>
      <c r="C664" t="s">
        <v>1978</v>
      </c>
      <c r="D664" t="s">
        <v>108</v>
      </c>
      <c r="E664" t="s">
        <v>1979</v>
      </c>
      <c r="F664" t="s">
        <v>110</v>
      </c>
      <c r="G664" t="s">
        <v>111</v>
      </c>
      <c r="H664" t="s">
        <v>112</v>
      </c>
      <c r="I664" t="s">
        <v>112</v>
      </c>
      <c r="J664" t="s">
        <v>112</v>
      </c>
      <c r="K664" t="s">
        <v>150</v>
      </c>
      <c r="L664" t="s">
        <v>151</v>
      </c>
      <c r="M664" t="s">
        <v>112</v>
      </c>
      <c r="N664" t="s">
        <v>112</v>
      </c>
      <c r="O664">
        <v>1</v>
      </c>
      <c r="Q664">
        <v>1</v>
      </c>
      <c r="R664">
        <v>33</v>
      </c>
      <c r="S664" t="s">
        <v>112</v>
      </c>
      <c r="T664" t="s">
        <v>152</v>
      </c>
      <c r="U664" t="s">
        <v>153</v>
      </c>
      <c r="V664" t="s">
        <v>154</v>
      </c>
      <c r="W664" t="s">
        <v>119</v>
      </c>
      <c r="X664" t="s">
        <v>112</v>
      </c>
      <c r="Y664" t="s">
        <v>112</v>
      </c>
      <c r="Z664" t="s">
        <v>152</v>
      </c>
      <c r="AA664" t="s">
        <v>153</v>
      </c>
      <c r="AB664" t="s">
        <v>154</v>
      </c>
      <c r="AC664" t="s">
        <v>119</v>
      </c>
      <c r="AD664" t="s">
        <v>112</v>
      </c>
      <c r="AE664" t="s">
        <v>121</v>
      </c>
      <c r="AF664" t="s">
        <v>122</v>
      </c>
      <c r="AG664">
        <v>4862482.49</v>
      </c>
      <c r="AH664" t="s">
        <v>112</v>
      </c>
      <c r="AI664" t="s">
        <v>152</v>
      </c>
      <c r="AJ664" t="s">
        <v>153</v>
      </c>
      <c r="AK664" t="s">
        <v>154</v>
      </c>
      <c r="AL664" t="s">
        <v>119</v>
      </c>
      <c r="AM664" t="s">
        <v>112</v>
      </c>
      <c r="AN664" t="s">
        <v>121</v>
      </c>
      <c r="AO664" t="s">
        <v>122</v>
      </c>
      <c r="AP664" t="s">
        <v>122</v>
      </c>
      <c r="AQ664" t="s">
        <v>124</v>
      </c>
      <c r="AR664" t="s">
        <v>125</v>
      </c>
      <c r="AS664">
        <v>2</v>
      </c>
      <c r="AT664" t="s">
        <v>126</v>
      </c>
      <c r="AU664" t="s">
        <v>155</v>
      </c>
      <c r="AV664" t="s">
        <v>156</v>
      </c>
      <c r="AX664" t="s">
        <v>129</v>
      </c>
      <c r="AY664">
        <v>42229.16</v>
      </c>
      <c r="BB664">
        <v>104.88720000000001</v>
      </c>
      <c r="BC664" t="s">
        <v>112</v>
      </c>
      <c r="BD664" t="s">
        <v>112</v>
      </c>
      <c r="BE664" t="s">
        <v>157</v>
      </c>
      <c r="BF664" t="s">
        <v>133</v>
      </c>
      <c r="BG664" t="s">
        <v>134</v>
      </c>
      <c r="BH664" t="s">
        <v>112</v>
      </c>
      <c r="BI664" t="s">
        <v>112</v>
      </c>
      <c r="BJ664" t="s">
        <v>112</v>
      </c>
      <c r="BK664" t="s">
        <v>169</v>
      </c>
      <c r="BL664" t="s">
        <v>159</v>
      </c>
      <c r="BM664" t="s">
        <v>212</v>
      </c>
      <c r="BN664" t="s">
        <v>161</v>
      </c>
      <c r="BP664" t="s">
        <v>205</v>
      </c>
      <c r="BR664" t="s">
        <v>150</v>
      </c>
      <c r="BS664">
        <v>33</v>
      </c>
      <c r="BT664">
        <v>0</v>
      </c>
      <c r="BU664">
        <v>0</v>
      </c>
      <c r="BW664">
        <v>0</v>
      </c>
      <c r="BY664" t="s">
        <v>106</v>
      </c>
      <c r="BZ664" t="s">
        <v>142</v>
      </c>
      <c r="CA664" t="s">
        <v>112</v>
      </c>
      <c r="CB664" t="s">
        <v>112</v>
      </c>
      <c r="CC664" t="s">
        <v>121</v>
      </c>
      <c r="CD664">
        <v>16686.96</v>
      </c>
      <c r="CE664" t="s">
        <v>144</v>
      </c>
      <c r="CF664">
        <v>4000000</v>
      </c>
      <c r="CG664">
        <v>16517.759999999998</v>
      </c>
      <c r="CH664">
        <v>0</v>
      </c>
      <c r="CI664" t="s">
        <v>112</v>
      </c>
      <c r="CJ664" t="s">
        <v>112</v>
      </c>
      <c r="CK664">
        <v>42229.16</v>
      </c>
      <c r="CM664">
        <v>0</v>
      </c>
      <c r="CN664">
        <v>1</v>
      </c>
      <c r="CO664">
        <v>4862482.49</v>
      </c>
      <c r="CP664">
        <v>49655.63</v>
      </c>
      <c r="CQ664" t="s">
        <v>145</v>
      </c>
      <c r="CR664">
        <v>49718.457599999994</v>
      </c>
      <c r="CS664">
        <v>3.01</v>
      </c>
      <c r="CT664">
        <v>45</v>
      </c>
      <c r="CV664" t="s">
        <v>206</v>
      </c>
      <c r="CW664">
        <v>342</v>
      </c>
    </row>
    <row r="665" spans="1:101" x14ac:dyDescent="0.2">
      <c r="A665" t="s">
        <v>106</v>
      </c>
      <c r="B665" s="46">
        <v>44969</v>
      </c>
      <c r="C665" t="s">
        <v>1978</v>
      </c>
      <c r="D665" t="s">
        <v>108</v>
      </c>
      <c r="E665" t="s">
        <v>1979</v>
      </c>
      <c r="F665" t="s">
        <v>110</v>
      </c>
      <c r="G665" t="s">
        <v>111</v>
      </c>
      <c r="H665" t="s">
        <v>112</v>
      </c>
      <c r="I665" t="s">
        <v>112</v>
      </c>
      <c r="J665" t="s">
        <v>112</v>
      </c>
      <c r="K665" t="s">
        <v>150</v>
      </c>
      <c r="L665" t="s">
        <v>151</v>
      </c>
      <c r="M665" t="s">
        <v>112</v>
      </c>
      <c r="N665" t="s">
        <v>112</v>
      </c>
      <c r="O665">
        <v>1</v>
      </c>
      <c r="Q665">
        <v>1</v>
      </c>
      <c r="R665">
        <v>33</v>
      </c>
      <c r="S665" t="s">
        <v>112</v>
      </c>
      <c r="T665" t="s">
        <v>152</v>
      </c>
      <c r="U665" t="s">
        <v>153</v>
      </c>
      <c r="V665" t="s">
        <v>154</v>
      </c>
      <c r="W665" t="s">
        <v>119</v>
      </c>
      <c r="X665" t="s">
        <v>112</v>
      </c>
      <c r="Y665" t="s">
        <v>112</v>
      </c>
      <c r="Z665" t="s">
        <v>152</v>
      </c>
      <c r="AA665" t="s">
        <v>153</v>
      </c>
      <c r="AB665" t="s">
        <v>154</v>
      </c>
      <c r="AC665" t="s">
        <v>119</v>
      </c>
      <c r="AD665" t="s">
        <v>112</v>
      </c>
      <c r="AE665" t="s">
        <v>121</v>
      </c>
      <c r="AF665" t="s">
        <v>122</v>
      </c>
      <c r="AG665">
        <v>4862482.49</v>
      </c>
      <c r="AH665" t="s">
        <v>112</v>
      </c>
      <c r="AI665" t="s">
        <v>152</v>
      </c>
      <c r="AJ665" t="s">
        <v>153</v>
      </c>
      <c r="AK665" t="s">
        <v>154</v>
      </c>
      <c r="AL665" t="s">
        <v>119</v>
      </c>
      <c r="AM665" t="s">
        <v>112</v>
      </c>
      <c r="AN665" t="s">
        <v>121</v>
      </c>
      <c r="AO665" t="s">
        <v>122</v>
      </c>
      <c r="AP665" t="s">
        <v>122</v>
      </c>
      <c r="AQ665" t="s">
        <v>124</v>
      </c>
      <c r="AR665" t="s">
        <v>125</v>
      </c>
      <c r="AS665">
        <v>2</v>
      </c>
      <c r="AT665" t="s">
        <v>126</v>
      </c>
      <c r="AU665" t="s">
        <v>155</v>
      </c>
      <c r="AV665" t="s">
        <v>156</v>
      </c>
      <c r="AX665" t="s">
        <v>129</v>
      </c>
      <c r="AY665">
        <v>42229.16</v>
      </c>
      <c r="BB665">
        <v>104.88720000000001</v>
      </c>
      <c r="BC665" t="s">
        <v>112</v>
      </c>
      <c r="BD665" t="s">
        <v>112</v>
      </c>
      <c r="BE665" t="s">
        <v>157</v>
      </c>
      <c r="BF665" t="s">
        <v>133</v>
      </c>
      <c r="BG665" t="s">
        <v>134</v>
      </c>
      <c r="BH665" t="s">
        <v>112</v>
      </c>
      <c r="BI665" t="s">
        <v>112</v>
      </c>
      <c r="BJ665" t="s">
        <v>112</v>
      </c>
      <c r="BK665" t="s">
        <v>169</v>
      </c>
      <c r="BL665" t="s">
        <v>159</v>
      </c>
      <c r="BM665" t="s">
        <v>212</v>
      </c>
      <c r="BN665" t="s">
        <v>161</v>
      </c>
      <c r="BP665" t="s">
        <v>205</v>
      </c>
      <c r="BR665" t="s">
        <v>150</v>
      </c>
      <c r="BS665">
        <v>33</v>
      </c>
      <c r="BT665">
        <v>0</v>
      </c>
      <c r="BU665">
        <v>0</v>
      </c>
      <c r="BW665">
        <v>0</v>
      </c>
      <c r="BY665" t="s">
        <v>106</v>
      </c>
      <c r="BZ665" t="s">
        <v>142</v>
      </c>
      <c r="CA665" t="s">
        <v>112</v>
      </c>
      <c r="CB665" t="s">
        <v>112</v>
      </c>
      <c r="CC665" t="s">
        <v>121</v>
      </c>
      <c r="CD665">
        <v>16686.96</v>
      </c>
      <c r="CE665" t="s">
        <v>144</v>
      </c>
      <c r="CF665">
        <v>4000000</v>
      </c>
      <c r="CG665">
        <v>16517.759999999998</v>
      </c>
      <c r="CH665">
        <v>0</v>
      </c>
      <c r="CI665" t="s">
        <v>112</v>
      </c>
      <c r="CJ665" t="s">
        <v>112</v>
      </c>
      <c r="CK665">
        <v>42229.16</v>
      </c>
      <c r="CM665">
        <v>0</v>
      </c>
      <c r="CN665">
        <v>1</v>
      </c>
      <c r="CO665">
        <v>4862482.49</v>
      </c>
      <c r="CP665">
        <v>49655.63</v>
      </c>
      <c r="CQ665" t="s">
        <v>145</v>
      </c>
      <c r="CR665">
        <v>49718.457599999994</v>
      </c>
      <c r="CS665">
        <v>3.01</v>
      </c>
      <c r="CT665">
        <v>45</v>
      </c>
      <c r="CV665" t="s">
        <v>206</v>
      </c>
      <c r="CW665">
        <v>342</v>
      </c>
    </row>
    <row r="666" spans="1:101" x14ac:dyDescent="0.2">
      <c r="A666" t="s">
        <v>106</v>
      </c>
      <c r="B666" s="46">
        <v>45113</v>
      </c>
      <c r="C666" t="s">
        <v>1972</v>
      </c>
      <c r="D666" t="s">
        <v>108</v>
      </c>
      <c r="E666" t="s">
        <v>1973</v>
      </c>
      <c r="F666" t="s">
        <v>110</v>
      </c>
      <c r="G666" t="s">
        <v>111</v>
      </c>
      <c r="H666" t="s">
        <v>112</v>
      </c>
      <c r="I666" t="s">
        <v>112</v>
      </c>
      <c r="J666" t="s">
        <v>112</v>
      </c>
      <c r="K666" t="s">
        <v>175</v>
      </c>
      <c r="L666" t="s">
        <v>448</v>
      </c>
      <c r="M666" t="s">
        <v>112</v>
      </c>
      <c r="N666" t="s">
        <v>112</v>
      </c>
      <c r="O666">
        <v>1</v>
      </c>
      <c r="Q666">
        <v>1</v>
      </c>
      <c r="R666">
        <v>33</v>
      </c>
      <c r="S666" t="s">
        <v>112</v>
      </c>
      <c r="T666" t="s">
        <v>152</v>
      </c>
      <c r="U666" t="s">
        <v>153</v>
      </c>
      <c r="V666" t="s">
        <v>154</v>
      </c>
      <c r="W666" t="s">
        <v>119</v>
      </c>
      <c r="X666" t="s">
        <v>112</v>
      </c>
      <c r="Y666" t="s">
        <v>112</v>
      </c>
      <c r="Z666" t="s">
        <v>152</v>
      </c>
      <c r="AA666" t="s">
        <v>153</v>
      </c>
      <c r="AB666" t="s">
        <v>154</v>
      </c>
      <c r="AC666" t="s">
        <v>119</v>
      </c>
      <c r="AD666" t="s">
        <v>112</v>
      </c>
      <c r="AE666" t="s">
        <v>121</v>
      </c>
      <c r="AF666" t="s">
        <v>122</v>
      </c>
      <c r="AG666">
        <v>5214752.4400000004</v>
      </c>
      <c r="AH666" t="s">
        <v>112</v>
      </c>
      <c r="AI666" t="s">
        <v>152</v>
      </c>
      <c r="AJ666" t="s">
        <v>153</v>
      </c>
      <c r="AK666" t="s">
        <v>154</v>
      </c>
      <c r="AL666" t="s">
        <v>119</v>
      </c>
      <c r="AM666" t="s">
        <v>112</v>
      </c>
      <c r="AN666" t="s">
        <v>121</v>
      </c>
      <c r="AO666" t="s">
        <v>122</v>
      </c>
      <c r="AP666" t="s">
        <v>122</v>
      </c>
      <c r="AQ666" t="s">
        <v>124</v>
      </c>
      <c r="AR666" t="s">
        <v>125</v>
      </c>
      <c r="AS666">
        <v>2</v>
      </c>
      <c r="AT666" t="s">
        <v>126</v>
      </c>
      <c r="AU666" t="s">
        <v>155</v>
      </c>
      <c r="AV666" t="s">
        <v>156</v>
      </c>
      <c r="AX666" t="s">
        <v>129</v>
      </c>
      <c r="AY666">
        <v>45067.72</v>
      </c>
      <c r="BB666">
        <v>104.88720000000001</v>
      </c>
      <c r="BC666" t="s">
        <v>112</v>
      </c>
      <c r="BD666" t="s">
        <v>112</v>
      </c>
      <c r="BE666" t="s">
        <v>157</v>
      </c>
      <c r="BF666" t="s">
        <v>133</v>
      </c>
      <c r="BG666" t="s">
        <v>134</v>
      </c>
      <c r="BH666" t="s">
        <v>112</v>
      </c>
      <c r="BI666" t="s">
        <v>112</v>
      </c>
      <c r="BJ666" t="s">
        <v>112</v>
      </c>
      <c r="BK666" t="s">
        <v>169</v>
      </c>
      <c r="BL666" t="s">
        <v>159</v>
      </c>
      <c r="BM666" t="s">
        <v>212</v>
      </c>
      <c r="BN666" t="s">
        <v>161</v>
      </c>
      <c r="BP666" t="s">
        <v>232</v>
      </c>
      <c r="BR666" t="s">
        <v>150</v>
      </c>
      <c r="BS666">
        <v>33</v>
      </c>
      <c r="BT666">
        <v>0</v>
      </c>
      <c r="BU666">
        <v>0</v>
      </c>
      <c r="BW666">
        <v>0</v>
      </c>
      <c r="BY666" t="s">
        <v>106</v>
      </c>
      <c r="BZ666" t="s">
        <v>142</v>
      </c>
      <c r="CA666" t="s">
        <v>112</v>
      </c>
      <c r="CB666" t="s">
        <v>112</v>
      </c>
      <c r="CC666" t="s">
        <v>121</v>
      </c>
      <c r="CD666">
        <v>16376.62</v>
      </c>
      <c r="CE666" t="s">
        <v>144</v>
      </c>
      <c r="CF666">
        <v>4000000</v>
      </c>
      <c r="CG666">
        <v>16243.42</v>
      </c>
      <c r="CH666">
        <v>0</v>
      </c>
      <c r="CI666" t="s">
        <v>112</v>
      </c>
      <c r="CJ666" t="s">
        <v>112</v>
      </c>
      <c r="CK666">
        <v>45067.72</v>
      </c>
      <c r="CM666">
        <v>0</v>
      </c>
      <c r="CN666">
        <v>1</v>
      </c>
      <c r="CO666">
        <v>5214752.4400000004</v>
      </c>
      <c r="CP666">
        <v>53253</v>
      </c>
      <c r="CQ666" t="s">
        <v>145</v>
      </c>
      <c r="CR666">
        <v>53278.417600000001</v>
      </c>
      <c r="CS666">
        <v>3.28</v>
      </c>
      <c r="CT666">
        <v>45</v>
      </c>
      <c r="CV666" t="s">
        <v>206</v>
      </c>
      <c r="CW666">
        <v>224</v>
      </c>
    </row>
    <row r="667" spans="1:101" x14ac:dyDescent="0.2">
      <c r="A667" t="s">
        <v>106</v>
      </c>
      <c r="B667" s="46">
        <v>45156</v>
      </c>
      <c r="C667" t="s">
        <v>1972</v>
      </c>
      <c r="D667" t="s">
        <v>108</v>
      </c>
      <c r="E667" t="s">
        <v>1973</v>
      </c>
      <c r="F667" t="s">
        <v>110</v>
      </c>
      <c r="G667" t="s">
        <v>111</v>
      </c>
      <c r="H667" t="s">
        <v>112</v>
      </c>
      <c r="I667" t="s">
        <v>112</v>
      </c>
      <c r="J667" t="s">
        <v>112</v>
      </c>
      <c r="K667" t="s">
        <v>175</v>
      </c>
      <c r="L667" t="s">
        <v>448</v>
      </c>
      <c r="M667" t="s">
        <v>112</v>
      </c>
      <c r="N667" t="s">
        <v>112</v>
      </c>
      <c r="O667">
        <v>1</v>
      </c>
      <c r="Q667">
        <v>1</v>
      </c>
      <c r="R667">
        <v>33</v>
      </c>
      <c r="S667" t="s">
        <v>112</v>
      </c>
      <c r="T667" t="s">
        <v>152</v>
      </c>
      <c r="U667" t="s">
        <v>153</v>
      </c>
      <c r="V667" t="s">
        <v>154</v>
      </c>
      <c r="W667" t="s">
        <v>119</v>
      </c>
      <c r="X667" t="s">
        <v>112</v>
      </c>
      <c r="Y667" t="s">
        <v>112</v>
      </c>
      <c r="Z667" t="s">
        <v>152</v>
      </c>
      <c r="AA667" t="s">
        <v>153</v>
      </c>
      <c r="AB667" t="s">
        <v>154</v>
      </c>
      <c r="AC667" t="s">
        <v>119</v>
      </c>
      <c r="AD667" t="s">
        <v>112</v>
      </c>
      <c r="AE667" t="s">
        <v>121</v>
      </c>
      <c r="AF667" t="s">
        <v>122</v>
      </c>
      <c r="AG667">
        <v>5214752.4400000004</v>
      </c>
      <c r="AH667" t="s">
        <v>112</v>
      </c>
      <c r="AI667" t="s">
        <v>152</v>
      </c>
      <c r="AJ667" t="s">
        <v>153</v>
      </c>
      <c r="AK667" t="s">
        <v>154</v>
      </c>
      <c r="AL667" t="s">
        <v>119</v>
      </c>
      <c r="AM667" t="s">
        <v>112</v>
      </c>
      <c r="AN667" t="s">
        <v>121</v>
      </c>
      <c r="AO667" t="s">
        <v>122</v>
      </c>
      <c r="AP667" t="s">
        <v>122</v>
      </c>
      <c r="AQ667" t="s">
        <v>124</v>
      </c>
      <c r="AR667" t="s">
        <v>125</v>
      </c>
      <c r="AS667">
        <v>2</v>
      </c>
      <c r="AT667" t="s">
        <v>126</v>
      </c>
      <c r="AU667" t="s">
        <v>155</v>
      </c>
      <c r="AV667" t="s">
        <v>156</v>
      </c>
      <c r="AX667" t="s">
        <v>129</v>
      </c>
      <c r="AY667">
        <v>45067.72</v>
      </c>
      <c r="BB667">
        <v>104.88720000000001</v>
      </c>
      <c r="BC667" t="s">
        <v>112</v>
      </c>
      <c r="BD667" t="s">
        <v>112</v>
      </c>
      <c r="BE667" t="s">
        <v>157</v>
      </c>
      <c r="BF667" t="s">
        <v>133</v>
      </c>
      <c r="BG667" t="s">
        <v>134</v>
      </c>
      <c r="BH667" t="s">
        <v>112</v>
      </c>
      <c r="BI667" t="s">
        <v>112</v>
      </c>
      <c r="BJ667" t="s">
        <v>112</v>
      </c>
      <c r="BK667" t="s">
        <v>169</v>
      </c>
      <c r="BL667" t="s">
        <v>159</v>
      </c>
      <c r="BM667" t="s">
        <v>212</v>
      </c>
      <c r="BN667" t="s">
        <v>161</v>
      </c>
      <c r="BP667" t="s">
        <v>232</v>
      </c>
      <c r="BR667" t="s">
        <v>150</v>
      </c>
      <c r="BS667">
        <v>33</v>
      </c>
      <c r="BT667">
        <v>0</v>
      </c>
      <c r="BU667">
        <v>0</v>
      </c>
      <c r="BW667">
        <v>0</v>
      </c>
      <c r="BY667" t="s">
        <v>106</v>
      </c>
      <c r="BZ667" t="s">
        <v>142</v>
      </c>
      <c r="CA667" t="s">
        <v>112</v>
      </c>
      <c r="CB667" t="s">
        <v>112</v>
      </c>
      <c r="CC667" t="s">
        <v>121</v>
      </c>
      <c r="CD667">
        <v>16376.62</v>
      </c>
      <c r="CE667" t="s">
        <v>144</v>
      </c>
      <c r="CF667">
        <v>4000000</v>
      </c>
      <c r="CG667">
        <v>16243.42</v>
      </c>
      <c r="CH667">
        <v>0</v>
      </c>
      <c r="CI667" t="s">
        <v>112</v>
      </c>
      <c r="CJ667" t="s">
        <v>112</v>
      </c>
      <c r="CK667">
        <v>45067.72</v>
      </c>
      <c r="CM667">
        <v>0</v>
      </c>
      <c r="CN667">
        <v>1</v>
      </c>
      <c r="CO667">
        <v>5214752.4400000004</v>
      </c>
      <c r="CP667">
        <v>53253</v>
      </c>
      <c r="CQ667" t="s">
        <v>145</v>
      </c>
      <c r="CR667">
        <v>53278.417600000001</v>
      </c>
      <c r="CS667">
        <v>3.28</v>
      </c>
      <c r="CT667">
        <v>45</v>
      </c>
      <c r="CV667" t="s">
        <v>206</v>
      </c>
      <c r="CW667">
        <v>224</v>
      </c>
    </row>
    <row r="668" spans="1:101" x14ac:dyDescent="0.2">
      <c r="A668" t="s">
        <v>106</v>
      </c>
      <c r="B668" s="46">
        <v>45269</v>
      </c>
      <c r="C668" t="s">
        <v>1984</v>
      </c>
      <c r="D668" t="s">
        <v>108</v>
      </c>
      <c r="E668" t="s">
        <v>1985</v>
      </c>
      <c r="F668" t="s">
        <v>110</v>
      </c>
      <c r="G668" t="s">
        <v>111</v>
      </c>
      <c r="H668" t="s">
        <v>112</v>
      </c>
      <c r="I668" t="s">
        <v>112</v>
      </c>
      <c r="J668" t="s">
        <v>112</v>
      </c>
      <c r="K668" t="s">
        <v>150</v>
      </c>
      <c r="L668" t="s">
        <v>151</v>
      </c>
      <c r="M668" t="s">
        <v>112</v>
      </c>
      <c r="N668" t="s">
        <v>112</v>
      </c>
      <c r="O668">
        <v>1</v>
      </c>
      <c r="Q668">
        <v>1</v>
      </c>
      <c r="R668">
        <v>33</v>
      </c>
      <c r="S668" t="s">
        <v>112</v>
      </c>
      <c r="T668" t="s">
        <v>152</v>
      </c>
      <c r="U668" t="s">
        <v>153</v>
      </c>
      <c r="V668" t="s">
        <v>154</v>
      </c>
      <c r="W668" t="s">
        <v>119</v>
      </c>
      <c r="X668" t="s">
        <v>112</v>
      </c>
      <c r="Y668" t="s">
        <v>112</v>
      </c>
      <c r="Z668" t="s">
        <v>152</v>
      </c>
      <c r="AA668" t="s">
        <v>153</v>
      </c>
      <c r="AB668" t="s">
        <v>154</v>
      </c>
      <c r="AC668" t="s">
        <v>119</v>
      </c>
      <c r="AD668" t="s">
        <v>112</v>
      </c>
      <c r="AE668" t="s">
        <v>121</v>
      </c>
      <c r="AF668" t="s">
        <v>122</v>
      </c>
      <c r="AG668">
        <v>4284088.3200000003</v>
      </c>
      <c r="AH668" t="s">
        <v>112</v>
      </c>
      <c r="AI668" t="s">
        <v>152</v>
      </c>
      <c r="AJ668" t="s">
        <v>153</v>
      </c>
      <c r="AK668" t="s">
        <v>154</v>
      </c>
      <c r="AL668" t="s">
        <v>119</v>
      </c>
      <c r="AM668" t="s">
        <v>112</v>
      </c>
      <c r="AN668" t="s">
        <v>121</v>
      </c>
      <c r="AO668" t="s">
        <v>122</v>
      </c>
      <c r="AP668" t="s">
        <v>122</v>
      </c>
      <c r="AQ668" t="s">
        <v>124</v>
      </c>
      <c r="AR668" t="s">
        <v>125</v>
      </c>
      <c r="AS668">
        <v>2</v>
      </c>
      <c r="AT668" t="s">
        <v>126</v>
      </c>
      <c r="AU668" t="s">
        <v>155</v>
      </c>
      <c r="AV668" t="s">
        <v>156</v>
      </c>
      <c r="AX668" t="s">
        <v>129</v>
      </c>
      <c r="AY668">
        <v>36714.720000000001</v>
      </c>
      <c r="BB668">
        <v>104.88720000000001</v>
      </c>
      <c r="BC668" t="s">
        <v>112</v>
      </c>
      <c r="BD668" t="s">
        <v>112</v>
      </c>
      <c r="BE668" t="s">
        <v>157</v>
      </c>
      <c r="BF668" t="s">
        <v>133</v>
      </c>
      <c r="BG668" t="s">
        <v>134</v>
      </c>
      <c r="BH668" t="s">
        <v>112</v>
      </c>
      <c r="BI668" t="s">
        <v>112</v>
      </c>
      <c r="BJ668" t="s">
        <v>112</v>
      </c>
      <c r="BK668" t="s">
        <v>169</v>
      </c>
      <c r="BL668" t="s">
        <v>159</v>
      </c>
      <c r="BM668" t="s">
        <v>212</v>
      </c>
      <c r="BN668" t="s">
        <v>161</v>
      </c>
      <c r="BP668" t="s">
        <v>616</v>
      </c>
      <c r="BR668" t="s">
        <v>150</v>
      </c>
      <c r="BS668">
        <v>33</v>
      </c>
      <c r="BT668">
        <v>0</v>
      </c>
      <c r="BU668">
        <v>0</v>
      </c>
      <c r="BW668">
        <v>0</v>
      </c>
      <c r="BY668" t="s">
        <v>106</v>
      </c>
      <c r="BZ668" t="s">
        <v>142</v>
      </c>
      <c r="CA668" t="s">
        <v>112</v>
      </c>
      <c r="CB668" t="s">
        <v>112</v>
      </c>
      <c r="CC668" t="s">
        <v>121</v>
      </c>
      <c r="CD668">
        <v>15489.1</v>
      </c>
      <c r="CE668" t="s">
        <v>144</v>
      </c>
      <c r="CF668">
        <v>4000000</v>
      </c>
      <c r="CG668">
        <v>15245.5</v>
      </c>
      <c r="CH668">
        <v>0</v>
      </c>
      <c r="CI668" t="s">
        <v>112</v>
      </c>
      <c r="CJ668" t="s">
        <v>112</v>
      </c>
      <c r="CK668">
        <v>36714.720000000001</v>
      </c>
      <c r="CM668">
        <v>0</v>
      </c>
      <c r="CN668">
        <v>1</v>
      </c>
      <c r="CO668">
        <v>4284088.3200000003</v>
      </c>
      <c r="CP668">
        <v>43749.07</v>
      </c>
      <c r="CQ668" t="s">
        <v>145</v>
      </c>
      <c r="CR668">
        <v>43754.584999999999</v>
      </c>
      <c r="CS668">
        <v>2.87</v>
      </c>
      <c r="CT668">
        <v>45</v>
      </c>
      <c r="CV668" t="s">
        <v>1140</v>
      </c>
      <c r="CW668">
        <v>205</v>
      </c>
    </row>
    <row r="669" spans="1:101" x14ac:dyDescent="0.2">
      <c r="A669" t="s">
        <v>106</v>
      </c>
      <c r="B669" s="46">
        <v>45205</v>
      </c>
      <c r="C669" t="s">
        <v>1984</v>
      </c>
      <c r="D669" t="s">
        <v>108</v>
      </c>
      <c r="E669" t="s">
        <v>1985</v>
      </c>
      <c r="F669" t="s">
        <v>110</v>
      </c>
      <c r="G669" t="s">
        <v>111</v>
      </c>
      <c r="H669" t="s">
        <v>112</v>
      </c>
      <c r="I669" t="s">
        <v>112</v>
      </c>
      <c r="J669" t="s">
        <v>112</v>
      </c>
      <c r="K669" t="s">
        <v>150</v>
      </c>
      <c r="L669" t="s">
        <v>151</v>
      </c>
      <c r="M669" t="s">
        <v>112</v>
      </c>
      <c r="N669" t="s">
        <v>112</v>
      </c>
      <c r="O669">
        <v>1</v>
      </c>
      <c r="Q669">
        <v>1</v>
      </c>
      <c r="R669">
        <v>33</v>
      </c>
      <c r="S669" t="s">
        <v>112</v>
      </c>
      <c r="T669" t="s">
        <v>152</v>
      </c>
      <c r="U669" t="s">
        <v>153</v>
      </c>
      <c r="V669" t="s">
        <v>154</v>
      </c>
      <c r="W669" t="s">
        <v>119</v>
      </c>
      <c r="X669" t="s">
        <v>112</v>
      </c>
      <c r="Y669" t="s">
        <v>112</v>
      </c>
      <c r="Z669" t="s">
        <v>152</v>
      </c>
      <c r="AA669" t="s">
        <v>153</v>
      </c>
      <c r="AB669" t="s">
        <v>154</v>
      </c>
      <c r="AC669" t="s">
        <v>119</v>
      </c>
      <c r="AD669" t="s">
        <v>112</v>
      </c>
      <c r="AE669" t="s">
        <v>121</v>
      </c>
      <c r="AF669" t="s">
        <v>122</v>
      </c>
      <c r="AG669">
        <v>4284088.3200000003</v>
      </c>
      <c r="AH669" t="s">
        <v>112</v>
      </c>
      <c r="AI669" t="s">
        <v>152</v>
      </c>
      <c r="AJ669" t="s">
        <v>153</v>
      </c>
      <c r="AK669" t="s">
        <v>154</v>
      </c>
      <c r="AL669" t="s">
        <v>119</v>
      </c>
      <c r="AM669" t="s">
        <v>112</v>
      </c>
      <c r="AN669" t="s">
        <v>121</v>
      </c>
      <c r="AO669" t="s">
        <v>122</v>
      </c>
      <c r="AP669" t="s">
        <v>122</v>
      </c>
      <c r="AQ669" t="s">
        <v>124</v>
      </c>
      <c r="AR669" t="s">
        <v>125</v>
      </c>
      <c r="AS669">
        <v>2</v>
      </c>
      <c r="AT669" t="s">
        <v>126</v>
      </c>
      <c r="AU669" t="s">
        <v>155</v>
      </c>
      <c r="AV669" t="s">
        <v>156</v>
      </c>
      <c r="AX669" t="s">
        <v>129</v>
      </c>
      <c r="AY669">
        <v>36714.720000000001</v>
      </c>
      <c r="BB669">
        <v>104.88720000000001</v>
      </c>
      <c r="BC669" t="s">
        <v>112</v>
      </c>
      <c r="BD669" t="s">
        <v>112</v>
      </c>
      <c r="BE669" t="s">
        <v>157</v>
      </c>
      <c r="BF669" t="s">
        <v>133</v>
      </c>
      <c r="BG669" t="s">
        <v>134</v>
      </c>
      <c r="BH669" t="s">
        <v>112</v>
      </c>
      <c r="BI669" t="s">
        <v>112</v>
      </c>
      <c r="BJ669" t="s">
        <v>112</v>
      </c>
      <c r="BK669" t="s">
        <v>169</v>
      </c>
      <c r="BL669" t="s">
        <v>159</v>
      </c>
      <c r="BM669" t="s">
        <v>212</v>
      </c>
      <c r="BN669" t="s">
        <v>161</v>
      </c>
      <c r="BP669" t="s">
        <v>616</v>
      </c>
      <c r="BR669" t="s">
        <v>150</v>
      </c>
      <c r="BS669">
        <v>33</v>
      </c>
      <c r="BT669">
        <v>0</v>
      </c>
      <c r="BU669">
        <v>0</v>
      </c>
      <c r="BW669">
        <v>0</v>
      </c>
      <c r="BY669" t="s">
        <v>106</v>
      </c>
      <c r="BZ669" t="s">
        <v>142</v>
      </c>
      <c r="CA669" t="s">
        <v>112</v>
      </c>
      <c r="CB669" t="s">
        <v>112</v>
      </c>
      <c r="CC669" t="s">
        <v>121</v>
      </c>
      <c r="CD669">
        <v>15489.1</v>
      </c>
      <c r="CE669" t="s">
        <v>144</v>
      </c>
      <c r="CF669">
        <v>4000000</v>
      </c>
      <c r="CG669">
        <v>15245.5</v>
      </c>
      <c r="CH669">
        <v>0</v>
      </c>
      <c r="CI669" t="s">
        <v>112</v>
      </c>
      <c r="CJ669" t="s">
        <v>112</v>
      </c>
      <c r="CK669">
        <v>36714.720000000001</v>
      </c>
      <c r="CM669">
        <v>0</v>
      </c>
      <c r="CN669">
        <v>1</v>
      </c>
      <c r="CO669">
        <v>4284088.3200000003</v>
      </c>
      <c r="CP669">
        <v>43749.07</v>
      </c>
      <c r="CQ669" t="s">
        <v>145</v>
      </c>
      <c r="CR669">
        <v>43754.584999999999</v>
      </c>
      <c r="CS669">
        <v>2.87</v>
      </c>
      <c r="CT669">
        <v>45</v>
      </c>
      <c r="CV669" t="s">
        <v>1140</v>
      </c>
      <c r="CW669">
        <v>205</v>
      </c>
    </row>
    <row r="670" spans="1:101" x14ac:dyDescent="0.2">
      <c r="A670" t="s">
        <v>106</v>
      </c>
      <c r="B670" s="46">
        <v>45205</v>
      </c>
      <c r="C670" t="s">
        <v>1980</v>
      </c>
      <c r="D670" t="s">
        <v>108</v>
      </c>
      <c r="E670" t="s">
        <v>1981</v>
      </c>
      <c r="F670" t="s">
        <v>110</v>
      </c>
      <c r="G670" t="s">
        <v>111</v>
      </c>
      <c r="H670" t="s">
        <v>112</v>
      </c>
      <c r="I670" t="s">
        <v>112</v>
      </c>
      <c r="J670" t="s">
        <v>112</v>
      </c>
      <c r="K670" t="s">
        <v>150</v>
      </c>
      <c r="L670" t="s">
        <v>151</v>
      </c>
      <c r="M670" t="s">
        <v>112</v>
      </c>
      <c r="N670" t="s">
        <v>112</v>
      </c>
      <c r="O670">
        <v>1</v>
      </c>
      <c r="Q670">
        <v>1</v>
      </c>
      <c r="R670">
        <v>33</v>
      </c>
      <c r="S670" t="s">
        <v>112</v>
      </c>
      <c r="T670" t="s">
        <v>152</v>
      </c>
      <c r="U670" t="s">
        <v>153</v>
      </c>
      <c r="V670" t="s">
        <v>154</v>
      </c>
      <c r="W670" t="s">
        <v>119</v>
      </c>
      <c r="X670" t="s">
        <v>112</v>
      </c>
      <c r="Y670" t="s">
        <v>112</v>
      </c>
      <c r="Z670" t="s">
        <v>152</v>
      </c>
      <c r="AA670" t="s">
        <v>153</v>
      </c>
      <c r="AB670" t="s">
        <v>154</v>
      </c>
      <c r="AC670" t="s">
        <v>119</v>
      </c>
      <c r="AD670" t="s">
        <v>112</v>
      </c>
      <c r="AE670" t="s">
        <v>121</v>
      </c>
      <c r="AF670" t="s">
        <v>122</v>
      </c>
      <c r="AG670">
        <v>4932039.49</v>
      </c>
      <c r="AH670" t="s">
        <v>112</v>
      </c>
      <c r="AI670" t="s">
        <v>152</v>
      </c>
      <c r="AJ670" t="s">
        <v>153</v>
      </c>
      <c r="AK670" t="s">
        <v>154</v>
      </c>
      <c r="AL670" t="s">
        <v>119</v>
      </c>
      <c r="AM670" t="s">
        <v>112</v>
      </c>
      <c r="AN670" t="s">
        <v>121</v>
      </c>
      <c r="AO670" t="s">
        <v>122</v>
      </c>
      <c r="AP670" t="s">
        <v>122</v>
      </c>
      <c r="AQ670" t="s">
        <v>124</v>
      </c>
      <c r="AR670" t="s">
        <v>125</v>
      </c>
      <c r="AS670">
        <v>2</v>
      </c>
      <c r="AT670" t="s">
        <v>126</v>
      </c>
      <c r="AU670" t="s">
        <v>155</v>
      </c>
      <c r="AV670" t="s">
        <v>156</v>
      </c>
      <c r="AX670" t="s">
        <v>129</v>
      </c>
      <c r="AY670">
        <v>42892.32</v>
      </c>
      <c r="BB670">
        <v>104.88720000000001</v>
      </c>
      <c r="BC670" t="s">
        <v>112</v>
      </c>
      <c r="BD670" t="s">
        <v>112</v>
      </c>
      <c r="BE670" t="s">
        <v>157</v>
      </c>
      <c r="BF670" t="s">
        <v>133</v>
      </c>
      <c r="BG670" t="s">
        <v>167</v>
      </c>
      <c r="BH670" t="s">
        <v>112</v>
      </c>
      <c r="BI670" t="s">
        <v>112</v>
      </c>
      <c r="BJ670" t="s">
        <v>112</v>
      </c>
      <c r="BK670" t="s">
        <v>169</v>
      </c>
      <c r="BL670" t="s">
        <v>159</v>
      </c>
      <c r="BM670" t="s">
        <v>160</v>
      </c>
      <c r="BN670" t="s">
        <v>161</v>
      </c>
      <c r="BP670" t="s">
        <v>162</v>
      </c>
      <c r="BR670" t="s">
        <v>150</v>
      </c>
      <c r="BS670">
        <v>33</v>
      </c>
      <c r="BT670">
        <v>0</v>
      </c>
      <c r="BU670">
        <v>0</v>
      </c>
      <c r="BW670">
        <v>0</v>
      </c>
      <c r="BY670" t="s">
        <v>106</v>
      </c>
      <c r="BZ670" t="s">
        <v>142</v>
      </c>
      <c r="CA670" t="s">
        <v>112</v>
      </c>
      <c r="CB670" t="s">
        <v>112</v>
      </c>
      <c r="CC670" t="s">
        <v>121</v>
      </c>
      <c r="CD670">
        <v>17030.2</v>
      </c>
      <c r="CE670" t="s">
        <v>144</v>
      </c>
      <c r="CF670">
        <v>4000000</v>
      </c>
      <c r="CG670">
        <v>16958.2</v>
      </c>
      <c r="CH670">
        <v>0</v>
      </c>
      <c r="CI670" t="s">
        <v>112</v>
      </c>
      <c r="CJ670" t="s">
        <v>112</v>
      </c>
      <c r="CK670">
        <v>42892.32</v>
      </c>
      <c r="CM670">
        <v>0</v>
      </c>
      <c r="CN670">
        <v>1</v>
      </c>
      <c r="CO670">
        <v>4932039.49</v>
      </c>
      <c r="CP670">
        <v>50365.94</v>
      </c>
      <c r="CQ670" t="s">
        <v>145</v>
      </c>
      <c r="CR670">
        <v>50365.854000000007</v>
      </c>
      <c r="CS670">
        <v>2.97</v>
      </c>
      <c r="CT670">
        <v>45</v>
      </c>
      <c r="CV670" t="s">
        <v>1140</v>
      </c>
      <c r="CW670">
        <v>557</v>
      </c>
    </row>
    <row r="671" spans="1:101" x14ac:dyDescent="0.2">
      <c r="A671" t="s">
        <v>106</v>
      </c>
      <c r="B671" s="46">
        <v>45184</v>
      </c>
      <c r="C671" t="s">
        <v>1980</v>
      </c>
      <c r="D671" t="s">
        <v>108</v>
      </c>
      <c r="E671" t="s">
        <v>1981</v>
      </c>
      <c r="F671" t="s">
        <v>110</v>
      </c>
      <c r="G671" t="s">
        <v>111</v>
      </c>
      <c r="H671" t="s">
        <v>112</v>
      </c>
      <c r="I671" t="s">
        <v>112</v>
      </c>
      <c r="J671" t="s">
        <v>112</v>
      </c>
      <c r="K671" t="s">
        <v>150</v>
      </c>
      <c r="L671" t="s">
        <v>151</v>
      </c>
      <c r="M671" t="s">
        <v>112</v>
      </c>
      <c r="N671" t="s">
        <v>112</v>
      </c>
      <c r="O671">
        <v>1</v>
      </c>
      <c r="Q671">
        <v>1</v>
      </c>
      <c r="R671">
        <v>33</v>
      </c>
      <c r="S671" t="s">
        <v>112</v>
      </c>
      <c r="T671" t="s">
        <v>152</v>
      </c>
      <c r="U671" t="s">
        <v>153</v>
      </c>
      <c r="V671" t="s">
        <v>154</v>
      </c>
      <c r="W671" t="s">
        <v>119</v>
      </c>
      <c r="X671" t="s">
        <v>112</v>
      </c>
      <c r="Y671" t="s">
        <v>112</v>
      </c>
      <c r="Z671" t="s">
        <v>152</v>
      </c>
      <c r="AA671" t="s">
        <v>153</v>
      </c>
      <c r="AB671" t="s">
        <v>154</v>
      </c>
      <c r="AC671" t="s">
        <v>119</v>
      </c>
      <c r="AD671" t="s">
        <v>112</v>
      </c>
      <c r="AE671" t="s">
        <v>121</v>
      </c>
      <c r="AF671" t="s">
        <v>122</v>
      </c>
      <c r="AG671">
        <v>4932039.49</v>
      </c>
      <c r="AH671" t="s">
        <v>112</v>
      </c>
      <c r="AI671" t="s">
        <v>152</v>
      </c>
      <c r="AJ671" t="s">
        <v>153</v>
      </c>
      <c r="AK671" t="s">
        <v>154</v>
      </c>
      <c r="AL671" t="s">
        <v>119</v>
      </c>
      <c r="AM671" t="s">
        <v>112</v>
      </c>
      <c r="AN671" t="s">
        <v>121</v>
      </c>
      <c r="AO671" t="s">
        <v>122</v>
      </c>
      <c r="AP671" t="s">
        <v>122</v>
      </c>
      <c r="AQ671" t="s">
        <v>124</v>
      </c>
      <c r="AR671" t="s">
        <v>125</v>
      </c>
      <c r="AS671">
        <v>2</v>
      </c>
      <c r="AT671" t="s">
        <v>126</v>
      </c>
      <c r="AU671" t="s">
        <v>155</v>
      </c>
      <c r="AV671" t="s">
        <v>156</v>
      </c>
      <c r="AX671" t="s">
        <v>129</v>
      </c>
      <c r="AY671">
        <v>42892.32</v>
      </c>
      <c r="BB671">
        <v>104.88720000000001</v>
      </c>
      <c r="BC671" t="s">
        <v>112</v>
      </c>
      <c r="BD671" t="s">
        <v>112</v>
      </c>
      <c r="BE671" t="s">
        <v>157</v>
      </c>
      <c r="BF671" t="s">
        <v>133</v>
      </c>
      <c r="BG671" t="s">
        <v>167</v>
      </c>
      <c r="BH671" t="s">
        <v>112</v>
      </c>
      <c r="BI671" t="s">
        <v>112</v>
      </c>
      <c r="BJ671" t="s">
        <v>112</v>
      </c>
      <c r="BK671" t="s">
        <v>169</v>
      </c>
      <c r="BL671" t="s">
        <v>159</v>
      </c>
      <c r="BM671" t="s">
        <v>160</v>
      </c>
      <c r="BN671" t="s">
        <v>161</v>
      </c>
      <c r="BP671" t="s">
        <v>162</v>
      </c>
      <c r="BR671" t="s">
        <v>150</v>
      </c>
      <c r="BS671">
        <v>33</v>
      </c>
      <c r="BT671">
        <v>0</v>
      </c>
      <c r="BU671">
        <v>0</v>
      </c>
      <c r="BW671">
        <v>0</v>
      </c>
      <c r="BY671" t="s">
        <v>106</v>
      </c>
      <c r="BZ671" t="s">
        <v>142</v>
      </c>
      <c r="CA671" t="s">
        <v>112</v>
      </c>
      <c r="CB671" t="s">
        <v>112</v>
      </c>
      <c r="CC671" t="s">
        <v>121</v>
      </c>
      <c r="CD671">
        <v>17030.2</v>
      </c>
      <c r="CE671" t="s">
        <v>144</v>
      </c>
      <c r="CF671">
        <v>4000000</v>
      </c>
      <c r="CG671">
        <v>16958.2</v>
      </c>
      <c r="CH671">
        <v>0</v>
      </c>
      <c r="CI671" t="s">
        <v>112</v>
      </c>
      <c r="CJ671" t="s">
        <v>112</v>
      </c>
      <c r="CK671">
        <v>42892.32</v>
      </c>
      <c r="CM671">
        <v>0</v>
      </c>
      <c r="CN671">
        <v>1</v>
      </c>
      <c r="CO671">
        <v>4932039.49</v>
      </c>
      <c r="CP671">
        <v>50365.94</v>
      </c>
      <c r="CQ671" t="s">
        <v>145</v>
      </c>
      <c r="CR671">
        <v>50365.854000000007</v>
      </c>
      <c r="CS671">
        <v>2.97</v>
      </c>
      <c r="CT671">
        <v>45</v>
      </c>
      <c r="CV671" t="s">
        <v>1140</v>
      </c>
      <c r="CW671">
        <v>557</v>
      </c>
    </row>
    <row r="672" spans="1:101" x14ac:dyDescent="0.2">
      <c r="A672" t="s">
        <v>106</v>
      </c>
      <c r="B672" s="46">
        <v>45288</v>
      </c>
      <c r="C672" t="s">
        <v>1974</v>
      </c>
      <c r="D672" t="s">
        <v>108</v>
      </c>
      <c r="E672" t="s">
        <v>1975</v>
      </c>
      <c r="F672" t="s">
        <v>110</v>
      </c>
      <c r="G672" t="s">
        <v>111</v>
      </c>
      <c r="H672" t="s">
        <v>112</v>
      </c>
      <c r="I672" t="s">
        <v>112</v>
      </c>
      <c r="J672" t="s">
        <v>112</v>
      </c>
      <c r="K672" t="s">
        <v>150</v>
      </c>
      <c r="L672" t="s">
        <v>151</v>
      </c>
      <c r="M672" t="s">
        <v>112</v>
      </c>
      <c r="N672" t="s">
        <v>112</v>
      </c>
      <c r="O672">
        <v>1</v>
      </c>
      <c r="Q672">
        <v>1</v>
      </c>
      <c r="R672">
        <v>33</v>
      </c>
      <c r="S672" t="s">
        <v>112</v>
      </c>
      <c r="T672" t="s">
        <v>152</v>
      </c>
      <c r="U672" t="s">
        <v>153</v>
      </c>
      <c r="V672" t="s">
        <v>154</v>
      </c>
      <c r="W672" t="s">
        <v>119</v>
      </c>
      <c r="X672" t="s">
        <v>112</v>
      </c>
      <c r="Y672" t="s">
        <v>112</v>
      </c>
      <c r="Z672" t="s">
        <v>152</v>
      </c>
      <c r="AA672" t="s">
        <v>153</v>
      </c>
      <c r="AB672" t="s">
        <v>154</v>
      </c>
      <c r="AC672" t="s">
        <v>119</v>
      </c>
      <c r="AD672" t="s">
        <v>112</v>
      </c>
      <c r="AE672" t="s">
        <v>121</v>
      </c>
      <c r="AF672" t="s">
        <v>122</v>
      </c>
      <c r="AG672">
        <v>4856508.12</v>
      </c>
      <c r="AH672" t="s">
        <v>112</v>
      </c>
      <c r="AI672" t="s">
        <v>152</v>
      </c>
      <c r="AJ672" t="s">
        <v>153</v>
      </c>
      <c r="AK672" t="s">
        <v>154</v>
      </c>
      <c r="AL672" t="s">
        <v>119</v>
      </c>
      <c r="AM672" t="s">
        <v>112</v>
      </c>
      <c r="AN672" t="s">
        <v>121</v>
      </c>
      <c r="AO672" t="s">
        <v>122</v>
      </c>
      <c r="AP672" t="s">
        <v>122</v>
      </c>
      <c r="AQ672" t="s">
        <v>124</v>
      </c>
      <c r="AR672" t="s">
        <v>125</v>
      </c>
      <c r="AS672">
        <v>2</v>
      </c>
      <c r="AT672" t="s">
        <v>126</v>
      </c>
      <c r="AU672" t="s">
        <v>155</v>
      </c>
      <c r="AV672" t="s">
        <v>156</v>
      </c>
      <c r="AX672" t="s">
        <v>129</v>
      </c>
      <c r="AY672">
        <v>42172.2</v>
      </c>
      <c r="BB672">
        <v>104.88720000000001</v>
      </c>
      <c r="BC672" t="s">
        <v>112</v>
      </c>
      <c r="BD672" t="s">
        <v>112</v>
      </c>
      <c r="BE672" t="s">
        <v>157</v>
      </c>
      <c r="BF672" t="s">
        <v>133</v>
      </c>
      <c r="BG672" t="s">
        <v>134</v>
      </c>
      <c r="BH672" t="s">
        <v>112</v>
      </c>
      <c r="BI672" t="s">
        <v>112</v>
      </c>
      <c r="BJ672" t="s">
        <v>112</v>
      </c>
      <c r="BK672" t="s">
        <v>169</v>
      </c>
      <c r="BL672" t="s">
        <v>159</v>
      </c>
      <c r="BM672" t="s">
        <v>212</v>
      </c>
      <c r="BN672" t="s">
        <v>161</v>
      </c>
      <c r="BP672" t="s">
        <v>232</v>
      </c>
      <c r="BR672" t="s">
        <v>150</v>
      </c>
      <c r="BS672">
        <v>33</v>
      </c>
      <c r="BT672">
        <v>0</v>
      </c>
      <c r="BU672">
        <v>0</v>
      </c>
      <c r="BW672">
        <v>0</v>
      </c>
      <c r="BY672" t="s">
        <v>106</v>
      </c>
      <c r="BZ672" t="s">
        <v>142</v>
      </c>
      <c r="CA672" t="s">
        <v>112</v>
      </c>
      <c r="CB672" t="s">
        <v>112</v>
      </c>
      <c r="CC672" t="s">
        <v>121</v>
      </c>
      <c r="CD672">
        <v>14443.2</v>
      </c>
      <c r="CE672" t="s">
        <v>144</v>
      </c>
      <c r="CF672">
        <v>4000000</v>
      </c>
      <c r="CG672">
        <v>14054.4</v>
      </c>
      <c r="CH672">
        <v>0</v>
      </c>
      <c r="CI672" t="s">
        <v>112</v>
      </c>
      <c r="CJ672" t="s">
        <v>112</v>
      </c>
      <c r="CK672">
        <v>42172.2</v>
      </c>
      <c r="CM672">
        <v>0</v>
      </c>
      <c r="CN672">
        <v>1</v>
      </c>
      <c r="CO672">
        <v>4856508.12</v>
      </c>
      <c r="CP672">
        <v>49594.62</v>
      </c>
      <c r="CQ672" t="s">
        <v>145</v>
      </c>
      <c r="CR672">
        <v>49612.031999999999</v>
      </c>
      <c r="CS672">
        <v>3.53</v>
      </c>
      <c r="CT672">
        <v>45</v>
      </c>
      <c r="CV672" t="s">
        <v>233</v>
      </c>
      <c r="CW672">
        <v>552</v>
      </c>
    </row>
    <row r="673" spans="1:101" x14ac:dyDescent="0.2">
      <c r="A673" t="s">
        <v>106</v>
      </c>
      <c r="B673" s="46">
        <v>45170</v>
      </c>
      <c r="C673" t="s">
        <v>1974</v>
      </c>
      <c r="D673" t="s">
        <v>108</v>
      </c>
      <c r="E673" t="s">
        <v>1975</v>
      </c>
      <c r="F673" t="s">
        <v>110</v>
      </c>
      <c r="G673" t="s">
        <v>111</v>
      </c>
      <c r="H673" t="s">
        <v>112</v>
      </c>
      <c r="I673" t="s">
        <v>112</v>
      </c>
      <c r="J673" t="s">
        <v>112</v>
      </c>
      <c r="K673" t="s">
        <v>150</v>
      </c>
      <c r="L673" t="s">
        <v>151</v>
      </c>
      <c r="M673" t="s">
        <v>112</v>
      </c>
      <c r="N673" t="s">
        <v>112</v>
      </c>
      <c r="O673">
        <v>1</v>
      </c>
      <c r="Q673">
        <v>1</v>
      </c>
      <c r="R673">
        <v>33</v>
      </c>
      <c r="S673" t="s">
        <v>112</v>
      </c>
      <c r="T673" t="s">
        <v>152</v>
      </c>
      <c r="U673" t="s">
        <v>153</v>
      </c>
      <c r="V673" t="s">
        <v>154</v>
      </c>
      <c r="W673" t="s">
        <v>119</v>
      </c>
      <c r="X673" t="s">
        <v>112</v>
      </c>
      <c r="Y673" t="s">
        <v>112</v>
      </c>
      <c r="Z673" t="s">
        <v>152</v>
      </c>
      <c r="AA673" t="s">
        <v>153</v>
      </c>
      <c r="AB673" t="s">
        <v>154</v>
      </c>
      <c r="AC673" t="s">
        <v>119</v>
      </c>
      <c r="AD673" t="s">
        <v>112</v>
      </c>
      <c r="AE673" t="s">
        <v>121</v>
      </c>
      <c r="AF673" t="s">
        <v>122</v>
      </c>
      <c r="AG673">
        <v>4856508.12</v>
      </c>
      <c r="AH673" t="s">
        <v>112</v>
      </c>
      <c r="AI673" t="s">
        <v>152</v>
      </c>
      <c r="AJ673" t="s">
        <v>153</v>
      </c>
      <c r="AK673" t="s">
        <v>154</v>
      </c>
      <c r="AL673" t="s">
        <v>119</v>
      </c>
      <c r="AM673" t="s">
        <v>112</v>
      </c>
      <c r="AN673" t="s">
        <v>121</v>
      </c>
      <c r="AO673" t="s">
        <v>122</v>
      </c>
      <c r="AP673" t="s">
        <v>122</v>
      </c>
      <c r="AQ673" t="s">
        <v>124</v>
      </c>
      <c r="AR673" t="s">
        <v>125</v>
      </c>
      <c r="AS673">
        <v>2</v>
      </c>
      <c r="AT673" t="s">
        <v>126</v>
      </c>
      <c r="AU673" t="s">
        <v>155</v>
      </c>
      <c r="AV673" t="s">
        <v>156</v>
      </c>
      <c r="AX673" t="s">
        <v>129</v>
      </c>
      <c r="AY673">
        <v>42172.2</v>
      </c>
      <c r="BB673">
        <v>104.88720000000001</v>
      </c>
      <c r="BC673" t="s">
        <v>112</v>
      </c>
      <c r="BD673" t="s">
        <v>112</v>
      </c>
      <c r="BE673" t="s">
        <v>157</v>
      </c>
      <c r="BF673" t="s">
        <v>133</v>
      </c>
      <c r="BG673" t="s">
        <v>134</v>
      </c>
      <c r="BH673" t="s">
        <v>112</v>
      </c>
      <c r="BI673" t="s">
        <v>112</v>
      </c>
      <c r="BJ673" t="s">
        <v>112</v>
      </c>
      <c r="BK673" t="s">
        <v>169</v>
      </c>
      <c r="BL673" t="s">
        <v>159</v>
      </c>
      <c r="BM673" t="s">
        <v>212</v>
      </c>
      <c r="BN673" t="s">
        <v>161</v>
      </c>
      <c r="BP673" t="s">
        <v>232</v>
      </c>
      <c r="BR673" t="s">
        <v>150</v>
      </c>
      <c r="BS673">
        <v>33</v>
      </c>
      <c r="BT673">
        <v>0</v>
      </c>
      <c r="BU673">
        <v>0</v>
      </c>
      <c r="BW673">
        <v>0</v>
      </c>
      <c r="BY673" t="s">
        <v>106</v>
      </c>
      <c r="BZ673" t="s">
        <v>142</v>
      </c>
      <c r="CA673" t="s">
        <v>112</v>
      </c>
      <c r="CB673" t="s">
        <v>112</v>
      </c>
      <c r="CC673" t="s">
        <v>121</v>
      </c>
      <c r="CD673">
        <v>14443.2</v>
      </c>
      <c r="CE673" t="s">
        <v>144</v>
      </c>
      <c r="CF673">
        <v>4000000</v>
      </c>
      <c r="CG673">
        <v>14054.4</v>
      </c>
      <c r="CH673">
        <v>0</v>
      </c>
      <c r="CI673" t="s">
        <v>112</v>
      </c>
      <c r="CJ673" t="s">
        <v>112</v>
      </c>
      <c r="CK673">
        <v>42172.2</v>
      </c>
      <c r="CM673">
        <v>0</v>
      </c>
      <c r="CN673">
        <v>1</v>
      </c>
      <c r="CO673">
        <v>4856508.12</v>
      </c>
      <c r="CP673">
        <v>49594.62</v>
      </c>
      <c r="CQ673" t="s">
        <v>145</v>
      </c>
      <c r="CR673">
        <v>49612.031999999999</v>
      </c>
      <c r="CS673">
        <v>3.53</v>
      </c>
      <c r="CT673">
        <v>45</v>
      </c>
      <c r="CV673" t="s">
        <v>233</v>
      </c>
      <c r="CW673">
        <v>552</v>
      </c>
    </row>
    <row r="674" spans="1:101" x14ac:dyDescent="0.2">
      <c r="A674" t="s">
        <v>106</v>
      </c>
      <c r="B674" s="46">
        <v>45181</v>
      </c>
      <c r="C674" t="s">
        <v>1982</v>
      </c>
      <c r="D674" t="s">
        <v>108</v>
      </c>
      <c r="E674" t="s">
        <v>1983</v>
      </c>
      <c r="F674" t="s">
        <v>110</v>
      </c>
      <c r="G674" t="s">
        <v>111</v>
      </c>
      <c r="H674" t="s">
        <v>112</v>
      </c>
      <c r="I674" t="s">
        <v>112</v>
      </c>
      <c r="J674" t="s">
        <v>112</v>
      </c>
      <c r="K674" t="s">
        <v>150</v>
      </c>
      <c r="L674" t="s">
        <v>151</v>
      </c>
      <c r="M674" t="s">
        <v>112</v>
      </c>
      <c r="N674" t="s">
        <v>112</v>
      </c>
      <c r="O674">
        <v>1</v>
      </c>
      <c r="Q674">
        <v>1</v>
      </c>
      <c r="R674">
        <v>33</v>
      </c>
      <c r="S674" t="s">
        <v>112</v>
      </c>
      <c r="T674" t="s">
        <v>152</v>
      </c>
      <c r="U674" t="s">
        <v>153</v>
      </c>
      <c r="V674" t="s">
        <v>154</v>
      </c>
      <c r="W674" t="s">
        <v>119</v>
      </c>
      <c r="X674" t="s">
        <v>112</v>
      </c>
      <c r="Y674" t="s">
        <v>112</v>
      </c>
      <c r="Z674" t="s">
        <v>152</v>
      </c>
      <c r="AA674" t="s">
        <v>153</v>
      </c>
      <c r="AB674" t="s">
        <v>154</v>
      </c>
      <c r="AC674" t="s">
        <v>119</v>
      </c>
      <c r="AD674" t="s">
        <v>112</v>
      </c>
      <c r="AE674" t="s">
        <v>121</v>
      </c>
      <c r="AF674" t="s">
        <v>122</v>
      </c>
      <c r="AG674">
        <v>4358474.32</v>
      </c>
      <c r="AH674" t="s">
        <v>112</v>
      </c>
      <c r="AI674" t="s">
        <v>152</v>
      </c>
      <c r="AJ674" t="s">
        <v>153</v>
      </c>
      <c r="AK674" t="s">
        <v>154</v>
      </c>
      <c r="AL674" t="s">
        <v>119</v>
      </c>
      <c r="AM674" t="s">
        <v>112</v>
      </c>
      <c r="AN674" t="s">
        <v>121</v>
      </c>
      <c r="AO674" t="s">
        <v>122</v>
      </c>
      <c r="AP674" t="s">
        <v>122</v>
      </c>
      <c r="AQ674" t="s">
        <v>124</v>
      </c>
      <c r="AR674" t="s">
        <v>125</v>
      </c>
      <c r="AS674">
        <v>2</v>
      </c>
      <c r="AT674" t="s">
        <v>126</v>
      </c>
      <c r="AU674" t="s">
        <v>155</v>
      </c>
      <c r="AV674" t="s">
        <v>156</v>
      </c>
      <c r="AX674" t="s">
        <v>129</v>
      </c>
      <c r="AY674">
        <v>37423.919999999998</v>
      </c>
      <c r="BB674">
        <v>104.88720000000001</v>
      </c>
      <c r="BC674" t="s">
        <v>112</v>
      </c>
      <c r="BD674" t="s">
        <v>112</v>
      </c>
      <c r="BE674" t="s">
        <v>157</v>
      </c>
      <c r="BF674" t="s">
        <v>133</v>
      </c>
      <c r="BG674" t="s">
        <v>134</v>
      </c>
      <c r="BH674" t="s">
        <v>112</v>
      </c>
      <c r="BI674" t="s">
        <v>112</v>
      </c>
      <c r="BJ674" t="s">
        <v>112</v>
      </c>
      <c r="BK674" t="s">
        <v>169</v>
      </c>
      <c r="BL674" t="s">
        <v>159</v>
      </c>
      <c r="BM674" t="s">
        <v>212</v>
      </c>
      <c r="BN674" t="s">
        <v>161</v>
      </c>
      <c r="BP674" t="s">
        <v>281</v>
      </c>
      <c r="BR674" t="s">
        <v>150</v>
      </c>
      <c r="BS674">
        <v>33</v>
      </c>
      <c r="BT674">
        <v>0</v>
      </c>
      <c r="BU674">
        <v>0</v>
      </c>
      <c r="BW674">
        <v>0</v>
      </c>
      <c r="BY674" t="s">
        <v>106</v>
      </c>
      <c r="BZ674" t="s">
        <v>142</v>
      </c>
      <c r="CA674" t="s">
        <v>112</v>
      </c>
      <c r="CB674" t="s">
        <v>112</v>
      </c>
      <c r="CC674" t="s">
        <v>121</v>
      </c>
      <c r="CD674">
        <v>15773.8</v>
      </c>
      <c r="CE674" t="s">
        <v>144</v>
      </c>
      <c r="CF674">
        <v>4000000</v>
      </c>
      <c r="CG674">
        <v>15514.6</v>
      </c>
      <c r="CH674">
        <v>0</v>
      </c>
      <c r="CI674" t="s">
        <v>112</v>
      </c>
      <c r="CJ674" t="s">
        <v>112</v>
      </c>
      <c r="CK674">
        <v>37423.919999999998</v>
      </c>
      <c r="CM674">
        <v>0</v>
      </c>
      <c r="CN674">
        <v>1</v>
      </c>
      <c r="CO674">
        <v>4358474.32</v>
      </c>
      <c r="CP674">
        <v>44508.7</v>
      </c>
      <c r="CQ674" t="s">
        <v>145</v>
      </c>
      <c r="CR674">
        <v>44526.902000000002</v>
      </c>
      <c r="CS674">
        <v>2.87</v>
      </c>
      <c r="CT674">
        <v>45</v>
      </c>
      <c r="CV674" t="s">
        <v>233</v>
      </c>
      <c r="CW674">
        <v>256</v>
      </c>
    </row>
    <row r="675" spans="1:101" x14ac:dyDescent="0.2">
      <c r="A675" t="s">
        <v>106</v>
      </c>
      <c r="B675" s="46">
        <v>45264</v>
      </c>
      <c r="C675" t="s">
        <v>1982</v>
      </c>
      <c r="D675" t="s">
        <v>108</v>
      </c>
      <c r="E675" t="s">
        <v>1983</v>
      </c>
      <c r="F675" t="s">
        <v>110</v>
      </c>
      <c r="G675" t="s">
        <v>111</v>
      </c>
      <c r="H675" t="s">
        <v>112</v>
      </c>
      <c r="I675" t="s">
        <v>112</v>
      </c>
      <c r="J675" t="s">
        <v>112</v>
      </c>
      <c r="K675" t="s">
        <v>150</v>
      </c>
      <c r="L675" t="s">
        <v>151</v>
      </c>
      <c r="M675" t="s">
        <v>112</v>
      </c>
      <c r="N675" t="s">
        <v>112</v>
      </c>
      <c r="O675">
        <v>1</v>
      </c>
      <c r="Q675">
        <v>1</v>
      </c>
      <c r="R675">
        <v>33</v>
      </c>
      <c r="S675" t="s">
        <v>112</v>
      </c>
      <c r="T675" t="s">
        <v>152</v>
      </c>
      <c r="U675" t="s">
        <v>153</v>
      </c>
      <c r="V675" t="s">
        <v>154</v>
      </c>
      <c r="W675" t="s">
        <v>119</v>
      </c>
      <c r="X675" t="s">
        <v>112</v>
      </c>
      <c r="Y675" t="s">
        <v>112</v>
      </c>
      <c r="Z675" t="s">
        <v>152</v>
      </c>
      <c r="AA675" t="s">
        <v>153</v>
      </c>
      <c r="AB675" t="s">
        <v>154</v>
      </c>
      <c r="AC675" t="s">
        <v>119</v>
      </c>
      <c r="AD675" t="s">
        <v>112</v>
      </c>
      <c r="AE675" t="s">
        <v>121</v>
      </c>
      <c r="AF675" t="s">
        <v>122</v>
      </c>
      <c r="AG675">
        <v>4358474.32</v>
      </c>
      <c r="AH675" t="s">
        <v>112</v>
      </c>
      <c r="AI675" t="s">
        <v>152</v>
      </c>
      <c r="AJ675" t="s">
        <v>153</v>
      </c>
      <c r="AK675" t="s">
        <v>154</v>
      </c>
      <c r="AL675" t="s">
        <v>119</v>
      </c>
      <c r="AM675" t="s">
        <v>112</v>
      </c>
      <c r="AN675" t="s">
        <v>121</v>
      </c>
      <c r="AO675" t="s">
        <v>122</v>
      </c>
      <c r="AP675" t="s">
        <v>122</v>
      </c>
      <c r="AQ675" t="s">
        <v>124</v>
      </c>
      <c r="AR675" t="s">
        <v>125</v>
      </c>
      <c r="AS675">
        <v>2</v>
      </c>
      <c r="AT675" t="s">
        <v>126</v>
      </c>
      <c r="AU675" t="s">
        <v>155</v>
      </c>
      <c r="AV675" t="s">
        <v>156</v>
      </c>
      <c r="AX675" t="s">
        <v>129</v>
      </c>
      <c r="AY675">
        <v>37423.919999999998</v>
      </c>
      <c r="BB675">
        <v>104.88720000000001</v>
      </c>
      <c r="BC675" t="s">
        <v>112</v>
      </c>
      <c r="BD675" t="s">
        <v>112</v>
      </c>
      <c r="BE675" t="s">
        <v>157</v>
      </c>
      <c r="BF675" t="s">
        <v>133</v>
      </c>
      <c r="BG675" t="s">
        <v>134</v>
      </c>
      <c r="BH675" t="s">
        <v>112</v>
      </c>
      <c r="BI675" t="s">
        <v>112</v>
      </c>
      <c r="BJ675" t="s">
        <v>112</v>
      </c>
      <c r="BK675" t="s">
        <v>169</v>
      </c>
      <c r="BL675" t="s">
        <v>159</v>
      </c>
      <c r="BM675" t="s">
        <v>212</v>
      </c>
      <c r="BN675" t="s">
        <v>161</v>
      </c>
      <c r="BP675" t="s">
        <v>281</v>
      </c>
      <c r="BR675" t="s">
        <v>150</v>
      </c>
      <c r="BS675">
        <v>33</v>
      </c>
      <c r="BT675">
        <v>0</v>
      </c>
      <c r="BU675">
        <v>0</v>
      </c>
      <c r="BW675">
        <v>0</v>
      </c>
      <c r="BY675" t="s">
        <v>106</v>
      </c>
      <c r="BZ675" t="s">
        <v>142</v>
      </c>
      <c r="CA675" t="s">
        <v>112</v>
      </c>
      <c r="CB675" t="s">
        <v>112</v>
      </c>
      <c r="CC675" t="s">
        <v>121</v>
      </c>
      <c r="CD675">
        <v>15773.8</v>
      </c>
      <c r="CE675" t="s">
        <v>144</v>
      </c>
      <c r="CF675">
        <v>4000000</v>
      </c>
      <c r="CG675">
        <v>15514.6</v>
      </c>
      <c r="CH675">
        <v>0</v>
      </c>
      <c r="CI675" t="s">
        <v>112</v>
      </c>
      <c r="CJ675" t="s">
        <v>112</v>
      </c>
      <c r="CK675">
        <v>37423.919999999998</v>
      </c>
      <c r="CM675">
        <v>0</v>
      </c>
      <c r="CN675">
        <v>1</v>
      </c>
      <c r="CO675">
        <v>4358474.32</v>
      </c>
      <c r="CP675">
        <v>44508.7</v>
      </c>
      <c r="CQ675" t="s">
        <v>145</v>
      </c>
      <c r="CR675">
        <v>44526.902000000002</v>
      </c>
      <c r="CS675">
        <v>2.87</v>
      </c>
      <c r="CT675">
        <v>45</v>
      </c>
      <c r="CV675" t="s">
        <v>233</v>
      </c>
      <c r="CW675">
        <v>256</v>
      </c>
    </row>
    <row r="676" spans="1:101" x14ac:dyDescent="0.2">
      <c r="A676" t="s">
        <v>106</v>
      </c>
      <c r="B676" s="46">
        <v>45102</v>
      </c>
      <c r="C676" t="s">
        <v>1951</v>
      </c>
      <c r="D676" t="s">
        <v>108</v>
      </c>
      <c r="E676" t="s">
        <v>1952</v>
      </c>
      <c r="F676" t="s">
        <v>110</v>
      </c>
      <c r="G676" t="s">
        <v>111</v>
      </c>
      <c r="H676" t="s">
        <v>112</v>
      </c>
      <c r="I676" t="s">
        <v>112</v>
      </c>
      <c r="J676" t="s">
        <v>112</v>
      </c>
      <c r="K676" t="s">
        <v>150</v>
      </c>
      <c r="L676" t="s">
        <v>151</v>
      </c>
      <c r="M676" t="s">
        <v>112</v>
      </c>
      <c r="N676" t="s">
        <v>112</v>
      </c>
      <c r="O676">
        <v>1</v>
      </c>
      <c r="Q676">
        <v>1</v>
      </c>
      <c r="R676">
        <v>33</v>
      </c>
      <c r="S676" t="s">
        <v>112</v>
      </c>
      <c r="T676" t="s">
        <v>152</v>
      </c>
      <c r="U676" t="s">
        <v>153</v>
      </c>
      <c r="V676" t="s">
        <v>154</v>
      </c>
      <c r="W676" t="s">
        <v>119</v>
      </c>
      <c r="X676" t="s">
        <v>112</v>
      </c>
      <c r="Y676" t="s">
        <v>112</v>
      </c>
      <c r="Z676" t="s">
        <v>152</v>
      </c>
      <c r="AA676" t="s">
        <v>153</v>
      </c>
      <c r="AB676" t="s">
        <v>154</v>
      </c>
      <c r="AC676" t="s">
        <v>119</v>
      </c>
      <c r="AD676" t="s">
        <v>112</v>
      </c>
      <c r="AE676" t="s">
        <v>121</v>
      </c>
      <c r="AF676" t="s">
        <v>122</v>
      </c>
      <c r="AG676">
        <v>5067218.1100000003</v>
      </c>
      <c r="AH676" t="s">
        <v>112</v>
      </c>
      <c r="AI676" t="s">
        <v>152</v>
      </c>
      <c r="AJ676" t="s">
        <v>153</v>
      </c>
      <c r="AK676" t="s">
        <v>154</v>
      </c>
      <c r="AL676" t="s">
        <v>119</v>
      </c>
      <c r="AM676" t="s">
        <v>112</v>
      </c>
      <c r="AN676" t="s">
        <v>121</v>
      </c>
      <c r="AO676" t="s">
        <v>122</v>
      </c>
      <c r="AP676" t="s">
        <v>122</v>
      </c>
      <c r="AQ676" t="s">
        <v>124</v>
      </c>
      <c r="AR676" t="s">
        <v>125</v>
      </c>
      <c r="AS676">
        <v>2</v>
      </c>
      <c r="AT676" t="s">
        <v>126</v>
      </c>
      <c r="AU676" t="s">
        <v>155</v>
      </c>
      <c r="AV676" t="s">
        <v>156</v>
      </c>
      <c r="AX676" t="s">
        <v>129</v>
      </c>
      <c r="AY676">
        <v>44181.120000000003</v>
      </c>
      <c r="BB676">
        <v>104.88720000000001</v>
      </c>
      <c r="BC676" t="s">
        <v>112</v>
      </c>
      <c r="BD676" t="s">
        <v>112</v>
      </c>
      <c r="BE676" t="s">
        <v>157</v>
      </c>
      <c r="BF676" t="s">
        <v>133</v>
      </c>
      <c r="BG676" t="s">
        <v>167</v>
      </c>
      <c r="BH676" t="s">
        <v>112</v>
      </c>
      <c r="BI676" t="s">
        <v>112</v>
      </c>
      <c r="BJ676" t="s">
        <v>112</v>
      </c>
      <c r="BK676" t="s">
        <v>169</v>
      </c>
      <c r="BL676" t="s">
        <v>159</v>
      </c>
      <c r="BM676" t="s">
        <v>160</v>
      </c>
      <c r="BN676" t="s">
        <v>161</v>
      </c>
      <c r="BP676" t="s">
        <v>162</v>
      </c>
      <c r="BR676" t="s">
        <v>150</v>
      </c>
      <c r="BS676">
        <v>33</v>
      </c>
      <c r="BT676">
        <v>0</v>
      </c>
      <c r="BU676">
        <v>0</v>
      </c>
      <c r="BW676">
        <v>0</v>
      </c>
      <c r="BY676" t="s">
        <v>106</v>
      </c>
      <c r="BZ676" t="s">
        <v>142</v>
      </c>
      <c r="CA676" t="s">
        <v>112</v>
      </c>
      <c r="CB676" t="s">
        <v>112</v>
      </c>
      <c r="CC676" t="s">
        <v>121</v>
      </c>
      <c r="CD676">
        <v>16844.62</v>
      </c>
      <c r="CE676" t="s">
        <v>144</v>
      </c>
      <c r="CF676">
        <v>4000000</v>
      </c>
      <c r="CG676">
        <v>16772.62</v>
      </c>
      <c r="CH676">
        <v>0</v>
      </c>
      <c r="CI676" t="s">
        <v>112</v>
      </c>
      <c r="CJ676" t="s">
        <v>112</v>
      </c>
      <c r="CK676">
        <v>44181.120000000003</v>
      </c>
      <c r="CM676">
        <v>0</v>
      </c>
      <c r="CN676">
        <v>1</v>
      </c>
      <c r="CO676">
        <v>5067218.1100000003</v>
      </c>
      <c r="CP676">
        <v>51746.38</v>
      </c>
      <c r="CQ676" t="s">
        <v>145</v>
      </c>
      <c r="CR676">
        <v>51827.395799999991</v>
      </c>
      <c r="CS676">
        <v>3.09</v>
      </c>
      <c r="CT676">
        <v>45</v>
      </c>
      <c r="CV676" t="s">
        <v>1140</v>
      </c>
      <c r="CW676">
        <v>370</v>
      </c>
    </row>
    <row r="677" spans="1:101" x14ac:dyDescent="0.2">
      <c r="A677" t="s">
        <v>106</v>
      </c>
      <c r="B677" s="46">
        <v>44703</v>
      </c>
      <c r="C677" t="s">
        <v>1951</v>
      </c>
      <c r="D677" t="s">
        <v>108</v>
      </c>
      <c r="E677" t="s">
        <v>1952</v>
      </c>
      <c r="F677" t="s">
        <v>110</v>
      </c>
      <c r="G677" t="s">
        <v>111</v>
      </c>
      <c r="H677" t="s">
        <v>112</v>
      </c>
      <c r="I677" t="s">
        <v>112</v>
      </c>
      <c r="J677" t="s">
        <v>112</v>
      </c>
      <c r="K677" t="s">
        <v>150</v>
      </c>
      <c r="L677" t="s">
        <v>151</v>
      </c>
      <c r="M677" t="s">
        <v>112</v>
      </c>
      <c r="N677" t="s">
        <v>112</v>
      </c>
      <c r="O677">
        <v>1</v>
      </c>
      <c r="Q677">
        <v>1</v>
      </c>
      <c r="R677">
        <v>33</v>
      </c>
      <c r="S677" t="s">
        <v>112</v>
      </c>
      <c r="T677" t="s">
        <v>152</v>
      </c>
      <c r="U677" t="s">
        <v>153</v>
      </c>
      <c r="V677" t="s">
        <v>154</v>
      </c>
      <c r="W677" t="s">
        <v>119</v>
      </c>
      <c r="X677" t="s">
        <v>112</v>
      </c>
      <c r="Y677" t="s">
        <v>112</v>
      </c>
      <c r="Z677" t="s">
        <v>152</v>
      </c>
      <c r="AA677" t="s">
        <v>153</v>
      </c>
      <c r="AB677" t="s">
        <v>154</v>
      </c>
      <c r="AC677" t="s">
        <v>119</v>
      </c>
      <c r="AD677" t="s">
        <v>112</v>
      </c>
      <c r="AE677" t="s">
        <v>121</v>
      </c>
      <c r="AF677" t="s">
        <v>122</v>
      </c>
      <c r="AG677">
        <v>5067218.1100000003</v>
      </c>
      <c r="AH677" t="s">
        <v>112</v>
      </c>
      <c r="AI677" t="s">
        <v>152</v>
      </c>
      <c r="AJ677" t="s">
        <v>153</v>
      </c>
      <c r="AK677" t="s">
        <v>154</v>
      </c>
      <c r="AL677" t="s">
        <v>119</v>
      </c>
      <c r="AM677" t="s">
        <v>112</v>
      </c>
      <c r="AN677" t="s">
        <v>121</v>
      </c>
      <c r="AO677" t="s">
        <v>122</v>
      </c>
      <c r="AP677" t="s">
        <v>122</v>
      </c>
      <c r="AQ677" t="s">
        <v>124</v>
      </c>
      <c r="AR677" t="s">
        <v>125</v>
      </c>
      <c r="AS677">
        <v>2</v>
      </c>
      <c r="AT677" t="s">
        <v>126</v>
      </c>
      <c r="AU677" t="s">
        <v>155</v>
      </c>
      <c r="AV677" t="s">
        <v>156</v>
      </c>
      <c r="AX677" t="s">
        <v>129</v>
      </c>
      <c r="AY677">
        <v>44181.120000000003</v>
      </c>
      <c r="BB677">
        <v>104.88720000000001</v>
      </c>
      <c r="BC677" t="s">
        <v>112</v>
      </c>
      <c r="BD677" t="s">
        <v>112</v>
      </c>
      <c r="BE677" t="s">
        <v>157</v>
      </c>
      <c r="BF677" t="s">
        <v>133</v>
      </c>
      <c r="BG677" t="s">
        <v>167</v>
      </c>
      <c r="BH677" t="s">
        <v>112</v>
      </c>
      <c r="BI677" t="s">
        <v>112</v>
      </c>
      <c r="BJ677" t="s">
        <v>112</v>
      </c>
      <c r="BK677" t="s">
        <v>169</v>
      </c>
      <c r="BL677" t="s">
        <v>159</v>
      </c>
      <c r="BM677" t="s">
        <v>160</v>
      </c>
      <c r="BN677" t="s">
        <v>161</v>
      </c>
      <c r="BP677" t="s">
        <v>162</v>
      </c>
      <c r="BR677" t="s">
        <v>150</v>
      </c>
      <c r="BS677">
        <v>33</v>
      </c>
      <c r="BT677">
        <v>0</v>
      </c>
      <c r="BU677">
        <v>0</v>
      </c>
      <c r="BW677">
        <v>0</v>
      </c>
      <c r="BY677" t="s">
        <v>106</v>
      </c>
      <c r="BZ677" t="s">
        <v>142</v>
      </c>
      <c r="CA677" t="s">
        <v>112</v>
      </c>
      <c r="CB677" t="s">
        <v>112</v>
      </c>
      <c r="CC677" t="s">
        <v>121</v>
      </c>
      <c r="CD677">
        <v>16844.62</v>
      </c>
      <c r="CE677" t="s">
        <v>144</v>
      </c>
      <c r="CF677">
        <v>4000000</v>
      </c>
      <c r="CG677">
        <v>16772.62</v>
      </c>
      <c r="CH677">
        <v>0</v>
      </c>
      <c r="CI677" t="s">
        <v>112</v>
      </c>
      <c r="CJ677" t="s">
        <v>112</v>
      </c>
      <c r="CK677">
        <v>44181.120000000003</v>
      </c>
      <c r="CM677">
        <v>0</v>
      </c>
      <c r="CN677">
        <v>1</v>
      </c>
      <c r="CO677">
        <v>5067218.1100000003</v>
      </c>
      <c r="CP677">
        <v>51746.38</v>
      </c>
      <c r="CQ677" t="s">
        <v>145</v>
      </c>
      <c r="CR677">
        <v>51827.395799999991</v>
      </c>
      <c r="CS677">
        <v>3.09</v>
      </c>
      <c r="CT677">
        <v>45</v>
      </c>
      <c r="CV677" t="s">
        <v>1140</v>
      </c>
      <c r="CW677">
        <v>370</v>
      </c>
    </row>
    <row r="678" spans="1:101" x14ac:dyDescent="0.2">
      <c r="A678" t="s">
        <v>106</v>
      </c>
      <c r="B678" s="46">
        <v>45096</v>
      </c>
      <c r="C678" t="s">
        <v>1914</v>
      </c>
      <c r="D678" t="s">
        <v>108</v>
      </c>
      <c r="E678" t="s">
        <v>1915</v>
      </c>
      <c r="F678" t="s">
        <v>110</v>
      </c>
      <c r="G678" t="s">
        <v>111</v>
      </c>
      <c r="H678" t="s">
        <v>112</v>
      </c>
      <c r="I678" t="s">
        <v>112</v>
      </c>
      <c r="J678" t="s">
        <v>112</v>
      </c>
      <c r="K678" t="s">
        <v>150</v>
      </c>
      <c r="L678" t="s">
        <v>151</v>
      </c>
      <c r="M678" t="s">
        <v>112</v>
      </c>
      <c r="N678" t="s">
        <v>112</v>
      </c>
      <c r="O678">
        <v>1</v>
      </c>
      <c r="Q678">
        <v>1</v>
      </c>
      <c r="R678">
        <v>33</v>
      </c>
      <c r="S678" t="s">
        <v>112</v>
      </c>
      <c r="T678" t="s">
        <v>152</v>
      </c>
      <c r="U678" t="s">
        <v>153</v>
      </c>
      <c r="V678" t="s">
        <v>154</v>
      </c>
      <c r="W678" t="s">
        <v>119</v>
      </c>
      <c r="X678" t="s">
        <v>112</v>
      </c>
      <c r="Y678" t="s">
        <v>112</v>
      </c>
      <c r="Z678" t="s">
        <v>152</v>
      </c>
      <c r="AA678" t="s">
        <v>153</v>
      </c>
      <c r="AB678" t="s">
        <v>154</v>
      </c>
      <c r="AC678" t="s">
        <v>119</v>
      </c>
      <c r="AD678" t="s">
        <v>112</v>
      </c>
      <c r="AE678" t="s">
        <v>121</v>
      </c>
      <c r="AF678" t="s">
        <v>122</v>
      </c>
      <c r="AG678">
        <v>5144388.87</v>
      </c>
      <c r="AH678" t="s">
        <v>112</v>
      </c>
      <c r="AI678" t="s">
        <v>152</v>
      </c>
      <c r="AJ678" t="s">
        <v>153</v>
      </c>
      <c r="AK678" t="s">
        <v>154</v>
      </c>
      <c r="AL678" t="s">
        <v>119</v>
      </c>
      <c r="AM678" t="s">
        <v>112</v>
      </c>
      <c r="AN678" t="s">
        <v>121</v>
      </c>
      <c r="AO678" t="s">
        <v>122</v>
      </c>
      <c r="AP678" t="s">
        <v>122</v>
      </c>
      <c r="AQ678" t="s">
        <v>124</v>
      </c>
      <c r="AR678" t="s">
        <v>125</v>
      </c>
      <c r="AS678">
        <v>2</v>
      </c>
      <c r="AT678" t="s">
        <v>126</v>
      </c>
      <c r="AU678" t="s">
        <v>155</v>
      </c>
      <c r="AV678" t="s">
        <v>156</v>
      </c>
      <c r="AX678" t="s">
        <v>129</v>
      </c>
      <c r="AY678">
        <v>44916.87</v>
      </c>
      <c r="BB678">
        <v>104.88720000000001</v>
      </c>
      <c r="BC678" t="s">
        <v>112</v>
      </c>
      <c r="BD678" t="s">
        <v>112</v>
      </c>
      <c r="BE678" t="s">
        <v>157</v>
      </c>
      <c r="BF678" t="s">
        <v>133</v>
      </c>
      <c r="BG678" t="s">
        <v>167</v>
      </c>
      <c r="BH678" t="s">
        <v>112</v>
      </c>
      <c r="BI678" t="s">
        <v>112</v>
      </c>
      <c r="BJ678" t="s">
        <v>112</v>
      </c>
      <c r="BK678" t="s">
        <v>169</v>
      </c>
      <c r="BL678" t="s">
        <v>159</v>
      </c>
      <c r="BM678" t="s">
        <v>160</v>
      </c>
      <c r="BN678" t="s">
        <v>161</v>
      </c>
      <c r="BP678" t="s">
        <v>205</v>
      </c>
      <c r="BR678" t="s">
        <v>150</v>
      </c>
      <c r="BS678">
        <v>33</v>
      </c>
      <c r="BT678">
        <v>0</v>
      </c>
      <c r="BU678">
        <v>0</v>
      </c>
      <c r="BW678">
        <v>0</v>
      </c>
      <c r="BY678" t="s">
        <v>106</v>
      </c>
      <c r="BZ678" t="s">
        <v>142</v>
      </c>
      <c r="CA678" t="s">
        <v>112</v>
      </c>
      <c r="CB678" t="s">
        <v>112</v>
      </c>
      <c r="CC678" t="s">
        <v>121</v>
      </c>
      <c r="CD678">
        <v>16233.17</v>
      </c>
      <c r="CE678" t="s">
        <v>144</v>
      </c>
      <c r="CF678">
        <v>4000000</v>
      </c>
      <c r="CG678">
        <v>16107.17</v>
      </c>
      <c r="CH678">
        <v>0</v>
      </c>
      <c r="CI678" t="s">
        <v>112</v>
      </c>
      <c r="CJ678" t="s">
        <v>112</v>
      </c>
      <c r="CK678">
        <v>44916.87</v>
      </c>
      <c r="CM678">
        <v>0</v>
      </c>
      <c r="CN678">
        <v>1</v>
      </c>
      <c r="CO678">
        <v>5144388.87</v>
      </c>
      <c r="CP678">
        <v>52534.45</v>
      </c>
      <c r="CQ678" t="s">
        <v>145</v>
      </c>
      <c r="CR678">
        <v>52509.374199999998</v>
      </c>
      <c r="CS678">
        <v>3.26</v>
      </c>
      <c r="CT678">
        <v>45</v>
      </c>
      <c r="CV678" t="s">
        <v>233</v>
      </c>
      <c r="CW678">
        <v>321</v>
      </c>
    </row>
    <row r="679" spans="1:101" x14ac:dyDescent="0.2">
      <c r="A679" t="s">
        <v>106</v>
      </c>
      <c r="B679" s="46">
        <v>45228</v>
      </c>
      <c r="C679" t="s">
        <v>1976</v>
      </c>
      <c r="D679" t="s">
        <v>108</v>
      </c>
      <c r="E679" t="s">
        <v>1977</v>
      </c>
      <c r="F679" t="s">
        <v>110</v>
      </c>
      <c r="G679" t="s">
        <v>111</v>
      </c>
      <c r="H679" t="s">
        <v>112</v>
      </c>
      <c r="I679" t="s">
        <v>112</v>
      </c>
      <c r="J679" t="s">
        <v>112</v>
      </c>
      <c r="K679" t="s">
        <v>150</v>
      </c>
      <c r="L679" t="s">
        <v>151</v>
      </c>
      <c r="M679" t="s">
        <v>112</v>
      </c>
      <c r="N679" t="s">
        <v>112</v>
      </c>
      <c r="O679">
        <v>1</v>
      </c>
      <c r="Q679">
        <v>1</v>
      </c>
      <c r="R679">
        <v>33</v>
      </c>
      <c r="S679" t="s">
        <v>112</v>
      </c>
      <c r="T679" t="s">
        <v>152</v>
      </c>
      <c r="U679" t="s">
        <v>153</v>
      </c>
      <c r="V679" t="s">
        <v>154</v>
      </c>
      <c r="W679" t="s">
        <v>119</v>
      </c>
      <c r="X679" t="s">
        <v>112</v>
      </c>
      <c r="Y679" t="s">
        <v>112</v>
      </c>
      <c r="Z679" t="s">
        <v>152</v>
      </c>
      <c r="AA679" t="s">
        <v>153</v>
      </c>
      <c r="AB679" t="s">
        <v>154</v>
      </c>
      <c r="AC679" t="s">
        <v>119</v>
      </c>
      <c r="AD679" t="s">
        <v>112</v>
      </c>
      <c r="AE679" t="s">
        <v>121</v>
      </c>
      <c r="AF679" t="s">
        <v>122</v>
      </c>
      <c r="AG679">
        <v>4358474.32</v>
      </c>
      <c r="AH679" t="s">
        <v>112</v>
      </c>
      <c r="AI679" t="s">
        <v>152</v>
      </c>
      <c r="AJ679" t="s">
        <v>153</v>
      </c>
      <c r="AK679" t="s">
        <v>154</v>
      </c>
      <c r="AL679" t="s">
        <v>119</v>
      </c>
      <c r="AM679" t="s">
        <v>112</v>
      </c>
      <c r="AN679" t="s">
        <v>121</v>
      </c>
      <c r="AO679" t="s">
        <v>122</v>
      </c>
      <c r="AP679" t="s">
        <v>122</v>
      </c>
      <c r="AQ679" t="s">
        <v>124</v>
      </c>
      <c r="AR679" t="s">
        <v>125</v>
      </c>
      <c r="AS679">
        <v>2</v>
      </c>
      <c r="AT679" t="s">
        <v>126</v>
      </c>
      <c r="AU679" t="s">
        <v>155</v>
      </c>
      <c r="AV679" t="s">
        <v>156</v>
      </c>
      <c r="AX679" t="s">
        <v>129</v>
      </c>
      <c r="AY679">
        <v>37423.919999999998</v>
      </c>
      <c r="BB679">
        <v>104.88720000000001</v>
      </c>
      <c r="BC679" t="s">
        <v>112</v>
      </c>
      <c r="BD679" t="s">
        <v>112</v>
      </c>
      <c r="BE679" t="s">
        <v>157</v>
      </c>
      <c r="BF679" t="s">
        <v>133</v>
      </c>
      <c r="BG679" t="s">
        <v>167</v>
      </c>
      <c r="BH679" t="s">
        <v>112</v>
      </c>
      <c r="BI679" t="s">
        <v>112</v>
      </c>
      <c r="BJ679" t="s">
        <v>112</v>
      </c>
      <c r="BK679" t="s">
        <v>169</v>
      </c>
      <c r="BL679" t="s">
        <v>159</v>
      </c>
      <c r="BM679" t="s">
        <v>160</v>
      </c>
      <c r="BN679" t="s">
        <v>161</v>
      </c>
      <c r="BP679" t="s">
        <v>213</v>
      </c>
      <c r="BR679" t="s">
        <v>150</v>
      </c>
      <c r="BS679">
        <v>33</v>
      </c>
      <c r="BT679">
        <v>0</v>
      </c>
      <c r="BU679">
        <v>0</v>
      </c>
      <c r="BW679">
        <v>0</v>
      </c>
      <c r="BY679" t="s">
        <v>106</v>
      </c>
      <c r="BZ679" t="s">
        <v>142</v>
      </c>
      <c r="CA679" t="s">
        <v>112</v>
      </c>
      <c r="CB679" t="s">
        <v>112</v>
      </c>
      <c r="CC679" t="s">
        <v>121</v>
      </c>
      <c r="CD679">
        <v>15773.8</v>
      </c>
      <c r="CE679" t="s">
        <v>144</v>
      </c>
      <c r="CF679">
        <v>4000000</v>
      </c>
      <c r="CG679">
        <v>15514.6</v>
      </c>
      <c r="CH679">
        <v>0</v>
      </c>
      <c r="CI679" t="s">
        <v>112</v>
      </c>
      <c r="CJ679" t="s">
        <v>112</v>
      </c>
      <c r="CK679">
        <v>37423.919999999998</v>
      </c>
      <c r="CM679">
        <v>0</v>
      </c>
      <c r="CN679">
        <v>1</v>
      </c>
      <c r="CO679">
        <v>4358474.32</v>
      </c>
      <c r="CP679">
        <v>44508.7</v>
      </c>
      <c r="CQ679" t="s">
        <v>145</v>
      </c>
      <c r="CR679">
        <v>44526.902000000002</v>
      </c>
      <c r="CS679">
        <v>2.87</v>
      </c>
      <c r="CT679">
        <v>45</v>
      </c>
      <c r="CV679" t="s">
        <v>206</v>
      </c>
      <c r="CW679">
        <v>299</v>
      </c>
    </row>
    <row r="680" spans="1:101" x14ac:dyDescent="0.2">
      <c r="A680" t="s">
        <v>106</v>
      </c>
      <c r="B680" s="46">
        <v>45053</v>
      </c>
      <c r="C680" t="s">
        <v>1976</v>
      </c>
      <c r="D680" t="s">
        <v>108</v>
      </c>
      <c r="E680" t="s">
        <v>1977</v>
      </c>
      <c r="F680" t="s">
        <v>110</v>
      </c>
      <c r="G680" t="s">
        <v>111</v>
      </c>
      <c r="H680" t="s">
        <v>112</v>
      </c>
      <c r="I680" t="s">
        <v>112</v>
      </c>
      <c r="J680" t="s">
        <v>112</v>
      </c>
      <c r="K680" t="s">
        <v>150</v>
      </c>
      <c r="L680" t="s">
        <v>151</v>
      </c>
      <c r="M680" t="s">
        <v>112</v>
      </c>
      <c r="N680" t="s">
        <v>112</v>
      </c>
      <c r="O680">
        <v>1</v>
      </c>
      <c r="Q680">
        <v>1</v>
      </c>
      <c r="R680">
        <v>33</v>
      </c>
      <c r="S680" t="s">
        <v>112</v>
      </c>
      <c r="T680" t="s">
        <v>152</v>
      </c>
      <c r="U680" t="s">
        <v>153</v>
      </c>
      <c r="V680" t="s">
        <v>154</v>
      </c>
      <c r="W680" t="s">
        <v>119</v>
      </c>
      <c r="X680" t="s">
        <v>112</v>
      </c>
      <c r="Y680" t="s">
        <v>112</v>
      </c>
      <c r="Z680" t="s">
        <v>152</v>
      </c>
      <c r="AA680" t="s">
        <v>153</v>
      </c>
      <c r="AB680" t="s">
        <v>154</v>
      </c>
      <c r="AC680" t="s">
        <v>119</v>
      </c>
      <c r="AD680" t="s">
        <v>112</v>
      </c>
      <c r="AE680" t="s">
        <v>121</v>
      </c>
      <c r="AF680" t="s">
        <v>122</v>
      </c>
      <c r="AG680">
        <v>4358474.32</v>
      </c>
      <c r="AH680" t="s">
        <v>112</v>
      </c>
      <c r="AI680" t="s">
        <v>152</v>
      </c>
      <c r="AJ680" t="s">
        <v>153</v>
      </c>
      <c r="AK680" t="s">
        <v>154</v>
      </c>
      <c r="AL680" t="s">
        <v>119</v>
      </c>
      <c r="AM680" t="s">
        <v>112</v>
      </c>
      <c r="AN680" t="s">
        <v>121</v>
      </c>
      <c r="AO680" t="s">
        <v>122</v>
      </c>
      <c r="AP680" t="s">
        <v>122</v>
      </c>
      <c r="AQ680" t="s">
        <v>124</v>
      </c>
      <c r="AR680" t="s">
        <v>125</v>
      </c>
      <c r="AS680">
        <v>2</v>
      </c>
      <c r="AT680" t="s">
        <v>126</v>
      </c>
      <c r="AU680" t="s">
        <v>155</v>
      </c>
      <c r="AV680" t="s">
        <v>156</v>
      </c>
      <c r="AX680" t="s">
        <v>129</v>
      </c>
      <c r="AY680">
        <v>37423.919999999998</v>
      </c>
      <c r="BB680">
        <v>104.88720000000001</v>
      </c>
      <c r="BC680" t="s">
        <v>112</v>
      </c>
      <c r="BD680" t="s">
        <v>112</v>
      </c>
      <c r="BE680" t="s">
        <v>157</v>
      </c>
      <c r="BF680" t="s">
        <v>133</v>
      </c>
      <c r="BG680" t="s">
        <v>167</v>
      </c>
      <c r="BH680" t="s">
        <v>112</v>
      </c>
      <c r="BI680" t="s">
        <v>112</v>
      </c>
      <c r="BJ680" t="s">
        <v>112</v>
      </c>
      <c r="BK680" t="s">
        <v>169</v>
      </c>
      <c r="BL680" t="s">
        <v>159</v>
      </c>
      <c r="BM680" t="s">
        <v>160</v>
      </c>
      <c r="BN680" t="s">
        <v>161</v>
      </c>
      <c r="BP680" t="s">
        <v>213</v>
      </c>
      <c r="BR680" t="s">
        <v>150</v>
      </c>
      <c r="BS680">
        <v>33</v>
      </c>
      <c r="BT680">
        <v>0</v>
      </c>
      <c r="BU680">
        <v>0</v>
      </c>
      <c r="BW680">
        <v>0</v>
      </c>
      <c r="BY680" t="s">
        <v>106</v>
      </c>
      <c r="BZ680" t="s">
        <v>142</v>
      </c>
      <c r="CA680" t="s">
        <v>112</v>
      </c>
      <c r="CB680" t="s">
        <v>112</v>
      </c>
      <c r="CC680" t="s">
        <v>121</v>
      </c>
      <c r="CD680">
        <v>15773.8</v>
      </c>
      <c r="CE680" t="s">
        <v>144</v>
      </c>
      <c r="CF680">
        <v>4000000</v>
      </c>
      <c r="CG680">
        <v>15514.6</v>
      </c>
      <c r="CH680">
        <v>0</v>
      </c>
      <c r="CI680" t="s">
        <v>112</v>
      </c>
      <c r="CJ680" t="s">
        <v>112</v>
      </c>
      <c r="CK680">
        <v>37423.919999999998</v>
      </c>
      <c r="CM680">
        <v>0</v>
      </c>
      <c r="CN680">
        <v>1</v>
      </c>
      <c r="CO680">
        <v>4358474.32</v>
      </c>
      <c r="CP680">
        <v>44508.7</v>
      </c>
      <c r="CQ680" t="s">
        <v>145</v>
      </c>
      <c r="CR680">
        <v>44526.902000000002</v>
      </c>
      <c r="CS680">
        <v>2.87</v>
      </c>
      <c r="CT680">
        <v>45</v>
      </c>
      <c r="CV680" t="s">
        <v>206</v>
      </c>
      <c r="CW680">
        <v>299</v>
      </c>
    </row>
    <row r="681" spans="1:101" x14ac:dyDescent="0.2">
      <c r="A681" t="s">
        <v>106</v>
      </c>
      <c r="B681" s="46">
        <v>44942</v>
      </c>
      <c r="C681" t="s">
        <v>1447</v>
      </c>
      <c r="D681" t="s">
        <v>108</v>
      </c>
      <c r="E681" t="s">
        <v>1448</v>
      </c>
      <c r="F681" t="s">
        <v>110</v>
      </c>
      <c r="G681" t="s">
        <v>111</v>
      </c>
      <c r="H681" t="s">
        <v>112</v>
      </c>
      <c r="I681" t="s">
        <v>112</v>
      </c>
      <c r="J681" t="s">
        <v>112</v>
      </c>
      <c r="K681" t="s">
        <v>150</v>
      </c>
      <c r="L681" t="s">
        <v>1439</v>
      </c>
      <c r="M681" t="s">
        <v>112</v>
      </c>
      <c r="N681" t="s">
        <v>112</v>
      </c>
      <c r="O681">
        <v>1</v>
      </c>
      <c r="P681">
        <v>0</v>
      </c>
      <c r="Q681">
        <v>1</v>
      </c>
      <c r="R681">
        <v>33</v>
      </c>
      <c r="S681" t="s">
        <v>166</v>
      </c>
      <c r="T681" t="s">
        <v>152</v>
      </c>
      <c r="U681" t="s">
        <v>153</v>
      </c>
      <c r="V681" t="s">
        <v>154</v>
      </c>
      <c r="W681" t="s">
        <v>119</v>
      </c>
      <c r="X681" t="s">
        <v>112</v>
      </c>
      <c r="Y681" t="s">
        <v>166</v>
      </c>
      <c r="Z681" t="s">
        <v>152</v>
      </c>
      <c r="AA681" t="s">
        <v>153</v>
      </c>
      <c r="AB681" t="s">
        <v>154</v>
      </c>
      <c r="AC681" t="s">
        <v>119</v>
      </c>
      <c r="AD681" t="s">
        <v>112</v>
      </c>
      <c r="AE681" t="s">
        <v>121</v>
      </c>
      <c r="AF681" t="s">
        <v>122</v>
      </c>
      <c r="AG681">
        <v>4677221.45</v>
      </c>
      <c r="AH681" t="s">
        <v>166</v>
      </c>
      <c r="AI681" t="s">
        <v>152</v>
      </c>
      <c r="AJ681" t="s">
        <v>153</v>
      </c>
      <c r="AK681" t="s">
        <v>154</v>
      </c>
      <c r="AL681" t="s">
        <v>119</v>
      </c>
      <c r="AM681" t="s">
        <v>112</v>
      </c>
      <c r="AN681" t="s">
        <v>121</v>
      </c>
      <c r="AO681" t="s">
        <v>122</v>
      </c>
      <c r="AP681" t="s">
        <v>122</v>
      </c>
      <c r="AQ681" t="s">
        <v>124</v>
      </c>
      <c r="AR681" t="s">
        <v>125</v>
      </c>
      <c r="AS681">
        <v>2</v>
      </c>
      <c r="AT681" t="s">
        <v>126</v>
      </c>
      <c r="AU681" t="s">
        <v>155</v>
      </c>
      <c r="AV681" t="s">
        <v>156</v>
      </c>
      <c r="AW681">
        <v>1</v>
      </c>
      <c r="AX681" t="s">
        <v>129</v>
      </c>
      <c r="AY681">
        <v>42448.68</v>
      </c>
      <c r="AZ681">
        <v>4262505</v>
      </c>
      <c r="BA681">
        <v>51121.03</v>
      </c>
      <c r="BB681">
        <v>100.41549999999999</v>
      </c>
      <c r="BC681" t="s">
        <v>130</v>
      </c>
      <c r="BD681" t="s">
        <v>112</v>
      </c>
      <c r="BE681" t="s">
        <v>157</v>
      </c>
      <c r="BF681" t="s">
        <v>133</v>
      </c>
      <c r="BG681" t="s">
        <v>134</v>
      </c>
      <c r="BH681" t="s">
        <v>112</v>
      </c>
      <c r="BI681" t="s">
        <v>112</v>
      </c>
      <c r="BJ681" t="s">
        <v>112</v>
      </c>
      <c r="BK681" t="s">
        <v>169</v>
      </c>
      <c r="BL681" t="s">
        <v>159</v>
      </c>
      <c r="BM681" t="s">
        <v>722</v>
      </c>
      <c r="BN681" t="s">
        <v>161</v>
      </c>
      <c r="BO681">
        <v>1</v>
      </c>
      <c r="BP681" t="s">
        <v>1449</v>
      </c>
      <c r="BR681" t="s">
        <v>150</v>
      </c>
      <c r="BS681">
        <v>33</v>
      </c>
      <c r="BT681">
        <v>0</v>
      </c>
      <c r="BU681">
        <v>0</v>
      </c>
      <c r="BW681">
        <v>0</v>
      </c>
      <c r="BY681" t="s">
        <v>106</v>
      </c>
      <c r="BZ681" t="s">
        <v>142</v>
      </c>
      <c r="CA681" t="s">
        <v>112</v>
      </c>
      <c r="CB681" t="s">
        <v>112</v>
      </c>
      <c r="CC681" t="s">
        <v>121</v>
      </c>
      <c r="CD681">
        <v>16728.98</v>
      </c>
      <c r="CE681" t="s">
        <v>144</v>
      </c>
      <c r="CF681">
        <v>4000000</v>
      </c>
      <c r="CG681">
        <v>16692.98</v>
      </c>
      <c r="CH681">
        <v>0</v>
      </c>
      <c r="CI681" t="s">
        <v>112</v>
      </c>
      <c r="CJ681" t="s">
        <v>112</v>
      </c>
      <c r="CK681">
        <v>42448.68</v>
      </c>
      <c r="CL681">
        <v>4262505</v>
      </c>
      <c r="CM681">
        <v>0</v>
      </c>
      <c r="CN681">
        <v>1</v>
      </c>
      <c r="CO681">
        <v>4677221.45</v>
      </c>
      <c r="CP681">
        <v>51121.03</v>
      </c>
      <c r="CQ681" t="s">
        <v>145</v>
      </c>
      <c r="CR681">
        <v>51080.518799999998</v>
      </c>
      <c r="CS681">
        <v>3.06</v>
      </c>
      <c r="CT681">
        <v>45</v>
      </c>
      <c r="CU681" t="s">
        <v>171</v>
      </c>
      <c r="CV681" t="s">
        <v>350</v>
      </c>
      <c r="CW681">
        <v>144</v>
      </c>
    </row>
    <row r="682" spans="1:101" x14ac:dyDescent="0.2">
      <c r="A682" t="s">
        <v>106</v>
      </c>
      <c r="B682" s="46">
        <v>44928</v>
      </c>
      <c r="C682" t="s">
        <v>1158</v>
      </c>
      <c r="D682" t="s">
        <v>108</v>
      </c>
      <c r="E682" t="s">
        <v>1159</v>
      </c>
      <c r="F682" t="s">
        <v>110</v>
      </c>
      <c r="G682" t="s">
        <v>111</v>
      </c>
      <c r="H682" t="s">
        <v>112</v>
      </c>
      <c r="I682" t="s">
        <v>112</v>
      </c>
      <c r="J682" t="s">
        <v>112</v>
      </c>
      <c r="K682" t="s">
        <v>150</v>
      </c>
      <c r="L682" t="s">
        <v>1143</v>
      </c>
      <c r="M682" t="s">
        <v>112</v>
      </c>
      <c r="N682" t="s">
        <v>112</v>
      </c>
      <c r="O682">
        <v>1</v>
      </c>
      <c r="P682">
        <v>0</v>
      </c>
      <c r="Q682">
        <v>1</v>
      </c>
      <c r="R682">
        <v>33</v>
      </c>
      <c r="S682" t="s">
        <v>166</v>
      </c>
      <c r="T682" t="s">
        <v>152</v>
      </c>
      <c r="U682" t="s">
        <v>153</v>
      </c>
      <c r="V682" t="s">
        <v>154</v>
      </c>
      <c r="W682" t="s">
        <v>119</v>
      </c>
      <c r="X682" t="s">
        <v>112</v>
      </c>
      <c r="Y682" t="s">
        <v>166</v>
      </c>
      <c r="Z682" t="s">
        <v>152</v>
      </c>
      <c r="AA682" t="s">
        <v>153</v>
      </c>
      <c r="AB682" t="s">
        <v>154</v>
      </c>
      <c r="AC682" t="s">
        <v>119</v>
      </c>
      <c r="AD682" t="s">
        <v>112</v>
      </c>
      <c r="AE682" t="s">
        <v>121</v>
      </c>
      <c r="AF682" t="s">
        <v>122</v>
      </c>
      <c r="AG682">
        <v>3566133.88</v>
      </c>
      <c r="AH682" t="s">
        <v>166</v>
      </c>
      <c r="AI682" t="s">
        <v>152</v>
      </c>
      <c r="AJ682" t="s">
        <v>153</v>
      </c>
      <c r="AK682" t="s">
        <v>154</v>
      </c>
      <c r="AL682" t="s">
        <v>119</v>
      </c>
      <c r="AM682" t="s">
        <v>112</v>
      </c>
      <c r="AN682" t="s">
        <v>121</v>
      </c>
      <c r="AO682" t="s">
        <v>122</v>
      </c>
      <c r="AP682" t="s">
        <v>122</v>
      </c>
      <c r="AQ682" t="s">
        <v>124</v>
      </c>
      <c r="AR682" t="s">
        <v>125</v>
      </c>
      <c r="AS682">
        <v>2</v>
      </c>
      <c r="AT682" t="s">
        <v>126</v>
      </c>
      <c r="AU682" t="s">
        <v>155</v>
      </c>
      <c r="AV682" t="s">
        <v>156</v>
      </c>
      <c r="AW682">
        <v>1</v>
      </c>
      <c r="AX682" t="s">
        <v>129</v>
      </c>
      <c r="AY682">
        <v>38248.400000000001</v>
      </c>
      <c r="AZ682">
        <v>3218595</v>
      </c>
      <c r="BA682">
        <v>46498.879999999997</v>
      </c>
      <c r="BB682">
        <v>84.149799999999999</v>
      </c>
      <c r="BC682" t="s">
        <v>130</v>
      </c>
      <c r="BD682" t="s">
        <v>112</v>
      </c>
      <c r="BE682" t="s">
        <v>157</v>
      </c>
      <c r="BF682" t="s">
        <v>133</v>
      </c>
      <c r="BG682" t="s">
        <v>134</v>
      </c>
      <c r="BH682" t="s">
        <v>112</v>
      </c>
      <c r="BI682" t="s">
        <v>112</v>
      </c>
      <c r="BJ682" t="s">
        <v>112</v>
      </c>
      <c r="BK682" t="s">
        <v>169</v>
      </c>
      <c r="BL682" t="s">
        <v>159</v>
      </c>
      <c r="BM682" t="s">
        <v>722</v>
      </c>
      <c r="BN682" t="s">
        <v>161</v>
      </c>
      <c r="BO682">
        <v>1</v>
      </c>
      <c r="BP682" t="s">
        <v>162</v>
      </c>
      <c r="BR682" t="s">
        <v>150</v>
      </c>
      <c r="BS682">
        <v>33</v>
      </c>
      <c r="BT682">
        <v>0</v>
      </c>
      <c r="BU682">
        <v>0</v>
      </c>
      <c r="BW682">
        <v>0</v>
      </c>
      <c r="BY682" t="s">
        <v>106</v>
      </c>
      <c r="BZ682" t="s">
        <v>142</v>
      </c>
      <c r="CA682" t="s">
        <v>112</v>
      </c>
      <c r="CB682" t="s">
        <v>112</v>
      </c>
      <c r="CC682" t="s">
        <v>121</v>
      </c>
      <c r="CD682">
        <v>17078.64</v>
      </c>
      <c r="CE682" t="s">
        <v>144</v>
      </c>
      <c r="CF682">
        <v>4000000</v>
      </c>
      <c r="CG682">
        <v>17042.64</v>
      </c>
      <c r="CH682">
        <v>0</v>
      </c>
      <c r="CI682" t="s">
        <v>112</v>
      </c>
      <c r="CJ682" t="s">
        <v>112</v>
      </c>
      <c r="CK682">
        <v>38248.400000000001</v>
      </c>
      <c r="CL682">
        <v>3218595</v>
      </c>
      <c r="CM682">
        <v>0</v>
      </c>
      <c r="CN682">
        <v>1</v>
      </c>
      <c r="CO682">
        <v>3566133.88</v>
      </c>
      <c r="CP682">
        <v>46498.879999999997</v>
      </c>
      <c r="CQ682" t="s">
        <v>145</v>
      </c>
      <c r="CR682">
        <v>46499.138976000002</v>
      </c>
      <c r="CS682">
        <v>2.7284000000000002</v>
      </c>
      <c r="CT682">
        <v>45</v>
      </c>
      <c r="CU682" t="s">
        <v>171</v>
      </c>
      <c r="CV682" t="s">
        <v>372</v>
      </c>
      <c r="CW682">
        <v>270</v>
      </c>
    </row>
    <row r="683" spans="1:101" x14ac:dyDescent="0.2">
      <c r="A683" t="s">
        <v>106</v>
      </c>
      <c r="B683" s="46">
        <v>44933</v>
      </c>
      <c r="C683" t="s">
        <v>1160</v>
      </c>
      <c r="D683" t="s">
        <v>108</v>
      </c>
      <c r="E683" t="s">
        <v>1161</v>
      </c>
      <c r="F683" t="s">
        <v>110</v>
      </c>
      <c r="G683" t="s">
        <v>111</v>
      </c>
      <c r="H683" t="s">
        <v>112</v>
      </c>
      <c r="I683" t="s">
        <v>112</v>
      </c>
      <c r="J683" t="s">
        <v>112</v>
      </c>
      <c r="K683" t="s">
        <v>150</v>
      </c>
      <c r="L683" t="s">
        <v>1143</v>
      </c>
      <c r="M683" t="s">
        <v>112</v>
      </c>
      <c r="N683" t="s">
        <v>112</v>
      </c>
      <c r="O683">
        <v>1</v>
      </c>
      <c r="P683">
        <v>0</v>
      </c>
      <c r="Q683">
        <v>1</v>
      </c>
      <c r="R683">
        <v>33</v>
      </c>
      <c r="S683" t="s">
        <v>166</v>
      </c>
      <c r="T683" t="s">
        <v>152</v>
      </c>
      <c r="U683" t="s">
        <v>153</v>
      </c>
      <c r="V683" t="s">
        <v>154</v>
      </c>
      <c r="W683" t="s">
        <v>119</v>
      </c>
      <c r="X683" t="s">
        <v>112</v>
      </c>
      <c r="Y683" t="s">
        <v>166</v>
      </c>
      <c r="Z683" t="s">
        <v>152</v>
      </c>
      <c r="AA683" t="s">
        <v>153</v>
      </c>
      <c r="AB683" t="s">
        <v>154</v>
      </c>
      <c r="AC683" t="s">
        <v>119</v>
      </c>
      <c r="AD683" t="s">
        <v>112</v>
      </c>
      <c r="AE683" t="s">
        <v>121</v>
      </c>
      <c r="AF683" t="s">
        <v>122</v>
      </c>
      <c r="AG683">
        <v>3998206.92</v>
      </c>
      <c r="AH683" t="s">
        <v>166</v>
      </c>
      <c r="AI683" t="s">
        <v>152</v>
      </c>
      <c r="AJ683" t="s">
        <v>153</v>
      </c>
      <c r="AK683" t="s">
        <v>154</v>
      </c>
      <c r="AL683" t="s">
        <v>119</v>
      </c>
      <c r="AM683" t="s">
        <v>112</v>
      </c>
      <c r="AN683" t="s">
        <v>121</v>
      </c>
      <c r="AO683" t="s">
        <v>122</v>
      </c>
      <c r="AP683" t="s">
        <v>122</v>
      </c>
      <c r="AQ683" t="s">
        <v>124</v>
      </c>
      <c r="AR683" t="s">
        <v>125</v>
      </c>
      <c r="AS683">
        <v>2</v>
      </c>
      <c r="AT683" t="s">
        <v>126</v>
      </c>
      <c r="AU683" t="s">
        <v>155</v>
      </c>
      <c r="AV683" t="s">
        <v>156</v>
      </c>
      <c r="AW683">
        <v>1</v>
      </c>
      <c r="AX683" t="s">
        <v>129</v>
      </c>
      <c r="AY683">
        <v>42862.97</v>
      </c>
      <c r="AZ683">
        <v>3606910</v>
      </c>
      <c r="BA683">
        <v>52132.69</v>
      </c>
      <c r="BB683">
        <v>84.149799999999999</v>
      </c>
      <c r="BC683" t="s">
        <v>130</v>
      </c>
      <c r="BD683" t="s">
        <v>112</v>
      </c>
      <c r="BE683" t="s">
        <v>157</v>
      </c>
      <c r="BF683" t="s">
        <v>133</v>
      </c>
      <c r="BG683" t="s">
        <v>167</v>
      </c>
      <c r="BH683" t="s">
        <v>168</v>
      </c>
      <c r="BI683" t="s">
        <v>112</v>
      </c>
      <c r="BJ683" t="s">
        <v>112</v>
      </c>
      <c r="BK683" t="s">
        <v>169</v>
      </c>
      <c r="BL683" t="s">
        <v>159</v>
      </c>
      <c r="BM683" t="s">
        <v>726</v>
      </c>
      <c r="BN683" t="s">
        <v>161</v>
      </c>
      <c r="BO683">
        <v>1</v>
      </c>
      <c r="BP683" t="s">
        <v>232</v>
      </c>
      <c r="BR683" t="s">
        <v>150</v>
      </c>
      <c r="BS683">
        <v>33</v>
      </c>
      <c r="BT683">
        <v>0</v>
      </c>
      <c r="BU683">
        <v>0</v>
      </c>
      <c r="BW683">
        <v>0</v>
      </c>
      <c r="BY683" t="s">
        <v>106</v>
      </c>
      <c r="BZ683" t="s">
        <v>142</v>
      </c>
      <c r="CA683" t="s">
        <v>112</v>
      </c>
      <c r="CB683" t="s">
        <v>112</v>
      </c>
      <c r="CC683" t="s">
        <v>121</v>
      </c>
      <c r="CD683">
        <v>16952.8</v>
      </c>
      <c r="CE683" t="s">
        <v>144</v>
      </c>
      <c r="CF683">
        <v>4000000</v>
      </c>
      <c r="CG683">
        <v>16952.8</v>
      </c>
      <c r="CH683">
        <v>0</v>
      </c>
      <c r="CI683" t="s">
        <v>112</v>
      </c>
      <c r="CJ683" t="s">
        <v>112</v>
      </c>
      <c r="CK683">
        <v>42862.97</v>
      </c>
      <c r="CL683">
        <v>3606910</v>
      </c>
      <c r="CM683">
        <v>0</v>
      </c>
      <c r="CN683">
        <v>1</v>
      </c>
      <c r="CO683">
        <v>3998206.92</v>
      </c>
      <c r="CP683">
        <v>52132.69</v>
      </c>
      <c r="CQ683" t="s">
        <v>145</v>
      </c>
      <c r="CR683">
        <v>52133.25056</v>
      </c>
      <c r="CS683">
        <v>3.0752000000000002</v>
      </c>
      <c r="CT683">
        <v>45</v>
      </c>
      <c r="CU683" t="s">
        <v>171</v>
      </c>
      <c r="CV683" t="s">
        <v>172</v>
      </c>
      <c r="CW683">
        <v>174</v>
      </c>
    </row>
    <row r="684" spans="1:101" x14ac:dyDescent="0.2">
      <c r="A684" t="s">
        <v>106</v>
      </c>
      <c r="B684" s="46">
        <v>45227</v>
      </c>
      <c r="C684" t="s">
        <v>1034</v>
      </c>
      <c r="D684" t="s">
        <v>108</v>
      </c>
      <c r="E684" t="s">
        <v>1035</v>
      </c>
      <c r="F684" t="s">
        <v>110</v>
      </c>
      <c r="G684" t="s">
        <v>111</v>
      </c>
      <c r="H684" t="s">
        <v>112</v>
      </c>
      <c r="I684" t="s">
        <v>112</v>
      </c>
      <c r="J684" t="s">
        <v>112</v>
      </c>
      <c r="K684" t="s">
        <v>150</v>
      </c>
      <c r="L684" t="s">
        <v>1036</v>
      </c>
      <c r="M684" t="s">
        <v>112</v>
      </c>
      <c r="N684" t="s">
        <v>112</v>
      </c>
      <c r="O684">
        <v>1</v>
      </c>
      <c r="P684">
        <v>0</v>
      </c>
      <c r="Q684">
        <v>1</v>
      </c>
      <c r="R684">
        <v>33</v>
      </c>
      <c r="S684" t="s">
        <v>166</v>
      </c>
      <c r="T684" t="s">
        <v>152</v>
      </c>
      <c r="U684" t="s">
        <v>153</v>
      </c>
      <c r="V684" t="s">
        <v>154</v>
      </c>
      <c r="W684" t="s">
        <v>119</v>
      </c>
      <c r="X684" t="s">
        <v>112</v>
      </c>
      <c r="Y684" t="s">
        <v>166</v>
      </c>
      <c r="Z684" t="s">
        <v>152</v>
      </c>
      <c r="AA684" t="s">
        <v>153</v>
      </c>
      <c r="AB684" t="s">
        <v>154</v>
      </c>
      <c r="AC684" t="s">
        <v>119</v>
      </c>
      <c r="AD684" t="s">
        <v>112</v>
      </c>
      <c r="AE684" t="s">
        <v>121</v>
      </c>
      <c r="AF684" t="s">
        <v>122</v>
      </c>
      <c r="AG684">
        <v>4322452.5599999996</v>
      </c>
      <c r="AH684" t="s">
        <v>166</v>
      </c>
      <c r="AI684" t="s">
        <v>152</v>
      </c>
      <c r="AJ684" t="s">
        <v>153</v>
      </c>
      <c r="AK684" t="s">
        <v>154</v>
      </c>
      <c r="AL684" t="s">
        <v>119</v>
      </c>
      <c r="AM684" t="s">
        <v>112</v>
      </c>
      <c r="AN684" t="s">
        <v>121</v>
      </c>
      <c r="AO684" t="s">
        <v>122</v>
      </c>
      <c r="AP684" t="s">
        <v>122</v>
      </c>
      <c r="AQ684" t="s">
        <v>124</v>
      </c>
      <c r="AR684" t="s">
        <v>125</v>
      </c>
      <c r="AS684">
        <v>2</v>
      </c>
      <c r="AT684" t="s">
        <v>126</v>
      </c>
      <c r="AU684" t="s">
        <v>155</v>
      </c>
      <c r="AV684" t="s">
        <v>156</v>
      </c>
      <c r="AW684">
        <v>1</v>
      </c>
      <c r="AX684" t="s">
        <v>129</v>
      </c>
      <c r="AY684">
        <v>44122.28</v>
      </c>
      <c r="AZ684">
        <v>3934547</v>
      </c>
      <c r="BA684">
        <v>52877.85</v>
      </c>
      <c r="BB684">
        <v>89.173699999999997</v>
      </c>
      <c r="BC684" t="s">
        <v>130</v>
      </c>
      <c r="BD684" t="s">
        <v>112</v>
      </c>
      <c r="BE684" t="s">
        <v>157</v>
      </c>
      <c r="BF684" t="s">
        <v>133</v>
      </c>
      <c r="BG684" t="s">
        <v>167</v>
      </c>
      <c r="BH684" t="s">
        <v>168</v>
      </c>
      <c r="BI684" t="s">
        <v>112</v>
      </c>
      <c r="BJ684" t="s">
        <v>112</v>
      </c>
      <c r="BK684" t="s">
        <v>169</v>
      </c>
      <c r="BL684" t="s">
        <v>159</v>
      </c>
      <c r="BM684" t="s">
        <v>726</v>
      </c>
      <c r="BN684" t="s">
        <v>161</v>
      </c>
      <c r="BO684">
        <v>1</v>
      </c>
      <c r="BP684" t="s">
        <v>162</v>
      </c>
      <c r="BR684" t="s">
        <v>150</v>
      </c>
      <c r="BS684">
        <v>33</v>
      </c>
      <c r="BT684">
        <v>0</v>
      </c>
      <c r="BU684">
        <v>0</v>
      </c>
      <c r="BW684">
        <v>0</v>
      </c>
      <c r="BY684" t="s">
        <v>106</v>
      </c>
      <c r="BZ684" t="s">
        <v>142</v>
      </c>
      <c r="CA684" t="s">
        <v>112</v>
      </c>
      <c r="CB684" t="s">
        <v>112</v>
      </c>
      <c r="CC684" t="s">
        <v>121</v>
      </c>
      <c r="CD684">
        <v>16923.439999999999</v>
      </c>
      <c r="CE684" t="s">
        <v>144</v>
      </c>
      <c r="CF684">
        <v>4000000</v>
      </c>
      <c r="CG684">
        <v>16833.439999999999</v>
      </c>
      <c r="CH684">
        <v>0</v>
      </c>
      <c r="CI684" t="s">
        <v>112</v>
      </c>
      <c r="CJ684" t="s">
        <v>112</v>
      </c>
      <c r="CK684">
        <v>44122.28</v>
      </c>
      <c r="CL684">
        <v>3934547</v>
      </c>
      <c r="CM684">
        <v>0</v>
      </c>
      <c r="CN684">
        <v>1</v>
      </c>
      <c r="CO684">
        <v>4322452.5599999996</v>
      </c>
      <c r="CP684">
        <v>52877.85</v>
      </c>
      <c r="CQ684" t="s">
        <v>145</v>
      </c>
      <c r="CR684">
        <v>52877.201727999993</v>
      </c>
      <c r="CS684">
        <v>3.1412</v>
      </c>
      <c r="CT684">
        <v>45</v>
      </c>
      <c r="CU684" t="s">
        <v>171</v>
      </c>
      <c r="CV684" t="s">
        <v>350</v>
      </c>
      <c r="CW684">
        <v>32</v>
      </c>
    </row>
    <row r="685" spans="1:101" x14ac:dyDescent="0.2">
      <c r="A685" t="s">
        <v>106</v>
      </c>
      <c r="B685" s="46">
        <v>44618</v>
      </c>
      <c r="C685" t="s">
        <v>1545</v>
      </c>
      <c r="D685" t="s">
        <v>108</v>
      </c>
      <c r="E685" t="s">
        <v>1546</v>
      </c>
      <c r="F685" t="s">
        <v>110</v>
      </c>
      <c r="G685" t="s">
        <v>111</v>
      </c>
      <c r="H685" t="s">
        <v>112</v>
      </c>
      <c r="I685" t="s">
        <v>112</v>
      </c>
      <c r="J685" t="s">
        <v>112</v>
      </c>
      <c r="K685" t="s">
        <v>150</v>
      </c>
      <c r="L685" t="s">
        <v>151</v>
      </c>
      <c r="M685" t="s">
        <v>112</v>
      </c>
      <c r="N685" t="s">
        <v>112</v>
      </c>
      <c r="O685">
        <v>1</v>
      </c>
      <c r="Q685">
        <v>1</v>
      </c>
      <c r="R685">
        <v>33</v>
      </c>
      <c r="S685" t="s">
        <v>112</v>
      </c>
      <c r="T685" t="s">
        <v>152</v>
      </c>
      <c r="U685" t="s">
        <v>153</v>
      </c>
      <c r="V685" t="s">
        <v>154</v>
      </c>
      <c r="W685" t="s">
        <v>119</v>
      </c>
      <c r="X685" t="s">
        <v>112</v>
      </c>
      <c r="Y685" t="s">
        <v>112</v>
      </c>
      <c r="Z685" t="s">
        <v>152</v>
      </c>
      <c r="AA685" t="s">
        <v>153</v>
      </c>
      <c r="AB685" t="s">
        <v>154</v>
      </c>
      <c r="AC685" t="s">
        <v>119</v>
      </c>
      <c r="AD685" t="s">
        <v>112</v>
      </c>
      <c r="AE685" t="s">
        <v>121</v>
      </c>
      <c r="AF685" t="s">
        <v>122</v>
      </c>
      <c r="AG685">
        <v>4014852.94</v>
      </c>
      <c r="AH685" t="s">
        <v>112</v>
      </c>
      <c r="AI685" t="s">
        <v>152</v>
      </c>
      <c r="AJ685" t="s">
        <v>153</v>
      </c>
      <c r="AK685" t="s">
        <v>154</v>
      </c>
      <c r="AL685" t="s">
        <v>119</v>
      </c>
      <c r="AM685" t="s">
        <v>112</v>
      </c>
      <c r="AN685" t="s">
        <v>121</v>
      </c>
      <c r="AO685" t="s">
        <v>122</v>
      </c>
      <c r="AP685" t="s">
        <v>122</v>
      </c>
      <c r="AQ685" t="s">
        <v>124</v>
      </c>
      <c r="AR685" t="s">
        <v>125</v>
      </c>
      <c r="AS685">
        <v>2</v>
      </c>
      <c r="AT685" t="s">
        <v>126</v>
      </c>
      <c r="AU685" t="s">
        <v>155</v>
      </c>
      <c r="AV685" t="s">
        <v>156</v>
      </c>
      <c r="AX685" t="s">
        <v>129</v>
      </c>
      <c r="AY685">
        <v>36808.199999999997</v>
      </c>
      <c r="BB685">
        <v>98.407600000000002</v>
      </c>
      <c r="BC685" t="s">
        <v>112</v>
      </c>
      <c r="BD685" t="s">
        <v>112</v>
      </c>
      <c r="BE685" t="s">
        <v>157</v>
      </c>
      <c r="BF685" t="s">
        <v>133</v>
      </c>
      <c r="BG685" t="s">
        <v>134</v>
      </c>
      <c r="BH685" t="s">
        <v>112</v>
      </c>
      <c r="BI685" t="s">
        <v>112</v>
      </c>
      <c r="BJ685" t="s">
        <v>112</v>
      </c>
      <c r="BK685" t="s">
        <v>158</v>
      </c>
      <c r="BL685" t="s">
        <v>159</v>
      </c>
      <c r="BM685" t="s">
        <v>212</v>
      </c>
      <c r="BN685" t="s">
        <v>161</v>
      </c>
      <c r="BP685" t="s">
        <v>213</v>
      </c>
      <c r="BR685" t="s">
        <v>150</v>
      </c>
      <c r="BS685">
        <v>33</v>
      </c>
      <c r="BT685">
        <v>0</v>
      </c>
      <c r="BU685">
        <v>0</v>
      </c>
      <c r="BW685">
        <v>0</v>
      </c>
      <c r="BY685" t="s">
        <v>106</v>
      </c>
      <c r="BZ685" t="s">
        <v>142</v>
      </c>
      <c r="CA685" t="s">
        <v>112</v>
      </c>
      <c r="CB685" t="s">
        <v>112</v>
      </c>
      <c r="CC685" t="s">
        <v>121</v>
      </c>
      <c r="CD685">
        <v>13008.6</v>
      </c>
      <c r="CE685" t="s">
        <v>144</v>
      </c>
      <c r="CF685">
        <v>4000000</v>
      </c>
      <c r="CG685">
        <v>12295.8</v>
      </c>
      <c r="CH685">
        <v>0</v>
      </c>
      <c r="CI685" t="s">
        <v>112</v>
      </c>
      <c r="CJ685" t="s">
        <v>112</v>
      </c>
      <c r="CK685">
        <v>36808.199999999997</v>
      </c>
      <c r="CM685">
        <v>0</v>
      </c>
      <c r="CN685">
        <v>1</v>
      </c>
      <c r="CO685">
        <v>4014852.94</v>
      </c>
      <c r="CP685">
        <v>43674.55</v>
      </c>
      <c r="CQ685" t="s">
        <v>145</v>
      </c>
      <c r="CR685">
        <v>43650.09</v>
      </c>
      <c r="CS685">
        <v>3.55</v>
      </c>
      <c r="CT685">
        <v>45</v>
      </c>
      <c r="CV685" t="s">
        <v>206</v>
      </c>
      <c r="CW685">
        <v>34</v>
      </c>
    </row>
    <row r="686" spans="1:101" x14ac:dyDescent="0.2">
      <c r="A686" t="s">
        <v>106</v>
      </c>
      <c r="B686" s="46">
        <v>44697</v>
      </c>
      <c r="C686" t="s">
        <v>1547</v>
      </c>
      <c r="D686" t="s">
        <v>108</v>
      </c>
      <c r="E686" t="s">
        <v>1548</v>
      </c>
      <c r="F686" t="s">
        <v>110</v>
      </c>
      <c r="G686" t="s">
        <v>111</v>
      </c>
      <c r="H686" t="s">
        <v>112</v>
      </c>
      <c r="I686" t="s">
        <v>112</v>
      </c>
      <c r="J686" t="s">
        <v>112</v>
      </c>
      <c r="K686" t="s">
        <v>150</v>
      </c>
      <c r="L686" t="s">
        <v>151</v>
      </c>
      <c r="M686" t="s">
        <v>112</v>
      </c>
      <c r="N686" t="s">
        <v>112</v>
      </c>
      <c r="O686">
        <v>1</v>
      </c>
      <c r="Q686">
        <v>1</v>
      </c>
      <c r="R686">
        <v>33</v>
      </c>
      <c r="S686" t="s">
        <v>112</v>
      </c>
      <c r="T686" t="s">
        <v>152</v>
      </c>
      <c r="U686" t="s">
        <v>153</v>
      </c>
      <c r="V686" t="s">
        <v>154</v>
      </c>
      <c r="W686" t="s">
        <v>119</v>
      </c>
      <c r="X686" t="s">
        <v>112</v>
      </c>
      <c r="Y686" t="s">
        <v>112</v>
      </c>
      <c r="Z686" t="s">
        <v>152</v>
      </c>
      <c r="AA686" t="s">
        <v>153</v>
      </c>
      <c r="AB686" t="s">
        <v>154</v>
      </c>
      <c r="AC686" t="s">
        <v>119</v>
      </c>
      <c r="AD686" t="s">
        <v>112</v>
      </c>
      <c r="AE686" t="s">
        <v>121</v>
      </c>
      <c r="AF686" t="s">
        <v>122</v>
      </c>
      <c r="AG686">
        <v>4421516.4400000004</v>
      </c>
      <c r="AH686" t="s">
        <v>112</v>
      </c>
      <c r="AI686" t="s">
        <v>152</v>
      </c>
      <c r="AJ686" t="s">
        <v>153</v>
      </c>
      <c r="AK686" t="s">
        <v>154</v>
      </c>
      <c r="AL686" t="s">
        <v>119</v>
      </c>
      <c r="AM686" t="s">
        <v>112</v>
      </c>
      <c r="AN686" t="s">
        <v>121</v>
      </c>
      <c r="AO686" t="s">
        <v>122</v>
      </c>
      <c r="AP686" t="s">
        <v>122</v>
      </c>
      <c r="AQ686" t="s">
        <v>124</v>
      </c>
      <c r="AR686" t="s">
        <v>125</v>
      </c>
      <c r="AS686">
        <v>2</v>
      </c>
      <c r="AT686" t="s">
        <v>126</v>
      </c>
      <c r="AU686" t="s">
        <v>155</v>
      </c>
      <c r="AV686" t="s">
        <v>156</v>
      </c>
      <c r="AX686" t="s">
        <v>129</v>
      </c>
      <c r="AY686">
        <v>40940.639999999999</v>
      </c>
      <c r="BB686">
        <v>98.407600000000002</v>
      </c>
      <c r="BC686" t="s">
        <v>112</v>
      </c>
      <c r="BD686" t="s">
        <v>112</v>
      </c>
      <c r="BE686" t="s">
        <v>157</v>
      </c>
      <c r="BF686" t="s">
        <v>133</v>
      </c>
      <c r="BG686" t="s">
        <v>134</v>
      </c>
      <c r="BH686" t="s">
        <v>112</v>
      </c>
      <c r="BI686" t="s">
        <v>112</v>
      </c>
      <c r="BJ686" t="s">
        <v>112</v>
      </c>
      <c r="BK686" t="s">
        <v>158</v>
      </c>
      <c r="BL686" t="s">
        <v>159</v>
      </c>
      <c r="BM686" t="s">
        <v>212</v>
      </c>
      <c r="BN686" t="s">
        <v>161</v>
      </c>
      <c r="BP686" t="s">
        <v>232</v>
      </c>
      <c r="BR686" t="s">
        <v>150</v>
      </c>
      <c r="BS686">
        <v>33</v>
      </c>
      <c r="BT686">
        <v>0</v>
      </c>
      <c r="BU686">
        <v>0</v>
      </c>
      <c r="BW686">
        <v>0</v>
      </c>
      <c r="BY686" t="s">
        <v>106</v>
      </c>
      <c r="BZ686" t="s">
        <v>142</v>
      </c>
      <c r="CA686" t="s">
        <v>112</v>
      </c>
      <c r="CB686" t="s">
        <v>112</v>
      </c>
      <c r="CC686" t="s">
        <v>121</v>
      </c>
      <c r="CD686">
        <v>15731.1</v>
      </c>
      <c r="CE686" t="s">
        <v>144</v>
      </c>
      <c r="CF686">
        <v>4000000</v>
      </c>
      <c r="CG686">
        <v>15515.1</v>
      </c>
      <c r="CH686">
        <v>0</v>
      </c>
      <c r="CI686" t="s">
        <v>112</v>
      </c>
      <c r="CJ686" t="s">
        <v>112</v>
      </c>
      <c r="CK686">
        <v>40940.639999999999</v>
      </c>
      <c r="CM686">
        <v>0</v>
      </c>
      <c r="CN686">
        <v>1</v>
      </c>
      <c r="CO686">
        <v>4421516.4400000004</v>
      </c>
      <c r="CP686">
        <v>48098.34</v>
      </c>
      <c r="CQ686" t="s">
        <v>145</v>
      </c>
      <c r="CR686">
        <v>48096.810000000005</v>
      </c>
      <c r="CS686">
        <v>3.1</v>
      </c>
      <c r="CT686">
        <v>45</v>
      </c>
      <c r="CV686" t="s">
        <v>233</v>
      </c>
      <c r="CW686">
        <v>557</v>
      </c>
    </row>
    <row r="687" spans="1:101" x14ac:dyDescent="0.2">
      <c r="A687" t="s">
        <v>106</v>
      </c>
      <c r="B687" s="46">
        <v>45091</v>
      </c>
      <c r="C687" t="s">
        <v>1556</v>
      </c>
      <c r="D687" t="s">
        <v>108</v>
      </c>
      <c r="E687" t="s">
        <v>1557</v>
      </c>
      <c r="F687" t="s">
        <v>110</v>
      </c>
      <c r="G687" t="s">
        <v>111</v>
      </c>
      <c r="H687" t="s">
        <v>112</v>
      </c>
      <c r="I687" t="s">
        <v>112</v>
      </c>
      <c r="J687" t="s">
        <v>112</v>
      </c>
      <c r="K687" t="s">
        <v>150</v>
      </c>
      <c r="L687" t="s">
        <v>151</v>
      </c>
      <c r="M687" t="s">
        <v>112</v>
      </c>
      <c r="N687" t="s">
        <v>112</v>
      </c>
      <c r="O687">
        <v>1</v>
      </c>
      <c r="Q687">
        <v>1</v>
      </c>
      <c r="R687">
        <v>33</v>
      </c>
      <c r="S687" t="s">
        <v>112</v>
      </c>
      <c r="T687" t="s">
        <v>152</v>
      </c>
      <c r="U687" t="s">
        <v>153</v>
      </c>
      <c r="V687" t="s">
        <v>154</v>
      </c>
      <c r="W687" t="s">
        <v>119</v>
      </c>
      <c r="X687" t="s">
        <v>112</v>
      </c>
      <c r="Y687" t="s">
        <v>112</v>
      </c>
      <c r="Z687" t="s">
        <v>152</v>
      </c>
      <c r="AA687" t="s">
        <v>153</v>
      </c>
      <c r="AB687" t="s">
        <v>154</v>
      </c>
      <c r="AC687" t="s">
        <v>119</v>
      </c>
      <c r="AD687" t="s">
        <v>112</v>
      </c>
      <c r="AE687" t="s">
        <v>121</v>
      </c>
      <c r="AF687" t="s">
        <v>122</v>
      </c>
      <c r="AG687">
        <v>4499715.0599999996</v>
      </c>
      <c r="AH687" t="s">
        <v>112</v>
      </c>
      <c r="AI687" t="s">
        <v>152</v>
      </c>
      <c r="AJ687" t="s">
        <v>153</v>
      </c>
      <c r="AK687" t="s">
        <v>154</v>
      </c>
      <c r="AL687" t="s">
        <v>119</v>
      </c>
      <c r="AM687" t="s">
        <v>112</v>
      </c>
      <c r="AN687" t="s">
        <v>121</v>
      </c>
      <c r="AO687" t="s">
        <v>122</v>
      </c>
      <c r="AP687" t="s">
        <v>122</v>
      </c>
      <c r="AQ687" t="s">
        <v>124</v>
      </c>
      <c r="AR687" t="s">
        <v>125</v>
      </c>
      <c r="AS687">
        <v>2</v>
      </c>
      <c r="AT687" t="s">
        <v>126</v>
      </c>
      <c r="AU687" t="s">
        <v>155</v>
      </c>
      <c r="AV687" t="s">
        <v>156</v>
      </c>
      <c r="AX687" t="s">
        <v>129</v>
      </c>
      <c r="AY687">
        <v>41205.279999999999</v>
      </c>
      <c r="BB687">
        <v>98.407600000000002</v>
      </c>
      <c r="BC687" t="s">
        <v>112</v>
      </c>
      <c r="BD687" t="s">
        <v>112</v>
      </c>
      <c r="BE687" t="s">
        <v>157</v>
      </c>
      <c r="BF687" t="s">
        <v>133</v>
      </c>
      <c r="BG687" t="s">
        <v>134</v>
      </c>
      <c r="BH687" t="s">
        <v>112</v>
      </c>
      <c r="BI687" t="s">
        <v>112</v>
      </c>
      <c r="BJ687" t="s">
        <v>112</v>
      </c>
      <c r="BK687" t="s">
        <v>158</v>
      </c>
      <c r="BL687" t="s">
        <v>159</v>
      </c>
      <c r="BM687" t="s">
        <v>212</v>
      </c>
      <c r="BN687" t="s">
        <v>161</v>
      </c>
      <c r="BP687" t="s">
        <v>232</v>
      </c>
      <c r="BR687" t="s">
        <v>150</v>
      </c>
      <c r="BS687">
        <v>33</v>
      </c>
      <c r="BT687">
        <v>0</v>
      </c>
      <c r="BU687">
        <v>0</v>
      </c>
      <c r="BW687">
        <v>0</v>
      </c>
      <c r="BY687" t="s">
        <v>106</v>
      </c>
      <c r="BZ687" t="s">
        <v>142</v>
      </c>
      <c r="CA687" t="s">
        <v>112</v>
      </c>
      <c r="CB687" t="s">
        <v>112</v>
      </c>
      <c r="CC687" t="s">
        <v>121</v>
      </c>
      <c r="CD687">
        <v>15598.88</v>
      </c>
      <c r="CE687" t="s">
        <v>144</v>
      </c>
      <c r="CF687">
        <v>4000000</v>
      </c>
      <c r="CG687">
        <v>15346.88</v>
      </c>
      <c r="CH687">
        <v>0</v>
      </c>
      <c r="CI687" t="s">
        <v>112</v>
      </c>
      <c r="CJ687" t="s">
        <v>112</v>
      </c>
      <c r="CK687">
        <v>41205.279999999999</v>
      </c>
      <c r="CM687">
        <v>0</v>
      </c>
      <c r="CN687">
        <v>1</v>
      </c>
      <c r="CO687">
        <v>4499715.0599999996</v>
      </c>
      <c r="CP687">
        <v>48949</v>
      </c>
      <c r="CQ687" t="s">
        <v>145</v>
      </c>
      <c r="CR687">
        <v>48956.547199999994</v>
      </c>
      <c r="CS687">
        <v>3.19</v>
      </c>
      <c r="CT687">
        <v>45</v>
      </c>
      <c r="CV687" t="s">
        <v>1140</v>
      </c>
      <c r="CW687">
        <v>284</v>
      </c>
    </row>
    <row r="688" spans="1:101" x14ac:dyDescent="0.2">
      <c r="A688" t="s">
        <v>106</v>
      </c>
      <c r="B688" s="46">
        <v>45162</v>
      </c>
      <c r="C688" t="s">
        <v>2104</v>
      </c>
      <c r="D688" t="s">
        <v>108</v>
      </c>
      <c r="E688" t="s">
        <v>2105</v>
      </c>
      <c r="F688" t="s">
        <v>110</v>
      </c>
      <c r="G688" t="s">
        <v>111</v>
      </c>
      <c r="H688" t="s">
        <v>112</v>
      </c>
      <c r="I688" t="s">
        <v>112</v>
      </c>
      <c r="J688" t="s">
        <v>112</v>
      </c>
      <c r="K688" t="s">
        <v>150</v>
      </c>
      <c r="L688" t="s">
        <v>151</v>
      </c>
      <c r="M688" t="s">
        <v>112</v>
      </c>
      <c r="N688" t="s">
        <v>112</v>
      </c>
      <c r="O688">
        <v>1</v>
      </c>
      <c r="Q688">
        <v>1</v>
      </c>
      <c r="R688">
        <v>33</v>
      </c>
      <c r="S688" t="s">
        <v>112</v>
      </c>
      <c r="T688" t="s">
        <v>152</v>
      </c>
      <c r="U688" t="s">
        <v>153</v>
      </c>
      <c r="V688" t="s">
        <v>154</v>
      </c>
      <c r="W688" t="s">
        <v>119</v>
      </c>
      <c r="X688" t="s">
        <v>112</v>
      </c>
      <c r="Y688" t="s">
        <v>112</v>
      </c>
      <c r="Z688" t="s">
        <v>152</v>
      </c>
      <c r="AA688" t="s">
        <v>153</v>
      </c>
      <c r="AB688" t="s">
        <v>154</v>
      </c>
      <c r="AC688" t="s">
        <v>119</v>
      </c>
      <c r="AD688" t="s">
        <v>112</v>
      </c>
      <c r="AE688" t="s">
        <v>121</v>
      </c>
      <c r="AF688" t="s">
        <v>122</v>
      </c>
      <c r="AG688">
        <v>4901139.3</v>
      </c>
      <c r="AH688" t="s">
        <v>112</v>
      </c>
      <c r="AI688" t="s">
        <v>152</v>
      </c>
      <c r="AJ688" t="s">
        <v>153</v>
      </c>
      <c r="AK688" t="s">
        <v>154</v>
      </c>
      <c r="AL688" t="s">
        <v>119</v>
      </c>
      <c r="AM688" t="s">
        <v>112</v>
      </c>
      <c r="AN688" t="s">
        <v>121</v>
      </c>
      <c r="AO688" t="s">
        <v>122</v>
      </c>
      <c r="AP688" t="s">
        <v>122</v>
      </c>
      <c r="AQ688" t="s">
        <v>124</v>
      </c>
      <c r="AR688" t="s">
        <v>125</v>
      </c>
      <c r="AS688">
        <v>2</v>
      </c>
      <c r="AT688" t="s">
        <v>126</v>
      </c>
      <c r="AU688" t="s">
        <v>155</v>
      </c>
      <c r="AV688" t="s">
        <v>156</v>
      </c>
      <c r="AX688" t="s">
        <v>129</v>
      </c>
      <c r="AY688">
        <v>41101.26</v>
      </c>
      <c r="BB688">
        <v>107.0322</v>
      </c>
      <c r="BC688" t="s">
        <v>112</v>
      </c>
      <c r="BD688" t="s">
        <v>112</v>
      </c>
      <c r="BE688" t="s">
        <v>157</v>
      </c>
      <c r="BF688" t="s">
        <v>133</v>
      </c>
      <c r="BG688" t="s">
        <v>134</v>
      </c>
      <c r="BH688" t="s">
        <v>112</v>
      </c>
      <c r="BI688" t="s">
        <v>112</v>
      </c>
      <c r="BJ688" t="s">
        <v>112</v>
      </c>
      <c r="BK688" t="s">
        <v>158</v>
      </c>
      <c r="BL688" t="s">
        <v>159</v>
      </c>
      <c r="BM688" t="s">
        <v>212</v>
      </c>
      <c r="BN688" t="s">
        <v>161</v>
      </c>
      <c r="BP688" t="s">
        <v>205</v>
      </c>
      <c r="BR688" t="s">
        <v>150</v>
      </c>
      <c r="BS688">
        <v>33</v>
      </c>
      <c r="BT688">
        <v>0</v>
      </c>
      <c r="BU688">
        <v>0</v>
      </c>
      <c r="BW688">
        <v>0</v>
      </c>
      <c r="BY688" t="s">
        <v>106</v>
      </c>
      <c r="BZ688" t="s">
        <v>142</v>
      </c>
      <c r="CA688" t="s">
        <v>112</v>
      </c>
      <c r="CB688" t="s">
        <v>112</v>
      </c>
      <c r="CC688" t="s">
        <v>121</v>
      </c>
      <c r="CD688">
        <v>16275.91</v>
      </c>
      <c r="CE688" t="s">
        <v>144</v>
      </c>
      <c r="CF688">
        <v>4000000</v>
      </c>
      <c r="CG688">
        <v>16175.11</v>
      </c>
      <c r="CH688">
        <v>0</v>
      </c>
      <c r="CI688" t="s">
        <v>112</v>
      </c>
      <c r="CJ688" t="s">
        <v>112</v>
      </c>
      <c r="CK688">
        <v>41101.26</v>
      </c>
      <c r="CM688">
        <v>0</v>
      </c>
      <c r="CN688">
        <v>1</v>
      </c>
      <c r="CO688">
        <v>4901139.3</v>
      </c>
      <c r="CP688">
        <v>48353.88</v>
      </c>
      <c r="CQ688" t="s">
        <v>145</v>
      </c>
      <c r="CR688">
        <v>48363.578900000008</v>
      </c>
      <c r="CS688">
        <v>2.99</v>
      </c>
      <c r="CT688">
        <v>45</v>
      </c>
      <c r="CV688" t="s">
        <v>729</v>
      </c>
      <c r="CW688">
        <v>205</v>
      </c>
    </row>
    <row r="689" spans="1:101" x14ac:dyDescent="0.2">
      <c r="A689" t="s">
        <v>106</v>
      </c>
      <c r="B689" s="46">
        <v>45091</v>
      </c>
      <c r="C689" t="s">
        <v>2104</v>
      </c>
      <c r="D689" t="s">
        <v>108</v>
      </c>
      <c r="E689" t="s">
        <v>2105</v>
      </c>
      <c r="F689" t="s">
        <v>110</v>
      </c>
      <c r="G689" t="s">
        <v>111</v>
      </c>
      <c r="H689" t="s">
        <v>112</v>
      </c>
      <c r="I689" t="s">
        <v>112</v>
      </c>
      <c r="J689" t="s">
        <v>112</v>
      </c>
      <c r="K689" t="s">
        <v>150</v>
      </c>
      <c r="L689" t="s">
        <v>151</v>
      </c>
      <c r="M689" t="s">
        <v>112</v>
      </c>
      <c r="N689" t="s">
        <v>112</v>
      </c>
      <c r="O689">
        <v>1</v>
      </c>
      <c r="Q689">
        <v>1</v>
      </c>
      <c r="R689">
        <v>33</v>
      </c>
      <c r="S689" t="s">
        <v>112</v>
      </c>
      <c r="T689" t="s">
        <v>152</v>
      </c>
      <c r="U689" t="s">
        <v>153</v>
      </c>
      <c r="V689" t="s">
        <v>154</v>
      </c>
      <c r="W689" t="s">
        <v>119</v>
      </c>
      <c r="X689" t="s">
        <v>112</v>
      </c>
      <c r="Y689" t="s">
        <v>112</v>
      </c>
      <c r="Z689" t="s">
        <v>152</v>
      </c>
      <c r="AA689" t="s">
        <v>153</v>
      </c>
      <c r="AB689" t="s">
        <v>154</v>
      </c>
      <c r="AC689" t="s">
        <v>119</v>
      </c>
      <c r="AD689" t="s">
        <v>112</v>
      </c>
      <c r="AE689" t="s">
        <v>121</v>
      </c>
      <c r="AF689" t="s">
        <v>122</v>
      </c>
      <c r="AG689">
        <v>4901139.3</v>
      </c>
      <c r="AH689" t="s">
        <v>112</v>
      </c>
      <c r="AI689" t="s">
        <v>152</v>
      </c>
      <c r="AJ689" t="s">
        <v>153</v>
      </c>
      <c r="AK689" t="s">
        <v>154</v>
      </c>
      <c r="AL689" t="s">
        <v>119</v>
      </c>
      <c r="AM689" t="s">
        <v>112</v>
      </c>
      <c r="AN689" t="s">
        <v>121</v>
      </c>
      <c r="AO689" t="s">
        <v>122</v>
      </c>
      <c r="AP689" t="s">
        <v>122</v>
      </c>
      <c r="AQ689" t="s">
        <v>124</v>
      </c>
      <c r="AR689" t="s">
        <v>125</v>
      </c>
      <c r="AS689">
        <v>2</v>
      </c>
      <c r="AT689" t="s">
        <v>126</v>
      </c>
      <c r="AU689" t="s">
        <v>155</v>
      </c>
      <c r="AV689" t="s">
        <v>156</v>
      </c>
      <c r="AX689" t="s">
        <v>129</v>
      </c>
      <c r="AY689">
        <v>41101.26</v>
      </c>
      <c r="BB689">
        <v>107.0322</v>
      </c>
      <c r="BC689" t="s">
        <v>112</v>
      </c>
      <c r="BD689" t="s">
        <v>112</v>
      </c>
      <c r="BE689" t="s">
        <v>157</v>
      </c>
      <c r="BF689" t="s">
        <v>133</v>
      </c>
      <c r="BG689" t="s">
        <v>134</v>
      </c>
      <c r="BH689" t="s">
        <v>112</v>
      </c>
      <c r="BI689" t="s">
        <v>112</v>
      </c>
      <c r="BJ689" t="s">
        <v>112</v>
      </c>
      <c r="BK689" t="s">
        <v>158</v>
      </c>
      <c r="BL689" t="s">
        <v>159</v>
      </c>
      <c r="BM689" t="s">
        <v>212</v>
      </c>
      <c r="BN689" t="s">
        <v>161</v>
      </c>
      <c r="BP689" t="s">
        <v>205</v>
      </c>
      <c r="BR689" t="s">
        <v>150</v>
      </c>
      <c r="BS689">
        <v>33</v>
      </c>
      <c r="BT689">
        <v>0</v>
      </c>
      <c r="BU689">
        <v>0</v>
      </c>
      <c r="BW689">
        <v>0</v>
      </c>
      <c r="BY689" t="s">
        <v>106</v>
      </c>
      <c r="BZ689" t="s">
        <v>142</v>
      </c>
      <c r="CA689" t="s">
        <v>112</v>
      </c>
      <c r="CB689" t="s">
        <v>112</v>
      </c>
      <c r="CC689" t="s">
        <v>121</v>
      </c>
      <c r="CD689">
        <v>16275.91</v>
      </c>
      <c r="CE689" t="s">
        <v>144</v>
      </c>
      <c r="CF689">
        <v>4000000</v>
      </c>
      <c r="CG689">
        <v>16175.11</v>
      </c>
      <c r="CH689">
        <v>0</v>
      </c>
      <c r="CI689" t="s">
        <v>112</v>
      </c>
      <c r="CJ689" t="s">
        <v>112</v>
      </c>
      <c r="CK689">
        <v>41101.26</v>
      </c>
      <c r="CM689">
        <v>0</v>
      </c>
      <c r="CN689">
        <v>1</v>
      </c>
      <c r="CO689">
        <v>4901139.3</v>
      </c>
      <c r="CP689">
        <v>48353.88</v>
      </c>
      <c r="CQ689" t="s">
        <v>145</v>
      </c>
      <c r="CR689">
        <v>48363.578900000008</v>
      </c>
      <c r="CS689">
        <v>2.99</v>
      </c>
      <c r="CT689">
        <v>45</v>
      </c>
      <c r="CV689" t="s">
        <v>729</v>
      </c>
      <c r="CW689">
        <v>205</v>
      </c>
    </row>
    <row r="690" spans="1:101" x14ac:dyDescent="0.2">
      <c r="A690" t="s">
        <v>106</v>
      </c>
      <c r="B690" s="46">
        <v>45176</v>
      </c>
      <c r="C690" t="s">
        <v>2075</v>
      </c>
      <c r="D690" t="s">
        <v>108</v>
      </c>
      <c r="E690" t="s">
        <v>2076</v>
      </c>
      <c r="F690" t="s">
        <v>110</v>
      </c>
      <c r="G690" t="s">
        <v>111</v>
      </c>
      <c r="H690" t="s">
        <v>112</v>
      </c>
      <c r="I690" t="s">
        <v>112</v>
      </c>
      <c r="J690" t="s">
        <v>112</v>
      </c>
      <c r="K690" t="s">
        <v>150</v>
      </c>
      <c r="L690" t="s">
        <v>151</v>
      </c>
      <c r="M690" t="s">
        <v>112</v>
      </c>
      <c r="N690" t="s">
        <v>112</v>
      </c>
      <c r="O690">
        <v>1</v>
      </c>
      <c r="Q690">
        <v>1</v>
      </c>
      <c r="R690">
        <v>33</v>
      </c>
      <c r="S690" t="s">
        <v>112</v>
      </c>
      <c r="T690" t="s">
        <v>152</v>
      </c>
      <c r="U690" t="s">
        <v>153</v>
      </c>
      <c r="V690" t="s">
        <v>154</v>
      </c>
      <c r="W690" t="s">
        <v>119</v>
      </c>
      <c r="X690" t="s">
        <v>112</v>
      </c>
      <c r="Y690" t="s">
        <v>112</v>
      </c>
      <c r="Z690" t="s">
        <v>152</v>
      </c>
      <c r="AA690" t="s">
        <v>153</v>
      </c>
      <c r="AB690" t="s">
        <v>154</v>
      </c>
      <c r="AC690" t="s">
        <v>119</v>
      </c>
      <c r="AD690" t="s">
        <v>112</v>
      </c>
      <c r="AE690" t="s">
        <v>121</v>
      </c>
      <c r="AF690" t="s">
        <v>122</v>
      </c>
      <c r="AG690">
        <v>5167117.53</v>
      </c>
      <c r="AH690" t="s">
        <v>112</v>
      </c>
      <c r="AI690" t="s">
        <v>152</v>
      </c>
      <c r="AJ690" t="s">
        <v>153</v>
      </c>
      <c r="AK690" t="s">
        <v>154</v>
      </c>
      <c r="AL690" t="s">
        <v>119</v>
      </c>
      <c r="AM690" t="s">
        <v>112</v>
      </c>
      <c r="AN690" t="s">
        <v>121</v>
      </c>
      <c r="AO690" t="s">
        <v>122</v>
      </c>
      <c r="AP690" t="s">
        <v>122</v>
      </c>
      <c r="AQ690" t="s">
        <v>124</v>
      </c>
      <c r="AR690" t="s">
        <v>125</v>
      </c>
      <c r="AS690">
        <v>2</v>
      </c>
      <c r="AT690" t="s">
        <v>126</v>
      </c>
      <c r="AU690" t="s">
        <v>155</v>
      </c>
      <c r="AV690" t="s">
        <v>156</v>
      </c>
      <c r="AX690" t="s">
        <v>129</v>
      </c>
      <c r="AY690">
        <v>43586.29</v>
      </c>
      <c r="BB690">
        <v>107.0322</v>
      </c>
      <c r="BC690" t="s">
        <v>112</v>
      </c>
      <c r="BD690" t="s">
        <v>112</v>
      </c>
      <c r="BE690" t="s">
        <v>157</v>
      </c>
      <c r="BF690" t="s">
        <v>133</v>
      </c>
      <c r="BG690" t="s">
        <v>134</v>
      </c>
      <c r="BH690" t="s">
        <v>112</v>
      </c>
      <c r="BI690" t="s">
        <v>112</v>
      </c>
      <c r="BJ690" t="s">
        <v>112</v>
      </c>
      <c r="BK690" t="s">
        <v>158</v>
      </c>
      <c r="BL690" t="s">
        <v>159</v>
      </c>
      <c r="BM690" t="s">
        <v>212</v>
      </c>
      <c r="BN690" t="s">
        <v>161</v>
      </c>
      <c r="BP690" t="s">
        <v>162</v>
      </c>
      <c r="BR690" t="s">
        <v>150</v>
      </c>
      <c r="BS690">
        <v>33</v>
      </c>
      <c r="BT690">
        <v>0</v>
      </c>
      <c r="BU690">
        <v>0</v>
      </c>
      <c r="BW690">
        <v>0</v>
      </c>
      <c r="BY690" t="s">
        <v>106</v>
      </c>
      <c r="BZ690" t="s">
        <v>142</v>
      </c>
      <c r="CA690" t="s">
        <v>112</v>
      </c>
      <c r="CB690" t="s">
        <v>112</v>
      </c>
      <c r="CC690" t="s">
        <v>121</v>
      </c>
      <c r="CD690">
        <v>16098.98</v>
      </c>
      <c r="CE690" t="s">
        <v>144</v>
      </c>
      <c r="CF690">
        <v>4000000</v>
      </c>
      <c r="CG690">
        <v>15930.98</v>
      </c>
      <c r="CH690">
        <v>0</v>
      </c>
      <c r="CI690" t="s">
        <v>112</v>
      </c>
      <c r="CJ690" t="s">
        <v>112</v>
      </c>
      <c r="CK690">
        <v>43586.29</v>
      </c>
      <c r="CM690">
        <v>0</v>
      </c>
      <c r="CN690">
        <v>1</v>
      </c>
      <c r="CO690">
        <v>5167117.53</v>
      </c>
      <c r="CP690">
        <v>50977.98</v>
      </c>
      <c r="CQ690" t="s">
        <v>145</v>
      </c>
      <c r="CR690">
        <v>50979.135999999999</v>
      </c>
      <c r="CS690">
        <v>3.2</v>
      </c>
      <c r="CT690">
        <v>45</v>
      </c>
      <c r="CV690" t="s">
        <v>1140</v>
      </c>
      <c r="CW690">
        <v>579</v>
      </c>
    </row>
    <row r="691" spans="1:101" x14ac:dyDescent="0.2">
      <c r="A691" t="s">
        <v>106</v>
      </c>
      <c r="B691" s="46">
        <v>44977</v>
      </c>
      <c r="C691" t="s">
        <v>2075</v>
      </c>
      <c r="D691" t="s">
        <v>108</v>
      </c>
      <c r="E691" t="s">
        <v>2076</v>
      </c>
      <c r="F691" t="s">
        <v>110</v>
      </c>
      <c r="G691" t="s">
        <v>111</v>
      </c>
      <c r="H691" t="s">
        <v>112</v>
      </c>
      <c r="I691" t="s">
        <v>112</v>
      </c>
      <c r="J691" t="s">
        <v>112</v>
      </c>
      <c r="K691" t="s">
        <v>150</v>
      </c>
      <c r="L691" t="s">
        <v>151</v>
      </c>
      <c r="M691" t="s">
        <v>112</v>
      </c>
      <c r="N691" t="s">
        <v>112</v>
      </c>
      <c r="O691">
        <v>1</v>
      </c>
      <c r="Q691">
        <v>1</v>
      </c>
      <c r="R691">
        <v>33</v>
      </c>
      <c r="S691" t="s">
        <v>112</v>
      </c>
      <c r="T691" t="s">
        <v>152</v>
      </c>
      <c r="U691" t="s">
        <v>153</v>
      </c>
      <c r="V691" t="s">
        <v>154</v>
      </c>
      <c r="W691" t="s">
        <v>119</v>
      </c>
      <c r="X691" t="s">
        <v>112</v>
      </c>
      <c r="Y691" t="s">
        <v>112</v>
      </c>
      <c r="Z691" t="s">
        <v>152</v>
      </c>
      <c r="AA691" t="s">
        <v>153</v>
      </c>
      <c r="AB691" t="s">
        <v>154</v>
      </c>
      <c r="AC691" t="s">
        <v>119</v>
      </c>
      <c r="AD691" t="s">
        <v>112</v>
      </c>
      <c r="AE691" t="s">
        <v>121</v>
      </c>
      <c r="AF691" t="s">
        <v>122</v>
      </c>
      <c r="AG691">
        <v>5167117.53</v>
      </c>
      <c r="AH691" t="s">
        <v>112</v>
      </c>
      <c r="AI691" t="s">
        <v>152</v>
      </c>
      <c r="AJ691" t="s">
        <v>153</v>
      </c>
      <c r="AK691" t="s">
        <v>154</v>
      </c>
      <c r="AL691" t="s">
        <v>119</v>
      </c>
      <c r="AM691" t="s">
        <v>112</v>
      </c>
      <c r="AN691" t="s">
        <v>121</v>
      </c>
      <c r="AO691" t="s">
        <v>122</v>
      </c>
      <c r="AP691" t="s">
        <v>122</v>
      </c>
      <c r="AQ691" t="s">
        <v>124</v>
      </c>
      <c r="AR691" t="s">
        <v>125</v>
      </c>
      <c r="AS691">
        <v>2</v>
      </c>
      <c r="AT691" t="s">
        <v>126</v>
      </c>
      <c r="AU691" t="s">
        <v>155</v>
      </c>
      <c r="AV691" t="s">
        <v>156</v>
      </c>
      <c r="AX691" t="s">
        <v>129</v>
      </c>
      <c r="AY691">
        <v>43586.29</v>
      </c>
      <c r="BB691">
        <v>107.0322</v>
      </c>
      <c r="BC691" t="s">
        <v>112</v>
      </c>
      <c r="BD691" t="s">
        <v>112</v>
      </c>
      <c r="BE691" t="s">
        <v>157</v>
      </c>
      <c r="BF691" t="s">
        <v>133</v>
      </c>
      <c r="BG691" t="s">
        <v>134</v>
      </c>
      <c r="BH691" t="s">
        <v>112</v>
      </c>
      <c r="BI691" t="s">
        <v>112</v>
      </c>
      <c r="BJ691" t="s">
        <v>112</v>
      </c>
      <c r="BK691" t="s">
        <v>158</v>
      </c>
      <c r="BL691" t="s">
        <v>159</v>
      </c>
      <c r="BM691" t="s">
        <v>212</v>
      </c>
      <c r="BN691" t="s">
        <v>161</v>
      </c>
      <c r="BP691" t="s">
        <v>162</v>
      </c>
      <c r="BR691" t="s">
        <v>150</v>
      </c>
      <c r="BS691">
        <v>33</v>
      </c>
      <c r="BT691">
        <v>0</v>
      </c>
      <c r="BU691">
        <v>0</v>
      </c>
      <c r="BW691">
        <v>0</v>
      </c>
      <c r="BY691" t="s">
        <v>106</v>
      </c>
      <c r="BZ691" t="s">
        <v>142</v>
      </c>
      <c r="CA691" t="s">
        <v>112</v>
      </c>
      <c r="CB691" t="s">
        <v>112</v>
      </c>
      <c r="CC691" t="s">
        <v>121</v>
      </c>
      <c r="CD691">
        <v>16098.98</v>
      </c>
      <c r="CE691" t="s">
        <v>144</v>
      </c>
      <c r="CF691">
        <v>4000000</v>
      </c>
      <c r="CG691">
        <v>15930.98</v>
      </c>
      <c r="CH691">
        <v>0</v>
      </c>
      <c r="CI691" t="s">
        <v>112</v>
      </c>
      <c r="CJ691" t="s">
        <v>112</v>
      </c>
      <c r="CK691">
        <v>43586.29</v>
      </c>
      <c r="CM691">
        <v>0</v>
      </c>
      <c r="CN691">
        <v>1</v>
      </c>
      <c r="CO691">
        <v>5167117.53</v>
      </c>
      <c r="CP691">
        <v>50977.98</v>
      </c>
      <c r="CQ691" t="s">
        <v>145</v>
      </c>
      <c r="CR691">
        <v>50979.135999999999</v>
      </c>
      <c r="CS691">
        <v>3.2</v>
      </c>
      <c r="CT691">
        <v>45</v>
      </c>
      <c r="CV691" t="s">
        <v>1140</v>
      </c>
      <c r="CW691">
        <v>579</v>
      </c>
    </row>
    <row r="692" spans="1:101" x14ac:dyDescent="0.2">
      <c r="A692" t="s">
        <v>106</v>
      </c>
      <c r="B692" s="46">
        <v>45022</v>
      </c>
      <c r="C692" t="s">
        <v>1700</v>
      </c>
      <c r="D692" t="s">
        <v>108</v>
      </c>
      <c r="E692" t="s">
        <v>1701</v>
      </c>
      <c r="F692" t="s">
        <v>110</v>
      </c>
      <c r="G692" t="s">
        <v>111</v>
      </c>
      <c r="H692" t="s">
        <v>112</v>
      </c>
      <c r="I692" t="s">
        <v>112</v>
      </c>
      <c r="J692" t="s">
        <v>112</v>
      </c>
      <c r="K692" t="s">
        <v>150</v>
      </c>
      <c r="L692" t="s">
        <v>151</v>
      </c>
      <c r="M692" t="s">
        <v>112</v>
      </c>
      <c r="N692" t="s">
        <v>112</v>
      </c>
      <c r="Q692">
        <v>1</v>
      </c>
      <c r="R692">
        <v>33</v>
      </c>
      <c r="S692" t="s">
        <v>166</v>
      </c>
      <c r="T692" t="s">
        <v>152</v>
      </c>
      <c r="U692" t="s">
        <v>153</v>
      </c>
      <c r="V692" t="s">
        <v>154</v>
      </c>
      <c r="W692" t="s">
        <v>119</v>
      </c>
      <c r="X692" t="s">
        <v>112</v>
      </c>
      <c r="Y692" t="s">
        <v>166</v>
      </c>
      <c r="Z692" t="s">
        <v>152</v>
      </c>
      <c r="AA692" t="s">
        <v>153</v>
      </c>
      <c r="AB692" t="s">
        <v>154</v>
      </c>
      <c r="AC692" t="s">
        <v>119</v>
      </c>
      <c r="AD692" t="s">
        <v>112</v>
      </c>
      <c r="AE692" t="s">
        <v>121</v>
      </c>
      <c r="AF692" t="s">
        <v>122</v>
      </c>
      <c r="AG692">
        <v>5459463.04</v>
      </c>
      <c r="AH692" t="s">
        <v>166</v>
      </c>
      <c r="AI692" t="s">
        <v>152</v>
      </c>
      <c r="AJ692" t="s">
        <v>153</v>
      </c>
      <c r="AK692" t="s">
        <v>154</v>
      </c>
      <c r="AL692" t="s">
        <v>119</v>
      </c>
      <c r="AM692" t="s">
        <v>112</v>
      </c>
      <c r="AN692" t="s">
        <v>121</v>
      </c>
      <c r="AO692" t="s">
        <v>122</v>
      </c>
      <c r="AP692" t="s">
        <v>112</v>
      </c>
      <c r="AQ692" t="s">
        <v>124</v>
      </c>
      <c r="AR692" t="s">
        <v>125</v>
      </c>
      <c r="AT692" t="s">
        <v>126</v>
      </c>
      <c r="AU692" t="s">
        <v>155</v>
      </c>
      <c r="AV692" t="s">
        <v>156</v>
      </c>
      <c r="AX692" t="s">
        <v>129</v>
      </c>
      <c r="AY692">
        <v>46945.67</v>
      </c>
      <c r="BB692">
        <v>106.8897</v>
      </c>
      <c r="BC692" t="s">
        <v>112</v>
      </c>
      <c r="BD692" t="s">
        <v>112</v>
      </c>
      <c r="BE692" t="s">
        <v>112</v>
      </c>
      <c r="BF692" t="s">
        <v>133</v>
      </c>
      <c r="BG692" t="s">
        <v>167</v>
      </c>
      <c r="BH692" t="s">
        <v>112</v>
      </c>
      <c r="BI692" t="s">
        <v>112</v>
      </c>
      <c r="BJ692" t="s">
        <v>112</v>
      </c>
      <c r="BK692" t="s">
        <v>112</v>
      </c>
      <c r="BL692" t="s">
        <v>112</v>
      </c>
      <c r="BM692" t="s">
        <v>112</v>
      </c>
      <c r="BN692" t="s">
        <v>161</v>
      </c>
      <c r="BP692" t="s">
        <v>232</v>
      </c>
      <c r="BR692" t="s">
        <v>150</v>
      </c>
      <c r="BS692">
        <v>33</v>
      </c>
      <c r="BT692">
        <v>0</v>
      </c>
      <c r="BU692">
        <v>0</v>
      </c>
      <c r="BY692" t="s">
        <v>106</v>
      </c>
      <c r="BZ692" t="s">
        <v>142</v>
      </c>
      <c r="CA692" t="s">
        <v>112</v>
      </c>
      <c r="CB692" t="s">
        <v>112</v>
      </c>
      <c r="CC692" t="s">
        <v>112</v>
      </c>
      <c r="CD692">
        <v>16630.64</v>
      </c>
      <c r="CE692" t="s">
        <v>144</v>
      </c>
      <c r="CF692">
        <v>4000000</v>
      </c>
      <c r="CG692">
        <v>16540.64</v>
      </c>
      <c r="CH692">
        <v>0</v>
      </c>
      <c r="CI692" t="s">
        <v>112</v>
      </c>
      <c r="CJ692" t="s">
        <v>112</v>
      </c>
      <c r="CK692">
        <v>46945.67</v>
      </c>
      <c r="CM692">
        <v>0</v>
      </c>
      <c r="CN692">
        <v>1</v>
      </c>
      <c r="CO692">
        <v>5459463.04</v>
      </c>
      <c r="CP692">
        <v>56052.04</v>
      </c>
      <c r="CQ692" t="s">
        <v>145</v>
      </c>
      <c r="CR692">
        <v>56072.7696</v>
      </c>
      <c r="CS692">
        <v>3.39</v>
      </c>
      <c r="CW692">
        <v>319</v>
      </c>
    </row>
    <row r="693" spans="1:101" x14ac:dyDescent="0.2">
      <c r="A693" t="s">
        <v>106</v>
      </c>
      <c r="B693" s="46">
        <v>45017</v>
      </c>
      <c r="C693" t="s">
        <v>1696</v>
      </c>
      <c r="D693" t="s">
        <v>108</v>
      </c>
      <c r="E693" t="s">
        <v>1697</v>
      </c>
      <c r="F693" t="s">
        <v>110</v>
      </c>
      <c r="G693" t="s">
        <v>111</v>
      </c>
      <c r="H693" t="s">
        <v>112</v>
      </c>
      <c r="I693" t="s">
        <v>112</v>
      </c>
      <c r="J693" t="s">
        <v>112</v>
      </c>
      <c r="K693" t="s">
        <v>150</v>
      </c>
      <c r="L693" t="s">
        <v>151</v>
      </c>
      <c r="M693" t="s">
        <v>112</v>
      </c>
      <c r="N693" t="s">
        <v>112</v>
      </c>
      <c r="Q693">
        <v>1</v>
      </c>
      <c r="R693">
        <v>33</v>
      </c>
      <c r="S693" t="s">
        <v>166</v>
      </c>
      <c r="T693" t="s">
        <v>152</v>
      </c>
      <c r="U693" t="s">
        <v>153</v>
      </c>
      <c r="V693" t="s">
        <v>154</v>
      </c>
      <c r="W693" t="s">
        <v>119</v>
      </c>
      <c r="X693" t="s">
        <v>112</v>
      </c>
      <c r="Y693" t="s">
        <v>166</v>
      </c>
      <c r="Z693" t="s">
        <v>152</v>
      </c>
      <c r="AA693" t="s">
        <v>153</v>
      </c>
      <c r="AB693" t="s">
        <v>154</v>
      </c>
      <c r="AC693" t="s">
        <v>119</v>
      </c>
      <c r="AD693" t="s">
        <v>112</v>
      </c>
      <c r="AE693" t="s">
        <v>121</v>
      </c>
      <c r="AF693" t="s">
        <v>122</v>
      </c>
      <c r="AG693">
        <v>4895313.0999999996</v>
      </c>
      <c r="AH693" t="s">
        <v>166</v>
      </c>
      <c r="AI693" t="s">
        <v>152</v>
      </c>
      <c r="AJ693" t="s">
        <v>153</v>
      </c>
      <c r="AK693" t="s">
        <v>154</v>
      </c>
      <c r="AL693" t="s">
        <v>119</v>
      </c>
      <c r="AM693" t="s">
        <v>112</v>
      </c>
      <c r="AN693" t="s">
        <v>121</v>
      </c>
      <c r="AO693" t="s">
        <v>122</v>
      </c>
      <c r="AP693" t="s">
        <v>112</v>
      </c>
      <c r="AQ693" t="s">
        <v>124</v>
      </c>
      <c r="AR693" t="s">
        <v>125</v>
      </c>
      <c r="AT693" t="s">
        <v>126</v>
      </c>
      <c r="AU693" t="s">
        <v>155</v>
      </c>
      <c r="AV693" t="s">
        <v>156</v>
      </c>
      <c r="AX693" t="s">
        <v>129</v>
      </c>
      <c r="AY693">
        <v>41667.800000000003</v>
      </c>
      <c r="BB693">
        <v>106.8897</v>
      </c>
      <c r="BC693" t="s">
        <v>112</v>
      </c>
      <c r="BD693" t="s">
        <v>112</v>
      </c>
      <c r="BE693" t="s">
        <v>112</v>
      </c>
      <c r="BF693" t="s">
        <v>133</v>
      </c>
      <c r="BG693" t="s">
        <v>134</v>
      </c>
      <c r="BH693" t="s">
        <v>112</v>
      </c>
      <c r="BI693" t="s">
        <v>112</v>
      </c>
      <c r="BJ693" t="s">
        <v>112</v>
      </c>
      <c r="BK693" t="s">
        <v>112</v>
      </c>
      <c r="BL693" t="s">
        <v>112</v>
      </c>
      <c r="BM693" t="s">
        <v>112</v>
      </c>
      <c r="BN693" t="s">
        <v>161</v>
      </c>
      <c r="BP693" t="s">
        <v>205</v>
      </c>
      <c r="BR693" t="s">
        <v>150</v>
      </c>
      <c r="BS693">
        <v>33</v>
      </c>
      <c r="BT693">
        <v>0</v>
      </c>
      <c r="BU693">
        <v>0</v>
      </c>
      <c r="BY693" t="s">
        <v>106</v>
      </c>
      <c r="BZ693" t="s">
        <v>142</v>
      </c>
      <c r="CA693" t="s">
        <v>112</v>
      </c>
      <c r="CB693" t="s">
        <v>112</v>
      </c>
      <c r="CC693" t="s">
        <v>112</v>
      </c>
      <c r="CD693">
        <v>16280.04</v>
      </c>
      <c r="CE693" t="s">
        <v>144</v>
      </c>
      <c r="CF693">
        <v>4000000</v>
      </c>
      <c r="CG693">
        <v>16172.04</v>
      </c>
      <c r="CH693">
        <v>0</v>
      </c>
      <c r="CI693" t="s">
        <v>112</v>
      </c>
      <c r="CJ693" t="s">
        <v>112</v>
      </c>
      <c r="CK693">
        <v>41667.800000000003</v>
      </c>
      <c r="CM693">
        <v>0</v>
      </c>
      <c r="CN693">
        <v>1</v>
      </c>
      <c r="CO693">
        <v>4895313.0999999996</v>
      </c>
      <c r="CP693">
        <v>50259.94</v>
      </c>
      <c r="CQ693" t="s">
        <v>145</v>
      </c>
      <c r="CR693">
        <v>50295.044399999999</v>
      </c>
      <c r="CS693">
        <v>3.11</v>
      </c>
      <c r="CW693">
        <v>118</v>
      </c>
    </row>
    <row r="694" spans="1:101" x14ac:dyDescent="0.2">
      <c r="A694" t="s">
        <v>106</v>
      </c>
      <c r="B694" s="46">
        <v>44929</v>
      </c>
      <c r="C694" t="s">
        <v>1694</v>
      </c>
      <c r="D694" t="s">
        <v>108</v>
      </c>
      <c r="E694" t="s">
        <v>1695</v>
      </c>
      <c r="F694" t="s">
        <v>110</v>
      </c>
      <c r="G694" t="s">
        <v>111</v>
      </c>
      <c r="H694" t="s">
        <v>112</v>
      </c>
      <c r="I694" t="s">
        <v>112</v>
      </c>
      <c r="J694" t="s">
        <v>112</v>
      </c>
      <c r="K694" t="s">
        <v>150</v>
      </c>
      <c r="L694" t="s">
        <v>151</v>
      </c>
      <c r="M694" t="s">
        <v>112</v>
      </c>
      <c r="N694" t="s">
        <v>112</v>
      </c>
      <c r="Q694">
        <v>1</v>
      </c>
      <c r="R694">
        <v>33</v>
      </c>
      <c r="S694" t="s">
        <v>166</v>
      </c>
      <c r="T694" t="s">
        <v>152</v>
      </c>
      <c r="U694" t="s">
        <v>153</v>
      </c>
      <c r="V694" t="s">
        <v>154</v>
      </c>
      <c r="W694" t="s">
        <v>119</v>
      </c>
      <c r="X694" t="s">
        <v>112</v>
      </c>
      <c r="Y694" t="s">
        <v>166</v>
      </c>
      <c r="Z694" t="s">
        <v>152</v>
      </c>
      <c r="AA694" t="s">
        <v>153</v>
      </c>
      <c r="AB694" t="s">
        <v>154</v>
      </c>
      <c r="AC694" t="s">
        <v>119</v>
      </c>
      <c r="AD694" t="s">
        <v>112</v>
      </c>
      <c r="AE694" t="s">
        <v>121</v>
      </c>
      <c r="AF694" t="s">
        <v>122</v>
      </c>
      <c r="AG694">
        <v>4708854.71</v>
      </c>
      <c r="AH694" t="s">
        <v>166</v>
      </c>
      <c r="AI694" t="s">
        <v>152</v>
      </c>
      <c r="AJ694" t="s">
        <v>153</v>
      </c>
      <c r="AK694" t="s">
        <v>154</v>
      </c>
      <c r="AL694" t="s">
        <v>119</v>
      </c>
      <c r="AM694" t="s">
        <v>112</v>
      </c>
      <c r="AN694" t="s">
        <v>121</v>
      </c>
      <c r="AO694" t="s">
        <v>122</v>
      </c>
      <c r="AP694" t="s">
        <v>112</v>
      </c>
      <c r="AQ694" t="s">
        <v>124</v>
      </c>
      <c r="AR694" t="s">
        <v>125</v>
      </c>
      <c r="AT694" t="s">
        <v>126</v>
      </c>
      <c r="AU694" t="s">
        <v>155</v>
      </c>
      <c r="AV694" t="s">
        <v>156</v>
      </c>
      <c r="AX694" t="s">
        <v>129</v>
      </c>
      <c r="AY694">
        <v>39923.4</v>
      </c>
      <c r="BB694">
        <v>106.8897</v>
      </c>
      <c r="BC694" t="s">
        <v>112</v>
      </c>
      <c r="BD694" t="s">
        <v>112</v>
      </c>
      <c r="BE694" t="s">
        <v>112</v>
      </c>
      <c r="BF694" t="s">
        <v>133</v>
      </c>
      <c r="BG694" t="s">
        <v>134</v>
      </c>
      <c r="BH694" t="s">
        <v>112</v>
      </c>
      <c r="BI694" t="s">
        <v>112</v>
      </c>
      <c r="BJ694" t="s">
        <v>112</v>
      </c>
      <c r="BK694" t="s">
        <v>112</v>
      </c>
      <c r="BL694" t="s">
        <v>112</v>
      </c>
      <c r="BM694" t="s">
        <v>112</v>
      </c>
      <c r="BN694" t="s">
        <v>161</v>
      </c>
      <c r="BP694" t="s">
        <v>162</v>
      </c>
      <c r="BR694" t="s">
        <v>150</v>
      </c>
      <c r="BS694">
        <v>33</v>
      </c>
      <c r="BT694">
        <v>0</v>
      </c>
      <c r="BU694">
        <v>0</v>
      </c>
      <c r="BY694" t="s">
        <v>106</v>
      </c>
      <c r="BZ694" t="s">
        <v>142</v>
      </c>
      <c r="CA694" t="s">
        <v>112</v>
      </c>
      <c r="CB694" t="s">
        <v>112</v>
      </c>
      <c r="CC694" t="s">
        <v>112</v>
      </c>
      <c r="CD694">
        <v>16345.85</v>
      </c>
      <c r="CE694" t="s">
        <v>144</v>
      </c>
      <c r="CF694">
        <v>4000000</v>
      </c>
      <c r="CG694">
        <v>16249.85</v>
      </c>
      <c r="CH694">
        <v>0</v>
      </c>
      <c r="CI694" t="s">
        <v>112</v>
      </c>
      <c r="CJ694" t="s">
        <v>112</v>
      </c>
      <c r="CK694">
        <v>39923.4</v>
      </c>
      <c r="CM694">
        <v>0</v>
      </c>
      <c r="CN694">
        <v>1</v>
      </c>
      <c r="CO694">
        <v>4708854.71</v>
      </c>
      <c r="CP694">
        <v>48345.58</v>
      </c>
      <c r="CQ694" t="s">
        <v>145</v>
      </c>
      <c r="CR694">
        <v>48424.553</v>
      </c>
      <c r="CS694">
        <v>2.98</v>
      </c>
      <c r="CW694">
        <v>319</v>
      </c>
    </row>
    <row r="695" spans="1:101" x14ac:dyDescent="0.2">
      <c r="A695" t="s">
        <v>106</v>
      </c>
      <c r="B695" s="46">
        <v>45251</v>
      </c>
      <c r="C695" t="s">
        <v>1692</v>
      </c>
      <c r="D695" t="s">
        <v>108</v>
      </c>
      <c r="E695" t="s">
        <v>1693</v>
      </c>
      <c r="F695" t="s">
        <v>110</v>
      </c>
      <c r="G695" t="s">
        <v>111</v>
      </c>
      <c r="H695" t="s">
        <v>112</v>
      </c>
      <c r="I695" t="s">
        <v>112</v>
      </c>
      <c r="J695" t="s">
        <v>112</v>
      </c>
      <c r="K695" t="s">
        <v>150</v>
      </c>
      <c r="L695" t="s">
        <v>151</v>
      </c>
      <c r="M695" t="s">
        <v>112</v>
      </c>
      <c r="N695" t="s">
        <v>112</v>
      </c>
      <c r="Q695">
        <v>1</v>
      </c>
      <c r="R695">
        <v>33</v>
      </c>
      <c r="S695" t="s">
        <v>166</v>
      </c>
      <c r="T695" t="s">
        <v>152</v>
      </c>
      <c r="U695" t="s">
        <v>153</v>
      </c>
      <c r="V695" t="s">
        <v>154</v>
      </c>
      <c r="W695" t="s">
        <v>119</v>
      </c>
      <c r="X695" t="s">
        <v>112</v>
      </c>
      <c r="Y695" t="s">
        <v>166</v>
      </c>
      <c r="Z695" t="s">
        <v>152</v>
      </c>
      <c r="AA695" t="s">
        <v>153</v>
      </c>
      <c r="AB695" t="s">
        <v>154</v>
      </c>
      <c r="AC695" t="s">
        <v>119</v>
      </c>
      <c r="AD695" t="s">
        <v>112</v>
      </c>
      <c r="AE695" t="s">
        <v>121</v>
      </c>
      <c r="AF695" t="s">
        <v>122</v>
      </c>
      <c r="AG695">
        <v>4909069.8099999996</v>
      </c>
      <c r="AH695" t="s">
        <v>166</v>
      </c>
      <c r="AI695" t="s">
        <v>152</v>
      </c>
      <c r="AJ695" t="s">
        <v>153</v>
      </c>
      <c r="AK695" t="s">
        <v>154</v>
      </c>
      <c r="AL695" t="s">
        <v>119</v>
      </c>
      <c r="AM695" t="s">
        <v>112</v>
      </c>
      <c r="AN695" t="s">
        <v>121</v>
      </c>
      <c r="AO695" t="s">
        <v>122</v>
      </c>
      <c r="AP695" t="s">
        <v>112</v>
      </c>
      <c r="AQ695" t="s">
        <v>124</v>
      </c>
      <c r="AR695" t="s">
        <v>125</v>
      </c>
      <c r="AT695" t="s">
        <v>126</v>
      </c>
      <c r="AU695" t="s">
        <v>155</v>
      </c>
      <c r="AV695" t="s">
        <v>156</v>
      </c>
      <c r="AX695" t="s">
        <v>129</v>
      </c>
      <c r="AY695">
        <v>41796.5</v>
      </c>
      <c r="BB695">
        <v>106.8897</v>
      </c>
      <c r="BC695" t="s">
        <v>112</v>
      </c>
      <c r="BD695" t="s">
        <v>112</v>
      </c>
      <c r="BE695" t="s">
        <v>112</v>
      </c>
      <c r="BF695" t="s">
        <v>133</v>
      </c>
      <c r="BG695" t="s">
        <v>134</v>
      </c>
      <c r="BH695" t="s">
        <v>112</v>
      </c>
      <c r="BI695" t="s">
        <v>112</v>
      </c>
      <c r="BJ695" t="s">
        <v>112</v>
      </c>
      <c r="BK695" t="s">
        <v>112</v>
      </c>
      <c r="BL695" t="s">
        <v>112</v>
      </c>
      <c r="BM695" t="s">
        <v>112</v>
      </c>
      <c r="BN695" t="s">
        <v>161</v>
      </c>
      <c r="BP695" t="s">
        <v>162</v>
      </c>
      <c r="BR695" t="s">
        <v>150</v>
      </c>
      <c r="BS695">
        <v>33</v>
      </c>
      <c r="BT695">
        <v>0</v>
      </c>
      <c r="BU695">
        <v>0</v>
      </c>
      <c r="BY695" t="s">
        <v>106</v>
      </c>
      <c r="BZ695" t="s">
        <v>142</v>
      </c>
      <c r="CA695" t="s">
        <v>112</v>
      </c>
      <c r="CB695" t="s">
        <v>112</v>
      </c>
      <c r="CC695" t="s">
        <v>112</v>
      </c>
      <c r="CD695">
        <v>16461.11</v>
      </c>
      <c r="CE695" t="s">
        <v>144</v>
      </c>
      <c r="CF695">
        <v>4000000</v>
      </c>
      <c r="CG695">
        <v>16356.11</v>
      </c>
      <c r="CH695">
        <v>0</v>
      </c>
      <c r="CI695" t="s">
        <v>112</v>
      </c>
      <c r="CJ695" t="s">
        <v>112</v>
      </c>
      <c r="CK695">
        <v>41796.5</v>
      </c>
      <c r="CM695">
        <v>0</v>
      </c>
      <c r="CN695">
        <v>1</v>
      </c>
      <c r="CO695">
        <v>4909069.8099999996</v>
      </c>
      <c r="CP695">
        <v>50401.18</v>
      </c>
      <c r="CQ695" t="s">
        <v>145</v>
      </c>
      <c r="CR695">
        <v>50376.818800000001</v>
      </c>
      <c r="CS695">
        <v>3.08</v>
      </c>
      <c r="CW695">
        <v>303</v>
      </c>
    </row>
    <row r="696" spans="1:101" x14ac:dyDescent="0.2">
      <c r="A696" t="s">
        <v>106</v>
      </c>
      <c r="B696" s="46">
        <v>45287</v>
      </c>
      <c r="C696" t="s">
        <v>1690</v>
      </c>
      <c r="D696" t="s">
        <v>108</v>
      </c>
      <c r="E696" t="s">
        <v>1691</v>
      </c>
      <c r="F696" t="s">
        <v>110</v>
      </c>
      <c r="G696" t="s">
        <v>111</v>
      </c>
      <c r="H696" t="s">
        <v>112</v>
      </c>
      <c r="I696" t="s">
        <v>112</v>
      </c>
      <c r="J696" t="s">
        <v>112</v>
      </c>
      <c r="K696" t="s">
        <v>150</v>
      </c>
      <c r="L696" t="s">
        <v>151</v>
      </c>
      <c r="M696" t="s">
        <v>112</v>
      </c>
      <c r="N696" t="s">
        <v>112</v>
      </c>
      <c r="Q696">
        <v>1</v>
      </c>
      <c r="R696">
        <v>33</v>
      </c>
      <c r="S696" t="s">
        <v>166</v>
      </c>
      <c r="T696" t="s">
        <v>152</v>
      </c>
      <c r="U696" t="s">
        <v>153</v>
      </c>
      <c r="V696" t="s">
        <v>154</v>
      </c>
      <c r="W696" t="s">
        <v>119</v>
      </c>
      <c r="X696" t="s">
        <v>112</v>
      </c>
      <c r="Y696" t="s">
        <v>166</v>
      </c>
      <c r="Z696" t="s">
        <v>152</v>
      </c>
      <c r="AA696" t="s">
        <v>153</v>
      </c>
      <c r="AB696" t="s">
        <v>154</v>
      </c>
      <c r="AC696" t="s">
        <v>119</v>
      </c>
      <c r="AD696" t="s">
        <v>112</v>
      </c>
      <c r="AE696" t="s">
        <v>121</v>
      </c>
      <c r="AF696" t="s">
        <v>122</v>
      </c>
      <c r="AG696">
        <v>4966826.59</v>
      </c>
      <c r="AH696" t="s">
        <v>166</v>
      </c>
      <c r="AI696" t="s">
        <v>152</v>
      </c>
      <c r="AJ696" t="s">
        <v>153</v>
      </c>
      <c r="AK696" t="s">
        <v>154</v>
      </c>
      <c r="AL696" t="s">
        <v>119</v>
      </c>
      <c r="AM696" t="s">
        <v>112</v>
      </c>
      <c r="AN696" t="s">
        <v>121</v>
      </c>
      <c r="AO696" t="s">
        <v>122</v>
      </c>
      <c r="AP696" t="s">
        <v>112</v>
      </c>
      <c r="AQ696" t="s">
        <v>124</v>
      </c>
      <c r="AR696" t="s">
        <v>125</v>
      </c>
      <c r="AT696" t="s">
        <v>126</v>
      </c>
      <c r="AU696" t="s">
        <v>155</v>
      </c>
      <c r="AV696" t="s">
        <v>156</v>
      </c>
      <c r="AX696" t="s">
        <v>129</v>
      </c>
      <c r="AY696">
        <v>42336.84</v>
      </c>
      <c r="BB696">
        <v>106.8897</v>
      </c>
      <c r="BC696" t="s">
        <v>112</v>
      </c>
      <c r="BD696" t="s">
        <v>112</v>
      </c>
      <c r="BE696" t="s">
        <v>112</v>
      </c>
      <c r="BF696" t="s">
        <v>133</v>
      </c>
      <c r="BG696" t="s">
        <v>134</v>
      </c>
      <c r="BH696" t="s">
        <v>112</v>
      </c>
      <c r="BI696" t="s">
        <v>112</v>
      </c>
      <c r="BJ696" t="s">
        <v>112</v>
      </c>
      <c r="BK696" t="s">
        <v>112</v>
      </c>
      <c r="BL696" t="s">
        <v>112</v>
      </c>
      <c r="BM696" t="s">
        <v>112</v>
      </c>
      <c r="BN696" t="s">
        <v>161</v>
      </c>
      <c r="BP696" t="s">
        <v>162</v>
      </c>
      <c r="BR696" t="s">
        <v>150</v>
      </c>
      <c r="BS696">
        <v>33</v>
      </c>
      <c r="BT696">
        <v>0</v>
      </c>
      <c r="BU696">
        <v>0</v>
      </c>
      <c r="BY696" t="s">
        <v>106</v>
      </c>
      <c r="BZ696" t="s">
        <v>142</v>
      </c>
      <c r="CA696" t="s">
        <v>112</v>
      </c>
      <c r="CB696" t="s">
        <v>112</v>
      </c>
      <c r="CC696" t="s">
        <v>112</v>
      </c>
      <c r="CD696">
        <v>16657.63</v>
      </c>
      <c r="CE696" t="s">
        <v>144</v>
      </c>
      <c r="CF696">
        <v>4000000</v>
      </c>
      <c r="CG696">
        <v>16547.23</v>
      </c>
      <c r="CH696">
        <v>0</v>
      </c>
      <c r="CI696" t="s">
        <v>112</v>
      </c>
      <c r="CJ696" t="s">
        <v>112</v>
      </c>
      <c r="CK696">
        <v>42336.84</v>
      </c>
      <c r="CM696">
        <v>0</v>
      </c>
      <c r="CN696">
        <v>1</v>
      </c>
      <c r="CO696">
        <v>4966826.59</v>
      </c>
      <c r="CP696">
        <v>50994.17</v>
      </c>
      <c r="CQ696" t="s">
        <v>145</v>
      </c>
      <c r="CR696">
        <v>50965.468399999998</v>
      </c>
      <c r="CS696">
        <v>3.08</v>
      </c>
      <c r="CW696">
        <v>302</v>
      </c>
    </row>
    <row r="697" spans="1:101" x14ac:dyDescent="0.2">
      <c r="A697" t="s">
        <v>106</v>
      </c>
      <c r="B697" s="46">
        <v>44937</v>
      </c>
      <c r="C697" t="s">
        <v>1688</v>
      </c>
      <c r="D697" t="s">
        <v>108</v>
      </c>
      <c r="E697" t="s">
        <v>1689</v>
      </c>
      <c r="F697" t="s">
        <v>110</v>
      </c>
      <c r="G697" t="s">
        <v>111</v>
      </c>
      <c r="H697" t="s">
        <v>112</v>
      </c>
      <c r="I697" t="s">
        <v>112</v>
      </c>
      <c r="J697" t="s">
        <v>112</v>
      </c>
      <c r="K697" t="s">
        <v>150</v>
      </c>
      <c r="L697" t="s">
        <v>151</v>
      </c>
      <c r="M697" t="s">
        <v>112</v>
      </c>
      <c r="N697" t="s">
        <v>112</v>
      </c>
      <c r="Q697">
        <v>1</v>
      </c>
      <c r="R697">
        <v>33</v>
      </c>
      <c r="S697" t="s">
        <v>166</v>
      </c>
      <c r="T697" t="s">
        <v>152</v>
      </c>
      <c r="U697" t="s">
        <v>153</v>
      </c>
      <c r="V697" t="s">
        <v>154</v>
      </c>
      <c r="W697" t="s">
        <v>119</v>
      </c>
      <c r="X697" t="s">
        <v>112</v>
      </c>
      <c r="Y697" t="s">
        <v>166</v>
      </c>
      <c r="Z697" t="s">
        <v>152</v>
      </c>
      <c r="AA697" t="s">
        <v>153</v>
      </c>
      <c r="AB697" t="s">
        <v>154</v>
      </c>
      <c r="AC697" t="s">
        <v>119</v>
      </c>
      <c r="AD697" t="s">
        <v>112</v>
      </c>
      <c r="AE697" t="s">
        <v>121</v>
      </c>
      <c r="AF697" t="s">
        <v>122</v>
      </c>
      <c r="AG697">
        <v>4706170.71</v>
      </c>
      <c r="AH697" t="s">
        <v>166</v>
      </c>
      <c r="AI697" t="s">
        <v>152</v>
      </c>
      <c r="AJ697" t="s">
        <v>153</v>
      </c>
      <c r="AK697" t="s">
        <v>154</v>
      </c>
      <c r="AL697" t="s">
        <v>119</v>
      </c>
      <c r="AM697" t="s">
        <v>112</v>
      </c>
      <c r="AN697" t="s">
        <v>121</v>
      </c>
      <c r="AO697" t="s">
        <v>122</v>
      </c>
      <c r="AP697" t="s">
        <v>112</v>
      </c>
      <c r="AQ697" t="s">
        <v>124</v>
      </c>
      <c r="AR697" t="s">
        <v>125</v>
      </c>
      <c r="AT697" t="s">
        <v>126</v>
      </c>
      <c r="AU697" t="s">
        <v>155</v>
      </c>
      <c r="AV697" t="s">
        <v>156</v>
      </c>
      <c r="AX697" t="s">
        <v>129</v>
      </c>
      <c r="AY697">
        <v>39898.29</v>
      </c>
      <c r="BB697">
        <v>106.8897</v>
      </c>
      <c r="BC697" t="s">
        <v>112</v>
      </c>
      <c r="BD697" t="s">
        <v>112</v>
      </c>
      <c r="BE697" t="s">
        <v>112</v>
      </c>
      <c r="BF697" t="s">
        <v>133</v>
      </c>
      <c r="BG697" t="s">
        <v>134</v>
      </c>
      <c r="BH697" t="s">
        <v>112</v>
      </c>
      <c r="BI697" t="s">
        <v>112</v>
      </c>
      <c r="BJ697" t="s">
        <v>112</v>
      </c>
      <c r="BK697" t="s">
        <v>112</v>
      </c>
      <c r="BL697" t="s">
        <v>112</v>
      </c>
      <c r="BM697" t="s">
        <v>112</v>
      </c>
      <c r="BN697" t="s">
        <v>161</v>
      </c>
      <c r="BP697" t="s">
        <v>205</v>
      </c>
      <c r="BR697" t="s">
        <v>150</v>
      </c>
      <c r="BS697">
        <v>33</v>
      </c>
      <c r="BT697">
        <v>0</v>
      </c>
      <c r="BU697">
        <v>0</v>
      </c>
      <c r="BY697" t="s">
        <v>106</v>
      </c>
      <c r="BZ697" t="s">
        <v>142</v>
      </c>
      <c r="CA697" t="s">
        <v>112</v>
      </c>
      <c r="CB697" t="s">
        <v>112</v>
      </c>
      <c r="CC697" t="s">
        <v>112</v>
      </c>
      <c r="CD697">
        <v>16261.36</v>
      </c>
      <c r="CE697" t="s">
        <v>144</v>
      </c>
      <c r="CF697">
        <v>4000000</v>
      </c>
      <c r="CG697">
        <v>16153.36</v>
      </c>
      <c r="CH697">
        <v>0</v>
      </c>
      <c r="CI697" t="s">
        <v>112</v>
      </c>
      <c r="CJ697" t="s">
        <v>112</v>
      </c>
      <c r="CK697">
        <v>39898.29</v>
      </c>
      <c r="CM697">
        <v>0</v>
      </c>
      <c r="CN697">
        <v>1</v>
      </c>
      <c r="CO697">
        <v>4706170.71</v>
      </c>
      <c r="CP697">
        <v>48318.02</v>
      </c>
      <c r="CQ697" t="s">
        <v>145</v>
      </c>
      <c r="CR697">
        <v>48298.546400000007</v>
      </c>
      <c r="CS697">
        <v>2.99</v>
      </c>
      <c r="CW697">
        <v>159</v>
      </c>
    </row>
    <row r="698" spans="1:101" x14ac:dyDescent="0.2">
      <c r="A698" t="s">
        <v>106</v>
      </c>
      <c r="B698" s="46">
        <v>45004</v>
      </c>
      <c r="C698" t="s">
        <v>1686</v>
      </c>
      <c r="D698" t="s">
        <v>108</v>
      </c>
      <c r="E698" t="s">
        <v>1687</v>
      </c>
      <c r="F698" t="s">
        <v>110</v>
      </c>
      <c r="G698" t="s">
        <v>111</v>
      </c>
      <c r="H698" t="s">
        <v>112</v>
      </c>
      <c r="I698" t="s">
        <v>112</v>
      </c>
      <c r="J698" t="s">
        <v>112</v>
      </c>
      <c r="K698" t="s">
        <v>150</v>
      </c>
      <c r="L698" t="s">
        <v>151</v>
      </c>
      <c r="M698" t="s">
        <v>112</v>
      </c>
      <c r="N698" t="s">
        <v>112</v>
      </c>
      <c r="Q698">
        <v>1</v>
      </c>
      <c r="R698">
        <v>33</v>
      </c>
      <c r="S698" t="s">
        <v>166</v>
      </c>
      <c r="T698" t="s">
        <v>152</v>
      </c>
      <c r="U698" t="s">
        <v>153</v>
      </c>
      <c r="V698" t="s">
        <v>154</v>
      </c>
      <c r="W698" t="s">
        <v>119</v>
      </c>
      <c r="X698" t="s">
        <v>112</v>
      </c>
      <c r="Y698" t="s">
        <v>166</v>
      </c>
      <c r="Z698" t="s">
        <v>152</v>
      </c>
      <c r="AA698" t="s">
        <v>153</v>
      </c>
      <c r="AB698" t="s">
        <v>154</v>
      </c>
      <c r="AC698" t="s">
        <v>119</v>
      </c>
      <c r="AD698" t="s">
        <v>112</v>
      </c>
      <c r="AE698" t="s">
        <v>121</v>
      </c>
      <c r="AF698" t="s">
        <v>122</v>
      </c>
      <c r="AG698">
        <v>5290244.9000000004</v>
      </c>
      <c r="AH698" t="s">
        <v>166</v>
      </c>
      <c r="AI698" t="s">
        <v>152</v>
      </c>
      <c r="AJ698" t="s">
        <v>153</v>
      </c>
      <c r="AK698" t="s">
        <v>154</v>
      </c>
      <c r="AL698" t="s">
        <v>119</v>
      </c>
      <c r="AM698" t="s">
        <v>112</v>
      </c>
      <c r="AN698" t="s">
        <v>121</v>
      </c>
      <c r="AO698" t="s">
        <v>122</v>
      </c>
      <c r="AP698" t="s">
        <v>112</v>
      </c>
      <c r="AQ698" t="s">
        <v>124</v>
      </c>
      <c r="AR698" t="s">
        <v>125</v>
      </c>
      <c r="AT698" t="s">
        <v>126</v>
      </c>
      <c r="AU698" t="s">
        <v>155</v>
      </c>
      <c r="AV698" t="s">
        <v>156</v>
      </c>
      <c r="AX698" t="s">
        <v>129</v>
      </c>
      <c r="AY698">
        <v>44842.559999999998</v>
      </c>
      <c r="BB698">
        <v>106.8897</v>
      </c>
      <c r="BC698" t="s">
        <v>112</v>
      </c>
      <c r="BD698" t="s">
        <v>112</v>
      </c>
      <c r="BE698" t="s">
        <v>112</v>
      </c>
      <c r="BF698" t="s">
        <v>133</v>
      </c>
      <c r="BG698" t="s">
        <v>134</v>
      </c>
      <c r="BH698" t="s">
        <v>112</v>
      </c>
      <c r="BI698" t="s">
        <v>112</v>
      </c>
      <c r="BJ698" t="s">
        <v>112</v>
      </c>
      <c r="BK698" t="s">
        <v>112</v>
      </c>
      <c r="BL698" t="s">
        <v>112</v>
      </c>
      <c r="BM698" t="s">
        <v>112</v>
      </c>
      <c r="BN698" t="s">
        <v>161</v>
      </c>
      <c r="BP698" t="s">
        <v>205</v>
      </c>
      <c r="BR698" t="s">
        <v>150</v>
      </c>
      <c r="BS698">
        <v>33</v>
      </c>
      <c r="BT698">
        <v>0</v>
      </c>
      <c r="BU698">
        <v>0</v>
      </c>
      <c r="BY698" t="s">
        <v>106</v>
      </c>
      <c r="BZ698" t="s">
        <v>142</v>
      </c>
      <c r="CA698" t="s">
        <v>112</v>
      </c>
      <c r="CB698" t="s">
        <v>112</v>
      </c>
      <c r="CC698" t="s">
        <v>112</v>
      </c>
      <c r="CD698">
        <v>16563.830000000002</v>
      </c>
      <c r="CE698" t="s">
        <v>144</v>
      </c>
      <c r="CF698">
        <v>4000000</v>
      </c>
      <c r="CG698">
        <v>16527.830000000002</v>
      </c>
      <c r="CH698">
        <v>0</v>
      </c>
      <c r="CI698" t="s">
        <v>112</v>
      </c>
      <c r="CJ698" t="s">
        <v>112</v>
      </c>
      <c r="CK698">
        <v>44842.559999999998</v>
      </c>
      <c r="CM698">
        <v>0</v>
      </c>
      <c r="CN698">
        <v>1</v>
      </c>
      <c r="CO698">
        <v>5290244.9000000004</v>
      </c>
      <c r="CP698">
        <v>54314.69</v>
      </c>
      <c r="CQ698" t="s">
        <v>145</v>
      </c>
      <c r="CR698">
        <v>54376.560700000009</v>
      </c>
      <c r="CS698">
        <v>3.29</v>
      </c>
      <c r="CW698">
        <v>157</v>
      </c>
    </row>
    <row r="699" spans="1:101" x14ac:dyDescent="0.2">
      <c r="A699" t="s">
        <v>106</v>
      </c>
      <c r="B699" s="46">
        <v>45080</v>
      </c>
      <c r="C699" t="s">
        <v>1684</v>
      </c>
      <c r="D699" t="s">
        <v>108</v>
      </c>
      <c r="E699" t="s">
        <v>1685</v>
      </c>
      <c r="F699" t="s">
        <v>110</v>
      </c>
      <c r="G699" t="s">
        <v>111</v>
      </c>
      <c r="H699" t="s">
        <v>112</v>
      </c>
      <c r="I699" t="s">
        <v>112</v>
      </c>
      <c r="J699" t="s">
        <v>112</v>
      </c>
      <c r="K699" t="s">
        <v>150</v>
      </c>
      <c r="L699" t="s">
        <v>151</v>
      </c>
      <c r="M699" t="s">
        <v>112</v>
      </c>
      <c r="N699" t="s">
        <v>112</v>
      </c>
      <c r="Q699">
        <v>1</v>
      </c>
      <c r="R699">
        <v>33</v>
      </c>
      <c r="S699" t="s">
        <v>166</v>
      </c>
      <c r="T699" t="s">
        <v>152</v>
      </c>
      <c r="U699" t="s">
        <v>153</v>
      </c>
      <c r="V699" t="s">
        <v>154</v>
      </c>
      <c r="W699" t="s">
        <v>119</v>
      </c>
      <c r="X699" t="s">
        <v>112</v>
      </c>
      <c r="Y699" t="s">
        <v>166</v>
      </c>
      <c r="Z699" t="s">
        <v>152</v>
      </c>
      <c r="AA699" t="s">
        <v>153</v>
      </c>
      <c r="AB699" t="s">
        <v>154</v>
      </c>
      <c r="AC699" t="s">
        <v>119</v>
      </c>
      <c r="AD699" t="s">
        <v>112</v>
      </c>
      <c r="AE699" t="s">
        <v>121</v>
      </c>
      <c r="AF699" t="s">
        <v>122</v>
      </c>
      <c r="AG699">
        <v>4916738.07</v>
      </c>
      <c r="AH699" t="s">
        <v>166</v>
      </c>
      <c r="AI699" t="s">
        <v>152</v>
      </c>
      <c r="AJ699" t="s">
        <v>153</v>
      </c>
      <c r="AK699" t="s">
        <v>154</v>
      </c>
      <c r="AL699" t="s">
        <v>119</v>
      </c>
      <c r="AM699" t="s">
        <v>112</v>
      </c>
      <c r="AN699" t="s">
        <v>121</v>
      </c>
      <c r="AO699" t="s">
        <v>122</v>
      </c>
      <c r="AP699" t="s">
        <v>112</v>
      </c>
      <c r="AQ699" t="s">
        <v>124</v>
      </c>
      <c r="AR699" t="s">
        <v>125</v>
      </c>
      <c r="AT699" t="s">
        <v>126</v>
      </c>
      <c r="AU699" t="s">
        <v>155</v>
      </c>
      <c r="AV699" t="s">
        <v>156</v>
      </c>
      <c r="AX699" t="s">
        <v>129</v>
      </c>
      <c r="AY699">
        <v>41868.239999999998</v>
      </c>
      <c r="BB699">
        <v>106.8897</v>
      </c>
      <c r="BC699" t="s">
        <v>112</v>
      </c>
      <c r="BD699" t="s">
        <v>112</v>
      </c>
      <c r="BE699" t="s">
        <v>112</v>
      </c>
      <c r="BF699" t="s">
        <v>133</v>
      </c>
      <c r="BG699" t="s">
        <v>134</v>
      </c>
      <c r="BH699" t="s">
        <v>112</v>
      </c>
      <c r="BI699" t="s">
        <v>112</v>
      </c>
      <c r="BJ699" t="s">
        <v>112</v>
      </c>
      <c r="BK699" t="s">
        <v>112</v>
      </c>
      <c r="BL699" t="s">
        <v>112</v>
      </c>
      <c r="BM699" t="s">
        <v>112</v>
      </c>
      <c r="BN699" t="s">
        <v>161</v>
      </c>
      <c r="BP699" t="s">
        <v>162</v>
      </c>
      <c r="BR699" t="s">
        <v>150</v>
      </c>
      <c r="BS699">
        <v>33</v>
      </c>
      <c r="BT699">
        <v>0</v>
      </c>
      <c r="BU699">
        <v>0</v>
      </c>
      <c r="BY699" t="s">
        <v>106</v>
      </c>
      <c r="BZ699" t="s">
        <v>142</v>
      </c>
      <c r="CA699" t="s">
        <v>112</v>
      </c>
      <c r="CB699" t="s">
        <v>112</v>
      </c>
      <c r="CC699" t="s">
        <v>112</v>
      </c>
      <c r="CD699">
        <v>16259.56</v>
      </c>
      <c r="CE699" t="s">
        <v>144</v>
      </c>
      <c r="CF699">
        <v>4000000</v>
      </c>
      <c r="CG699">
        <v>16158.76</v>
      </c>
      <c r="CH699">
        <v>0</v>
      </c>
      <c r="CI699" t="s">
        <v>112</v>
      </c>
      <c r="CJ699" t="s">
        <v>112</v>
      </c>
      <c r="CK699">
        <v>41868.239999999998</v>
      </c>
      <c r="CM699">
        <v>0</v>
      </c>
      <c r="CN699">
        <v>1</v>
      </c>
      <c r="CO699">
        <v>4916738.07</v>
      </c>
      <c r="CP699">
        <v>50479.91</v>
      </c>
      <c r="CQ699" t="s">
        <v>145</v>
      </c>
      <c r="CR699">
        <v>50415.331200000001</v>
      </c>
      <c r="CS699">
        <v>3.12</v>
      </c>
      <c r="CW699">
        <v>178</v>
      </c>
    </row>
    <row r="700" spans="1:101" x14ac:dyDescent="0.2">
      <c r="A700" t="s">
        <v>106</v>
      </c>
      <c r="B700" s="46">
        <v>44942</v>
      </c>
      <c r="C700" t="s">
        <v>1437</v>
      </c>
      <c r="D700" t="s">
        <v>108</v>
      </c>
      <c r="E700" t="s">
        <v>1438</v>
      </c>
      <c r="F700" t="s">
        <v>110</v>
      </c>
      <c r="G700" t="s">
        <v>111</v>
      </c>
      <c r="H700" t="s">
        <v>112</v>
      </c>
      <c r="I700" t="s">
        <v>112</v>
      </c>
      <c r="J700" t="s">
        <v>112</v>
      </c>
      <c r="K700" t="s">
        <v>150</v>
      </c>
      <c r="L700" t="s">
        <v>1439</v>
      </c>
      <c r="M700" t="s">
        <v>112</v>
      </c>
      <c r="N700" t="s">
        <v>112</v>
      </c>
      <c r="O700">
        <v>1</v>
      </c>
      <c r="P700">
        <v>0</v>
      </c>
      <c r="Q700">
        <v>1</v>
      </c>
      <c r="R700">
        <v>33</v>
      </c>
      <c r="S700" t="s">
        <v>166</v>
      </c>
      <c r="T700" t="s">
        <v>152</v>
      </c>
      <c r="U700" t="s">
        <v>153</v>
      </c>
      <c r="V700" t="s">
        <v>154</v>
      </c>
      <c r="W700" t="s">
        <v>119</v>
      </c>
      <c r="X700" t="s">
        <v>112</v>
      </c>
      <c r="Y700" t="s">
        <v>166</v>
      </c>
      <c r="Z700" t="s">
        <v>152</v>
      </c>
      <c r="AA700" t="s">
        <v>153</v>
      </c>
      <c r="AB700" t="s">
        <v>154</v>
      </c>
      <c r="AC700" t="s">
        <v>119</v>
      </c>
      <c r="AD700" t="s">
        <v>112</v>
      </c>
      <c r="AE700" t="s">
        <v>121</v>
      </c>
      <c r="AF700" t="s">
        <v>122</v>
      </c>
      <c r="AG700">
        <v>4715293.12</v>
      </c>
      <c r="AH700" t="s">
        <v>166</v>
      </c>
      <c r="AI700" t="s">
        <v>152</v>
      </c>
      <c r="AJ700" t="s">
        <v>153</v>
      </c>
      <c r="AK700" t="s">
        <v>154</v>
      </c>
      <c r="AL700" t="s">
        <v>119</v>
      </c>
      <c r="AM700" t="s">
        <v>112</v>
      </c>
      <c r="AN700" t="s">
        <v>121</v>
      </c>
      <c r="AO700" t="s">
        <v>122</v>
      </c>
      <c r="AP700" t="s">
        <v>122</v>
      </c>
      <c r="AQ700" t="s">
        <v>124</v>
      </c>
      <c r="AR700" t="s">
        <v>125</v>
      </c>
      <c r="AS700">
        <v>2</v>
      </c>
      <c r="AT700" t="s">
        <v>126</v>
      </c>
      <c r="AU700" t="s">
        <v>155</v>
      </c>
      <c r="AV700" t="s">
        <v>156</v>
      </c>
      <c r="AW700">
        <v>1</v>
      </c>
      <c r="AX700" t="s">
        <v>129</v>
      </c>
      <c r="AY700">
        <v>42588.480000000003</v>
      </c>
      <c r="AZ700">
        <v>4251135</v>
      </c>
      <c r="BA700">
        <v>51427.65</v>
      </c>
      <c r="BB700">
        <v>99.818899999999999</v>
      </c>
      <c r="BC700" t="s">
        <v>130</v>
      </c>
      <c r="BD700" t="s">
        <v>112</v>
      </c>
      <c r="BE700" t="s">
        <v>157</v>
      </c>
      <c r="BF700" t="s">
        <v>133</v>
      </c>
      <c r="BG700" t="s">
        <v>134</v>
      </c>
      <c r="BH700" t="s">
        <v>112</v>
      </c>
      <c r="BI700" t="s">
        <v>112</v>
      </c>
      <c r="BJ700" t="s">
        <v>112</v>
      </c>
      <c r="BK700" t="s">
        <v>169</v>
      </c>
      <c r="BL700" t="s">
        <v>159</v>
      </c>
      <c r="BM700" t="s">
        <v>722</v>
      </c>
      <c r="BN700" t="s">
        <v>161</v>
      </c>
      <c r="BO700">
        <v>1</v>
      </c>
      <c r="BP700" t="s">
        <v>528</v>
      </c>
      <c r="BR700" t="s">
        <v>150</v>
      </c>
      <c r="BS700">
        <v>33</v>
      </c>
      <c r="BT700">
        <v>0</v>
      </c>
      <c r="BU700">
        <v>0</v>
      </c>
      <c r="BW700">
        <v>0</v>
      </c>
      <c r="BY700" t="s">
        <v>106</v>
      </c>
      <c r="BZ700" t="s">
        <v>142</v>
      </c>
      <c r="CA700" t="s">
        <v>112</v>
      </c>
      <c r="CB700" t="s">
        <v>112</v>
      </c>
      <c r="CC700" t="s">
        <v>121</v>
      </c>
      <c r="CD700">
        <v>17040.38</v>
      </c>
      <c r="CE700" t="s">
        <v>144</v>
      </c>
      <c r="CF700">
        <v>4000000</v>
      </c>
      <c r="CG700">
        <v>17040.38</v>
      </c>
      <c r="CH700">
        <v>0</v>
      </c>
      <c r="CI700" t="s">
        <v>112</v>
      </c>
      <c r="CJ700" t="s">
        <v>112</v>
      </c>
      <c r="CK700">
        <v>42588.480000000003</v>
      </c>
      <c r="CL700">
        <v>4251135</v>
      </c>
      <c r="CM700">
        <v>0</v>
      </c>
      <c r="CN700">
        <v>1</v>
      </c>
      <c r="CO700">
        <v>4715293.12</v>
      </c>
      <c r="CP700">
        <v>51427.65</v>
      </c>
      <c r="CQ700" t="s">
        <v>145</v>
      </c>
      <c r="CR700">
        <v>51461.947600000007</v>
      </c>
      <c r="CS700">
        <v>3.02</v>
      </c>
      <c r="CT700">
        <v>45</v>
      </c>
      <c r="CU700" t="s">
        <v>171</v>
      </c>
      <c r="CV700" t="s">
        <v>172</v>
      </c>
      <c r="CW700">
        <v>551</v>
      </c>
    </row>
    <row r="701" spans="1:101" x14ac:dyDescent="0.2">
      <c r="A701" t="s">
        <v>106</v>
      </c>
      <c r="B701" s="46">
        <v>45185</v>
      </c>
      <c r="C701" t="s">
        <v>1440</v>
      </c>
      <c r="D701" t="s">
        <v>108</v>
      </c>
      <c r="E701" t="s">
        <v>1441</v>
      </c>
      <c r="F701" t="s">
        <v>110</v>
      </c>
      <c r="G701" t="s">
        <v>111</v>
      </c>
      <c r="H701" t="s">
        <v>112</v>
      </c>
      <c r="I701" t="s">
        <v>112</v>
      </c>
      <c r="J701" t="s">
        <v>112</v>
      </c>
      <c r="K701" t="s">
        <v>150</v>
      </c>
      <c r="L701" t="s">
        <v>1439</v>
      </c>
      <c r="M701" t="s">
        <v>112</v>
      </c>
      <c r="N701" t="s">
        <v>112</v>
      </c>
      <c r="O701">
        <v>1</v>
      </c>
      <c r="P701">
        <v>0</v>
      </c>
      <c r="Q701">
        <v>1</v>
      </c>
      <c r="R701">
        <v>33</v>
      </c>
      <c r="S701" t="s">
        <v>166</v>
      </c>
      <c r="T701" t="s">
        <v>152</v>
      </c>
      <c r="U701" t="s">
        <v>153</v>
      </c>
      <c r="V701" t="s">
        <v>154</v>
      </c>
      <c r="W701" t="s">
        <v>119</v>
      </c>
      <c r="X701" t="s">
        <v>112</v>
      </c>
      <c r="Y701" t="s">
        <v>166</v>
      </c>
      <c r="Z701" t="s">
        <v>152</v>
      </c>
      <c r="AA701" t="s">
        <v>153</v>
      </c>
      <c r="AB701" t="s">
        <v>154</v>
      </c>
      <c r="AC701" t="s">
        <v>119</v>
      </c>
      <c r="AD701" t="s">
        <v>112</v>
      </c>
      <c r="AE701" t="s">
        <v>121</v>
      </c>
      <c r="AF701" t="s">
        <v>122</v>
      </c>
      <c r="AG701">
        <v>4651069.63</v>
      </c>
      <c r="AH701" t="s">
        <v>166</v>
      </c>
      <c r="AI701" t="s">
        <v>152</v>
      </c>
      <c r="AJ701" t="s">
        <v>153</v>
      </c>
      <c r="AK701" t="s">
        <v>154</v>
      </c>
      <c r="AL701" t="s">
        <v>119</v>
      </c>
      <c r="AM701" t="s">
        <v>112</v>
      </c>
      <c r="AN701" t="s">
        <v>121</v>
      </c>
      <c r="AO701" t="s">
        <v>122</v>
      </c>
      <c r="AP701" t="s">
        <v>122</v>
      </c>
      <c r="AQ701" t="s">
        <v>124</v>
      </c>
      <c r="AR701" t="s">
        <v>125</v>
      </c>
      <c r="AS701">
        <v>2</v>
      </c>
      <c r="AT701" t="s">
        <v>126</v>
      </c>
      <c r="AU701" t="s">
        <v>155</v>
      </c>
      <c r="AV701" t="s">
        <v>156</v>
      </c>
      <c r="AW701">
        <v>1</v>
      </c>
      <c r="AX701" t="s">
        <v>129</v>
      </c>
      <c r="AY701">
        <v>42465.08</v>
      </c>
      <c r="AZ701">
        <v>4238818</v>
      </c>
      <c r="BA701">
        <v>50727.19</v>
      </c>
      <c r="BB701">
        <v>99.818899999999999</v>
      </c>
      <c r="BC701" t="s">
        <v>130</v>
      </c>
      <c r="BD701" t="s">
        <v>112</v>
      </c>
      <c r="BE701" t="s">
        <v>157</v>
      </c>
      <c r="BF701" t="s">
        <v>133</v>
      </c>
      <c r="BG701" t="s">
        <v>167</v>
      </c>
      <c r="BH701" t="s">
        <v>168</v>
      </c>
      <c r="BI701" t="s">
        <v>112</v>
      </c>
      <c r="BJ701" t="s">
        <v>112</v>
      </c>
      <c r="BK701" t="s">
        <v>169</v>
      </c>
      <c r="BL701" t="s">
        <v>159</v>
      </c>
      <c r="BM701" t="s">
        <v>726</v>
      </c>
      <c r="BN701" t="s">
        <v>161</v>
      </c>
      <c r="BO701">
        <v>1</v>
      </c>
      <c r="BP701" t="s">
        <v>1442</v>
      </c>
      <c r="BR701" t="s">
        <v>150</v>
      </c>
      <c r="BS701">
        <v>33</v>
      </c>
      <c r="BT701">
        <v>0</v>
      </c>
      <c r="BU701">
        <v>0</v>
      </c>
      <c r="BW701">
        <v>0</v>
      </c>
      <c r="BY701" t="s">
        <v>106</v>
      </c>
      <c r="BZ701" t="s">
        <v>142</v>
      </c>
      <c r="CA701" t="s">
        <v>112</v>
      </c>
      <c r="CB701" t="s">
        <v>112</v>
      </c>
      <c r="CC701" t="s">
        <v>121</v>
      </c>
      <c r="CD701">
        <v>16412.18</v>
      </c>
      <c r="CE701" t="s">
        <v>144</v>
      </c>
      <c r="CF701">
        <v>4000000</v>
      </c>
      <c r="CG701">
        <v>16340.18</v>
      </c>
      <c r="CH701">
        <v>0</v>
      </c>
      <c r="CI701" t="s">
        <v>112</v>
      </c>
      <c r="CJ701" t="s">
        <v>112</v>
      </c>
      <c r="CK701">
        <v>42465.08</v>
      </c>
      <c r="CL701">
        <v>4238818</v>
      </c>
      <c r="CM701">
        <v>0</v>
      </c>
      <c r="CN701">
        <v>1</v>
      </c>
      <c r="CO701">
        <v>4651069.63</v>
      </c>
      <c r="CP701">
        <v>50727.19</v>
      </c>
      <c r="CQ701" t="s">
        <v>145</v>
      </c>
      <c r="CR701">
        <v>50654.558000000005</v>
      </c>
      <c r="CS701">
        <v>3.1</v>
      </c>
      <c r="CT701">
        <v>45</v>
      </c>
      <c r="CU701" t="s">
        <v>171</v>
      </c>
      <c r="CV701" t="s">
        <v>372</v>
      </c>
      <c r="CW701">
        <v>77</v>
      </c>
    </row>
    <row r="702" spans="1:101" x14ac:dyDescent="0.2">
      <c r="A702" t="s">
        <v>106</v>
      </c>
      <c r="B702" s="46">
        <v>45252</v>
      </c>
      <c r="C702" t="s">
        <v>1445</v>
      </c>
      <c r="D702" t="s">
        <v>108</v>
      </c>
      <c r="E702" t="s">
        <v>1446</v>
      </c>
      <c r="F702" t="s">
        <v>110</v>
      </c>
      <c r="G702" t="s">
        <v>111</v>
      </c>
      <c r="H702" t="s">
        <v>112</v>
      </c>
      <c r="I702" t="s">
        <v>112</v>
      </c>
      <c r="J702" t="s">
        <v>112</v>
      </c>
      <c r="K702" t="s">
        <v>150</v>
      </c>
      <c r="L702" t="s">
        <v>1439</v>
      </c>
      <c r="M702" t="s">
        <v>112</v>
      </c>
      <c r="N702" t="s">
        <v>112</v>
      </c>
      <c r="O702">
        <v>1</v>
      </c>
      <c r="P702">
        <v>0</v>
      </c>
      <c r="Q702">
        <v>1</v>
      </c>
      <c r="R702">
        <v>33</v>
      </c>
      <c r="S702" t="s">
        <v>166</v>
      </c>
      <c r="T702" t="s">
        <v>152</v>
      </c>
      <c r="U702" t="s">
        <v>153</v>
      </c>
      <c r="V702" t="s">
        <v>154</v>
      </c>
      <c r="W702" t="s">
        <v>119</v>
      </c>
      <c r="X702" t="s">
        <v>112</v>
      </c>
      <c r="Y702" t="s">
        <v>166</v>
      </c>
      <c r="Z702" t="s">
        <v>152</v>
      </c>
      <c r="AA702" t="s">
        <v>153</v>
      </c>
      <c r="AB702" t="s">
        <v>154</v>
      </c>
      <c r="AC702" t="s">
        <v>119</v>
      </c>
      <c r="AD702" t="s">
        <v>112</v>
      </c>
      <c r="AE702" t="s">
        <v>121</v>
      </c>
      <c r="AF702" t="s">
        <v>122</v>
      </c>
      <c r="AG702">
        <v>4597716.43</v>
      </c>
      <c r="AH702" t="s">
        <v>166</v>
      </c>
      <c r="AI702" t="s">
        <v>152</v>
      </c>
      <c r="AJ702" t="s">
        <v>153</v>
      </c>
      <c r="AK702" t="s">
        <v>154</v>
      </c>
      <c r="AL702" t="s">
        <v>119</v>
      </c>
      <c r="AM702" t="s">
        <v>112</v>
      </c>
      <c r="AN702" t="s">
        <v>121</v>
      </c>
      <c r="AO702" t="s">
        <v>122</v>
      </c>
      <c r="AP702" t="s">
        <v>122</v>
      </c>
      <c r="AQ702" t="s">
        <v>124</v>
      </c>
      <c r="AR702" t="s">
        <v>125</v>
      </c>
      <c r="AS702">
        <v>2</v>
      </c>
      <c r="AT702" t="s">
        <v>126</v>
      </c>
      <c r="AU702" t="s">
        <v>155</v>
      </c>
      <c r="AV702" t="s">
        <v>156</v>
      </c>
      <c r="AW702">
        <v>1</v>
      </c>
      <c r="AX702" t="s">
        <v>129</v>
      </c>
      <c r="AY702">
        <v>41930.58</v>
      </c>
      <c r="AZ702">
        <v>4185464</v>
      </c>
      <c r="BA702">
        <v>50145.29</v>
      </c>
      <c r="BB702">
        <v>99.818899999999999</v>
      </c>
      <c r="BC702" t="s">
        <v>130</v>
      </c>
      <c r="BD702" t="s">
        <v>112</v>
      </c>
      <c r="BE702" t="s">
        <v>157</v>
      </c>
      <c r="BF702" t="s">
        <v>133</v>
      </c>
      <c r="BG702" t="s">
        <v>134</v>
      </c>
      <c r="BH702" t="s">
        <v>112</v>
      </c>
      <c r="BI702" t="s">
        <v>112</v>
      </c>
      <c r="BJ702" t="s">
        <v>112</v>
      </c>
      <c r="BK702" t="s">
        <v>169</v>
      </c>
      <c r="BL702" t="s">
        <v>159</v>
      </c>
      <c r="BM702" t="s">
        <v>722</v>
      </c>
      <c r="BN702" t="s">
        <v>161</v>
      </c>
      <c r="BO702">
        <v>1</v>
      </c>
      <c r="BP702" t="s">
        <v>1281</v>
      </c>
      <c r="BR702" t="s">
        <v>150</v>
      </c>
      <c r="BS702">
        <v>33</v>
      </c>
      <c r="BT702">
        <v>0</v>
      </c>
      <c r="BU702">
        <v>0</v>
      </c>
      <c r="BW702">
        <v>0</v>
      </c>
      <c r="BY702" t="s">
        <v>106</v>
      </c>
      <c r="BZ702" t="s">
        <v>142</v>
      </c>
      <c r="CA702" t="s">
        <v>112</v>
      </c>
      <c r="CB702" t="s">
        <v>112</v>
      </c>
      <c r="CC702" t="s">
        <v>121</v>
      </c>
      <c r="CD702">
        <v>15731.14</v>
      </c>
      <c r="CE702" t="s">
        <v>144</v>
      </c>
      <c r="CF702">
        <v>4000000</v>
      </c>
      <c r="CG702">
        <v>15569.14</v>
      </c>
      <c r="CH702">
        <v>0</v>
      </c>
      <c r="CI702" t="s">
        <v>112</v>
      </c>
      <c r="CJ702" t="s">
        <v>112</v>
      </c>
      <c r="CK702">
        <v>41930.58</v>
      </c>
      <c r="CL702">
        <v>4185464</v>
      </c>
      <c r="CM702">
        <v>0</v>
      </c>
      <c r="CN702">
        <v>1</v>
      </c>
      <c r="CO702">
        <v>4597716.43</v>
      </c>
      <c r="CP702">
        <v>50145.29</v>
      </c>
      <c r="CQ702" t="s">
        <v>145</v>
      </c>
      <c r="CR702">
        <v>50132.630799999999</v>
      </c>
      <c r="CS702">
        <v>3.22</v>
      </c>
      <c r="CT702">
        <v>45</v>
      </c>
      <c r="CU702" t="s">
        <v>171</v>
      </c>
      <c r="CV702" t="s">
        <v>463</v>
      </c>
      <c r="CW702">
        <v>80</v>
      </c>
    </row>
    <row r="703" spans="1:101" x14ac:dyDescent="0.2">
      <c r="A703" t="s">
        <v>106</v>
      </c>
      <c r="B703" s="46">
        <v>45029</v>
      </c>
      <c r="C703" t="s">
        <v>1443</v>
      </c>
      <c r="D703" t="s">
        <v>108</v>
      </c>
      <c r="E703" t="s">
        <v>1444</v>
      </c>
      <c r="F703" t="s">
        <v>110</v>
      </c>
      <c r="G703" t="s">
        <v>111</v>
      </c>
      <c r="H703" t="s">
        <v>112</v>
      </c>
      <c r="I703" t="s">
        <v>112</v>
      </c>
      <c r="J703" t="s">
        <v>112</v>
      </c>
      <c r="K703" t="s">
        <v>150</v>
      </c>
      <c r="L703" t="s">
        <v>1439</v>
      </c>
      <c r="M703" t="s">
        <v>112</v>
      </c>
      <c r="N703" t="s">
        <v>112</v>
      </c>
      <c r="O703">
        <v>1</v>
      </c>
      <c r="P703">
        <v>0</v>
      </c>
      <c r="Q703">
        <v>1</v>
      </c>
      <c r="R703">
        <v>33</v>
      </c>
      <c r="S703" t="s">
        <v>166</v>
      </c>
      <c r="T703" t="s">
        <v>152</v>
      </c>
      <c r="U703" t="s">
        <v>153</v>
      </c>
      <c r="V703" t="s">
        <v>154</v>
      </c>
      <c r="W703" t="s">
        <v>119</v>
      </c>
      <c r="X703" t="s">
        <v>112</v>
      </c>
      <c r="Y703" t="s">
        <v>166</v>
      </c>
      <c r="Z703" t="s">
        <v>152</v>
      </c>
      <c r="AA703" t="s">
        <v>153</v>
      </c>
      <c r="AB703" t="s">
        <v>154</v>
      </c>
      <c r="AC703" t="s">
        <v>119</v>
      </c>
      <c r="AD703" t="s">
        <v>112</v>
      </c>
      <c r="AE703" t="s">
        <v>121</v>
      </c>
      <c r="AF703" t="s">
        <v>122</v>
      </c>
      <c r="AG703">
        <v>4953496.95</v>
      </c>
      <c r="AH703" t="s">
        <v>166</v>
      </c>
      <c r="AI703" t="s">
        <v>152</v>
      </c>
      <c r="AJ703" t="s">
        <v>153</v>
      </c>
      <c r="AK703" t="s">
        <v>154</v>
      </c>
      <c r="AL703" t="s">
        <v>119</v>
      </c>
      <c r="AM703" t="s">
        <v>112</v>
      </c>
      <c r="AN703" t="s">
        <v>121</v>
      </c>
      <c r="AO703" t="s">
        <v>122</v>
      </c>
      <c r="AP703" t="s">
        <v>122</v>
      </c>
      <c r="AQ703" t="s">
        <v>124</v>
      </c>
      <c r="AR703" t="s">
        <v>125</v>
      </c>
      <c r="AS703">
        <v>2</v>
      </c>
      <c r="AT703" t="s">
        <v>126</v>
      </c>
      <c r="AU703" t="s">
        <v>155</v>
      </c>
      <c r="AV703" t="s">
        <v>156</v>
      </c>
      <c r="AW703">
        <v>1</v>
      </c>
      <c r="AX703" t="s">
        <v>129</v>
      </c>
      <c r="AY703">
        <v>44974.84</v>
      </c>
      <c r="AZ703">
        <v>4489339</v>
      </c>
      <c r="BA703">
        <v>54025.63</v>
      </c>
      <c r="BB703">
        <v>99.818899999999999</v>
      </c>
      <c r="BC703" t="s">
        <v>130</v>
      </c>
      <c r="BD703" t="s">
        <v>112</v>
      </c>
      <c r="BE703" t="s">
        <v>157</v>
      </c>
      <c r="BF703" t="s">
        <v>133</v>
      </c>
      <c r="BG703" t="s">
        <v>167</v>
      </c>
      <c r="BH703" t="s">
        <v>168</v>
      </c>
      <c r="BI703" t="s">
        <v>112</v>
      </c>
      <c r="BJ703" t="s">
        <v>112</v>
      </c>
      <c r="BK703" t="s">
        <v>169</v>
      </c>
      <c r="BL703" t="s">
        <v>159</v>
      </c>
      <c r="BM703" t="s">
        <v>726</v>
      </c>
      <c r="BN703" t="s">
        <v>161</v>
      </c>
      <c r="BO703">
        <v>1</v>
      </c>
      <c r="BP703" t="s">
        <v>232</v>
      </c>
      <c r="BR703" t="s">
        <v>150</v>
      </c>
      <c r="BS703">
        <v>33</v>
      </c>
      <c r="BT703">
        <v>0</v>
      </c>
      <c r="BU703">
        <v>0</v>
      </c>
      <c r="BW703">
        <v>0</v>
      </c>
      <c r="BY703" t="s">
        <v>106</v>
      </c>
      <c r="BZ703" t="s">
        <v>142</v>
      </c>
      <c r="CA703" t="s">
        <v>112</v>
      </c>
      <c r="CB703" t="s">
        <v>112</v>
      </c>
      <c r="CC703" t="s">
        <v>121</v>
      </c>
      <c r="CD703">
        <v>16850.04</v>
      </c>
      <c r="CE703" t="s">
        <v>144</v>
      </c>
      <c r="CF703">
        <v>4000000</v>
      </c>
      <c r="CG703">
        <v>16814.04</v>
      </c>
      <c r="CH703">
        <v>0</v>
      </c>
      <c r="CI703" t="s">
        <v>112</v>
      </c>
      <c r="CJ703" t="s">
        <v>112</v>
      </c>
      <c r="CK703">
        <v>44974.84</v>
      </c>
      <c r="CL703">
        <v>4489339</v>
      </c>
      <c r="CM703">
        <v>0</v>
      </c>
      <c r="CN703">
        <v>1</v>
      </c>
      <c r="CO703">
        <v>4953496.95</v>
      </c>
      <c r="CP703">
        <v>54025.63</v>
      </c>
      <c r="CQ703" t="s">
        <v>145</v>
      </c>
      <c r="CR703">
        <v>53973.068400000004</v>
      </c>
      <c r="CS703">
        <v>3.21</v>
      </c>
      <c r="CT703">
        <v>45</v>
      </c>
      <c r="CU703" t="s">
        <v>171</v>
      </c>
      <c r="CV703" t="s">
        <v>172</v>
      </c>
      <c r="CW703">
        <v>174</v>
      </c>
    </row>
    <row r="704" spans="1:101" x14ac:dyDescent="0.2">
      <c r="A704" t="s">
        <v>106</v>
      </c>
      <c r="B704" s="46">
        <v>45017</v>
      </c>
      <c r="C704" t="s">
        <v>1146</v>
      </c>
      <c r="D704" t="s">
        <v>108</v>
      </c>
      <c r="E704" t="s">
        <v>1147</v>
      </c>
      <c r="F704" t="s">
        <v>110</v>
      </c>
      <c r="G704" t="s">
        <v>111</v>
      </c>
      <c r="H704" t="s">
        <v>112</v>
      </c>
      <c r="I704" t="s">
        <v>112</v>
      </c>
      <c r="J704" t="s">
        <v>112</v>
      </c>
      <c r="K704" t="s">
        <v>150</v>
      </c>
      <c r="L704" t="s">
        <v>1143</v>
      </c>
      <c r="M704" t="s">
        <v>112</v>
      </c>
      <c r="N704" t="s">
        <v>112</v>
      </c>
      <c r="O704">
        <v>1</v>
      </c>
      <c r="P704">
        <v>0</v>
      </c>
      <c r="Q704">
        <v>1</v>
      </c>
      <c r="R704">
        <v>33</v>
      </c>
      <c r="S704" t="s">
        <v>166</v>
      </c>
      <c r="T704" t="s">
        <v>152</v>
      </c>
      <c r="U704" t="s">
        <v>153</v>
      </c>
      <c r="V704" t="s">
        <v>154</v>
      </c>
      <c r="W704" t="s">
        <v>119</v>
      </c>
      <c r="X704" t="s">
        <v>112</v>
      </c>
      <c r="Y704" t="s">
        <v>166</v>
      </c>
      <c r="Z704" t="s">
        <v>152</v>
      </c>
      <c r="AA704" t="s">
        <v>153</v>
      </c>
      <c r="AB704" t="s">
        <v>154</v>
      </c>
      <c r="AC704" t="s">
        <v>119</v>
      </c>
      <c r="AD704" t="s">
        <v>112</v>
      </c>
      <c r="AE704" t="s">
        <v>121</v>
      </c>
      <c r="AF704" t="s">
        <v>122</v>
      </c>
      <c r="AG704">
        <v>3989298.17</v>
      </c>
      <c r="AH704" t="s">
        <v>166</v>
      </c>
      <c r="AI704" t="s">
        <v>152</v>
      </c>
      <c r="AJ704" t="s">
        <v>153</v>
      </c>
      <c r="AK704" t="s">
        <v>154</v>
      </c>
      <c r="AL704" t="s">
        <v>119</v>
      </c>
      <c r="AM704" t="s">
        <v>112</v>
      </c>
      <c r="AN704" t="s">
        <v>121</v>
      </c>
      <c r="AO704" t="s">
        <v>122</v>
      </c>
      <c r="AP704" t="s">
        <v>122</v>
      </c>
      <c r="AQ704" t="s">
        <v>124</v>
      </c>
      <c r="AR704" t="s">
        <v>125</v>
      </c>
      <c r="AS704">
        <v>2</v>
      </c>
      <c r="AT704" t="s">
        <v>126</v>
      </c>
      <c r="AU704" t="s">
        <v>155</v>
      </c>
      <c r="AV704" t="s">
        <v>156</v>
      </c>
      <c r="AW704">
        <v>1</v>
      </c>
      <c r="AX704" t="s">
        <v>129</v>
      </c>
      <c r="AY704">
        <v>42134.16</v>
      </c>
      <c r="AZ704">
        <v>3577498</v>
      </c>
      <c r="BA704">
        <v>51929.99</v>
      </c>
      <c r="BB704">
        <v>84.907300000000006</v>
      </c>
      <c r="BC704" t="s">
        <v>130</v>
      </c>
      <c r="BD704" t="s">
        <v>112</v>
      </c>
      <c r="BE704" t="s">
        <v>157</v>
      </c>
      <c r="BF704" t="s">
        <v>133</v>
      </c>
      <c r="BG704" t="s">
        <v>134</v>
      </c>
      <c r="BH704" t="s">
        <v>112</v>
      </c>
      <c r="BI704" t="s">
        <v>112</v>
      </c>
      <c r="BJ704" t="s">
        <v>112</v>
      </c>
      <c r="BK704" t="s">
        <v>169</v>
      </c>
      <c r="BL704" t="s">
        <v>159</v>
      </c>
      <c r="BM704" t="s">
        <v>722</v>
      </c>
      <c r="BN704" t="s">
        <v>161</v>
      </c>
      <c r="BO704">
        <v>1</v>
      </c>
      <c r="BP704" t="s">
        <v>232</v>
      </c>
      <c r="BR704" t="s">
        <v>150</v>
      </c>
      <c r="BS704">
        <v>33</v>
      </c>
      <c r="BT704">
        <v>0</v>
      </c>
      <c r="BU704">
        <v>0</v>
      </c>
      <c r="BW704">
        <v>0</v>
      </c>
      <c r="BY704" t="s">
        <v>106</v>
      </c>
      <c r="BZ704" t="s">
        <v>142</v>
      </c>
      <c r="CA704" t="s">
        <v>112</v>
      </c>
      <c r="CB704" t="s">
        <v>112</v>
      </c>
      <c r="CC704" t="s">
        <v>121</v>
      </c>
      <c r="CD704">
        <v>17058.71</v>
      </c>
      <c r="CE704" t="s">
        <v>144</v>
      </c>
      <c r="CF704">
        <v>4000000</v>
      </c>
      <c r="CG704">
        <v>17022.71</v>
      </c>
      <c r="CH704">
        <v>0</v>
      </c>
      <c r="CI704" t="s">
        <v>112</v>
      </c>
      <c r="CJ704" t="s">
        <v>112</v>
      </c>
      <c r="CK704">
        <v>42134.16</v>
      </c>
      <c r="CL704">
        <v>3577498</v>
      </c>
      <c r="CM704">
        <v>0</v>
      </c>
      <c r="CN704">
        <v>1</v>
      </c>
      <c r="CO704">
        <v>3989298.17</v>
      </c>
      <c r="CP704">
        <v>51929.99</v>
      </c>
      <c r="CQ704" t="s">
        <v>145</v>
      </c>
      <c r="CR704">
        <v>51929.479125999998</v>
      </c>
      <c r="CS704">
        <v>3.0506000000000002</v>
      </c>
      <c r="CT704">
        <v>45</v>
      </c>
      <c r="CU704" t="s">
        <v>171</v>
      </c>
      <c r="CV704" t="s">
        <v>463</v>
      </c>
      <c r="CW704">
        <v>116</v>
      </c>
    </row>
    <row r="705" spans="1:101" x14ac:dyDescent="0.2">
      <c r="A705" t="s">
        <v>106</v>
      </c>
      <c r="B705" s="46">
        <v>45132</v>
      </c>
      <c r="C705" t="s">
        <v>1154</v>
      </c>
      <c r="D705" t="s">
        <v>108</v>
      </c>
      <c r="E705" t="s">
        <v>1155</v>
      </c>
      <c r="F705" t="s">
        <v>110</v>
      </c>
      <c r="G705" t="s">
        <v>111</v>
      </c>
      <c r="H705" t="s">
        <v>112</v>
      </c>
      <c r="I705" t="s">
        <v>112</v>
      </c>
      <c r="J705" t="s">
        <v>112</v>
      </c>
      <c r="K705" t="s">
        <v>150</v>
      </c>
      <c r="L705" t="s">
        <v>1143</v>
      </c>
      <c r="M705" t="s">
        <v>112</v>
      </c>
      <c r="N705" t="s">
        <v>112</v>
      </c>
      <c r="O705">
        <v>1</v>
      </c>
      <c r="P705">
        <v>0</v>
      </c>
      <c r="Q705">
        <v>1</v>
      </c>
      <c r="R705">
        <v>33</v>
      </c>
      <c r="S705" t="s">
        <v>166</v>
      </c>
      <c r="T705" t="s">
        <v>152</v>
      </c>
      <c r="U705" t="s">
        <v>153</v>
      </c>
      <c r="V705" t="s">
        <v>154</v>
      </c>
      <c r="W705" t="s">
        <v>119</v>
      </c>
      <c r="X705" t="s">
        <v>112</v>
      </c>
      <c r="Y705" t="s">
        <v>166</v>
      </c>
      <c r="Z705" t="s">
        <v>152</v>
      </c>
      <c r="AA705" t="s">
        <v>153</v>
      </c>
      <c r="AB705" t="s">
        <v>154</v>
      </c>
      <c r="AC705" t="s">
        <v>119</v>
      </c>
      <c r="AD705" t="s">
        <v>112</v>
      </c>
      <c r="AE705" t="s">
        <v>121</v>
      </c>
      <c r="AF705" t="s">
        <v>122</v>
      </c>
      <c r="AG705">
        <v>4455914.7300000004</v>
      </c>
      <c r="AH705" t="s">
        <v>166</v>
      </c>
      <c r="AI705" t="s">
        <v>152</v>
      </c>
      <c r="AJ705" t="s">
        <v>153</v>
      </c>
      <c r="AK705" t="s">
        <v>154</v>
      </c>
      <c r="AL705" t="s">
        <v>119</v>
      </c>
      <c r="AM705" t="s">
        <v>112</v>
      </c>
      <c r="AN705" t="s">
        <v>121</v>
      </c>
      <c r="AO705" t="s">
        <v>122</v>
      </c>
      <c r="AP705" t="s">
        <v>122</v>
      </c>
      <c r="AQ705" t="s">
        <v>124</v>
      </c>
      <c r="AR705" t="s">
        <v>125</v>
      </c>
      <c r="AS705">
        <v>2</v>
      </c>
      <c r="AT705" t="s">
        <v>126</v>
      </c>
      <c r="AU705" t="s">
        <v>155</v>
      </c>
      <c r="AV705" t="s">
        <v>156</v>
      </c>
      <c r="AW705">
        <v>1</v>
      </c>
      <c r="AX705" t="s">
        <v>129</v>
      </c>
      <c r="AY705">
        <v>47829.760000000002</v>
      </c>
      <c r="AZ705">
        <v>4061096</v>
      </c>
      <c r="BA705">
        <v>58004.09</v>
      </c>
      <c r="BB705">
        <v>84.907300000000006</v>
      </c>
      <c r="BC705" t="s">
        <v>130</v>
      </c>
      <c r="BD705" t="s">
        <v>112</v>
      </c>
      <c r="BE705" t="s">
        <v>157</v>
      </c>
      <c r="BF705" t="s">
        <v>133</v>
      </c>
      <c r="BG705" t="s">
        <v>134</v>
      </c>
      <c r="BH705" t="s">
        <v>112</v>
      </c>
      <c r="BI705" t="s">
        <v>112</v>
      </c>
      <c r="BJ705" t="s">
        <v>112</v>
      </c>
      <c r="BK705" t="s">
        <v>169</v>
      </c>
      <c r="BL705" t="s">
        <v>159</v>
      </c>
      <c r="BM705" t="s">
        <v>722</v>
      </c>
      <c r="BN705" t="s">
        <v>161</v>
      </c>
      <c r="BO705">
        <v>1</v>
      </c>
      <c r="BP705" t="s">
        <v>232</v>
      </c>
      <c r="BR705" t="s">
        <v>150</v>
      </c>
      <c r="BS705">
        <v>33</v>
      </c>
      <c r="BT705">
        <v>0</v>
      </c>
      <c r="BU705">
        <v>0</v>
      </c>
      <c r="BW705">
        <v>0</v>
      </c>
      <c r="BY705" t="s">
        <v>106</v>
      </c>
      <c r="BZ705" t="s">
        <v>142</v>
      </c>
      <c r="CA705" t="s">
        <v>112</v>
      </c>
      <c r="CB705" t="s">
        <v>112</v>
      </c>
      <c r="CC705" t="s">
        <v>121</v>
      </c>
      <c r="CD705">
        <v>16964.53</v>
      </c>
      <c r="CE705" t="s">
        <v>144</v>
      </c>
      <c r="CF705">
        <v>4000000</v>
      </c>
      <c r="CG705">
        <v>16964.53</v>
      </c>
      <c r="CH705">
        <v>0</v>
      </c>
      <c r="CI705" t="s">
        <v>112</v>
      </c>
      <c r="CJ705" t="s">
        <v>112</v>
      </c>
      <c r="CK705">
        <v>47829.760000000002</v>
      </c>
      <c r="CL705">
        <v>4061096</v>
      </c>
      <c r="CM705">
        <v>0</v>
      </c>
      <c r="CN705">
        <v>1</v>
      </c>
      <c r="CO705">
        <v>4455914.7300000004</v>
      </c>
      <c r="CP705">
        <v>58004.09</v>
      </c>
      <c r="CQ705" t="s">
        <v>145</v>
      </c>
      <c r="CR705">
        <v>58003.424522999994</v>
      </c>
      <c r="CS705">
        <v>3.4190999999999998</v>
      </c>
      <c r="CT705">
        <v>45</v>
      </c>
      <c r="CU705" t="s">
        <v>171</v>
      </c>
      <c r="CV705" t="s">
        <v>172</v>
      </c>
      <c r="CW705">
        <v>116</v>
      </c>
    </row>
    <row r="706" spans="1:101" x14ac:dyDescent="0.2">
      <c r="A706" t="s">
        <v>106</v>
      </c>
      <c r="B706" s="46">
        <v>45288</v>
      </c>
      <c r="C706" t="s">
        <v>1148</v>
      </c>
      <c r="D706" t="s">
        <v>108</v>
      </c>
      <c r="E706" t="s">
        <v>1149</v>
      </c>
      <c r="F706" t="s">
        <v>110</v>
      </c>
      <c r="G706" t="s">
        <v>111</v>
      </c>
      <c r="H706" t="s">
        <v>112</v>
      </c>
      <c r="I706" t="s">
        <v>112</v>
      </c>
      <c r="J706" t="s">
        <v>112</v>
      </c>
      <c r="K706" t="s">
        <v>150</v>
      </c>
      <c r="L706" t="s">
        <v>1143</v>
      </c>
      <c r="M706" t="s">
        <v>112</v>
      </c>
      <c r="N706" t="s">
        <v>112</v>
      </c>
      <c r="O706">
        <v>1</v>
      </c>
      <c r="P706">
        <v>0</v>
      </c>
      <c r="Q706">
        <v>1</v>
      </c>
      <c r="R706">
        <v>33</v>
      </c>
      <c r="S706" t="s">
        <v>166</v>
      </c>
      <c r="T706" t="s">
        <v>152</v>
      </c>
      <c r="U706" t="s">
        <v>153</v>
      </c>
      <c r="V706" t="s">
        <v>154</v>
      </c>
      <c r="W706" t="s">
        <v>119</v>
      </c>
      <c r="X706" t="s">
        <v>112</v>
      </c>
      <c r="Y706" t="s">
        <v>166</v>
      </c>
      <c r="Z706" t="s">
        <v>152</v>
      </c>
      <c r="AA706" t="s">
        <v>153</v>
      </c>
      <c r="AB706" t="s">
        <v>154</v>
      </c>
      <c r="AC706" t="s">
        <v>119</v>
      </c>
      <c r="AD706" t="s">
        <v>112</v>
      </c>
      <c r="AE706" t="s">
        <v>121</v>
      </c>
      <c r="AF706" t="s">
        <v>122</v>
      </c>
      <c r="AG706">
        <v>3923093.4</v>
      </c>
      <c r="AH706" t="s">
        <v>166</v>
      </c>
      <c r="AI706" t="s">
        <v>152</v>
      </c>
      <c r="AJ706" t="s">
        <v>153</v>
      </c>
      <c r="AK706" t="s">
        <v>154</v>
      </c>
      <c r="AL706" t="s">
        <v>119</v>
      </c>
      <c r="AM706" t="s">
        <v>112</v>
      </c>
      <c r="AN706" t="s">
        <v>121</v>
      </c>
      <c r="AO706" t="s">
        <v>122</v>
      </c>
      <c r="AP706" t="s">
        <v>122</v>
      </c>
      <c r="AQ706" t="s">
        <v>124</v>
      </c>
      <c r="AR706" t="s">
        <v>125</v>
      </c>
      <c r="AS706">
        <v>2</v>
      </c>
      <c r="AT706" t="s">
        <v>126</v>
      </c>
      <c r="AU706" t="s">
        <v>155</v>
      </c>
      <c r="AV706" t="s">
        <v>156</v>
      </c>
      <c r="AW706">
        <v>1</v>
      </c>
      <c r="AX706" t="s">
        <v>129</v>
      </c>
      <c r="AY706">
        <v>42074.43</v>
      </c>
      <c r="AZ706">
        <v>3572426</v>
      </c>
      <c r="BA706">
        <v>51068.18</v>
      </c>
      <c r="BB706">
        <v>84.907300000000006</v>
      </c>
      <c r="BC706" t="s">
        <v>130</v>
      </c>
      <c r="BD706" t="s">
        <v>112</v>
      </c>
      <c r="BE706" t="s">
        <v>157</v>
      </c>
      <c r="BF706" t="s">
        <v>133</v>
      </c>
      <c r="BG706" t="s">
        <v>134</v>
      </c>
      <c r="BH706" t="s">
        <v>112</v>
      </c>
      <c r="BI706" t="s">
        <v>112</v>
      </c>
      <c r="BJ706" t="s">
        <v>112</v>
      </c>
      <c r="BK706" t="s">
        <v>169</v>
      </c>
      <c r="BL706" t="s">
        <v>159</v>
      </c>
      <c r="BM706" t="s">
        <v>722</v>
      </c>
      <c r="BN706" t="s">
        <v>161</v>
      </c>
      <c r="BO706">
        <v>1</v>
      </c>
      <c r="BP706" t="s">
        <v>232</v>
      </c>
      <c r="BR706" t="s">
        <v>150</v>
      </c>
      <c r="BS706">
        <v>33</v>
      </c>
      <c r="BT706">
        <v>0</v>
      </c>
      <c r="BU706">
        <v>0</v>
      </c>
      <c r="BW706">
        <v>0</v>
      </c>
      <c r="BY706" t="s">
        <v>106</v>
      </c>
      <c r="BZ706" t="s">
        <v>142</v>
      </c>
      <c r="CA706" t="s">
        <v>112</v>
      </c>
      <c r="CB706" t="s">
        <v>112</v>
      </c>
      <c r="CC706" t="s">
        <v>121</v>
      </c>
      <c r="CD706">
        <v>17248.72</v>
      </c>
      <c r="CE706" t="s">
        <v>144</v>
      </c>
      <c r="CF706">
        <v>4000000</v>
      </c>
      <c r="CG706">
        <v>17248.72</v>
      </c>
      <c r="CH706">
        <v>0</v>
      </c>
      <c r="CI706" t="s">
        <v>112</v>
      </c>
      <c r="CJ706" t="s">
        <v>112</v>
      </c>
      <c r="CK706">
        <v>42074.43</v>
      </c>
      <c r="CL706">
        <v>3572426</v>
      </c>
      <c r="CM706">
        <v>0</v>
      </c>
      <c r="CN706">
        <v>1</v>
      </c>
      <c r="CO706">
        <v>3923093.4</v>
      </c>
      <c r="CP706">
        <v>51068.18</v>
      </c>
      <c r="CQ706" t="s">
        <v>145</v>
      </c>
      <c r="CR706">
        <v>51068.285304000005</v>
      </c>
      <c r="CS706">
        <v>2.9607000000000001</v>
      </c>
      <c r="CT706">
        <v>45</v>
      </c>
      <c r="CU706" t="s">
        <v>171</v>
      </c>
      <c r="CV706" t="s">
        <v>372</v>
      </c>
      <c r="CW706">
        <v>326</v>
      </c>
    </row>
    <row r="707" spans="1:101" x14ac:dyDescent="0.2">
      <c r="A707" t="s">
        <v>106</v>
      </c>
      <c r="B707" s="46">
        <v>44957</v>
      </c>
      <c r="C707" t="s">
        <v>1150</v>
      </c>
      <c r="D707" t="s">
        <v>108</v>
      </c>
      <c r="E707" t="s">
        <v>1151</v>
      </c>
      <c r="F707" t="s">
        <v>110</v>
      </c>
      <c r="G707" t="s">
        <v>111</v>
      </c>
      <c r="H707" t="s">
        <v>112</v>
      </c>
      <c r="I707" t="s">
        <v>112</v>
      </c>
      <c r="J707" t="s">
        <v>112</v>
      </c>
      <c r="K707" t="s">
        <v>150</v>
      </c>
      <c r="L707" t="s">
        <v>1143</v>
      </c>
      <c r="M707" t="s">
        <v>112</v>
      </c>
      <c r="N707" t="s">
        <v>112</v>
      </c>
      <c r="O707">
        <v>1</v>
      </c>
      <c r="P707">
        <v>0</v>
      </c>
      <c r="Q707">
        <v>1</v>
      </c>
      <c r="R707">
        <v>33</v>
      </c>
      <c r="S707" t="s">
        <v>166</v>
      </c>
      <c r="T707" t="s">
        <v>152</v>
      </c>
      <c r="U707" t="s">
        <v>153</v>
      </c>
      <c r="V707" t="s">
        <v>154</v>
      </c>
      <c r="W707" t="s">
        <v>119</v>
      </c>
      <c r="X707" t="s">
        <v>112</v>
      </c>
      <c r="Y707" t="s">
        <v>166</v>
      </c>
      <c r="Z707" t="s">
        <v>152</v>
      </c>
      <c r="AA707" t="s">
        <v>153</v>
      </c>
      <c r="AB707" t="s">
        <v>154</v>
      </c>
      <c r="AC707" t="s">
        <v>119</v>
      </c>
      <c r="AD707" t="s">
        <v>112</v>
      </c>
      <c r="AE707" t="s">
        <v>121</v>
      </c>
      <c r="AF707" t="s">
        <v>122</v>
      </c>
      <c r="AG707">
        <v>4323667.37</v>
      </c>
      <c r="AH707" t="s">
        <v>166</v>
      </c>
      <c r="AI707" t="s">
        <v>152</v>
      </c>
      <c r="AJ707" t="s">
        <v>153</v>
      </c>
      <c r="AK707" t="s">
        <v>154</v>
      </c>
      <c r="AL707" t="s">
        <v>119</v>
      </c>
      <c r="AM707" t="s">
        <v>112</v>
      </c>
      <c r="AN707" t="s">
        <v>121</v>
      </c>
      <c r="AO707" t="s">
        <v>122</v>
      </c>
      <c r="AP707" t="s">
        <v>122</v>
      </c>
      <c r="AQ707" t="s">
        <v>124</v>
      </c>
      <c r="AR707" t="s">
        <v>125</v>
      </c>
      <c r="AS707">
        <v>2</v>
      </c>
      <c r="AT707" t="s">
        <v>126</v>
      </c>
      <c r="AU707" t="s">
        <v>155</v>
      </c>
      <c r="AV707" t="s">
        <v>156</v>
      </c>
      <c r="AW707">
        <v>1</v>
      </c>
      <c r="AX707" t="s">
        <v>129</v>
      </c>
      <c r="AY707">
        <v>46572.21</v>
      </c>
      <c r="AZ707">
        <v>3954321</v>
      </c>
      <c r="BA707">
        <v>56282.58</v>
      </c>
      <c r="BB707">
        <v>84.907300000000006</v>
      </c>
      <c r="BC707" t="s">
        <v>130</v>
      </c>
      <c r="BD707" t="s">
        <v>112</v>
      </c>
      <c r="BE707" t="s">
        <v>157</v>
      </c>
      <c r="BF707" t="s">
        <v>133</v>
      </c>
      <c r="BG707" t="s">
        <v>134</v>
      </c>
      <c r="BH707" t="s">
        <v>112</v>
      </c>
      <c r="BI707" t="s">
        <v>112</v>
      </c>
      <c r="BJ707" t="s">
        <v>112</v>
      </c>
      <c r="BK707" t="s">
        <v>169</v>
      </c>
      <c r="BL707" t="s">
        <v>159</v>
      </c>
      <c r="BM707" t="s">
        <v>726</v>
      </c>
      <c r="BN707" t="s">
        <v>161</v>
      </c>
      <c r="BO707">
        <v>1</v>
      </c>
      <c r="BP707" t="s">
        <v>232</v>
      </c>
      <c r="BR707" t="s">
        <v>150</v>
      </c>
      <c r="BS707">
        <v>33</v>
      </c>
      <c r="BT707">
        <v>0</v>
      </c>
      <c r="BU707">
        <v>0</v>
      </c>
      <c r="BW707">
        <v>0</v>
      </c>
      <c r="BY707" t="s">
        <v>106</v>
      </c>
      <c r="BZ707" t="s">
        <v>142</v>
      </c>
      <c r="CA707" t="s">
        <v>112</v>
      </c>
      <c r="CB707" t="s">
        <v>112</v>
      </c>
      <c r="CC707" t="s">
        <v>121</v>
      </c>
      <c r="CD707">
        <v>16835.990000000002</v>
      </c>
      <c r="CE707" t="s">
        <v>144</v>
      </c>
      <c r="CF707">
        <v>4000000</v>
      </c>
      <c r="CG707">
        <v>16835.990000000002</v>
      </c>
      <c r="CH707">
        <v>0</v>
      </c>
      <c r="CI707" t="s">
        <v>112</v>
      </c>
      <c r="CJ707" t="s">
        <v>112</v>
      </c>
      <c r="CK707">
        <v>46572.21</v>
      </c>
      <c r="CL707">
        <v>3954321</v>
      </c>
      <c r="CM707">
        <v>0</v>
      </c>
      <c r="CN707">
        <v>1</v>
      </c>
      <c r="CO707">
        <v>4323667.37</v>
      </c>
      <c r="CP707">
        <v>56282.58</v>
      </c>
      <c r="CQ707" t="s">
        <v>145</v>
      </c>
      <c r="CR707">
        <v>56282.714570000004</v>
      </c>
      <c r="CS707">
        <v>3.343</v>
      </c>
      <c r="CT707">
        <v>45</v>
      </c>
      <c r="CU707" t="s">
        <v>171</v>
      </c>
      <c r="CV707" t="s">
        <v>372</v>
      </c>
      <c r="CW707">
        <v>564</v>
      </c>
    </row>
    <row r="708" spans="1:101" x14ac:dyDescent="0.2">
      <c r="A708" t="s">
        <v>106</v>
      </c>
      <c r="B708" s="46">
        <v>45109</v>
      </c>
      <c r="C708" t="s">
        <v>1144</v>
      </c>
      <c r="D708" t="s">
        <v>108</v>
      </c>
      <c r="E708" t="s">
        <v>1145</v>
      </c>
      <c r="F708" t="s">
        <v>110</v>
      </c>
      <c r="G708" t="s">
        <v>111</v>
      </c>
      <c r="H708" t="s">
        <v>112</v>
      </c>
      <c r="I708" t="s">
        <v>112</v>
      </c>
      <c r="J708" t="s">
        <v>112</v>
      </c>
      <c r="K708" t="s">
        <v>150</v>
      </c>
      <c r="L708" t="s">
        <v>1143</v>
      </c>
      <c r="M708" t="s">
        <v>112</v>
      </c>
      <c r="N708" t="s">
        <v>112</v>
      </c>
      <c r="O708">
        <v>1</v>
      </c>
      <c r="P708">
        <v>0</v>
      </c>
      <c r="Q708">
        <v>1</v>
      </c>
      <c r="R708">
        <v>33</v>
      </c>
      <c r="S708" t="s">
        <v>166</v>
      </c>
      <c r="T708" t="s">
        <v>152</v>
      </c>
      <c r="U708" t="s">
        <v>153</v>
      </c>
      <c r="V708" t="s">
        <v>154</v>
      </c>
      <c r="W708" t="s">
        <v>119</v>
      </c>
      <c r="X708" t="s">
        <v>112</v>
      </c>
      <c r="Y708" t="s">
        <v>166</v>
      </c>
      <c r="Z708" t="s">
        <v>152</v>
      </c>
      <c r="AA708" t="s">
        <v>153</v>
      </c>
      <c r="AB708" t="s">
        <v>154</v>
      </c>
      <c r="AC708" t="s">
        <v>119</v>
      </c>
      <c r="AD708" t="s">
        <v>112</v>
      </c>
      <c r="AE708" t="s">
        <v>121</v>
      </c>
      <c r="AF708" t="s">
        <v>122</v>
      </c>
      <c r="AG708">
        <v>3823654.22</v>
      </c>
      <c r="AH708" t="s">
        <v>166</v>
      </c>
      <c r="AI708" t="s">
        <v>152</v>
      </c>
      <c r="AJ708" t="s">
        <v>153</v>
      </c>
      <c r="AK708" t="s">
        <v>154</v>
      </c>
      <c r="AL708" t="s">
        <v>119</v>
      </c>
      <c r="AM708" t="s">
        <v>112</v>
      </c>
      <c r="AN708" t="s">
        <v>121</v>
      </c>
      <c r="AO708" t="s">
        <v>122</v>
      </c>
      <c r="AP708" t="s">
        <v>122</v>
      </c>
      <c r="AQ708" t="s">
        <v>124</v>
      </c>
      <c r="AR708" t="s">
        <v>125</v>
      </c>
      <c r="AS708">
        <v>2</v>
      </c>
      <c r="AT708" t="s">
        <v>126</v>
      </c>
      <c r="AU708" t="s">
        <v>155</v>
      </c>
      <c r="AV708" t="s">
        <v>156</v>
      </c>
      <c r="AW708">
        <v>1</v>
      </c>
      <c r="AX708" t="s">
        <v>129</v>
      </c>
      <c r="AY708">
        <v>40183.279999999999</v>
      </c>
      <c r="AZ708">
        <v>3411854</v>
      </c>
      <c r="BA708">
        <v>49773.75</v>
      </c>
      <c r="BB708">
        <v>84.907300000000006</v>
      </c>
      <c r="BC708" t="s">
        <v>130</v>
      </c>
      <c r="BD708" t="s">
        <v>112</v>
      </c>
      <c r="BE708" t="s">
        <v>157</v>
      </c>
      <c r="BF708" t="s">
        <v>133</v>
      </c>
      <c r="BG708" t="s">
        <v>167</v>
      </c>
      <c r="BH708" t="s">
        <v>168</v>
      </c>
      <c r="BI708" t="s">
        <v>112</v>
      </c>
      <c r="BJ708" t="s">
        <v>112</v>
      </c>
      <c r="BK708" t="s">
        <v>169</v>
      </c>
      <c r="BL708" t="s">
        <v>159</v>
      </c>
      <c r="BM708" t="s">
        <v>726</v>
      </c>
      <c r="BN708" t="s">
        <v>161</v>
      </c>
      <c r="BO708">
        <v>1</v>
      </c>
      <c r="BP708" t="s">
        <v>232</v>
      </c>
      <c r="BR708" t="s">
        <v>150</v>
      </c>
      <c r="BS708">
        <v>33</v>
      </c>
      <c r="BT708">
        <v>0</v>
      </c>
      <c r="BU708">
        <v>0</v>
      </c>
      <c r="BW708">
        <v>0</v>
      </c>
      <c r="BY708" t="s">
        <v>106</v>
      </c>
      <c r="BZ708" t="s">
        <v>142</v>
      </c>
      <c r="CA708" t="s">
        <v>112</v>
      </c>
      <c r="CB708" t="s">
        <v>112</v>
      </c>
      <c r="CC708" t="s">
        <v>121</v>
      </c>
      <c r="CD708">
        <v>16938.439999999999</v>
      </c>
      <c r="CE708" t="s">
        <v>144</v>
      </c>
      <c r="CF708">
        <v>4000000</v>
      </c>
      <c r="CG708">
        <v>16920.439999999999</v>
      </c>
      <c r="CH708">
        <v>0</v>
      </c>
      <c r="CI708" t="s">
        <v>112</v>
      </c>
      <c r="CJ708" t="s">
        <v>112</v>
      </c>
      <c r="CK708">
        <v>40183.279999999999</v>
      </c>
      <c r="CL708">
        <v>3411854</v>
      </c>
      <c r="CM708">
        <v>0</v>
      </c>
      <c r="CN708">
        <v>1</v>
      </c>
      <c r="CO708">
        <v>3823654.22</v>
      </c>
      <c r="CP708">
        <v>49773.75</v>
      </c>
      <c r="CQ708" t="s">
        <v>145</v>
      </c>
      <c r="CR708">
        <v>49773.166303999998</v>
      </c>
      <c r="CS708">
        <v>2.9416000000000002</v>
      </c>
      <c r="CT708">
        <v>45</v>
      </c>
      <c r="CU708" t="s">
        <v>171</v>
      </c>
      <c r="CV708" t="s">
        <v>172</v>
      </c>
      <c r="CW708">
        <v>121</v>
      </c>
    </row>
    <row r="709" spans="1:101" x14ac:dyDescent="0.2">
      <c r="A709" t="s">
        <v>106</v>
      </c>
      <c r="B709" s="46">
        <v>45195</v>
      </c>
      <c r="C709" t="s">
        <v>1156</v>
      </c>
      <c r="D709" t="s">
        <v>108</v>
      </c>
      <c r="E709" t="s">
        <v>1157</v>
      </c>
      <c r="F709" t="s">
        <v>110</v>
      </c>
      <c r="G709" t="s">
        <v>111</v>
      </c>
      <c r="H709" t="s">
        <v>112</v>
      </c>
      <c r="I709" t="s">
        <v>112</v>
      </c>
      <c r="J709" t="s">
        <v>112</v>
      </c>
      <c r="K709" t="s">
        <v>150</v>
      </c>
      <c r="L709" t="s">
        <v>1143</v>
      </c>
      <c r="M709" t="s">
        <v>112</v>
      </c>
      <c r="N709" t="s">
        <v>112</v>
      </c>
      <c r="O709">
        <v>1</v>
      </c>
      <c r="P709">
        <v>0</v>
      </c>
      <c r="Q709">
        <v>1</v>
      </c>
      <c r="R709">
        <v>33</v>
      </c>
      <c r="S709" t="s">
        <v>166</v>
      </c>
      <c r="T709" t="s">
        <v>152</v>
      </c>
      <c r="U709" t="s">
        <v>153</v>
      </c>
      <c r="V709" t="s">
        <v>154</v>
      </c>
      <c r="W709" t="s">
        <v>119</v>
      </c>
      <c r="X709" t="s">
        <v>112</v>
      </c>
      <c r="Y709" t="s">
        <v>166</v>
      </c>
      <c r="Z709" t="s">
        <v>152</v>
      </c>
      <c r="AA709" t="s">
        <v>153</v>
      </c>
      <c r="AB709" t="s">
        <v>154</v>
      </c>
      <c r="AC709" t="s">
        <v>119</v>
      </c>
      <c r="AD709" t="s">
        <v>112</v>
      </c>
      <c r="AE709" t="s">
        <v>121</v>
      </c>
      <c r="AF709" t="s">
        <v>122</v>
      </c>
      <c r="AG709">
        <v>4127119.7</v>
      </c>
      <c r="AH709" t="s">
        <v>166</v>
      </c>
      <c r="AI709" t="s">
        <v>152</v>
      </c>
      <c r="AJ709" t="s">
        <v>153</v>
      </c>
      <c r="AK709" t="s">
        <v>154</v>
      </c>
      <c r="AL709" t="s">
        <v>119</v>
      </c>
      <c r="AM709" t="s">
        <v>112</v>
      </c>
      <c r="AN709" t="s">
        <v>121</v>
      </c>
      <c r="AO709" t="s">
        <v>122</v>
      </c>
      <c r="AP709" t="s">
        <v>122</v>
      </c>
      <c r="AQ709" t="s">
        <v>124</v>
      </c>
      <c r="AR709" t="s">
        <v>125</v>
      </c>
      <c r="AS709">
        <v>2</v>
      </c>
      <c r="AT709" t="s">
        <v>126</v>
      </c>
      <c r="AU709" t="s">
        <v>155</v>
      </c>
      <c r="AV709" t="s">
        <v>156</v>
      </c>
      <c r="AW709">
        <v>1</v>
      </c>
      <c r="AX709" t="s">
        <v>129</v>
      </c>
      <c r="AY709">
        <v>43557.36</v>
      </c>
      <c r="AZ709">
        <v>3698338</v>
      </c>
      <c r="BA709">
        <v>53724.06</v>
      </c>
      <c r="BB709">
        <v>84.907300000000006</v>
      </c>
      <c r="BC709" t="s">
        <v>130</v>
      </c>
      <c r="BD709" t="s">
        <v>112</v>
      </c>
      <c r="BE709" t="s">
        <v>157</v>
      </c>
      <c r="BF709" t="s">
        <v>133</v>
      </c>
      <c r="BG709" t="s">
        <v>167</v>
      </c>
      <c r="BH709" t="s">
        <v>168</v>
      </c>
      <c r="BI709" t="s">
        <v>112</v>
      </c>
      <c r="BJ709" t="s">
        <v>112</v>
      </c>
      <c r="BK709" t="s">
        <v>169</v>
      </c>
      <c r="BL709" t="s">
        <v>159</v>
      </c>
      <c r="BM709" t="s">
        <v>726</v>
      </c>
      <c r="BN709" t="s">
        <v>161</v>
      </c>
      <c r="BO709">
        <v>1</v>
      </c>
      <c r="BP709" t="s">
        <v>162</v>
      </c>
      <c r="BR709" t="s">
        <v>150</v>
      </c>
      <c r="BS709">
        <v>33</v>
      </c>
      <c r="BT709">
        <v>0</v>
      </c>
      <c r="BU709">
        <v>0</v>
      </c>
      <c r="BW709">
        <v>0</v>
      </c>
      <c r="BY709" t="s">
        <v>106</v>
      </c>
      <c r="BZ709" t="s">
        <v>142</v>
      </c>
      <c r="CA709" t="s">
        <v>112</v>
      </c>
      <c r="CB709" t="s">
        <v>112</v>
      </c>
      <c r="CC709" t="s">
        <v>121</v>
      </c>
      <c r="CD709">
        <v>15985.42</v>
      </c>
      <c r="CE709" t="s">
        <v>144</v>
      </c>
      <c r="CF709">
        <v>4000000</v>
      </c>
      <c r="CG709">
        <v>15819.82</v>
      </c>
      <c r="CH709">
        <v>0</v>
      </c>
      <c r="CI709" t="s">
        <v>112</v>
      </c>
      <c r="CJ709" t="s">
        <v>112</v>
      </c>
      <c r="CK709">
        <v>43557.36</v>
      </c>
      <c r="CL709">
        <v>3698338</v>
      </c>
      <c r="CM709">
        <v>0</v>
      </c>
      <c r="CN709">
        <v>1</v>
      </c>
      <c r="CO709">
        <v>4127119.7</v>
      </c>
      <c r="CP709">
        <v>53724.06</v>
      </c>
      <c r="CQ709" t="s">
        <v>145</v>
      </c>
      <c r="CR709">
        <v>53724.108719999997</v>
      </c>
      <c r="CS709">
        <v>3.3959999999999999</v>
      </c>
      <c r="CT709">
        <v>45</v>
      </c>
      <c r="CU709" t="s">
        <v>171</v>
      </c>
      <c r="CV709" t="s">
        <v>372</v>
      </c>
      <c r="CW709">
        <v>325</v>
      </c>
    </row>
    <row r="710" spans="1:101" x14ac:dyDescent="0.2">
      <c r="A710" t="s">
        <v>106</v>
      </c>
      <c r="B710" s="46">
        <v>45032</v>
      </c>
      <c r="C710" t="s">
        <v>1141</v>
      </c>
      <c r="D710" t="s">
        <v>108</v>
      </c>
      <c r="E710" t="s">
        <v>1142</v>
      </c>
      <c r="F710" t="s">
        <v>110</v>
      </c>
      <c r="G710" t="s">
        <v>111</v>
      </c>
      <c r="H710" t="s">
        <v>112</v>
      </c>
      <c r="I710" t="s">
        <v>112</v>
      </c>
      <c r="J710" t="s">
        <v>112</v>
      </c>
      <c r="K710" t="s">
        <v>150</v>
      </c>
      <c r="L710" t="s">
        <v>1143</v>
      </c>
      <c r="M710" t="s">
        <v>112</v>
      </c>
      <c r="N710" t="s">
        <v>112</v>
      </c>
      <c r="O710">
        <v>1</v>
      </c>
      <c r="P710">
        <v>0</v>
      </c>
      <c r="Q710">
        <v>1</v>
      </c>
      <c r="R710">
        <v>33</v>
      </c>
      <c r="S710" t="s">
        <v>166</v>
      </c>
      <c r="T710" t="s">
        <v>152</v>
      </c>
      <c r="U710" t="s">
        <v>153</v>
      </c>
      <c r="V710" t="s">
        <v>154</v>
      </c>
      <c r="W710" t="s">
        <v>119</v>
      </c>
      <c r="X710" t="s">
        <v>112</v>
      </c>
      <c r="Y710" t="s">
        <v>166</v>
      </c>
      <c r="Z710" t="s">
        <v>152</v>
      </c>
      <c r="AA710" t="s">
        <v>153</v>
      </c>
      <c r="AB710" t="s">
        <v>154</v>
      </c>
      <c r="AC710" t="s">
        <v>119</v>
      </c>
      <c r="AD710" t="s">
        <v>112</v>
      </c>
      <c r="AE710" t="s">
        <v>121</v>
      </c>
      <c r="AF710" t="s">
        <v>122</v>
      </c>
      <c r="AG710">
        <v>4000353.1</v>
      </c>
      <c r="AH710" t="s">
        <v>166</v>
      </c>
      <c r="AI710" t="s">
        <v>152</v>
      </c>
      <c r="AJ710" t="s">
        <v>153</v>
      </c>
      <c r="AK710" t="s">
        <v>154</v>
      </c>
      <c r="AL710" t="s">
        <v>119</v>
      </c>
      <c r="AM710" t="s">
        <v>112</v>
      </c>
      <c r="AN710" t="s">
        <v>121</v>
      </c>
      <c r="AO710" t="s">
        <v>122</v>
      </c>
      <c r="AP710" t="s">
        <v>122</v>
      </c>
      <c r="AQ710" t="s">
        <v>124</v>
      </c>
      <c r="AR710" t="s">
        <v>125</v>
      </c>
      <c r="AS710">
        <v>2</v>
      </c>
      <c r="AT710" t="s">
        <v>126</v>
      </c>
      <c r="AU710" t="s">
        <v>155</v>
      </c>
      <c r="AV710" t="s">
        <v>156</v>
      </c>
      <c r="AW710">
        <v>1</v>
      </c>
      <c r="AX710" t="s">
        <v>129</v>
      </c>
      <c r="AY710">
        <v>42264.36</v>
      </c>
      <c r="AZ710">
        <v>3588553</v>
      </c>
      <c r="BA710">
        <v>52073.9</v>
      </c>
      <c r="BB710">
        <v>84.907300000000006</v>
      </c>
      <c r="BC710" t="s">
        <v>130</v>
      </c>
      <c r="BD710" t="s">
        <v>112</v>
      </c>
      <c r="BE710" t="s">
        <v>157</v>
      </c>
      <c r="BF710" t="s">
        <v>133</v>
      </c>
      <c r="BG710" t="s">
        <v>167</v>
      </c>
      <c r="BH710" t="s">
        <v>168</v>
      </c>
      <c r="BI710" t="s">
        <v>112</v>
      </c>
      <c r="BJ710" t="s">
        <v>112</v>
      </c>
      <c r="BK710" t="s">
        <v>169</v>
      </c>
      <c r="BL710" t="s">
        <v>159</v>
      </c>
      <c r="BM710" t="s">
        <v>726</v>
      </c>
      <c r="BN710" t="s">
        <v>161</v>
      </c>
      <c r="BO710">
        <v>1</v>
      </c>
      <c r="BP710" t="s">
        <v>205</v>
      </c>
      <c r="BR710" t="s">
        <v>150</v>
      </c>
      <c r="BS710">
        <v>33</v>
      </c>
      <c r="BT710">
        <v>0</v>
      </c>
      <c r="BU710">
        <v>0</v>
      </c>
      <c r="BW710">
        <v>0</v>
      </c>
      <c r="BY710" t="s">
        <v>106</v>
      </c>
      <c r="BZ710" t="s">
        <v>142</v>
      </c>
      <c r="CA710" t="s">
        <v>112</v>
      </c>
      <c r="CB710" t="s">
        <v>112</v>
      </c>
      <c r="CC710" t="s">
        <v>121</v>
      </c>
      <c r="CD710">
        <v>17431.97</v>
      </c>
      <c r="CE710" t="s">
        <v>144</v>
      </c>
      <c r="CF710">
        <v>4000000</v>
      </c>
      <c r="CG710">
        <v>17431.97</v>
      </c>
      <c r="CH710">
        <v>0</v>
      </c>
      <c r="CI710" t="s">
        <v>112</v>
      </c>
      <c r="CJ710" t="s">
        <v>112</v>
      </c>
      <c r="CK710">
        <v>42264.36</v>
      </c>
      <c r="CL710">
        <v>3588553</v>
      </c>
      <c r="CM710">
        <v>0</v>
      </c>
      <c r="CN710">
        <v>1</v>
      </c>
      <c r="CO710">
        <v>4000353.1</v>
      </c>
      <c r="CP710">
        <v>52073.9</v>
      </c>
      <c r="CQ710" t="s">
        <v>145</v>
      </c>
      <c r="CR710">
        <v>52074.523980999998</v>
      </c>
      <c r="CS710">
        <v>2.9872999999999998</v>
      </c>
      <c r="CT710">
        <v>45</v>
      </c>
      <c r="CU710" t="s">
        <v>171</v>
      </c>
      <c r="CV710" t="s">
        <v>172</v>
      </c>
      <c r="CW710">
        <v>310</v>
      </c>
    </row>
    <row r="711" spans="1:101" x14ac:dyDescent="0.2">
      <c r="A711" t="s">
        <v>106</v>
      </c>
      <c r="B711" s="46">
        <v>45277</v>
      </c>
      <c r="C711" t="s">
        <v>887</v>
      </c>
      <c r="D711" t="s">
        <v>108</v>
      </c>
      <c r="E711" t="s">
        <v>888</v>
      </c>
      <c r="F711" t="s">
        <v>110</v>
      </c>
      <c r="G711" t="s">
        <v>111</v>
      </c>
      <c r="H711" t="s">
        <v>112</v>
      </c>
      <c r="I711" t="s">
        <v>112</v>
      </c>
      <c r="J711" t="s">
        <v>112</v>
      </c>
      <c r="K711" t="s">
        <v>150</v>
      </c>
      <c r="L711" t="s">
        <v>151</v>
      </c>
      <c r="M711" t="s">
        <v>112</v>
      </c>
      <c r="N711" t="s">
        <v>112</v>
      </c>
      <c r="O711">
        <v>1</v>
      </c>
      <c r="P711">
        <v>0</v>
      </c>
      <c r="Q711">
        <v>1</v>
      </c>
      <c r="R711">
        <v>33</v>
      </c>
      <c r="S711" t="s">
        <v>166</v>
      </c>
      <c r="T711" t="s">
        <v>152</v>
      </c>
      <c r="U711" t="s">
        <v>153</v>
      </c>
      <c r="V711" t="s">
        <v>154</v>
      </c>
      <c r="W711" t="s">
        <v>119</v>
      </c>
      <c r="X711" t="s">
        <v>112</v>
      </c>
      <c r="Y711" t="s">
        <v>166</v>
      </c>
      <c r="Z711" t="s">
        <v>152</v>
      </c>
      <c r="AA711" t="s">
        <v>153</v>
      </c>
      <c r="AB711" t="s">
        <v>154</v>
      </c>
      <c r="AC711" t="s">
        <v>119</v>
      </c>
      <c r="AD711" t="s">
        <v>112</v>
      </c>
      <c r="AE711" t="s">
        <v>121</v>
      </c>
      <c r="AF711" t="s">
        <v>122</v>
      </c>
      <c r="AG711">
        <v>3352341.02</v>
      </c>
      <c r="AH711" t="s">
        <v>166</v>
      </c>
      <c r="AI711" t="s">
        <v>152</v>
      </c>
      <c r="AJ711" t="s">
        <v>153</v>
      </c>
      <c r="AK711" t="s">
        <v>154</v>
      </c>
      <c r="AL711" t="s">
        <v>119</v>
      </c>
      <c r="AM711" t="s">
        <v>112</v>
      </c>
      <c r="AN711" t="s">
        <v>121</v>
      </c>
      <c r="AO711" t="s">
        <v>122</v>
      </c>
      <c r="AP711" t="s">
        <v>122</v>
      </c>
      <c r="AQ711" t="s">
        <v>124</v>
      </c>
      <c r="AR711" t="s">
        <v>125</v>
      </c>
      <c r="AS711">
        <v>2</v>
      </c>
      <c r="AT711" t="s">
        <v>126</v>
      </c>
      <c r="AU711" t="s">
        <v>155</v>
      </c>
      <c r="AV711" t="s">
        <v>156</v>
      </c>
      <c r="AW711">
        <v>1</v>
      </c>
      <c r="AX711" t="s">
        <v>129</v>
      </c>
      <c r="AY711">
        <v>37482.519999999997</v>
      </c>
      <c r="AZ711">
        <v>3003744</v>
      </c>
      <c r="BA711">
        <v>44166.239999999998</v>
      </c>
      <c r="BB711">
        <v>80.137200000000007</v>
      </c>
      <c r="BC711" t="s">
        <v>130</v>
      </c>
      <c r="BD711" t="s">
        <v>112</v>
      </c>
      <c r="BE711" t="s">
        <v>157</v>
      </c>
      <c r="BF711" t="s">
        <v>133</v>
      </c>
      <c r="BG711" t="s">
        <v>134</v>
      </c>
      <c r="BH711" t="s">
        <v>112</v>
      </c>
      <c r="BI711" t="s">
        <v>112</v>
      </c>
      <c r="BJ711" t="s">
        <v>112</v>
      </c>
      <c r="BK711" t="s">
        <v>169</v>
      </c>
      <c r="BL711" t="s">
        <v>159</v>
      </c>
      <c r="BM711" t="s">
        <v>212</v>
      </c>
      <c r="BN711" t="s">
        <v>161</v>
      </c>
      <c r="BO711">
        <v>1</v>
      </c>
      <c r="BP711" t="s">
        <v>232</v>
      </c>
      <c r="BR711" t="s">
        <v>150</v>
      </c>
      <c r="BS711">
        <v>33</v>
      </c>
      <c r="BT711">
        <v>0</v>
      </c>
      <c r="BU711">
        <v>0</v>
      </c>
      <c r="BW711">
        <v>0</v>
      </c>
      <c r="BY711" t="s">
        <v>106</v>
      </c>
      <c r="BZ711" t="s">
        <v>142</v>
      </c>
      <c r="CA711" t="s">
        <v>112</v>
      </c>
      <c r="CB711" t="s">
        <v>112</v>
      </c>
      <c r="CC711" t="s">
        <v>121</v>
      </c>
      <c r="CD711">
        <v>15941.42</v>
      </c>
      <c r="CE711" t="s">
        <v>144</v>
      </c>
      <c r="CF711">
        <v>4000000</v>
      </c>
      <c r="CG711">
        <v>15768.62</v>
      </c>
      <c r="CH711">
        <v>0</v>
      </c>
      <c r="CI711" t="s">
        <v>112</v>
      </c>
      <c r="CJ711" t="s">
        <v>112</v>
      </c>
      <c r="CK711">
        <v>37482.519999999997</v>
      </c>
      <c r="CL711">
        <v>3003744</v>
      </c>
      <c r="CM711">
        <v>0</v>
      </c>
      <c r="CN711">
        <v>1</v>
      </c>
      <c r="CO711">
        <v>3352341.02</v>
      </c>
      <c r="CP711">
        <v>44166.239999999998</v>
      </c>
      <c r="CQ711" t="s">
        <v>145</v>
      </c>
      <c r="CR711">
        <v>44166.327757999999</v>
      </c>
      <c r="CS711">
        <v>2.8008999999999999</v>
      </c>
      <c r="CT711">
        <v>45</v>
      </c>
      <c r="CU711" t="s">
        <v>171</v>
      </c>
      <c r="CV711" t="s">
        <v>372</v>
      </c>
      <c r="CW711">
        <v>326</v>
      </c>
    </row>
    <row r="712" spans="1:101" x14ac:dyDescent="0.2">
      <c r="A712" t="s">
        <v>106</v>
      </c>
      <c r="B712" s="46">
        <v>45209</v>
      </c>
      <c r="C712" t="s">
        <v>876</v>
      </c>
      <c r="D712" t="s">
        <v>108</v>
      </c>
      <c r="E712" t="s">
        <v>877</v>
      </c>
      <c r="F712" t="s">
        <v>110</v>
      </c>
      <c r="G712" t="s">
        <v>111</v>
      </c>
      <c r="H712" t="s">
        <v>112</v>
      </c>
      <c r="I712" t="s">
        <v>112</v>
      </c>
      <c r="J712" t="s">
        <v>112</v>
      </c>
      <c r="K712" t="s">
        <v>150</v>
      </c>
      <c r="L712" t="s">
        <v>151</v>
      </c>
      <c r="M712" t="s">
        <v>112</v>
      </c>
      <c r="N712" t="s">
        <v>112</v>
      </c>
      <c r="O712">
        <v>1</v>
      </c>
      <c r="P712">
        <v>0</v>
      </c>
      <c r="Q712">
        <v>1</v>
      </c>
      <c r="R712">
        <v>33</v>
      </c>
      <c r="S712" t="s">
        <v>166</v>
      </c>
      <c r="T712" t="s">
        <v>152</v>
      </c>
      <c r="U712" t="s">
        <v>153</v>
      </c>
      <c r="V712" t="s">
        <v>154</v>
      </c>
      <c r="W712" t="s">
        <v>119</v>
      </c>
      <c r="X712" t="s">
        <v>112</v>
      </c>
      <c r="Y712" t="s">
        <v>166</v>
      </c>
      <c r="Z712" t="s">
        <v>152</v>
      </c>
      <c r="AA712" t="s">
        <v>153</v>
      </c>
      <c r="AB712" t="s">
        <v>154</v>
      </c>
      <c r="AC712" t="s">
        <v>119</v>
      </c>
      <c r="AD712" t="s">
        <v>112</v>
      </c>
      <c r="AE712" t="s">
        <v>121</v>
      </c>
      <c r="AF712" t="s">
        <v>122</v>
      </c>
      <c r="AG712">
        <v>3738015.72</v>
      </c>
      <c r="AH712" t="s">
        <v>166</v>
      </c>
      <c r="AI712" t="s">
        <v>152</v>
      </c>
      <c r="AJ712" t="s">
        <v>153</v>
      </c>
      <c r="AK712" t="s">
        <v>154</v>
      </c>
      <c r="AL712" t="s">
        <v>119</v>
      </c>
      <c r="AM712" t="s">
        <v>112</v>
      </c>
      <c r="AN712" t="s">
        <v>121</v>
      </c>
      <c r="AO712" t="s">
        <v>122</v>
      </c>
      <c r="AP712" t="s">
        <v>122</v>
      </c>
      <c r="AQ712" t="s">
        <v>124</v>
      </c>
      <c r="AR712" t="s">
        <v>125</v>
      </c>
      <c r="AS712">
        <v>2</v>
      </c>
      <c r="AT712" t="s">
        <v>126</v>
      </c>
      <c r="AU712" t="s">
        <v>155</v>
      </c>
      <c r="AV712" t="s">
        <v>156</v>
      </c>
      <c r="AW712">
        <v>1</v>
      </c>
      <c r="AX712" t="s">
        <v>129</v>
      </c>
      <c r="AY712">
        <v>41795.199999999997</v>
      </c>
      <c r="AZ712">
        <v>3349350</v>
      </c>
      <c r="BA712">
        <v>49247.4</v>
      </c>
      <c r="BB712">
        <v>80.137200000000007</v>
      </c>
      <c r="BC712" t="s">
        <v>130</v>
      </c>
      <c r="BD712" t="s">
        <v>112</v>
      </c>
      <c r="BE712" t="s">
        <v>157</v>
      </c>
      <c r="BF712" t="s">
        <v>133</v>
      </c>
      <c r="BG712" t="s">
        <v>134</v>
      </c>
      <c r="BH712" t="s">
        <v>112</v>
      </c>
      <c r="BI712" t="s">
        <v>112</v>
      </c>
      <c r="BJ712" t="s">
        <v>112</v>
      </c>
      <c r="BK712" t="s">
        <v>169</v>
      </c>
      <c r="BL712" t="s">
        <v>159</v>
      </c>
      <c r="BM712" t="s">
        <v>212</v>
      </c>
      <c r="BN712" t="s">
        <v>161</v>
      </c>
      <c r="BO712">
        <v>1</v>
      </c>
      <c r="BP712" t="s">
        <v>878</v>
      </c>
      <c r="BR712" t="s">
        <v>150</v>
      </c>
      <c r="BS712">
        <v>33</v>
      </c>
      <c r="BT712">
        <v>0</v>
      </c>
      <c r="BU712">
        <v>0</v>
      </c>
      <c r="BW712">
        <v>0</v>
      </c>
      <c r="BY712" t="s">
        <v>106</v>
      </c>
      <c r="BZ712" t="s">
        <v>142</v>
      </c>
      <c r="CA712" t="s">
        <v>112</v>
      </c>
      <c r="CB712" t="s">
        <v>112</v>
      </c>
      <c r="CC712" t="s">
        <v>121</v>
      </c>
      <c r="CD712">
        <v>16760.349999999999</v>
      </c>
      <c r="CE712" t="s">
        <v>144</v>
      </c>
      <c r="CF712">
        <v>4000000</v>
      </c>
      <c r="CG712">
        <v>16760.349999999999</v>
      </c>
      <c r="CH712">
        <v>0</v>
      </c>
      <c r="CI712" t="s">
        <v>112</v>
      </c>
      <c r="CJ712" t="s">
        <v>112</v>
      </c>
      <c r="CK712">
        <v>41795.199999999997</v>
      </c>
      <c r="CL712">
        <v>3349350</v>
      </c>
      <c r="CM712">
        <v>0</v>
      </c>
      <c r="CN712">
        <v>1</v>
      </c>
      <c r="CO712">
        <v>3738015.72</v>
      </c>
      <c r="CP712">
        <v>49247.4</v>
      </c>
      <c r="CQ712" t="s">
        <v>145</v>
      </c>
      <c r="CR712">
        <v>49246.936404999993</v>
      </c>
      <c r="CS712">
        <v>2.9382999999999999</v>
      </c>
      <c r="CT712">
        <v>45</v>
      </c>
      <c r="CU712" t="s">
        <v>171</v>
      </c>
      <c r="CV712" t="s">
        <v>369</v>
      </c>
      <c r="CW712">
        <v>326</v>
      </c>
    </row>
    <row r="713" spans="1:101" x14ac:dyDescent="0.2">
      <c r="A713" t="s">
        <v>106</v>
      </c>
      <c r="B713" s="46">
        <v>45219</v>
      </c>
      <c r="C713" t="s">
        <v>879</v>
      </c>
      <c r="D713" t="s">
        <v>108</v>
      </c>
      <c r="E713" t="s">
        <v>880</v>
      </c>
      <c r="F713" t="s">
        <v>110</v>
      </c>
      <c r="G713" t="s">
        <v>111</v>
      </c>
      <c r="H713" t="s">
        <v>112</v>
      </c>
      <c r="I713" t="s">
        <v>112</v>
      </c>
      <c r="J713" t="s">
        <v>112</v>
      </c>
      <c r="K713" t="s">
        <v>150</v>
      </c>
      <c r="L713" t="s">
        <v>151</v>
      </c>
      <c r="M713" t="s">
        <v>112</v>
      </c>
      <c r="N713" t="s">
        <v>112</v>
      </c>
      <c r="O713">
        <v>1</v>
      </c>
      <c r="P713">
        <v>0</v>
      </c>
      <c r="Q713">
        <v>1</v>
      </c>
      <c r="R713">
        <v>33</v>
      </c>
      <c r="S713" t="s">
        <v>166</v>
      </c>
      <c r="T713" t="s">
        <v>152</v>
      </c>
      <c r="U713" t="s">
        <v>153</v>
      </c>
      <c r="V713" t="s">
        <v>154</v>
      </c>
      <c r="W713" t="s">
        <v>119</v>
      </c>
      <c r="X713" t="s">
        <v>112</v>
      </c>
      <c r="Y713" t="s">
        <v>166</v>
      </c>
      <c r="Z713" t="s">
        <v>152</v>
      </c>
      <c r="AA713" t="s">
        <v>153</v>
      </c>
      <c r="AB713" t="s">
        <v>154</v>
      </c>
      <c r="AC713" t="s">
        <v>119</v>
      </c>
      <c r="AD713" t="s">
        <v>112</v>
      </c>
      <c r="AE713" t="s">
        <v>121</v>
      </c>
      <c r="AF713" t="s">
        <v>122</v>
      </c>
      <c r="AG713">
        <v>3758931.53</v>
      </c>
      <c r="AH713" t="s">
        <v>166</v>
      </c>
      <c r="AI713" t="s">
        <v>152</v>
      </c>
      <c r="AJ713" t="s">
        <v>153</v>
      </c>
      <c r="AK713" t="s">
        <v>154</v>
      </c>
      <c r="AL713" t="s">
        <v>119</v>
      </c>
      <c r="AM713" t="s">
        <v>112</v>
      </c>
      <c r="AN713" t="s">
        <v>121</v>
      </c>
      <c r="AO713" t="s">
        <v>122</v>
      </c>
      <c r="AP713" t="s">
        <v>122</v>
      </c>
      <c r="AQ713" t="s">
        <v>124</v>
      </c>
      <c r="AR713" t="s">
        <v>125</v>
      </c>
      <c r="AS713">
        <v>2</v>
      </c>
      <c r="AT713" t="s">
        <v>126</v>
      </c>
      <c r="AU713" t="s">
        <v>155</v>
      </c>
      <c r="AV713" t="s">
        <v>156</v>
      </c>
      <c r="AW713">
        <v>1</v>
      </c>
      <c r="AX713" t="s">
        <v>129</v>
      </c>
      <c r="AY713">
        <v>42556.2</v>
      </c>
      <c r="AZ713">
        <v>3410335</v>
      </c>
      <c r="BA713">
        <v>49522.96</v>
      </c>
      <c r="BB713">
        <v>80.137200000000007</v>
      </c>
      <c r="BC713" t="s">
        <v>130</v>
      </c>
      <c r="BD713" t="s">
        <v>112</v>
      </c>
      <c r="BE713" t="s">
        <v>157</v>
      </c>
      <c r="BF713" t="s">
        <v>133</v>
      </c>
      <c r="BG713" t="s">
        <v>134</v>
      </c>
      <c r="BH713" t="s">
        <v>112</v>
      </c>
      <c r="BI713" t="s">
        <v>112</v>
      </c>
      <c r="BJ713" t="s">
        <v>112</v>
      </c>
      <c r="BK713" t="s">
        <v>169</v>
      </c>
      <c r="BL713" t="s">
        <v>159</v>
      </c>
      <c r="BM713" t="s">
        <v>212</v>
      </c>
      <c r="BN713" t="s">
        <v>161</v>
      </c>
      <c r="BO713">
        <v>1</v>
      </c>
      <c r="BP713" t="s">
        <v>205</v>
      </c>
      <c r="BR713" t="s">
        <v>150</v>
      </c>
      <c r="BS713">
        <v>33</v>
      </c>
      <c r="BT713">
        <v>0</v>
      </c>
      <c r="BU713">
        <v>0</v>
      </c>
      <c r="BW713">
        <v>0</v>
      </c>
      <c r="BY713" t="s">
        <v>106</v>
      </c>
      <c r="BZ713" t="s">
        <v>142</v>
      </c>
      <c r="CA713" t="s">
        <v>112</v>
      </c>
      <c r="CB713" t="s">
        <v>112</v>
      </c>
      <c r="CC713" t="s">
        <v>121</v>
      </c>
      <c r="CD713">
        <v>16322.7</v>
      </c>
      <c r="CE713" t="s">
        <v>144</v>
      </c>
      <c r="CF713">
        <v>4000000</v>
      </c>
      <c r="CG713">
        <v>16236.3</v>
      </c>
      <c r="CH713">
        <v>0</v>
      </c>
      <c r="CI713" t="s">
        <v>112</v>
      </c>
      <c r="CJ713" t="s">
        <v>112</v>
      </c>
      <c r="CK713">
        <v>42556.2</v>
      </c>
      <c r="CL713">
        <v>3410335</v>
      </c>
      <c r="CM713">
        <v>0</v>
      </c>
      <c r="CN713">
        <v>1</v>
      </c>
      <c r="CO713">
        <v>3758931.53</v>
      </c>
      <c r="CP713">
        <v>49522.96</v>
      </c>
      <c r="CQ713" t="s">
        <v>145</v>
      </c>
      <c r="CR713">
        <v>49522.338629999998</v>
      </c>
      <c r="CS713">
        <v>3.0501</v>
      </c>
      <c r="CT713">
        <v>45</v>
      </c>
      <c r="CU713" t="s">
        <v>171</v>
      </c>
      <c r="CV713" t="s">
        <v>463</v>
      </c>
      <c r="CW713">
        <v>551</v>
      </c>
    </row>
    <row r="714" spans="1:101" x14ac:dyDescent="0.2">
      <c r="A714" t="s">
        <v>106</v>
      </c>
      <c r="B714" s="46">
        <v>44806</v>
      </c>
      <c r="C714" t="s">
        <v>540</v>
      </c>
      <c r="D714" t="s">
        <v>108</v>
      </c>
      <c r="E714" t="s">
        <v>541</v>
      </c>
      <c r="F714" t="s">
        <v>110</v>
      </c>
      <c r="G714" t="s">
        <v>111</v>
      </c>
      <c r="H714" t="s">
        <v>112</v>
      </c>
      <c r="I714" t="s">
        <v>112</v>
      </c>
      <c r="J714" t="s">
        <v>112</v>
      </c>
      <c r="K714" t="s">
        <v>150</v>
      </c>
      <c r="L714" t="s">
        <v>151</v>
      </c>
      <c r="M714" t="s">
        <v>112</v>
      </c>
      <c r="N714" t="s">
        <v>112</v>
      </c>
      <c r="O714">
        <v>1</v>
      </c>
      <c r="P714">
        <v>0</v>
      </c>
      <c r="Q714">
        <v>1</v>
      </c>
      <c r="R714">
        <v>33</v>
      </c>
      <c r="S714" t="s">
        <v>166</v>
      </c>
      <c r="T714" t="s">
        <v>152</v>
      </c>
      <c r="U714" t="s">
        <v>153</v>
      </c>
      <c r="V714" t="s">
        <v>154</v>
      </c>
      <c r="W714" t="s">
        <v>119</v>
      </c>
      <c r="X714" t="s">
        <v>112</v>
      </c>
      <c r="Y714" t="s">
        <v>166</v>
      </c>
      <c r="Z714" t="s">
        <v>152</v>
      </c>
      <c r="AA714" t="s">
        <v>153</v>
      </c>
      <c r="AB714" t="s">
        <v>154</v>
      </c>
      <c r="AC714" t="s">
        <v>119</v>
      </c>
      <c r="AD714" t="s">
        <v>112</v>
      </c>
      <c r="AE714" t="s">
        <v>121</v>
      </c>
      <c r="AF714" t="s">
        <v>122</v>
      </c>
      <c r="AG714">
        <v>3693695.34</v>
      </c>
      <c r="AH714" t="s">
        <v>166</v>
      </c>
      <c r="AI714" t="s">
        <v>152</v>
      </c>
      <c r="AJ714" t="s">
        <v>153</v>
      </c>
      <c r="AK714" t="s">
        <v>154</v>
      </c>
      <c r="AL714" t="s">
        <v>119</v>
      </c>
      <c r="AM714" t="s">
        <v>112</v>
      </c>
      <c r="AN714" t="s">
        <v>121</v>
      </c>
      <c r="AO714" t="s">
        <v>122</v>
      </c>
      <c r="AP714" t="s">
        <v>122</v>
      </c>
      <c r="AQ714" t="s">
        <v>124</v>
      </c>
      <c r="AR714" t="s">
        <v>125</v>
      </c>
      <c r="AS714">
        <v>2</v>
      </c>
      <c r="AT714" t="s">
        <v>126</v>
      </c>
      <c r="AU714" t="s">
        <v>155</v>
      </c>
      <c r="AV714" t="s">
        <v>156</v>
      </c>
      <c r="AW714">
        <v>1</v>
      </c>
      <c r="AX714" t="s">
        <v>129</v>
      </c>
      <c r="AY714">
        <v>42310.2</v>
      </c>
      <c r="AZ714">
        <v>3313832</v>
      </c>
      <c r="BA714">
        <v>50671.519999999997</v>
      </c>
      <c r="BB714">
        <v>78.322299999999998</v>
      </c>
      <c r="BC714" t="s">
        <v>130</v>
      </c>
      <c r="BD714" t="s">
        <v>112</v>
      </c>
      <c r="BE714" t="s">
        <v>157</v>
      </c>
      <c r="BF714" t="s">
        <v>133</v>
      </c>
      <c r="BG714" t="s">
        <v>134</v>
      </c>
      <c r="BH714" t="s">
        <v>112</v>
      </c>
      <c r="BI714" t="s">
        <v>112</v>
      </c>
      <c r="BJ714" t="s">
        <v>112</v>
      </c>
      <c r="BK714" t="s">
        <v>169</v>
      </c>
      <c r="BL714" t="s">
        <v>159</v>
      </c>
      <c r="BM714" t="s">
        <v>212</v>
      </c>
      <c r="BN714" t="s">
        <v>161</v>
      </c>
      <c r="BO714">
        <v>1</v>
      </c>
      <c r="BP714" t="s">
        <v>205</v>
      </c>
      <c r="BR714" t="s">
        <v>150</v>
      </c>
      <c r="BS714">
        <v>33</v>
      </c>
      <c r="BT714">
        <v>0</v>
      </c>
      <c r="BU714">
        <v>0</v>
      </c>
      <c r="BW714">
        <v>0</v>
      </c>
      <c r="BY714" t="s">
        <v>106</v>
      </c>
      <c r="BZ714" t="s">
        <v>142</v>
      </c>
      <c r="CA714" t="s">
        <v>112</v>
      </c>
      <c r="CB714" t="s">
        <v>112</v>
      </c>
      <c r="CC714" t="s">
        <v>121</v>
      </c>
      <c r="CD714">
        <v>16692.66</v>
      </c>
      <c r="CE714" t="s">
        <v>144</v>
      </c>
      <c r="CF714">
        <v>4000000</v>
      </c>
      <c r="CG714">
        <v>16566.66</v>
      </c>
      <c r="CH714">
        <v>0</v>
      </c>
      <c r="CI714" t="s">
        <v>112</v>
      </c>
      <c r="CJ714" t="s">
        <v>112</v>
      </c>
      <c r="CK714">
        <v>42310.2</v>
      </c>
      <c r="CL714">
        <v>3313832</v>
      </c>
      <c r="CM714">
        <v>0</v>
      </c>
      <c r="CN714">
        <v>1</v>
      </c>
      <c r="CO714">
        <v>3693695.34</v>
      </c>
      <c r="CP714">
        <v>50671.519999999997</v>
      </c>
      <c r="CQ714" t="s">
        <v>145</v>
      </c>
      <c r="CR714">
        <v>50670.786276000006</v>
      </c>
      <c r="CS714">
        <v>3.0586000000000002</v>
      </c>
      <c r="CT714">
        <v>45</v>
      </c>
      <c r="CU714" t="s">
        <v>171</v>
      </c>
      <c r="CV714" t="s">
        <v>463</v>
      </c>
      <c r="CW714">
        <v>24</v>
      </c>
    </row>
    <row r="715" spans="1:101" x14ac:dyDescent="0.2">
      <c r="A715" t="s">
        <v>106</v>
      </c>
      <c r="B715" s="46">
        <v>44760</v>
      </c>
      <c r="C715" t="s">
        <v>542</v>
      </c>
      <c r="D715" t="s">
        <v>108</v>
      </c>
      <c r="E715" t="s">
        <v>543</v>
      </c>
      <c r="F715" t="s">
        <v>110</v>
      </c>
      <c r="G715" t="s">
        <v>111</v>
      </c>
      <c r="H715" t="s">
        <v>112</v>
      </c>
      <c r="I715" t="s">
        <v>112</v>
      </c>
      <c r="J715" t="s">
        <v>112</v>
      </c>
      <c r="K715" t="s">
        <v>150</v>
      </c>
      <c r="L715" t="s">
        <v>151</v>
      </c>
      <c r="M715" t="s">
        <v>112</v>
      </c>
      <c r="N715" t="s">
        <v>112</v>
      </c>
      <c r="O715">
        <v>1</v>
      </c>
      <c r="P715">
        <v>0</v>
      </c>
      <c r="Q715">
        <v>1</v>
      </c>
      <c r="R715">
        <v>35</v>
      </c>
      <c r="S715" t="s">
        <v>166</v>
      </c>
      <c r="T715" t="s">
        <v>152</v>
      </c>
      <c r="U715" t="s">
        <v>153</v>
      </c>
      <c r="V715" t="s">
        <v>154</v>
      </c>
      <c r="W715" t="s">
        <v>119</v>
      </c>
      <c r="X715" t="s">
        <v>112</v>
      </c>
      <c r="Y715" t="s">
        <v>166</v>
      </c>
      <c r="Z715" t="s">
        <v>152</v>
      </c>
      <c r="AA715" t="s">
        <v>153</v>
      </c>
      <c r="AB715" t="s">
        <v>154</v>
      </c>
      <c r="AC715" t="s">
        <v>119</v>
      </c>
      <c r="AD715" t="s">
        <v>112</v>
      </c>
      <c r="AE715" t="s">
        <v>121</v>
      </c>
      <c r="AF715" t="s">
        <v>122</v>
      </c>
      <c r="AG715">
        <v>4164609.73</v>
      </c>
      <c r="AH715" t="s">
        <v>166</v>
      </c>
      <c r="AI715" t="s">
        <v>152</v>
      </c>
      <c r="AJ715" t="s">
        <v>153</v>
      </c>
      <c r="AK715" t="s">
        <v>154</v>
      </c>
      <c r="AL715" t="s">
        <v>119</v>
      </c>
      <c r="AM715" t="s">
        <v>112</v>
      </c>
      <c r="AN715" t="s">
        <v>121</v>
      </c>
      <c r="AO715" t="s">
        <v>122</v>
      </c>
      <c r="AP715" t="s">
        <v>122</v>
      </c>
      <c r="AQ715" t="s">
        <v>124</v>
      </c>
      <c r="AR715" t="s">
        <v>125</v>
      </c>
      <c r="AS715">
        <v>2</v>
      </c>
      <c r="AT715" t="s">
        <v>126</v>
      </c>
      <c r="AU715" t="s">
        <v>155</v>
      </c>
      <c r="AV715" t="s">
        <v>156</v>
      </c>
      <c r="AW715">
        <v>1</v>
      </c>
      <c r="AX715" t="s">
        <v>129</v>
      </c>
      <c r="AY715">
        <v>48822.720000000001</v>
      </c>
      <c r="AZ715">
        <v>3823908</v>
      </c>
      <c r="BA715">
        <v>57131.7</v>
      </c>
      <c r="BB715">
        <v>78.322299999999998</v>
      </c>
      <c r="BC715" t="s">
        <v>130</v>
      </c>
      <c r="BD715" t="s">
        <v>112</v>
      </c>
      <c r="BE715" t="s">
        <v>157</v>
      </c>
      <c r="BF715" t="s">
        <v>133</v>
      </c>
      <c r="BG715" t="s">
        <v>134</v>
      </c>
      <c r="BH715" t="s">
        <v>112</v>
      </c>
      <c r="BI715" t="s">
        <v>112</v>
      </c>
      <c r="BJ715" t="s">
        <v>112</v>
      </c>
      <c r="BK715" t="s">
        <v>169</v>
      </c>
      <c r="BL715" t="s">
        <v>159</v>
      </c>
      <c r="BM715" t="s">
        <v>212</v>
      </c>
      <c r="BN715" t="s">
        <v>161</v>
      </c>
      <c r="BO715">
        <v>1</v>
      </c>
      <c r="BP715" t="s">
        <v>493</v>
      </c>
      <c r="BR715" t="s">
        <v>150</v>
      </c>
      <c r="BS715">
        <v>35</v>
      </c>
      <c r="BT715">
        <v>0</v>
      </c>
      <c r="BU715">
        <v>0</v>
      </c>
      <c r="BW715">
        <v>0</v>
      </c>
      <c r="BY715" t="s">
        <v>106</v>
      </c>
      <c r="BZ715" t="s">
        <v>142</v>
      </c>
      <c r="CA715" t="s">
        <v>112</v>
      </c>
      <c r="CB715" t="s">
        <v>112</v>
      </c>
      <c r="CC715" t="s">
        <v>121</v>
      </c>
      <c r="CD715">
        <v>16613.84</v>
      </c>
      <c r="CE715" t="s">
        <v>144</v>
      </c>
      <c r="CF715">
        <v>4000000</v>
      </c>
      <c r="CG715">
        <v>16531.04</v>
      </c>
      <c r="CH715">
        <v>0</v>
      </c>
      <c r="CI715" t="s">
        <v>112</v>
      </c>
      <c r="CJ715" t="s">
        <v>112</v>
      </c>
      <c r="CK715">
        <v>48822.720000000001</v>
      </c>
      <c r="CL715">
        <v>3823908</v>
      </c>
      <c r="CM715">
        <v>0</v>
      </c>
      <c r="CN715">
        <v>1</v>
      </c>
      <c r="CO715">
        <v>4164609.73</v>
      </c>
      <c r="CP715">
        <v>57131.7</v>
      </c>
      <c r="CQ715" t="s">
        <v>145</v>
      </c>
      <c r="CR715">
        <v>57131.274239999999</v>
      </c>
      <c r="CS715">
        <v>3.456</v>
      </c>
      <c r="CT715">
        <v>45</v>
      </c>
      <c r="CU715" t="s">
        <v>171</v>
      </c>
      <c r="CV715" t="s">
        <v>372</v>
      </c>
      <c r="CW715">
        <v>560</v>
      </c>
    </row>
    <row r="716" spans="1:101" x14ac:dyDescent="0.2">
      <c r="A716" t="s">
        <v>106</v>
      </c>
      <c r="B716" s="46">
        <v>45225</v>
      </c>
      <c r="C716" t="s">
        <v>200</v>
      </c>
      <c r="D716" t="s">
        <v>108</v>
      </c>
      <c r="E716" t="s">
        <v>201</v>
      </c>
      <c r="F716" t="s">
        <v>110</v>
      </c>
      <c r="G716" t="s">
        <v>111</v>
      </c>
      <c r="H716" t="s">
        <v>112</v>
      </c>
      <c r="I716" t="s">
        <v>112</v>
      </c>
      <c r="J716" t="s">
        <v>112</v>
      </c>
      <c r="K716" t="s">
        <v>175</v>
      </c>
      <c r="L716" t="s">
        <v>176</v>
      </c>
      <c r="M716" t="s">
        <v>112</v>
      </c>
      <c r="N716" t="s">
        <v>112</v>
      </c>
      <c r="O716">
        <v>1</v>
      </c>
      <c r="P716">
        <v>0</v>
      </c>
      <c r="Q716">
        <v>1</v>
      </c>
      <c r="R716">
        <v>33</v>
      </c>
      <c r="S716" t="s">
        <v>166</v>
      </c>
      <c r="T716" t="s">
        <v>152</v>
      </c>
      <c r="U716" t="s">
        <v>153</v>
      </c>
      <c r="V716" t="s">
        <v>177</v>
      </c>
      <c r="W716" t="s">
        <v>119</v>
      </c>
      <c r="X716" t="s">
        <v>112</v>
      </c>
      <c r="Y716" t="s">
        <v>166</v>
      </c>
      <c r="Z716" t="s">
        <v>152</v>
      </c>
      <c r="AA716" t="s">
        <v>153</v>
      </c>
      <c r="AB716" t="s">
        <v>177</v>
      </c>
      <c r="AC716" t="s">
        <v>119</v>
      </c>
      <c r="AD716" t="s">
        <v>112</v>
      </c>
      <c r="AE716" t="s">
        <v>121</v>
      </c>
      <c r="AF716" t="s">
        <v>122</v>
      </c>
      <c r="AG716">
        <v>3375628.6</v>
      </c>
      <c r="AH716" t="s">
        <v>166</v>
      </c>
      <c r="AI716" t="s">
        <v>152</v>
      </c>
      <c r="AJ716" t="s">
        <v>153</v>
      </c>
      <c r="AK716" t="s">
        <v>177</v>
      </c>
      <c r="AL716" t="s">
        <v>119</v>
      </c>
      <c r="AM716" t="s">
        <v>112</v>
      </c>
      <c r="AN716" t="s">
        <v>121</v>
      </c>
      <c r="AO716" t="s">
        <v>122</v>
      </c>
      <c r="AP716" t="s">
        <v>122</v>
      </c>
      <c r="AQ716" t="s">
        <v>124</v>
      </c>
      <c r="AR716" t="s">
        <v>125</v>
      </c>
      <c r="AS716">
        <v>2</v>
      </c>
      <c r="AT716" t="s">
        <v>106</v>
      </c>
      <c r="AU716" t="s">
        <v>155</v>
      </c>
      <c r="AV716" t="s">
        <v>156</v>
      </c>
      <c r="AW716">
        <v>1</v>
      </c>
      <c r="AX716" t="s">
        <v>129</v>
      </c>
      <c r="AY716">
        <v>42043.97</v>
      </c>
      <c r="AZ716">
        <v>3156598</v>
      </c>
      <c r="BA716">
        <v>48017.34</v>
      </c>
      <c r="BB716">
        <v>75.078500000000005</v>
      </c>
      <c r="BC716" t="s">
        <v>130</v>
      </c>
      <c r="BD716" t="s">
        <v>112</v>
      </c>
      <c r="BE716" t="s">
        <v>157</v>
      </c>
      <c r="BF716" t="s">
        <v>133</v>
      </c>
      <c r="BG716" t="s">
        <v>134</v>
      </c>
      <c r="BH716" t="s">
        <v>112</v>
      </c>
      <c r="BI716" t="s">
        <v>178</v>
      </c>
      <c r="BJ716" t="s">
        <v>112</v>
      </c>
      <c r="BK716" t="s">
        <v>125</v>
      </c>
      <c r="BL716" t="s">
        <v>179</v>
      </c>
      <c r="BM716" t="s">
        <v>180</v>
      </c>
      <c r="BN716" t="s">
        <v>181</v>
      </c>
      <c r="BO716">
        <v>1</v>
      </c>
      <c r="BP716" t="s">
        <v>202</v>
      </c>
      <c r="BR716" t="s">
        <v>150</v>
      </c>
      <c r="BS716">
        <v>33</v>
      </c>
      <c r="BT716">
        <v>1</v>
      </c>
      <c r="BU716">
        <v>0</v>
      </c>
      <c r="BW716">
        <v>0</v>
      </c>
      <c r="BY716" t="s">
        <v>106</v>
      </c>
      <c r="BZ716" t="s">
        <v>142</v>
      </c>
      <c r="CA716" t="s">
        <v>112</v>
      </c>
      <c r="CB716" t="s">
        <v>112</v>
      </c>
      <c r="CC716" t="s">
        <v>121</v>
      </c>
      <c r="CD716">
        <v>16118.34</v>
      </c>
      <c r="CE716" t="s">
        <v>144</v>
      </c>
      <c r="CF716">
        <v>4000000</v>
      </c>
      <c r="CG716">
        <v>15923.94</v>
      </c>
      <c r="CH716">
        <v>0</v>
      </c>
      <c r="CI716" t="s">
        <v>112</v>
      </c>
      <c r="CJ716" t="s">
        <v>112</v>
      </c>
      <c r="CK716">
        <v>42043.97</v>
      </c>
      <c r="CL716">
        <v>3156598</v>
      </c>
      <c r="CM716">
        <v>0</v>
      </c>
      <c r="CN716">
        <v>1</v>
      </c>
      <c r="CO716">
        <v>3375628.6</v>
      </c>
      <c r="CP716">
        <v>48017.34</v>
      </c>
      <c r="CQ716" t="s">
        <v>145</v>
      </c>
      <c r="CR716">
        <v>48017.048676000006</v>
      </c>
      <c r="CS716">
        <v>3.0154000000000001</v>
      </c>
      <c r="CT716">
        <v>941</v>
      </c>
      <c r="CU716" t="s">
        <v>183</v>
      </c>
      <c r="CV716" t="s">
        <v>190</v>
      </c>
      <c r="CW716">
        <v>147</v>
      </c>
    </row>
    <row r="717" spans="1:101" x14ac:dyDescent="0.2">
      <c r="A717" t="s">
        <v>106</v>
      </c>
      <c r="B717" s="46">
        <v>45031</v>
      </c>
      <c r="C717" t="s">
        <v>197</v>
      </c>
      <c r="D717" t="s">
        <v>108</v>
      </c>
      <c r="E717" t="s">
        <v>198</v>
      </c>
      <c r="F717" t="s">
        <v>110</v>
      </c>
      <c r="G717" t="s">
        <v>111</v>
      </c>
      <c r="H717" t="s">
        <v>112</v>
      </c>
      <c r="I717" t="s">
        <v>112</v>
      </c>
      <c r="J717" t="s">
        <v>112</v>
      </c>
      <c r="K717" t="s">
        <v>175</v>
      </c>
      <c r="L717" t="s">
        <v>176</v>
      </c>
      <c r="M717" t="s">
        <v>112</v>
      </c>
      <c r="N717" t="s">
        <v>112</v>
      </c>
      <c r="O717">
        <v>1</v>
      </c>
      <c r="P717">
        <v>0</v>
      </c>
      <c r="Q717">
        <v>1</v>
      </c>
      <c r="R717">
        <v>33</v>
      </c>
      <c r="S717" t="s">
        <v>166</v>
      </c>
      <c r="T717" t="s">
        <v>152</v>
      </c>
      <c r="U717" t="s">
        <v>153</v>
      </c>
      <c r="V717" t="s">
        <v>177</v>
      </c>
      <c r="W717" t="s">
        <v>119</v>
      </c>
      <c r="X717" t="s">
        <v>112</v>
      </c>
      <c r="Y717" t="s">
        <v>166</v>
      </c>
      <c r="Z717" t="s">
        <v>152</v>
      </c>
      <c r="AA717" t="s">
        <v>153</v>
      </c>
      <c r="AB717" t="s">
        <v>177</v>
      </c>
      <c r="AC717" t="s">
        <v>119</v>
      </c>
      <c r="AD717" t="s">
        <v>112</v>
      </c>
      <c r="AE717" t="s">
        <v>121</v>
      </c>
      <c r="AF717" t="s">
        <v>122</v>
      </c>
      <c r="AG717">
        <v>3955549.54</v>
      </c>
      <c r="AH717" t="s">
        <v>166</v>
      </c>
      <c r="AI717" t="s">
        <v>152</v>
      </c>
      <c r="AJ717" t="s">
        <v>153</v>
      </c>
      <c r="AK717" t="s">
        <v>177</v>
      </c>
      <c r="AL717" t="s">
        <v>119</v>
      </c>
      <c r="AM717" t="s">
        <v>112</v>
      </c>
      <c r="AN717" t="s">
        <v>121</v>
      </c>
      <c r="AO717" t="s">
        <v>122</v>
      </c>
      <c r="AP717" t="s">
        <v>122</v>
      </c>
      <c r="AQ717" t="s">
        <v>124</v>
      </c>
      <c r="AR717" t="s">
        <v>125</v>
      </c>
      <c r="AS717">
        <v>2</v>
      </c>
      <c r="AT717" t="s">
        <v>106</v>
      </c>
      <c r="AU717" t="s">
        <v>155</v>
      </c>
      <c r="AV717" t="s">
        <v>156</v>
      </c>
      <c r="AW717">
        <v>1</v>
      </c>
      <c r="AX717" t="s">
        <v>129</v>
      </c>
      <c r="AY717">
        <v>49316.68</v>
      </c>
      <c r="AZ717">
        <v>3702622</v>
      </c>
      <c r="BA717">
        <v>56266.55</v>
      </c>
      <c r="BB717">
        <v>75.078500000000005</v>
      </c>
      <c r="BC717" t="s">
        <v>130</v>
      </c>
      <c r="BD717" t="s">
        <v>112</v>
      </c>
      <c r="BE717" t="s">
        <v>157</v>
      </c>
      <c r="BF717" t="s">
        <v>133</v>
      </c>
      <c r="BG717" t="s">
        <v>134</v>
      </c>
      <c r="BH717" t="s">
        <v>112</v>
      </c>
      <c r="BI717" t="s">
        <v>178</v>
      </c>
      <c r="BJ717" t="s">
        <v>112</v>
      </c>
      <c r="BK717" t="s">
        <v>125</v>
      </c>
      <c r="BL717" t="s">
        <v>179</v>
      </c>
      <c r="BM717" t="s">
        <v>180</v>
      </c>
      <c r="BN717" t="s">
        <v>181</v>
      </c>
      <c r="BO717">
        <v>1</v>
      </c>
      <c r="BP717" t="s">
        <v>199</v>
      </c>
      <c r="BR717" t="s">
        <v>150</v>
      </c>
      <c r="BS717">
        <v>33</v>
      </c>
      <c r="BT717">
        <v>1</v>
      </c>
      <c r="BU717">
        <v>0</v>
      </c>
      <c r="BW717">
        <v>0</v>
      </c>
      <c r="BY717" t="s">
        <v>106</v>
      </c>
      <c r="BZ717" t="s">
        <v>142</v>
      </c>
      <c r="CA717" t="s">
        <v>112</v>
      </c>
      <c r="CB717" t="s">
        <v>112</v>
      </c>
      <c r="CC717" t="s">
        <v>121</v>
      </c>
      <c r="CD717">
        <v>16960.04</v>
      </c>
      <c r="CE717" t="s">
        <v>144</v>
      </c>
      <c r="CF717">
        <v>4000000</v>
      </c>
      <c r="CG717">
        <v>16906.04</v>
      </c>
      <c r="CH717">
        <v>0</v>
      </c>
      <c r="CI717" t="s">
        <v>112</v>
      </c>
      <c r="CJ717" t="s">
        <v>112</v>
      </c>
      <c r="CK717">
        <v>49316.68</v>
      </c>
      <c r="CL717">
        <v>3702622</v>
      </c>
      <c r="CM717">
        <v>0</v>
      </c>
      <c r="CN717">
        <v>1</v>
      </c>
      <c r="CO717">
        <v>3955549.54</v>
      </c>
      <c r="CP717">
        <v>56266.55</v>
      </c>
      <c r="CQ717" t="s">
        <v>145</v>
      </c>
      <c r="CR717">
        <v>56266.682328000003</v>
      </c>
      <c r="CS717">
        <v>3.3281999999999998</v>
      </c>
      <c r="CT717">
        <v>941</v>
      </c>
      <c r="CU717" t="s">
        <v>183</v>
      </c>
      <c r="CV717" t="s">
        <v>147</v>
      </c>
      <c r="CW717">
        <v>189</v>
      </c>
    </row>
    <row r="718" spans="1:101" x14ac:dyDescent="0.2">
      <c r="A718" t="s">
        <v>106</v>
      </c>
      <c r="B718" s="46">
        <v>44935</v>
      </c>
      <c r="C718" t="s">
        <v>1734</v>
      </c>
      <c r="D718" t="s">
        <v>108</v>
      </c>
      <c r="E718" t="s">
        <v>1735</v>
      </c>
      <c r="F718" t="s">
        <v>110</v>
      </c>
      <c r="G718" t="s">
        <v>111</v>
      </c>
      <c r="H718" t="s">
        <v>112</v>
      </c>
      <c r="I718" t="s">
        <v>112</v>
      </c>
      <c r="J718" t="s">
        <v>112</v>
      </c>
      <c r="K718" t="s">
        <v>150</v>
      </c>
      <c r="L718" t="s">
        <v>151</v>
      </c>
      <c r="M718" t="s">
        <v>112</v>
      </c>
      <c r="N718" t="s">
        <v>112</v>
      </c>
      <c r="O718">
        <v>1</v>
      </c>
      <c r="Q718">
        <v>1</v>
      </c>
      <c r="R718">
        <v>33</v>
      </c>
      <c r="S718" t="s">
        <v>112</v>
      </c>
      <c r="T718" t="s">
        <v>152</v>
      </c>
      <c r="U718" t="s">
        <v>153</v>
      </c>
      <c r="V718" t="s">
        <v>154</v>
      </c>
      <c r="W718" t="s">
        <v>119</v>
      </c>
      <c r="X718" t="s">
        <v>112</v>
      </c>
      <c r="Y718" t="s">
        <v>112</v>
      </c>
      <c r="Z718" t="s">
        <v>152</v>
      </c>
      <c r="AA718" t="s">
        <v>153</v>
      </c>
      <c r="AB718" t="s">
        <v>154</v>
      </c>
      <c r="AC718" t="s">
        <v>119</v>
      </c>
      <c r="AD718" t="s">
        <v>112</v>
      </c>
      <c r="AE718" t="s">
        <v>121</v>
      </c>
      <c r="AF718" t="s">
        <v>122</v>
      </c>
      <c r="AG718">
        <v>4613073.9000000004</v>
      </c>
      <c r="AH718" t="s">
        <v>112</v>
      </c>
      <c r="AI718" t="s">
        <v>152</v>
      </c>
      <c r="AJ718" t="s">
        <v>153</v>
      </c>
      <c r="AK718" t="s">
        <v>154</v>
      </c>
      <c r="AL718" t="s">
        <v>119</v>
      </c>
      <c r="AM718" t="s">
        <v>112</v>
      </c>
      <c r="AN718" t="s">
        <v>121</v>
      </c>
      <c r="AO718" t="s">
        <v>122</v>
      </c>
      <c r="AP718" t="s">
        <v>122</v>
      </c>
      <c r="AQ718" t="s">
        <v>124</v>
      </c>
      <c r="AR718" t="s">
        <v>125</v>
      </c>
      <c r="AS718">
        <v>2</v>
      </c>
      <c r="AT718" t="s">
        <v>126</v>
      </c>
      <c r="AU718" t="s">
        <v>155</v>
      </c>
      <c r="AV718" t="s">
        <v>156</v>
      </c>
      <c r="AX718" t="s">
        <v>129</v>
      </c>
      <c r="AY718">
        <v>42171.64</v>
      </c>
      <c r="BB718">
        <v>98.440299999999993</v>
      </c>
      <c r="BC718" t="s">
        <v>112</v>
      </c>
      <c r="BD718" t="s">
        <v>112</v>
      </c>
      <c r="BE718" t="s">
        <v>157</v>
      </c>
      <c r="BF718" t="s">
        <v>133</v>
      </c>
      <c r="BG718" t="s">
        <v>134</v>
      </c>
      <c r="BH718" t="s">
        <v>112</v>
      </c>
      <c r="BI718" t="s">
        <v>112</v>
      </c>
      <c r="BJ718" t="s">
        <v>112</v>
      </c>
      <c r="BK718" t="s">
        <v>158</v>
      </c>
      <c r="BL718" t="s">
        <v>159</v>
      </c>
      <c r="BM718" t="s">
        <v>212</v>
      </c>
      <c r="BN718" t="s">
        <v>161</v>
      </c>
      <c r="BP718" t="s">
        <v>232</v>
      </c>
      <c r="BR718" t="s">
        <v>150</v>
      </c>
      <c r="BS718">
        <v>33</v>
      </c>
      <c r="BT718">
        <v>0</v>
      </c>
      <c r="BU718">
        <v>0</v>
      </c>
      <c r="BW718">
        <v>0</v>
      </c>
      <c r="BY718" t="s">
        <v>106</v>
      </c>
      <c r="BZ718" t="s">
        <v>142</v>
      </c>
      <c r="CA718" t="s">
        <v>112</v>
      </c>
      <c r="CB718" t="s">
        <v>112</v>
      </c>
      <c r="CC718" t="s">
        <v>121</v>
      </c>
      <c r="CD718">
        <v>16268.65</v>
      </c>
      <c r="CE718" t="s">
        <v>144</v>
      </c>
      <c r="CF718">
        <v>4000000</v>
      </c>
      <c r="CG718">
        <v>16103.05</v>
      </c>
      <c r="CH718">
        <v>0</v>
      </c>
      <c r="CI718" t="s">
        <v>112</v>
      </c>
      <c r="CJ718" t="s">
        <v>112</v>
      </c>
      <c r="CK718">
        <v>42171.64</v>
      </c>
      <c r="CM718">
        <v>0</v>
      </c>
      <c r="CN718">
        <v>1</v>
      </c>
      <c r="CO718">
        <v>4613073.9000000004</v>
      </c>
      <c r="CP718">
        <v>50034.8</v>
      </c>
      <c r="CQ718" t="s">
        <v>145</v>
      </c>
      <c r="CR718">
        <v>50080.485499999995</v>
      </c>
      <c r="CS718">
        <v>3.11</v>
      </c>
      <c r="CT718">
        <v>45</v>
      </c>
      <c r="CV718" t="s">
        <v>1140</v>
      </c>
      <c r="CW718">
        <v>124</v>
      </c>
    </row>
    <row r="719" spans="1:101" x14ac:dyDescent="0.2">
      <c r="A719" t="s">
        <v>106</v>
      </c>
      <c r="B719" s="46">
        <v>45008</v>
      </c>
      <c r="C719" t="s">
        <v>2089</v>
      </c>
      <c r="D719" t="s">
        <v>108</v>
      </c>
      <c r="E719" t="s">
        <v>2090</v>
      </c>
      <c r="F719" t="s">
        <v>110</v>
      </c>
      <c r="G719" t="s">
        <v>111</v>
      </c>
      <c r="H719" t="s">
        <v>112</v>
      </c>
      <c r="I719" t="s">
        <v>112</v>
      </c>
      <c r="J719" t="s">
        <v>112</v>
      </c>
      <c r="K719" t="s">
        <v>150</v>
      </c>
      <c r="L719" t="s">
        <v>151</v>
      </c>
      <c r="M719" t="s">
        <v>112</v>
      </c>
      <c r="N719" t="s">
        <v>112</v>
      </c>
      <c r="O719">
        <v>1</v>
      </c>
      <c r="Q719">
        <v>1</v>
      </c>
      <c r="R719">
        <v>33</v>
      </c>
      <c r="S719" t="s">
        <v>112</v>
      </c>
      <c r="T719" t="s">
        <v>152</v>
      </c>
      <c r="U719" t="s">
        <v>153</v>
      </c>
      <c r="V719" t="s">
        <v>154</v>
      </c>
      <c r="W719" t="s">
        <v>119</v>
      </c>
      <c r="X719" t="s">
        <v>112</v>
      </c>
      <c r="Y719" t="s">
        <v>112</v>
      </c>
      <c r="Z719" t="s">
        <v>152</v>
      </c>
      <c r="AA719" t="s">
        <v>153</v>
      </c>
      <c r="AB719" t="s">
        <v>154</v>
      </c>
      <c r="AC719" t="s">
        <v>119</v>
      </c>
      <c r="AD719" t="s">
        <v>112</v>
      </c>
      <c r="AE719" t="s">
        <v>121</v>
      </c>
      <c r="AF719" t="s">
        <v>122</v>
      </c>
      <c r="AG719">
        <v>5565796.3899999997</v>
      </c>
      <c r="AH719" t="s">
        <v>112</v>
      </c>
      <c r="AI719" t="s">
        <v>152</v>
      </c>
      <c r="AJ719" t="s">
        <v>153</v>
      </c>
      <c r="AK719" t="s">
        <v>154</v>
      </c>
      <c r="AL719" t="s">
        <v>119</v>
      </c>
      <c r="AM719" t="s">
        <v>112</v>
      </c>
      <c r="AN719" t="s">
        <v>121</v>
      </c>
      <c r="AO719" t="s">
        <v>122</v>
      </c>
      <c r="AP719" t="s">
        <v>122</v>
      </c>
      <c r="AQ719" t="s">
        <v>124</v>
      </c>
      <c r="AR719" t="s">
        <v>125</v>
      </c>
      <c r="AS719">
        <v>2</v>
      </c>
      <c r="AT719" t="s">
        <v>126</v>
      </c>
      <c r="AU719" t="s">
        <v>155</v>
      </c>
      <c r="AV719" t="s">
        <v>156</v>
      </c>
      <c r="AX719" t="s">
        <v>129</v>
      </c>
      <c r="AY719">
        <v>47982.559999999998</v>
      </c>
      <c r="BB719">
        <v>106.01</v>
      </c>
      <c r="BC719" t="s">
        <v>112</v>
      </c>
      <c r="BD719" t="s">
        <v>112</v>
      </c>
      <c r="BE719" t="s">
        <v>157</v>
      </c>
      <c r="BF719" t="s">
        <v>133</v>
      </c>
      <c r="BG719" t="s">
        <v>167</v>
      </c>
      <c r="BH719" t="s">
        <v>112</v>
      </c>
      <c r="BI719" t="s">
        <v>112</v>
      </c>
      <c r="BJ719" t="s">
        <v>112</v>
      </c>
      <c r="BK719" t="s">
        <v>158</v>
      </c>
      <c r="BL719" t="s">
        <v>159</v>
      </c>
      <c r="BM719" t="s">
        <v>160</v>
      </c>
      <c r="BN719" t="s">
        <v>161</v>
      </c>
      <c r="BP719" t="s">
        <v>162</v>
      </c>
      <c r="BR719" t="s">
        <v>150</v>
      </c>
      <c r="BS719">
        <v>33</v>
      </c>
      <c r="BT719">
        <v>0</v>
      </c>
      <c r="BU719">
        <v>0</v>
      </c>
      <c r="BW719">
        <v>0</v>
      </c>
      <c r="BY719" t="s">
        <v>106</v>
      </c>
      <c r="BZ719" t="s">
        <v>142</v>
      </c>
      <c r="CA719" t="s">
        <v>112</v>
      </c>
      <c r="CB719" t="s">
        <v>112</v>
      </c>
      <c r="CC719" t="s">
        <v>121</v>
      </c>
      <c r="CD719">
        <v>16966.240000000002</v>
      </c>
      <c r="CE719" t="s">
        <v>144</v>
      </c>
      <c r="CF719">
        <v>4000000</v>
      </c>
      <c r="CG719">
        <v>16966.240000000002</v>
      </c>
      <c r="CH719">
        <v>0</v>
      </c>
      <c r="CI719" t="s">
        <v>112</v>
      </c>
      <c r="CJ719" t="s">
        <v>112</v>
      </c>
      <c r="CK719">
        <v>47982.559999999998</v>
      </c>
      <c r="CM719">
        <v>0</v>
      </c>
      <c r="CN719">
        <v>1</v>
      </c>
      <c r="CO719">
        <v>5565796.3899999997</v>
      </c>
      <c r="CP719">
        <v>55385.96</v>
      </c>
      <c r="CQ719" t="s">
        <v>145</v>
      </c>
      <c r="CR719">
        <v>55309.9424</v>
      </c>
      <c r="CS719">
        <v>3.26</v>
      </c>
      <c r="CT719">
        <v>45</v>
      </c>
      <c r="CV719" t="s">
        <v>1140</v>
      </c>
      <c r="CW719">
        <v>93</v>
      </c>
    </row>
    <row r="720" spans="1:101" x14ac:dyDescent="0.2">
      <c r="A720" t="s">
        <v>106</v>
      </c>
      <c r="B720" s="46">
        <v>45110</v>
      </c>
      <c r="C720" t="s">
        <v>2089</v>
      </c>
      <c r="D720" t="s">
        <v>108</v>
      </c>
      <c r="E720" t="s">
        <v>2090</v>
      </c>
      <c r="F720" t="s">
        <v>110</v>
      </c>
      <c r="G720" t="s">
        <v>111</v>
      </c>
      <c r="H720" t="s">
        <v>112</v>
      </c>
      <c r="I720" t="s">
        <v>112</v>
      </c>
      <c r="J720" t="s">
        <v>112</v>
      </c>
      <c r="K720" t="s">
        <v>150</v>
      </c>
      <c r="L720" t="s">
        <v>151</v>
      </c>
      <c r="M720" t="s">
        <v>112</v>
      </c>
      <c r="N720" t="s">
        <v>112</v>
      </c>
      <c r="O720">
        <v>1</v>
      </c>
      <c r="Q720">
        <v>1</v>
      </c>
      <c r="R720">
        <v>33</v>
      </c>
      <c r="S720" t="s">
        <v>112</v>
      </c>
      <c r="T720" t="s">
        <v>152</v>
      </c>
      <c r="U720" t="s">
        <v>153</v>
      </c>
      <c r="V720" t="s">
        <v>154</v>
      </c>
      <c r="W720" t="s">
        <v>119</v>
      </c>
      <c r="X720" t="s">
        <v>112</v>
      </c>
      <c r="Y720" t="s">
        <v>112</v>
      </c>
      <c r="Z720" t="s">
        <v>152</v>
      </c>
      <c r="AA720" t="s">
        <v>153</v>
      </c>
      <c r="AB720" t="s">
        <v>154</v>
      </c>
      <c r="AC720" t="s">
        <v>119</v>
      </c>
      <c r="AD720" t="s">
        <v>112</v>
      </c>
      <c r="AE720" t="s">
        <v>121</v>
      </c>
      <c r="AF720" t="s">
        <v>122</v>
      </c>
      <c r="AG720">
        <v>5565796.3899999997</v>
      </c>
      <c r="AH720" t="s">
        <v>112</v>
      </c>
      <c r="AI720" t="s">
        <v>152</v>
      </c>
      <c r="AJ720" t="s">
        <v>153</v>
      </c>
      <c r="AK720" t="s">
        <v>154</v>
      </c>
      <c r="AL720" t="s">
        <v>119</v>
      </c>
      <c r="AM720" t="s">
        <v>112</v>
      </c>
      <c r="AN720" t="s">
        <v>121</v>
      </c>
      <c r="AO720" t="s">
        <v>122</v>
      </c>
      <c r="AP720" t="s">
        <v>122</v>
      </c>
      <c r="AQ720" t="s">
        <v>124</v>
      </c>
      <c r="AR720" t="s">
        <v>125</v>
      </c>
      <c r="AS720">
        <v>2</v>
      </c>
      <c r="AT720" t="s">
        <v>126</v>
      </c>
      <c r="AU720" t="s">
        <v>155</v>
      </c>
      <c r="AV720" t="s">
        <v>156</v>
      </c>
      <c r="AX720" t="s">
        <v>129</v>
      </c>
      <c r="AY720">
        <v>47982.559999999998</v>
      </c>
      <c r="BB720">
        <v>106.01</v>
      </c>
      <c r="BC720" t="s">
        <v>112</v>
      </c>
      <c r="BD720" t="s">
        <v>112</v>
      </c>
      <c r="BE720" t="s">
        <v>157</v>
      </c>
      <c r="BF720" t="s">
        <v>133</v>
      </c>
      <c r="BG720" t="s">
        <v>167</v>
      </c>
      <c r="BH720" t="s">
        <v>112</v>
      </c>
      <c r="BI720" t="s">
        <v>112</v>
      </c>
      <c r="BJ720" t="s">
        <v>112</v>
      </c>
      <c r="BK720" t="s">
        <v>158</v>
      </c>
      <c r="BL720" t="s">
        <v>159</v>
      </c>
      <c r="BM720" t="s">
        <v>160</v>
      </c>
      <c r="BN720" t="s">
        <v>161</v>
      </c>
      <c r="BP720" t="s">
        <v>162</v>
      </c>
      <c r="BR720" t="s">
        <v>150</v>
      </c>
      <c r="BS720">
        <v>33</v>
      </c>
      <c r="BT720">
        <v>0</v>
      </c>
      <c r="BU720">
        <v>0</v>
      </c>
      <c r="BW720">
        <v>0</v>
      </c>
      <c r="BY720" t="s">
        <v>106</v>
      </c>
      <c r="BZ720" t="s">
        <v>142</v>
      </c>
      <c r="CA720" t="s">
        <v>112</v>
      </c>
      <c r="CB720" t="s">
        <v>112</v>
      </c>
      <c r="CC720" t="s">
        <v>121</v>
      </c>
      <c r="CD720">
        <v>16966.240000000002</v>
      </c>
      <c r="CE720" t="s">
        <v>144</v>
      </c>
      <c r="CF720">
        <v>4000000</v>
      </c>
      <c r="CG720">
        <v>16966.240000000002</v>
      </c>
      <c r="CH720">
        <v>0</v>
      </c>
      <c r="CI720" t="s">
        <v>112</v>
      </c>
      <c r="CJ720" t="s">
        <v>112</v>
      </c>
      <c r="CK720">
        <v>47982.559999999998</v>
      </c>
      <c r="CM720">
        <v>0</v>
      </c>
      <c r="CN720">
        <v>1</v>
      </c>
      <c r="CO720">
        <v>5565796.3899999997</v>
      </c>
      <c r="CP720">
        <v>55385.96</v>
      </c>
      <c r="CQ720" t="s">
        <v>145</v>
      </c>
      <c r="CR720">
        <v>55309.9424</v>
      </c>
      <c r="CS720">
        <v>3.26</v>
      </c>
      <c r="CT720">
        <v>45</v>
      </c>
      <c r="CV720" t="s">
        <v>1140</v>
      </c>
      <c r="CW720">
        <v>93</v>
      </c>
    </row>
    <row r="721" spans="1:101" x14ac:dyDescent="0.2">
      <c r="A721" t="s">
        <v>106</v>
      </c>
      <c r="B721" s="46">
        <v>45019</v>
      </c>
      <c r="C721" t="s">
        <v>2083</v>
      </c>
      <c r="D721" t="s">
        <v>108</v>
      </c>
      <c r="E721" t="s">
        <v>2084</v>
      </c>
      <c r="F721" t="s">
        <v>110</v>
      </c>
      <c r="G721" t="s">
        <v>111</v>
      </c>
      <c r="H721" t="s">
        <v>112</v>
      </c>
      <c r="I721" t="s">
        <v>112</v>
      </c>
      <c r="J721" t="s">
        <v>112</v>
      </c>
      <c r="K721" t="s">
        <v>150</v>
      </c>
      <c r="L721" t="s">
        <v>151</v>
      </c>
      <c r="M721" t="s">
        <v>112</v>
      </c>
      <c r="N721" t="s">
        <v>112</v>
      </c>
      <c r="O721">
        <v>1</v>
      </c>
      <c r="Q721">
        <v>1</v>
      </c>
      <c r="R721">
        <v>33</v>
      </c>
      <c r="S721" t="s">
        <v>112</v>
      </c>
      <c r="T721" t="s">
        <v>152</v>
      </c>
      <c r="U721" t="s">
        <v>153</v>
      </c>
      <c r="V721" t="s">
        <v>154</v>
      </c>
      <c r="W721" t="s">
        <v>119</v>
      </c>
      <c r="X721" t="s">
        <v>112</v>
      </c>
      <c r="Y721" t="s">
        <v>112</v>
      </c>
      <c r="Z721" t="s">
        <v>152</v>
      </c>
      <c r="AA721" t="s">
        <v>153</v>
      </c>
      <c r="AB721" t="s">
        <v>154</v>
      </c>
      <c r="AC721" t="s">
        <v>119</v>
      </c>
      <c r="AD721" t="s">
        <v>112</v>
      </c>
      <c r="AE721" t="s">
        <v>121</v>
      </c>
      <c r="AF721" t="s">
        <v>122</v>
      </c>
      <c r="AG721">
        <v>4787958.6100000003</v>
      </c>
      <c r="AH721" t="s">
        <v>112</v>
      </c>
      <c r="AI721" t="s">
        <v>152</v>
      </c>
      <c r="AJ721" t="s">
        <v>153</v>
      </c>
      <c r="AK721" t="s">
        <v>154</v>
      </c>
      <c r="AL721" t="s">
        <v>119</v>
      </c>
      <c r="AM721" t="s">
        <v>112</v>
      </c>
      <c r="AN721" t="s">
        <v>121</v>
      </c>
      <c r="AO721" t="s">
        <v>122</v>
      </c>
      <c r="AP721" t="s">
        <v>122</v>
      </c>
      <c r="AQ721" t="s">
        <v>124</v>
      </c>
      <c r="AR721" t="s">
        <v>125</v>
      </c>
      <c r="AS721">
        <v>2</v>
      </c>
      <c r="AT721" t="s">
        <v>126</v>
      </c>
      <c r="AU721" t="s">
        <v>155</v>
      </c>
      <c r="AV721" t="s">
        <v>156</v>
      </c>
      <c r="AX721" t="s">
        <v>129</v>
      </c>
      <c r="AY721">
        <v>41175.160000000003</v>
      </c>
      <c r="BB721">
        <v>106.01</v>
      </c>
      <c r="BC721" t="s">
        <v>112</v>
      </c>
      <c r="BD721" t="s">
        <v>112</v>
      </c>
      <c r="BE721" t="s">
        <v>157</v>
      </c>
      <c r="BF721" t="s">
        <v>133</v>
      </c>
      <c r="BG721" t="s">
        <v>167</v>
      </c>
      <c r="BH721" t="s">
        <v>112</v>
      </c>
      <c r="BI721" t="s">
        <v>112</v>
      </c>
      <c r="BJ721" t="s">
        <v>112</v>
      </c>
      <c r="BK721" t="s">
        <v>158</v>
      </c>
      <c r="BL721" t="s">
        <v>159</v>
      </c>
      <c r="BM721" t="s">
        <v>160</v>
      </c>
      <c r="BN721" t="s">
        <v>161</v>
      </c>
      <c r="BP721" t="s">
        <v>232</v>
      </c>
      <c r="BR721" t="s">
        <v>150</v>
      </c>
      <c r="BS721">
        <v>33</v>
      </c>
      <c r="BT721">
        <v>0</v>
      </c>
      <c r="BU721">
        <v>0</v>
      </c>
      <c r="BW721">
        <v>0</v>
      </c>
      <c r="BY721" t="s">
        <v>106</v>
      </c>
      <c r="BZ721" t="s">
        <v>142</v>
      </c>
      <c r="CA721" t="s">
        <v>112</v>
      </c>
      <c r="CB721" t="s">
        <v>112</v>
      </c>
      <c r="CC721" t="s">
        <v>121</v>
      </c>
      <c r="CD721">
        <v>15464.69</v>
      </c>
      <c r="CE721" t="s">
        <v>144</v>
      </c>
      <c r="CF721">
        <v>4000000</v>
      </c>
      <c r="CG721">
        <v>15248.69</v>
      </c>
      <c r="CH721">
        <v>0</v>
      </c>
      <c r="CI721" t="s">
        <v>112</v>
      </c>
      <c r="CJ721" t="s">
        <v>112</v>
      </c>
      <c r="CK721">
        <v>41175.160000000003</v>
      </c>
      <c r="CM721">
        <v>0</v>
      </c>
      <c r="CN721">
        <v>1</v>
      </c>
      <c r="CO721">
        <v>4787958.6100000003</v>
      </c>
      <c r="CP721">
        <v>47645.599999999999</v>
      </c>
      <c r="CQ721" t="s">
        <v>145</v>
      </c>
      <c r="CR721">
        <v>47575.912800000006</v>
      </c>
      <c r="CS721">
        <v>3.12</v>
      </c>
      <c r="CT721">
        <v>45</v>
      </c>
      <c r="CV721" t="s">
        <v>233</v>
      </c>
      <c r="CW721">
        <v>595</v>
      </c>
    </row>
    <row r="722" spans="1:101" x14ac:dyDescent="0.2">
      <c r="A722" t="s">
        <v>106</v>
      </c>
      <c r="B722" s="46">
        <v>45166</v>
      </c>
      <c r="C722" t="s">
        <v>2083</v>
      </c>
      <c r="D722" t="s">
        <v>108</v>
      </c>
      <c r="E722" t="s">
        <v>2084</v>
      </c>
      <c r="F722" t="s">
        <v>110</v>
      </c>
      <c r="G722" t="s">
        <v>111</v>
      </c>
      <c r="H722" t="s">
        <v>112</v>
      </c>
      <c r="I722" t="s">
        <v>112</v>
      </c>
      <c r="J722" t="s">
        <v>112</v>
      </c>
      <c r="K722" t="s">
        <v>150</v>
      </c>
      <c r="L722" t="s">
        <v>151</v>
      </c>
      <c r="M722" t="s">
        <v>112</v>
      </c>
      <c r="N722" t="s">
        <v>112</v>
      </c>
      <c r="O722">
        <v>1</v>
      </c>
      <c r="Q722">
        <v>1</v>
      </c>
      <c r="R722">
        <v>33</v>
      </c>
      <c r="S722" t="s">
        <v>112</v>
      </c>
      <c r="T722" t="s">
        <v>152</v>
      </c>
      <c r="U722" t="s">
        <v>153</v>
      </c>
      <c r="V722" t="s">
        <v>154</v>
      </c>
      <c r="W722" t="s">
        <v>119</v>
      </c>
      <c r="X722" t="s">
        <v>112</v>
      </c>
      <c r="Y722" t="s">
        <v>112</v>
      </c>
      <c r="Z722" t="s">
        <v>152</v>
      </c>
      <c r="AA722" t="s">
        <v>153</v>
      </c>
      <c r="AB722" t="s">
        <v>154</v>
      </c>
      <c r="AC722" t="s">
        <v>119</v>
      </c>
      <c r="AD722" t="s">
        <v>112</v>
      </c>
      <c r="AE722" t="s">
        <v>121</v>
      </c>
      <c r="AF722" t="s">
        <v>122</v>
      </c>
      <c r="AG722">
        <v>4787958.6100000003</v>
      </c>
      <c r="AH722" t="s">
        <v>112</v>
      </c>
      <c r="AI722" t="s">
        <v>152</v>
      </c>
      <c r="AJ722" t="s">
        <v>153</v>
      </c>
      <c r="AK722" t="s">
        <v>154</v>
      </c>
      <c r="AL722" t="s">
        <v>119</v>
      </c>
      <c r="AM722" t="s">
        <v>112</v>
      </c>
      <c r="AN722" t="s">
        <v>121</v>
      </c>
      <c r="AO722" t="s">
        <v>122</v>
      </c>
      <c r="AP722" t="s">
        <v>122</v>
      </c>
      <c r="AQ722" t="s">
        <v>124</v>
      </c>
      <c r="AR722" t="s">
        <v>125</v>
      </c>
      <c r="AS722">
        <v>2</v>
      </c>
      <c r="AT722" t="s">
        <v>126</v>
      </c>
      <c r="AU722" t="s">
        <v>155</v>
      </c>
      <c r="AV722" t="s">
        <v>156</v>
      </c>
      <c r="AX722" t="s">
        <v>129</v>
      </c>
      <c r="AY722">
        <v>41175.160000000003</v>
      </c>
      <c r="BB722">
        <v>106.01</v>
      </c>
      <c r="BC722" t="s">
        <v>112</v>
      </c>
      <c r="BD722" t="s">
        <v>112</v>
      </c>
      <c r="BE722" t="s">
        <v>157</v>
      </c>
      <c r="BF722" t="s">
        <v>133</v>
      </c>
      <c r="BG722" t="s">
        <v>167</v>
      </c>
      <c r="BH722" t="s">
        <v>112</v>
      </c>
      <c r="BI722" t="s">
        <v>112</v>
      </c>
      <c r="BJ722" t="s">
        <v>112</v>
      </c>
      <c r="BK722" t="s">
        <v>158</v>
      </c>
      <c r="BL722" t="s">
        <v>159</v>
      </c>
      <c r="BM722" t="s">
        <v>160</v>
      </c>
      <c r="BN722" t="s">
        <v>161</v>
      </c>
      <c r="BP722" t="s">
        <v>232</v>
      </c>
      <c r="BR722" t="s">
        <v>150</v>
      </c>
      <c r="BS722">
        <v>33</v>
      </c>
      <c r="BT722">
        <v>0</v>
      </c>
      <c r="BU722">
        <v>0</v>
      </c>
      <c r="BW722">
        <v>0</v>
      </c>
      <c r="BY722" t="s">
        <v>106</v>
      </c>
      <c r="BZ722" t="s">
        <v>142</v>
      </c>
      <c r="CA722" t="s">
        <v>112</v>
      </c>
      <c r="CB722" t="s">
        <v>112</v>
      </c>
      <c r="CC722" t="s">
        <v>121</v>
      </c>
      <c r="CD722">
        <v>15464.69</v>
      </c>
      <c r="CE722" t="s">
        <v>144</v>
      </c>
      <c r="CF722">
        <v>4000000</v>
      </c>
      <c r="CG722">
        <v>15248.69</v>
      </c>
      <c r="CH722">
        <v>0</v>
      </c>
      <c r="CI722" t="s">
        <v>112</v>
      </c>
      <c r="CJ722" t="s">
        <v>112</v>
      </c>
      <c r="CK722">
        <v>41175.160000000003</v>
      </c>
      <c r="CM722">
        <v>0</v>
      </c>
      <c r="CN722">
        <v>1</v>
      </c>
      <c r="CO722">
        <v>4787958.6100000003</v>
      </c>
      <c r="CP722">
        <v>47645.599999999999</v>
      </c>
      <c r="CQ722" t="s">
        <v>145</v>
      </c>
      <c r="CR722">
        <v>47575.912800000006</v>
      </c>
      <c r="CS722">
        <v>3.12</v>
      </c>
      <c r="CT722">
        <v>45</v>
      </c>
      <c r="CV722" t="s">
        <v>233</v>
      </c>
      <c r="CW722">
        <v>595</v>
      </c>
    </row>
    <row r="723" spans="1:101" x14ac:dyDescent="0.2">
      <c r="A723" t="s">
        <v>106</v>
      </c>
      <c r="B723" s="46">
        <v>45214</v>
      </c>
      <c r="C723" t="s">
        <v>2073</v>
      </c>
      <c r="D723" t="s">
        <v>108</v>
      </c>
      <c r="E723" t="s">
        <v>2074</v>
      </c>
      <c r="F723" t="s">
        <v>110</v>
      </c>
      <c r="G723" t="s">
        <v>111</v>
      </c>
      <c r="H723" t="s">
        <v>112</v>
      </c>
      <c r="I723" t="s">
        <v>112</v>
      </c>
      <c r="J723" t="s">
        <v>112</v>
      </c>
      <c r="K723" t="s">
        <v>150</v>
      </c>
      <c r="L723" t="s">
        <v>151</v>
      </c>
      <c r="M723" t="s">
        <v>112</v>
      </c>
      <c r="N723" t="s">
        <v>112</v>
      </c>
      <c r="O723">
        <v>1</v>
      </c>
      <c r="Q723">
        <v>1</v>
      </c>
      <c r="R723">
        <v>33</v>
      </c>
      <c r="S723" t="s">
        <v>112</v>
      </c>
      <c r="T723" t="s">
        <v>152</v>
      </c>
      <c r="U723" t="s">
        <v>153</v>
      </c>
      <c r="V723" t="s">
        <v>154</v>
      </c>
      <c r="W723" t="s">
        <v>119</v>
      </c>
      <c r="X723" t="s">
        <v>112</v>
      </c>
      <c r="Y723" t="s">
        <v>112</v>
      </c>
      <c r="Z723" t="s">
        <v>152</v>
      </c>
      <c r="AA723" t="s">
        <v>153</v>
      </c>
      <c r="AB723" t="s">
        <v>154</v>
      </c>
      <c r="AC723" t="s">
        <v>119</v>
      </c>
      <c r="AD723" t="s">
        <v>112</v>
      </c>
      <c r="AE723" t="s">
        <v>121</v>
      </c>
      <c r="AF723" t="s">
        <v>122</v>
      </c>
      <c r="AG723">
        <v>5668630.3300000001</v>
      </c>
      <c r="AH723" t="s">
        <v>112</v>
      </c>
      <c r="AI723" t="s">
        <v>152</v>
      </c>
      <c r="AJ723" t="s">
        <v>153</v>
      </c>
      <c r="AK723" t="s">
        <v>154</v>
      </c>
      <c r="AL723" t="s">
        <v>119</v>
      </c>
      <c r="AM723" t="s">
        <v>112</v>
      </c>
      <c r="AN723" t="s">
        <v>121</v>
      </c>
      <c r="AO723" t="s">
        <v>122</v>
      </c>
      <c r="AP723" t="s">
        <v>122</v>
      </c>
      <c r="AQ723" t="s">
        <v>124</v>
      </c>
      <c r="AR723" t="s">
        <v>125</v>
      </c>
      <c r="AS723">
        <v>2</v>
      </c>
      <c r="AT723" t="s">
        <v>126</v>
      </c>
      <c r="AU723" t="s">
        <v>155</v>
      </c>
      <c r="AV723" t="s">
        <v>156</v>
      </c>
      <c r="AX723" t="s">
        <v>129</v>
      </c>
      <c r="AY723">
        <v>49482.6</v>
      </c>
      <c r="BB723">
        <v>106.01</v>
      </c>
      <c r="BC723" t="s">
        <v>112</v>
      </c>
      <c r="BD723" t="s">
        <v>112</v>
      </c>
      <c r="BE723" t="s">
        <v>157</v>
      </c>
      <c r="BF723" t="s">
        <v>133</v>
      </c>
      <c r="BG723" t="s">
        <v>134</v>
      </c>
      <c r="BH723" t="s">
        <v>112</v>
      </c>
      <c r="BI723" t="s">
        <v>112</v>
      </c>
      <c r="BJ723" t="s">
        <v>112</v>
      </c>
      <c r="BK723" t="s">
        <v>158</v>
      </c>
      <c r="BL723" t="s">
        <v>159</v>
      </c>
      <c r="BM723" t="s">
        <v>212</v>
      </c>
      <c r="BN723" t="s">
        <v>161</v>
      </c>
      <c r="BP723" t="s">
        <v>466</v>
      </c>
      <c r="BR723" t="s">
        <v>150</v>
      </c>
      <c r="BS723">
        <v>33</v>
      </c>
      <c r="BT723">
        <v>0</v>
      </c>
      <c r="BU723">
        <v>0</v>
      </c>
      <c r="BW723">
        <v>0</v>
      </c>
      <c r="BY723" t="s">
        <v>106</v>
      </c>
      <c r="BZ723" t="s">
        <v>142</v>
      </c>
      <c r="CA723" t="s">
        <v>112</v>
      </c>
      <c r="CB723" t="s">
        <v>112</v>
      </c>
      <c r="CC723" t="s">
        <v>121</v>
      </c>
      <c r="CD723">
        <v>15817.92</v>
      </c>
      <c r="CE723" t="s">
        <v>144</v>
      </c>
      <c r="CF723">
        <v>4000000</v>
      </c>
      <c r="CG723">
        <v>15637.92</v>
      </c>
      <c r="CH723">
        <v>0</v>
      </c>
      <c r="CI723" t="s">
        <v>112</v>
      </c>
      <c r="CJ723" t="s">
        <v>112</v>
      </c>
      <c r="CK723">
        <v>49482.6</v>
      </c>
      <c r="CM723">
        <v>0</v>
      </c>
      <c r="CN723">
        <v>1</v>
      </c>
      <c r="CO723">
        <v>5668630.3300000001</v>
      </c>
      <c r="CP723">
        <v>56409.279999999999</v>
      </c>
      <c r="CQ723" t="s">
        <v>145</v>
      </c>
      <c r="CR723">
        <v>56452.891199999998</v>
      </c>
      <c r="CS723">
        <v>3.61</v>
      </c>
      <c r="CT723">
        <v>45</v>
      </c>
      <c r="CV723" t="s">
        <v>729</v>
      </c>
      <c r="CW723">
        <v>595</v>
      </c>
    </row>
    <row r="724" spans="1:101" x14ac:dyDescent="0.2">
      <c r="A724" t="s">
        <v>106</v>
      </c>
      <c r="B724" s="46">
        <v>45266</v>
      </c>
      <c r="C724" t="s">
        <v>2073</v>
      </c>
      <c r="D724" t="s">
        <v>108</v>
      </c>
      <c r="E724" t="s">
        <v>2074</v>
      </c>
      <c r="F724" t="s">
        <v>110</v>
      </c>
      <c r="G724" t="s">
        <v>111</v>
      </c>
      <c r="H724" t="s">
        <v>112</v>
      </c>
      <c r="I724" t="s">
        <v>112</v>
      </c>
      <c r="J724" t="s">
        <v>112</v>
      </c>
      <c r="K724" t="s">
        <v>150</v>
      </c>
      <c r="L724" t="s">
        <v>151</v>
      </c>
      <c r="M724" t="s">
        <v>112</v>
      </c>
      <c r="N724" t="s">
        <v>112</v>
      </c>
      <c r="O724">
        <v>1</v>
      </c>
      <c r="Q724">
        <v>1</v>
      </c>
      <c r="R724">
        <v>33</v>
      </c>
      <c r="S724" t="s">
        <v>112</v>
      </c>
      <c r="T724" t="s">
        <v>152</v>
      </c>
      <c r="U724" t="s">
        <v>153</v>
      </c>
      <c r="V724" t="s">
        <v>154</v>
      </c>
      <c r="W724" t="s">
        <v>119</v>
      </c>
      <c r="X724" t="s">
        <v>112</v>
      </c>
      <c r="Y724" t="s">
        <v>112</v>
      </c>
      <c r="Z724" t="s">
        <v>152</v>
      </c>
      <c r="AA724" t="s">
        <v>153</v>
      </c>
      <c r="AB724" t="s">
        <v>154</v>
      </c>
      <c r="AC724" t="s">
        <v>119</v>
      </c>
      <c r="AD724" t="s">
        <v>112</v>
      </c>
      <c r="AE724" t="s">
        <v>121</v>
      </c>
      <c r="AF724" t="s">
        <v>122</v>
      </c>
      <c r="AG724">
        <v>5668630.3300000001</v>
      </c>
      <c r="AH724" t="s">
        <v>112</v>
      </c>
      <c r="AI724" t="s">
        <v>152</v>
      </c>
      <c r="AJ724" t="s">
        <v>153</v>
      </c>
      <c r="AK724" t="s">
        <v>154</v>
      </c>
      <c r="AL724" t="s">
        <v>119</v>
      </c>
      <c r="AM724" t="s">
        <v>112</v>
      </c>
      <c r="AN724" t="s">
        <v>121</v>
      </c>
      <c r="AO724" t="s">
        <v>122</v>
      </c>
      <c r="AP724" t="s">
        <v>122</v>
      </c>
      <c r="AQ724" t="s">
        <v>124</v>
      </c>
      <c r="AR724" t="s">
        <v>125</v>
      </c>
      <c r="AS724">
        <v>2</v>
      </c>
      <c r="AT724" t="s">
        <v>126</v>
      </c>
      <c r="AU724" t="s">
        <v>155</v>
      </c>
      <c r="AV724" t="s">
        <v>156</v>
      </c>
      <c r="AX724" t="s">
        <v>129</v>
      </c>
      <c r="AY724">
        <v>49482.6</v>
      </c>
      <c r="BB724">
        <v>106.01</v>
      </c>
      <c r="BC724" t="s">
        <v>112</v>
      </c>
      <c r="BD724" t="s">
        <v>112</v>
      </c>
      <c r="BE724" t="s">
        <v>157</v>
      </c>
      <c r="BF724" t="s">
        <v>133</v>
      </c>
      <c r="BG724" t="s">
        <v>134</v>
      </c>
      <c r="BH724" t="s">
        <v>112</v>
      </c>
      <c r="BI724" t="s">
        <v>112</v>
      </c>
      <c r="BJ724" t="s">
        <v>112</v>
      </c>
      <c r="BK724" t="s">
        <v>158</v>
      </c>
      <c r="BL724" t="s">
        <v>159</v>
      </c>
      <c r="BM724" t="s">
        <v>212</v>
      </c>
      <c r="BN724" t="s">
        <v>161</v>
      </c>
      <c r="BP724" t="s">
        <v>466</v>
      </c>
      <c r="BR724" t="s">
        <v>150</v>
      </c>
      <c r="BS724">
        <v>33</v>
      </c>
      <c r="BT724">
        <v>0</v>
      </c>
      <c r="BU724">
        <v>0</v>
      </c>
      <c r="BW724">
        <v>0</v>
      </c>
      <c r="BY724" t="s">
        <v>106</v>
      </c>
      <c r="BZ724" t="s">
        <v>142</v>
      </c>
      <c r="CA724" t="s">
        <v>112</v>
      </c>
      <c r="CB724" t="s">
        <v>112</v>
      </c>
      <c r="CC724" t="s">
        <v>121</v>
      </c>
      <c r="CD724">
        <v>15817.92</v>
      </c>
      <c r="CE724" t="s">
        <v>144</v>
      </c>
      <c r="CF724">
        <v>4000000</v>
      </c>
      <c r="CG724">
        <v>15637.92</v>
      </c>
      <c r="CH724">
        <v>0</v>
      </c>
      <c r="CI724" t="s">
        <v>112</v>
      </c>
      <c r="CJ724" t="s">
        <v>112</v>
      </c>
      <c r="CK724">
        <v>49482.6</v>
      </c>
      <c r="CM724">
        <v>0</v>
      </c>
      <c r="CN724">
        <v>1</v>
      </c>
      <c r="CO724">
        <v>5668630.3300000001</v>
      </c>
      <c r="CP724">
        <v>56409.279999999999</v>
      </c>
      <c r="CQ724" t="s">
        <v>145</v>
      </c>
      <c r="CR724">
        <v>56452.891199999998</v>
      </c>
      <c r="CS724">
        <v>3.61</v>
      </c>
      <c r="CT724">
        <v>45</v>
      </c>
      <c r="CV724" t="s">
        <v>729</v>
      </c>
      <c r="CW724">
        <v>595</v>
      </c>
    </row>
    <row r="725" spans="1:101" x14ac:dyDescent="0.2">
      <c r="A725" t="s">
        <v>106</v>
      </c>
      <c r="B725" s="46">
        <v>44965</v>
      </c>
      <c r="C725" t="s">
        <v>2079</v>
      </c>
      <c r="D725" t="s">
        <v>108</v>
      </c>
      <c r="E725" t="s">
        <v>2080</v>
      </c>
      <c r="F725" t="s">
        <v>110</v>
      </c>
      <c r="G725" t="s">
        <v>111</v>
      </c>
      <c r="H725" t="s">
        <v>112</v>
      </c>
      <c r="I725" t="s">
        <v>112</v>
      </c>
      <c r="J725" t="s">
        <v>112</v>
      </c>
      <c r="K725" t="s">
        <v>150</v>
      </c>
      <c r="L725" t="s">
        <v>151</v>
      </c>
      <c r="M725" t="s">
        <v>112</v>
      </c>
      <c r="N725" t="s">
        <v>112</v>
      </c>
      <c r="O725">
        <v>1</v>
      </c>
      <c r="Q725">
        <v>1</v>
      </c>
      <c r="R725">
        <v>33</v>
      </c>
      <c r="S725" t="s">
        <v>112</v>
      </c>
      <c r="T725" t="s">
        <v>152</v>
      </c>
      <c r="U725" t="s">
        <v>153</v>
      </c>
      <c r="V725" t="s">
        <v>154</v>
      </c>
      <c r="W725" t="s">
        <v>119</v>
      </c>
      <c r="X725" t="s">
        <v>112</v>
      </c>
      <c r="Y725" t="s">
        <v>112</v>
      </c>
      <c r="Z725" t="s">
        <v>152</v>
      </c>
      <c r="AA725" t="s">
        <v>153</v>
      </c>
      <c r="AB725" t="s">
        <v>154</v>
      </c>
      <c r="AC725" t="s">
        <v>119</v>
      </c>
      <c r="AD725" t="s">
        <v>112</v>
      </c>
      <c r="AE725" t="s">
        <v>121</v>
      </c>
      <c r="AF725" t="s">
        <v>122</v>
      </c>
      <c r="AG725">
        <v>5045291.53</v>
      </c>
      <c r="AH725" t="s">
        <v>112</v>
      </c>
      <c r="AI725" t="s">
        <v>152</v>
      </c>
      <c r="AJ725" t="s">
        <v>153</v>
      </c>
      <c r="AK725" t="s">
        <v>154</v>
      </c>
      <c r="AL725" t="s">
        <v>119</v>
      </c>
      <c r="AM725" t="s">
        <v>112</v>
      </c>
      <c r="AN725" t="s">
        <v>121</v>
      </c>
      <c r="AO725" t="s">
        <v>122</v>
      </c>
      <c r="AP725" t="s">
        <v>122</v>
      </c>
      <c r="AQ725" t="s">
        <v>124</v>
      </c>
      <c r="AR725" t="s">
        <v>125</v>
      </c>
      <c r="AS725">
        <v>2</v>
      </c>
      <c r="AT725" t="s">
        <v>126</v>
      </c>
      <c r="AU725" t="s">
        <v>155</v>
      </c>
      <c r="AV725" t="s">
        <v>156</v>
      </c>
      <c r="AX725" t="s">
        <v>129</v>
      </c>
      <c r="AY725">
        <v>43602.6</v>
      </c>
      <c r="BB725">
        <v>106.01</v>
      </c>
      <c r="BC725" t="s">
        <v>112</v>
      </c>
      <c r="BD725" t="s">
        <v>112</v>
      </c>
      <c r="BE725" t="s">
        <v>157</v>
      </c>
      <c r="BF725" t="s">
        <v>133</v>
      </c>
      <c r="BG725" t="s">
        <v>167</v>
      </c>
      <c r="BH725" t="s">
        <v>112</v>
      </c>
      <c r="BI725" t="s">
        <v>112</v>
      </c>
      <c r="BJ725" t="s">
        <v>112</v>
      </c>
      <c r="BK725" t="s">
        <v>158</v>
      </c>
      <c r="BL725" t="s">
        <v>159</v>
      </c>
      <c r="BM725" t="s">
        <v>160</v>
      </c>
      <c r="BN725" t="s">
        <v>161</v>
      </c>
      <c r="BP725" t="s">
        <v>466</v>
      </c>
      <c r="BR725" t="s">
        <v>150</v>
      </c>
      <c r="BS725">
        <v>33</v>
      </c>
      <c r="BT725">
        <v>0</v>
      </c>
      <c r="BU725">
        <v>0</v>
      </c>
      <c r="BW725">
        <v>0</v>
      </c>
      <c r="BY725" t="s">
        <v>106</v>
      </c>
      <c r="BZ725" t="s">
        <v>142</v>
      </c>
      <c r="CA725" t="s">
        <v>112</v>
      </c>
      <c r="CB725" t="s">
        <v>112</v>
      </c>
      <c r="CC725" t="s">
        <v>121</v>
      </c>
      <c r="CD725">
        <v>17092.62</v>
      </c>
      <c r="CE725" t="s">
        <v>144</v>
      </c>
      <c r="CF725">
        <v>4000000</v>
      </c>
      <c r="CG725">
        <v>17092.62</v>
      </c>
      <c r="CH725">
        <v>0</v>
      </c>
      <c r="CI725" t="s">
        <v>112</v>
      </c>
      <c r="CJ725" t="s">
        <v>112</v>
      </c>
      <c r="CK725">
        <v>43602.6</v>
      </c>
      <c r="CM725">
        <v>0</v>
      </c>
      <c r="CN725">
        <v>1</v>
      </c>
      <c r="CO725">
        <v>5045291.53</v>
      </c>
      <c r="CP725">
        <v>50206.35</v>
      </c>
      <c r="CQ725" t="s">
        <v>145</v>
      </c>
      <c r="CR725">
        <v>50252.302799999998</v>
      </c>
      <c r="CS725">
        <v>2.94</v>
      </c>
      <c r="CT725">
        <v>45</v>
      </c>
      <c r="CV725" t="s">
        <v>729</v>
      </c>
      <c r="CW725">
        <v>342</v>
      </c>
    </row>
    <row r="726" spans="1:101" x14ac:dyDescent="0.2">
      <c r="A726" t="s">
        <v>106</v>
      </c>
      <c r="B726" s="46">
        <v>45288</v>
      </c>
      <c r="C726" t="s">
        <v>2079</v>
      </c>
      <c r="D726" t="s">
        <v>108</v>
      </c>
      <c r="E726" t="s">
        <v>2080</v>
      </c>
      <c r="F726" t="s">
        <v>110</v>
      </c>
      <c r="G726" t="s">
        <v>111</v>
      </c>
      <c r="H726" t="s">
        <v>112</v>
      </c>
      <c r="I726" t="s">
        <v>112</v>
      </c>
      <c r="J726" t="s">
        <v>112</v>
      </c>
      <c r="K726" t="s">
        <v>150</v>
      </c>
      <c r="L726" t="s">
        <v>151</v>
      </c>
      <c r="M726" t="s">
        <v>112</v>
      </c>
      <c r="N726" t="s">
        <v>112</v>
      </c>
      <c r="O726">
        <v>1</v>
      </c>
      <c r="Q726">
        <v>1</v>
      </c>
      <c r="R726">
        <v>33</v>
      </c>
      <c r="S726" t="s">
        <v>112</v>
      </c>
      <c r="T726" t="s">
        <v>152</v>
      </c>
      <c r="U726" t="s">
        <v>153</v>
      </c>
      <c r="V726" t="s">
        <v>154</v>
      </c>
      <c r="W726" t="s">
        <v>119</v>
      </c>
      <c r="X726" t="s">
        <v>112</v>
      </c>
      <c r="Y726" t="s">
        <v>112</v>
      </c>
      <c r="Z726" t="s">
        <v>152</v>
      </c>
      <c r="AA726" t="s">
        <v>153</v>
      </c>
      <c r="AB726" t="s">
        <v>154</v>
      </c>
      <c r="AC726" t="s">
        <v>119</v>
      </c>
      <c r="AD726" t="s">
        <v>112</v>
      </c>
      <c r="AE726" t="s">
        <v>121</v>
      </c>
      <c r="AF726" t="s">
        <v>122</v>
      </c>
      <c r="AG726">
        <v>5045291.53</v>
      </c>
      <c r="AH726" t="s">
        <v>112</v>
      </c>
      <c r="AI726" t="s">
        <v>152</v>
      </c>
      <c r="AJ726" t="s">
        <v>153</v>
      </c>
      <c r="AK726" t="s">
        <v>154</v>
      </c>
      <c r="AL726" t="s">
        <v>119</v>
      </c>
      <c r="AM726" t="s">
        <v>112</v>
      </c>
      <c r="AN726" t="s">
        <v>121</v>
      </c>
      <c r="AO726" t="s">
        <v>122</v>
      </c>
      <c r="AP726" t="s">
        <v>122</v>
      </c>
      <c r="AQ726" t="s">
        <v>124</v>
      </c>
      <c r="AR726" t="s">
        <v>125</v>
      </c>
      <c r="AS726">
        <v>2</v>
      </c>
      <c r="AT726" t="s">
        <v>126</v>
      </c>
      <c r="AU726" t="s">
        <v>155</v>
      </c>
      <c r="AV726" t="s">
        <v>156</v>
      </c>
      <c r="AX726" t="s">
        <v>129</v>
      </c>
      <c r="AY726">
        <v>43602.6</v>
      </c>
      <c r="BB726">
        <v>106.01</v>
      </c>
      <c r="BC726" t="s">
        <v>112</v>
      </c>
      <c r="BD726" t="s">
        <v>112</v>
      </c>
      <c r="BE726" t="s">
        <v>157</v>
      </c>
      <c r="BF726" t="s">
        <v>133</v>
      </c>
      <c r="BG726" t="s">
        <v>167</v>
      </c>
      <c r="BH726" t="s">
        <v>112</v>
      </c>
      <c r="BI726" t="s">
        <v>112</v>
      </c>
      <c r="BJ726" t="s">
        <v>112</v>
      </c>
      <c r="BK726" t="s">
        <v>158</v>
      </c>
      <c r="BL726" t="s">
        <v>159</v>
      </c>
      <c r="BM726" t="s">
        <v>160</v>
      </c>
      <c r="BN726" t="s">
        <v>161</v>
      </c>
      <c r="BP726" t="s">
        <v>466</v>
      </c>
      <c r="BR726" t="s">
        <v>150</v>
      </c>
      <c r="BS726">
        <v>33</v>
      </c>
      <c r="BT726">
        <v>0</v>
      </c>
      <c r="BU726">
        <v>0</v>
      </c>
      <c r="BW726">
        <v>0</v>
      </c>
      <c r="BY726" t="s">
        <v>106</v>
      </c>
      <c r="BZ726" t="s">
        <v>142</v>
      </c>
      <c r="CA726" t="s">
        <v>112</v>
      </c>
      <c r="CB726" t="s">
        <v>112</v>
      </c>
      <c r="CC726" t="s">
        <v>121</v>
      </c>
      <c r="CD726">
        <v>17092.62</v>
      </c>
      <c r="CE726" t="s">
        <v>144</v>
      </c>
      <c r="CF726">
        <v>4000000</v>
      </c>
      <c r="CG726">
        <v>17092.62</v>
      </c>
      <c r="CH726">
        <v>0</v>
      </c>
      <c r="CI726" t="s">
        <v>112</v>
      </c>
      <c r="CJ726" t="s">
        <v>112</v>
      </c>
      <c r="CK726">
        <v>43602.6</v>
      </c>
      <c r="CM726">
        <v>0</v>
      </c>
      <c r="CN726">
        <v>1</v>
      </c>
      <c r="CO726">
        <v>5045291.53</v>
      </c>
      <c r="CP726">
        <v>50206.35</v>
      </c>
      <c r="CQ726" t="s">
        <v>145</v>
      </c>
      <c r="CR726">
        <v>50252.302799999998</v>
      </c>
      <c r="CS726">
        <v>2.94</v>
      </c>
      <c r="CT726">
        <v>45</v>
      </c>
      <c r="CV726" t="s">
        <v>729</v>
      </c>
      <c r="CW726">
        <v>342</v>
      </c>
    </row>
    <row r="727" spans="1:101" x14ac:dyDescent="0.2">
      <c r="A727" t="s">
        <v>106</v>
      </c>
      <c r="B727" s="46">
        <v>45264</v>
      </c>
      <c r="C727" t="s">
        <v>1682</v>
      </c>
      <c r="D727" t="s">
        <v>108</v>
      </c>
      <c r="E727" t="s">
        <v>1683</v>
      </c>
      <c r="F727" t="s">
        <v>110</v>
      </c>
      <c r="G727" t="s">
        <v>111</v>
      </c>
      <c r="H727" t="s">
        <v>112</v>
      </c>
      <c r="I727" t="s">
        <v>112</v>
      </c>
      <c r="J727" t="s">
        <v>112</v>
      </c>
      <c r="K727" t="s">
        <v>150</v>
      </c>
      <c r="L727" t="s">
        <v>151</v>
      </c>
      <c r="M727" t="s">
        <v>112</v>
      </c>
      <c r="N727" t="s">
        <v>112</v>
      </c>
      <c r="Q727">
        <v>1</v>
      </c>
      <c r="R727">
        <v>33</v>
      </c>
      <c r="S727" t="s">
        <v>166</v>
      </c>
      <c r="T727" t="s">
        <v>152</v>
      </c>
      <c r="U727" t="s">
        <v>153</v>
      </c>
      <c r="V727" t="s">
        <v>154</v>
      </c>
      <c r="W727" t="s">
        <v>119</v>
      </c>
      <c r="X727" t="s">
        <v>112</v>
      </c>
      <c r="Y727" t="s">
        <v>166</v>
      </c>
      <c r="Z727" t="s">
        <v>152</v>
      </c>
      <c r="AA727" t="s">
        <v>153</v>
      </c>
      <c r="AB727" t="s">
        <v>154</v>
      </c>
      <c r="AC727" t="s">
        <v>119</v>
      </c>
      <c r="AD727" t="s">
        <v>112</v>
      </c>
      <c r="AE727" t="s">
        <v>121</v>
      </c>
      <c r="AF727" t="s">
        <v>122</v>
      </c>
      <c r="AG727">
        <v>4706591.4800000004</v>
      </c>
      <c r="AH727" t="s">
        <v>166</v>
      </c>
      <c r="AI727" t="s">
        <v>152</v>
      </c>
      <c r="AJ727" t="s">
        <v>153</v>
      </c>
      <c r="AK727" t="s">
        <v>154</v>
      </c>
      <c r="AL727" t="s">
        <v>119</v>
      </c>
      <c r="AM727" t="s">
        <v>112</v>
      </c>
      <c r="AN727" t="s">
        <v>121</v>
      </c>
      <c r="AO727" t="s">
        <v>122</v>
      </c>
      <c r="AP727" t="s">
        <v>122</v>
      </c>
      <c r="AQ727" t="s">
        <v>124</v>
      </c>
      <c r="AR727" t="s">
        <v>125</v>
      </c>
      <c r="AT727" t="s">
        <v>126</v>
      </c>
      <c r="AU727" t="s">
        <v>155</v>
      </c>
      <c r="AV727" t="s">
        <v>156</v>
      </c>
      <c r="AX727" t="s">
        <v>129</v>
      </c>
      <c r="AY727">
        <v>40509.660000000003</v>
      </c>
      <c r="BB727">
        <v>105.43519999999999</v>
      </c>
      <c r="BC727" t="s">
        <v>112</v>
      </c>
      <c r="BD727" t="s">
        <v>112</v>
      </c>
      <c r="BE727" t="s">
        <v>112</v>
      </c>
      <c r="BF727" t="s">
        <v>133</v>
      </c>
      <c r="BG727" t="s">
        <v>134</v>
      </c>
      <c r="BH727" t="s">
        <v>112</v>
      </c>
      <c r="BI727" t="s">
        <v>112</v>
      </c>
      <c r="BJ727" t="s">
        <v>112</v>
      </c>
      <c r="BK727" t="s">
        <v>112</v>
      </c>
      <c r="BL727" t="s">
        <v>112</v>
      </c>
      <c r="BM727" t="s">
        <v>112</v>
      </c>
      <c r="BN727" t="s">
        <v>161</v>
      </c>
      <c r="BP727" t="s">
        <v>205</v>
      </c>
      <c r="BR727" t="s">
        <v>150</v>
      </c>
      <c r="BS727">
        <v>33</v>
      </c>
      <c r="BT727">
        <v>0</v>
      </c>
      <c r="BU727">
        <v>0</v>
      </c>
      <c r="BY727" t="s">
        <v>106</v>
      </c>
      <c r="BZ727" t="s">
        <v>142</v>
      </c>
      <c r="CA727" t="s">
        <v>112</v>
      </c>
      <c r="CB727" t="s">
        <v>112</v>
      </c>
      <c r="CC727" t="s">
        <v>121</v>
      </c>
      <c r="CD727">
        <v>16595.439999999999</v>
      </c>
      <c r="CE727" t="s">
        <v>144</v>
      </c>
      <c r="CF727">
        <v>4000000</v>
      </c>
      <c r="CG727">
        <v>16487.439999999999</v>
      </c>
      <c r="CH727">
        <v>0</v>
      </c>
      <c r="CI727" t="s">
        <v>112</v>
      </c>
      <c r="CJ727" t="s">
        <v>112</v>
      </c>
      <c r="CK727">
        <v>40509.660000000003</v>
      </c>
      <c r="CM727">
        <v>0</v>
      </c>
      <c r="CN727">
        <v>1</v>
      </c>
      <c r="CO727">
        <v>4706591.4800000004</v>
      </c>
      <c r="CP727">
        <v>48988.47</v>
      </c>
      <c r="CQ727" t="s">
        <v>145</v>
      </c>
      <c r="CR727">
        <v>48967.696799999998</v>
      </c>
      <c r="CS727">
        <v>2.97</v>
      </c>
      <c r="CW727">
        <v>576</v>
      </c>
    </row>
    <row r="728" spans="1:101" x14ac:dyDescent="0.2">
      <c r="A728" t="s">
        <v>106</v>
      </c>
      <c r="B728" s="46">
        <v>45049</v>
      </c>
      <c r="C728" t="s">
        <v>874</v>
      </c>
      <c r="D728" t="s">
        <v>108</v>
      </c>
      <c r="E728" t="s">
        <v>875</v>
      </c>
      <c r="F728" t="s">
        <v>110</v>
      </c>
      <c r="G728" t="s">
        <v>111</v>
      </c>
      <c r="H728" t="s">
        <v>112</v>
      </c>
      <c r="I728" t="s">
        <v>112</v>
      </c>
      <c r="J728" t="s">
        <v>112</v>
      </c>
      <c r="K728" t="s">
        <v>150</v>
      </c>
      <c r="L728" t="s">
        <v>151</v>
      </c>
      <c r="M728" t="s">
        <v>112</v>
      </c>
      <c r="N728" t="s">
        <v>112</v>
      </c>
      <c r="O728">
        <v>1</v>
      </c>
      <c r="P728">
        <v>0</v>
      </c>
      <c r="Q728">
        <v>1</v>
      </c>
      <c r="R728">
        <v>33</v>
      </c>
      <c r="S728" t="s">
        <v>166</v>
      </c>
      <c r="T728" t="s">
        <v>152</v>
      </c>
      <c r="U728" t="s">
        <v>153</v>
      </c>
      <c r="V728" t="s">
        <v>154</v>
      </c>
      <c r="W728" t="s">
        <v>119</v>
      </c>
      <c r="X728" t="s">
        <v>112</v>
      </c>
      <c r="Y728" t="s">
        <v>166</v>
      </c>
      <c r="Z728" t="s">
        <v>152</v>
      </c>
      <c r="AA728" t="s">
        <v>153</v>
      </c>
      <c r="AB728" t="s">
        <v>154</v>
      </c>
      <c r="AC728" t="s">
        <v>119</v>
      </c>
      <c r="AD728" t="s">
        <v>112</v>
      </c>
      <c r="AE728" t="s">
        <v>121</v>
      </c>
      <c r="AF728" t="s">
        <v>122</v>
      </c>
      <c r="AG728">
        <v>3766032.11</v>
      </c>
      <c r="AH728" t="s">
        <v>166</v>
      </c>
      <c r="AI728" t="s">
        <v>152</v>
      </c>
      <c r="AJ728" t="s">
        <v>153</v>
      </c>
      <c r="AK728" t="s">
        <v>154</v>
      </c>
      <c r="AL728" t="s">
        <v>119</v>
      </c>
      <c r="AM728" t="s">
        <v>112</v>
      </c>
      <c r="AN728" t="s">
        <v>121</v>
      </c>
      <c r="AO728" t="s">
        <v>122</v>
      </c>
      <c r="AP728" t="s">
        <v>122</v>
      </c>
      <c r="AQ728" t="s">
        <v>124</v>
      </c>
      <c r="AR728" t="s">
        <v>125</v>
      </c>
      <c r="AS728">
        <v>2</v>
      </c>
      <c r="AT728" t="s">
        <v>126</v>
      </c>
      <c r="AU728" t="s">
        <v>155</v>
      </c>
      <c r="AV728" t="s">
        <v>156</v>
      </c>
      <c r="AW728">
        <v>1</v>
      </c>
      <c r="AX728" t="s">
        <v>129</v>
      </c>
      <c r="AY728">
        <v>41904.199999999997</v>
      </c>
      <c r="AZ728">
        <v>3375367</v>
      </c>
      <c r="BA728">
        <v>49909.18</v>
      </c>
      <c r="BB728">
        <v>80.549599999999998</v>
      </c>
      <c r="BC728" t="s">
        <v>130</v>
      </c>
      <c r="BD728" t="s">
        <v>112</v>
      </c>
      <c r="BE728" t="s">
        <v>157</v>
      </c>
      <c r="BF728" t="s">
        <v>133</v>
      </c>
      <c r="BG728" t="s">
        <v>134</v>
      </c>
      <c r="BH728" t="s">
        <v>112</v>
      </c>
      <c r="BI728" t="s">
        <v>112</v>
      </c>
      <c r="BJ728" t="s">
        <v>112</v>
      </c>
      <c r="BK728" t="s">
        <v>169</v>
      </c>
      <c r="BL728" t="s">
        <v>159</v>
      </c>
      <c r="BM728" t="s">
        <v>212</v>
      </c>
      <c r="BN728" t="s">
        <v>161</v>
      </c>
      <c r="BO728">
        <v>1</v>
      </c>
      <c r="BP728" t="s">
        <v>205</v>
      </c>
      <c r="BR728" t="s">
        <v>150</v>
      </c>
      <c r="BS728">
        <v>33</v>
      </c>
      <c r="BT728">
        <v>0</v>
      </c>
      <c r="BU728">
        <v>0</v>
      </c>
      <c r="BW728">
        <v>0</v>
      </c>
      <c r="BY728" t="s">
        <v>106</v>
      </c>
      <c r="BZ728" t="s">
        <v>142</v>
      </c>
      <c r="CA728" t="s">
        <v>112</v>
      </c>
      <c r="CB728" t="s">
        <v>112</v>
      </c>
      <c r="CC728" t="s">
        <v>121</v>
      </c>
      <c r="CD728">
        <v>16705.259999999998</v>
      </c>
      <c r="CE728" t="s">
        <v>144</v>
      </c>
      <c r="CF728">
        <v>4000000</v>
      </c>
      <c r="CG728">
        <v>16705.259999999998</v>
      </c>
      <c r="CH728">
        <v>0</v>
      </c>
      <c r="CI728" t="s">
        <v>112</v>
      </c>
      <c r="CJ728" t="s">
        <v>112</v>
      </c>
      <c r="CK728">
        <v>41904.199999999997</v>
      </c>
      <c r="CL728">
        <v>3375367</v>
      </c>
      <c r="CM728">
        <v>0</v>
      </c>
      <c r="CN728">
        <v>1</v>
      </c>
      <c r="CO728">
        <v>3766032.11</v>
      </c>
      <c r="CP728">
        <v>49909.18</v>
      </c>
      <c r="CQ728" t="s">
        <v>145</v>
      </c>
      <c r="CR728">
        <v>49908.634775999999</v>
      </c>
      <c r="CS728">
        <v>2.9876</v>
      </c>
      <c r="CT728">
        <v>45</v>
      </c>
      <c r="CU728" t="s">
        <v>171</v>
      </c>
      <c r="CV728" t="s">
        <v>369</v>
      </c>
      <c r="CW728">
        <v>248</v>
      </c>
    </row>
    <row r="729" spans="1:101" x14ac:dyDescent="0.2">
      <c r="A729" t="s">
        <v>106</v>
      </c>
      <c r="B729" s="46">
        <v>45031</v>
      </c>
      <c r="C729" t="s">
        <v>871</v>
      </c>
      <c r="D729" t="s">
        <v>108</v>
      </c>
      <c r="E729" t="s">
        <v>872</v>
      </c>
      <c r="F729" t="s">
        <v>110</v>
      </c>
      <c r="G729" t="s">
        <v>111</v>
      </c>
      <c r="H729" t="s">
        <v>112</v>
      </c>
      <c r="I729" t="s">
        <v>112</v>
      </c>
      <c r="J729" t="s">
        <v>112</v>
      </c>
      <c r="K729" t="s">
        <v>150</v>
      </c>
      <c r="L729" t="s">
        <v>151</v>
      </c>
      <c r="M729" t="s">
        <v>112</v>
      </c>
      <c r="N729" t="s">
        <v>112</v>
      </c>
      <c r="O729">
        <v>1</v>
      </c>
      <c r="P729">
        <v>0</v>
      </c>
      <c r="Q729">
        <v>1</v>
      </c>
      <c r="R729">
        <v>33</v>
      </c>
      <c r="S729" t="s">
        <v>166</v>
      </c>
      <c r="T729" t="s">
        <v>152</v>
      </c>
      <c r="U729" t="s">
        <v>153</v>
      </c>
      <c r="V729" t="s">
        <v>154</v>
      </c>
      <c r="W729" t="s">
        <v>119</v>
      </c>
      <c r="X729" t="s">
        <v>112</v>
      </c>
      <c r="Y729" t="s">
        <v>166</v>
      </c>
      <c r="Z729" t="s">
        <v>152</v>
      </c>
      <c r="AA729" t="s">
        <v>153</v>
      </c>
      <c r="AB729" t="s">
        <v>154</v>
      </c>
      <c r="AC729" t="s">
        <v>119</v>
      </c>
      <c r="AD729" t="s">
        <v>112</v>
      </c>
      <c r="AE729" t="s">
        <v>121</v>
      </c>
      <c r="AF729" t="s">
        <v>122</v>
      </c>
      <c r="AG729">
        <v>3593134</v>
      </c>
      <c r="AH729" t="s">
        <v>166</v>
      </c>
      <c r="AI729" t="s">
        <v>152</v>
      </c>
      <c r="AJ729" t="s">
        <v>153</v>
      </c>
      <c r="AK729" t="s">
        <v>154</v>
      </c>
      <c r="AL729" t="s">
        <v>119</v>
      </c>
      <c r="AM729" t="s">
        <v>112</v>
      </c>
      <c r="AN729" t="s">
        <v>121</v>
      </c>
      <c r="AO729" t="s">
        <v>122</v>
      </c>
      <c r="AP729" t="s">
        <v>122</v>
      </c>
      <c r="AQ729" t="s">
        <v>124</v>
      </c>
      <c r="AR729" t="s">
        <v>125</v>
      </c>
      <c r="AS729">
        <v>2</v>
      </c>
      <c r="AT729" t="s">
        <v>126</v>
      </c>
      <c r="AU729" t="s">
        <v>155</v>
      </c>
      <c r="AV729" t="s">
        <v>156</v>
      </c>
      <c r="AW729">
        <v>1</v>
      </c>
      <c r="AX729" t="s">
        <v>129</v>
      </c>
      <c r="AY729">
        <v>40257.72</v>
      </c>
      <c r="AZ729">
        <v>3242743</v>
      </c>
      <c r="BA729">
        <v>47617.86</v>
      </c>
      <c r="BB729">
        <v>80.549599999999998</v>
      </c>
      <c r="BC729" t="s">
        <v>130</v>
      </c>
      <c r="BD729" t="s">
        <v>112</v>
      </c>
      <c r="BE729" t="s">
        <v>157</v>
      </c>
      <c r="BF729" t="s">
        <v>133</v>
      </c>
      <c r="BG729" t="s">
        <v>134</v>
      </c>
      <c r="BH729" t="s">
        <v>112</v>
      </c>
      <c r="BI729" t="s">
        <v>112</v>
      </c>
      <c r="BJ729" t="s">
        <v>112</v>
      </c>
      <c r="BK729" t="s">
        <v>169</v>
      </c>
      <c r="BL729" t="s">
        <v>159</v>
      </c>
      <c r="BM729" t="s">
        <v>212</v>
      </c>
      <c r="BN729" t="s">
        <v>161</v>
      </c>
      <c r="BO729">
        <v>1</v>
      </c>
      <c r="BP729" t="s">
        <v>873</v>
      </c>
      <c r="BR729" t="s">
        <v>150</v>
      </c>
      <c r="BS729">
        <v>33</v>
      </c>
      <c r="BT729">
        <v>0</v>
      </c>
      <c r="BU729">
        <v>0</v>
      </c>
      <c r="BW729">
        <v>0</v>
      </c>
      <c r="BY729" t="s">
        <v>106</v>
      </c>
      <c r="BZ729" t="s">
        <v>142</v>
      </c>
      <c r="CA729" t="s">
        <v>112</v>
      </c>
      <c r="CB729" t="s">
        <v>112</v>
      </c>
      <c r="CC729" t="s">
        <v>121</v>
      </c>
      <c r="CD729">
        <v>15893.65</v>
      </c>
      <c r="CE729" t="s">
        <v>144</v>
      </c>
      <c r="CF729">
        <v>4000000</v>
      </c>
      <c r="CG729">
        <v>15710.05</v>
      </c>
      <c r="CH729">
        <v>0</v>
      </c>
      <c r="CI729" t="s">
        <v>112</v>
      </c>
      <c r="CJ729" t="s">
        <v>112</v>
      </c>
      <c r="CK729">
        <v>40257.72</v>
      </c>
      <c r="CL729">
        <v>3242743</v>
      </c>
      <c r="CM729">
        <v>0</v>
      </c>
      <c r="CN729">
        <v>1</v>
      </c>
      <c r="CO729">
        <v>3593134</v>
      </c>
      <c r="CP729">
        <v>47617.86</v>
      </c>
      <c r="CQ729" t="s">
        <v>145</v>
      </c>
      <c r="CR729">
        <v>47617.161549999997</v>
      </c>
      <c r="CS729">
        <v>3.0310000000000001</v>
      </c>
      <c r="CT729">
        <v>45</v>
      </c>
      <c r="CU729" t="s">
        <v>171</v>
      </c>
      <c r="CV729" t="s">
        <v>372</v>
      </c>
      <c r="CW729">
        <v>567</v>
      </c>
    </row>
    <row r="730" spans="1:101" x14ac:dyDescent="0.2">
      <c r="A730" t="s">
        <v>106</v>
      </c>
      <c r="B730" s="46">
        <v>45016</v>
      </c>
      <c r="C730" t="s">
        <v>869</v>
      </c>
      <c r="D730" t="s">
        <v>108</v>
      </c>
      <c r="E730" t="s">
        <v>870</v>
      </c>
      <c r="F730" t="s">
        <v>110</v>
      </c>
      <c r="G730" t="s">
        <v>111</v>
      </c>
      <c r="H730" t="s">
        <v>112</v>
      </c>
      <c r="I730" t="s">
        <v>112</v>
      </c>
      <c r="J730" t="s">
        <v>112</v>
      </c>
      <c r="K730" t="s">
        <v>150</v>
      </c>
      <c r="L730" t="s">
        <v>151</v>
      </c>
      <c r="M730" t="s">
        <v>112</v>
      </c>
      <c r="N730" t="s">
        <v>112</v>
      </c>
      <c r="O730">
        <v>1</v>
      </c>
      <c r="P730">
        <v>0</v>
      </c>
      <c r="Q730">
        <v>1</v>
      </c>
      <c r="R730">
        <v>33</v>
      </c>
      <c r="S730" t="s">
        <v>166</v>
      </c>
      <c r="T730" t="s">
        <v>152</v>
      </c>
      <c r="U730" t="s">
        <v>153</v>
      </c>
      <c r="V730" t="s">
        <v>154</v>
      </c>
      <c r="W730" t="s">
        <v>119</v>
      </c>
      <c r="X730" t="s">
        <v>112</v>
      </c>
      <c r="Y730" t="s">
        <v>166</v>
      </c>
      <c r="Z730" t="s">
        <v>152</v>
      </c>
      <c r="AA730" t="s">
        <v>153</v>
      </c>
      <c r="AB730" t="s">
        <v>154</v>
      </c>
      <c r="AC730" t="s">
        <v>119</v>
      </c>
      <c r="AD730" t="s">
        <v>112</v>
      </c>
      <c r="AE730" t="s">
        <v>121</v>
      </c>
      <c r="AF730" t="s">
        <v>122</v>
      </c>
      <c r="AG730">
        <v>3783340.61</v>
      </c>
      <c r="AH730" t="s">
        <v>166</v>
      </c>
      <c r="AI730" t="s">
        <v>152</v>
      </c>
      <c r="AJ730" t="s">
        <v>153</v>
      </c>
      <c r="AK730" t="s">
        <v>154</v>
      </c>
      <c r="AL730" t="s">
        <v>119</v>
      </c>
      <c r="AM730" t="s">
        <v>112</v>
      </c>
      <c r="AN730" t="s">
        <v>121</v>
      </c>
      <c r="AO730" t="s">
        <v>122</v>
      </c>
      <c r="AP730" t="s">
        <v>122</v>
      </c>
      <c r="AQ730" t="s">
        <v>124</v>
      </c>
      <c r="AR730" t="s">
        <v>125</v>
      </c>
      <c r="AS730">
        <v>2</v>
      </c>
      <c r="AT730" t="s">
        <v>126</v>
      </c>
      <c r="AU730" t="s">
        <v>155</v>
      </c>
      <c r="AV730" t="s">
        <v>156</v>
      </c>
      <c r="AW730">
        <v>1</v>
      </c>
      <c r="AX730" t="s">
        <v>129</v>
      </c>
      <c r="AY730">
        <v>42619.08</v>
      </c>
      <c r="AZ730">
        <v>3432950</v>
      </c>
      <c r="BA730">
        <v>50138.559999999998</v>
      </c>
      <c r="BB730">
        <v>80.549599999999998</v>
      </c>
      <c r="BC730" t="s">
        <v>130</v>
      </c>
      <c r="BD730" t="s">
        <v>112</v>
      </c>
      <c r="BE730" t="s">
        <v>157</v>
      </c>
      <c r="BF730" t="s">
        <v>133</v>
      </c>
      <c r="BG730" t="s">
        <v>134</v>
      </c>
      <c r="BH730" t="s">
        <v>112</v>
      </c>
      <c r="BI730" t="s">
        <v>112</v>
      </c>
      <c r="BJ730" t="s">
        <v>112</v>
      </c>
      <c r="BK730" t="s">
        <v>169</v>
      </c>
      <c r="BL730" t="s">
        <v>159</v>
      </c>
      <c r="BM730" t="s">
        <v>212</v>
      </c>
      <c r="BN730" t="s">
        <v>161</v>
      </c>
      <c r="BO730">
        <v>1</v>
      </c>
      <c r="BP730" t="s">
        <v>232</v>
      </c>
      <c r="BR730" t="s">
        <v>150</v>
      </c>
      <c r="BS730">
        <v>33</v>
      </c>
      <c r="BT730">
        <v>0</v>
      </c>
      <c r="BU730">
        <v>0</v>
      </c>
      <c r="BW730">
        <v>0</v>
      </c>
      <c r="BY730" t="s">
        <v>106</v>
      </c>
      <c r="BZ730" t="s">
        <v>142</v>
      </c>
      <c r="CA730" t="s">
        <v>112</v>
      </c>
      <c r="CB730" t="s">
        <v>112</v>
      </c>
      <c r="CC730" t="s">
        <v>121</v>
      </c>
      <c r="CD730">
        <v>16669.22</v>
      </c>
      <c r="CE730" t="s">
        <v>144</v>
      </c>
      <c r="CF730">
        <v>4000000</v>
      </c>
      <c r="CG730">
        <v>16669.22</v>
      </c>
      <c r="CH730">
        <v>0</v>
      </c>
      <c r="CI730" t="s">
        <v>112</v>
      </c>
      <c r="CJ730" t="s">
        <v>112</v>
      </c>
      <c r="CK730">
        <v>42619.08</v>
      </c>
      <c r="CL730">
        <v>3432950</v>
      </c>
      <c r="CM730">
        <v>0</v>
      </c>
      <c r="CN730">
        <v>1</v>
      </c>
      <c r="CO730">
        <v>3783340.61</v>
      </c>
      <c r="CP730">
        <v>50138.559999999998</v>
      </c>
      <c r="CQ730" t="s">
        <v>145</v>
      </c>
      <c r="CR730">
        <v>50139.346837999998</v>
      </c>
      <c r="CS730">
        <v>3.0078999999999998</v>
      </c>
      <c r="CT730">
        <v>45</v>
      </c>
      <c r="CU730" t="s">
        <v>171</v>
      </c>
      <c r="CV730" t="s">
        <v>350</v>
      </c>
      <c r="CW730">
        <v>274</v>
      </c>
    </row>
    <row r="731" spans="1:101" x14ac:dyDescent="0.2">
      <c r="A731" t="s">
        <v>106</v>
      </c>
      <c r="B731" s="46">
        <v>44671</v>
      </c>
      <c r="C731" t="s">
        <v>537</v>
      </c>
      <c r="D731" t="s">
        <v>108</v>
      </c>
      <c r="E731" t="s">
        <v>538</v>
      </c>
      <c r="F731" t="s">
        <v>110</v>
      </c>
      <c r="G731" t="s">
        <v>111</v>
      </c>
      <c r="H731" t="s">
        <v>112</v>
      </c>
      <c r="I731" t="s">
        <v>112</v>
      </c>
      <c r="J731" t="s">
        <v>112</v>
      </c>
      <c r="K731" t="s">
        <v>150</v>
      </c>
      <c r="L731" t="s">
        <v>151</v>
      </c>
      <c r="M731" t="s">
        <v>112</v>
      </c>
      <c r="N731" t="s">
        <v>112</v>
      </c>
      <c r="O731">
        <v>1</v>
      </c>
      <c r="P731">
        <v>0</v>
      </c>
      <c r="Q731">
        <v>1</v>
      </c>
      <c r="R731">
        <v>33</v>
      </c>
      <c r="S731" t="s">
        <v>166</v>
      </c>
      <c r="T731" t="s">
        <v>152</v>
      </c>
      <c r="U731" t="s">
        <v>153</v>
      </c>
      <c r="V731" t="s">
        <v>154</v>
      </c>
      <c r="W731" t="s">
        <v>119</v>
      </c>
      <c r="X731" t="s">
        <v>112</v>
      </c>
      <c r="Y731" t="s">
        <v>166</v>
      </c>
      <c r="Z731" t="s">
        <v>152</v>
      </c>
      <c r="AA731" t="s">
        <v>153</v>
      </c>
      <c r="AB731" t="s">
        <v>154</v>
      </c>
      <c r="AC731" t="s">
        <v>119</v>
      </c>
      <c r="AD731" t="s">
        <v>112</v>
      </c>
      <c r="AE731" t="s">
        <v>121</v>
      </c>
      <c r="AF731" t="s">
        <v>122</v>
      </c>
      <c r="AG731">
        <v>3825680.05</v>
      </c>
      <c r="AH731" t="s">
        <v>166</v>
      </c>
      <c r="AI731" t="s">
        <v>152</v>
      </c>
      <c r="AJ731" t="s">
        <v>153</v>
      </c>
      <c r="AK731" t="s">
        <v>154</v>
      </c>
      <c r="AL731" t="s">
        <v>119</v>
      </c>
      <c r="AM731" t="s">
        <v>112</v>
      </c>
      <c r="AN731" t="s">
        <v>121</v>
      </c>
      <c r="AO731" t="s">
        <v>122</v>
      </c>
      <c r="AP731" t="s">
        <v>122</v>
      </c>
      <c r="AQ731" t="s">
        <v>124</v>
      </c>
      <c r="AR731" t="s">
        <v>125</v>
      </c>
      <c r="AS731">
        <v>2</v>
      </c>
      <c r="AT731" t="s">
        <v>126</v>
      </c>
      <c r="AU731" t="s">
        <v>155</v>
      </c>
      <c r="AV731" t="s">
        <v>156</v>
      </c>
      <c r="AW731">
        <v>1</v>
      </c>
      <c r="AX731" t="s">
        <v>129</v>
      </c>
      <c r="AY731">
        <v>45441.24</v>
      </c>
      <c r="AZ731">
        <v>3491450</v>
      </c>
      <c r="BA731">
        <v>53448.98</v>
      </c>
      <c r="BB731">
        <v>76.834400000000002</v>
      </c>
      <c r="BC731" t="s">
        <v>130</v>
      </c>
      <c r="BD731" t="s">
        <v>112</v>
      </c>
      <c r="BE731" t="s">
        <v>157</v>
      </c>
      <c r="BF731" t="s">
        <v>133</v>
      </c>
      <c r="BG731" t="s">
        <v>134</v>
      </c>
      <c r="BH731" t="s">
        <v>112</v>
      </c>
      <c r="BI731" t="s">
        <v>112</v>
      </c>
      <c r="BJ731" t="s">
        <v>112</v>
      </c>
      <c r="BK731" t="s">
        <v>169</v>
      </c>
      <c r="BL731" t="s">
        <v>159</v>
      </c>
      <c r="BM731" t="s">
        <v>212</v>
      </c>
      <c r="BN731" t="s">
        <v>161</v>
      </c>
      <c r="BO731">
        <v>1</v>
      </c>
      <c r="BP731" t="s">
        <v>539</v>
      </c>
      <c r="BR731" t="s">
        <v>150</v>
      </c>
      <c r="BS731">
        <v>33</v>
      </c>
      <c r="BT731">
        <v>0</v>
      </c>
      <c r="BU731">
        <v>0</v>
      </c>
      <c r="BW731">
        <v>0</v>
      </c>
      <c r="BY731" t="s">
        <v>106</v>
      </c>
      <c r="BZ731" t="s">
        <v>142</v>
      </c>
      <c r="CA731" t="s">
        <v>112</v>
      </c>
      <c r="CB731" t="s">
        <v>112</v>
      </c>
      <c r="CC731" t="s">
        <v>121</v>
      </c>
      <c r="CD731">
        <v>17195.21</v>
      </c>
      <c r="CE731" t="s">
        <v>144</v>
      </c>
      <c r="CF731">
        <v>4000000</v>
      </c>
      <c r="CG731">
        <v>17123.21</v>
      </c>
      <c r="CH731">
        <v>0</v>
      </c>
      <c r="CI731" t="s">
        <v>112</v>
      </c>
      <c r="CJ731" t="s">
        <v>112</v>
      </c>
      <c r="CK731">
        <v>45441.24</v>
      </c>
      <c r="CL731">
        <v>3491450</v>
      </c>
      <c r="CM731">
        <v>0</v>
      </c>
      <c r="CN731">
        <v>1</v>
      </c>
      <c r="CO731">
        <v>3825680.05</v>
      </c>
      <c r="CP731">
        <v>53448.98</v>
      </c>
      <c r="CQ731" t="s">
        <v>145</v>
      </c>
      <c r="CR731">
        <v>53448.387693999997</v>
      </c>
      <c r="CS731">
        <v>3.1214</v>
      </c>
      <c r="CT731">
        <v>45</v>
      </c>
      <c r="CU731" t="s">
        <v>171</v>
      </c>
      <c r="CV731" t="s">
        <v>369</v>
      </c>
      <c r="CW731">
        <v>140</v>
      </c>
    </row>
    <row r="732" spans="1:101" x14ac:dyDescent="0.2">
      <c r="A732" t="s">
        <v>106</v>
      </c>
      <c r="B732" s="46">
        <v>44814</v>
      </c>
      <c r="C732" t="s">
        <v>531</v>
      </c>
      <c r="D732" t="s">
        <v>108</v>
      </c>
      <c r="E732" t="s">
        <v>532</v>
      </c>
      <c r="F732" t="s">
        <v>110</v>
      </c>
      <c r="G732" t="s">
        <v>111</v>
      </c>
      <c r="H732" t="s">
        <v>112</v>
      </c>
      <c r="I732" t="s">
        <v>112</v>
      </c>
      <c r="J732" t="s">
        <v>112</v>
      </c>
      <c r="K732" t="s">
        <v>150</v>
      </c>
      <c r="L732" t="s">
        <v>151</v>
      </c>
      <c r="M732" t="s">
        <v>112</v>
      </c>
      <c r="N732" t="s">
        <v>112</v>
      </c>
      <c r="O732">
        <v>1</v>
      </c>
      <c r="P732">
        <v>0</v>
      </c>
      <c r="Q732">
        <v>1</v>
      </c>
      <c r="R732">
        <v>33</v>
      </c>
      <c r="S732" t="s">
        <v>166</v>
      </c>
      <c r="T732" t="s">
        <v>152</v>
      </c>
      <c r="U732" t="s">
        <v>153</v>
      </c>
      <c r="V732" t="s">
        <v>154</v>
      </c>
      <c r="W732" t="s">
        <v>119</v>
      </c>
      <c r="X732" t="s">
        <v>112</v>
      </c>
      <c r="Y732" t="s">
        <v>166</v>
      </c>
      <c r="Z732" t="s">
        <v>152</v>
      </c>
      <c r="AA732" t="s">
        <v>153</v>
      </c>
      <c r="AB732" t="s">
        <v>154</v>
      </c>
      <c r="AC732" t="s">
        <v>119</v>
      </c>
      <c r="AD732" t="s">
        <v>112</v>
      </c>
      <c r="AE732" t="s">
        <v>121</v>
      </c>
      <c r="AF732" t="s">
        <v>122</v>
      </c>
      <c r="AG732">
        <v>4045614.68</v>
      </c>
      <c r="AH732" t="s">
        <v>166</v>
      </c>
      <c r="AI732" t="s">
        <v>152</v>
      </c>
      <c r="AJ732" t="s">
        <v>153</v>
      </c>
      <c r="AK732" t="s">
        <v>154</v>
      </c>
      <c r="AL732" t="s">
        <v>119</v>
      </c>
      <c r="AM732" t="s">
        <v>112</v>
      </c>
      <c r="AN732" t="s">
        <v>121</v>
      </c>
      <c r="AO732" t="s">
        <v>122</v>
      </c>
      <c r="AP732" t="s">
        <v>122</v>
      </c>
      <c r="AQ732" t="s">
        <v>124</v>
      </c>
      <c r="AR732" t="s">
        <v>125</v>
      </c>
      <c r="AS732">
        <v>2</v>
      </c>
      <c r="AT732" t="s">
        <v>126</v>
      </c>
      <c r="AU732" t="s">
        <v>155</v>
      </c>
      <c r="AV732" t="s">
        <v>156</v>
      </c>
      <c r="AW732">
        <v>1</v>
      </c>
      <c r="AX732" t="s">
        <v>129</v>
      </c>
      <c r="AY732">
        <v>47603.69</v>
      </c>
      <c r="AZ732">
        <v>3657601</v>
      </c>
      <c r="BA732">
        <v>56521.71</v>
      </c>
      <c r="BB732">
        <v>76.834400000000002</v>
      </c>
      <c r="BC732" t="s">
        <v>130</v>
      </c>
      <c r="BD732" t="s">
        <v>112</v>
      </c>
      <c r="BE732" t="s">
        <v>157</v>
      </c>
      <c r="BF732" t="s">
        <v>133</v>
      </c>
      <c r="BG732" t="s">
        <v>167</v>
      </c>
      <c r="BH732" t="s">
        <v>168</v>
      </c>
      <c r="BI732" t="s">
        <v>112</v>
      </c>
      <c r="BJ732" t="s">
        <v>112</v>
      </c>
      <c r="BK732" t="s">
        <v>169</v>
      </c>
      <c r="BL732" t="s">
        <v>159</v>
      </c>
      <c r="BM732" t="s">
        <v>160</v>
      </c>
      <c r="BN732" t="s">
        <v>161</v>
      </c>
      <c r="BO732">
        <v>1</v>
      </c>
      <c r="BP732" t="s">
        <v>533</v>
      </c>
      <c r="BR732" t="s">
        <v>150</v>
      </c>
      <c r="BS732">
        <v>33</v>
      </c>
      <c r="BT732">
        <v>0</v>
      </c>
      <c r="BU732">
        <v>0</v>
      </c>
      <c r="BW732">
        <v>0</v>
      </c>
      <c r="BY732" t="s">
        <v>106</v>
      </c>
      <c r="BZ732" t="s">
        <v>142</v>
      </c>
      <c r="CA732" t="s">
        <v>112</v>
      </c>
      <c r="CB732" t="s">
        <v>112</v>
      </c>
      <c r="CC732" t="s">
        <v>121</v>
      </c>
      <c r="CD732">
        <v>16649.34</v>
      </c>
      <c r="CE732" t="s">
        <v>144</v>
      </c>
      <c r="CF732">
        <v>4000000</v>
      </c>
      <c r="CG732">
        <v>16595.34</v>
      </c>
      <c r="CH732">
        <v>0</v>
      </c>
      <c r="CI732" t="s">
        <v>112</v>
      </c>
      <c r="CJ732" t="s">
        <v>112</v>
      </c>
      <c r="CK732">
        <v>47603.69</v>
      </c>
      <c r="CL732">
        <v>3657601</v>
      </c>
      <c r="CM732">
        <v>0</v>
      </c>
      <c r="CN732">
        <v>1</v>
      </c>
      <c r="CO732">
        <v>4045614.68</v>
      </c>
      <c r="CP732">
        <v>56521.71</v>
      </c>
      <c r="CQ732" t="s">
        <v>145</v>
      </c>
      <c r="CR732">
        <v>56522.068505999996</v>
      </c>
      <c r="CS732">
        <v>3.4058999999999999</v>
      </c>
      <c r="CT732">
        <v>45</v>
      </c>
      <c r="CU732" t="s">
        <v>171</v>
      </c>
      <c r="CV732" t="s">
        <v>369</v>
      </c>
      <c r="CW732">
        <v>140</v>
      </c>
    </row>
    <row r="733" spans="1:101" x14ac:dyDescent="0.2">
      <c r="A733" t="s">
        <v>106</v>
      </c>
      <c r="B733" s="46">
        <v>44602</v>
      </c>
      <c r="C733" t="s">
        <v>534</v>
      </c>
      <c r="D733" t="s">
        <v>108</v>
      </c>
      <c r="E733" t="s">
        <v>535</v>
      </c>
      <c r="F733" t="s">
        <v>110</v>
      </c>
      <c r="G733" t="s">
        <v>111</v>
      </c>
      <c r="H733" t="s">
        <v>112</v>
      </c>
      <c r="I733" t="s">
        <v>112</v>
      </c>
      <c r="J733" t="s">
        <v>112</v>
      </c>
      <c r="K733" t="s">
        <v>150</v>
      </c>
      <c r="L733" t="s">
        <v>151</v>
      </c>
      <c r="M733" t="s">
        <v>112</v>
      </c>
      <c r="N733" t="s">
        <v>112</v>
      </c>
      <c r="O733">
        <v>1</v>
      </c>
      <c r="P733">
        <v>0</v>
      </c>
      <c r="Q733">
        <v>1</v>
      </c>
      <c r="R733">
        <v>33</v>
      </c>
      <c r="S733" t="s">
        <v>166</v>
      </c>
      <c r="T733" t="s">
        <v>152</v>
      </c>
      <c r="U733" t="s">
        <v>153</v>
      </c>
      <c r="V733" t="s">
        <v>154</v>
      </c>
      <c r="W733" t="s">
        <v>119</v>
      </c>
      <c r="X733" t="s">
        <v>112</v>
      </c>
      <c r="Y733" t="s">
        <v>166</v>
      </c>
      <c r="Z733" t="s">
        <v>152</v>
      </c>
      <c r="AA733" t="s">
        <v>153</v>
      </c>
      <c r="AB733" t="s">
        <v>154</v>
      </c>
      <c r="AC733" t="s">
        <v>119</v>
      </c>
      <c r="AD733" t="s">
        <v>112</v>
      </c>
      <c r="AE733" t="s">
        <v>121</v>
      </c>
      <c r="AF733" t="s">
        <v>122</v>
      </c>
      <c r="AG733">
        <v>3935753.01</v>
      </c>
      <c r="AH733" t="s">
        <v>166</v>
      </c>
      <c r="AI733" t="s">
        <v>152</v>
      </c>
      <c r="AJ733" t="s">
        <v>153</v>
      </c>
      <c r="AK733" t="s">
        <v>154</v>
      </c>
      <c r="AL733" t="s">
        <v>119</v>
      </c>
      <c r="AM733" t="s">
        <v>112</v>
      </c>
      <c r="AN733" t="s">
        <v>121</v>
      </c>
      <c r="AO733" t="s">
        <v>122</v>
      </c>
      <c r="AP733" t="s">
        <v>122</v>
      </c>
      <c r="AQ733" t="s">
        <v>124</v>
      </c>
      <c r="AR733" t="s">
        <v>125</v>
      </c>
      <c r="AS733">
        <v>2</v>
      </c>
      <c r="AT733" t="s">
        <v>126</v>
      </c>
      <c r="AU733" t="s">
        <v>155</v>
      </c>
      <c r="AV733" t="s">
        <v>156</v>
      </c>
      <c r="AW733">
        <v>1</v>
      </c>
      <c r="AX733" t="s">
        <v>129</v>
      </c>
      <c r="AY733">
        <v>46873.84</v>
      </c>
      <c r="AZ733">
        <v>3601523</v>
      </c>
      <c r="BA733">
        <v>54986.82</v>
      </c>
      <c r="BB733">
        <v>76.834400000000002</v>
      </c>
      <c r="BC733" t="s">
        <v>130</v>
      </c>
      <c r="BD733" t="s">
        <v>112</v>
      </c>
      <c r="BE733" t="s">
        <v>157</v>
      </c>
      <c r="BF733" t="s">
        <v>133</v>
      </c>
      <c r="BG733" t="s">
        <v>134</v>
      </c>
      <c r="BH733" t="s">
        <v>112</v>
      </c>
      <c r="BI733" t="s">
        <v>112</v>
      </c>
      <c r="BJ733" t="s">
        <v>112</v>
      </c>
      <c r="BK733" t="s">
        <v>169</v>
      </c>
      <c r="BL733" t="s">
        <v>159</v>
      </c>
      <c r="BM733" t="s">
        <v>212</v>
      </c>
      <c r="BN733" t="s">
        <v>161</v>
      </c>
      <c r="BO733">
        <v>1</v>
      </c>
      <c r="BP733" t="s">
        <v>536</v>
      </c>
      <c r="BR733" t="s">
        <v>150</v>
      </c>
      <c r="BS733">
        <v>33</v>
      </c>
      <c r="BT733">
        <v>0</v>
      </c>
      <c r="BU733">
        <v>0</v>
      </c>
      <c r="BW733">
        <v>0</v>
      </c>
      <c r="BY733" t="s">
        <v>106</v>
      </c>
      <c r="BZ733" t="s">
        <v>142</v>
      </c>
      <c r="CA733" t="s">
        <v>112</v>
      </c>
      <c r="CB733" t="s">
        <v>112</v>
      </c>
      <c r="CC733" t="s">
        <v>121</v>
      </c>
      <c r="CD733">
        <v>16499.52</v>
      </c>
      <c r="CE733" t="s">
        <v>144</v>
      </c>
      <c r="CF733">
        <v>4000000</v>
      </c>
      <c r="CG733">
        <v>16391.52</v>
      </c>
      <c r="CH733">
        <v>0</v>
      </c>
      <c r="CI733" t="s">
        <v>112</v>
      </c>
      <c r="CJ733" t="s">
        <v>112</v>
      </c>
      <c r="CK733">
        <v>46873.84</v>
      </c>
      <c r="CL733">
        <v>3601523</v>
      </c>
      <c r="CM733">
        <v>0</v>
      </c>
      <c r="CN733">
        <v>1</v>
      </c>
      <c r="CO733">
        <v>3935753.01</v>
      </c>
      <c r="CP733">
        <v>54986.82</v>
      </c>
      <c r="CQ733" t="s">
        <v>145</v>
      </c>
      <c r="CR733">
        <v>54986.992992</v>
      </c>
      <c r="CS733">
        <v>3.3546</v>
      </c>
      <c r="CT733">
        <v>45</v>
      </c>
      <c r="CU733" t="s">
        <v>171</v>
      </c>
      <c r="CV733" t="s">
        <v>463</v>
      </c>
      <c r="CW733">
        <v>60</v>
      </c>
    </row>
    <row r="734" spans="1:101" x14ac:dyDescent="0.2">
      <c r="A734" t="s">
        <v>106</v>
      </c>
      <c r="B734" s="46">
        <v>44634</v>
      </c>
      <c r="C734" t="s">
        <v>526</v>
      </c>
      <c r="D734" t="s">
        <v>108</v>
      </c>
      <c r="E734" t="s">
        <v>527</v>
      </c>
      <c r="F734" t="s">
        <v>110</v>
      </c>
      <c r="G734" t="s">
        <v>111</v>
      </c>
      <c r="H734" t="s">
        <v>112</v>
      </c>
      <c r="I734" t="s">
        <v>112</v>
      </c>
      <c r="J734" t="s">
        <v>112</v>
      </c>
      <c r="K734" t="s">
        <v>150</v>
      </c>
      <c r="L734" t="s">
        <v>151</v>
      </c>
      <c r="M734" t="s">
        <v>112</v>
      </c>
      <c r="N734" t="s">
        <v>112</v>
      </c>
      <c r="O734">
        <v>1</v>
      </c>
      <c r="P734">
        <v>0</v>
      </c>
      <c r="Q734">
        <v>1</v>
      </c>
      <c r="R734">
        <v>33</v>
      </c>
      <c r="S734" t="s">
        <v>166</v>
      </c>
      <c r="T734" t="s">
        <v>152</v>
      </c>
      <c r="U734" t="s">
        <v>153</v>
      </c>
      <c r="V734" t="s">
        <v>154</v>
      </c>
      <c r="W734" t="s">
        <v>119</v>
      </c>
      <c r="X734" t="s">
        <v>112</v>
      </c>
      <c r="Y734" t="s">
        <v>166</v>
      </c>
      <c r="Z734" t="s">
        <v>152</v>
      </c>
      <c r="AA734" t="s">
        <v>153</v>
      </c>
      <c r="AB734" t="s">
        <v>154</v>
      </c>
      <c r="AC734" t="s">
        <v>119</v>
      </c>
      <c r="AD734" t="s">
        <v>112</v>
      </c>
      <c r="AE734" t="s">
        <v>121</v>
      </c>
      <c r="AF734" t="s">
        <v>122</v>
      </c>
      <c r="AG734">
        <v>3702013.55</v>
      </c>
      <c r="AH734" t="s">
        <v>166</v>
      </c>
      <c r="AI734" t="s">
        <v>152</v>
      </c>
      <c r="AJ734" t="s">
        <v>153</v>
      </c>
      <c r="AK734" t="s">
        <v>154</v>
      </c>
      <c r="AL734" t="s">
        <v>119</v>
      </c>
      <c r="AM734" t="s">
        <v>112</v>
      </c>
      <c r="AN734" t="s">
        <v>121</v>
      </c>
      <c r="AO734" t="s">
        <v>122</v>
      </c>
      <c r="AP734" t="s">
        <v>122</v>
      </c>
      <c r="AQ734" t="s">
        <v>124</v>
      </c>
      <c r="AR734" t="s">
        <v>125</v>
      </c>
      <c r="AS734">
        <v>2</v>
      </c>
      <c r="AT734" t="s">
        <v>126</v>
      </c>
      <c r="AU734" t="s">
        <v>155</v>
      </c>
      <c r="AV734" t="s">
        <v>156</v>
      </c>
      <c r="AW734">
        <v>1</v>
      </c>
      <c r="AX734" t="s">
        <v>129</v>
      </c>
      <c r="AY734">
        <v>43331.72</v>
      </c>
      <c r="AZ734">
        <v>3329367</v>
      </c>
      <c r="BA734">
        <v>51721.22</v>
      </c>
      <c r="BB734">
        <v>76.834400000000002</v>
      </c>
      <c r="BC734" t="s">
        <v>130</v>
      </c>
      <c r="BD734" t="s">
        <v>112</v>
      </c>
      <c r="BE734" t="s">
        <v>157</v>
      </c>
      <c r="BF734" t="s">
        <v>133</v>
      </c>
      <c r="BG734" t="s">
        <v>167</v>
      </c>
      <c r="BH734" t="s">
        <v>168</v>
      </c>
      <c r="BI734" t="s">
        <v>112</v>
      </c>
      <c r="BJ734" t="s">
        <v>112</v>
      </c>
      <c r="BK734" t="s">
        <v>169</v>
      </c>
      <c r="BL734" t="s">
        <v>159</v>
      </c>
      <c r="BM734" t="s">
        <v>160</v>
      </c>
      <c r="BN734" t="s">
        <v>161</v>
      </c>
      <c r="BO734">
        <v>1</v>
      </c>
      <c r="BP734" t="s">
        <v>528</v>
      </c>
      <c r="BR734" t="s">
        <v>150</v>
      </c>
      <c r="BS734">
        <v>33</v>
      </c>
      <c r="BT734">
        <v>0</v>
      </c>
      <c r="BU734">
        <v>0</v>
      </c>
      <c r="BW734">
        <v>0</v>
      </c>
      <c r="BY734" t="s">
        <v>106</v>
      </c>
      <c r="BZ734" t="s">
        <v>142</v>
      </c>
      <c r="CA734" t="s">
        <v>112</v>
      </c>
      <c r="CB734" t="s">
        <v>112</v>
      </c>
      <c r="CC734" t="s">
        <v>121</v>
      </c>
      <c r="CD734">
        <v>17168.62</v>
      </c>
      <c r="CE734" t="s">
        <v>144</v>
      </c>
      <c r="CF734">
        <v>4000000</v>
      </c>
      <c r="CG734">
        <v>17125.419999999998</v>
      </c>
      <c r="CH734">
        <v>0</v>
      </c>
      <c r="CI734" t="s">
        <v>112</v>
      </c>
      <c r="CJ734" t="s">
        <v>112</v>
      </c>
      <c r="CK734">
        <v>43331.72</v>
      </c>
      <c r="CL734">
        <v>3329367</v>
      </c>
      <c r="CM734">
        <v>0</v>
      </c>
      <c r="CN734">
        <v>1</v>
      </c>
      <c r="CO734">
        <v>3702013.55</v>
      </c>
      <c r="CP734">
        <v>51721.22</v>
      </c>
      <c r="CQ734" t="s">
        <v>145</v>
      </c>
      <c r="CR734">
        <v>51720.480941999987</v>
      </c>
      <c r="CS734">
        <v>3.0200999999999998</v>
      </c>
      <c r="CT734">
        <v>45</v>
      </c>
      <c r="CU734" t="s">
        <v>171</v>
      </c>
      <c r="CV734" t="s">
        <v>369</v>
      </c>
      <c r="CW734">
        <v>167</v>
      </c>
    </row>
    <row r="735" spans="1:101" x14ac:dyDescent="0.2">
      <c r="A735" t="s">
        <v>106</v>
      </c>
      <c r="B735" s="46">
        <v>44999</v>
      </c>
      <c r="C735" t="s">
        <v>348</v>
      </c>
      <c r="D735" t="s">
        <v>108</v>
      </c>
      <c r="E735" t="s">
        <v>349</v>
      </c>
      <c r="F735" t="s">
        <v>110</v>
      </c>
      <c r="G735" t="s">
        <v>111</v>
      </c>
      <c r="H735" t="s">
        <v>112</v>
      </c>
      <c r="I735" t="s">
        <v>112</v>
      </c>
      <c r="J735" t="s">
        <v>112</v>
      </c>
      <c r="K735" t="s">
        <v>150</v>
      </c>
      <c r="L735" t="s">
        <v>151</v>
      </c>
      <c r="M735" t="s">
        <v>112</v>
      </c>
      <c r="N735" t="s">
        <v>112</v>
      </c>
      <c r="O735">
        <v>1</v>
      </c>
      <c r="P735">
        <v>0</v>
      </c>
      <c r="Q735">
        <v>1</v>
      </c>
      <c r="R735">
        <v>33</v>
      </c>
      <c r="S735" t="s">
        <v>166</v>
      </c>
      <c r="T735" t="s">
        <v>152</v>
      </c>
      <c r="U735" t="s">
        <v>153</v>
      </c>
      <c r="V735" t="s">
        <v>154</v>
      </c>
      <c r="W735" t="s">
        <v>119</v>
      </c>
      <c r="X735" t="s">
        <v>112</v>
      </c>
      <c r="Y735" t="s">
        <v>166</v>
      </c>
      <c r="Z735" t="s">
        <v>152</v>
      </c>
      <c r="AA735" t="s">
        <v>153</v>
      </c>
      <c r="AB735" t="s">
        <v>154</v>
      </c>
      <c r="AC735" t="s">
        <v>119</v>
      </c>
      <c r="AD735" t="s">
        <v>112</v>
      </c>
      <c r="AE735" t="s">
        <v>121</v>
      </c>
      <c r="AF735" t="s">
        <v>122</v>
      </c>
      <c r="AG735">
        <v>3883341.16</v>
      </c>
      <c r="AH735" t="s">
        <v>166</v>
      </c>
      <c r="AI735" t="s">
        <v>152</v>
      </c>
      <c r="AJ735" t="s">
        <v>153</v>
      </c>
      <c r="AK735" t="s">
        <v>154</v>
      </c>
      <c r="AL735" t="s">
        <v>119</v>
      </c>
      <c r="AM735" t="s">
        <v>112</v>
      </c>
      <c r="AN735" t="s">
        <v>121</v>
      </c>
      <c r="AO735" t="s">
        <v>122</v>
      </c>
      <c r="AP735" t="s">
        <v>122</v>
      </c>
      <c r="AQ735" t="s">
        <v>124</v>
      </c>
      <c r="AR735" t="s">
        <v>125</v>
      </c>
      <c r="AS735">
        <v>2</v>
      </c>
      <c r="AT735" t="s">
        <v>126</v>
      </c>
      <c r="AU735" t="s">
        <v>155</v>
      </c>
      <c r="AV735" t="s">
        <v>156</v>
      </c>
      <c r="AW735">
        <v>1</v>
      </c>
      <c r="AX735" t="s">
        <v>129</v>
      </c>
      <c r="AY735">
        <v>46079.4</v>
      </c>
      <c r="AZ735">
        <v>3486151</v>
      </c>
      <c r="BA735">
        <v>55210.11</v>
      </c>
      <c r="BB735">
        <v>75.655299999999997</v>
      </c>
      <c r="BC735" t="s">
        <v>130</v>
      </c>
      <c r="BD735" t="s">
        <v>112</v>
      </c>
      <c r="BE735" t="s">
        <v>157</v>
      </c>
      <c r="BF735" t="s">
        <v>133</v>
      </c>
      <c r="BG735" t="s">
        <v>134</v>
      </c>
      <c r="BH735" t="s">
        <v>112</v>
      </c>
      <c r="BI735" t="s">
        <v>112</v>
      </c>
      <c r="BJ735" t="s">
        <v>112</v>
      </c>
      <c r="BK735" t="s">
        <v>169</v>
      </c>
      <c r="BL735" t="s">
        <v>159</v>
      </c>
      <c r="BM735" t="s">
        <v>212</v>
      </c>
      <c r="BN735" t="s">
        <v>161</v>
      </c>
      <c r="BO735">
        <v>1</v>
      </c>
      <c r="BP735" t="s">
        <v>205</v>
      </c>
      <c r="BR735" t="s">
        <v>150</v>
      </c>
      <c r="BS735">
        <v>33</v>
      </c>
      <c r="BT735">
        <v>0</v>
      </c>
      <c r="BU735">
        <v>0</v>
      </c>
      <c r="BW735">
        <v>0</v>
      </c>
      <c r="BY735" t="s">
        <v>106</v>
      </c>
      <c r="BZ735" t="s">
        <v>142</v>
      </c>
      <c r="CA735" t="s">
        <v>112</v>
      </c>
      <c r="CB735" t="s">
        <v>112</v>
      </c>
      <c r="CC735" t="s">
        <v>121</v>
      </c>
      <c r="CD735">
        <v>18033.419999999998</v>
      </c>
      <c r="CE735" t="s">
        <v>144</v>
      </c>
      <c r="CF735">
        <v>4000000</v>
      </c>
      <c r="CG735">
        <v>18033.419999999998</v>
      </c>
      <c r="CH735">
        <v>0</v>
      </c>
      <c r="CI735" t="s">
        <v>112</v>
      </c>
      <c r="CJ735" t="s">
        <v>112</v>
      </c>
      <c r="CK735">
        <v>46079.4</v>
      </c>
      <c r="CL735">
        <v>3486151</v>
      </c>
      <c r="CM735">
        <v>0</v>
      </c>
      <c r="CN735">
        <v>1</v>
      </c>
      <c r="CO735">
        <v>3883341.16</v>
      </c>
      <c r="CP735">
        <v>55210.11</v>
      </c>
      <c r="CQ735" t="s">
        <v>145</v>
      </c>
      <c r="CR735">
        <v>55209.315329999998</v>
      </c>
      <c r="CS735">
        <v>3.0615000000000001</v>
      </c>
      <c r="CT735">
        <v>45</v>
      </c>
      <c r="CU735" t="s">
        <v>171</v>
      </c>
      <c r="CV735" t="s">
        <v>350</v>
      </c>
      <c r="CW735">
        <v>278</v>
      </c>
    </row>
    <row r="736" spans="1:101" x14ac:dyDescent="0.2">
      <c r="A736" t="s">
        <v>106</v>
      </c>
      <c r="B736" s="46">
        <v>45111</v>
      </c>
      <c r="C736" t="s">
        <v>344</v>
      </c>
      <c r="D736" t="s">
        <v>108</v>
      </c>
      <c r="E736" t="s">
        <v>345</v>
      </c>
      <c r="F736" t="s">
        <v>110</v>
      </c>
      <c r="G736" t="s">
        <v>111</v>
      </c>
      <c r="H736" t="s">
        <v>112</v>
      </c>
      <c r="I736" t="s">
        <v>112</v>
      </c>
      <c r="J736" t="s">
        <v>112</v>
      </c>
      <c r="K736" t="s">
        <v>175</v>
      </c>
      <c r="L736" t="s">
        <v>176</v>
      </c>
      <c r="M736" t="s">
        <v>112</v>
      </c>
      <c r="N736" t="s">
        <v>112</v>
      </c>
      <c r="O736">
        <v>1</v>
      </c>
      <c r="P736">
        <v>0</v>
      </c>
      <c r="Q736">
        <v>1</v>
      </c>
      <c r="R736">
        <v>33</v>
      </c>
      <c r="S736" t="s">
        <v>166</v>
      </c>
      <c r="T736" t="s">
        <v>152</v>
      </c>
      <c r="U736" t="s">
        <v>153</v>
      </c>
      <c r="V736" t="s">
        <v>177</v>
      </c>
      <c r="W736" t="s">
        <v>119</v>
      </c>
      <c r="X736" t="s">
        <v>112</v>
      </c>
      <c r="Y736" t="s">
        <v>166</v>
      </c>
      <c r="Z736" t="s">
        <v>152</v>
      </c>
      <c r="AA736" t="s">
        <v>153</v>
      </c>
      <c r="AB736" t="s">
        <v>177</v>
      </c>
      <c r="AC736" t="s">
        <v>119</v>
      </c>
      <c r="AD736" t="s">
        <v>112</v>
      </c>
      <c r="AE736" t="s">
        <v>121</v>
      </c>
      <c r="AF736" t="s">
        <v>122</v>
      </c>
      <c r="AG736">
        <v>3349339.73</v>
      </c>
      <c r="AH736" t="s">
        <v>166</v>
      </c>
      <c r="AI736" t="s">
        <v>152</v>
      </c>
      <c r="AJ736" t="s">
        <v>153</v>
      </c>
      <c r="AK736" t="s">
        <v>177</v>
      </c>
      <c r="AL736" t="s">
        <v>119</v>
      </c>
      <c r="AM736" t="s">
        <v>112</v>
      </c>
      <c r="AN736" t="s">
        <v>121</v>
      </c>
      <c r="AO736" t="s">
        <v>122</v>
      </c>
      <c r="AP736" t="s">
        <v>122</v>
      </c>
      <c r="AQ736" t="s">
        <v>124</v>
      </c>
      <c r="AR736" t="s">
        <v>125</v>
      </c>
      <c r="AS736">
        <v>2</v>
      </c>
      <c r="AT736" t="s">
        <v>106</v>
      </c>
      <c r="AU736" t="s">
        <v>155</v>
      </c>
      <c r="AV736" t="s">
        <v>156</v>
      </c>
      <c r="AW736">
        <v>1</v>
      </c>
      <c r="AX736" t="s">
        <v>129</v>
      </c>
      <c r="AY736">
        <v>40927.9</v>
      </c>
      <c r="AZ736">
        <v>3096413</v>
      </c>
      <c r="BA736">
        <v>47618.12</v>
      </c>
      <c r="BB736">
        <v>75.655299999999997</v>
      </c>
      <c r="BC736" t="s">
        <v>130</v>
      </c>
      <c r="BD736" t="s">
        <v>112</v>
      </c>
      <c r="BE736" t="s">
        <v>157</v>
      </c>
      <c r="BF736" t="s">
        <v>133</v>
      </c>
      <c r="BG736" t="s">
        <v>134</v>
      </c>
      <c r="BH736" t="s">
        <v>112</v>
      </c>
      <c r="BI736" t="s">
        <v>178</v>
      </c>
      <c r="BJ736" t="s">
        <v>112</v>
      </c>
      <c r="BK736" t="s">
        <v>125</v>
      </c>
      <c r="BL736" t="s">
        <v>179</v>
      </c>
      <c r="BM736" t="s">
        <v>180</v>
      </c>
      <c r="BN736" t="s">
        <v>181</v>
      </c>
      <c r="BO736">
        <v>1</v>
      </c>
      <c r="BP736" t="s">
        <v>199</v>
      </c>
      <c r="BR736" t="s">
        <v>150</v>
      </c>
      <c r="BS736">
        <v>33</v>
      </c>
      <c r="BT736">
        <v>1</v>
      </c>
      <c r="BU736">
        <v>0</v>
      </c>
      <c r="BW736">
        <v>0</v>
      </c>
      <c r="BY736" t="s">
        <v>106</v>
      </c>
      <c r="BZ736" t="s">
        <v>142</v>
      </c>
      <c r="CA736" t="s">
        <v>112</v>
      </c>
      <c r="CB736" t="s">
        <v>112</v>
      </c>
      <c r="CC736" t="s">
        <v>121</v>
      </c>
      <c r="CD736">
        <v>14843.76</v>
      </c>
      <c r="CE736" t="s">
        <v>144</v>
      </c>
      <c r="CF736">
        <v>4000000</v>
      </c>
      <c r="CG736">
        <v>14586.96</v>
      </c>
      <c r="CH736">
        <v>0</v>
      </c>
      <c r="CI736" t="s">
        <v>112</v>
      </c>
      <c r="CJ736" t="s">
        <v>112</v>
      </c>
      <c r="CK736">
        <v>40927.9</v>
      </c>
      <c r="CL736">
        <v>3096413</v>
      </c>
      <c r="CM736">
        <v>0</v>
      </c>
      <c r="CN736">
        <v>1</v>
      </c>
      <c r="CO736">
        <v>3349339.73</v>
      </c>
      <c r="CP736">
        <v>47618.12</v>
      </c>
      <c r="CQ736" t="s">
        <v>145</v>
      </c>
      <c r="CR736">
        <v>47617.672224000002</v>
      </c>
      <c r="CS736">
        <v>3.2644000000000002</v>
      </c>
      <c r="CT736">
        <v>941</v>
      </c>
      <c r="CU736" t="s">
        <v>183</v>
      </c>
      <c r="CV736" t="s">
        <v>147</v>
      </c>
      <c r="CW736">
        <v>246</v>
      </c>
    </row>
    <row r="737" spans="1:101" x14ac:dyDescent="0.2">
      <c r="A737" t="s">
        <v>106</v>
      </c>
      <c r="B737" s="46">
        <v>45128</v>
      </c>
      <c r="C737" t="s">
        <v>1021</v>
      </c>
      <c r="D737" t="s">
        <v>108</v>
      </c>
      <c r="E737" t="s">
        <v>1022</v>
      </c>
      <c r="F737" t="s">
        <v>110</v>
      </c>
      <c r="G737" t="s">
        <v>111</v>
      </c>
      <c r="H737" t="s">
        <v>112</v>
      </c>
      <c r="I737" t="s">
        <v>112</v>
      </c>
      <c r="J737" t="s">
        <v>112</v>
      </c>
      <c r="K737" t="s">
        <v>150</v>
      </c>
      <c r="L737" t="s">
        <v>151</v>
      </c>
      <c r="M737" t="s">
        <v>112</v>
      </c>
      <c r="N737" t="s">
        <v>112</v>
      </c>
      <c r="O737">
        <v>1</v>
      </c>
      <c r="Q737">
        <v>1</v>
      </c>
      <c r="R737">
        <v>33</v>
      </c>
      <c r="S737" t="s">
        <v>112</v>
      </c>
      <c r="T737" t="s">
        <v>152</v>
      </c>
      <c r="U737" t="s">
        <v>153</v>
      </c>
      <c r="V737" t="s">
        <v>154</v>
      </c>
      <c r="W737" t="s">
        <v>119</v>
      </c>
      <c r="X737" t="s">
        <v>112</v>
      </c>
      <c r="Y737" t="s">
        <v>112</v>
      </c>
      <c r="Z737" t="s">
        <v>152</v>
      </c>
      <c r="AA737" t="s">
        <v>153</v>
      </c>
      <c r="AB737" t="s">
        <v>154</v>
      </c>
      <c r="AC737" t="s">
        <v>119</v>
      </c>
      <c r="AD737" t="s">
        <v>112</v>
      </c>
      <c r="AE737" t="s">
        <v>121</v>
      </c>
      <c r="AF737" t="s">
        <v>122</v>
      </c>
      <c r="AG737">
        <v>5051576.92</v>
      </c>
      <c r="AH737" t="s">
        <v>112</v>
      </c>
      <c r="AI737" t="s">
        <v>152</v>
      </c>
      <c r="AJ737" t="s">
        <v>153</v>
      </c>
      <c r="AK737" t="s">
        <v>154</v>
      </c>
      <c r="AL737" t="s">
        <v>119</v>
      </c>
      <c r="AM737" t="s">
        <v>112</v>
      </c>
      <c r="AN737" t="s">
        <v>121</v>
      </c>
      <c r="AO737" t="s">
        <v>122</v>
      </c>
      <c r="AP737" t="s">
        <v>122</v>
      </c>
      <c r="AQ737" t="s">
        <v>124</v>
      </c>
      <c r="AR737" t="s">
        <v>125</v>
      </c>
      <c r="AS737">
        <v>2</v>
      </c>
      <c r="AT737" t="s">
        <v>126</v>
      </c>
      <c r="AU737" t="s">
        <v>155</v>
      </c>
      <c r="AV737" t="s">
        <v>156</v>
      </c>
      <c r="AX737" t="s">
        <v>129</v>
      </c>
      <c r="AY737">
        <v>46620.36</v>
      </c>
      <c r="BB737">
        <v>99.813100000000006</v>
      </c>
      <c r="BC737" t="s">
        <v>112</v>
      </c>
      <c r="BD737" t="s">
        <v>112</v>
      </c>
      <c r="BE737" t="s">
        <v>157</v>
      </c>
      <c r="BF737" t="s">
        <v>133</v>
      </c>
      <c r="BG737" t="s">
        <v>134</v>
      </c>
      <c r="BH737" t="s">
        <v>112</v>
      </c>
      <c r="BI737" t="s">
        <v>112</v>
      </c>
      <c r="BJ737" t="s">
        <v>112</v>
      </c>
      <c r="BK737" t="s">
        <v>158</v>
      </c>
      <c r="BL737" t="s">
        <v>159</v>
      </c>
      <c r="BM737" t="s">
        <v>212</v>
      </c>
      <c r="BN737" t="s">
        <v>161</v>
      </c>
      <c r="BP737" t="s">
        <v>205</v>
      </c>
      <c r="BR737" t="s">
        <v>150</v>
      </c>
      <c r="BS737">
        <v>33</v>
      </c>
      <c r="BT737">
        <v>0</v>
      </c>
      <c r="BU737">
        <v>0</v>
      </c>
      <c r="BW737">
        <v>0</v>
      </c>
      <c r="BY737" t="s">
        <v>106</v>
      </c>
      <c r="BZ737" t="s">
        <v>142</v>
      </c>
      <c r="CA737" t="s">
        <v>112</v>
      </c>
      <c r="CB737" t="s">
        <v>112</v>
      </c>
      <c r="CC737" t="s">
        <v>121</v>
      </c>
      <c r="CD737">
        <v>14801.72</v>
      </c>
      <c r="CE737" t="s">
        <v>144</v>
      </c>
      <c r="CF737">
        <v>4000000</v>
      </c>
      <c r="CG737">
        <v>14425.52</v>
      </c>
      <c r="CH737">
        <v>0</v>
      </c>
      <c r="CI737" t="s">
        <v>112</v>
      </c>
      <c r="CJ737" t="s">
        <v>112</v>
      </c>
      <c r="CK737">
        <v>46620.36</v>
      </c>
      <c r="CM737">
        <v>0</v>
      </c>
      <c r="CN737">
        <v>1</v>
      </c>
      <c r="CO737">
        <v>5051576.92</v>
      </c>
      <c r="CP737">
        <v>54573.06</v>
      </c>
      <c r="CQ737" t="s">
        <v>145</v>
      </c>
      <c r="CR737">
        <v>54528.465599999996</v>
      </c>
      <c r="CS737">
        <v>3.78</v>
      </c>
      <c r="CT737">
        <v>45</v>
      </c>
      <c r="CV737" t="s">
        <v>233</v>
      </c>
      <c r="CW737">
        <v>314</v>
      </c>
    </row>
    <row r="738" spans="1:101" x14ac:dyDescent="0.2">
      <c r="A738" t="s">
        <v>106</v>
      </c>
      <c r="B738" s="46">
        <v>45146</v>
      </c>
      <c r="C738" t="s">
        <v>912</v>
      </c>
      <c r="D738" t="s">
        <v>108</v>
      </c>
      <c r="E738" t="s">
        <v>913</v>
      </c>
      <c r="F738" t="s">
        <v>110</v>
      </c>
      <c r="G738" t="s">
        <v>111</v>
      </c>
      <c r="H738" t="s">
        <v>112</v>
      </c>
      <c r="I738" t="s">
        <v>112</v>
      </c>
      <c r="J738" t="s">
        <v>112</v>
      </c>
      <c r="K738" t="s">
        <v>150</v>
      </c>
      <c r="L738" t="s">
        <v>151</v>
      </c>
      <c r="M738" t="s">
        <v>112</v>
      </c>
      <c r="N738" t="s">
        <v>112</v>
      </c>
      <c r="O738">
        <v>1</v>
      </c>
      <c r="Q738">
        <v>1</v>
      </c>
      <c r="R738">
        <v>33</v>
      </c>
      <c r="S738" t="s">
        <v>112</v>
      </c>
      <c r="T738" t="s">
        <v>152</v>
      </c>
      <c r="U738" t="s">
        <v>153</v>
      </c>
      <c r="V738" t="s">
        <v>154</v>
      </c>
      <c r="W738" t="s">
        <v>119</v>
      </c>
      <c r="X738" t="s">
        <v>112</v>
      </c>
      <c r="Y738" t="s">
        <v>112</v>
      </c>
      <c r="Z738" t="s">
        <v>152</v>
      </c>
      <c r="AA738" t="s">
        <v>153</v>
      </c>
      <c r="AB738" t="s">
        <v>154</v>
      </c>
      <c r="AC738" t="s">
        <v>119</v>
      </c>
      <c r="AD738" t="s">
        <v>112</v>
      </c>
      <c r="AE738" t="s">
        <v>121</v>
      </c>
      <c r="AF738" t="s">
        <v>122</v>
      </c>
      <c r="AG738">
        <v>4763025.24</v>
      </c>
      <c r="AH738" t="s">
        <v>112</v>
      </c>
      <c r="AI738" t="s">
        <v>152</v>
      </c>
      <c r="AJ738" t="s">
        <v>153</v>
      </c>
      <c r="AK738" t="s">
        <v>154</v>
      </c>
      <c r="AL738" t="s">
        <v>119</v>
      </c>
      <c r="AM738" t="s">
        <v>112</v>
      </c>
      <c r="AN738" t="s">
        <v>121</v>
      </c>
      <c r="AO738" t="s">
        <v>122</v>
      </c>
      <c r="AP738" t="s">
        <v>122</v>
      </c>
      <c r="AQ738" t="s">
        <v>124</v>
      </c>
      <c r="AR738" t="s">
        <v>125</v>
      </c>
      <c r="AS738">
        <v>2</v>
      </c>
      <c r="AT738" t="s">
        <v>126</v>
      </c>
      <c r="AU738" t="s">
        <v>155</v>
      </c>
      <c r="AV738" t="s">
        <v>156</v>
      </c>
      <c r="AX738" t="s">
        <v>129</v>
      </c>
      <c r="AY738">
        <v>43729.440000000002</v>
      </c>
      <c r="BB738">
        <v>99.813100000000006</v>
      </c>
      <c r="BC738" t="s">
        <v>112</v>
      </c>
      <c r="BD738" t="s">
        <v>112</v>
      </c>
      <c r="BE738" t="s">
        <v>157</v>
      </c>
      <c r="BF738" t="s">
        <v>133</v>
      </c>
      <c r="BG738" t="s">
        <v>134</v>
      </c>
      <c r="BH738" t="s">
        <v>112</v>
      </c>
      <c r="BI738" t="s">
        <v>112</v>
      </c>
      <c r="BJ738" t="s">
        <v>112</v>
      </c>
      <c r="BK738" t="s">
        <v>158</v>
      </c>
      <c r="BL738" t="s">
        <v>159</v>
      </c>
      <c r="BM738" t="s">
        <v>212</v>
      </c>
      <c r="BN738" t="s">
        <v>161</v>
      </c>
      <c r="BP738" t="s">
        <v>205</v>
      </c>
      <c r="BR738" t="s">
        <v>150</v>
      </c>
      <c r="BS738">
        <v>33</v>
      </c>
      <c r="BT738">
        <v>0</v>
      </c>
      <c r="BU738">
        <v>0</v>
      </c>
      <c r="BW738">
        <v>0</v>
      </c>
      <c r="BY738" t="s">
        <v>106</v>
      </c>
      <c r="BZ738" t="s">
        <v>142</v>
      </c>
      <c r="CA738" t="s">
        <v>112</v>
      </c>
      <c r="CB738" t="s">
        <v>112</v>
      </c>
      <c r="CC738" t="s">
        <v>121</v>
      </c>
      <c r="CD738">
        <v>16549</v>
      </c>
      <c r="CE738" t="s">
        <v>144</v>
      </c>
      <c r="CF738">
        <v>4000000</v>
      </c>
      <c r="CG738">
        <v>16369</v>
      </c>
      <c r="CH738">
        <v>0</v>
      </c>
      <c r="CI738" t="s">
        <v>112</v>
      </c>
      <c r="CJ738" t="s">
        <v>112</v>
      </c>
      <c r="CK738">
        <v>43729.440000000002</v>
      </c>
      <c r="CM738">
        <v>0</v>
      </c>
      <c r="CN738">
        <v>1</v>
      </c>
      <c r="CO738">
        <v>4763025.24</v>
      </c>
      <c r="CP738">
        <v>51455.78</v>
      </c>
      <c r="CQ738" t="s">
        <v>145</v>
      </c>
      <c r="CR738">
        <v>51398.66</v>
      </c>
      <c r="CS738">
        <v>3.14</v>
      </c>
      <c r="CT738">
        <v>45</v>
      </c>
      <c r="CV738" t="s">
        <v>233</v>
      </c>
      <c r="CW738">
        <v>582</v>
      </c>
    </row>
    <row r="739" spans="1:101" x14ac:dyDescent="0.2">
      <c r="A739" t="s">
        <v>106</v>
      </c>
      <c r="B739" s="46">
        <v>45176</v>
      </c>
      <c r="C739" t="s">
        <v>1073</v>
      </c>
      <c r="D739" t="s">
        <v>108</v>
      </c>
      <c r="E739" t="s">
        <v>1074</v>
      </c>
      <c r="F739" t="s">
        <v>110</v>
      </c>
      <c r="G739" t="s">
        <v>111</v>
      </c>
      <c r="H739" t="s">
        <v>112</v>
      </c>
      <c r="I739" t="s">
        <v>112</v>
      </c>
      <c r="J739" t="s">
        <v>112</v>
      </c>
      <c r="K739" t="s">
        <v>150</v>
      </c>
      <c r="L739" t="s">
        <v>151</v>
      </c>
      <c r="M739" t="s">
        <v>112</v>
      </c>
      <c r="N739" t="s">
        <v>112</v>
      </c>
      <c r="O739">
        <v>1</v>
      </c>
      <c r="Q739">
        <v>1</v>
      </c>
      <c r="R739">
        <v>33</v>
      </c>
      <c r="S739" t="s">
        <v>112</v>
      </c>
      <c r="T739" t="s">
        <v>152</v>
      </c>
      <c r="U739" t="s">
        <v>153</v>
      </c>
      <c r="V739" t="s">
        <v>154</v>
      </c>
      <c r="W739" t="s">
        <v>119</v>
      </c>
      <c r="X739" t="s">
        <v>112</v>
      </c>
      <c r="Y739" t="s">
        <v>112</v>
      </c>
      <c r="Z739" t="s">
        <v>152</v>
      </c>
      <c r="AA739" t="s">
        <v>153</v>
      </c>
      <c r="AB739" t="s">
        <v>154</v>
      </c>
      <c r="AC739" t="s">
        <v>119</v>
      </c>
      <c r="AD739" t="s">
        <v>112</v>
      </c>
      <c r="AE739" t="s">
        <v>121</v>
      </c>
      <c r="AF739" t="s">
        <v>122</v>
      </c>
      <c r="AG739">
        <v>4875611.42</v>
      </c>
      <c r="AH739" t="s">
        <v>112</v>
      </c>
      <c r="AI739" t="s">
        <v>152</v>
      </c>
      <c r="AJ739" t="s">
        <v>153</v>
      </c>
      <c r="AK739" t="s">
        <v>154</v>
      </c>
      <c r="AL739" t="s">
        <v>119</v>
      </c>
      <c r="AM739" t="s">
        <v>112</v>
      </c>
      <c r="AN739" t="s">
        <v>121</v>
      </c>
      <c r="AO739" t="s">
        <v>122</v>
      </c>
      <c r="AP739" t="s">
        <v>122</v>
      </c>
      <c r="AQ739" t="s">
        <v>124</v>
      </c>
      <c r="AR739" t="s">
        <v>125</v>
      </c>
      <c r="AS739">
        <v>2</v>
      </c>
      <c r="AT739" t="s">
        <v>126</v>
      </c>
      <c r="AU739" t="s">
        <v>155</v>
      </c>
      <c r="AV739" t="s">
        <v>156</v>
      </c>
      <c r="AX739" t="s">
        <v>129</v>
      </c>
      <c r="AY739">
        <v>44857.41</v>
      </c>
      <c r="BB739">
        <v>99.813100000000006</v>
      </c>
      <c r="BC739" t="s">
        <v>112</v>
      </c>
      <c r="BD739" t="s">
        <v>112</v>
      </c>
      <c r="BE739" t="s">
        <v>157</v>
      </c>
      <c r="BF739" t="s">
        <v>133</v>
      </c>
      <c r="BG739" t="s">
        <v>134</v>
      </c>
      <c r="BH739" t="s">
        <v>112</v>
      </c>
      <c r="BI739" t="s">
        <v>112</v>
      </c>
      <c r="BJ739" t="s">
        <v>112</v>
      </c>
      <c r="BK739" t="s">
        <v>158</v>
      </c>
      <c r="BL739" t="s">
        <v>159</v>
      </c>
      <c r="BM739" t="s">
        <v>212</v>
      </c>
      <c r="BN739" t="s">
        <v>161</v>
      </c>
      <c r="BP739" t="s">
        <v>205</v>
      </c>
      <c r="BR739" t="s">
        <v>150</v>
      </c>
      <c r="BS739">
        <v>33</v>
      </c>
      <c r="BT739">
        <v>0</v>
      </c>
      <c r="BU739">
        <v>0</v>
      </c>
      <c r="BW739">
        <v>0</v>
      </c>
      <c r="BY739" t="s">
        <v>106</v>
      </c>
      <c r="BZ739" t="s">
        <v>142</v>
      </c>
      <c r="CA739" t="s">
        <v>112</v>
      </c>
      <c r="CB739" t="s">
        <v>112</v>
      </c>
      <c r="CC739" t="s">
        <v>121</v>
      </c>
      <c r="CD739">
        <v>17194.98</v>
      </c>
      <c r="CE739" t="s">
        <v>144</v>
      </c>
      <c r="CF739">
        <v>4000000</v>
      </c>
      <c r="CG739">
        <v>17158.98</v>
      </c>
      <c r="CH739">
        <v>0</v>
      </c>
      <c r="CI739" t="s">
        <v>112</v>
      </c>
      <c r="CJ739" t="s">
        <v>112</v>
      </c>
      <c r="CK739">
        <v>44857.41</v>
      </c>
      <c r="CM739">
        <v>0</v>
      </c>
      <c r="CN739">
        <v>1</v>
      </c>
      <c r="CO739">
        <v>4875611.42</v>
      </c>
      <c r="CP739">
        <v>52672.07</v>
      </c>
      <c r="CQ739" t="s">
        <v>145</v>
      </c>
      <c r="CR739">
        <v>52678.068599999999</v>
      </c>
      <c r="CS739">
        <v>3.07</v>
      </c>
      <c r="CT739">
        <v>45</v>
      </c>
      <c r="CV739" t="s">
        <v>206</v>
      </c>
      <c r="CW739">
        <v>93</v>
      </c>
    </row>
    <row r="740" spans="1:101" x14ac:dyDescent="0.2">
      <c r="A740" t="s">
        <v>106</v>
      </c>
      <c r="B740" s="46">
        <v>45269</v>
      </c>
      <c r="C740" t="s">
        <v>1113</v>
      </c>
      <c r="D740" t="s">
        <v>108</v>
      </c>
      <c r="E740" t="s">
        <v>1114</v>
      </c>
      <c r="F740" t="s">
        <v>110</v>
      </c>
      <c r="G740" t="s">
        <v>111</v>
      </c>
      <c r="H740" t="s">
        <v>112</v>
      </c>
      <c r="I740" t="s">
        <v>112</v>
      </c>
      <c r="J740" t="s">
        <v>112</v>
      </c>
      <c r="K740" t="s">
        <v>150</v>
      </c>
      <c r="L740" t="s">
        <v>151</v>
      </c>
      <c r="M740" t="s">
        <v>112</v>
      </c>
      <c r="N740" t="s">
        <v>112</v>
      </c>
      <c r="O740">
        <v>1</v>
      </c>
      <c r="Q740">
        <v>1</v>
      </c>
      <c r="R740">
        <v>33</v>
      </c>
      <c r="S740" t="s">
        <v>112</v>
      </c>
      <c r="T740" t="s">
        <v>152</v>
      </c>
      <c r="U740" t="s">
        <v>153</v>
      </c>
      <c r="V740" t="s">
        <v>154</v>
      </c>
      <c r="W740" t="s">
        <v>119</v>
      </c>
      <c r="X740" t="s">
        <v>112</v>
      </c>
      <c r="Y740" t="s">
        <v>112</v>
      </c>
      <c r="Z740" t="s">
        <v>152</v>
      </c>
      <c r="AA740" t="s">
        <v>153</v>
      </c>
      <c r="AB740" t="s">
        <v>154</v>
      </c>
      <c r="AC740" t="s">
        <v>119</v>
      </c>
      <c r="AD740" t="s">
        <v>112</v>
      </c>
      <c r="AE740" t="s">
        <v>121</v>
      </c>
      <c r="AF740" t="s">
        <v>122</v>
      </c>
      <c r="AG740">
        <v>5017934.92</v>
      </c>
      <c r="AH740" t="s">
        <v>112</v>
      </c>
      <c r="AI740" t="s">
        <v>152</v>
      </c>
      <c r="AJ740" t="s">
        <v>153</v>
      </c>
      <c r="AK740" t="s">
        <v>154</v>
      </c>
      <c r="AL740" t="s">
        <v>119</v>
      </c>
      <c r="AM740" t="s">
        <v>112</v>
      </c>
      <c r="AN740" t="s">
        <v>121</v>
      </c>
      <c r="AO740" t="s">
        <v>122</v>
      </c>
      <c r="AP740" t="s">
        <v>122</v>
      </c>
      <c r="AQ740" t="s">
        <v>124</v>
      </c>
      <c r="AR740" t="s">
        <v>125</v>
      </c>
      <c r="AS740">
        <v>2</v>
      </c>
      <c r="AT740" t="s">
        <v>126</v>
      </c>
      <c r="AU740" t="s">
        <v>155</v>
      </c>
      <c r="AV740" t="s">
        <v>156</v>
      </c>
      <c r="AX740" t="s">
        <v>129</v>
      </c>
      <c r="AY740">
        <v>46283.31</v>
      </c>
      <c r="BB740">
        <v>99.813100000000006</v>
      </c>
      <c r="BC740" t="s">
        <v>112</v>
      </c>
      <c r="BD740" t="s">
        <v>112</v>
      </c>
      <c r="BE740" t="s">
        <v>157</v>
      </c>
      <c r="BF740" t="s">
        <v>133</v>
      </c>
      <c r="BG740" t="s">
        <v>134</v>
      </c>
      <c r="BH740" t="s">
        <v>112</v>
      </c>
      <c r="BI740" t="s">
        <v>112</v>
      </c>
      <c r="BJ740" t="s">
        <v>112</v>
      </c>
      <c r="BK740" t="s">
        <v>158</v>
      </c>
      <c r="BL740" t="s">
        <v>159</v>
      </c>
      <c r="BM740" t="s">
        <v>212</v>
      </c>
      <c r="BN740" t="s">
        <v>161</v>
      </c>
      <c r="BP740" t="s">
        <v>466</v>
      </c>
      <c r="BR740" t="s">
        <v>150</v>
      </c>
      <c r="BS740">
        <v>33</v>
      </c>
      <c r="BT740">
        <v>0</v>
      </c>
      <c r="BU740">
        <v>0</v>
      </c>
      <c r="BW740">
        <v>0</v>
      </c>
      <c r="BY740" t="s">
        <v>106</v>
      </c>
      <c r="BZ740" t="s">
        <v>142</v>
      </c>
      <c r="CA740" t="s">
        <v>112</v>
      </c>
      <c r="CB740" t="s">
        <v>112</v>
      </c>
      <c r="CC740" t="s">
        <v>121</v>
      </c>
      <c r="CD740">
        <v>17150.48</v>
      </c>
      <c r="CE740" t="s">
        <v>144</v>
      </c>
      <c r="CF740">
        <v>4000000</v>
      </c>
      <c r="CG740">
        <v>17150.48</v>
      </c>
      <c r="CH740">
        <v>0</v>
      </c>
      <c r="CI740" t="s">
        <v>112</v>
      </c>
      <c r="CJ740" t="s">
        <v>112</v>
      </c>
      <c r="CK740">
        <v>46283.31</v>
      </c>
      <c r="CM740">
        <v>0</v>
      </c>
      <c r="CN740">
        <v>1</v>
      </c>
      <c r="CO740">
        <v>5017934.92</v>
      </c>
      <c r="CP740">
        <v>54209.62</v>
      </c>
      <c r="CQ740" t="s">
        <v>145</v>
      </c>
      <c r="CR740">
        <v>54195.516799999998</v>
      </c>
      <c r="CS740">
        <v>3.16</v>
      </c>
      <c r="CT740">
        <v>45</v>
      </c>
      <c r="CV740" t="s">
        <v>729</v>
      </c>
      <c r="CW740">
        <v>302</v>
      </c>
    </row>
    <row r="741" spans="1:101" x14ac:dyDescent="0.2">
      <c r="A741" t="s">
        <v>106</v>
      </c>
      <c r="B741" s="46">
        <v>44984</v>
      </c>
      <c r="C741" t="s">
        <v>1565</v>
      </c>
      <c r="D741" t="s">
        <v>108</v>
      </c>
      <c r="E741" t="s">
        <v>1566</v>
      </c>
      <c r="F741" t="s">
        <v>110</v>
      </c>
      <c r="G741" t="s">
        <v>111</v>
      </c>
      <c r="H741" t="s">
        <v>112</v>
      </c>
      <c r="I741" t="s">
        <v>112</v>
      </c>
      <c r="J741" t="s">
        <v>112</v>
      </c>
      <c r="K741" t="s">
        <v>150</v>
      </c>
      <c r="L741" t="s">
        <v>151</v>
      </c>
      <c r="M741" t="s">
        <v>112</v>
      </c>
      <c r="N741" t="s">
        <v>112</v>
      </c>
      <c r="O741">
        <v>1</v>
      </c>
      <c r="Q741">
        <v>1</v>
      </c>
      <c r="R741">
        <v>33</v>
      </c>
      <c r="S741" t="s">
        <v>112</v>
      </c>
      <c r="T741" t="s">
        <v>152</v>
      </c>
      <c r="U741" t="s">
        <v>153</v>
      </c>
      <c r="V741" t="s">
        <v>154</v>
      </c>
      <c r="W741" t="s">
        <v>119</v>
      </c>
      <c r="X741" t="s">
        <v>112</v>
      </c>
      <c r="Y741" t="s">
        <v>112</v>
      </c>
      <c r="Z741" t="s">
        <v>152</v>
      </c>
      <c r="AA741" t="s">
        <v>153</v>
      </c>
      <c r="AB741" t="s">
        <v>154</v>
      </c>
      <c r="AC741" t="s">
        <v>119</v>
      </c>
      <c r="AD741" t="s">
        <v>112</v>
      </c>
      <c r="AE741" t="s">
        <v>121</v>
      </c>
      <c r="AF741" t="s">
        <v>122</v>
      </c>
      <c r="AG741">
        <v>3875260.11</v>
      </c>
      <c r="AH741" t="s">
        <v>112</v>
      </c>
      <c r="AI741" t="s">
        <v>152</v>
      </c>
      <c r="AJ741" t="s">
        <v>153</v>
      </c>
      <c r="AK741" t="s">
        <v>154</v>
      </c>
      <c r="AL741" t="s">
        <v>119</v>
      </c>
      <c r="AM741" t="s">
        <v>112</v>
      </c>
      <c r="AN741" t="s">
        <v>121</v>
      </c>
      <c r="AO741" t="s">
        <v>122</v>
      </c>
      <c r="AP741" t="s">
        <v>122</v>
      </c>
      <c r="AQ741" t="s">
        <v>124</v>
      </c>
      <c r="AR741" t="s">
        <v>125</v>
      </c>
      <c r="AS741">
        <v>2</v>
      </c>
      <c r="AT741" t="s">
        <v>126</v>
      </c>
      <c r="AU741" t="s">
        <v>155</v>
      </c>
      <c r="AV741" t="s">
        <v>156</v>
      </c>
      <c r="AX741" t="s">
        <v>129</v>
      </c>
      <c r="AY741">
        <v>35238.720000000001</v>
      </c>
      <c r="BB741">
        <v>98.786299999999997</v>
      </c>
      <c r="BC741" t="s">
        <v>112</v>
      </c>
      <c r="BD741" t="s">
        <v>112</v>
      </c>
      <c r="BE741" t="s">
        <v>157</v>
      </c>
      <c r="BF741" t="s">
        <v>133</v>
      </c>
      <c r="BG741" t="s">
        <v>134</v>
      </c>
      <c r="BH741" t="s">
        <v>112</v>
      </c>
      <c r="BI741" t="s">
        <v>112</v>
      </c>
      <c r="BJ741" t="s">
        <v>112</v>
      </c>
      <c r="BK741" t="s">
        <v>158</v>
      </c>
      <c r="BL741" t="s">
        <v>159</v>
      </c>
      <c r="BM741" t="s">
        <v>212</v>
      </c>
      <c r="BN741" t="s">
        <v>161</v>
      </c>
      <c r="BP741" t="s">
        <v>1088</v>
      </c>
      <c r="BR741" t="s">
        <v>150</v>
      </c>
      <c r="BS741">
        <v>33</v>
      </c>
      <c r="BT741">
        <v>0</v>
      </c>
      <c r="BU741">
        <v>0</v>
      </c>
      <c r="BW741">
        <v>0</v>
      </c>
      <c r="BY741" t="s">
        <v>106</v>
      </c>
      <c r="BZ741" t="s">
        <v>142</v>
      </c>
      <c r="CA741" t="s">
        <v>112</v>
      </c>
      <c r="CB741" t="s">
        <v>112</v>
      </c>
      <c r="CC741" t="s">
        <v>121</v>
      </c>
      <c r="CD741">
        <v>15971.45</v>
      </c>
      <c r="CE741" t="s">
        <v>144</v>
      </c>
      <c r="CF741">
        <v>4000000</v>
      </c>
      <c r="CG741">
        <v>15759.05</v>
      </c>
      <c r="CH741">
        <v>0</v>
      </c>
      <c r="CI741" t="s">
        <v>112</v>
      </c>
      <c r="CJ741" t="s">
        <v>112</v>
      </c>
      <c r="CK741">
        <v>35238.720000000001</v>
      </c>
      <c r="CM741">
        <v>0</v>
      </c>
      <c r="CN741">
        <v>1</v>
      </c>
      <c r="CO741">
        <v>3875260.11</v>
      </c>
      <c r="CP741">
        <v>41933.19</v>
      </c>
      <c r="CQ741" t="s">
        <v>145</v>
      </c>
      <c r="CR741">
        <v>41919.072999999997</v>
      </c>
      <c r="CS741">
        <v>2.66</v>
      </c>
      <c r="CT741">
        <v>45</v>
      </c>
      <c r="CV741" t="s">
        <v>729</v>
      </c>
      <c r="CW741">
        <v>577</v>
      </c>
    </row>
    <row r="742" spans="1:101" x14ac:dyDescent="0.2">
      <c r="A742" t="s">
        <v>106</v>
      </c>
      <c r="B742" s="46">
        <v>45152</v>
      </c>
      <c r="C742" t="s">
        <v>1558</v>
      </c>
      <c r="D742" t="s">
        <v>108</v>
      </c>
      <c r="E742" t="s">
        <v>1559</v>
      </c>
      <c r="F742" t="s">
        <v>110</v>
      </c>
      <c r="G742" t="s">
        <v>111</v>
      </c>
      <c r="H742" t="s">
        <v>112</v>
      </c>
      <c r="I742" t="s">
        <v>112</v>
      </c>
      <c r="J742" t="s">
        <v>112</v>
      </c>
      <c r="K742" t="s">
        <v>150</v>
      </c>
      <c r="L742" t="s">
        <v>151</v>
      </c>
      <c r="M742" t="s">
        <v>112</v>
      </c>
      <c r="N742" t="s">
        <v>112</v>
      </c>
      <c r="O742">
        <v>1</v>
      </c>
      <c r="Q742">
        <v>1</v>
      </c>
      <c r="R742">
        <v>33</v>
      </c>
      <c r="S742" t="s">
        <v>112</v>
      </c>
      <c r="T742" t="s">
        <v>152</v>
      </c>
      <c r="U742" t="s">
        <v>153</v>
      </c>
      <c r="V742" t="s">
        <v>154</v>
      </c>
      <c r="W742" t="s">
        <v>119</v>
      </c>
      <c r="X742" t="s">
        <v>112</v>
      </c>
      <c r="Y742" t="s">
        <v>112</v>
      </c>
      <c r="Z742" t="s">
        <v>152</v>
      </c>
      <c r="AA742" t="s">
        <v>153</v>
      </c>
      <c r="AB742" t="s">
        <v>154</v>
      </c>
      <c r="AC742" t="s">
        <v>119</v>
      </c>
      <c r="AD742" t="s">
        <v>112</v>
      </c>
      <c r="AE742" t="s">
        <v>121</v>
      </c>
      <c r="AF742" t="s">
        <v>122</v>
      </c>
      <c r="AG742">
        <v>4277861.7</v>
      </c>
      <c r="AH742" t="s">
        <v>112</v>
      </c>
      <c r="AI742" t="s">
        <v>152</v>
      </c>
      <c r="AJ742" t="s">
        <v>153</v>
      </c>
      <c r="AK742" t="s">
        <v>154</v>
      </c>
      <c r="AL742" t="s">
        <v>119</v>
      </c>
      <c r="AM742" t="s">
        <v>112</v>
      </c>
      <c r="AN742" t="s">
        <v>121</v>
      </c>
      <c r="AO742" t="s">
        <v>122</v>
      </c>
      <c r="AP742" t="s">
        <v>122</v>
      </c>
      <c r="AQ742" t="s">
        <v>124</v>
      </c>
      <c r="AR742" t="s">
        <v>125</v>
      </c>
      <c r="AS742">
        <v>2</v>
      </c>
      <c r="AT742" t="s">
        <v>126</v>
      </c>
      <c r="AU742" t="s">
        <v>155</v>
      </c>
      <c r="AV742" t="s">
        <v>156</v>
      </c>
      <c r="AX742" t="s">
        <v>129</v>
      </c>
      <c r="AY742">
        <v>38614.199999999997</v>
      </c>
      <c r="BB742">
        <v>98.786299999999997</v>
      </c>
      <c r="BC742" t="s">
        <v>112</v>
      </c>
      <c r="BD742" t="s">
        <v>112</v>
      </c>
      <c r="BE742" t="s">
        <v>157</v>
      </c>
      <c r="BF742" t="s">
        <v>133</v>
      </c>
      <c r="BG742" t="s">
        <v>167</v>
      </c>
      <c r="BH742" t="s">
        <v>112</v>
      </c>
      <c r="BI742" t="s">
        <v>112</v>
      </c>
      <c r="BJ742" t="s">
        <v>112</v>
      </c>
      <c r="BK742" t="s">
        <v>158</v>
      </c>
      <c r="BL742" t="s">
        <v>159</v>
      </c>
      <c r="BM742" t="s">
        <v>160</v>
      </c>
      <c r="BN742" t="s">
        <v>161</v>
      </c>
      <c r="BP742" t="s">
        <v>232</v>
      </c>
      <c r="BR742" t="s">
        <v>150</v>
      </c>
      <c r="BS742">
        <v>33</v>
      </c>
      <c r="BT742">
        <v>0</v>
      </c>
      <c r="BU742">
        <v>0</v>
      </c>
      <c r="BW742">
        <v>0</v>
      </c>
      <c r="BY742" t="s">
        <v>106</v>
      </c>
      <c r="BZ742" t="s">
        <v>142</v>
      </c>
      <c r="CA742" t="s">
        <v>112</v>
      </c>
      <c r="CB742" t="s">
        <v>112</v>
      </c>
      <c r="CC742" t="s">
        <v>121</v>
      </c>
      <c r="CD742">
        <v>16293.64</v>
      </c>
      <c r="CE742" t="s">
        <v>144</v>
      </c>
      <c r="CF742">
        <v>4000000</v>
      </c>
      <c r="CG742">
        <v>16128.04</v>
      </c>
      <c r="CH742">
        <v>0</v>
      </c>
      <c r="CI742" t="s">
        <v>112</v>
      </c>
      <c r="CJ742" t="s">
        <v>112</v>
      </c>
      <c r="CK742">
        <v>38614.199999999997</v>
      </c>
      <c r="CM742">
        <v>0</v>
      </c>
      <c r="CN742">
        <v>1</v>
      </c>
      <c r="CO742">
        <v>4277861.7</v>
      </c>
      <c r="CP742">
        <v>46289.64</v>
      </c>
      <c r="CQ742" t="s">
        <v>145</v>
      </c>
      <c r="CR742">
        <v>46287.474800000004</v>
      </c>
      <c r="CS742">
        <v>2.87</v>
      </c>
      <c r="CT742">
        <v>45</v>
      </c>
      <c r="CV742" t="s">
        <v>163</v>
      </c>
      <c r="CW742">
        <v>238</v>
      </c>
    </row>
    <row r="743" spans="1:101" x14ac:dyDescent="0.2">
      <c r="A743" t="s">
        <v>106</v>
      </c>
      <c r="B743" s="46">
        <v>45273</v>
      </c>
      <c r="C743" t="s">
        <v>1569</v>
      </c>
      <c r="D743" t="s">
        <v>108</v>
      </c>
      <c r="E743" t="s">
        <v>1570</v>
      </c>
      <c r="F743" t="s">
        <v>110</v>
      </c>
      <c r="G743" t="s">
        <v>111</v>
      </c>
      <c r="H743" t="s">
        <v>112</v>
      </c>
      <c r="I743" t="s">
        <v>112</v>
      </c>
      <c r="J743" t="s">
        <v>112</v>
      </c>
      <c r="K743" t="s">
        <v>150</v>
      </c>
      <c r="L743" t="s">
        <v>151</v>
      </c>
      <c r="M743" t="s">
        <v>112</v>
      </c>
      <c r="N743" t="s">
        <v>112</v>
      </c>
      <c r="O743">
        <v>1</v>
      </c>
      <c r="Q743">
        <v>1</v>
      </c>
      <c r="R743">
        <v>33</v>
      </c>
      <c r="S743" t="s">
        <v>112</v>
      </c>
      <c r="T743" t="s">
        <v>152</v>
      </c>
      <c r="U743" t="s">
        <v>153</v>
      </c>
      <c r="V743" t="s">
        <v>154</v>
      </c>
      <c r="W743" t="s">
        <v>119</v>
      </c>
      <c r="X743" t="s">
        <v>112</v>
      </c>
      <c r="Y743" t="s">
        <v>112</v>
      </c>
      <c r="Z743" t="s">
        <v>152</v>
      </c>
      <c r="AA743" t="s">
        <v>153</v>
      </c>
      <c r="AB743" t="s">
        <v>154</v>
      </c>
      <c r="AC743" t="s">
        <v>119</v>
      </c>
      <c r="AD743" t="s">
        <v>112</v>
      </c>
      <c r="AE743" t="s">
        <v>121</v>
      </c>
      <c r="AF743" t="s">
        <v>122</v>
      </c>
      <c r="AG743">
        <v>4468414.54</v>
      </c>
      <c r="AH743" t="s">
        <v>112</v>
      </c>
      <c r="AI743" t="s">
        <v>152</v>
      </c>
      <c r="AJ743" t="s">
        <v>153</v>
      </c>
      <c r="AK743" t="s">
        <v>154</v>
      </c>
      <c r="AL743" t="s">
        <v>119</v>
      </c>
      <c r="AM743" t="s">
        <v>112</v>
      </c>
      <c r="AN743" t="s">
        <v>121</v>
      </c>
      <c r="AO743" t="s">
        <v>122</v>
      </c>
      <c r="AP743" t="s">
        <v>122</v>
      </c>
      <c r="AQ743" t="s">
        <v>124</v>
      </c>
      <c r="AR743" t="s">
        <v>125</v>
      </c>
      <c r="AS743">
        <v>2</v>
      </c>
      <c r="AT743" t="s">
        <v>126</v>
      </c>
      <c r="AU743" t="s">
        <v>155</v>
      </c>
      <c r="AV743" t="s">
        <v>156</v>
      </c>
      <c r="AX743" t="s">
        <v>129</v>
      </c>
      <c r="AY743">
        <v>40713.14</v>
      </c>
      <c r="BB743">
        <v>98.786299999999997</v>
      </c>
      <c r="BC743" t="s">
        <v>112</v>
      </c>
      <c r="BD743" t="s">
        <v>112</v>
      </c>
      <c r="BE743" t="s">
        <v>157</v>
      </c>
      <c r="BF743" t="s">
        <v>133</v>
      </c>
      <c r="BG743" t="s">
        <v>134</v>
      </c>
      <c r="BH743" t="s">
        <v>112</v>
      </c>
      <c r="BI743" t="s">
        <v>112</v>
      </c>
      <c r="BJ743" t="s">
        <v>112</v>
      </c>
      <c r="BK743" t="s">
        <v>158</v>
      </c>
      <c r="BL743" t="s">
        <v>159</v>
      </c>
      <c r="BM743" t="s">
        <v>212</v>
      </c>
      <c r="BN743" t="s">
        <v>161</v>
      </c>
      <c r="BP743" t="s">
        <v>281</v>
      </c>
      <c r="BR743" t="s">
        <v>150</v>
      </c>
      <c r="BS743">
        <v>33</v>
      </c>
      <c r="BT743">
        <v>0</v>
      </c>
      <c r="BU743">
        <v>0</v>
      </c>
      <c r="BW743">
        <v>0</v>
      </c>
      <c r="BY743" t="s">
        <v>106</v>
      </c>
      <c r="BZ743" t="s">
        <v>142</v>
      </c>
      <c r="CA743" t="s">
        <v>112</v>
      </c>
      <c r="CB743" t="s">
        <v>112</v>
      </c>
      <c r="CC743" t="s">
        <v>121</v>
      </c>
      <c r="CD743">
        <v>16286.1</v>
      </c>
      <c r="CE743" t="s">
        <v>144</v>
      </c>
      <c r="CF743">
        <v>4000000</v>
      </c>
      <c r="CG743">
        <v>16074.3</v>
      </c>
      <c r="CH743">
        <v>0</v>
      </c>
      <c r="CI743" t="s">
        <v>112</v>
      </c>
      <c r="CJ743" t="s">
        <v>112</v>
      </c>
      <c r="CK743">
        <v>40713.14</v>
      </c>
      <c r="CM743">
        <v>0</v>
      </c>
      <c r="CN743">
        <v>1</v>
      </c>
      <c r="CO743">
        <v>4468414.54</v>
      </c>
      <c r="CP743">
        <v>48351.56</v>
      </c>
      <c r="CQ743" t="s">
        <v>145</v>
      </c>
      <c r="CR743">
        <v>48383.642999999996</v>
      </c>
      <c r="CS743">
        <v>3.01</v>
      </c>
      <c r="CT743">
        <v>45</v>
      </c>
      <c r="CV743" t="s">
        <v>233</v>
      </c>
      <c r="CW743">
        <v>564</v>
      </c>
    </row>
    <row r="744" spans="1:101" x14ac:dyDescent="0.2">
      <c r="A744" t="s">
        <v>106</v>
      </c>
      <c r="B744" s="46">
        <v>45128</v>
      </c>
      <c r="C744" t="s">
        <v>1912</v>
      </c>
      <c r="D744" t="s">
        <v>108</v>
      </c>
      <c r="E744" t="s">
        <v>1913</v>
      </c>
      <c r="F744" t="s">
        <v>110</v>
      </c>
      <c r="G744" t="s">
        <v>111</v>
      </c>
      <c r="H744" t="s">
        <v>112</v>
      </c>
      <c r="I744" t="s">
        <v>112</v>
      </c>
      <c r="J744" t="s">
        <v>112</v>
      </c>
      <c r="K744" t="s">
        <v>150</v>
      </c>
      <c r="L744" t="s">
        <v>151</v>
      </c>
      <c r="M744" t="s">
        <v>112</v>
      </c>
      <c r="N744" t="s">
        <v>112</v>
      </c>
      <c r="O744">
        <v>1</v>
      </c>
      <c r="Q744">
        <v>1</v>
      </c>
      <c r="R744">
        <v>33</v>
      </c>
      <c r="S744" t="s">
        <v>112</v>
      </c>
      <c r="T744" t="s">
        <v>152</v>
      </c>
      <c r="U744" t="s">
        <v>153</v>
      </c>
      <c r="V744" t="s">
        <v>154</v>
      </c>
      <c r="W744" t="s">
        <v>119</v>
      </c>
      <c r="X744" t="s">
        <v>112</v>
      </c>
      <c r="Y744" t="s">
        <v>112</v>
      </c>
      <c r="Z744" t="s">
        <v>152</v>
      </c>
      <c r="AA744" t="s">
        <v>153</v>
      </c>
      <c r="AB744" t="s">
        <v>154</v>
      </c>
      <c r="AC744" t="s">
        <v>119</v>
      </c>
      <c r="AD744" t="s">
        <v>112</v>
      </c>
      <c r="AE744" t="s">
        <v>121</v>
      </c>
      <c r="AF744" t="s">
        <v>122</v>
      </c>
      <c r="AG744">
        <v>4877704.92</v>
      </c>
      <c r="AH744" t="s">
        <v>112</v>
      </c>
      <c r="AI744" t="s">
        <v>152</v>
      </c>
      <c r="AJ744" t="s">
        <v>153</v>
      </c>
      <c r="AK744" t="s">
        <v>154</v>
      </c>
      <c r="AL744" t="s">
        <v>119</v>
      </c>
      <c r="AM744" t="s">
        <v>112</v>
      </c>
      <c r="AN744" t="s">
        <v>121</v>
      </c>
      <c r="AO744" t="s">
        <v>122</v>
      </c>
      <c r="AP744" t="s">
        <v>122</v>
      </c>
      <c r="AQ744" t="s">
        <v>124</v>
      </c>
      <c r="AR744" t="s">
        <v>125</v>
      </c>
      <c r="AS744">
        <v>2</v>
      </c>
      <c r="AT744" t="s">
        <v>126</v>
      </c>
      <c r="AU744" t="s">
        <v>155</v>
      </c>
      <c r="AV744" t="s">
        <v>156</v>
      </c>
      <c r="AX744" t="s">
        <v>129</v>
      </c>
      <c r="AY744">
        <v>42201.84</v>
      </c>
      <c r="BB744">
        <v>105.27760000000001</v>
      </c>
      <c r="BC744" t="s">
        <v>112</v>
      </c>
      <c r="BD744" t="s">
        <v>112</v>
      </c>
      <c r="BE744" t="s">
        <v>157</v>
      </c>
      <c r="BF744" t="s">
        <v>133</v>
      </c>
      <c r="BG744" t="s">
        <v>134</v>
      </c>
      <c r="BH744" t="s">
        <v>112</v>
      </c>
      <c r="BI744" t="s">
        <v>112</v>
      </c>
      <c r="BJ744" t="s">
        <v>112</v>
      </c>
      <c r="BK744" t="s">
        <v>169</v>
      </c>
      <c r="BL744" t="s">
        <v>159</v>
      </c>
      <c r="BM744" t="s">
        <v>212</v>
      </c>
      <c r="BN744" t="s">
        <v>161</v>
      </c>
      <c r="BP744" t="s">
        <v>213</v>
      </c>
      <c r="BR744" t="s">
        <v>150</v>
      </c>
      <c r="BS744">
        <v>33</v>
      </c>
      <c r="BT744">
        <v>0</v>
      </c>
      <c r="BU744">
        <v>0</v>
      </c>
      <c r="BW744">
        <v>0</v>
      </c>
      <c r="BY744" t="s">
        <v>106</v>
      </c>
      <c r="BZ744" t="s">
        <v>142</v>
      </c>
      <c r="CA744" t="s">
        <v>112</v>
      </c>
      <c r="CB744" t="s">
        <v>112</v>
      </c>
      <c r="CC744" t="s">
        <v>121</v>
      </c>
      <c r="CD744">
        <v>16663.63</v>
      </c>
      <c r="CE744" t="s">
        <v>144</v>
      </c>
      <c r="CF744">
        <v>4000000</v>
      </c>
      <c r="CG744">
        <v>16534.03</v>
      </c>
      <c r="CH744">
        <v>0</v>
      </c>
      <c r="CI744" t="s">
        <v>112</v>
      </c>
      <c r="CJ744" t="s">
        <v>112</v>
      </c>
      <c r="CK744">
        <v>42201.84</v>
      </c>
      <c r="CM744">
        <v>0</v>
      </c>
      <c r="CN744">
        <v>1</v>
      </c>
      <c r="CO744">
        <v>4877704.92</v>
      </c>
      <c r="CP744">
        <v>49673.1</v>
      </c>
      <c r="CQ744" t="s">
        <v>145</v>
      </c>
      <c r="CR744">
        <v>49602.09</v>
      </c>
      <c r="CS744">
        <v>3</v>
      </c>
      <c r="CT744">
        <v>45</v>
      </c>
      <c r="CV744" t="s">
        <v>233</v>
      </c>
      <c r="CW744">
        <v>365</v>
      </c>
    </row>
    <row r="745" spans="1:101" x14ac:dyDescent="0.2">
      <c r="A745" t="s">
        <v>106</v>
      </c>
      <c r="B745" s="46">
        <v>44962</v>
      </c>
      <c r="C745" t="s">
        <v>1894</v>
      </c>
      <c r="D745" t="s">
        <v>108</v>
      </c>
      <c r="E745" t="s">
        <v>1895</v>
      </c>
      <c r="F745" t="s">
        <v>110</v>
      </c>
      <c r="G745" t="s">
        <v>111</v>
      </c>
      <c r="H745" t="s">
        <v>112</v>
      </c>
      <c r="I745" t="s">
        <v>112</v>
      </c>
      <c r="J745" t="s">
        <v>112</v>
      </c>
      <c r="K745" t="s">
        <v>150</v>
      </c>
      <c r="L745" t="s">
        <v>151</v>
      </c>
      <c r="M745" t="s">
        <v>112</v>
      </c>
      <c r="N745" t="s">
        <v>112</v>
      </c>
      <c r="O745">
        <v>1</v>
      </c>
      <c r="Q745">
        <v>1</v>
      </c>
      <c r="R745">
        <v>33</v>
      </c>
      <c r="S745" t="s">
        <v>112</v>
      </c>
      <c r="T745" t="s">
        <v>152</v>
      </c>
      <c r="U745" t="s">
        <v>153</v>
      </c>
      <c r="V745" t="s">
        <v>154</v>
      </c>
      <c r="W745" t="s">
        <v>119</v>
      </c>
      <c r="X745" t="s">
        <v>112</v>
      </c>
      <c r="Y745" t="s">
        <v>112</v>
      </c>
      <c r="Z745" t="s">
        <v>152</v>
      </c>
      <c r="AA745" t="s">
        <v>153</v>
      </c>
      <c r="AB745" t="s">
        <v>154</v>
      </c>
      <c r="AC745" t="s">
        <v>119</v>
      </c>
      <c r="AD745" t="s">
        <v>112</v>
      </c>
      <c r="AE745" t="s">
        <v>121</v>
      </c>
      <c r="AF745" t="s">
        <v>122</v>
      </c>
      <c r="AG745">
        <v>4956380.9800000004</v>
      </c>
      <c r="AH745" t="s">
        <v>112</v>
      </c>
      <c r="AI745" t="s">
        <v>152</v>
      </c>
      <c r="AJ745" t="s">
        <v>153</v>
      </c>
      <c r="AK745" t="s">
        <v>154</v>
      </c>
      <c r="AL745" t="s">
        <v>119</v>
      </c>
      <c r="AM745" t="s">
        <v>112</v>
      </c>
      <c r="AN745" t="s">
        <v>121</v>
      </c>
      <c r="AO745" t="s">
        <v>122</v>
      </c>
      <c r="AP745" t="s">
        <v>122</v>
      </c>
      <c r="AQ745" t="s">
        <v>124</v>
      </c>
      <c r="AR745" t="s">
        <v>125</v>
      </c>
      <c r="AS745">
        <v>2</v>
      </c>
      <c r="AT745" t="s">
        <v>126</v>
      </c>
      <c r="AU745" t="s">
        <v>155</v>
      </c>
      <c r="AV745" t="s">
        <v>156</v>
      </c>
      <c r="AX745" t="s">
        <v>129</v>
      </c>
      <c r="AY745">
        <v>42249.16</v>
      </c>
      <c r="BB745">
        <v>105.27760000000001</v>
      </c>
      <c r="BC745" t="s">
        <v>112</v>
      </c>
      <c r="BD745" t="s">
        <v>112</v>
      </c>
      <c r="BE745" t="s">
        <v>157</v>
      </c>
      <c r="BF745" t="s">
        <v>133</v>
      </c>
      <c r="BG745" t="s">
        <v>134</v>
      </c>
      <c r="BH745" t="s">
        <v>112</v>
      </c>
      <c r="BI745" t="s">
        <v>112</v>
      </c>
      <c r="BJ745" t="s">
        <v>112</v>
      </c>
      <c r="BK745" t="s">
        <v>169</v>
      </c>
      <c r="BL745" t="s">
        <v>159</v>
      </c>
      <c r="BM745" t="s">
        <v>212</v>
      </c>
      <c r="BN745" t="s">
        <v>161</v>
      </c>
      <c r="BP745" t="s">
        <v>232</v>
      </c>
      <c r="BR745" t="s">
        <v>150</v>
      </c>
      <c r="BS745">
        <v>33</v>
      </c>
      <c r="BT745">
        <v>0</v>
      </c>
      <c r="BU745">
        <v>0</v>
      </c>
      <c r="BW745">
        <v>0</v>
      </c>
      <c r="BY745" t="s">
        <v>106</v>
      </c>
      <c r="BZ745" t="s">
        <v>142</v>
      </c>
      <c r="CA745" t="s">
        <v>112</v>
      </c>
      <c r="CB745" t="s">
        <v>112</v>
      </c>
      <c r="CC745" t="s">
        <v>121</v>
      </c>
      <c r="CD745">
        <v>15781.18</v>
      </c>
      <c r="CE745" t="s">
        <v>144</v>
      </c>
      <c r="CF745">
        <v>4000000</v>
      </c>
      <c r="CG745">
        <v>15550.78</v>
      </c>
      <c r="CH745">
        <v>0</v>
      </c>
      <c r="CI745" t="s">
        <v>112</v>
      </c>
      <c r="CJ745" t="s">
        <v>112</v>
      </c>
      <c r="CK745">
        <v>42249.16</v>
      </c>
      <c r="CM745">
        <v>0</v>
      </c>
      <c r="CN745">
        <v>1</v>
      </c>
      <c r="CO745">
        <v>4956380.9800000004</v>
      </c>
      <c r="CP745">
        <v>50474.32</v>
      </c>
      <c r="CQ745" t="s">
        <v>145</v>
      </c>
      <c r="CR745">
        <v>50540.035000000003</v>
      </c>
      <c r="CS745">
        <v>3.25</v>
      </c>
      <c r="CT745">
        <v>45</v>
      </c>
      <c r="CV745" t="s">
        <v>206</v>
      </c>
      <c r="CW745">
        <v>272</v>
      </c>
    </row>
    <row r="746" spans="1:101" x14ac:dyDescent="0.2">
      <c r="A746" t="s">
        <v>106</v>
      </c>
      <c r="B746" s="46">
        <v>45063</v>
      </c>
      <c r="C746" t="s">
        <v>1902</v>
      </c>
      <c r="D746" t="s">
        <v>108</v>
      </c>
      <c r="E746" t="s">
        <v>1903</v>
      </c>
      <c r="F746" t="s">
        <v>110</v>
      </c>
      <c r="G746" t="s">
        <v>111</v>
      </c>
      <c r="H746" t="s">
        <v>112</v>
      </c>
      <c r="I746" t="s">
        <v>112</v>
      </c>
      <c r="J746" t="s">
        <v>112</v>
      </c>
      <c r="K746" t="s">
        <v>150</v>
      </c>
      <c r="L746" t="s">
        <v>151</v>
      </c>
      <c r="M746" t="s">
        <v>112</v>
      </c>
      <c r="N746" t="s">
        <v>112</v>
      </c>
      <c r="O746">
        <v>1</v>
      </c>
      <c r="Q746">
        <v>1</v>
      </c>
      <c r="R746">
        <v>38</v>
      </c>
      <c r="S746" t="s">
        <v>112</v>
      </c>
      <c r="T746" t="s">
        <v>152</v>
      </c>
      <c r="U746" t="s">
        <v>153</v>
      </c>
      <c r="V746" t="s">
        <v>154</v>
      </c>
      <c r="W746" t="s">
        <v>119</v>
      </c>
      <c r="X746" t="s">
        <v>112</v>
      </c>
      <c r="Y746" t="s">
        <v>112</v>
      </c>
      <c r="Z746" t="s">
        <v>152</v>
      </c>
      <c r="AA746" t="s">
        <v>153</v>
      </c>
      <c r="AB746" t="s">
        <v>154</v>
      </c>
      <c r="AC746" t="s">
        <v>119</v>
      </c>
      <c r="AD746" t="s">
        <v>112</v>
      </c>
      <c r="AE746" t="s">
        <v>121</v>
      </c>
      <c r="AF746" t="s">
        <v>122</v>
      </c>
      <c r="AG746">
        <v>5134168.5199999996</v>
      </c>
      <c r="AH746" t="s">
        <v>112</v>
      </c>
      <c r="AI746" t="s">
        <v>152</v>
      </c>
      <c r="AJ746" t="s">
        <v>153</v>
      </c>
      <c r="AK746" t="s">
        <v>154</v>
      </c>
      <c r="AL746" t="s">
        <v>119</v>
      </c>
      <c r="AM746" t="s">
        <v>112</v>
      </c>
      <c r="AN746" t="s">
        <v>121</v>
      </c>
      <c r="AO746" t="s">
        <v>122</v>
      </c>
      <c r="AP746" t="s">
        <v>122</v>
      </c>
      <c r="AQ746" t="s">
        <v>124</v>
      </c>
      <c r="AR746" t="s">
        <v>125</v>
      </c>
      <c r="AS746">
        <v>2</v>
      </c>
      <c r="AT746" t="s">
        <v>126</v>
      </c>
      <c r="AU746" t="s">
        <v>155</v>
      </c>
      <c r="AV746" t="s">
        <v>156</v>
      </c>
      <c r="AX746" t="s">
        <v>129</v>
      </c>
      <c r="AY746">
        <v>44637.91</v>
      </c>
      <c r="BB746">
        <v>105.27760000000001</v>
      </c>
      <c r="BC746" t="s">
        <v>112</v>
      </c>
      <c r="BD746" t="s">
        <v>112</v>
      </c>
      <c r="BE746" t="s">
        <v>157</v>
      </c>
      <c r="BF746" t="s">
        <v>133</v>
      </c>
      <c r="BG746" t="s">
        <v>134</v>
      </c>
      <c r="BH746" t="s">
        <v>112</v>
      </c>
      <c r="BI746" t="s">
        <v>112</v>
      </c>
      <c r="BJ746" t="s">
        <v>112</v>
      </c>
      <c r="BK746" t="s">
        <v>169</v>
      </c>
      <c r="BL746" t="s">
        <v>159</v>
      </c>
      <c r="BM746" t="s">
        <v>212</v>
      </c>
      <c r="BN746" t="s">
        <v>161</v>
      </c>
      <c r="BP746" t="s">
        <v>213</v>
      </c>
      <c r="BR746" t="s">
        <v>150</v>
      </c>
      <c r="BS746">
        <v>38</v>
      </c>
      <c r="BT746">
        <v>0</v>
      </c>
      <c r="BU746">
        <v>0</v>
      </c>
      <c r="BW746">
        <v>0</v>
      </c>
      <c r="BY746" t="s">
        <v>106</v>
      </c>
      <c r="BZ746" t="s">
        <v>142</v>
      </c>
      <c r="CA746" t="s">
        <v>112</v>
      </c>
      <c r="CB746" t="s">
        <v>112</v>
      </c>
      <c r="CC746" t="s">
        <v>121</v>
      </c>
      <c r="CD746">
        <v>18393.060000000001</v>
      </c>
      <c r="CE746" t="s">
        <v>144</v>
      </c>
      <c r="CF746">
        <v>4000000</v>
      </c>
      <c r="CG746">
        <v>18133.86</v>
      </c>
      <c r="CH746">
        <v>0</v>
      </c>
      <c r="CI746" t="s">
        <v>112</v>
      </c>
      <c r="CJ746" t="s">
        <v>112</v>
      </c>
      <c r="CK746">
        <v>44637.91</v>
      </c>
      <c r="CM746">
        <v>0</v>
      </c>
      <c r="CN746">
        <v>1</v>
      </c>
      <c r="CO746">
        <v>5134168.5199999996</v>
      </c>
      <c r="CP746">
        <v>52284.85</v>
      </c>
      <c r="CQ746" t="s">
        <v>145</v>
      </c>
      <c r="CR746">
        <v>52225.516799999998</v>
      </c>
      <c r="CS746">
        <v>2.88</v>
      </c>
      <c r="CT746">
        <v>45</v>
      </c>
      <c r="CV746" t="s">
        <v>1140</v>
      </c>
      <c r="CW746">
        <v>345</v>
      </c>
    </row>
    <row r="747" spans="1:101" x14ac:dyDescent="0.2">
      <c r="A747" t="s">
        <v>106</v>
      </c>
      <c r="B747" s="46">
        <v>45156</v>
      </c>
      <c r="C747" t="s">
        <v>1910</v>
      </c>
      <c r="D747" t="s">
        <v>108</v>
      </c>
      <c r="E747" t="s">
        <v>1911</v>
      </c>
      <c r="F747" t="s">
        <v>110</v>
      </c>
      <c r="G747" t="s">
        <v>111</v>
      </c>
      <c r="H747" t="s">
        <v>112</v>
      </c>
      <c r="I747" t="s">
        <v>112</v>
      </c>
      <c r="J747" t="s">
        <v>112</v>
      </c>
      <c r="K747" t="s">
        <v>150</v>
      </c>
      <c r="L747" t="s">
        <v>151</v>
      </c>
      <c r="M747" t="s">
        <v>112</v>
      </c>
      <c r="N747" t="s">
        <v>112</v>
      </c>
      <c r="O747">
        <v>1</v>
      </c>
      <c r="Q747">
        <v>1</v>
      </c>
      <c r="R747">
        <v>33</v>
      </c>
      <c r="S747" t="s">
        <v>112</v>
      </c>
      <c r="T747" t="s">
        <v>152</v>
      </c>
      <c r="U747" t="s">
        <v>153</v>
      </c>
      <c r="V747" t="s">
        <v>154</v>
      </c>
      <c r="W747" t="s">
        <v>119</v>
      </c>
      <c r="X747" t="s">
        <v>112</v>
      </c>
      <c r="Y747" t="s">
        <v>112</v>
      </c>
      <c r="Z747" t="s">
        <v>152</v>
      </c>
      <c r="AA747" t="s">
        <v>153</v>
      </c>
      <c r="AB747" t="s">
        <v>154</v>
      </c>
      <c r="AC747" t="s">
        <v>119</v>
      </c>
      <c r="AD747" t="s">
        <v>112</v>
      </c>
      <c r="AE747" t="s">
        <v>121</v>
      </c>
      <c r="AF747" t="s">
        <v>122</v>
      </c>
      <c r="AG747">
        <v>4720723.3899999997</v>
      </c>
      <c r="AH747" t="s">
        <v>112</v>
      </c>
      <c r="AI747" t="s">
        <v>152</v>
      </c>
      <c r="AJ747" t="s">
        <v>153</v>
      </c>
      <c r="AK747" t="s">
        <v>154</v>
      </c>
      <c r="AL747" t="s">
        <v>119</v>
      </c>
      <c r="AM747" t="s">
        <v>112</v>
      </c>
      <c r="AN747" t="s">
        <v>121</v>
      </c>
      <c r="AO747" t="s">
        <v>122</v>
      </c>
      <c r="AP747" t="s">
        <v>122</v>
      </c>
      <c r="AQ747" t="s">
        <v>124</v>
      </c>
      <c r="AR747" t="s">
        <v>125</v>
      </c>
      <c r="AS747">
        <v>2</v>
      </c>
      <c r="AT747" t="s">
        <v>126</v>
      </c>
      <c r="AU747" t="s">
        <v>155</v>
      </c>
      <c r="AV747" t="s">
        <v>156</v>
      </c>
      <c r="AX747" t="s">
        <v>129</v>
      </c>
      <c r="AY747">
        <v>40710.720000000001</v>
      </c>
      <c r="BB747">
        <v>105.27760000000001</v>
      </c>
      <c r="BC747" t="s">
        <v>112</v>
      </c>
      <c r="BD747" t="s">
        <v>112</v>
      </c>
      <c r="BE747" t="s">
        <v>157</v>
      </c>
      <c r="BF747" t="s">
        <v>133</v>
      </c>
      <c r="BG747" t="s">
        <v>134</v>
      </c>
      <c r="BH747" t="s">
        <v>112</v>
      </c>
      <c r="BI747" t="s">
        <v>112</v>
      </c>
      <c r="BJ747" t="s">
        <v>112</v>
      </c>
      <c r="BK747" t="s">
        <v>169</v>
      </c>
      <c r="BL747" t="s">
        <v>159</v>
      </c>
      <c r="BM747" t="s">
        <v>212</v>
      </c>
      <c r="BN747" t="s">
        <v>161</v>
      </c>
      <c r="BP747" t="s">
        <v>232</v>
      </c>
      <c r="BR747" t="s">
        <v>150</v>
      </c>
      <c r="BS747">
        <v>33</v>
      </c>
      <c r="BT747">
        <v>0</v>
      </c>
      <c r="BU747">
        <v>0</v>
      </c>
      <c r="BW747">
        <v>0</v>
      </c>
      <c r="BY747" t="s">
        <v>106</v>
      </c>
      <c r="BZ747" t="s">
        <v>142</v>
      </c>
      <c r="CA747" t="s">
        <v>112</v>
      </c>
      <c r="CB747" t="s">
        <v>112</v>
      </c>
      <c r="CC747" t="s">
        <v>121</v>
      </c>
      <c r="CD747">
        <v>16580.02</v>
      </c>
      <c r="CE747" t="s">
        <v>144</v>
      </c>
      <c r="CF747">
        <v>4000000</v>
      </c>
      <c r="CG747">
        <v>16562.02</v>
      </c>
      <c r="CH747">
        <v>0</v>
      </c>
      <c r="CI747" t="s">
        <v>112</v>
      </c>
      <c r="CJ747" t="s">
        <v>112</v>
      </c>
      <c r="CK747">
        <v>40710.720000000001</v>
      </c>
      <c r="CM747">
        <v>0</v>
      </c>
      <c r="CN747">
        <v>1</v>
      </c>
      <c r="CO747">
        <v>4720723.3899999997</v>
      </c>
      <c r="CP747">
        <v>48074.45</v>
      </c>
      <c r="CQ747" t="s">
        <v>145</v>
      </c>
      <c r="CR747">
        <v>48029.858</v>
      </c>
      <c r="CS747">
        <v>2.9</v>
      </c>
      <c r="CT747">
        <v>45</v>
      </c>
      <c r="CV747" t="s">
        <v>233</v>
      </c>
      <c r="CW747">
        <v>580</v>
      </c>
    </row>
    <row r="748" spans="1:101" x14ac:dyDescent="0.2">
      <c r="A748" t="s">
        <v>106</v>
      </c>
      <c r="B748" s="46">
        <v>45129</v>
      </c>
      <c r="C748" t="s">
        <v>1904</v>
      </c>
      <c r="D748" t="s">
        <v>108</v>
      </c>
      <c r="E748" t="s">
        <v>1905</v>
      </c>
      <c r="F748" t="s">
        <v>110</v>
      </c>
      <c r="G748" t="s">
        <v>111</v>
      </c>
      <c r="H748" t="s">
        <v>112</v>
      </c>
      <c r="I748" t="s">
        <v>112</v>
      </c>
      <c r="J748" t="s">
        <v>112</v>
      </c>
      <c r="K748" t="s">
        <v>150</v>
      </c>
      <c r="L748" t="s">
        <v>151</v>
      </c>
      <c r="M748" t="s">
        <v>112</v>
      </c>
      <c r="N748" t="s">
        <v>112</v>
      </c>
      <c r="O748">
        <v>1</v>
      </c>
      <c r="Q748">
        <v>1</v>
      </c>
      <c r="R748">
        <v>33</v>
      </c>
      <c r="S748" t="s">
        <v>112</v>
      </c>
      <c r="T748" t="s">
        <v>152</v>
      </c>
      <c r="U748" t="s">
        <v>153</v>
      </c>
      <c r="V748" t="s">
        <v>154</v>
      </c>
      <c r="W748" t="s">
        <v>119</v>
      </c>
      <c r="X748" t="s">
        <v>112</v>
      </c>
      <c r="Y748" t="s">
        <v>112</v>
      </c>
      <c r="Z748" t="s">
        <v>152</v>
      </c>
      <c r="AA748" t="s">
        <v>153</v>
      </c>
      <c r="AB748" t="s">
        <v>154</v>
      </c>
      <c r="AC748" t="s">
        <v>119</v>
      </c>
      <c r="AD748" t="s">
        <v>112</v>
      </c>
      <c r="AE748" t="s">
        <v>121</v>
      </c>
      <c r="AF748" t="s">
        <v>122</v>
      </c>
      <c r="AG748">
        <v>4968450</v>
      </c>
      <c r="AH748" t="s">
        <v>112</v>
      </c>
      <c r="AI748" t="s">
        <v>152</v>
      </c>
      <c r="AJ748" t="s">
        <v>153</v>
      </c>
      <c r="AK748" t="s">
        <v>154</v>
      </c>
      <c r="AL748" t="s">
        <v>119</v>
      </c>
      <c r="AM748" t="s">
        <v>112</v>
      </c>
      <c r="AN748" t="s">
        <v>121</v>
      </c>
      <c r="AO748" t="s">
        <v>122</v>
      </c>
      <c r="AP748" t="s">
        <v>122</v>
      </c>
      <c r="AQ748" t="s">
        <v>124</v>
      </c>
      <c r="AR748" t="s">
        <v>125</v>
      </c>
      <c r="AS748">
        <v>2</v>
      </c>
      <c r="AT748" t="s">
        <v>126</v>
      </c>
      <c r="AU748" t="s">
        <v>155</v>
      </c>
      <c r="AV748" t="s">
        <v>156</v>
      </c>
      <c r="AX748" t="s">
        <v>129</v>
      </c>
      <c r="AY748">
        <v>43063.8</v>
      </c>
      <c r="BB748">
        <v>105.27760000000001</v>
      </c>
      <c r="BC748" t="s">
        <v>112</v>
      </c>
      <c r="BD748" t="s">
        <v>112</v>
      </c>
      <c r="BE748" t="s">
        <v>157</v>
      </c>
      <c r="BF748" t="s">
        <v>133</v>
      </c>
      <c r="BG748" t="s">
        <v>134</v>
      </c>
      <c r="BH748" t="s">
        <v>112</v>
      </c>
      <c r="BI748" t="s">
        <v>112</v>
      </c>
      <c r="BJ748" t="s">
        <v>112</v>
      </c>
      <c r="BK748" t="s">
        <v>169</v>
      </c>
      <c r="BL748" t="s">
        <v>159</v>
      </c>
      <c r="BM748" t="s">
        <v>212</v>
      </c>
      <c r="BN748" t="s">
        <v>161</v>
      </c>
      <c r="BP748" t="s">
        <v>205</v>
      </c>
      <c r="BR748" t="s">
        <v>150</v>
      </c>
      <c r="BS748">
        <v>33</v>
      </c>
      <c r="BT748">
        <v>0</v>
      </c>
      <c r="BU748">
        <v>0</v>
      </c>
      <c r="BW748">
        <v>0</v>
      </c>
      <c r="BY748" t="s">
        <v>106</v>
      </c>
      <c r="BZ748" t="s">
        <v>142</v>
      </c>
      <c r="CA748" t="s">
        <v>112</v>
      </c>
      <c r="CB748" t="s">
        <v>112</v>
      </c>
      <c r="CC748" t="s">
        <v>121</v>
      </c>
      <c r="CD748">
        <v>14920.5</v>
      </c>
      <c r="CE748" t="s">
        <v>144</v>
      </c>
      <c r="CF748">
        <v>4000000</v>
      </c>
      <c r="CG748">
        <v>14643.3</v>
      </c>
      <c r="CH748">
        <v>0</v>
      </c>
      <c r="CI748" t="s">
        <v>112</v>
      </c>
      <c r="CJ748" t="s">
        <v>112</v>
      </c>
      <c r="CK748">
        <v>43063.8</v>
      </c>
      <c r="CM748">
        <v>0</v>
      </c>
      <c r="CN748">
        <v>1</v>
      </c>
      <c r="CO748">
        <v>4968450</v>
      </c>
      <c r="CP748">
        <v>50597.22</v>
      </c>
      <c r="CQ748" t="s">
        <v>145</v>
      </c>
      <c r="CR748">
        <v>50665.817999999999</v>
      </c>
      <c r="CS748">
        <v>3.46</v>
      </c>
      <c r="CT748">
        <v>45</v>
      </c>
      <c r="CV748" t="s">
        <v>233</v>
      </c>
      <c r="CW748">
        <v>182</v>
      </c>
    </row>
    <row r="749" spans="1:101" x14ac:dyDescent="0.2">
      <c r="A749" t="s">
        <v>106</v>
      </c>
      <c r="B749" s="46">
        <v>45069</v>
      </c>
      <c r="C749" t="s">
        <v>1896</v>
      </c>
      <c r="D749" t="s">
        <v>108</v>
      </c>
      <c r="E749" t="s">
        <v>1897</v>
      </c>
      <c r="F749" t="s">
        <v>110</v>
      </c>
      <c r="G749" t="s">
        <v>111</v>
      </c>
      <c r="H749" t="s">
        <v>112</v>
      </c>
      <c r="I749" t="s">
        <v>112</v>
      </c>
      <c r="J749" t="s">
        <v>112</v>
      </c>
      <c r="K749" t="s">
        <v>150</v>
      </c>
      <c r="L749" t="s">
        <v>151</v>
      </c>
      <c r="M749" t="s">
        <v>112</v>
      </c>
      <c r="N749" t="s">
        <v>112</v>
      </c>
      <c r="O749">
        <v>1</v>
      </c>
      <c r="Q749">
        <v>1</v>
      </c>
      <c r="R749">
        <v>33</v>
      </c>
      <c r="S749" t="s">
        <v>112</v>
      </c>
      <c r="T749" t="s">
        <v>152</v>
      </c>
      <c r="U749" t="s">
        <v>153</v>
      </c>
      <c r="V749" t="s">
        <v>154</v>
      </c>
      <c r="W749" t="s">
        <v>119</v>
      </c>
      <c r="X749" t="s">
        <v>112</v>
      </c>
      <c r="Y749" t="s">
        <v>112</v>
      </c>
      <c r="Z749" t="s">
        <v>152</v>
      </c>
      <c r="AA749" t="s">
        <v>153</v>
      </c>
      <c r="AB749" t="s">
        <v>154</v>
      </c>
      <c r="AC749" t="s">
        <v>119</v>
      </c>
      <c r="AD749" t="s">
        <v>112</v>
      </c>
      <c r="AE749" t="s">
        <v>121</v>
      </c>
      <c r="AF749" t="s">
        <v>122</v>
      </c>
      <c r="AG749">
        <v>4700286.9000000004</v>
      </c>
      <c r="AH749" t="s">
        <v>112</v>
      </c>
      <c r="AI749" t="s">
        <v>152</v>
      </c>
      <c r="AJ749" t="s">
        <v>153</v>
      </c>
      <c r="AK749" t="s">
        <v>154</v>
      </c>
      <c r="AL749" t="s">
        <v>119</v>
      </c>
      <c r="AM749" t="s">
        <v>112</v>
      </c>
      <c r="AN749" t="s">
        <v>121</v>
      </c>
      <c r="AO749" t="s">
        <v>122</v>
      </c>
      <c r="AP749" t="s">
        <v>122</v>
      </c>
      <c r="AQ749" t="s">
        <v>124</v>
      </c>
      <c r="AR749" t="s">
        <v>125</v>
      </c>
      <c r="AS749">
        <v>2</v>
      </c>
      <c r="AT749" t="s">
        <v>126</v>
      </c>
      <c r="AU749" t="s">
        <v>155</v>
      </c>
      <c r="AV749" t="s">
        <v>156</v>
      </c>
      <c r="AX749" t="s">
        <v>129</v>
      </c>
      <c r="AY749">
        <v>39996.6</v>
      </c>
      <c r="BB749">
        <v>105.27760000000001</v>
      </c>
      <c r="BC749" t="s">
        <v>112</v>
      </c>
      <c r="BD749" t="s">
        <v>112</v>
      </c>
      <c r="BE749" t="s">
        <v>157</v>
      </c>
      <c r="BF749" t="s">
        <v>133</v>
      </c>
      <c r="BG749" t="s">
        <v>134</v>
      </c>
      <c r="BH749" t="s">
        <v>112</v>
      </c>
      <c r="BI749" t="s">
        <v>112</v>
      </c>
      <c r="BJ749" t="s">
        <v>112</v>
      </c>
      <c r="BK749" t="s">
        <v>169</v>
      </c>
      <c r="BL749" t="s">
        <v>159</v>
      </c>
      <c r="BM749" t="s">
        <v>212</v>
      </c>
      <c r="BN749" t="s">
        <v>161</v>
      </c>
      <c r="BP749" t="s">
        <v>232</v>
      </c>
      <c r="BR749" t="s">
        <v>150</v>
      </c>
      <c r="BS749">
        <v>33</v>
      </c>
      <c r="BT749">
        <v>0</v>
      </c>
      <c r="BU749">
        <v>0</v>
      </c>
      <c r="BW749">
        <v>0</v>
      </c>
      <c r="BY749" t="s">
        <v>106</v>
      </c>
      <c r="BZ749" t="s">
        <v>142</v>
      </c>
      <c r="CA749" t="s">
        <v>112</v>
      </c>
      <c r="CB749" t="s">
        <v>112</v>
      </c>
      <c r="CC749" t="s">
        <v>121</v>
      </c>
      <c r="CD749">
        <v>15169.62</v>
      </c>
      <c r="CE749" t="s">
        <v>144</v>
      </c>
      <c r="CF749">
        <v>4000000</v>
      </c>
      <c r="CG749">
        <v>14845.62</v>
      </c>
      <c r="CH749">
        <v>0</v>
      </c>
      <c r="CI749" t="s">
        <v>112</v>
      </c>
      <c r="CJ749" t="s">
        <v>112</v>
      </c>
      <c r="CK749">
        <v>39996.6</v>
      </c>
      <c r="CM749">
        <v>0</v>
      </c>
      <c r="CN749">
        <v>1</v>
      </c>
      <c r="CO749">
        <v>4700286.9000000004</v>
      </c>
      <c r="CP749">
        <v>47866.33</v>
      </c>
      <c r="CQ749" t="s">
        <v>145</v>
      </c>
      <c r="CR749">
        <v>47802.896400000005</v>
      </c>
      <c r="CS749">
        <v>3.22</v>
      </c>
      <c r="CT749">
        <v>45</v>
      </c>
      <c r="CV749" t="s">
        <v>1140</v>
      </c>
      <c r="CW749">
        <v>564</v>
      </c>
    </row>
    <row r="750" spans="1:101" x14ac:dyDescent="0.2">
      <c r="A750" t="s">
        <v>106</v>
      </c>
      <c r="B750" s="46">
        <v>45082</v>
      </c>
      <c r="C750" t="s">
        <v>1898</v>
      </c>
      <c r="D750" t="s">
        <v>108</v>
      </c>
      <c r="E750" t="s">
        <v>1899</v>
      </c>
      <c r="F750" t="s">
        <v>110</v>
      </c>
      <c r="G750" t="s">
        <v>111</v>
      </c>
      <c r="H750" t="s">
        <v>112</v>
      </c>
      <c r="I750" t="s">
        <v>112</v>
      </c>
      <c r="J750" t="s">
        <v>112</v>
      </c>
      <c r="K750" t="s">
        <v>175</v>
      </c>
      <c r="L750" t="s">
        <v>448</v>
      </c>
      <c r="M750" t="s">
        <v>112</v>
      </c>
      <c r="N750" t="s">
        <v>112</v>
      </c>
      <c r="O750">
        <v>1</v>
      </c>
      <c r="Q750">
        <v>1</v>
      </c>
      <c r="R750">
        <v>33</v>
      </c>
      <c r="S750" t="s">
        <v>112</v>
      </c>
      <c r="T750" t="s">
        <v>152</v>
      </c>
      <c r="U750" t="s">
        <v>153</v>
      </c>
      <c r="V750" t="s">
        <v>154</v>
      </c>
      <c r="W750" t="s">
        <v>119</v>
      </c>
      <c r="X750" t="s">
        <v>112</v>
      </c>
      <c r="Y750" t="s">
        <v>112</v>
      </c>
      <c r="Z750" t="s">
        <v>152</v>
      </c>
      <c r="AA750" t="s">
        <v>153</v>
      </c>
      <c r="AB750" t="s">
        <v>154</v>
      </c>
      <c r="AC750" t="s">
        <v>119</v>
      </c>
      <c r="AD750" t="s">
        <v>112</v>
      </c>
      <c r="AE750" t="s">
        <v>121</v>
      </c>
      <c r="AF750" t="s">
        <v>122</v>
      </c>
      <c r="AG750">
        <v>4596795.8600000003</v>
      </c>
      <c r="AH750" t="s">
        <v>112</v>
      </c>
      <c r="AI750" t="s">
        <v>152</v>
      </c>
      <c r="AJ750" t="s">
        <v>153</v>
      </c>
      <c r="AK750" t="s">
        <v>154</v>
      </c>
      <c r="AL750" t="s">
        <v>119</v>
      </c>
      <c r="AM750" t="s">
        <v>112</v>
      </c>
      <c r="AN750" t="s">
        <v>121</v>
      </c>
      <c r="AO750" t="s">
        <v>122</v>
      </c>
      <c r="AP750" t="s">
        <v>122</v>
      </c>
      <c r="AQ750" t="s">
        <v>124</v>
      </c>
      <c r="AR750" t="s">
        <v>125</v>
      </c>
      <c r="AS750">
        <v>2</v>
      </c>
      <c r="AT750" t="s">
        <v>126</v>
      </c>
      <c r="AU750" t="s">
        <v>155</v>
      </c>
      <c r="AV750" t="s">
        <v>156</v>
      </c>
      <c r="AX750" t="s">
        <v>129</v>
      </c>
      <c r="AY750">
        <v>39533.57</v>
      </c>
      <c r="BB750">
        <v>105.27760000000001</v>
      </c>
      <c r="BC750" t="s">
        <v>112</v>
      </c>
      <c r="BD750" t="s">
        <v>112</v>
      </c>
      <c r="BE750" t="s">
        <v>157</v>
      </c>
      <c r="BF750" t="s">
        <v>133</v>
      </c>
      <c r="BG750" t="s">
        <v>134</v>
      </c>
      <c r="BH750" t="s">
        <v>112</v>
      </c>
      <c r="BI750" t="s">
        <v>112</v>
      </c>
      <c r="BJ750" t="s">
        <v>112</v>
      </c>
      <c r="BK750" t="s">
        <v>169</v>
      </c>
      <c r="BL750" t="s">
        <v>159</v>
      </c>
      <c r="BM750" t="s">
        <v>212</v>
      </c>
      <c r="BN750" t="s">
        <v>161</v>
      </c>
      <c r="BP750" t="s">
        <v>205</v>
      </c>
      <c r="BR750" t="s">
        <v>150</v>
      </c>
      <c r="BS750">
        <v>33</v>
      </c>
      <c r="BT750">
        <v>0</v>
      </c>
      <c r="BU750">
        <v>0</v>
      </c>
      <c r="BW750">
        <v>0</v>
      </c>
      <c r="BY750" t="s">
        <v>106</v>
      </c>
      <c r="BZ750" t="s">
        <v>142</v>
      </c>
      <c r="CA750" t="s">
        <v>112</v>
      </c>
      <c r="CB750" t="s">
        <v>112</v>
      </c>
      <c r="CC750" t="s">
        <v>121</v>
      </c>
      <c r="CD750">
        <v>15408.86</v>
      </c>
      <c r="CE750" t="s">
        <v>144</v>
      </c>
      <c r="CF750">
        <v>4000000</v>
      </c>
      <c r="CG750">
        <v>15192.86</v>
      </c>
      <c r="CH750">
        <v>0</v>
      </c>
      <c r="CI750" t="s">
        <v>112</v>
      </c>
      <c r="CJ750" t="s">
        <v>112</v>
      </c>
      <c r="CK750">
        <v>39533.57</v>
      </c>
      <c r="CM750">
        <v>0</v>
      </c>
      <c r="CN750">
        <v>1</v>
      </c>
      <c r="CO750">
        <v>4596795.8600000003</v>
      </c>
      <c r="CP750">
        <v>46812.41</v>
      </c>
      <c r="CQ750" t="s">
        <v>145</v>
      </c>
      <c r="CR750">
        <v>46794.008800000003</v>
      </c>
      <c r="CS750">
        <v>3.08</v>
      </c>
      <c r="CT750">
        <v>45</v>
      </c>
      <c r="CV750" t="s">
        <v>206</v>
      </c>
      <c r="CW750">
        <v>174</v>
      </c>
    </row>
    <row r="751" spans="1:101" x14ac:dyDescent="0.2">
      <c r="A751" t="s">
        <v>106</v>
      </c>
      <c r="B751" s="46">
        <v>45177</v>
      </c>
      <c r="C751" t="s">
        <v>1906</v>
      </c>
      <c r="D751" t="s">
        <v>108</v>
      </c>
      <c r="E751" t="s">
        <v>1907</v>
      </c>
      <c r="F751" t="s">
        <v>110</v>
      </c>
      <c r="G751" t="s">
        <v>111</v>
      </c>
      <c r="H751" t="s">
        <v>112</v>
      </c>
      <c r="I751" t="s">
        <v>112</v>
      </c>
      <c r="J751" t="s">
        <v>112</v>
      </c>
      <c r="K751" t="s">
        <v>150</v>
      </c>
      <c r="L751" t="s">
        <v>151</v>
      </c>
      <c r="M751" t="s">
        <v>112</v>
      </c>
      <c r="N751" t="s">
        <v>112</v>
      </c>
      <c r="O751">
        <v>1</v>
      </c>
      <c r="Q751">
        <v>1</v>
      </c>
      <c r="R751">
        <v>33</v>
      </c>
      <c r="S751" t="s">
        <v>112</v>
      </c>
      <c r="T751" t="s">
        <v>152</v>
      </c>
      <c r="U751" t="s">
        <v>153</v>
      </c>
      <c r="V751" t="s">
        <v>154</v>
      </c>
      <c r="W751" t="s">
        <v>119</v>
      </c>
      <c r="X751" t="s">
        <v>112</v>
      </c>
      <c r="Y751" t="s">
        <v>112</v>
      </c>
      <c r="Z751" t="s">
        <v>152</v>
      </c>
      <c r="AA751" t="s">
        <v>153</v>
      </c>
      <c r="AB751" t="s">
        <v>154</v>
      </c>
      <c r="AC751" t="s">
        <v>119</v>
      </c>
      <c r="AD751" t="s">
        <v>112</v>
      </c>
      <c r="AE751" t="s">
        <v>121</v>
      </c>
      <c r="AF751" t="s">
        <v>122</v>
      </c>
      <c r="AG751">
        <v>4503482.01</v>
      </c>
      <c r="AH751" t="s">
        <v>112</v>
      </c>
      <c r="AI751" t="s">
        <v>152</v>
      </c>
      <c r="AJ751" t="s">
        <v>153</v>
      </c>
      <c r="AK751" t="s">
        <v>154</v>
      </c>
      <c r="AL751" t="s">
        <v>119</v>
      </c>
      <c r="AM751" t="s">
        <v>112</v>
      </c>
      <c r="AN751" t="s">
        <v>121</v>
      </c>
      <c r="AO751" t="s">
        <v>122</v>
      </c>
      <c r="AP751" t="s">
        <v>122</v>
      </c>
      <c r="AQ751" t="s">
        <v>124</v>
      </c>
      <c r="AR751" t="s">
        <v>125</v>
      </c>
      <c r="AS751">
        <v>2</v>
      </c>
      <c r="AT751" t="s">
        <v>126</v>
      </c>
      <c r="AU751" t="s">
        <v>155</v>
      </c>
      <c r="AV751" t="s">
        <v>156</v>
      </c>
      <c r="AX751" t="s">
        <v>129</v>
      </c>
      <c r="AY751">
        <v>38647.21</v>
      </c>
      <c r="BB751">
        <v>105.27760000000001</v>
      </c>
      <c r="BC751" t="s">
        <v>112</v>
      </c>
      <c r="BD751" t="s">
        <v>112</v>
      </c>
      <c r="BE751" t="s">
        <v>157</v>
      </c>
      <c r="BF751" t="s">
        <v>133</v>
      </c>
      <c r="BG751" t="s">
        <v>134</v>
      </c>
      <c r="BH751" t="s">
        <v>112</v>
      </c>
      <c r="BI751" t="s">
        <v>112</v>
      </c>
      <c r="BJ751" t="s">
        <v>112</v>
      </c>
      <c r="BK751" t="s">
        <v>169</v>
      </c>
      <c r="BL751" t="s">
        <v>159</v>
      </c>
      <c r="BM751" t="s">
        <v>212</v>
      </c>
      <c r="BN751" t="s">
        <v>161</v>
      </c>
      <c r="BP751" t="s">
        <v>213</v>
      </c>
      <c r="BR751" t="s">
        <v>150</v>
      </c>
      <c r="BS751">
        <v>33</v>
      </c>
      <c r="BT751">
        <v>0</v>
      </c>
      <c r="BU751">
        <v>0</v>
      </c>
      <c r="BW751">
        <v>0</v>
      </c>
      <c r="BY751" t="s">
        <v>106</v>
      </c>
      <c r="BZ751" t="s">
        <v>142</v>
      </c>
      <c r="CA751" t="s">
        <v>112</v>
      </c>
      <c r="CB751" t="s">
        <v>112</v>
      </c>
      <c r="CC751" t="s">
        <v>121</v>
      </c>
      <c r="CD751">
        <v>16328.64</v>
      </c>
      <c r="CE751" t="s">
        <v>144</v>
      </c>
      <c r="CF751">
        <v>4000000</v>
      </c>
      <c r="CG751">
        <v>16203.24</v>
      </c>
      <c r="CH751">
        <v>0</v>
      </c>
      <c r="CI751" t="s">
        <v>112</v>
      </c>
      <c r="CJ751" t="s">
        <v>112</v>
      </c>
      <c r="CK751">
        <v>38647.21</v>
      </c>
      <c r="CM751">
        <v>0</v>
      </c>
      <c r="CN751">
        <v>1</v>
      </c>
      <c r="CO751">
        <v>4503482.01</v>
      </c>
      <c r="CP751">
        <v>45862.13</v>
      </c>
      <c r="CQ751" t="s">
        <v>145</v>
      </c>
      <c r="CR751">
        <v>45855.169200000004</v>
      </c>
      <c r="CS751">
        <v>2.83</v>
      </c>
      <c r="CT751">
        <v>45</v>
      </c>
      <c r="CV751" t="s">
        <v>1140</v>
      </c>
      <c r="CW751">
        <v>189</v>
      </c>
    </row>
    <row r="752" spans="1:101" x14ac:dyDescent="0.2">
      <c r="A752" t="s">
        <v>106</v>
      </c>
      <c r="B752" s="46">
        <v>45257</v>
      </c>
      <c r="C752" t="s">
        <v>1908</v>
      </c>
      <c r="D752" t="s">
        <v>108</v>
      </c>
      <c r="E752" t="s">
        <v>1909</v>
      </c>
      <c r="F752" t="s">
        <v>110</v>
      </c>
      <c r="G752" t="s">
        <v>111</v>
      </c>
      <c r="H752" t="s">
        <v>112</v>
      </c>
      <c r="I752" t="s">
        <v>112</v>
      </c>
      <c r="J752" t="s">
        <v>112</v>
      </c>
      <c r="K752" t="s">
        <v>150</v>
      </c>
      <c r="L752" t="s">
        <v>151</v>
      </c>
      <c r="M752" t="s">
        <v>112</v>
      </c>
      <c r="N752" t="s">
        <v>112</v>
      </c>
      <c r="O752">
        <v>1</v>
      </c>
      <c r="Q752">
        <v>1</v>
      </c>
      <c r="R752">
        <v>33</v>
      </c>
      <c r="S752" t="s">
        <v>112</v>
      </c>
      <c r="T752" t="s">
        <v>152</v>
      </c>
      <c r="U752" t="s">
        <v>153</v>
      </c>
      <c r="V752" t="s">
        <v>154</v>
      </c>
      <c r="W752" t="s">
        <v>119</v>
      </c>
      <c r="X752" t="s">
        <v>112</v>
      </c>
      <c r="Y752" t="s">
        <v>112</v>
      </c>
      <c r="Z752" t="s">
        <v>152</v>
      </c>
      <c r="AA752" t="s">
        <v>153</v>
      </c>
      <c r="AB752" t="s">
        <v>154</v>
      </c>
      <c r="AC752" t="s">
        <v>119</v>
      </c>
      <c r="AD752" t="s">
        <v>112</v>
      </c>
      <c r="AE752" t="s">
        <v>121</v>
      </c>
      <c r="AF752" t="s">
        <v>122</v>
      </c>
      <c r="AG752">
        <v>4870428.13</v>
      </c>
      <c r="AH752" t="s">
        <v>112</v>
      </c>
      <c r="AI752" t="s">
        <v>152</v>
      </c>
      <c r="AJ752" t="s">
        <v>153</v>
      </c>
      <c r="AK752" t="s">
        <v>154</v>
      </c>
      <c r="AL752" t="s">
        <v>119</v>
      </c>
      <c r="AM752" t="s">
        <v>112</v>
      </c>
      <c r="AN752" t="s">
        <v>121</v>
      </c>
      <c r="AO752" t="s">
        <v>122</v>
      </c>
      <c r="AP752" t="s">
        <v>122</v>
      </c>
      <c r="AQ752" t="s">
        <v>124</v>
      </c>
      <c r="AR752" t="s">
        <v>125</v>
      </c>
      <c r="AS752">
        <v>2</v>
      </c>
      <c r="AT752" t="s">
        <v>126</v>
      </c>
      <c r="AU752" t="s">
        <v>155</v>
      </c>
      <c r="AV752" t="s">
        <v>156</v>
      </c>
      <c r="AX752" t="s">
        <v>129</v>
      </c>
      <c r="AY752">
        <v>42132.72</v>
      </c>
      <c r="BB752">
        <v>105.27760000000001</v>
      </c>
      <c r="BC752" t="s">
        <v>112</v>
      </c>
      <c r="BD752" t="s">
        <v>112</v>
      </c>
      <c r="BE752" t="s">
        <v>157</v>
      </c>
      <c r="BF752" t="s">
        <v>133</v>
      </c>
      <c r="BG752" t="s">
        <v>134</v>
      </c>
      <c r="BH752" t="s">
        <v>112</v>
      </c>
      <c r="BI752" t="s">
        <v>112</v>
      </c>
      <c r="BJ752" t="s">
        <v>112</v>
      </c>
      <c r="BK752" t="s">
        <v>169</v>
      </c>
      <c r="BL752" t="s">
        <v>159</v>
      </c>
      <c r="BM752" t="s">
        <v>212</v>
      </c>
      <c r="BN752" t="s">
        <v>161</v>
      </c>
      <c r="BP752" t="s">
        <v>205</v>
      </c>
      <c r="BR752" t="s">
        <v>150</v>
      </c>
      <c r="BS752">
        <v>33</v>
      </c>
      <c r="BT752">
        <v>0</v>
      </c>
      <c r="BU752">
        <v>0</v>
      </c>
      <c r="BW752">
        <v>0</v>
      </c>
      <c r="BY752" t="s">
        <v>106</v>
      </c>
      <c r="BZ752" t="s">
        <v>142</v>
      </c>
      <c r="CA752" t="s">
        <v>112</v>
      </c>
      <c r="CB752" t="s">
        <v>112</v>
      </c>
      <c r="CC752" t="s">
        <v>121</v>
      </c>
      <c r="CD752">
        <v>15765.7</v>
      </c>
      <c r="CE752" t="s">
        <v>144</v>
      </c>
      <c r="CF752">
        <v>4000000</v>
      </c>
      <c r="CG752">
        <v>15538.9</v>
      </c>
      <c r="CH752">
        <v>0</v>
      </c>
      <c r="CI752" t="s">
        <v>112</v>
      </c>
      <c r="CJ752" t="s">
        <v>112</v>
      </c>
      <c r="CK752">
        <v>42132.72</v>
      </c>
      <c r="CM752">
        <v>0</v>
      </c>
      <c r="CN752">
        <v>1</v>
      </c>
      <c r="CO752">
        <v>4870428.13</v>
      </c>
      <c r="CP752">
        <v>49599</v>
      </c>
      <c r="CQ752" t="s">
        <v>145</v>
      </c>
      <c r="CR752">
        <v>49569.091</v>
      </c>
      <c r="CS752">
        <v>3.19</v>
      </c>
      <c r="CT752">
        <v>45</v>
      </c>
      <c r="CV752" t="s">
        <v>206</v>
      </c>
      <c r="CW752">
        <v>89</v>
      </c>
    </row>
    <row r="753" spans="1:101" x14ac:dyDescent="0.2">
      <c r="A753" t="s">
        <v>106</v>
      </c>
      <c r="B753" s="46">
        <v>45248</v>
      </c>
      <c r="C753" t="s">
        <v>1680</v>
      </c>
      <c r="D753" t="s">
        <v>108</v>
      </c>
      <c r="E753" t="s">
        <v>1681</v>
      </c>
      <c r="F753" t="s">
        <v>110</v>
      </c>
      <c r="G753" t="s">
        <v>111</v>
      </c>
      <c r="H753" t="s">
        <v>112</v>
      </c>
      <c r="I753" t="s">
        <v>112</v>
      </c>
      <c r="J753" t="s">
        <v>112</v>
      </c>
      <c r="K753" t="s">
        <v>150</v>
      </c>
      <c r="L753" t="s">
        <v>151</v>
      </c>
      <c r="M753" t="s">
        <v>112</v>
      </c>
      <c r="N753" t="s">
        <v>112</v>
      </c>
      <c r="Q753">
        <v>1</v>
      </c>
      <c r="R753">
        <v>33</v>
      </c>
      <c r="S753" t="s">
        <v>166</v>
      </c>
      <c r="T753" t="s">
        <v>152</v>
      </c>
      <c r="U753" t="s">
        <v>153</v>
      </c>
      <c r="V753" t="s">
        <v>154</v>
      </c>
      <c r="W753" t="s">
        <v>119</v>
      </c>
      <c r="X753" t="s">
        <v>112</v>
      </c>
      <c r="Y753" t="s">
        <v>166</v>
      </c>
      <c r="Z753" t="s">
        <v>152</v>
      </c>
      <c r="AA753" t="s">
        <v>153</v>
      </c>
      <c r="AB753" t="s">
        <v>154</v>
      </c>
      <c r="AC753" t="s">
        <v>119</v>
      </c>
      <c r="AD753" t="s">
        <v>112</v>
      </c>
      <c r="AE753" t="s">
        <v>121</v>
      </c>
      <c r="AF753" t="s">
        <v>122</v>
      </c>
      <c r="AG753">
        <v>5486939.7999999998</v>
      </c>
      <c r="AH753" t="s">
        <v>166</v>
      </c>
      <c r="AI753" t="s">
        <v>152</v>
      </c>
      <c r="AJ753" t="s">
        <v>153</v>
      </c>
      <c r="AK753" t="s">
        <v>154</v>
      </c>
      <c r="AL753" t="s">
        <v>119</v>
      </c>
      <c r="AM753" t="s">
        <v>112</v>
      </c>
      <c r="AN753" t="s">
        <v>121</v>
      </c>
      <c r="AO753" t="s">
        <v>122</v>
      </c>
      <c r="AP753" t="s">
        <v>122</v>
      </c>
      <c r="AQ753" t="s">
        <v>124</v>
      </c>
      <c r="AR753" t="s">
        <v>125</v>
      </c>
      <c r="AT753" t="s">
        <v>126</v>
      </c>
      <c r="AU753" t="s">
        <v>155</v>
      </c>
      <c r="AV753" t="s">
        <v>156</v>
      </c>
      <c r="AX753" t="s">
        <v>129</v>
      </c>
      <c r="AY753">
        <v>46907.08</v>
      </c>
      <c r="BB753">
        <v>106.0543</v>
      </c>
      <c r="BC753" t="s">
        <v>112</v>
      </c>
      <c r="BD753" t="s">
        <v>112</v>
      </c>
      <c r="BE753" t="s">
        <v>112</v>
      </c>
      <c r="BF753" t="s">
        <v>133</v>
      </c>
      <c r="BG753" t="s">
        <v>134</v>
      </c>
      <c r="BH753" t="s">
        <v>112</v>
      </c>
      <c r="BI753" t="s">
        <v>112</v>
      </c>
      <c r="BJ753" t="s">
        <v>112</v>
      </c>
      <c r="BK753" t="s">
        <v>112</v>
      </c>
      <c r="BL753" t="s">
        <v>112</v>
      </c>
      <c r="BM753" t="s">
        <v>112</v>
      </c>
      <c r="BN753" t="s">
        <v>161</v>
      </c>
      <c r="BP753" t="s">
        <v>205</v>
      </c>
      <c r="BR753" t="s">
        <v>150</v>
      </c>
      <c r="BS753">
        <v>33</v>
      </c>
      <c r="BT753">
        <v>0</v>
      </c>
      <c r="BU753">
        <v>0</v>
      </c>
      <c r="BY753" t="s">
        <v>106</v>
      </c>
      <c r="BZ753" t="s">
        <v>142</v>
      </c>
      <c r="CA753" t="s">
        <v>112</v>
      </c>
      <c r="CB753" t="s">
        <v>112</v>
      </c>
      <c r="CC753" t="s">
        <v>121</v>
      </c>
      <c r="CD753">
        <v>16052.74</v>
      </c>
      <c r="CE753" t="s">
        <v>144</v>
      </c>
      <c r="CF753">
        <v>4000000</v>
      </c>
      <c r="CG753">
        <v>15930.34</v>
      </c>
      <c r="CH753">
        <v>0</v>
      </c>
      <c r="CI753" t="s">
        <v>112</v>
      </c>
      <c r="CJ753" t="s">
        <v>112</v>
      </c>
      <c r="CK753">
        <v>46907.08</v>
      </c>
      <c r="CM753">
        <v>0</v>
      </c>
      <c r="CN753">
        <v>1</v>
      </c>
      <c r="CO753">
        <v>5486939.7999999998</v>
      </c>
      <c r="CP753">
        <v>56820.15</v>
      </c>
      <c r="CQ753" t="s">
        <v>145</v>
      </c>
      <c r="CR753">
        <v>56871.313799999996</v>
      </c>
      <c r="CS753">
        <v>3.57</v>
      </c>
      <c r="CW753">
        <v>549</v>
      </c>
    </row>
    <row r="754" spans="1:101" x14ac:dyDescent="0.2">
      <c r="A754" t="s">
        <v>106</v>
      </c>
      <c r="B754" s="46">
        <v>44934</v>
      </c>
      <c r="C754" t="s">
        <v>1678</v>
      </c>
      <c r="D754" t="s">
        <v>108</v>
      </c>
      <c r="E754" t="s">
        <v>1679</v>
      </c>
      <c r="F754" t="s">
        <v>110</v>
      </c>
      <c r="G754" t="s">
        <v>111</v>
      </c>
      <c r="H754" t="s">
        <v>112</v>
      </c>
      <c r="I754" t="s">
        <v>112</v>
      </c>
      <c r="J754" t="s">
        <v>112</v>
      </c>
      <c r="K754" t="s">
        <v>150</v>
      </c>
      <c r="L754" t="s">
        <v>151</v>
      </c>
      <c r="M754" t="s">
        <v>112</v>
      </c>
      <c r="N754" t="s">
        <v>112</v>
      </c>
      <c r="Q754">
        <v>1</v>
      </c>
      <c r="R754">
        <v>33</v>
      </c>
      <c r="S754" t="s">
        <v>166</v>
      </c>
      <c r="T754" t="s">
        <v>152</v>
      </c>
      <c r="U754" t="s">
        <v>153</v>
      </c>
      <c r="V754" t="s">
        <v>154</v>
      </c>
      <c r="W754" t="s">
        <v>119</v>
      </c>
      <c r="X754" t="s">
        <v>112</v>
      </c>
      <c r="Y754" t="s">
        <v>166</v>
      </c>
      <c r="Z754" t="s">
        <v>152</v>
      </c>
      <c r="AA754" t="s">
        <v>153</v>
      </c>
      <c r="AB754" t="s">
        <v>154</v>
      </c>
      <c r="AC754" t="s">
        <v>119</v>
      </c>
      <c r="AD754" t="s">
        <v>112</v>
      </c>
      <c r="AE754" t="s">
        <v>121</v>
      </c>
      <c r="AF754" t="s">
        <v>122</v>
      </c>
      <c r="AG754">
        <v>4584281.96</v>
      </c>
      <c r="AH754" t="s">
        <v>166</v>
      </c>
      <c r="AI754" t="s">
        <v>152</v>
      </c>
      <c r="AJ754" t="s">
        <v>153</v>
      </c>
      <c r="AK754" t="s">
        <v>154</v>
      </c>
      <c r="AL754" t="s">
        <v>119</v>
      </c>
      <c r="AM754" t="s">
        <v>112</v>
      </c>
      <c r="AN754" t="s">
        <v>121</v>
      </c>
      <c r="AO754" t="s">
        <v>122</v>
      </c>
      <c r="AP754" t="s">
        <v>122</v>
      </c>
      <c r="AQ754" t="s">
        <v>124</v>
      </c>
      <c r="AR754" t="s">
        <v>125</v>
      </c>
      <c r="AT754" t="s">
        <v>126</v>
      </c>
      <c r="AU754" t="s">
        <v>155</v>
      </c>
      <c r="AV754" t="s">
        <v>156</v>
      </c>
      <c r="AX754" t="s">
        <v>129</v>
      </c>
      <c r="AY754">
        <v>39095.800000000003</v>
      </c>
      <c r="BB754">
        <v>106.0543</v>
      </c>
      <c r="BC754" t="s">
        <v>112</v>
      </c>
      <c r="BD754" t="s">
        <v>112</v>
      </c>
      <c r="BE754" t="s">
        <v>112</v>
      </c>
      <c r="BF754" t="s">
        <v>133</v>
      </c>
      <c r="BG754" t="s">
        <v>134</v>
      </c>
      <c r="BH754" t="s">
        <v>112</v>
      </c>
      <c r="BI754" t="s">
        <v>112</v>
      </c>
      <c r="BJ754" t="s">
        <v>112</v>
      </c>
      <c r="BK754" t="s">
        <v>112</v>
      </c>
      <c r="BL754" t="s">
        <v>112</v>
      </c>
      <c r="BM754" t="s">
        <v>112</v>
      </c>
      <c r="BN754" t="s">
        <v>161</v>
      </c>
      <c r="BP754" t="s">
        <v>205</v>
      </c>
      <c r="BR754" t="s">
        <v>150</v>
      </c>
      <c r="BS754">
        <v>33</v>
      </c>
      <c r="BT754">
        <v>0</v>
      </c>
      <c r="BU754">
        <v>0</v>
      </c>
      <c r="BY754" t="s">
        <v>106</v>
      </c>
      <c r="BZ754" t="s">
        <v>142</v>
      </c>
      <c r="CA754" t="s">
        <v>112</v>
      </c>
      <c r="CB754" t="s">
        <v>112</v>
      </c>
      <c r="CC754" t="s">
        <v>121</v>
      </c>
      <c r="CD754">
        <v>16765.04</v>
      </c>
      <c r="CE754" t="s">
        <v>144</v>
      </c>
      <c r="CF754">
        <v>4000000</v>
      </c>
      <c r="CG754">
        <v>16657.04</v>
      </c>
      <c r="CH754">
        <v>0</v>
      </c>
      <c r="CI754" t="s">
        <v>112</v>
      </c>
      <c r="CJ754" t="s">
        <v>112</v>
      </c>
      <c r="CK754">
        <v>39095.800000000003</v>
      </c>
      <c r="CM754">
        <v>0</v>
      </c>
      <c r="CN754">
        <v>1</v>
      </c>
      <c r="CO754">
        <v>4584281.96</v>
      </c>
      <c r="CP754">
        <v>47472.65</v>
      </c>
      <c r="CQ754" t="s">
        <v>145</v>
      </c>
      <c r="CR754">
        <v>47472.564000000006</v>
      </c>
      <c r="CS754">
        <v>2.85</v>
      </c>
      <c r="CW754">
        <v>166</v>
      </c>
    </row>
    <row r="755" spans="1:101" x14ac:dyDescent="0.2">
      <c r="A755" t="s">
        <v>106</v>
      </c>
      <c r="B755" s="46">
        <v>45100</v>
      </c>
      <c r="C755" t="s">
        <v>1676</v>
      </c>
      <c r="D755" t="s">
        <v>108</v>
      </c>
      <c r="E755" t="s">
        <v>1677</v>
      </c>
      <c r="F755" t="s">
        <v>110</v>
      </c>
      <c r="G755" t="s">
        <v>111</v>
      </c>
      <c r="H755" t="s">
        <v>112</v>
      </c>
      <c r="I755" t="s">
        <v>112</v>
      </c>
      <c r="J755" t="s">
        <v>112</v>
      </c>
      <c r="K755" t="s">
        <v>150</v>
      </c>
      <c r="L755" t="s">
        <v>151</v>
      </c>
      <c r="M755" t="s">
        <v>112</v>
      </c>
      <c r="N755" t="s">
        <v>112</v>
      </c>
      <c r="Q755">
        <v>1</v>
      </c>
      <c r="R755">
        <v>33</v>
      </c>
      <c r="S755" t="s">
        <v>166</v>
      </c>
      <c r="T755" t="s">
        <v>152</v>
      </c>
      <c r="U755" t="s">
        <v>153</v>
      </c>
      <c r="V755" t="s">
        <v>154</v>
      </c>
      <c r="W755" t="s">
        <v>119</v>
      </c>
      <c r="X755" t="s">
        <v>112</v>
      </c>
      <c r="Y755" t="s">
        <v>166</v>
      </c>
      <c r="Z755" t="s">
        <v>152</v>
      </c>
      <c r="AA755" t="s">
        <v>153</v>
      </c>
      <c r="AB755" t="s">
        <v>154</v>
      </c>
      <c r="AC755" t="s">
        <v>119</v>
      </c>
      <c r="AD755" t="s">
        <v>112</v>
      </c>
      <c r="AE755" t="s">
        <v>121</v>
      </c>
      <c r="AF755" t="s">
        <v>122</v>
      </c>
      <c r="AG755">
        <v>5127314.9800000004</v>
      </c>
      <c r="AH755" t="s">
        <v>166</v>
      </c>
      <c r="AI755" t="s">
        <v>152</v>
      </c>
      <c r="AJ755" t="s">
        <v>153</v>
      </c>
      <c r="AK755" t="s">
        <v>154</v>
      </c>
      <c r="AL755" t="s">
        <v>119</v>
      </c>
      <c r="AM755" t="s">
        <v>112</v>
      </c>
      <c r="AN755" t="s">
        <v>121</v>
      </c>
      <c r="AO755" t="s">
        <v>122</v>
      </c>
      <c r="AP755" t="s">
        <v>122</v>
      </c>
      <c r="AQ755" t="s">
        <v>124</v>
      </c>
      <c r="AR755" t="s">
        <v>125</v>
      </c>
      <c r="AT755" t="s">
        <v>126</v>
      </c>
      <c r="AU755" t="s">
        <v>155</v>
      </c>
      <c r="AV755" t="s">
        <v>156</v>
      </c>
      <c r="AX755" t="s">
        <v>129</v>
      </c>
      <c r="AY755">
        <v>44216.13</v>
      </c>
      <c r="BB755">
        <v>106.0543</v>
      </c>
      <c r="BC755" t="s">
        <v>112</v>
      </c>
      <c r="BD755" t="s">
        <v>112</v>
      </c>
      <c r="BE755" t="s">
        <v>112</v>
      </c>
      <c r="BF755" t="s">
        <v>133</v>
      </c>
      <c r="BG755" t="s">
        <v>134</v>
      </c>
      <c r="BH755" t="s">
        <v>112</v>
      </c>
      <c r="BI755" t="s">
        <v>112</v>
      </c>
      <c r="BJ755" t="s">
        <v>112</v>
      </c>
      <c r="BK755" t="s">
        <v>112</v>
      </c>
      <c r="BL755" t="s">
        <v>112</v>
      </c>
      <c r="BM755" t="s">
        <v>112</v>
      </c>
      <c r="BN755" t="s">
        <v>161</v>
      </c>
      <c r="BP755" t="s">
        <v>162</v>
      </c>
      <c r="BR755" t="s">
        <v>150</v>
      </c>
      <c r="BS755">
        <v>33</v>
      </c>
      <c r="BT755">
        <v>0</v>
      </c>
      <c r="BU755">
        <v>0</v>
      </c>
      <c r="BY755" t="s">
        <v>106</v>
      </c>
      <c r="BZ755" t="s">
        <v>142</v>
      </c>
      <c r="CA755" t="s">
        <v>112</v>
      </c>
      <c r="CB755" t="s">
        <v>112</v>
      </c>
      <c r="CC755" t="s">
        <v>121</v>
      </c>
      <c r="CD755">
        <v>16985.38</v>
      </c>
      <c r="CE755" t="s">
        <v>144</v>
      </c>
      <c r="CF755">
        <v>4000000</v>
      </c>
      <c r="CG755">
        <v>16967.38</v>
      </c>
      <c r="CH755">
        <v>0</v>
      </c>
      <c r="CI755" t="s">
        <v>112</v>
      </c>
      <c r="CJ755" t="s">
        <v>112</v>
      </c>
      <c r="CK755">
        <v>44216.13</v>
      </c>
      <c r="CM755">
        <v>0</v>
      </c>
      <c r="CN755">
        <v>1</v>
      </c>
      <c r="CO755">
        <v>5127314.9800000004</v>
      </c>
      <c r="CP755">
        <v>53096.04</v>
      </c>
      <c r="CQ755" t="s">
        <v>145</v>
      </c>
      <c r="CR755">
        <v>53107.899400000002</v>
      </c>
      <c r="CS755">
        <v>3.13</v>
      </c>
      <c r="CW755">
        <v>169</v>
      </c>
    </row>
    <row r="756" spans="1:101" x14ac:dyDescent="0.2">
      <c r="A756" t="s">
        <v>106</v>
      </c>
      <c r="B756" s="46">
        <v>45132</v>
      </c>
      <c r="C756" t="s">
        <v>1290</v>
      </c>
      <c r="D756" t="s">
        <v>108</v>
      </c>
      <c r="E756" t="s">
        <v>1291</v>
      </c>
      <c r="F756" t="s">
        <v>110</v>
      </c>
      <c r="G756" t="s">
        <v>111</v>
      </c>
      <c r="H756" t="s">
        <v>112</v>
      </c>
      <c r="I756" t="s">
        <v>112</v>
      </c>
      <c r="J756" t="s">
        <v>112</v>
      </c>
      <c r="K756" t="s">
        <v>150</v>
      </c>
      <c r="L756" t="s">
        <v>1036</v>
      </c>
      <c r="M756" t="s">
        <v>112</v>
      </c>
      <c r="N756" t="s">
        <v>112</v>
      </c>
      <c r="O756">
        <v>1</v>
      </c>
      <c r="P756">
        <v>0</v>
      </c>
      <c r="Q756">
        <v>1</v>
      </c>
      <c r="R756">
        <v>33</v>
      </c>
      <c r="S756" t="s">
        <v>166</v>
      </c>
      <c r="T756" t="s">
        <v>152</v>
      </c>
      <c r="U756" t="s">
        <v>153</v>
      </c>
      <c r="V756" t="s">
        <v>154</v>
      </c>
      <c r="W756" t="s">
        <v>119</v>
      </c>
      <c r="X756" t="s">
        <v>112</v>
      </c>
      <c r="Y756" t="s">
        <v>166</v>
      </c>
      <c r="Z756" t="s">
        <v>152</v>
      </c>
      <c r="AA756" t="s">
        <v>153</v>
      </c>
      <c r="AB756" t="s">
        <v>154</v>
      </c>
      <c r="AC756" t="s">
        <v>119</v>
      </c>
      <c r="AD756" t="s">
        <v>112</v>
      </c>
      <c r="AE756" t="s">
        <v>121</v>
      </c>
      <c r="AF756" t="s">
        <v>122</v>
      </c>
      <c r="AG756">
        <v>4021703.57</v>
      </c>
      <c r="AH756" t="s">
        <v>166</v>
      </c>
      <c r="AI756" t="s">
        <v>152</v>
      </c>
      <c r="AJ756" t="s">
        <v>153</v>
      </c>
      <c r="AK756" t="s">
        <v>154</v>
      </c>
      <c r="AL756" t="s">
        <v>119</v>
      </c>
      <c r="AM756" t="s">
        <v>112</v>
      </c>
      <c r="AN756" t="s">
        <v>121</v>
      </c>
      <c r="AO756" t="s">
        <v>122</v>
      </c>
      <c r="AP756" t="s">
        <v>122</v>
      </c>
      <c r="AQ756" t="s">
        <v>124</v>
      </c>
      <c r="AR756" t="s">
        <v>125</v>
      </c>
      <c r="AS756">
        <v>2</v>
      </c>
      <c r="AT756" t="s">
        <v>126</v>
      </c>
      <c r="AU756" t="s">
        <v>155</v>
      </c>
      <c r="AV756" t="s">
        <v>156</v>
      </c>
      <c r="AW756">
        <v>1</v>
      </c>
      <c r="AX756" t="s">
        <v>129</v>
      </c>
      <c r="AY756">
        <v>42008.92</v>
      </c>
      <c r="AZ756">
        <v>3661712</v>
      </c>
      <c r="BA756">
        <v>49371.44</v>
      </c>
      <c r="BB756">
        <v>87.165099999999995</v>
      </c>
      <c r="BC756" t="s">
        <v>130</v>
      </c>
      <c r="BD756" t="s">
        <v>112</v>
      </c>
      <c r="BE756" t="s">
        <v>157</v>
      </c>
      <c r="BF756" t="s">
        <v>133</v>
      </c>
      <c r="BG756" t="s">
        <v>134</v>
      </c>
      <c r="BH756" t="s">
        <v>112</v>
      </c>
      <c r="BI756" t="s">
        <v>112</v>
      </c>
      <c r="BJ756" t="s">
        <v>112</v>
      </c>
      <c r="BK756" t="s">
        <v>169</v>
      </c>
      <c r="BL756" t="s">
        <v>159</v>
      </c>
      <c r="BM756" t="s">
        <v>722</v>
      </c>
      <c r="BN756" t="s">
        <v>161</v>
      </c>
      <c r="BO756">
        <v>1</v>
      </c>
      <c r="BP756" t="s">
        <v>1292</v>
      </c>
      <c r="BR756" t="s">
        <v>150</v>
      </c>
      <c r="BS756">
        <v>33</v>
      </c>
      <c r="BT756">
        <v>0</v>
      </c>
      <c r="BU756">
        <v>0</v>
      </c>
      <c r="BW756">
        <v>0</v>
      </c>
      <c r="BY756" t="s">
        <v>106</v>
      </c>
      <c r="BZ756" t="s">
        <v>142</v>
      </c>
      <c r="CA756" t="s">
        <v>112</v>
      </c>
      <c r="CB756" t="s">
        <v>112</v>
      </c>
      <c r="CC756" t="s">
        <v>121</v>
      </c>
      <c r="CD756">
        <v>16912.5</v>
      </c>
      <c r="CE756" t="s">
        <v>144</v>
      </c>
      <c r="CF756">
        <v>4000000</v>
      </c>
      <c r="CG756">
        <v>16912.5</v>
      </c>
      <c r="CH756">
        <v>0</v>
      </c>
      <c r="CI756" t="s">
        <v>112</v>
      </c>
      <c r="CJ756" t="s">
        <v>112</v>
      </c>
      <c r="CK756">
        <v>42008.92</v>
      </c>
      <c r="CL756">
        <v>3661712</v>
      </c>
      <c r="CM756">
        <v>0</v>
      </c>
      <c r="CN756">
        <v>1</v>
      </c>
      <c r="CO756">
        <v>4021703.57</v>
      </c>
      <c r="CP756">
        <v>49371.44</v>
      </c>
      <c r="CQ756" t="s">
        <v>145</v>
      </c>
      <c r="CR756">
        <v>49384.5</v>
      </c>
      <c r="CS756">
        <v>2.92</v>
      </c>
      <c r="CT756">
        <v>45</v>
      </c>
      <c r="CU756" t="s">
        <v>171</v>
      </c>
      <c r="CV756" t="s">
        <v>172</v>
      </c>
      <c r="CW756">
        <v>361</v>
      </c>
    </row>
    <row r="757" spans="1:101" x14ac:dyDescent="0.2">
      <c r="A757" t="s">
        <v>106</v>
      </c>
      <c r="B757" s="46">
        <v>45043</v>
      </c>
      <c r="C757" t="s">
        <v>861</v>
      </c>
      <c r="D757" t="s">
        <v>108</v>
      </c>
      <c r="E757" t="s">
        <v>862</v>
      </c>
      <c r="F757" t="s">
        <v>110</v>
      </c>
      <c r="G757" t="s">
        <v>111</v>
      </c>
      <c r="H757" t="s">
        <v>112</v>
      </c>
      <c r="I757" t="s">
        <v>112</v>
      </c>
      <c r="J757" t="s">
        <v>112</v>
      </c>
      <c r="K757" t="s">
        <v>150</v>
      </c>
      <c r="L757" t="s">
        <v>151</v>
      </c>
      <c r="M757" t="s">
        <v>112</v>
      </c>
      <c r="N757" t="s">
        <v>112</v>
      </c>
      <c r="O757">
        <v>1</v>
      </c>
      <c r="P757">
        <v>0</v>
      </c>
      <c r="Q757">
        <v>1</v>
      </c>
      <c r="R757">
        <v>33</v>
      </c>
      <c r="S757" t="s">
        <v>166</v>
      </c>
      <c r="T757" t="s">
        <v>152</v>
      </c>
      <c r="U757" t="s">
        <v>153</v>
      </c>
      <c r="V757" t="s">
        <v>154</v>
      </c>
      <c r="W757" t="s">
        <v>119</v>
      </c>
      <c r="X757" t="s">
        <v>112</v>
      </c>
      <c r="Y757" t="s">
        <v>166</v>
      </c>
      <c r="Z757" t="s">
        <v>152</v>
      </c>
      <c r="AA757" t="s">
        <v>153</v>
      </c>
      <c r="AB757" t="s">
        <v>154</v>
      </c>
      <c r="AC757" t="s">
        <v>119</v>
      </c>
      <c r="AD757" t="s">
        <v>112</v>
      </c>
      <c r="AE757" t="s">
        <v>121</v>
      </c>
      <c r="AF757" t="s">
        <v>122</v>
      </c>
      <c r="AG757">
        <v>3812042.04</v>
      </c>
      <c r="AH757" t="s">
        <v>166</v>
      </c>
      <c r="AI757" t="s">
        <v>152</v>
      </c>
      <c r="AJ757" t="s">
        <v>153</v>
      </c>
      <c r="AK757" t="s">
        <v>154</v>
      </c>
      <c r="AL757" t="s">
        <v>119</v>
      </c>
      <c r="AM757" t="s">
        <v>112</v>
      </c>
      <c r="AN757" t="s">
        <v>121</v>
      </c>
      <c r="AO757" t="s">
        <v>122</v>
      </c>
      <c r="AP757" t="s">
        <v>122</v>
      </c>
      <c r="AQ757" t="s">
        <v>124</v>
      </c>
      <c r="AR757" t="s">
        <v>125</v>
      </c>
      <c r="AS757">
        <v>2</v>
      </c>
      <c r="AT757" t="s">
        <v>126</v>
      </c>
      <c r="AU757" t="s">
        <v>155</v>
      </c>
      <c r="AV757" t="s">
        <v>156</v>
      </c>
      <c r="AW757">
        <v>1</v>
      </c>
      <c r="AX757" t="s">
        <v>129</v>
      </c>
      <c r="AY757">
        <v>42975.4</v>
      </c>
      <c r="AZ757">
        <v>3461651</v>
      </c>
      <c r="BA757">
        <v>50518.93</v>
      </c>
      <c r="BB757">
        <v>80.549599999999998</v>
      </c>
      <c r="BC757" t="s">
        <v>130</v>
      </c>
      <c r="BD757" t="s">
        <v>112</v>
      </c>
      <c r="BE757" t="s">
        <v>157</v>
      </c>
      <c r="BF757" t="s">
        <v>133</v>
      </c>
      <c r="BG757" t="s">
        <v>167</v>
      </c>
      <c r="BH757" t="s">
        <v>168</v>
      </c>
      <c r="BI757" t="s">
        <v>112</v>
      </c>
      <c r="BJ757" t="s">
        <v>112</v>
      </c>
      <c r="BK757" t="s">
        <v>169</v>
      </c>
      <c r="BL757" t="s">
        <v>159</v>
      </c>
      <c r="BM757" t="s">
        <v>160</v>
      </c>
      <c r="BN757" t="s">
        <v>161</v>
      </c>
      <c r="BO757">
        <v>1</v>
      </c>
      <c r="BP757" t="s">
        <v>863</v>
      </c>
      <c r="BR757" t="s">
        <v>150</v>
      </c>
      <c r="BS757">
        <v>33</v>
      </c>
      <c r="BT757">
        <v>0</v>
      </c>
      <c r="BU757">
        <v>0</v>
      </c>
      <c r="BW757">
        <v>0</v>
      </c>
      <c r="BY757" t="s">
        <v>106</v>
      </c>
      <c r="BZ757" t="s">
        <v>142</v>
      </c>
      <c r="CA757" t="s">
        <v>112</v>
      </c>
      <c r="CB757" t="s">
        <v>112</v>
      </c>
      <c r="CC757" t="s">
        <v>121</v>
      </c>
      <c r="CD757">
        <v>16705.259999999998</v>
      </c>
      <c r="CE757" t="s">
        <v>144</v>
      </c>
      <c r="CF757">
        <v>4000000</v>
      </c>
      <c r="CG757">
        <v>16705.259999999998</v>
      </c>
      <c r="CH757">
        <v>0</v>
      </c>
      <c r="CI757" t="s">
        <v>112</v>
      </c>
      <c r="CJ757" t="s">
        <v>112</v>
      </c>
      <c r="CK757">
        <v>42975.4</v>
      </c>
      <c r="CL757">
        <v>3461651</v>
      </c>
      <c r="CM757">
        <v>0</v>
      </c>
      <c r="CN757">
        <v>1</v>
      </c>
      <c r="CO757">
        <v>3812042.04</v>
      </c>
      <c r="CP757">
        <v>50518.93</v>
      </c>
      <c r="CQ757" t="s">
        <v>145</v>
      </c>
      <c r="CR757">
        <v>50518.376765999994</v>
      </c>
      <c r="CS757">
        <v>3.0240999999999998</v>
      </c>
      <c r="CT757">
        <v>45</v>
      </c>
      <c r="CU757" t="s">
        <v>171</v>
      </c>
      <c r="CV757" t="s">
        <v>172</v>
      </c>
      <c r="CW757">
        <v>13</v>
      </c>
    </row>
    <row r="758" spans="1:101" x14ac:dyDescent="0.2">
      <c r="A758" t="s">
        <v>106</v>
      </c>
      <c r="B758" s="46">
        <v>45268</v>
      </c>
      <c r="C758" t="s">
        <v>858</v>
      </c>
      <c r="D758" t="s">
        <v>108</v>
      </c>
      <c r="E758" t="s">
        <v>859</v>
      </c>
      <c r="F758" t="s">
        <v>110</v>
      </c>
      <c r="G758" t="s">
        <v>111</v>
      </c>
      <c r="H758" t="s">
        <v>112</v>
      </c>
      <c r="I758" t="s">
        <v>112</v>
      </c>
      <c r="J758" t="s">
        <v>112</v>
      </c>
      <c r="K758" t="s">
        <v>150</v>
      </c>
      <c r="L758" t="s">
        <v>151</v>
      </c>
      <c r="M758" t="s">
        <v>112</v>
      </c>
      <c r="N758" t="s">
        <v>112</v>
      </c>
      <c r="O758">
        <v>1</v>
      </c>
      <c r="P758">
        <v>0</v>
      </c>
      <c r="Q758">
        <v>1</v>
      </c>
      <c r="R758">
        <v>33</v>
      </c>
      <c r="S758" t="s">
        <v>166</v>
      </c>
      <c r="T758" t="s">
        <v>152</v>
      </c>
      <c r="U758" t="s">
        <v>153</v>
      </c>
      <c r="V758" t="s">
        <v>154</v>
      </c>
      <c r="W758" t="s">
        <v>119</v>
      </c>
      <c r="X758" t="s">
        <v>112</v>
      </c>
      <c r="Y758" t="s">
        <v>166</v>
      </c>
      <c r="Z758" t="s">
        <v>152</v>
      </c>
      <c r="AA758" t="s">
        <v>153</v>
      </c>
      <c r="AB758" t="s">
        <v>154</v>
      </c>
      <c r="AC758" t="s">
        <v>119</v>
      </c>
      <c r="AD758" t="s">
        <v>112</v>
      </c>
      <c r="AE758" t="s">
        <v>121</v>
      </c>
      <c r="AF758" t="s">
        <v>122</v>
      </c>
      <c r="AG758">
        <v>3541065.13</v>
      </c>
      <c r="AH758" t="s">
        <v>166</v>
      </c>
      <c r="AI758" t="s">
        <v>152</v>
      </c>
      <c r="AJ758" t="s">
        <v>153</v>
      </c>
      <c r="AK758" t="s">
        <v>154</v>
      </c>
      <c r="AL758" t="s">
        <v>119</v>
      </c>
      <c r="AM758" t="s">
        <v>112</v>
      </c>
      <c r="AN758" t="s">
        <v>121</v>
      </c>
      <c r="AO758" t="s">
        <v>122</v>
      </c>
      <c r="AP758" t="s">
        <v>122</v>
      </c>
      <c r="AQ758" t="s">
        <v>124</v>
      </c>
      <c r="AR758" t="s">
        <v>125</v>
      </c>
      <c r="AS758">
        <v>2</v>
      </c>
      <c r="AT758" t="s">
        <v>126</v>
      </c>
      <c r="AU758" t="s">
        <v>155</v>
      </c>
      <c r="AV758" t="s">
        <v>156</v>
      </c>
      <c r="AW758">
        <v>1</v>
      </c>
      <c r="AX758" t="s">
        <v>129</v>
      </c>
      <c r="AY758">
        <v>39111.300000000003</v>
      </c>
      <c r="AZ758">
        <v>3150400</v>
      </c>
      <c r="BA758">
        <v>46927.82</v>
      </c>
      <c r="BB758">
        <v>80.549599999999998</v>
      </c>
      <c r="BC758" t="s">
        <v>130</v>
      </c>
      <c r="BD758" t="s">
        <v>112</v>
      </c>
      <c r="BE758" t="s">
        <v>157</v>
      </c>
      <c r="BF758" t="s">
        <v>133</v>
      </c>
      <c r="BG758" t="s">
        <v>167</v>
      </c>
      <c r="BH758" t="s">
        <v>168</v>
      </c>
      <c r="BI758" t="s">
        <v>112</v>
      </c>
      <c r="BJ758" t="s">
        <v>112</v>
      </c>
      <c r="BK758" t="s">
        <v>169</v>
      </c>
      <c r="BL758" t="s">
        <v>159</v>
      </c>
      <c r="BM758" t="s">
        <v>160</v>
      </c>
      <c r="BN758" t="s">
        <v>161</v>
      </c>
      <c r="BO758">
        <v>1</v>
      </c>
      <c r="BP758" t="s">
        <v>860</v>
      </c>
      <c r="BR758" t="s">
        <v>150</v>
      </c>
      <c r="BS758">
        <v>33</v>
      </c>
      <c r="BT758">
        <v>0</v>
      </c>
      <c r="BU758">
        <v>0</v>
      </c>
      <c r="BW758">
        <v>0</v>
      </c>
      <c r="BY758" t="s">
        <v>106</v>
      </c>
      <c r="BZ758" t="s">
        <v>142</v>
      </c>
      <c r="CA758" t="s">
        <v>112</v>
      </c>
      <c r="CB758" t="s">
        <v>112</v>
      </c>
      <c r="CC758" t="s">
        <v>121</v>
      </c>
      <c r="CD758">
        <v>16856.849999999999</v>
      </c>
      <c r="CE758" t="s">
        <v>144</v>
      </c>
      <c r="CF758">
        <v>4000000</v>
      </c>
      <c r="CG758">
        <v>16856.849999999999</v>
      </c>
      <c r="CH758">
        <v>0</v>
      </c>
      <c r="CI758" t="s">
        <v>112</v>
      </c>
      <c r="CJ758" t="s">
        <v>112</v>
      </c>
      <c r="CK758">
        <v>39111.300000000003</v>
      </c>
      <c r="CL758">
        <v>3150400</v>
      </c>
      <c r="CM758">
        <v>0</v>
      </c>
      <c r="CN758">
        <v>1</v>
      </c>
      <c r="CO758">
        <v>3541065.13</v>
      </c>
      <c r="CP758">
        <v>46927.82</v>
      </c>
      <c r="CQ758" t="s">
        <v>145</v>
      </c>
      <c r="CR758">
        <v>46927.784714999994</v>
      </c>
      <c r="CS758">
        <v>2.7839</v>
      </c>
      <c r="CT758">
        <v>45</v>
      </c>
      <c r="CU758" t="s">
        <v>171</v>
      </c>
      <c r="CV758" t="s">
        <v>172</v>
      </c>
      <c r="CW758">
        <v>20</v>
      </c>
    </row>
    <row r="759" spans="1:101" x14ac:dyDescent="0.2">
      <c r="A759" t="s">
        <v>106</v>
      </c>
      <c r="B759" s="46">
        <v>45126</v>
      </c>
      <c r="C759" t="s">
        <v>864</v>
      </c>
      <c r="D759" t="s">
        <v>108</v>
      </c>
      <c r="E759" t="s">
        <v>865</v>
      </c>
      <c r="F759" t="s">
        <v>110</v>
      </c>
      <c r="G759" t="s">
        <v>111</v>
      </c>
      <c r="H759" t="s">
        <v>112</v>
      </c>
      <c r="I759" t="s">
        <v>112</v>
      </c>
      <c r="J759" t="s">
        <v>112</v>
      </c>
      <c r="K759" t="s">
        <v>150</v>
      </c>
      <c r="L759" t="s">
        <v>151</v>
      </c>
      <c r="M759" t="s">
        <v>112</v>
      </c>
      <c r="N759" t="s">
        <v>112</v>
      </c>
      <c r="O759">
        <v>1</v>
      </c>
      <c r="P759">
        <v>0</v>
      </c>
      <c r="Q759">
        <v>1</v>
      </c>
      <c r="R759">
        <v>33</v>
      </c>
      <c r="S759" t="s">
        <v>166</v>
      </c>
      <c r="T759" t="s">
        <v>152</v>
      </c>
      <c r="U759" t="s">
        <v>153</v>
      </c>
      <c r="V759" t="s">
        <v>154</v>
      </c>
      <c r="W759" t="s">
        <v>119</v>
      </c>
      <c r="X759" t="s">
        <v>112</v>
      </c>
      <c r="Y759" t="s">
        <v>166</v>
      </c>
      <c r="Z759" t="s">
        <v>152</v>
      </c>
      <c r="AA759" t="s">
        <v>153</v>
      </c>
      <c r="AB759" t="s">
        <v>154</v>
      </c>
      <c r="AC759" t="s">
        <v>119</v>
      </c>
      <c r="AD759" t="s">
        <v>112</v>
      </c>
      <c r="AE759" t="s">
        <v>121</v>
      </c>
      <c r="AF759" t="s">
        <v>122</v>
      </c>
      <c r="AG759">
        <v>3564915.87</v>
      </c>
      <c r="AH759" t="s">
        <v>166</v>
      </c>
      <c r="AI759" t="s">
        <v>152</v>
      </c>
      <c r="AJ759" t="s">
        <v>153</v>
      </c>
      <c r="AK759" t="s">
        <v>154</v>
      </c>
      <c r="AL759" t="s">
        <v>119</v>
      </c>
      <c r="AM759" t="s">
        <v>112</v>
      </c>
      <c r="AN759" t="s">
        <v>121</v>
      </c>
      <c r="AO759" t="s">
        <v>122</v>
      </c>
      <c r="AP759" t="s">
        <v>122</v>
      </c>
      <c r="AQ759" t="s">
        <v>124</v>
      </c>
      <c r="AR759" t="s">
        <v>125</v>
      </c>
      <c r="AS759">
        <v>2</v>
      </c>
      <c r="AT759" t="s">
        <v>126</v>
      </c>
      <c r="AU759" t="s">
        <v>155</v>
      </c>
      <c r="AV759" t="s">
        <v>156</v>
      </c>
      <c r="AW759">
        <v>1</v>
      </c>
      <c r="AX759" t="s">
        <v>129</v>
      </c>
      <c r="AY759">
        <v>39907.4</v>
      </c>
      <c r="AZ759">
        <v>3214525</v>
      </c>
      <c r="BA759">
        <v>47243.9</v>
      </c>
      <c r="BB759">
        <v>80.549599999999998</v>
      </c>
      <c r="BC759" t="s">
        <v>130</v>
      </c>
      <c r="BD759" t="s">
        <v>112</v>
      </c>
      <c r="BE759" t="s">
        <v>157</v>
      </c>
      <c r="BF759" t="s">
        <v>133</v>
      </c>
      <c r="BG759" t="s">
        <v>167</v>
      </c>
      <c r="BH759" t="s">
        <v>168</v>
      </c>
      <c r="BI759" t="s">
        <v>112</v>
      </c>
      <c r="BJ759" t="s">
        <v>112</v>
      </c>
      <c r="BK759" t="s">
        <v>169</v>
      </c>
      <c r="BL759" t="s">
        <v>159</v>
      </c>
      <c r="BM759" t="s">
        <v>160</v>
      </c>
      <c r="BN759" t="s">
        <v>161</v>
      </c>
      <c r="BO759">
        <v>1</v>
      </c>
      <c r="BP759" t="s">
        <v>466</v>
      </c>
      <c r="BR759" t="s">
        <v>150</v>
      </c>
      <c r="BS759">
        <v>33</v>
      </c>
      <c r="BT759">
        <v>0</v>
      </c>
      <c r="BU759">
        <v>0</v>
      </c>
      <c r="BW759">
        <v>0</v>
      </c>
      <c r="BY759" t="s">
        <v>106</v>
      </c>
      <c r="BZ759" t="s">
        <v>142</v>
      </c>
      <c r="CA759" t="s">
        <v>112</v>
      </c>
      <c r="CB759" t="s">
        <v>112</v>
      </c>
      <c r="CC759" t="s">
        <v>121</v>
      </c>
      <c r="CD759">
        <v>17174.32</v>
      </c>
      <c r="CE759" t="s">
        <v>144</v>
      </c>
      <c r="CF759">
        <v>4000000</v>
      </c>
      <c r="CG759">
        <v>17174.32</v>
      </c>
      <c r="CH759">
        <v>0</v>
      </c>
      <c r="CI759" t="s">
        <v>112</v>
      </c>
      <c r="CJ759" t="s">
        <v>112</v>
      </c>
      <c r="CK759">
        <v>39907.4</v>
      </c>
      <c r="CL759">
        <v>3214525</v>
      </c>
      <c r="CM759">
        <v>0</v>
      </c>
      <c r="CN759">
        <v>1</v>
      </c>
      <c r="CO759">
        <v>3564915.87</v>
      </c>
      <c r="CP759">
        <v>47243.9</v>
      </c>
      <c r="CQ759" t="s">
        <v>145</v>
      </c>
      <c r="CR759">
        <v>47243.119456</v>
      </c>
      <c r="CS759">
        <v>2.7507999999999999</v>
      </c>
      <c r="CT759">
        <v>45</v>
      </c>
      <c r="CU759" t="s">
        <v>171</v>
      </c>
      <c r="CV759" t="s">
        <v>172</v>
      </c>
      <c r="CW759">
        <v>140</v>
      </c>
    </row>
    <row r="760" spans="1:101" x14ac:dyDescent="0.2">
      <c r="A760" t="s">
        <v>106</v>
      </c>
      <c r="B760" s="46">
        <v>45267</v>
      </c>
      <c r="C760" t="s">
        <v>866</v>
      </c>
      <c r="D760" t="s">
        <v>108</v>
      </c>
      <c r="E760" t="s">
        <v>867</v>
      </c>
      <c r="F760" t="s">
        <v>110</v>
      </c>
      <c r="G760" t="s">
        <v>111</v>
      </c>
      <c r="H760" t="s">
        <v>112</v>
      </c>
      <c r="I760" t="s">
        <v>112</v>
      </c>
      <c r="J760" t="s">
        <v>112</v>
      </c>
      <c r="K760" t="s">
        <v>150</v>
      </c>
      <c r="L760" t="s">
        <v>151</v>
      </c>
      <c r="M760" t="s">
        <v>112</v>
      </c>
      <c r="N760" t="s">
        <v>112</v>
      </c>
      <c r="O760">
        <v>1</v>
      </c>
      <c r="P760">
        <v>0</v>
      </c>
      <c r="Q760">
        <v>1</v>
      </c>
      <c r="R760">
        <v>33</v>
      </c>
      <c r="S760" t="s">
        <v>166</v>
      </c>
      <c r="T760" t="s">
        <v>152</v>
      </c>
      <c r="U760" t="s">
        <v>153</v>
      </c>
      <c r="V760" t="s">
        <v>154</v>
      </c>
      <c r="W760" t="s">
        <v>119</v>
      </c>
      <c r="X760" t="s">
        <v>112</v>
      </c>
      <c r="Y760" t="s">
        <v>166</v>
      </c>
      <c r="Z760" t="s">
        <v>152</v>
      </c>
      <c r="AA760" t="s">
        <v>153</v>
      </c>
      <c r="AB760" t="s">
        <v>154</v>
      </c>
      <c r="AC760" t="s">
        <v>119</v>
      </c>
      <c r="AD760" t="s">
        <v>112</v>
      </c>
      <c r="AE760" t="s">
        <v>121</v>
      </c>
      <c r="AF760" t="s">
        <v>122</v>
      </c>
      <c r="AG760">
        <v>3618346.03</v>
      </c>
      <c r="AH760" t="s">
        <v>166</v>
      </c>
      <c r="AI760" t="s">
        <v>152</v>
      </c>
      <c r="AJ760" t="s">
        <v>153</v>
      </c>
      <c r="AK760" t="s">
        <v>154</v>
      </c>
      <c r="AL760" t="s">
        <v>119</v>
      </c>
      <c r="AM760" t="s">
        <v>112</v>
      </c>
      <c r="AN760" t="s">
        <v>121</v>
      </c>
      <c r="AO760" t="s">
        <v>122</v>
      </c>
      <c r="AP760" t="s">
        <v>122</v>
      </c>
      <c r="AQ760" t="s">
        <v>124</v>
      </c>
      <c r="AR760" t="s">
        <v>125</v>
      </c>
      <c r="AS760">
        <v>2</v>
      </c>
      <c r="AT760" t="s">
        <v>126</v>
      </c>
      <c r="AU760" t="s">
        <v>155</v>
      </c>
      <c r="AV760" t="s">
        <v>156</v>
      </c>
      <c r="AW760">
        <v>1</v>
      </c>
      <c r="AX760" t="s">
        <v>129</v>
      </c>
      <c r="AY760">
        <v>40570.720000000001</v>
      </c>
      <c r="AZ760">
        <v>3267955</v>
      </c>
      <c r="BA760">
        <v>47951.98</v>
      </c>
      <c r="BB760">
        <v>80.549599999999998</v>
      </c>
      <c r="BC760" t="s">
        <v>130</v>
      </c>
      <c r="BD760" t="s">
        <v>112</v>
      </c>
      <c r="BE760" t="s">
        <v>157</v>
      </c>
      <c r="BF760" t="s">
        <v>133</v>
      </c>
      <c r="BG760" t="s">
        <v>167</v>
      </c>
      <c r="BH760" t="s">
        <v>168</v>
      </c>
      <c r="BI760" t="s">
        <v>112</v>
      </c>
      <c r="BJ760" t="s">
        <v>112</v>
      </c>
      <c r="BK760" t="s">
        <v>169</v>
      </c>
      <c r="BL760" t="s">
        <v>159</v>
      </c>
      <c r="BM760" t="s">
        <v>160</v>
      </c>
      <c r="BN760" t="s">
        <v>161</v>
      </c>
      <c r="BO760">
        <v>1</v>
      </c>
      <c r="BP760" t="s">
        <v>868</v>
      </c>
      <c r="BR760" t="s">
        <v>150</v>
      </c>
      <c r="BS760">
        <v>33</v>
      </c>
      <c r="BT760">
        <v>0</v>
      </c>
      <c r="BU760">
        <v>0</v>
      </c>
      <c r="BW760">
        <v>0</v>
      </c>
      <c r="BY760" t="s">
        <v>106</v>
      </c>
      <c r="BZ760" t="s">
        <v>142</v>
      </c>
      <c r="CA760" t="s">
        <v>112</v>
      </c>
      <c r="CB760" t="s">
        <v>112</v>
      </c>
      <c r="CC760" t="s">
        <v>121</v>
      </c>
      <c r="CD760">
        <v>16827.310000000001</v>
      </c>
      <c r="CE760" t="s">
        <v>144</v>
      </c>
      <c r="CF760">
        <v>4000000</v>
      </c>
      <c r="CG760">
        <v>16791.310000000001</v>
      </c>
      <c r="CH760">
        <v>0</v>
      </c>
      <c r="CI760" t="s">
        <v>112</v>
      </c>
      <c r="CJ760" t="s">
        <v>112</v>
      </c>
      <c r="CK760">
        <v>40570.720000000001</v>
      </c>
      <c r="CL760">
        <v>3267955</v>
      </c>
      <c r="CM760">
        <v>0</v>
      </c>
      <c r="CN760">
        <v>1</v>
      </c>
      <c r="CO760">
        <v>3618346.03</v>
      </c>
      <c r="CP760">
        <v>47951.98</v>
      </c>
      <c r="CQ760" t="s">
        <v>145</v>
      </c>
      <c r="CR760">
        <v>47952.623098000004</v>
      </c>
      <c r="CS760">
        <v>2.8557999999999999</v>
      </c>
      <c r="CT760">
        <v>45</v>
      </c>
      <c r="CU760" t="s">
        <v>171</v>
      </c>
      <c r="CV760" t="s">
        <v>172</v>
      </c>
      <c r="CW760">
        <v>229</v>
      </c>
    </row>
    <row r="761" spans="1:101" x14ac:dyDescent="0.2">
      <c r="A761" t="s">
        <v>106</v>
      </c>
      <c r="B761" s="46">
        <v>45006</v>
      </c>
      <c r="C761" t="s">
        <v>854</v>
      </c>
      <c r="D761" t="s">
        <v>108</v>
      </c>
      <c r="E761" t="s">
        <v>855</v>
      </c>
      <c r="F761" t="s">
        <v>110</v>
      </c>
      <c r="G761" t="s">
        <v>111</v>
      </c>
      <c r="H761" t="s">
        <v>112</v>
      </c>
      <c r="I761" t="s">
        <v>112</v>
      </c>
      <c r="J761" t="s">
        <v>112</v>
      </c>
      <c r="K761" t="s">
        <v>150</v>
      </c>
      <c r="L761" t="s">
        <v>151</v>
      </c>
      <c r="M761" t="s">
        <v>112</v>
      </c>
      <c r="N761" t="s">
        <v>112</v>
      </c>
      <c r="O761">
        <v>1</v>
      </c>
      <c r="P761">
        <v>0</v>
      </c>
      <c r="Q761">
        <v>1</v>
      </c>
      <c r="R761">
        <v>33</v>
      </c>
      <c r="S761" t="s">
        <v>166</v>
      </c>
      <c r="T761" t="s">
        <v>152</v>
      </c>
      <c r="U761" t="s">
        <v>153</v>
      </c>
      <c r="V761" t="s">
        <v>154</v>
      </c>
      <c r="W761" t="s">
        <v>119</v>
      </c>
      <c r="X761" t="s">
        <v>112</v>
      </c>
      <c r="Y761" t="s">
        <v>166</v>
      </c>
      <c r="Z761" t="s">
        <v>152</v>
      </c>
      <c r="AA761" t="s">
        <v>153</v>
      </c>
      <c r="AB761" t="s">
        <v>154</v>
      </c>
      <c r="AC761" t="s">
        <v>119</v>
      </c>
      <c r="AD761" t="s">
        <v>112</v>
      </c>
      <c r="AE761" t="s">
        <v>121</v>
      </c>
      <c r="AF761" t="s">
        <v>122</v>
      </c>
      <c r="AG761">
        <v>3659577.76</v>
      </c>
      <c r="AH761" t="s">
        <v>166</v>
      </c>
      <c r="AI761" t="s">
        <v>152</v>
      </c>
      <c r="AJ761" t="s">
        <v>153</v>
      </c>
      <c r="AK761" t="s">
        <v>154</v>
      </c>
      <c r="AL761" t="s">
        <v>119</v>
      </c>
      <c r="AM761" t="s">
        <v>112</v>
      </c>
      <c r="AN761" t="s">
        <v>121</v>
      </c>
      <c r="AO761" t="s">
        <v>122</v>
      </c>
      <c r="AP761" t="s">
        <v>122</v>
      </c>
      <c r="AQ761" t="s">
        <v>124</v>
      </c>
      <c r="AR761" t="s">
        <v>125</v>
      </c>
      <c r="AS761">
        <v>2</v>
      </c>
      <c r="AT761" t="s">
        <v>126</v>
      </c>
      <c r="AU761" t="s">
        <v>155</v>
      </c>
      <c r="AV761" t="s">
        <v>156</v>
      </c>
      <c r="AW761">
        <v>1</v>
      </c>
      <c r="AX761" t="s">
        <v>129</v>
      </c>
      <c r="AY761">
        <v>41082.6</v>
      </c>
      <c r="AZ761">
        <v>3309187</v>
      </c>
      <c r="BA761">
        <v>48498.400000000001</v>
      </c>
      <c r="BB761">
        <v>80.549599999999998</v>
      </c>
      <c r="BC761" t="s">
        <v>130</v>
      </c>
      <c r="BD761" t="s">
        <v>112</v>
      </c>
      <c r="BE761" t="s">
        <v>157</v>
      </c>
      <c r="BF761" t="s">
        <v>133</v>
      </c>
      <c r="BG761" t="s">
        <v>134</v>
      </c>
      <c r="BH761" t="s">
        <v>112</v>
      </c>
      <c r="BI761" t="s">
        <v>112</v>
      </c>
      <c r="BJ761" t="s">
        <v>112</v>
      </c>
      <c r="BK761" t="s">
        <v>169</v>
      </c>
      <c r="BL761" t="s">
        <v>159</v>
      </c>
      <c r="BM761" t="s">
        <v>160</v>
      </c>
      <c r="BN761" t="s">
        <v>161</v>
      </c>
      <c r="BO761">
        <v>1</v>
      </c>
      <c r="BP761" t="s">
        <v>232</v>
      </c>
      <c r="BR761" t="s">
        <v>150</v>
      </c>
      <c r="BS761">
        <v>33</v>
      </c>
      <c r="BT761">
        <v>0</v>
      </c>
      <c r="BU761">
        <v>0</v>
      </c>
      <c r="BW761">
        <v>0</v>
      </c>
      <c r="BY761" t="s">
        <v>106</v>
      </c>
      <c r="BZ761" t="s">
        <v>142</v>
      </c>
      <c r="CA761" t="s">
        <v>112</v>
      </c>
      <c r="CB761" t="s">
        <v>112</v>
      </c>
      <c r="CC761" t="s">
        <v>121</v>
      </c>
      <c r="CD761">
        <v>16705.259999999998</v>
      </c>
      <c r="CE761" t="s">
        <v>144</v>
      </c>
      <c r="CF761">
        <v>4000000</v>
      </c>
      <c r="CG761">
        <v>16705.259999999998</v>
      </c>
      <c r="CH761">
        <v>0</v>
      </c>
      <c r="CI761" t="s">
        <v>112</v>
      </c>
      <c r="CJ761" t="s">
        <v>112</v>
      </c>
      <c r="CK761">
        <v>41082.6</v>
      </c>
      <c r="CL761">
        <v>3309187</v>
      </c>
      <c r="CM761">
        <v>0</v>
      </c>
      <c r="CN761">
        <v>1</v>
      </c>
      <c r="CO761">
        <v>3659577.76</v>
      </c>
      <c r="CP761">
        <v>48498.400000000001</v>
      </c>
      <c r="CQ761" t="s">
        <v>145</v>
      </c>
      <c r="CR761">
        <v>48498.710831999997</v>
      </c>
      <c r="CS761">
        <v>2.9032</v>
      </c>
      <c r="CT761">
        <v>45</v>
      </c>
      <c r="CU761" t="s">
        <v>171</v>
      </c>
      <c r="CV761" t="s">
        <v>172</v>
      </c>
      <c r="CW761">
        <v>260</v>
      </c>
    </row>
    <row r="762" spans="1:101" x14ac:dyDescent="0.2">
      <c r="A762" t="s">
        <v>106</v>
      </c>
      <c r="B762" s="46">
        <v>44591</v>
      </c>
      <c r="C762" t="s">
        <v>521</v>
      </c>
      <c r="D762" t="s">
        <v>108</v>
      </c>
      <c r="E762" t="s">
        <v>522</v>
      </c>
      <c r="F762" t="s">
        <v>110</v>
      </c>
      <c r="G762" t="s">
        <v>111</v>
      </c>
      <c r="H762" t="s">
        <v>112</v>
      </c>
      <c r="I762" t="s">
        <v>112</v>
      </c>
      <c r="J762" t="s">
        <v>112</v>
      </c>
      <c r="K762" t="s">
        <v>150</v>
      </c>
      <c r="L762" t="s">
        <v>151</v>
      </c>
      <c r="M762" t="s">
        <v>112</v>
      </c>
      <c r="N762" t="s">
        <v>112</v>
      </c>
      <c r="O762">
        <v>1</v>
      </c>
      <c r="P762">
        <v>0</v>
      </c>
      <c r="Q762">
        <v>1</v>
      </c>
      <c r="R762">
        <v>33</v>
      </c>
      <c r="S762" t="s">
        <v>166</v>
      </c>
      <c r="T762" t="s">
        <v>152</v>
      </c>
      <c r="U762" t="s">
        <v>153</v>
      </c>
      <c r="V762" t="s">
        <v>154</v>
      </c>
      <c r="W762" t="s">
        <v>119</v>
      </c>
      <c r="X762" t="s">
        <v>112</v>
      </c>
      <c r="Y762" t="s">
        <v>166</v>
      </c>
      <c r="Z762" t="s">
        <v>152</v>
      </c>
      <c r="AA762" t="s">
        <v>153</v>
      </c>
      <c r="AB762" t="s">
        <v>154</v>
      </c>
      <c r="AC762" t="s">
        <v>119</v>
      </c>
      <c r="AD762" t="s">
        <v>112</v>
      </c>
      <c r="AE762" t="s">
        <v>121</v>
      </c>
      <c r="AF762" t="s">
        <v>122</v>
      </c>
      <c r="AG762">
        <v>3464766.08</v>
      </c>
      <c r="AH762" t="s">
        <v>166</v>
      </c>
      <c r="AI762" t="s">
        <v>152</v>
      </c>
      <c r="AJ762" t="s">
        <v>153</v>
      </c>
      <c r="AK762" t="s">
        <v>154</v>
      </c>
      <c r="AL762" t="s">
        <v>119</v>
      </c>
      <c r="AM762" t="s">
        <v>112</v>
      </c>
      <c r="AN762" t="s">
        <v>121</v>
      </c>
      <c r="AO762" t="s">
        <v>122</v>
      </c>
      <c r="AP762" t="s">
        <v>122</v>
      </c>
      <c r="AQ762" t="s">
        <v>124</v>
      </c>
      <c r="AR762" t="s">
        <v>125</v>
      </c>
      <c r="AS762">
        <v>2</v>
      </c>
      <c r="AT762" t="s">
        <v>126</v>
      </c>
      <c r="AU762" t="s">
        <v>155</v>
      </c>
      <c r="AV762" t="s">
        <v>156</v>
      </c>
      <c r="AW762">
        <v>1</v>
      </c>
      <c r="AX762" t="s">
        <v>129</v>
      </c>
      <c r="AY762">
        <v>41293.86</v>
      </c>
      <c r="AZ762">
        <v>3134563</v>
      </c>
      <c r="BA762">
        <v>48873.59</v>
      </c>
      <c r="BB762">
        <v>75.908699999999996</v>
      </c>
      <c r="BC762" t="s">
        <v>130</v>
      </c>
      <c r="BD762" t="s">
        <v>112</v>
      </c>
      <c r="BE762" t="s">
        <v>157</v>
      </c>
      <c r="BF762" t="s">
        <v>133</v>
      </c>
      <c r="BG762" t="s">
        <v>134</v>
      </c>
      <c r="BH762" t="s">
        <v>112</v>
      </c>
      <c r="BI762" t="s">
        <v>112</v>
      </c>
      <c r="BJ762" t="s">
        <v>112</v>
      </c>
      <c r="BK762" t="s">
        <v>169</v>
      </c>
      <c r="BL762" t="s">
        <v>159</v>
      </c>
      <c r="BM762" t="s">
        <v>212</v>
      </c>
      <c r="BN762" t="s">
        <v>161</v>
      </c>
      <c r="BO762">
        <v>1</v>
      </c>
      <c r="BP762" t="s">
        <v>523</v>
      </c>
      <c r="BR762" t="s">
        <v>150</v>
      </c>
      <c r="BS762">
        <v>33</v>
      </c>
      <c r="BT762">
        <v>0</v>
      </c>
      <c r="BU762">
        <v>0</v>
      </c>
      <c r="BW762">
        <v>0</v>
      </c>
      <c r="BY762" t="s">
        <v>106</v>
      </c>
      <c r="BZ762" t="s">
        <v>142</v>
      </c>
      <c r="CA762" t="s">
        <v>112</v>
      </c>
      <c r="CB762" t="s">
        <v>112</v>
      </c>
      <c r="CC762" t="s">
        <v>121</v>
      </c>
      <c r="CD762">
        <v>16546.740000000002</v>
      </c>
      <c r="CE762" t="s">
        <v>144</v>
      </c>
      <c r="CF762">
        <v>4000000</v>
      </c>
      <c r="CG762">
        <v>16546.740000000002</v>
      </c>
      <c r="CH762">
        <v>0</v>
      </c>
      <c r="CI762" t="s">
        <v>112</v>
      </c>
      <c r="CJ762" t="s">
        <v>112</v>
      </c>
      <c r="CK762">
        <v>41293.86</v>
      </c>
      <c r="CL762">
        <v>3134563</v>
      </c>
      <c r="CM762">
        <v>0</v>
      </c>
      <c r="CN762">
        <v>1</v>
      </c>
      <c r="CO762">
        <v>3464766.08</v>
      </c>
      <c r="CP762">
        <v>48873.59</v>
      </c>
      <c r="CQ762" t="s">
        <v>145</v>
      </c>
      <c r="CR762">
        <v>48874.105938000008</v>
      </c>
      <c r="CS762">
        <v>2.9537</v>
      </c>
      <c r="CT762">
        <v>45</v>
      </c>
      <c r="CU762" t="s">
        <v>171</v>
      </c>
      <c r="CV762" t="s">
        <v>463</v>
      </c>
      <c r="CW762">
        <v>68</v>
      </c>
    </row>
    <row r="763" spans="1:101" x14ac:dyDescent="0.2">
      <c r="A763" t="s">
        <v>106</v>
      </c>
      <c r="B763" s="46">
        <v>44705</v>
      </c>
      <c r="C763" t="s">
        <v>481</v>
      </c>
      <c r="D763" t="s">
        <v>108</v>
      </c>
      <c r="E763" t="s">
        <v>482</v>
      </c>
      <c r="F763" t="s">
        <v>110</v>
      </c>
      <c r="G763" t="s">
        <v>111</v>
      </c>
      <c r="H763" t="s">
        <v>112</v>
      </c>
      <c r="I763" t="s">
        <v>112</v>
      </c>
      <c r="J763" t="s">
        <v>112</v>
      </c>
      <c r="K763" t="s">
        <v>150</v>
      </c>
      <c r="L763" t="s">
        <v>151</v>
      </c>
      <c r="M763" t="s">
        <v>112</v>
      </c>
      <c r="N763" t="s">
        <v>112</v>
      </c>
      <c r="O763">
        <v>1</v>
      </c>
      <c r="P763">
        <v>0</v>
      </c>
      <c r="Q763">
        <v>1</v>
      </c>
      <c r="R763">
        <v>33</v>
      </c>
      <c r="S763" t="s">
        <v>166</v>
      </c>
      <c r="T763" t="s">
        <v>152</v>
      </c>
      <c r="U763" t="s">
        <v>153</v>
      </c>
      <c r="V763" t="s">
        <v>154</v>
      </c>
      <c r="W763" t="s">
        <v>119</v>
      </c>
      <c r="X763" t="s">
        <v>112</v>
      </c>
      <c r="Y763" t="s">
        <v>166</v>
      </c>
      <c r="Z763" t="s">
        <v>152</v>
      </c>
      <c r="AA763" t="s">
        <v>153</v>
      </c>
      <c r="AB763" t="s">
        <v>154</v>
      </c>
      <c r="AC763" t="s">
        <v>119</v>
      </c>
      <c r="AD763" t="s">
        <v>112</v>
      </c>
      <c r="AE763" t="s">
        <v>121</v>
      </c>
      <c r="AF763" t="s">
        <v>122</v>
      </c>
      <c r="AG763">
        <v>3345351.07</v>
      </c>
      <c r="AH763" t="s">
        <v>166</v>
      </c>
      <c r="AI763" t="s">
        <v>152</v>
      </c>
      <c r="AJ763" t="s">
        <v>153</v>
      </c>
      <c r="AK763" t="s">
        <v>154</v>
      </c>
      <c r="AL763" t="s">
        <v>119</v>
      </c>
      <c r="AM763" t="s">
        <v>112</v>
      </c>
      <c r="AN763" t="s">
        <v>121</v>
      </c>
      <c r="AO763" t="s">
        <v>122</v>
      </c>
      <c r="AP763" t="s">
        <v>122</v>
      </c>
      <c r="AQ763" t="s">
        <v>124</v>
      </c>
      <c r="AR763" t="s">
        <v>125</v>
      </c>
      <c r="AS763">
        <v>2</v>
      </c>
      <c r="AT763" t="s">
        <v>126</v>
      </c>
      <c r="AU763" t="s">
        <v>155</v>
      </c>
      <c r="AV763" t="s">
        <v>156</v>
      </c>
      <c r="AW763">
        <v>1</v>
      </c>
      <c r="AX763" t="s">
        <v>129</v>
      </c>
      <c r="AY763">
        <v>39720.720000000001</v>
      </c>
      <c r="AZ763">
        <v>3015148</v>
      </c>
      <c r="BA763">
        <v>47189.14</v>
      </c>
      <c r="BB763">
        <v>75.908699999999996</v>
      </c>
      <c r="BC763" t="s">
        <v>130</v>
      </c>
      <c r="BD763" t="s">
        <v>112</v>
      </c>
      <c r="BE763" t="s">
        <v>157</v>
      </c>
      <c r="BF763" t="s">
        <v>133</v>
      </c>
      <c r="BG763" t="s">
        <v>134</v>
      </c>
      <c r="BH763" t="s">
        <v>112</v>
      </c>
      <c r="BI763" t="s">
        <v>112</v>
      </c>
      <c r="BJ763" t="s">
        <v>112</v>
      </c>
      <c r="BK763" t="s">
        <v>169</v>
      </c>
      <c r="BL763" t="s">
        <v>159</v>
      </c>
      <c r="BM763" t="s">
        <v>212</v>
      </c>
      <c r="BN763" t="s">
        <v>161</v>
      </c>
      <c r="BO763">
        <v>1</v>
      </c>
      <c r="BP763" t="s">
        <v>213</v>
      </c>
      <c r="BR763" t="s">
        <v>150</v>
      </c>
      <c r="BS763">
        <v>33</v>
      </c>
      <c r="BT763">
        <v>0</v>
      </c>
      <c r="BU763">
        <v>0</v>
      </c>
      <c r="BW763">
        <v>0</v>
      </c>
      <c r="BY763" t="s">
        <v>106</v>
      </c>
      <c r="BZ763" t="s">
        <v>142</v>
      </c>
      <c r="CA763" t="s">
        <v>112</v>
      </c>
      <c r="CB763" t="s">
        <v>112</v>
      </c>
      <c r="CC763" t="s">
        <v>121</v>
      </c>
      <c r="CD763">
        <v>15717.04</v>
      </c>
      <c r="CE763" t="s">
        <v>144</v>
      </c>
      <c r="CF763">
        <v>4000000</v>
      </c>
      <c r="CG763">
        <v>15414.64</v>
      </c>
      <c r="CH763">
        <v>0</v>
      </c>
      <c r="CI763" t="s">
        <v>112</v>
      </c>
      <c r="CJ763" t="s">
        <v>112</v>
      </c>
      <c r="CK763">
        <v>39720.720000000001</v>
      </c>
      <c r="CL763">
        <v>3015148</v>
      </c>
      <c r="CM763">
        <v>0</v>
      </c>
      <c r="CN763">
        <v>1</v>
      </c>
      <c r="CO763">
        <v>3345351.07</v>
      </c>
      <c r="CP763">
        <v>47189.14</v>
      </c>
      <c r="CQ763" t="s">
        <v>145</v>
      </c>
      <c r="CR763">
        <v>47188.837432</v>
      </c>
      <c r="CS763">
        <v>3.0613000000000001</v>
      </c>
      <c r="CT763">
        <v>45</v>
      </c>
      <c r="CU763" t="s">
        <v>171</v>
      </c>
      <c r="CV763" t="s">
        <v>372</v>
      </c>
      <c r="CW763">
        <v>140</v>
      </c>
    </row>
    <row r="764" spans="1:101" x14ac:dyDescent="0.2">
      <c r="A764" t="s">
        <v>106</v>
      </c>
      <c r="B764" s="46">
        <v>44802</v>
      </c>
      <c r="C764" t="s">
        <v>524</v>
      </c>
      <c r="D764" t="s">
        <v>108</v>
      </c>
      <c r="E764" t="s">
        <v>525</v>
      </c>
      <c r="F764" t="s">
        <v>110</v>
      </c>
      <c r="G764" t="s">
        <v>111</v>
      </c>
      <c r="H764" t="s">
        <v>112</v>
      </c>
      <c r="I764" t="s">
        <v>112</v>
      </c>
      <c r="J764" t="s">
        <v>112</v>
      </c>
      <c r="K764" t="s">
        <v>150</v>
      </c>
      <c r="L764" t="s">
        <v>151</v>
      </c>
      <c r="M764" t="s">
        <v>112</v>
      </c>
      <c r="N764" t="s">
        <v>112</v>
      </c>
      <c r="O764">
        <v>1</v>
      </c>
      <c r="P764">
        <v>0</v>
      </c>
      <c r="Q764">
        <v>1</v>
      </c>
      <c r="R764">
        <v>33</v>
      </c>
      <c r="S764" t="s">
        <v>166</v>
      </c>
      <c r="T764" t="s">
        <v>152</v>
      </c>
      <c r="U764" t="s">
        <v>153</v>
      </c>
      <c r="V764" t="s">
        <v>154</v>
      </c>
      <c r="W764" t="s">
        <v>119</v>
      </c>
      <c r="X764" t="s">
        <v>112</v>
      </c>
      <c r="Y764" t="s">
        <v>166</v>
      </c>
      <c r="Z764" t="s">
        <v>152</v>
      </c>
      <c r="AA764" t="s">
        <v>153</v>
      </c>
      <c r="AB764" t="s">
        <v>154</v>
      </c>
      <c r="AC764" t="s">
        <v>119</v>
      </c>
      <c r="AD764" t="s">
        <v>112</v>
      </c>
      <c r="AE764" t="s">
        <v>121</v>
      </c>
      <c r="AF764" t="s">
        <v>122</v>
      </c>
      <c r="AG764">
        <v>3120369.07</v>
      </c>
      <c r="AH764" t="s">
        <v>166</v>
      </c>
      <c r="AI764" t="s">
        <v>152</v>
      </c>
      <c r="AJ764" t="s">
        <v>153</v>
      </c>
      <c r="AK764" t="s">
        <v>154</v>
      </c>
      <c r="AL764" t="s">
        <v>119</v>
      </c>
      <c r="AM764" t="s">
        <v>112</v>
      </c>
      <c r="AN764" t="s">
        <v>121</v>
      </c>
      <c r="AO764" t="s">
        <v>122</v>
      </c>
      <c r="AP764" t="s">
        <v>122</v>
      </c>
      <c r="AQ764" t="s">
        <v>124</v>
      </c>
      <c r="AR764" t="s">
        <v>125</v>
      </c>
      <c r="AS764">
        <v>2</v>
      </c>
      <c r="AT764" t="s">
        <v>126</v>
      </c>
      <c r="AU764" t="s">
        <v>155</v>
      </c>
      <c r="AV764" t="s">
        <v>156</v>
      </c>
      <c r="AW764">
        <v>1</v>
      </c>
      <c r="AX764" t="s">
        <v>129</v>
      </c>
      <c r="AY764">
        <v>36756.870000000003</v>
      </c>
      <c r="AZ764">
        <v>2790166</v>
      </c>
      <c r="BA764">
        <v>44015.57</v>
      </c>
      <c r="BB764">
        <v>75.908699999999996</v>
      </c>
      <c r="BC764" t="s">
        <v>130</v>
      </c>
      <c r="BD764" t="s">
        <v>112</v>
      </c>
      <c r="BE764" t="s">
        <v>157</v>
      </c>
      <c r="BF764" t="s">
        <v>133</v>
      </c>
      <c r="BG764" t="s">
        <v>134</v>
      </c>
      <c r="BH764" t="s">
        <v>112</v>
      </c>
      <c r="BI764" t="s">
        <v>112</v>
      </c>
      <c r="BJ764" t="s">
        <v>112</v>
      </c>
      <c r="BK764" t="s">
        <v>169</v>
      </c>
      <c r="BL764" t="s">
        <v>159</v>
      </c>
      <c r="BM764" t="s">
        <v>212</v>
      </c>
      <c r="BN764" t="s">
        <v>161</v>
      </c>
      <c r="BO764">
        <v>1</v>
      </c>
      <c r="BP764" t="s">
        <v>281</v>
      </c>
      <c r="BR764" t="s">
        <v>150</v>
      </c>
      <c r="BS764">
        <v>33</v>
      </c>
      <c r="BT764">
        <v>0</v>
      </c>
      <c r="BU764">
        <v>0</v>
      </c>
      <c r="BW764">
        <v>0</v>
      </c>
      <c r="BY764" t="s">
        <v>106</v>
      </c>
      <c r="BZ764" t="s">
        <v>142</v>
      </c>
      <c r="CA764" t="s">
        <v>112</v>
      </c>
      <c r="CB764" t="s">
        <v>112</v>
      </c>
      <c r="CC764" t="s">
        <v>121</v>
      </c>
      <c r="CD764">
        <v>16311.73</v>
      </c>
      <c r="CE764" t="s">
        <v>144</v>
      </c>
      <c r="CF764">
        <v>4000000</v>
      </c>
      <c r="CG764">
        <v>16203.73</v>
      </c>
      <c r="CH764">
        <v>0</v>
      </c>
      <c r="CI764" t="s">
        <v>112</v>
      </c>
      <c r="CJ764" t="s">
        <v>112</v>
      </c>
      <c r="CK764">
        <v>36756.870000000003</v>
      </c>
      <c r="CL764">
        <v>2790166</v>
      </c>
      <c r="CM764">
        <v>0</v>
      </c>
      <c r="CN764">
        <v>1</v>
      </c>
      <c r="CO764">
        <v>3120369.07</v>
      </c>
      <c r="CP764">
        <v>44015.57</v>
      </c>
      <c r="CQ764" t="s">
        <v>145</v>
      </c>
      <c r="CR764">
        <v>44015.812171999998</v>
      </c>
      <c r="CS764">
        <v>2.7164000000000001</v>
      </c>
      <c r="CT764">
        <v>45</v>
      </c>
      <c r="CU764" t="s">
        <v>171</v>
      </c>
      <c r="CV764" t="s">
        <v>172</v>
      </c>
      <c r="CW764">
        <v>115</v>
      </c>
    </row>
    <row r="765" spans="1:101" x14ac:dyDescent="0.2">
      <c r="A765" t="s">
        <v>106</v>
      </c>
      <c r="B765" s="46">
        <v>45103</v>
      </c>
      <c r="C765" t="s">
        <v>340</v>
      </c>
      <c r="D765" t="s">
        <v>108</v>
      </c>
      <c r="E765" t="s">
        <v>341</v>
      </c>
      <c r="F765" t="s">
        <v>110</v>
      </c>
      <c r="G765" t="s">
        <v>111</v>
      </c>
      <c r="H765" t="s">
        <v>112</v>
      </c>
      <c r="I765" t="s">
        <v>112</v>
      </c>
      <c r="J765" t="s">
        <v>112</v>
      </c>
      <c r="K765" t="s">
        <v>175</v>
      </c>
      <c r="L765" t="s">
        <v>176</v>
      </c>
      <c r="M765" t="s">
        <v>112</v>
      </c>
      <c r="N765" t="s">
        <v>112</v>
      </c>
      <c r="O765">
        <v>1</v>
      </c>
      <c r="P765">
        <v>0</v>
      </c>
      <c r="Q765">
        <v>1</v>
      </c>
      <c r="R765">
        <v>33</v>
      </c>
      <c r="S765" t="s">
        <v>166</v>
      </c>
      <c r="T765" t="s">
        <v>152</v>
      </c>
      <c r="U765" t="s">
        <v>153</v>
      </c>
      <c r="V765" t="s">
        <v>177</v>
      </c>
      <c r="W765" t="s">
        <v>119</v>
      </c>
      <c r="X765" t="s">
        <v>112</v>
      </c>
      <c r="Y765" t="s">
        <v>166</v>
      </c>
      <c r="Z765" t="s">
        <v>152</v>
      </c>
      <c r="AA765" t="s">
        <v>153</v>
      </c>
      <c r="AB765" t="s">
        <v>177</v>
      </c>
      <c r="AC765" t="s">
        <v>119</v>
      </c>
      <c r="AD765" t="s">
        <v>112</v>
      </c>
      <c r="AE765" t="s">
        <v>121</v>
      </c>
      <c r="AF765" t="s">
        <v>122</v>
      </c>
      <c r="AG765">
        <v>3415488.19</v>
      </c>
      <c r="AH765" t="s">
        <v>166</v>
      </c>
      <c r="AI765" t="s">
        <v>152</v>
      </c>
      <c r="AJ765" t="s">
        <v>153</v>
      </c>
      <c r="AK765" t="s">
        <v>177</v>
      </c>
      <c r="AL765" t="s">
        <v>119</v>
      </c>
      <c r="AM765" t="s">
        <v>112</v>
      </c>
      <c r="AN765" t="s">
        <v>121</v>
      </c>
      <c r="AO765" t="s">
        <v>122</v>
      </c>
      <c r="AP765" t="s">
        <v>122</v>
      </c>
      <c r="AQ765" t="s">
        <v>124</v>
      </c>
      <c r="AR765" t="s">
        <v>125</v>
      </c>
      <c r="AS765">
        <v>2</v>
      </c>
      <c r="AT765" t="s">
        <v>106</v>
      </c>
      <c r="AU765" t="s">
        <v>155</v>
      </c>
      <c r="AV765" t="s">
        <v>156</v>
      </c>
      <c r="AW765">
        <v>1</v>
      </c>
      <c r="AX765" t="s">
        <v>129</v>
      </c>
      <c r="AY765">
        <v>41802.239999999998</v>
      </c>
      <c r="AZ765">
        <v>3162561</v>
      </c>
      <c r="BA765">
        <v>48558.57</v>
      </c>
      <c r="BB765">
        <v>75.655299999999997</v>
      </c>
      <c r="BC765" t="s">
        <v>130</v>
      </c>
      <c r="BD765" t="s">
        <v>112</v>
      </c>
      <c r="BE765" t="s">
        <v>157</v>
      </c>
      <c r="BF765" t="s">
        <v>133</v>
      </c>
      <c r="BG765" t="s">
        <v>134</v>
      </c>
      <c r="BH765" t="s">
        <v>112</v>
      </c>
      <c r="BI765" t="s">
        <v>178</v>
      </c>
      <c r="BJ765" t="s">
        <v>112</v>
      </c>
      <c r="BK765" t="s">
        <v>125</v>
      </c>
      <c r="BL765" t="s">
        <v>179</v>
      </c>
      <c r="BM765" t="s">
        <v>180</v>
      </c>
      <c r="BN765" t="s">
        <v>181</v>
      </c>
      <c r="BO765">
        <v>1</v>
      </c>
      <c r="BP765" t="s">
        <v>199</v>
      </c>
      <c r="BR765" t="s">
        <v>150</v>
      </c>
      <c r="BS765">
        <v>33</v>
      </c>
      <c r="BT765">
        <v>1</v>
      </c>
      <c r="BU765">
        <v>0</v>
      </c>
      <c r="BW765">
        <v>0</v>
      </c>
      <c r="BY765" t="s">
        <v>106</v>
      </c>
      <c r="BZ765" t="s">
        <v>142</v>
      </c>
      <c r="CA765" t="s">
        <v>112</v>
      </c>
      <c r="CB765" t="s">
        <v>112</v>
      </c>
      <c r="CC765" t="s">
        <v>121</v>
      </c>
      <c r="CD765">
        <v>15980.76</v>
      </c>
      <c r="CE765" t="s">
        <v>144</v>
      </c>
      <c r="CF765">
        <v>4000000</v>
      </c>
      <c r="CG765">
        <v>15872.76</v>
      </c>
      <c r="CH765">
        <v>0</v>
      </c>
      <c r="CI765" t="s">
        <v>112</v>
      </c>
      <c r="CJ765" t="s">
        <v>112</v>
      </c>
      <c r="CK765">
        <v>41802.239999999998</v>
      </c>
      <c r="CL765">
        <v>3162561</v>
      </c>
      <c r="CM765">
        <v>0</v>
      </c>
      <c r="CN765">
        <v>1</v>
      </c>
      <c r="CO765">
        <v>3415488.19</v>
      </c>
      <c r="CP765">
        <v>48558.57</v>
      </c>
      <c r="CQ765" t="s">
        <v>145</v>
      </c>
      <c r="CR765">
        <v>48557.947392000002</v>
      </c>
      <c r="CS765">
        <v>3.0592000000000001</v>
      </c>
      <c r="CT765">
        <v>941</v>
      </c>
      <c r="CU765" t="s">
        <v>183</v>
      </c>
      <c r="CV765" t="s">
        <v>147</v>
      </c>
      <c r="CW765">
        <v>134</v>
      </c>
    </row>
    <row r="766" spans="1:101" x14ac:dyDescent="0.2">
      <c r="A766" t="s">
        <v>106</v>
      </c>
      <c r="B766" s="46">
        <v>44734</v>
      </c>
      <c r="C766" t="s">
        <v>313</v>
      </c>
      <c r="D766" t="s">
        <v>108</v>
      </c>
      <c r="E766" t="s">
        <v>314</v>
      </c>
      <c r="F766" t="s">
        <v>110</v>
      </c>
      <c r="G766" t="s">
        <v>111</v>
      </c>
      <c r="H766" t="s">
        <v>112</v>
      </c>
      <c r="I766" t="s">
        <v>112</v>
      </c>
      <c r="J766" t="s">
        <v>112</v>
      </c>
      <c r="K766" t="s">
        <v>175</v>
      </c>
      <c r="L766" t="s">
        <v>176</v>
      </c>
      <c r="M766" t="s">
        <v>112</v>
      </c>
      <c r="N766" t="s">
        <v>112</v>
      </c>
      <c r="O766">
        <v>1</v>
      </c>
      <c r="P766">
        <v>0</v>
      </c>
      <c r="Q766">
        <v>1</v>
      </c>
      <c r="R766">
        <v>33</v>
      </c>
      <c r="S766" t="s">
        <v>166</v>
      </c>
      <c r="T766" t="s">
        <v>152</v>
      </c>
      <c r="U766" t="s">
        <v>153</v>
      </c>
      <c r="V766" t="s">
        <v>177</v>
      </c>
      <c r="W766" t="s">
        <v>119</v>
      </c>
      <c r="X766" t="s">
        <v>112</v>
      </c>
      <c r="Y766" t="s">
        <v>166</v>
      </c>
      <c r="Z766" t="s">
        <v>152</v>
      </c>
      <c r="AA766" t="s">
        <v>153</v>
      </c>
      <c r="AB766" t="s">
        <v>177</v>
      </c>
      <c r="AC766" t="s">
        <v>119</v>
      </c>
      <c r="AD766" t="s">
        <v>112</v>
      </c>
      <c r="AE766" t="s">
        <v>121</v>
      </c>
      <c r="AF766" t="s">
        <v>122</v>
      </c>
      <c r="AG766">
        <v>3355861.22</v>
      </c>
      <c r="AH766" t="s">
        <v>166</v>
      </c>
      <c r="AI766" t="s">
        <v>152</v>
      </c>
      <c r="AJ766" t="s">
        <v>153</v>
      </c>
      <c r="AK766" t="s">
        <v>177</v>
      </c>
      <c r="AL766" t="s">
        <v>119</v>
      </c>
      <c r="AM766" t="s">
        <v>112</v>
      </c>
      <c r="AN766" t="s">
        <v>121</v>
      </c>
      <c r="AO766" t="s">
        <v>122</v>
      </c>
      <c r="AP766" t="s">
        <v>122</v>
      </c>
      <c r="AQ766" t="s">
        <v>124</v>
      </c>
      <c r="AR766" t="s">
        <v>125</v>
      </c>
      <c r="AS766">
        <v>2</v>
      </c>
      <c r="AT766" t="s">
        <v>106</v>
      </c>
      <c r="AU766" t="s">
        <v>155</v>
      </c>
      <c r="AV766" t="s">
        <v>156</v>
      </c>
      <c r="AW766">
        <v>1</v>
      </c>
      <c r="AX766" t="s">
        <v>129</v>
      </c>
      <c r="AY766">
        <v>41014.1</v>
      </c>
      <c r="AZ766">
        <v>3102934</v>
      </c>
      <c r="BA766">
        <v>47710.84</v>
      </c>
      <c r="BB766">
        <v>75.655299999999997</v>
      </c>
      <c r="BC766" t="s">
        <v>130</v>
      </c>
      <c r="BD766" t="s">
        <v>112</v>
      </c>
      <c r="BE766" t="s">
        <v>157</v>
      </c>
      <c r="BF766" t="s">
        <v>133</v>
      </c>
      <c r="BG766" t="s">
        <v>134</v>
      </c>
      <c r="BH766" t="s">
        <v>112</v>
      </c>
      <c r="BI766" t="s">
        <v>178</v>
      </c>
      <c r="BJ766" t="s">
        <v>112</v>
      </c>
      <c r="BK766" t="s">
        <v>125</v>
      </c>
      <c r="BL766" t="s">
        <v>179</v>
      </c>
      <c r="BM766" t="s">
        <v>180</v>
      </c>
      <c r="BN766" t="s">
        <v>181</v>
      </c>
      <c r="BO766">
        <v>1</v>
      </c>
      <c r="BP766" t="s">
        <v>315</v>
      </c>
      <c r="BR766" t="s">
        <v>150</v>
      </c>
      <c r="BS766">
        <v>33</v>
      </c>
      <c r="BT766">
        <v>1</v>
      </c>
      <c r="BU766">
        <v>0</v>
      </c>
      <c r="BW766">
        <v>0</v>
      </c>
      <c r="BY766" t="s">
        <v>106</v>
      </c>
      <c r="BZ766" t="s">
        <v>142</v>
      </c>
      <c r="CA766" t="s">
        <v>112</v>
      </c>
      <c r="CB766" t="s">
        <v>112</v>
      </c>
      <c r="CC766" t="s">
        <v>121</v>
      </c>
      <c r="CD766">
        <v>17364.990000000002</v>
      </c>
      <c r="CE766" t="s">
        <v>144</v>
      </c>
      <c r="CF766">
        <v>4000000</v>
      </c>
      <c r="CG766">
        <v>17364.990000000002</v>
      </c>
      <c r="CH766">
        <v>0</v>
      </c>
      <c r="CI766" t="s">
        <v>112</v>
      </c>
      <c r="CJ766" t="s">
        <v>112</v>
      </c>
      <c r="CK766">
        <v>41014.1</v>
      </c>
      <c r="CL766">
        <v>3102934</v>
      </c>
      <c r="CM766">
        <v>0</v>
      </c>
      <c r="CN766">
        <v>1</v>
      </c>
      <c r="CO766">
        <v>3355861.22</v>
      </c>
      <c r="CP766">
        <v>47710.84</v>
      </c>
      <c r="CQ766" t="s">
        <v>145</v>
      </c>
      <c r="CR766">
        <v>47710.310025000006</v>
      </c>
      <c r="CS766">
        <v>2.7475000000000001</v>
      </c>
      <c r="CT766">
        <v>941</v>
      </c>
      <c r="CU766" t="s">
        <v>183</v>
      </c>
      <c r="CV766" t="s">
        <v>147</v>
      </c>
      <c r="CW766">
        <v>221</v>
      </c>
    </row>
    <row r="767" spans="1:101" x14ac:dyDescent="0.2">
      <c r="A767" t="s">
        <v>106</v>
      </c>
      <c r="B767" s="46">
        <v>45003</v>
      </c>
      <c r="C767" t="s">
        <v>334</v>
      </c>
      <c r="D767" t="s">
        <v>108</v>
      </c>
      <c r="E767" t="s">
        <v>335</v>
      </c>
      <c r="F767" t="s">
        <v>110</v>
      </c>
      <c r="G767" t="s">
        <v>111</v>
      </c>
      <c r="H767" t="s">
        <v>112</v>
      </c>
      <c r="I767" t="s">
        <v>112</v>
      </c>
      <c r="J767" t="s">
        <v>112</v>
      </c>
      <c r="K767" t="s">
        <v>175</v>
      </c>
      <c r="L767" t="s">
        <v>176</v>
      </c>
      <c r="M767" t="s">
        <v>112</v>
      </c>
      <c r="N767" t="s">
        <v>112</v>
      </c>
      <c r="O767">
        <v>1</v>
      </c>
      <c r="P767">
        <v>0</v>
      </c>
      <c r="Q767">
        <v>1</v>
      </c>
      <c r="R767">
        <v>33</v>
      </c>
      <c r="S767" t="s">
        <v>166</v>
      </c>
      <c r="T767" t="s">
        <v>152</v>
      </c>
      <c r="U767" t="s">
        <v>153</v>
      </c>
      <c r="V767" t="s">
        <v>177</v>
      </c>
      <c r="W767" t="s">
        <v>119</v>
      </c>
      <c r="X767" t="s">
        <v>112</v>
      </c>
      <c r="Y767" t="s">
        <v>166</v>
      </c>
      <c r="Z767" t="s">
        <v>152</v>
      </c>
      <c r="AA767" t="s">
        <v>153</v>
      </c>
      <c r="AB767" t="s">
        <v>177</v>
      </c>
      <c r="AC767" t="s">
        <v>119</v>
      </c>
      <c r="AD767" t="s">
        <v>112</v>
      </c>
      <c r="AE767" t="s">
        <v>121</v>
      </c>
      <c r="AF767" t="s">
        <v>122</v>
      </c>
      <c r="AG767">
        <v>3804928.38</v>
      </c>
      <c r="AH767" t="s">
        <v>166</v>
      </c>
      <c r="AI767" t="s">
        <v>152</v>
      </c>
      <c r="AJ767" t="s">
        <v>153</v>
      </c>
      <c r="AK767" t="s">
        <v>177</v>
      </c>
      <c r="AL767" t="s">
        <v>119</v>
      </c>
      <c r="AM767" t="s">
        <v>112</v>
      </c>
      <c r="AN767" t="s">
        <v>121</v>
      </c>
      <c r="AO767" t="s">
        <v>122</v>
      </c>
      <c r="AP767" t="s">
        <v>122</v>
      </c>
      <c r="AQ767" t="s">
        <v>124</v>
      </c>
      <c r="AR767" t="s">
        <v>125</v>
      </c>
      <c r="AS767">
        <v>2</v>
      </c>
      <c r="AT767" t="s">
        <v>106</v>
      </c>
      <c r="AU767" t="s">
        <v>155</v>
      </c>
      <c r="AV767" t="s">
        <v>156</v>
      </c>
      <c r="AW767">
        <v>1</v>
      </c>
      <c r="AX767" t="s">
        <v>129</v>
      </c>
      <c r="AY767">
        <v>46949.8</v>
      </c>
      <c r="AZ767">
        <v>3552001</v>
      </c>
      <c r="BA767">
        <v>54095.3</v>
      </c>
      <c r="BB767">
        <v>75.655299999999997</v>
      </c>
      <c r="BC767" t="s">
        <v>130</v>
      </c>
      <c r="BD767" t="s">
        <v>112</v>
      </c>
      <c r="BE767" t="s">
        <v>157</v>
      </c>
      <c r="BF767" t="s">
        <v>133</v>
      </c>
      <c r="BG767" t="s">
        <v>134</v>
      </c>
      <c r="BH767" t="s">
        <v>112</v>
      </c>
      <c r="BI767" t="s">
        <v>178</v>
      </c>
      <c r="BJ767" t="s">
        <v>112</v>
      </c>
      <c r="BK767" t="s">
        <v>125</v>
      </c>
      <c r="BL767" t="s">
        <v>179</v>
      </c>
      <c r="BM767" t="s">
        <v>180</v>
      </c>
      <c r="BN767" t="s">
        <v>181</v>
      </c>
      <c r="BO767">
        <v>1</v>
      </c>
      <c r="BP767" t="s">
        <v>336</v>
      </c>
      <c r="BR767" t="s">
        <v>150</v>
      </c>
      <c r="BS767">
        <v>33</v>
      </c>
      <c r="BT767">
        <v>1</v>
      </c>
      <c r="BU767">
        <v>0</v>
      </c>
      <c r="BW767">
        <v>0</v>
      </c>
      <c r="BY767" t="s">
        <v>106</v>
      </c>
      <c r="BZ767" t="s">
        <v>142</v>
      </c>
      <c r="CA767" t="s">
        <v>112</v>
      </c>
      <c r="CB767" t="s">
        <v>112</v>
      </c>
      <c r="CC767" t="s">
        <v>121</v>
      </c>
      <c r="CD767">
        <v>16566.75</v>
      </c>
      <c r="CE767" t="s">
        <v>144</v>
      </c>
      <c r="CF767">
        <v>4000000</v>
      </c>
      <c r="CG767">
        <v>16515.75</v>
      </c>
      <c r="CH767">
        <v>0</v>
      </c>
      <c r="CI767" t="s">
        <v>112</v>
      </c>
      <c r="CJ767" t="s">
        <v>112</v>
      </c>
      <c r="CK767">
        <v>46949.8</v>
      </c>
      <c r="CL767">
        <v>3552001</v>
      </c>
      <c r="CM767">
        <v>0</v>
      </c>
      <c r="CN767">
        <v>1</v>
      </c>
      <c r="CO767">
        <v>3804928.38</v>
      </c>
      <c r="CP767">
        <v>54095.3</v>
      </c>
      <c r="CQ767" t="s">
        <v>145</v>
      </c>
      <c r="CR767">
        <v>54095.687549999995</v>
      </c>
      <c r="CS767">
        <v>3.2753999999999999</v>
      </c>
      <c r="CT767">
        <v>941</v>
      </c>
      <c r="CU767" t="s">
        <v>183</v>
      </c>
      <c r="CV767" t="s">
        <v>147</v>
      </c>
      <c r="CW767">
        <v>163</v>
      </c>
    </row>
    <row r="768" spans="1:101" x14ac:dyDescent="0.2">
      <c r="A768" t="s">
        <v>106</v>
      </c>
      <c r="B768" s="46">
        <v>44571</v>
      </c>
      <c r="C768" t="s">
        <v>316</v>
      </c>
      <c r="D768" t="s">
        <v>108</v>
      </c>
      <c r="E768" t="s">
        <v>317</v>
      </c>
      <c r="F768" t="s">
        <v>110</v>
      </c>
      <c r="G768" t="s">
        <v>111</v>
      </c>
      <c r="H768" t="s">
        <v>112</v>
      </c>
      <c r="I768" t="s">
        <v>112</v>
      </c>
      <c r="J768" t="s">
        <v>112</v>
      </c>
      <c r="K768" t="s">
        <v>175</v>
      </c>
      <c r="L768" t="s">
        <v>176</v>
      </c>
      <c r="M768" t="s">
        <v>112</v>
      </c>
      <c r="N768" t="s">
        <v>112</v>
      </c>
      <c r="O768">
        <v>1</v>
      </c>
      <c r="P768">
        <v>0</v>
      </c>
      <c r="Q768">
        <v>1</v>
      </c>
      <c r="R768">
        <v>33</v>
      </c>
      <c r="S768" t="s">
        <v>166</v>
      </c>
      <c r="T768" t="s">
        <v>152</v>
      </c>
      <c r="U768" t="s">
        <v>153</v>
      </c>
      <c r="V768" t="s">
        <v>177</v>
      </c>
      <c r="W768" t="s">
        <v>119</v>
      </c>
      <c r="X768" t="s">
        <v>112</v>
      </c>
      <c r="Y768" t="s">
        <v>166</v>
      </c>
      <c r="Z768" t="s">
        <v>152</v>
      </c>
      <c r="AA768" t="s">
        <v>153</v>
      </c>
      <c r="AB768" t="s">
        <v>177</v>
      </c>
      <c r="AC768" t="s">
        <v>119</v>
      </c>
      <c r="AD768" t="s">
        <v>112</v>
      </c>
      <c r="AE768" t="s">
        <v>121</v>
      </c>
      <c r="AF768" t="s">
        <v>122</v>
      </c>
      <c r="AG768">
        <v>3240443.01</v>
      </c>
      <c r="AH768" t="s">
        <v>166</v>
      </c>
      <c r="AI768" t="s">
        <v>152</v>
      </c>
      <c r="AJ768" t="s">
        <v>153</v>
      </c>
      <c r="AK768" t="s">
        <v>177</v>
      </c>
      <c r="AL768" t="s">
        <v>119</v>
      </c>
      <c r="AM768" t="s">
        <v>112</v>
      </c>
      <c r="AN768" t="s">
        <v>121</v>
      </c>
      <c r="AO768" t="s">
        <v>122</v>
      </c>
      <c r="AP768" t="s">
        <v>122</v>
      </c>
      <c r="AQ768" t="s">
        <v>124</v>
      </c>
      <c r="AR768" t="s">
        <v>125</v>
      </c>
      <c r="AS768">
        <v>2</v>
      </c>
      <c r="AT768" t="s">
        <v>106</v>
      </c>
      <c r="AU768" t="s">
        <v>155</v>
      </c>
      <c r="AV768" t="s">
        <v>156</v>
      </c>
      <c r="AW768">
        <v>1</v>
      </c>
      <c r="AX768" t="s">
        <v>129</v>
      </c>
      <c r="AY768">
        <v>39488.519999999997</v>
      </c>
      <c r="AZ768">
        <v>2987516</v>
      </c>
      <c r="BA768">
        <v>46069.919999999998</v>
      </c>
      <c r="BB768">
        <v>75.655299999999997</v>
      </c>
      <c r="BC768" t="s">
        <v>130</v>
      </c>
      <c r="BD768" t="s">
        <v>112</v>
      </c>
      <c r="BE768" t="s">
        <v>157</v>
      </c>
      <c r="BF768" t="s">
        <v>133</v>
      </c>
      <c r="BG768" t="s">
        <v>134</v>
      </c>
      <c r="BH768" t="s">
        <v>112</v>
      </c>
      <c r="BI768" t="s">
        <v>178</v>
      </c>
      <c r="BJ768" t="s">
        <v>112</v>
      </c>
      <c r="BK768" t="s">
        <v>125</v>
      </c>
      <c r="BL768" t="s">
        <v>179</v>
      </c>
      <c r="BM768" t="s">
        <v>180</v>
      </c>
      <c r="BN768" t="s">
        <v>181</v>
      </c>
      <c r="BO768">
        <v>1</v>
      </c>
      <c r="BP768" t="s">
        <v>318</v>
      </c>
      <c r="BR768" t="s">
        <v>150</v>
      </c>
      <c r="BS768">
        <v>33</v>
      </c>
      <c r="BT768">
        <v>1</v>
      </c>
      <c r="BU768">
        <v>0</v>
      </c>
      <c r="BW768">
        <v>0</v>
      </c>
      <c r="BY768" t="s">
        <v>106</v>
      </c>
      <c r="BZ768" t="s">
        <v>142</v>
      </c>
      <c r="CA768" t="s">
        <v>112</v>
      </c>
      <c r="CB768" t="s">
        <v>112</v>
      </c>
      <c r="CC768" t="s">
        <v>121</v>
      </c>
      <c r="CD768">
        <v>16612</v>
      </c>
      <c r="CE768" t="s">
        <v>144</v>
      </c>
      <c r="CF768">
        <v>4000000</v>
      </c>
      <c r="CG768">
        <v>16558</v>
      </c>
      <c r="CH768">
        <v>0</v>
      </c>
      <c r="CI768" t="s">
        <v>112</v>
      </c>
      <c r="CJ768" t="s">
        <v>112</v>
      </c>
      <c r="CK768">
        <v>39488.519999999997</v>
      </c>
      <c r="CL768">
        <v>2987516</v>
      </c>
      <c r="CM768">
        <v>0</v>
      </c>
      <c r="CN768">
        <v>1</v>
      </c>
      <c r="CO768">
        <v>3240443.01</v>
      </c>
      <c r="CP768">
        <v>46069.919999999998</v>
      </c>
      <c r="CQ768" t="s">
        <v>145</v>
      </c>
      <c r="CR768">
        <v>46069.323400000001</v>
      </c>
      <c r="CS768">
        <v>2.7823000000000002</v>
      </c>
      <c r="CT768">
        <v>941</v>
      </c>
      <c r="CU768" t="s">
        <v>183</v>
      </c>
      <c r="CV768" t="s">
        <v>147</v>
      </c>
      <c r="CW768">
        <v>349</v>
      </c>
    </row>
    <row r="769" spans="1:101" x14ac:dyDescent="0.2">
      <c r="A769" t="s">
        <v>106</v>
      </c>
      <c r="B769" s="46">
        <v>44585</v>
      </c>
      <c r="C769" t="s">
        <v>316</v>
      </c>
      <c r="D769" t="s">
        <v>108</v>
      </c>
      <c r="E769" t="s">
        <v>317</v>
      </c>
      <c r="F769" t="s">
        <v>3244</v>
      </c>
      <c r="G769" t="s">
        <v>111</v>
      </c>
      <c r="H769" t="s">
        <v>112</v>
      </c>
      <c r="I769" t="s">
        <v>112</v>
      </c>
      <c r="J769" t="s">
        <v>112</v>
      </c>
      <c r="M769" t="s">
        <v>112</v>
      </c>
      <c r="N769" t="s">
        <v>112</v>
      </c>
      <c r="O769">
        <v>1</v>
      </c>
      <c r="P769">
        <v>0</v>
      </c>
      <c r="Q769">
        <v>1</v>
      </c>
      <c r="R769">
        <v>33</v>
      </c>
      <c r="U769" t="s">
        <v>153</v>
      </c>
      <c r="W769" t="s">
        <v>119</v>
      </c>
      <c r="X769" t="s">
        <v>112</v>
      </c>
      <c r="Y769" t="s">
        <v>166</v>
      </c>
      <c r="Z769" t="s">
        <v>152</v>
      </c>
      <c r="AA769" t="s">
        <v>153</v>
      </c>
      <c r="AB769" t="s">
        <v>177</v>
      </c>
      <c r="AC769" t="s">
        <v>119</v>
      </c>
      <c r="AD769" t="s">
        <v>112</v>
      </c>
      <c r="AE769" t="s">
        <v>121</v>
      </c>
      <c r="AF769" t="s">
        <v>125</v>
      </c>
      <c r="AG769">
        <v>3240443.01</v>
      </c>
      <c r="AH769" t="s">
        <v>166</v>
      </c>
      <c r="AI769" t="s">
        <v>152</v>
      </c>
      <c r="AJ769" t="s">
        <v>153</v>
      </c>
      <c r="AK769" t="s">
        <v>177</v>
      </c>
      <c r="AL769" t="s">
        <v>119</v>
      </c>
      <c r="AM769" t="s">
        <v>112</v>
      </c>
      <c r="AN769" t="s">
        <v>121</v>
      </c>
      <c r="AO769" t="s">
        <v>125</v>
      </c>
      <c r="AP769" t="s">
        <v>125</v>
      </c>
      <c r="AQ769" t="s">
        <v>124</v>
      </c>
      <c r="AR769" t="s">
        <v>3245</v>
      </c>
      <c r="AS769">
        <v>2</v>
      </c>
      <c r="AT769" t="s">
        <v>106</v>
      </c>
      <c r="AU769" t="s">
        <v>155</v>
      </c>
      <c r="AV769" t="s">
        <v>156</v>
      </c>
      <c r="AW769">
        <v>1</v>
      </c>
      <c r="AX769" t="s">
        <v>129</v>
      </c>
      <c r="AY769">
        <v>39488.519999999997</v>
      </c>
      <c r="AZ769">
        <v>2987516</v>
      </c>
      <c r="BA769">
        <v>460690.92</v>
      </c>
      <c r="BB769">
        <v>75.655299999999997</v>
      </c>
      <c r="BC769" t="s">
        <v>130</v>
      </c>
      <c r="BD769" t="s">
        <v>112</v>
      </c>
      <c r="BE769" t="s">
        <v>157</v>
      </c>
      <c r="BF769" t="s">
        <v>133</v>
      </c>
      <c r="BG769" t="s">
        <v>134</v>
      </c>
      <c r="BH769" t="s">
        <v>112</v>
      </c>
      <c r="BI769" t="s">
        <v>178</v>
      </c>
      <c r="BJ769" t="s">
        <v>112</v>
      </c>
      <c r="BK769" t="s">
        <v>125</v>
      </c>
      <c r="BL769" t="s">
        <v>179</v>
      </c>
      <c r="BM769" t="s">
        <v>180</v>
      </c>
      <c r="BN769" t="s">
        <v>181</v>
      </c>
      <c r="BO769">
        <v>1</v>
      </c>
      <c r="BP769" t="s">
        <v>318</v>
      </c>
      <c r="BR769" t="s">
        <v>150</v>
      </c>
      <c r="BS769">
        <v>33</v>
      </c>
      <c r="BT769">
        <v>1</v>
      </c>
      <c r="BU769">
        <v>0</v>
      </c>
      <c r="BW769">
        <v>0</v>
      </c>
      <c r="BY769" t="s">
        <v>106</v>
      </c>
      <c r="BZ769" t="s">
        <v>142</v>
      </c>
      <c r="CA769" t="s">
        <v>112</v>
      </c>
      <c r="CB769" t="s">
        <v>112</v>
      </c>
      <c r="CC769" t="s">
        <v>121</v>
      </c>
      <c r="CD769">
        <v>16612</v>
      </c>
      <c r="CE769" t="s">
        <v>144</v>
      </c>
      <c r="CF769">
        <v>4000000</v>
      </c>
      <c r="CG769">
        <v>165580</v>
      </c>
      <c r="CH769">
        <v>0</v>
      </c>
      <c r="CI769" t="s">
        <v>112</v>
      </c>
      <c r="CJ769" t="s">
        <v>112</v>
      </c>
      <c r="CK769">
        <v>39488.519999999997</v>
      </c>
      <c r="CL769">
        <v>2987516</v>
      </c>
      <c r="CM769">
        <v>0</v>
      </c>
      <c r="CN769">
        <v>1</v>
      </c>
      <c r="CO769">
        <v>3240443.01</v>
      </c>
      <c r="CP769">
        <v>460690.92</v>
      </c>
      <c r="CQ769" t="s">
        <v>145</v>
      </c>
      <c r="CR769">
        <v>46069.323400000001</v>
      </c>
      <c r="CS769">
        <v>2.7823000000000002</v>
      </c>
      <c r="CT769">
        <v>941</v>
      </c>
      <c r="CU769" t="s">
        <v>183</v>
      </c>
      <c r="CV769" t="s">
        <v>147</v>
      </c>
      <c r="CW769">
        <v>349</v>
      </c>
    </row>
    <row r="770" spans="1:101" x14ac:dyDescent="0.2">
      <c r="A770" t="s">
        <v>106</v>
      </c>
      <c r="B770" s="46">
        <v>44579</v>
      </c>
      <c r="C770" t="s">
        <v>316</v>
      </c>
      <c r="D770" t="s">
        <v>108</v>
      </c>
      <c r="E770" t="s">
        <v>317</v>
      </c>
      <c r="F770" t="s">
        <v>3244</v>
      </c>
      <c r="G770" t="s">
        <v>111</v>
      </c>
      <c r="H770" t="s">
        <v>112</v>
      </c>
      <c r="I770" t="s">
        <v>112</v>
      </c>
      <c r="J770" t="s">
        <v>112</v>
      </c>
      <c r="M770" t="s">
        <v>112</v>
      </c>
      <c r="N770" t="s">
        <v>112</v>
      </c>
      <c r="O770">
        <v>1</v>
      </c>
      <c r="P770">
        <v>0</v>
      </c>
      <c r="Q770">
        <v>1</v>
      </c>
      <c r="R770">
        <v>33</v>
      </c>
      <c r="U770" t="s">
        <v>153</v>
      </c>
      <c r="W770" t="s">
        <v>119</v>
      </c>
      <c r="X770" t="s">
        <v>112</v>
      </c>
      <c r="Y770" t="s">
        <v>166</v>
      </c>
      <c r="Z770" t="s">
        <v>152</v>
      </c>
      <c r="AA770" t="s">
        <v>153</v>
      </c>
      <c r="AB770" t="s">
        <v>177</v>
      </c>
      <c r="AC770" t="s">
        <v>119</v>
      </c>
      <c r="AD770" t="s">
        <v>112</v>
      </c>
      <c r="AE770" t="s">
        <v>121</v>
      </c>
      <c r="AF770" t="s">
        <v>125</v>
      </c>
      <c r="AG770">
        <v>3240443.01</v>
      </c>
      <c r="AH770" t="s">
        <v>166</v>
      </c>
      <c r="AI770" t="s">
        <v>152</v>
      </c>
      <c r="AJ770" t="s">
        <v>153</v>
      </c>
      <c r="AK770" t="s">
        <v>177</v>
      </c>
      <c r="AL770" t="s">
        <v>119</v>
      </c>
      <c r="AM770" t="s">
        <v>112</v>
      </c>
      <c r="AN770" t="s">
        <v>121</v>
      </c>
      <c r="AO770" t="s">
        <v>125</v>
      </c>
      <c r="AP770" t="s">
        <v>125</v>
      </c>
      <c r="AQ770" t="s">
        <v>124</v>
      </c>
      <c r="AR770" t="s">
        <v>3245</v>
      </c>
      <c r="AS770">
        <v>2</v>
      </c>
      <c r="AT770" t="s">
        <v>106</v>
      </c>
      <c r="AU770" t="s">
        <v>155</v>
      </c>
      <c r="AV770" t="s">
        <v>156</v>
      </c>
      <c r="AW770">
        <v>1</v>
      </c>
      <c r="AX770" t="s">
        <v>129</v>
      </c>
      <c r="AY770">
        <v>39488.519999999997</v>
      </c>
      <c r="AZ770">
        <v>2987516</v>
      </c>
      <c r="BA770">
        <v>460690.92</v>
      </c>
      <c r="BB770">
        <v>75.655299999999997</v>
      </c>
      <c r="BC770" t="s">
        <v>130</v>
      </c>
      <c r="BD770" t="s">
        <v>112</v>
      </c>
      <c r="BE770" t="s">
        <v>157</v>
      </c>
      <c r="BF770" t="s">
        <v>133</v>
      </c>
      <c r="BG770" t="s">
        <v>134</v>
      </c>
      <c r="BH770" t="s">
        <v>112</v>
      </c>
      <c r="BI770" t="s">
        <v>178</v>
      </c>
      <c r="BJ770" t="s">
        <v>112</v>
      </c>
      <c r="BK770" t="s">
        <v>125</v>
      </c>
      <c r="BL770" t="s">
        <v>179</v>
      </c>
      <c r="BM770" t="s">
        <v>180</v>
      </c>
      <c r="BN770" t="s">
        <v>181</v>
      </c>
      <c r="BO770">
        <v>1</v>
      </c>
      <c r="BP770" t="s">
        <v>318</v>
      </c>
      <c r="BR770" t="s">
        <v>150</v>
      </c>
      <c r="BS770">
        <v>33</v>
      </c>
      <c r="BT770">
        <v>1</v>
      </c>
      <c r="BU770">
        <v>0</v>
      </c>
      <c r="BW770">
        <v>0</v>
      </c>
      <c r="BY770" t="s">
        <v>106</v>
      </c>
      <c r="BZ770" t="s">
        <v>142</v>
      </c>
      <c r="CA770" t="s">
        <v>112</v>
      </c>
      <c r="CB770" t="s">
        <v>112</v>
      </c>
      <c r="CC770" t="s">
        <v>121</v>
      </c>
      <c r="CD770">
        <v>16612</v>
      </c>
      <c r="CE770" t="s">
        <v>144</v>
      </c>
      <c r="CF770">
        <v>4000000</v>
      </c>
      <c r="CG770">
        <v>165580</v>
      </c>
      <c r="CH770">
        <v>0</v>
      </c>
      <c r="CI770" t="s">
        <v>112</v>
      </c>
      <c r="CJ770" t="s">
        <v>112</v>
      </c>
      <c r="CK770">
        <v>39488.519999999997</v>
      </c>
      <c r="CL770">
        <v>2987516</v>
      </c>
      <c r="CM770">
        <v>0</v>
      </c>
      <c r="CN770">
        <v>1</v>
      </c>
      <c r="CO770">
        <v>3240443.01</v>
      </c>
      <c r="CP770">
        <v>460690.92</v>
      </c>
      <c r="CQ770" t="s">
        <v>145</v>
      </c>
      <c r="CR770">
        <v>46069.323400000001</v>
      </c>
      <c r="CS770">
        <v>2.7823000000000002</v>
      </c>
      <c r="CT770">
        <v>941</v>
      </c>
      <c r="CU770" t="s">
        <v>183</v>
      </c>
      <c r="CV770" t="s">
        <v>147</v>
      </c>
      <c r="CW770">
        <v>349</v>
      </c>
    </row>
    <row r="771" spans="1:101" x14ac:dyDescent="0.2">
      <c r="A771" t="s">
        <v>106</v>
      </c>
      <c r="B771" s="46">
        <v>44914</v>
      </c>
      <c r="C771" t="s">
        <v>316</v>
      </c>
      <c r="D771" t="s">
        <v>108</v>
      </c>
      <c r="E771" t="s">
        <v>317</v>
      </c>
      <c r="F771" t="s">
        <v>3244</v>
      </c>
      <c r="G771" t="s">
        <v>111</v>
      </c>
      <c r="H771" t="s">
        <v>112</v>
      </c>
      <c r="I771" t="s">
        <v>112</v>
      </c>
      <c r="J771" t="s">
        <v>112</v>
      </c>
      <c r="M771" t="s">
        <v>112</v>
      </c>
      <c r="N771" t="s">
        <v>112</v>
      </c>
      <c r="O771">
        <v>1</v>
      </c>
      <c r="P771">
        <v>0</v>
      </c>
      <c r="Q771">
        <v>1</v>
      </c>
      <c r="R771">
        <v>33</v>
      </c>
      <c r="U771" t="s">
        <v>153</v>
      </c>
      <c r="W771" t="s">
        <v>119</v>
      </c>
      <c r="X771" t="s">
        <v>112</v>
      </c>
      <c r="Y771" t="s">
        <v>166</v>
      </c>
      <c r="Z771" t="s">
        <v>152</v>
      </c>
      <c r="AA771" t="s">
        <v>153</v>
      </c>
      <c r="AB771" t="s">
        <v>177</v>
      </c>
      <c r="AC771" t="s">
        <v>119</v>
      </c>
      <c r="AD771" t="s">
        <v>112</v>
      </c>
      <c r="AE771" t="s">
        <v>121</v>
      </c>
      <c r="AF771" t="s">
        <v>125</v>
      </c>
      <c r="AG771">
        <v>3240443.01</v>
      </c>
      <c r="AH771" t="s">
        <v>166</v>
      </c>
      <c r="AI771" t="s">
        <v>152</v>
      </c>
      <c r="AJ771" t="s">
        <v>153</v>
      </c>
      <c r="AK771" t="s">
        <v>177</v>
      </c>
      <c r="AL771" t="s">
        <v>119</v>
      </c>
      <c r="AM771" t="s">
        <v>112</v>
      </c>
      <c r="AN771" t="s">
        <v>121</v>
      </c>
      <c r="AO771" t="s">
        <v>125</v>
      </c>
      <c r="AP771" t="s">
        <v>125</v>
      </c>
      <c r="AQ771" t="s">
        <v>124</v>
      </c>
      <c r="AR771" t="s">
        <v>3245</v>
      </c>
      <c r="AS771">
        <v>2</v>
      </c>
      <c r="AT771" t="s">
        <v>106</v>
      </c>
      <c r="AU771" t="s">
        <v>155</v>
      </c>
      <c r="AV771" t="s">
        <v>156</v>
      </c>
      <c r="AW771">
        <v>1</v>
      </c>
      <c r="AX771" t="s">
        <v>129</v>
      </c>
      <c r="AY771">
        <v>39488.519999999997</v>
      </c>
      <c r="AZ771">
        <v>2987516</v>
      </c>
      <c r="BA771">
        <v>460690.92</v>
      </c>
      <c r="BB771">
        <v>75.655299999999997</v>
      </c>
      <c r="BC771" t="s">
        <v>130</v>
      </c>
      <c r="BD771" t="s">
        <v>112</v>
      </c>
      <c r="BE771" t="s">
        <v>157</v>
      </c>
      <c r="BF771" t="s">
        <v>133</v>
      </c>
      <c r="BG771" t="s">
        <v>134</v>
      </c>
      <c r="BH771" t="s">
        <v>112</v>
      </c>
      <c r="BI771" t="s">
        <v>178</v>
      </c>
      <c r="BJ771" t="s">
        <v>112</v>
      </c>
      <c r="BK771" t="s">
        <v>125</v>
      </c>
      <c r="BL771" t="s">
        <v>179</v>
      </c>
      <c r="BM771" t="s">
        <v>180</v>
      </c>
      <c r="BN771" t="s">
        <v>181</v>
      </c>
      <c r="BO771">
        <v>1</v>
      </c>
      <c r="BP771" t="s">
        <v>318</v>
      </c>
      <c r="BR771" t="s">
        <v>150</v>
      </c>
      <c r="BS771">
        <v>33</v>
      </c>
      <c r="BT771">
        <v>1</v>
      </c>
      <c r="BU771">
        <v>0</v>
      </c>
      <c r="BW771">
        <v>0</v>
      </c>
      <c r="BY771" t="s">
        <v>106</v>
      </c>
      <c r="BZ771" t="s">
        <v>142</v>
      </c>
      <c r="CA771" t="s">
        <v>112</v>
      </c>
      <c r="CB771" t="s">
        <v>112</v>
      </c>
      <c r="CC771" t="s">
        <v>121</v>
      </c>
      <c r="CD771">
        <v>16612</v>
      </c>
      <c r="CE771" t="s">
        <v>144</v>
      </c>
      <c r="CF771">
        <v>4000000</v>
      </c>
      <c r="CG771">
        <v>165580</v>
      </c>
      <c r="CH771">
        <v>0</v>
      </c>
      <c r="CI771" t="s">
        <v>112</v>
      </c>
      <c r="CJ771" t="s">
        <v>112</v>
      </c>
      <c r="CK771">
        <v>39488.519999999997</v>
      </c>
      <c r="CL771">
        <v>2987516</v>
      </c>
      <c r="CM771">
        <v>0</v>
      </c>
      <c r="CN771">
        <v>1</v>
      </c>
      <c r="CO771">
        <v>3240443.01</v>
      </c>
      <c r="CP771">
        <v>460690.92</v>
      </c>
      <c r="CQ771" t="s">
        <v>145</v>
      </c>
      <c r="CR771">
        <v>46069.323400000001</v>
      </c>
      <c r="CS771">
        <v>2.7823000000000002</v>
      </c>
      <c r="CT771">
        <v>941</v>
      </c>
      <c r="CU771" t="s">
        <v>183</v>
      </c>
      <c r="CV771" t="s">
        <v>147</v>
      </c>
      <c r="CW771">
        <v>349</v>
      </c>
    </row>
    <row r="772" spans="1:101" x14ac:dyDescent="0.2">
      <c r="A772" t="s">
        <v>106</v>
      </c>
      <c r="B772" s="46">
        <v>44583</v>
      </c>
      <c r="C772" t="s">
        <v>316</v>
      </c>
      <c r="D772" t="s">
        <v>108</v>
      </c>
      <c r="E772" t="s">
        <v>317</v>
      </c>
      <c r="F772" t="s">
        <v>3244</v>
      </c>
      <c r="G772" t="s">
        <v>111</v>
      </c>
      <c r="H772" t="s">
        <v>112</v>
      </c>
      <c r="I772" t="s">
        <v>112</v>
      </c>
      <c r="J772" t="s">
        <v>112</v>
      </c>
      <c r="M772" t="s">
        <v>112</v>
      </c>
      <c r="N772" t="s">
        <v>112</v>
      </c>
      <c r="O772">
        <v>1</v>
      </c>
      <c r="P772">
        <v>0</v>
      </c>
      <c r="Q772">
        <v>1</v>
      </c>
      <c r="R772">
        <v>33</v>
      </c>
      <c r="U772" t="s">
        <v>153</v>
      </c>
      <c r="W772" t="s">
        <v>119</v>
      </c>
      <c r="X772" t="s">
        <v>112</v>
      </c>
      <c r="Y772" t="s">
        <v>166</v>
      </c>
      <c r="Z772" t="s">
        <v>152</v>
      </c>
      <c r="AA772" t="s">
        <v>153</v>
      </c>
      <c r="AB772" t="s">
        <v>177</v>
      </c>
      <c r="AC772" t="s">
        <v>119</v>
      </c>
      <c r="AD772" t="s">
        <v>112</v>
      </c>
      <c r="AE772" t="s">
        <v>121</v>
      </c>
      <c r="AF772" t="s">
        <v>125</v>
      </c>
      <c r="AG772">
        <v>3240443.01</v>
      </c>
      <c r="AH772" t="s">
        <v>166</v>
      </c>
      <c r="AI772" t="s">
        <v>152</v>
      </c>
      <c r="AJ772" t="s">
        <v>153</v>
      </c>
      <c r="AK772" t="s">
        <v>177</v>
      </c>
      <c r="AL772" t="s">
        <v>119</v>
      </c>
      <c r="AM772" t="s">
        <v>112</v>
      </c>
      <c r="AN772" t="s">
        <v>121</v>
      </c>
      <c r="AO772" t="s">
        <v>125</v>
      </c>
      <c r="AP772" t="s">
        <v>125</v>
      </c>
      <c r="AQ772" t="s">
        <v>124</v>
      </c>
      <c r="AR772" t="s">
        <v>3245</v>
      </c>
      <c r="AS772">
        <v>2</v>
      </c>
      <c r="AT772" t="s">
        <v>106</v>
      </c>
      <c r="AU772" t="s">
        <v>155</v>
      </c>
      <c r="AV772" t="s">
        <v>156</v>
      </c>
      <c r="AW772">
        <v>1</v>
      </c>
      <c r="AX772" t="s">
        <v>129</v>
      </c>
      <c r="AY772">
        <v>39488.519999999997</v>
      </c>
      <c r="AZ772">
        <v>2987516</v>
      </c>
      <c r="BA772">
        <v>460690.92</v>
      </c>
      <c r="BB772">
        <v>75.655299999999997</v>
      </c>
      <c r="BC772" t="s">
        <v>130</v>
      </c>
      <c r="BD772" t="s">
        <v>112</v>
      </c>
      <c r="BE772" t="s">
        <v>157</v>
      </c>
      <c r="BF772" t="s">
        <v>133</v>
      </c>
      <c r="BG772" t="s">
        <v>134</v>
      </c>
      <c r="BH772" t="s">
        <v>112</v>
      </c>
      <c r="BI772" t="s">
        <v>178</v>
      </c>
      <c r="BJ772" t="s">
        <v>112</v>
      </c>
      <c r="BK772" t="s">
        <v>125</v>
      </c>
      <c r="BL772" t="s">
        <v>179</v>
      </c>
      <c r="BM772" t="s">
        <v>180</v>
      </c>
      <c r="BN772" t="s">
        <v>181</v>
      </c>
      <c r="BO772">
        <v>1</v>
      </c>
      <c r="BP772" t="s">
        <v>318</v>
      </c>
      <c r="BR772" t="s">
        <v>150</v>
      </c>
      <c r="BS772">
        <v>33</v>
      </c>
      <c r="BT772">
        <v>1</v>
      </c>
      <c r="BU772">
        <v>0</v>
      </c>
      <c r="BW772">
        <v>0</v>
      </c>
      <c r="BY772" t="s">
        <v>106</v>
      </c>
      <c r="BZ772" t="s">
        <v>142</v>
      </c>
      <c r="CA772" t="s">
        <v>112</v>
      </c>
      <c r="CB772" t="s">
        <v>112</v>
      </c>
      <c r="CC772" t="s">
        <v>121</v>
      </c>
      <c r="CD772">
        <v>16612</v>
      </c>
      <c r="CE772" t="s">
        <v>144</v>
      </c>
      <c r="CF772">
        <v>4000000</v>
      </c>
      <c r="CG772">
        <v>165580</v>
      </c>
      <c r="CH772">
        <v>0</v>
      </c>
      <c r="CI772" t="s">
        <v>112</v>
      </c>
      <c r="CJ772" t="s">
        <v>112</v>
      </c>
      <c r="CK772">
        <v>39488.519999999997</v>
      </c>
      <c r="CL772">
        <v>2987516</v>
      </c>
      <c r="CM772">
        <v>0</v>
      </c>
      <c r="CN772">
        <v>1</v>
      </c>
      <c r="CO772">
        <v>3240443.01</v>
      </c>
      <c r="CP772">
        <v>460690.92</v>
      </c>
      <c r="CQ772" t="s">
        <v>145</v>
      </c>
      <c r="CR772">
        <v>46069.323400000001</v>
      </c>
      <c r="CS772">
        <v>2.7823000000000002</v>
      </c>
      <c r="CT772">
        <v>941</v>
      </c>
      <c r="CU772" t="s">
        <v>183</v>
      </c>
      <c r="CV772" t="s">
        <v>147</v>
      </c>
      <c r="CW772">
        <v>349</v>
      </c>
    </row>
    <row r="773" spans="1:101" x14ac:dyDescent="0.2">
      <c r="A773" t="s">
        <v>106</v>
      </c>
      <c r="B773" s="46">
        <v>44838</v>
      </c>
      <c r="C773" t="s">
        <v>316</v>
      </c>
      <c r="D773" t="s">
        <v>108</v>
      </c>
      <c r="E773" t="s">
        <v>317</v>
      </c>
      <c r="F773" t="s">
        <v>3244</v>
      </c>
      <c r="G773" t="s">
        <v>111</v>
      </c>
      <c r="H773" t="s">
        <v>112</v>
      </c>
      <c r="I773" t="s">
        <v>112</v>
      </c>
      <c r="J773" t="s">
        <v>112</v>
      </c>
      <c r="M773" t="s">
        <v>112</v>
      </c>
      <c r="N773" t="s">
        <v>112</v>
      </c>
      <c r="O773">
        <v>1</v>
      </c>
      <c r="P773">
        <v>0</v>
      </c>
      <c r="Q773">
        <v>1</v>
      </c>
      <c r="R773">
        <v>33</v>
      </c>
      <c r="U773" t="s">
        <v>153</v>
      </c>
      <c r="W773" t="s">
        <v>119</v>
      </c>
      <c r="X773" t="s">
        <v>112</v>
      </c>
      <c r="Y773" t="s">
        <v>166</v>
      </c>
      <c r="Z773" t="s">
        <v>152</v>
      </c>
      <c r="AA773" t="s">
        <v>153</v>
      </c>
      <c r="AB773" t="s">
        <v>177</v>
      </c>
      <c r="AC773" t="s">
        <v>119</v>
      </c>
      <c r="AD773" t="s">
        <v>112</v>
      </c>
      <c r="AE773" t="s">
        <v>121</v>
      </c>
      <c r="AF773" t="s">
        <v>125</v>
      </c>
      <c r="AG773">
        <v>3240443.01</v>
      </c>
      <c r="AH773" t="s">
        <v>166</v>
      </c>
      <c r="AI773" t="s">
        <v>152</v>
      </c>
      <c r="AJ773" t="s">
        <v>153</v>
      </c>
      <c r="AK773" t="s">
        <v>177</v>
      </c>
      <c r="AL773" t="s">
        <v>119</v>
      </c>
      <c r="AM773" t="s">
        <v>112</v>
      </c>
      <c r="AN773" t="s">
        <v>121</v>
      </c>
      <c r="AO773" t="s">
        <v>125</v>
      </c>
      <c r="AP773" t="s">
        <v>125</v>
      </c>
      <c r="AQ773" t="s">
        <v>124</v>
      </c>
      <c r="AR773" t="s">
        <v>3245</v>
      </c>
      <c r="AS773">
        <v>2</v>
      </c>
      <c r="AT773" t="s">
        <v>106</v>
      </c>
      <c r="AU773" t="s">
        <v>155</v>
      </c>
      <c r="AV773" t="s">
        <v>156</v>
      </c>
      <c r="AW773">
        <v>1</v>
      </c>
      <c r="AX773" t="s">
        <v>129</v>
      </c>
      <c r="AY773">
        <v>39488.519999999997</v>
      </c>
      <c r="AZ773">
        <v>2987516</v>
      </c>
      <c r="BA773">
        <v>460690.92</v>
      </c>
      <c r="BB773">
        <v>75.655299999999997</v>
      </c>
      <c r="BC773" t="s">
        <v>130</v>
      </c>
      <c r="BD773" t="s">
        <v>112</v>
      </c>
      <c r="BE773" t="s">
        <v>157</v>
      </c>
      <c r="BF773" t="s">
        <v>133</v>
      </c>
      <c r="BG773" t="s">
        <v>134</v>
      </c>
      <c r="BH773" t="s">
        <v>112</v>
      </c>
      <c r="BI773" t="s">
        <v>178</v>
      </c>
      <c r="BJ773" t="s">
        <v>112</v>
      </c>
      <c r="BK773" t="s">
        <v>125</v>
      </c>
      <c r="BL773" t="s">
        <v>179</v>
      </c>
      <c r="BM773" t="s">
        <v>180</v>
      </c>
      <c r="BN773" t="s">
        <v>181</v>
      </c>
      <c r="BO773">
        <v>1</v>
      </c>
      <c r="BP773" t="s">
        <v>318</v>
      </c>
      <c r="BR773" t="s">
        <v>150</v>
      </c>
      <c r="BS773">
        <v>33</v>
      </c>
      <c r="BT773">
        <v>1</v>
      </c>
      <c r="BU773">
        <v>0</v>
      </c>
      <c r="BW773">
        <v>0</v>
      </c>
      <c r="BY773" t="s">
        <v>106</v>
      </c>
      <c r="BZ773" t="s">
        <v>142</v>
      </c>
      <c r="CA773" t="s">
        <v>112</v>
      </c>
      <c r="CB773" t="s">
        <v>112</v>
      </c>
      <c r="CC773" t="s">
        <v>121</v>
      </c>
      <c r="CD773">
        <v>16612</v>
      </c>
      <c r="CE773" t="s">
        <v>144</v>
      </c>
      <c r="CF773">
        <v>4000000</v>
      </c>
      <c r="CG773">
        <v>165580</v>
      </c>
      <c r="CH773">
        <v>0</v>
      </c>
      <c r="CI773" t="s">
        <v>112</v>
      </c>
      <c r="CJ773" t="s">
        <v>112</v>
      </c>
      <c r="CK773">
        <v>39488.519999999997</v>
      </c>
      <c r="CL773">
        <v>2987516</v>
      </c>
      <c r="CM773">
        <v>0</v>
      </c>
      <c r="CN773">
        <v>1</v>
      </c>
      <c r="CO773">
        <v>3240443.01</v>
      </c>
      <c r="CP773">
        <v>460690.92</v>
      </c>
      <c r="CQ773" t="s">
        <v>145</v>
      </c>
      <c r="CR773">
        <v>46069.323400000001</v>
      </c>
      <c r="CS773">
        <v>2.7823000000000002</v>
      </c>
      <c r="CT773">
        <v>941</v>
      </c>
      <c r="CU773" t="s">
        <v>183</v>
      </c>
      <c r="CV773" t="s">
        <v>147</v>
      </c>
      <c r="CW773">
        <v>349</v>
      </c>
    </row>
    <row r="774" spans="1:101" x14ac:dyDescent="0.2">
      <c r="A774" t="s">
        <v>106</v>
      </c>
      <c r="B774" s="46">
        <v>45056</v>
      </c>
      <c r="C774" t="s">
        <v>325</v>
      </c>
      <c r="D774" t="s">
        <v>108</v>
      </c>
      <c r="E774" t="s">
        <v>326</v>
      </c>
      <c r="F774" t="s">
        <v>110</v>
      </c>
      <c r="G774" t="s">
        <v>111</v>
      </c>
      <c r="H774" t="s">
        <v>112</v>
      </c>
      <c r="I774" t="s">
        <v>112</v>
      </c>
      <c r="J774" t="s">
        <v>112</v>
      </c>
      <c r="K774" t="s">
        <v>175</v>
      </c>
      <c r="L774" t="s">
        <v>176</v>
      </c>
      <c r="M774" t="s">
        <v>112</v>
      </c>
      <c r="N774" t="s">
        <v>112</v>
      </c>
      <c r="O774">
        <v>1</v>
      </c>
      <c r="P774">
        <v>0</v>
      </c>
      <c r="Q774">
        <v>1</v>
      </c>
      <c r="R774">
        <v>33</v>
      </c>
      <c r="S774" t="s">
        <v>166</v>
      </c>
      <c r="T774" t="s">
        <v>152</v>
      </c>
      <c r="U774" t="s">
        <v>153</v>
      </c>
      <c r="V774" t="s">
        <v>177</v>
      </c>
      <c r="W774" t="s">
        <v>119</v>
      </c>
      <c r="X774" t="s">
        <v>112</v>
      </c>
      <c r="Y774" t="s">
        <v>166</v>
      </c>
      <c r="Z774" t="s">
        <v>152</v>
      </c>
      <c r="AA774" t="s">
        <v>153</v>
      </c>
      <c r="AB774" t="s">
        <v>177</v>
      </c>
      <c r="AC774" t="s">
        <v>119</v>
      </c>
      <c r="AD774" t="s">
        <v>112</v>
      </c>
      <c r="AE774" t="s">
        <v>121</v>
      </c>
      <c r="AF774" t="s">
        <v>122</v>
      </c>
      <c r="AG774">
        <v>3454081.47</v>
      </c>
      <c r="AH774" t="s">
        <v>166</v>
      </c>
      <c r="AI774" t="s">
        <v>152</v>
      </c>
      <c r="AJ774" t="s">
        <v>153</v>
      </c>
      <c r="AK774" t="s">
        <v>177</v>
      </c>
      <c r="AL774" t="s">
        <v>119</v>
      </c>
      <c r="AM774" t="s">
        <v>112</v>
      </c>
      <c r="AN774" t="s">
        <v>121</v>
      </c>
      <c r="AO774" t="s">
        <v>122</v>
      </c>
      <c r="AP774" t="s">
        <v>122</v>
      </c>
      <c r="AQ774" t="s">
        <v>124</v>
      </c>
      <c r="AR774" t="s">
        <v>125</v>
      </c>
      <c r="AS774">
        <v>2</v>
      </c>
      <c r="AT774" t="s">
        <v>106</v>
      </c>
      <c r="AU774" t="s">
        <v>155</v>
      </c>
      <c r="AV774" t="s">
        <v>156</v>
      </c>
      <c r="AW774">
        <v>1</v>
      </c>
      <c r="AX774" t="s">
        <v>129</v>
      </c>
      <c r="AY774">
        <v>42312.36</v>
      </c>
      <c r="AZ774">
        <v>3201154</v>
      </c>
      <c r="BA774">
        <v>49107.25</v>
      </c>
      <c r="BB774">
        <v>75.655299999999997</v>
      </c>
      <c r="BC774" t="s">
        <v>130</v>
      </c>
      <c r="BD774" t="s">
        <v>112</v>
      </c>
      <c r="BE774" t="s">
        <v>157</v>
      </c>
      <c r="BF774" t="s">
        <v>133</v>
      </c>
      <c r="BG774" t="s">
        <v>134</v>
      </c>
      <c r="BH774" t="s">
        <v>112</v>
      </c>
      <c r="BI774" t="s">
        <v>178</v>
      </c>
      <c r="BJ774" t="s">
        <v>112</v>
      </c>
      <c r="BK774" t="s">
        <v>125</v>
      </c>
      <c r="BL774" t="s">
        <v>179</v>
      </c>
      <c r="BM774" t="s">
        <v>180</v>
      </c>
      <c r="BN774" t="s">
        <v>181</v>
      </c>
      <c r="BO774">
        <v>1</v>
      </c>
      <c r="BP774" t="s">
        <v>327</v>
      </c>
      <c r="BR774" t="s">
        <v>150</v>
      </c>
      <c r="BS774">
        <v>33</v>
      </c>
      <c r="BT774">
        <v>1</v>
      </c>
      <c r="BU774">
        <v>0</v>
      </c>
      <c r="BW774">
        <v>0</v>
      </c>
      <c r="BY774" t="s">
        <v>106</v>
      </c>
      <c r="BZ774" t="s">
        <v>142</v>
      </c>
      <c r="CA774" t="s">
        <v>112</v>
      </c>
      <c r="CB774" t="s">
        <v>112</v>
      </c>
      <c r="CC774" t="s">
        <v>121</v>
      </c>
      <c r="CD774">
        <v>18136.13</v>
      </c>
      <c r="CE774" t="s">
        <v>144</v>
      </c>
      <c r="CF774">
        <v>4000000</v>
      </c>
      <c r="CG774">
        <v>18136.13</v>
      </c>
      <c r="CH774">
        <v>0</v>
      </c>
      <c r="CI774" t="s">
        <v>112</v>
      </c>
      <c r="CJ774" t="s">
        <v>112</v>
      </c>
      <c r="CK774">
        <v>42312.36</v>
      </c>
      <c r="CL774">
        <v>3201154</v>
      </c>
      <c r="CM774">
        <v>0</v>
      </c>
      <c r="CN774">
        <v>1</v>
      </c>
      <c r="CO774">
        <v>3454081.47</v>
      </c>
      <c r="CP774">
        <v>49107.25</v>
      </c>
      <c r="CQ774" t="s">
        <v>145</v>
      </c>
      <c r="CR774">
        <v>49107.199201000003</v>
      </c>
      <c r="CS774">
        <v>2.7077</v>
      </c>
      <c r="CT774">
        <v>941</v>
      </c>
      <c r="CU774" t="s">
        <v>183</v>
      </c>
      <c r="CV774" t="s">
        <v>147</v>
      </c>
      <c r="CW774">
        <v>212</v>
      </c>
    </row>
    <row r="775" spans="1:101" x14ac:dyDescent="0.2">
      <c r="A775" t="s">
        <v>106</v>
      </c>
      <c r="B775" s="46">
        <v>45132</v>
      </c>
      <c r="C775" t="s">
        <v>328</v>
      </c>
      <c r="D775" t="s">
        <v>108</v>
      </c>
      <c r="E775" t="s">
        <v>329</v>
      </c>
      <c r="F775" t="s">
        <v>110</v>
      </c>
      <c r="G775" t="s">
        <v>111</v>
      </c>
      <c r="H775" t="s">
        <v>112</v>
      </c>
      <c r="I775" t="s">
        <v>112</v>
      </c>
      <c r="J775" t="s">
        <v>112</v>
      </c>
      <c r="K775" t="s">
        <v>175</v>
      </c>
      <c r="L775" t="s">
        <v>176</v>
      </c>
      <c r="M775" t="s">
        <v>112</v>
      </c>
      <c r="N775" t="s">
        <v>112</v>
      </c>
      <c r="O775">
        <v>1</v>
      </c>
      <c r="P775">
        <v>0</v>
      </c>
      <c r="Q775">
        <v>1</v>
      </c>
      <c r="R775">
        <v>33</v>
      </c>
      <c r="S775" t="s">
        <v>166</v>
      </c>
      <c r="T775" t="s">
        <v>152</v>
      </c>
      <c r="U775" t="s">
        <v>153</v>
      </c>
      <c r="V775" t="s">
        <v>177</v>
      </c>
      <c r="W775" t="s">
        <v>119</v>
      </c>
      <c r="X775" t="s">
        <v>112</v>
      </c>
      <c r="Y775" t="s">
        <v>166</v>
      </c>
      <c r="Z775" t="s">
        <v>152</v>
      </c>
      <c r="AA775" t="s">
        <v>153</v>
      </c>
      <c r="AB775" t="s">
        <v>177</v>
      </c>
      <c r="AC775" t="s">
        <v>119</v>
      </c>
      <c r="AD775" t="s">
        <v>112</v>
      </c>
      <c r="AE775" t="s">
        <v>121</v>
      </c>
      <c r="AF775" t="s">
        <v>122</v>
      </c>
      <c r="AG775">
        <v>3352331.9</v>
      </c>
      <c r="AH775" t="s">
        <v>166</v>
      </c>
      <c r="AI775" t="s">
        <v>152</v>
      </c>
      <c r="AJ775" t="s">
        <v>153</v>
      </c>
      <c r="AK775" t="s">
        <v>177</v>
      </c>
      <c r="AL775" t="s">
        <v>119</v>
      </c>
      <c r="AM775" t="s">
        <v>112</v>
      </c>
      <c r="AN775" t="s">
        <v>121</v>
      </c>
      <c r="AO775" t="s">
        <v>122</v>
      </c>
      <c r="AP775" t="s">
        <v>122</v>
      </c>
      <c r="AQ775" t="s">
        <v>124</v>
      </c>
      <c r="AR775" t="s">
        <v>125</v>
      </c>
      <c r="AS775">
        <v>2</v>
      </c>
      <c r="AT775" t="s">
        <v>106</v>
      </c>
      <c r="AU775" t="s">
        <v>155</v>
      </c>
      <c r="AV775" t="s">
        <v>156</v>
      </c>
      <c r="AW775">
        <v>1</v>
      </c>
      <c r="AX775" t="s">
        <v>129</v>
      </c>
      <c r="AY775">
        <v>40967.449999999997</v>
      </c>
      <c r="AZ775">
        <v>3099405</v>
      </c>
      <c r="BA775">
        <v>47660.66</v>
      </c>
      <c r="BB775">
        <v>75.655299999999997</v>
      </c>
      <c r="BC775" t="s">
        <v>130</v>
      </c>
      <c r="BD775" t="s">
        <v>112</v>
      </c>
      <c r="BE775" t="s">
        <v>157</v>
      </c>
      <c r="BF775" t="s">
        <v>133</v>
      </c>
      <c r="BG775" t="s">
        <v>167</v>
      </c>
      <c r="BH775" t="s">
        <v>330</v>
      </c>
      <c r="BI775" t="s">
        <v>112</v>
      </c>
      <c r="BJ775" t="s">
        <v>112</v>
      </c>
      <c r="BK775" t="s">
        <v>125</v>
      </c>
      <c r="BL775" t="s">
        <v>331</v>
      </c>
      <c r="BM775" t="s">
        <v>332</v>
      </c>
      <c r="BN775" t="s">
        <v>181</v>
      </c>
      <c r="BO775">
        <v>1</v>
      </c>
      <c r="BP775" t="s">
        <v>333</v>
      </c>
      <c r="BR775" t="s">
        <v>150</v>
      </c>
      <c r="BS775">
        <v>33</v>
      </c>
      <c r="BT775">
        <v>1</v>
      </c>
      <c r="BU775">
        <v>0</v>
      </c>
      <c r="BW775">
        <v>0</v>
      </c>
      <c r="BY775" t="s">
        <v>106</v>
      </c>
      <c r="BZ775" t="s">
        <v>142</v>
      </c>
      <c r="CA775" t="s">
        <v>112</v>
      </c>
      <c r="CB775" t="s">
        <v>112</v>
      </c>
      <c r="CC775" t="s">
        <v>121</v>
      </c>
      <c r="CD775">
        <v>18003.330000000002</v>
      </c>
      <c r="CE775" t="s">
        <v>144</v>
      </c>
      <c r="CF775">
        <v>4000000</v>
      </c>
      <c r="CG775">
        <v>18003.330000000002</v>
      </c>
      <c r="CH775">
        <v>0</v>
      </c>
      <c r="CI775" t="s">
        <v>112</v>
      </c>
      <c r="CJ775" t="s">
        <v>112</v>
      </c>
      <c r="CK775">
        <v>40967.449999999997</v>
      </c>
      <c r="CL775">
        <v>3099405</v>
      </c>
      <c r="CM775">
        <v>0</v>
      </c>
      <c r="CN775">
        <v>1</v>
      </c>
      <c r="CO775">
        <v>3352331.9</v>
      </c>
      <c r="CP775">
        <v>47660.66</v>
      </c>
      <c r="CQ775" t="s">
        <v>145</v>
      </c>
      <c r="CR775">
        <v>47660.215509000001</v>
      </c>
      <c r="CS775">
        <v>2.6473</v>
      </c>
      <c r="CT775">
        <v>941</v>
      </c>
      <c r="CU775" t="s">
        <v>183</v>
      </c>
      <c r="CV775" t="s">
        <v>147</v>
      </c>
      <c r="CW775">
        <v>219</v>
      </c>
    </row>
    <row r="776" spans="1:101" x14ac:dyDescent="0.2">
      <c r="A776" t="s">
        <v>106</v>
      </c>
      <c r="B776" s="46">
        <v>45141</v>
      </c>
      <c r="C776" t="s">
        <v>337</v>
      </c>
      <c r="D776" t="s">
        <v>108</v>
      </c>
      <c r="E776" t="s">
        <v>338</v>
      </c>
      <c r="F776" t="s">
        <v>110</v>
      </c>
      <c r="G776" t="s">
        <v>111</v>
      </c>
      <c r="H776" t="s">
        <v>112</v>
      </c>
      <c r="I776" t="s">
        <v>112</v>
      </c>
      <c r="J776" t="s">
        <v>112</v>
      </c>
      <c r="K776" t="s">
        <v>175</v>
      </c>
      <c r="L776" t="s">
        <v>176</v>
      </c>
      <c r="M776" t="s">
        <v>112</v>
      </c>
      <c r="N776" t="s">
        <v>112</v>
      </c>
      <c r="O776">
        <v>1</v>
      </c>
      <c r="P776">
        <v>0</v>
      </c>
      <c r="Q776">
        <v>1</v>
      </c>
      <c r="R776">
        <v>33</v>
      </c>
      <c r="S776" t="s">
        <v>166</v>
      </c>
      <c r="T776" t="s">
        <v>152</v>
      </c>
      <c r="U776" t="s">
        <v>153</v>
      </c>
      <c r="V776" t="s">
        <v>177</v>
      </c>
      <c r="W776" t="s">
        <v>119</v>
      </c>
      <c r="X776" t="s">
        <v>112</v>
      </c>
      <c r="Y776" t="s">
        <v>166</v>
      </c>
      <c r="Z776" t="s">
        <v>152</v>
      </c>
      <c r="AA776" t="s">
        <v>153</v>
      </c>
      <c r="AB776" t="s">
        <v>177</v>
      </c>
      <c r="AC776" t="s">
        <v>119</v>
      </c>
      <c r="AD776" t="s">
        <v>112</v>
      </c>
      <c r="AE776" t="s">
        <v>121</v>
      </c>
      <c r="AF776" t="s">
        <v>122</v>
      </c>
      <c r="AG776">
        <v>3189804.65</v>
      </c>
      <c r="AH776" t="s">
        <v>166</v>
      </c>
      <c r="AI776" t="s">
        <v>152</v>
      </c>
      <c r="AJ776" t="s">
        <v>153</v>
      </c>
      <c r="AK776" t="s">
        <v>177</v>
      </c>
      <c r="AL776" t="s">
        <v>119</v>
      </c>
      <c r="AM776" t="s">
        <v>112</v>
      </c>
      <c r="AN776" t="s">
        <v>121</v>
      </c>
      <c r="AO776" t="s">
        <v>122</v>
      </c>
      <c r="AP776" t="s">
        <v>122</v>
      </c>
      <c r="AQ776" t="s">
        <v>124</v>
      </c>
      <c r="AR776" t="s">
        <v>125</v>
      </c>
      <c r="AS776">
        <v>2</v>
      </c>
      <c r="AT776" t="s">
        <v>106</v>
      </c>
      <c r="AU776" t="s">
        <v>155</v>
      </c>
      <c r="AV776" t="s">
        <v>156</v>
      </c>
      <c r="AW776">
        <v>1</v>
      </c>
      <c r="AX776" t="s">
        <v>129</v>
      </c>
      <c r="AY776">
        <v>38819.19</v>
      </c>
      <c r="AZ776">
        <v>2936877</v>
      </c>
      <c r="BA776">
        <v>45349.99</v>
      </c>
      <c r="BB776">
        <v>75.655299999999997</v>
      </c>
      <c r="BC776" t="s">
        <v>130</v>
      </c>
      <c r="BD776" t="s">
        <v>112</v>
      </c>
      <c r="BE776" t="s">
        <v>157</v>
      </c>
      <c r="BF776" t="s">
        <v>133</v>
      </c>
      <c r="BG776" t="s">
        <v>167</v>
      </c>
      <c r="BH776" t="s">
        <v>330</v>
      </c>
      <c r="BI776" t="s">
        <v>112</v>
      </c>
      <c r="BJ776" t="s">
        <v>112</v>
      </c>
      <c r="BK776" t="s">
        <v>125</v>
      </c>
      <c r="BL776" t="s">
        <v>331</v>
      </c>
      <c r="BM776" t="s">
        <v>332</v>
      </c>
      <c r="BN776" t="s">
        <v>181</v>
      </c>
      <c r="BO776">
        <v>1</v>
      </c>
      <c r="BP776" t="s">
        <v>339</v>
      </c>
      <c r="BR776" t="s">
        <v>150</v>
      </c>
      <c r="BS776">
        <v>33</v>
      </c>
      <c r="BT776">
        <v>1</v>
      </c>
      <c r="BU776">
        <v>0</v>
      </c>
      <c r="BW776">
        <v>0</v>
      </c>
      <c r="BY776" t="s">
        <v>106</v>
      </c>
      <c r="BZ776" t="s">
        <v>142</v>
      </c>
      <c r="CA776" t="s">
        <v>112</v>
      </c>
      <c r="CB776" t="s">
        <v>112</v>
      </c>
      <c r="CC776" t="s">
        <v>121</v>
      </c>
      <c r="CD776">
        <v>15348.64</v>
      </c>
      <c r="CE776" t="s">
        <v>144</v>
      </c>
      <c r="CF776">
        <v>4000000</v>
      </c>
      <c r="CG776">
        <v>15078.64</v>
      </c>
      <c r="CH776">
        <v>0</v>
      </c>
      <c r="CI776" t="s">
        <v>112</v>
      </c>
      <c r="CJ776" t="s">
        <v>112</v>
      </c>
      <c r="CK776">
        <v>38819.19</v>
      </c>
      <c r="CL776">
        <v>2936877</v>
      </c>
      <c r="CM776">
        <v>0</v>
      </c>
      <c r="CN776">
        <v>1</v>
      </c>
      <c r="CO776">
        <v>3189804.65</v>
      </c>
      <c r="CP776">
        <v>45349.99</v>
      </c>
      <c r="CQ776" t="s">
        <v>145</v>
      </c>
      <c r="CR776">
        <v>45350.517663999999</v>
      </c>
      <c r="CS776">
        <v>3.0076000000000001</v>
      </c>
      <c r="CT776">
        <v>941</v>
      </c>
      <c r="CU776" t="s">
        <v>183</v>
      </c>
      <c r="CV776" t="s">
        <v>147</v>
      </c>
      <c r="CW776">
        <v>219</v>
      </c>
    </row>
    <row r="777" spans="1:101" x14ac:dyDescent="0.2">
      <c r="A777" t="s">
        <v>106</v>
      </c>
      <c r="B777" s="46">
        <v>45225</v>
      </c>
      <c r="C777" t="s">
        <v>1095</v>
      </c>
      <c r="D777" t="s">
        <v>108</v>
      </c>
      <c r="E777" t="s">
        <v>1096</v>
      </c>
      <c r="F777" t="s">
        <v>110</v>
      </c>
      <c r="G777" t="s">
        <v>111</v>
      </c>
      <c r="H777" t="s">
        <v>112</v>
      </c>
      <c r="I777" t="s">
        <v>112</v>
      </c>
      <c r="J777" t="s">
        <v>112</v>
      </c>
      <c r="K777" t="s">
        <v>150</v>
      </c>
      <c r="L777" t="s">
        <v>151</v>
      </c>
      <c r="M777" t="s">
        <v>112</v>
      </c>
      <c r="N777" t="s">
        <v>112</v>
      </c>
      <c r="O777">
        <v>1</v>
      </c>
      <c r="Q777">
        <v>1</v>
      </c>
      <c r="R777">
        <v>33</v>
      </c>
      <c r="S777" t="s">
        <v>112</v>
      </c>
      <c r="T777" t="s">
        <v>152</v>
      </c>
      <c r="U777" t="s">
        <v>153</v>
      </c>
      <c r="V777" t="s">
        <v>154</v>
      </c>
      <c r="W777" t="s">
        <v>119</v>
      </c>
      <c r="X777" t="s">
        <v>112</v>
      </c>
      <c r="Y777" t="s">
        <v>112</v>
      </c>
      <c r="Z777" t="s">
        <v>152</v>
      </c>
      <c r="AA777" t="s">
        <v>153</v>
      </c>
      <c r="AB777" t="s">
        <v>154</v>
      </c>
      <c r="AC777" t="s">
        <v>119</v>
      </c>
      <c r="AD777" t="s">
        <v>112</v>
      </c>
      <c r="AE777" t="s">
        <v>121</v>
      </c>
      <c r="AF777" t="s">
        <v>122</v>
      </c>
      <c r="AG777">
        <v>4653148.21</v>
      </c>
      <c r="AH777" t="s">
        <v>112</v>
      </c>
      <c r="AI777" t="s">
        <v>152</v>
      </c>
      <c r="AJ777" t="s">
        <v>153</v>
      </c>
      <c r="AK777" t="s">
        <v>154</v>
      </c>
      <c r="AL777" t="s">
        <v>119</v>
      </c>
      <c r="AM777" t="s">
        <v>112</v>
      </c>
      <c r="AN777" t="s">
        <v>121</v>
      </c>
      <c r="AO777" t="s">
        <v>122</v>
      </c>
      <c r="AP777" t="s">
        <v>122</v>
      </c>
      <c r="AQ777" t="s">
        <v>124</v>
      </c>
      <c r="AR777" t="s">
        <v>125</v>
      </c>
      <c r="AS777">
        <v>2</v>
      </c>
      <c r="AT777" t="s">
        <v>126</v>
      </c>
      <c r="AU777" t="s">
        <v>155</v>
      </c>
      <c r="AV777" t="s">
        <v>156</v>
      </c>
      <c r="AX777" t="s">
        <v>129</v>
      </c>
      <c r="AY777">
        <v>41948.61</v>
      </c>
      <c r="BB777">
        <v>100.1353</v>
      </c>
      <c r="BC777" t="s">
        <v>112</v>
      </c>
      <c r="BD777" t="s">
        <v>112</v>
      </c>
      <c r="BE777" t="s">
        <v>157</v>
      </c>
      <c r="BF777" t="s">
        <v>133</v>
      </c>
      <c r="BG777" t="s">
        <v>167</v>
      </c>
      <c r="BH777" t="s">
        <v>112</v>
      </c>
      <c r="BI777" t="s">
        <v>112</v>
      </c>
      <c r="BJ777" t="s">
        <v>112</v>
      </c>
      <c r="BK777" t="s">
        <v>158</v>
      </c>
      <c r="BL777" t="s">
        <v>159</v>
      </c>
      <c r="BM777" t="s">
        <v>160</v>
      </c>
      <c r="BN777" t="s">
        <v>161</v>
      </c>
      <c r="BP777" t="s">
        <v>205</v>
      </c>
      <c r="BR777" t="s">
        <v>150</v>
      </c>
      <c r="BS777">
        <v>33</v>
      </c>
      <c r="BT777">
        <v>0</v>
      </c>
      <c r="BU777">
        <v>0</v>
      </c>
      <c r="BW777">
        <v>0</v>
      </c>
      <c r="BY777" t="s">
        <v>106</v>
      </c>
      <c r="BZ777" t="s">
        <v>142</v>
      </c>
      <c r="CA777" t="s">
        <v>112</v>
      </c>
      <c r="CB777" t="s">
        <v>112</v>
      </c>
      <c r="CC777" t="s">
        <v>121</v>
      </c>
      <c r="CD777">
        <v>16964.52</v>
      </c>
      <c r="CE777" t="s">
        <v>144</v>
      </c>
      <c r="CF777">
        <v>4000000</v>
      </c>
      <c r="CG777">
        <v>16888.919999999998</v>
      </c>
      <c r="CH777">
        <v>0</v>
      </c>
      <c r="CI777" t="s">
        <v>112</v>
      </c>
      <c r="CJ777" t="s">
        <v>112</v>
      </c>
      <c r="CK777">
        <v>41948.61</v>
      </c>
      <c r="CM777">
        <v>0</v>
      </c>
      <c r="CN777">
        <v>1</v>
      </c>
      <c r="CO777">
        <v>4653148.21</v>
      </c>
      <c r="CP777">
        <v>50151.09</v>
      </c>
      <c r="CQ777" t="s">
        <v>145</v>
      </c>
      <c r="CR777">
        <v>50160.092400000001</v>
      </c>
      <c r="CS777">
        <v>2.97</v>
      </c>
      <c r="CT777">
        <v>45</v>
      </c>
      <c r="CV777" t="s">
        <v>729</v>
      </c>
      <c r="CW777">
        <v>246</v>
      </c>
    </row>
    <row r="778" spans="1:101" x14ac:dyDescent="0.2">
      <c r="A778" t="s">
        <v>106</v>
      </c>
      <c r="B778" s="46">
        <v>45238</v>
      </c>
      <c r="C778" t="s">
        <v>1563</v>
      </c>
      <c r="D778" t="s">
        <v>108</v>
      </c>
      <c r="E778" t="s">
        <v>1564</v>
      </c>
      <c r="F778" t="s">
        <v>110</v>
      </c>
      <c r="G778" t="s">
        <v>111</v>
      </c>
      <c r="H778" t="s">
        <v>112</v>
      </c>
      <c r="I778" t="s">
        <v>112</v>
      </c>
      <c r="J778" t="s">
        <v>112</v>
      </c>
      <c r="K778" t="s">
        <v>150</v>
      </c>
      <c r="L778" t="s">
        <v>151</v>
      </c>
      <c r="M778" t="s">
        <v>112</v>
      </c>
      <c r="N778" t="s">
        <v>112</v>
      </c>
      <c r="O778">
        <v>1</v>
      </c>
      <c r="Q778">
        <v>1</v>
      </c>
      <c r="R778">
        <v>33</v>
      </c>
      <c r="S778" t="s">
        <v>112</v>
      </c>
      <c r="T778" t="s">
        <v>152</v>
      </c>
      <c r="U778" t="s">
        <v>153</v>
      </c>
      <c r="V778" t="s">
        <v>154</v>
      </c>
      <c r="W778" t="s">
        <v>119</v>
      </c>
      <c r="X778" t="s">
        <v>112</v>
      </c>
      <c r="Y778" t="s">
        <v>112</v>
      </c>
      <c r="Z778" t="s">
        <v>152</v>
      </c>
      <c r="AA778" t="s">
        <v>153</v>
      </c>
      <c r="AB778" t="s">
        <v>154</v>
      </c>
      <c r="AC778" t="s">
        <v>119</v>
      </c>
      <c r="AD778" t="s">
        <v>112</v>
      </c>
      <c r="AE778" t="s">
        <v>121</v>
      </c>
      <c r="AF778" t="s">
        <v>122</v>
      </c>
      <c r="AG778">
        <v>5482771.3499999996</v>
      </c>
      <c r="AH778" t="s">
        <v>112</v>
      </c>
      <c r="AI778" t="s">
        <v>152</v>
      </c>
      <c r="AJ778" t="s">
        <v>153</v>
      </c>
      <c r="AK778" t="s">
        <v>154</v>
      </c>
      <c r="AL778" t="s">
        <v>119</v>
      </c>
      <c r="AM778" t="s">
        <v>112</v>
      </c>
      <c r="AN778" t="s">
        <v>121</v>
      </c>
      <c r="AO778" t="s">
        <v>122</v>
      </c>
      <c r="AP778" t="s">
        <v>122</v>
      </c>
      <c r="AQ778" t="s">
        <v>124</v>
      </c>
      <c r="AR778" t="s">
        <v>125</v>
      </c>
      <c r="AS778">
        <v>2</v>
      </c>
      <c r="AT778" t="s">
        <v>126</v>
      </c>
      <c r="AU778" t="s">
        <v>155</v>
      </c>
      <c r="AV778" t="s">
        <v>156</v>
      </c>
      <c r="AX778" t="s">
        <v>129</v>
      </c>
      <c r="AY778">
        <v>51385.32</v>
      </c>
      <c r="BB778">
        <v>99.011099999999999</v>
      </c>
      <c r="BC778" t="s">
        <v>112</v>
      </c>
      <c r="BD778" t="s">
        <v>112</v>
      </c>
      <c r="BE778" t="s">
        <v>157</v>
      </c>
      <c r="BF778" t="s">
        <v>133</v>
      </c>
      <c r="BG778" t="s">
        <v>167</v>
      </c>
      <c r="BH778" t="s">
        <v>112</v>
      </c>
      <c r="BI778" t="s">
        <v>112</v>
      </c>
      <c r="BJ778" t="s">
        <v>112</v>
      </c>
      <c r="BK778" t="s">
        <v>158</v>
      </c>
      <c r="BL778" t="s">
        <v>159</v>
      </c>
      <c r="BM778" t="s">
        <v>160</v>
      </c>
      <c r="BN778" t="s">
        <v>161</v>
      </c>
      <c r="BP778" t="s">
        <v>1426</v>
      </c>
      <c r="BR778" t="s">
        <v>150</v>
      </c>
      <c r="BS778">
        <v>33</v>
      </c>
      <c r="BT778">
        <v>0</v>
      </c>
      <c r="BU778">
        <v>0</v>
      </c>
      <c r="BW778">
        <v>0</v>
      </c>
      <c r="BY778" t="s">
        <v>106</v>
      </c>
      <c r="BZ778" t="s">
        <v>142</v>
      </c>
      <c r="CA778" t="s">
        <v>112</v>
      </c>
      <c r="CB778" t="s">
        <v>112</v>
      </c>
      <c r="CC778" t="s">
        <v>121</v>
      </c>
      <c r="CD778">
        <v>15723.86</v>
      </c>
      <c r="CE778" t="s">
        <v>144</v>
      </c>
      <c r="CF778">
        <v>4000000</v>
      </c>
      <c r="CG778">
        <v>15723.86</v>
      </c>
      <c r="CH778">
        <v>0</v>
      </c>
      <c r="CI778" t="s">
        <v>112</v>
      </c>
      <c r="CJ778" t="s">
        <v>112</v>
      </c>
      <c r="CK778">
        <v>51385.32</v>
      </c>
      <c r="CM778">
        <v>0</v>
      </c>
      <c r="CN778">
        <v>1</v>
      </c>
      <c r="CO778">
        <v>5482771.3499999996</v>
      </c>
      <c r="CP778">
        <v>58932.29</v>
      </c>
      <c r="CQ778" t="s">
        <v>145</v>
      </c>
      <c r="CR778">
        <v>58964.475000000006</v>
      </c>
      <c r="CS778">
        <v>3.75</v>
      </c>
      <c r="CT778">
        <v>45</v>
      </c>
      <c r="CV778" t="s">
        <v>233</v>
      </c>
      <c r="CW778">
        <v>155</v>
      </c>
    </row>
    <row r="779" spans="1:101" x14ac:dyDescent="0.2">
      <c r="A779" t="s">
        <v>106</v>
      </c>
      <c r="B779" s="46">
        <v>44956</v>
      </c>
      <c r="C779" t="s">
        <v>1597</v>
      </c>
      <c r="D779" t="s">
        <v>108</v>
      </c>
      <c r="E779" t="s">
        <v>1598</v>
      </c>
      <c r="F779" t="s">
        <v>110</v>
      </c>
      <c r="G779" t="s">
        <v>111</v>
      </c>
      <c r="H779" t="s">
        <v>112</v>
      </c>
      <c r="I779" t="s">
        <v>112</v>
      </c>
      <c r="J779" t="s">
        <v>112</v>
      </c>
      <c r="K779" t="s">
        <v>150</v>
      </c>
      <c r="L779" t="s">
        <v>151</v>
      </c>
      <c r="M779" t="s">
        <v>112</v>
      </c>
      <c r="N779" t="s">
        <v>112</v>
      </c>
      <c r="O779">
        <v>1</v>
      </c>
      <c r="Q779">
        <v>1</v>
      </c>
      <c r="R779">
        <v>33</v>
      </c>
      <c r="S779" t="s">
        <v>112</v>
      </c>
      <c r="T779" t="s">
        <v>152</v>
      </c>
      <c r="U779" t="s">
        <v>153</v>
      </c>
      <c r="V779" t="s">
        <v>154</v>
      </c>
      <c r="W779" t="s">
        <v>119</v>
      </c>
      <c r="X779" t="s">
        <v>112</v>
      </c>
      <c r="Y779" t="s">
        <v>112</v>
      </c>
      <c r="Z779" t="s">
        <v>152</v>
      </c>
      <c r="AA779" t="s">
        <v>153</v>
      </c>
      <c r="AB779" t="s">
        <v>154</v>
      </c>
      <c r="AC779" t="s">
        <v>119</v>
      </c>
      <c r="AD779" t="s">
        <v>112</v>
      </c>
      <c r="AE779" t="s">
        <v>121</v>
      </c>
      <c r="AF779" t="s">
        <v>122</v>
      </c>
      <c r="AG779">
        <v>4643054.25</v>
      </c>
      <c r="AH779" t="s">
        <v>112</v>
      </c>
      <c r="AI779" t="s">
        <v>152</v>
      </c>
      <c r="AJ779" t="s">
        <v>153</v>
      </c>
      <c r="AK779" t="s">
        <v>154</v>
      </c>
      <c r="AL779" t="s">
        <v>119</v>
      </c>
      <c r="AM779" t="s">
        <v>112</v>
      </c>
      <c r="AN779" t="s">
        <v>121</v>
      </c>
      <c r="AO779" t="s">
        <v>122</v>
      </c>
      <c r="AP779" t="s">
        <v>122</v>
      </c>
      <c r="AQ779" t="s">
        <v>124</v>
      </c>
      <c r="AR779" t="s">
        <v>125</v>
      </c>
      <c r="AS779">
        <v>2</v>
      </c>
      <c r="AT779" t="s">
        <v>126</v>
      </c>
      <c r="AU779" t="s">
        <v>155</v>
      </c>
      <c r="AV779" t="s">
        <v>156</v>
      </c>
      <c r="AX779" t="s">
        <v>129</v>
      </c>
      <c r="AY779">
        <v>42904.28</v>
      </c>
      <c r="BB779">
        <v>99.011099999999999</v>
      </c>
      <c r="BC779" t="s">
        <v>112</v>
      </c>
      <c r="BD779" t="s">
        <v>112</v>
      </c>
      <c r="BE779" t="s">
        <v>157</v>
      </c>
      <c r="BF779" t="s">
        <v>133</v>
      </c>
      <c r="BG779" t="s">
        <v>167</v>
      </c>
      <c r="BH779" t="s">
        <v>112</v>
      </c>
      <c r="BI779" t="s">
        <v>112</v>
      </c>
      <c r="BJ779" t="s">
        <v>112</v>
      </c>
      <c r="BK779" t="s">
        <v>158</v>
      </c>
      <c r="BL779" t="s">
        <v>159</v>
      </c>
      <c r="BM779" t="s">
        <v>160</v>
      </c>
      <c r="BN779" t="s">
        <v>161</v>
      </c>
      <c r="BP779" t="s">
        <v>232</v>
      </c>
      <c r="BR779" t="s">
        <v>150</v>
      </c>
      <c r="BS779">
        <v>33</v>
      </c>
      <c r="BT779">
        <v>0</v>
      </c>
      <c r="BU779">
        <v>0</v>
      </c>
      <c r="BW779">
        <v>0</v>
      </c>
      <c r="BY779" t="s">
        <v>106</v>
      </c>
      <c r="BZ779" t="s">
        <v>142</v>
      </c>
      <c r="CA779" t="s">
        <v>112</v>
      </c>
      <c r="CB779" t="s">
        <v>112</v>
      </c>
      <c r="CC779" t="s">
        <v>121</v>
      </c>
      <c r="CD779">
        <v>16091.87</v>
      </c>
      <c r="CE779" t="s">
        <v>144</v>
      </c>
      <c r="CF779">
        <v>4000000</v>
      </c>
      <c r="CG779">
        <v>15932.27</v>
      </c>
      <c r="CH779">
        <v>0</v>
      </c>
      <c r="CI779" t="s">
        <v>112</v>
      </c>
      <c r="CJ779" t="s">
        <v>112</v>
      </c>
      <c r="CK779">
        <v>42904.28</v>
      </c>
      <c r="CM779">
        <v>0</v>
      </c>
      <c r="CN779">
        <v>1</v>
      </c>
      <c r="CO779">
        <v>4643054.25</v>
      </c>
      <c r="CP779">
        <v>49906.48</v>
      </c>
      <c r="CQ779" t="s">
        <v>145</v>
      </c>
      <c r="CR779">
        <v>49868.005100000002</v>
      </c>
      <c r="CS779">
        <v>3.13</v>
      </c>
      <c r="CT779">
        <v>45</v>
      </c>
      <c r="CV779" t="s">
        <v>206</v>
      </c>
      <c r="CW779">
        <v>195</v>
      </c>
    </row>
    <row r="780" spans="1:101" x14ac:dyDescent="0.2">
      <c r="A780" t="s">
        <v>106</v>
      </c>
      <c r="B780" s="46">
        <v>45001</v>
      </c>
      <c r="C780" t="s">
        <v>1577</v>
      </c>
      <c r="D780" t="s">
        <v>108</v>
      </c>
      <c r="E780" t="s">
        <v>1578</v>
      </c>
      <c r="F780" t="s">
        <v>110</v>
      </c>
      <c r="G780" t="s">
        <v>111</v>
      </c>
      <c r="H780" t="s">
        <v>112</v>
      </c>
      <c r="I780" t="s">
        <v>112</v>
      </c>
      <c r="J780" t="s">
        <v>112</v>
      </c>
      <c r="K780" t="s">
        <v>150</v>
      </c>
      <c r="L780" t="s">
        <v>151</v>
      </c>
      <c r="M780" t="s">
        <v>112</v>
      </c>
      <c r="N780" t="s">
        <v>112</v>
      </c>
      <c r="O780">
        <v>1</v>
      </c>
      <c r="Q780">
        <v>1</v>
      </c>
      <c r="R780">
        <v>33</v>
      </c>
      <c r="S780" t="s">
        <v>112</v>
      </c>
      <c r="T780" t="s">
        <v>152</v>
      </c>
      <c r="U780" t="s">
        <v>153</v>
      </c>
      <c r="V780" t="s">
        <v>154</v>
      </c>
      <c r="W780" t="s">
        <v>119</v>
      </c>
      <c r="X780" t="s">
        <v>112</v>
      </c>
      <c r="Y780" t="s">
        <v>112</v>
      </c>
      <c r="Z780" t="s">
        <v>152</v>
      </c>
      <c r="AA780" t="s">
        <v>153</v>
      </c>
      <c r="AB780" t="s">
        <v>154</v>
      </c>
      <c r="AC780" t="s">
        <v>119</v>
      </c>
      <c r="AD780" t="s">
        <v>112</v>
      </c>
      <c r="AE780" t="s">
        <v>121</v>
      </c>
      <c r="AF780" t="s">
        <v>122</v>
      </c>
      <c r="AG780">
        <v>4304040.24</v>
      </c>
      <c r="AH780" t="s">
        <v>112</v>
      </c>
      <c r="AI780" t="s">
        <v>152</v>
      </c>
      <c r="AJ780" t="s">
        <v>153</v>
      </c>
      <c r="AK780" t="s">
        <v>154</v>
      </c>
      <c r="AL780" t="s">
        <v>119</v>
      </c>
      <c r="AM780" t="s">
        <v>112</v>
      </c>
      <c r="AN780" t="s">
        <v>121</v>
      </c>
      <c r="AO780" t="s">
        <v>122</v>
      </c>
      <c r="AP780" t="s">
        <v>122</v>
      </c>
      <c r="AQ780" t="s">
        <v>124</v>
      </c>
      <c r="AR780" t="s">
        <v>125</v>
      </c>
      <c r="AS780">
        <v>2</v>
      </c>
      <c r="AT780" t="s">
        <v>126</v>
      </c>
      <c r="AU780" t="s">
        <v>155</v>
      </c>
      <c r="AV780" t="s">
        <v>156</v>
      </c>
      <c r="AX780" t="s">
        <v>129</v>
      </c>
      <c r="AY780">
        <v>38950.28</v>
      </c>
      <c r="BB780">
        <v>99.011099999999999</v>
      </c>
      <c r="BC780" t="s">
        <v>112</v>
      </c>
      <c r="BD780" t="s">
        <v>112</v>
      </c>
      <c r="BE780" t="s">
        <v>157</v>
      </c>
      <c r="BF780" t="s">
        <v>133</v>
      </c>
      <c r="BG780" t="s">
        <v>134</v>
      </c>
      <c r="BH780" t="s">
        <v>112</v>
      </c>
      <c r="BI780" t="s">
        <v>112</v>
      </c>
      <c r="BJ780" t="s">
        <v>112</v>
      </c>
      <c r="BK780" t="s">
        <v>158</v>
      </c>
      <c r="BL780" t="s">
        <v>159</v>
      </c>
      <c r="BM780" t="s">
        <v>212</v>
      </c>
      <c r="BN780" t="s">
        <v>161</v>
      </c>
      <c r="BP780" t="s">
        <v>232</v>
      </c>
      <c r="BR780" t="s">
        <v>150</v>
      </c>
      <c r="BS780">
        <v>33</v>
      </c>
      <c r="BT780">
        <v>0</v>
      </c>
      <c r="BU780">
        <v>0</v>
      </c>
      <c r="BW780">
        <v>0</v>
      </c>
      <c r="BY780" t="s">
        <v>106</v>
      </c>
      <c r="BZ780" t="s">
        <v>142</v>
      </c>
      <c r="CA780" t="s">
        <v>112</v>
      </c>
      <c r="CB780" t="s">
        <v>112</v>
      </c>
      <c r="CC780" t="s">
        <v>121</v>
      </c>
      <c r="CD780">
        <v>16737.43</v>
      </c>
      <c r="CE780" t="s">
        <v>144</v>
      </c>
      <c r="CF780">
        <v>4000000</v>
      </c>
      <c r="CG780">
        <v>16651.03</v>
      </c>
      <c r="CH780">
        <v>0</v>
      </c>
      <c r="CI780" t="s">
        <v>112</v>
      </c>
      <c r="CJ780" t="s">
        <v>112</v>
      </c>
      <c r="CK780">
        <v>38950.28</v>
      </c>
      <c r="CM780">
        <v>0</v>
      </c>
      <c r="CN780">
        <v>1</v>
      </c>
      <c r="CO780">
        <v>4304040.24</v>
      </c>
      <c r="CP780">
        <v>46262.54</v>
      </c>
      <c r="CQ780" t="s">
        <v>145</v>
      </c>
      <c r="CR780">
        <v>46289.863399999995</v>
      </c>
      <c r="CS780">
        <v>2.78</v>
      </c>
      <c r="CT780">
        <v>45</v>
      </c>
      <c r="CV780" t="s">
        <v>1140</v>
      </c>
      <c r="CW780">
        <v>146</v>
      </c>
    </row>
    <row r="781" spans="1:101" x14ac:dyDescent="0.2">
      <c r="A781" t="s">
        <v>106</v>
      </c>
      <c r="B781" s="46">
        <v>45013</v>
      </c>
      <c r="C781" t="s">
        <v>1575</v>
      </c>
      <c r="D781" t="s">
        <v>108</v>
      </c>
      <c r="E781" t="s">
        <v>1576</v>
      </c>
      <c r="F781" t="s">
        <v>110</v>
      </c>
      <c r="G781" t="s">
        <v>111</v>
      </c>
      <c r="H781" t="s">
        <v>112</v>
      </c>
      <c r="I781" t="s">
        <v>112</v>
      </c>
      <c r="J781" t="s">
        <v>112</v>
      </c>
      <c r="K781" t="s">
        <v>150</v>
      </c>
      <c r="L781" t="s">
        <v>151</v>
      </c>
      <c r="M781" t="s">
        <v>112</v>
      </c>
      <c r="N781" t="s">
        <v>112</v>
      </c>
      <c r="O781">
        <v>1</v>
      </c>
      <c r="Q781">
        <v>1</v>
      </c>
      <c r="R781">
        <v>33</v>
      </c>
      <c r="S781" t="s">
        <v>112</v>
      </c>
      <c r="T781" t="s">
        <v>152</v>
      </c>
      <c r="U781" t="s">
        <v>153</v>
      </c>
      <c r="V781" t="s">
        <v>154</v>
      </c>
      <c r="W781" t="s">
        <v>119</v>
      </c>
      <c r="X781" t="s">
        <v>112</v>
      </c>
      <c r="Y781" t="s">
        <v>112</v>
      </c>
      <c r="Z781" t="s">
        <v>152</v>
      </c>
      <c r="AA781" t="s">
        <v>153</v>
      </c>
      <c r="AB781" t="s">
        <v>154</v>
      </c>
      <c r="AC781" t="s">
        <v>119</v>
      </c>
      <c r="AD781" t="s">
        <v>112</v>
      </c>
      <c r="AE781" t="s">
        <v>121</v>
      </c>
      <c r="AF781" t="s">
        <v>122</v>
      </c>
      <c r="AG781">
        <v>4336102.01</v>
      </c>
      <c r="AH781" t="s">
        <v>112</v>
      </c>
      <c r="AI781" t="s">
        <v>152</v>
      </c>
      <c r="AJ781" t="s">
        <v>153</v>
      </c>
      <c r="AK781" t="s">
        <v>154</v>
      </c>
      <c r="AL781" t="s">
        <v>119</v>
      </c>
      <c r="AM781" t="s">
        <v>112</v>
      </c>
      <c r="AN781" t="s">
        <v>121</v>
      </c>
      <c r="AO781" t="s">
        <v>122</v>
      </c>
      <c r="AP781" t="s">
        <v>122</v>
      </c>
      <c r="AQ781" t="s">
        <v>124</v>
      </c>
      <c r="AR781" t="s">
        <v>125</v>
      </c>
      <c r="AS781">
        <v>2</v>
      </c>
      <c r="AT781" t="s">
        <v>126</v>
      </c>
      <c r="AU781" t="s">
        <v>155</v>
      </c>
      <c r="AV781" t="s">
        <v>156</v>
      </c>
      <c r="AX781" t="s">
        <v>129</v>
      </c>
      <c r="AY781">
        <v>39274.1</v>
      </c>
      <c r="BB781">
        <v>99.011099999999999</v>
      </c>
      <c r="BC781" t="s">
        <v>112</v>
      </c>
      <c r="BD781" t="s">
        <v>112</v>
      </c>
      <c r="BE781" t="s">
        <v>157</v>
      </c>
      <c r="BF781" t="s">
        <v>133</v>
      </c>
      <c r="BG781" t="s">
        <v>134</v>
      </c>
      <c r="BH781" t="s">
        <v>112</v>
      </c>
      <c r="BI781" t="s">
        <v>112</v>
      </c>
      <c r="BJ781" t="s">
        <v>112</v>
      </c>
      <c r="BK781" t="s">
        <v>158</v>
      </c>
      <c r="BL781" t="s">
        <v>159</v>
      </c>
      <c r="BM781" t="s">
        <v>212</v>
      </c>
      <c r="BN781" t="s">
        <v>161</v>
      </c>
      <c r="BP781" t="s">
        <v>205</v>
      </c>
      <c r="BR781" t="s">
        <v>150</v>
      </c>
      <c r="BS781">
        <v>33</v>
      </c>
      <c r="BT781">
        <v>0</v>
      </c>
      <c r="BU781">
        <v>0</v>
      </c>
      <c r="BW781">
        <v>0</v>
      </c>
      <c r="BY781" t="s">
        <v>106</v>
      </c>
      <c r="BZ781" t="s">
        <v>142</v>
      </c>
      <c r="CA781" t="s">
        <v>112</v>
      </c>
      <c r="CB781" t="s">
        <v>112</v>
      </c>
      <c r="CC781" t="s">
        <v>121</v>
      </c>
      <c r="CD781">
        <v>16809.38</v>
      </c>
      <c r="CE781" t="s">
        <v>144</v>
      </c>
      <c r="CF781">
        <v>4000000</v>
      </c>
      <c r="CG781">
        <v>16773.98</v>
      </c>
      <c r="CH781">
        <v>0</v>
      </c>
      <c r="CI781" t="s">
        <v>112</v>
      </c>
      <c r="CJ781" t="s">
        <v>112</v>
      </c>
      <c r="CK781">
        <v>39274.1</v>
      </c>
      <c r="CM781">
        <v>0</v>
      </c>
      <c r="CN781">
        <v>1</v>
      </c>
      <c r="CO781">
        <v>4336102.01</v>
      </c>
      <c r="CP781">
        <v>46607.16</v>
      </c>
      <c r="CQ781" t="s">
        <v>145</v>
      </c>
      <c r="CR781">
        <v>46631.664399999994</v>
      </c>
      <c r="CS781">
        <v>2.78</v>
      </c>
      <c r="CT781">
        <v>45</v>
      </c>
      <c r="CV781" t="s">
        <v>729</v>
      </c>
      <c r="CW781">
        <v>45</v>
      </c>
    </row>
    <row r="782" spans="1:101" x14ac:dyDescent="0.2">
      <c r="A782" t="s">
        <v>106</v>
      </c>
      <c r="B782" s="46">
        <v>45145</v>
      </c>
      <c r="C782" t="s">
        <v>1614</v>
      </c>
      <c r="D782" t="s">
        <v>108</v>
      </c>
      <c r="E782" t="s">
        <v>1615</v>
      </c>
      <c r="F782" t="s">
        <v>110</v>
      </c>
      <c r="G782" t="s">
        <v>111</v>
      </c>
      <c r="H782" t="s">
        <v>112</v>
      </c>
      <c r="I782" t="s">
        <v>112</v>
      </c>
      <c r="J782" t="s">
        <v>112</v>
      </c>
      <c r="K782" t="s">
        <v>150</v>
      </c>
      <c r="L782" t="s">
        <v>151</v>
      </c>
      <c r="M782" t="s">
        <v>112</v>
      </c>
      <c r="N782" t="s">
        <v>112</v>
      </c>
      <c r="O782">
        <v>1</v>
      </c>
      <c r="Q782">
        <v>1</v>
      </c>
      <c r="R782">
        <v>33</v>
      </c>
      <c r="S782" t="s">
        <v>112</v>
      </c>
      <c r="T782" t="s">
        <v>152</v>
      </c>
      <c r="U782" t="s">
        <v>153</v>
      </c>
      <c r="V782" t="s">
        <v>154</v>
      </c>
      <c r="W782" t="s">
        <v>119</v>
      </c>
      <c r="X782" t="s">
        <v>112</v>
      </c>
      <c r="Y782" t="s">
        <v>112</v>
      </c>
      <c r="Z782" t="s">
        <v>152</v>
      </c>
      <c r="AA782" t="s">
        <v>153</v>
      </c>
      <c r="AB782" t="s">
        <v>154</v>
      </c>
      <c r="AC782" t="s">
        <v>119</v>
      </c>
      <c r="AD782" t="s">
        <v>112</v>
      </c>
      <c r="AE782" t="s">
        <v>121</v>
      </c>
      <c r="AF782" t="s">
        <v>122</v>
      </c>
      <c r="AG782">
        <v>4820709.8600000003</v>
      </c>
      <c r="AH782" t="s">
        <v>112</v>
      </c>
      <c r="AI782" t="s">
        <v>152</v>
      </c>
      <c r="AJ782" t="s">
        <v>153</v>
      </c>
      <c r="AK782" t="s">
        <v>154</v>
      </c>
      <c r="AL782" t="s">
        <v>119</v>
      </c>
      <c r="AM782" t="s">
        <v>112</v>
      </c>
      <c r="AN782" t="s">
        <v>121</v>
      </c>
      <c r="AO782" t="s">
        <v>122</v>
      </c>
      <c r="AP782" t="s">
        <v>122</v>
      </c>
      <c r="AQ782" t="s">
        <v>124</v>
      </c>
      <c r="AR782" t="s">
        <v>125</v>
      </c>
      <c r="AS782">
        <v>2</v>
      </c>
      <c r="AT782" t="s">
        <v>126</v>
      </c>
      <c r="AU782" t="s">
        <v>155</v>
      </c>
      <c r="AV782" t="s">
        <v>156</v>
      </c>
      <c r="AX782" t="s">
        <v>129</v>
      </c>
      <c r="AY782">
        <v>43998.58</v>
      </c>
      <c r="BB782">
        <v>99.011099999999999</v>
      </c>
      <c r="BC782" t="s">
        <v>112</v>
      </c>
      <c r="BD782" t="s">
        <v>112</v>
      </c>
      <c r="BE782" t="s">
        <v>157</v>
      </c>
      <c r="BF782" t="s">
        <v>133</v>
      </c>
      <c r="BG782" t="s">
        <v>134</v>
      </c>
      <c r="BH782" t="s">
        <v>112</v>
      </c>
      <c r="BI782" t="s">
        <v>112</v>
      </c>
      <c r="BJ782" t="s">
        <v>112</v>
      </c>
      <c r="BK782" t="s">
        <v>158</v>
      </c>
      <c r="BL782" t="s">
        <v>159</v>
      </c>
      <c r="BM782" t="s">
        <v>212</v>
      </c>
      <c r="BN782" t="s">
        <v>161</v>
      </c>
      <c r="BP782" t="s">
        <v>205</v>
      </c>
      <c r="BR782" t="s">
        <v>150</v>
      </c>
      <c r="BS782">
        <v>33</v>
      </c>
      <c r="BT782">
        <v>0</v>
      </c>
      <c r="BU782">
        <v>0</v>
      </c>
      <c r="BW782">
        <v>0</v>
      </c>
      <c r="BY782" t="s">
        <v>106</v>
      </c>
      <c r="BZ782" t="s">
        <v>142</v>
      </c>
      <c r="CA782" t="s">
        <v>112</v>
      </c>
      <c r="CB782" t="s">
        <v>112</v>
      </c>
      <c r="CC782" t="s">
        <v>121</v>
      </c>
      <c r="CD782">
        <v>16695.650000000001</v>
      </c>
      <c r="CE782" t="s">
        <v>144</v>
      </c>
      <c r="CF782">
        <v>4000000</v>
      </c>
      <c r="CG782">
        <v>16657.849999999999</v>
      </c>
      <c r="CH782">
        <v>0</v>
      </c>
      <c r="CI782" t="s">
        <v>112</v>
      </c>
      <c r="CJ782" t="s">
        <v>112</v>
      </c>
      <c r="CK782">
        <v>43998.58</v>
      </c>
      <c r="CM782">
        <v>0</v>
      </c>
      <c r="CN782">
        <v>1</v>
      </c>
      <c r="CO782">
        <v>4820709.8600000003</v>
      </c>
      <c r="CP782">
        <v>51816.03</v>
      </c>
      <c r="CQ782" t="s">
        <v>145</v>
      </c>
      <c r="CR782">
        <v>51805.913499999995</v>
      </c>
      <c r="CS782">
        <v>3.11</v>
      </c>
      <c r="CT782">
        <v>45</v>
      </c>
      <c r="CV782" t="s">
        <v>206</v>
      </c>
      <c r="CW782">
        <v>301</v>
      </c>
    </row>
    <row r="783" spans="1:101" x14ac:dyDescent="0.2">
      <c r="A783" t="s">
        <v>106</v>
      </c>
      <c r="B783" s="46">
        <v>45230</v>
      </c>
      <c r="C783" t="s">
        <v>1560</v>
      </c>
      <c r="D783" t="s">
        <v>108</v>
      </c>
      <c r="E783" t="s">
        <v>1561</v>
      </c>
      <c r="F783" t="s">
        <v>110</v>
      </c>
      <c r="G783" t="s">
        <v>111</v>
      </c>
      <c r="H783" t="s">
        <v>112</v>
      </c>
      <c r="I783" t="s">
        <v>112</v>
      </c>
      <c r="J783" t="s">
        <v>112</v>
      </c>
      <c r="K783" t="s">
        <v>150</v>
      </c>
      <c r="L783" t="s">
        <v>151</v>
      </c>
      <c r="M783" t="s">
        <v>112</v>
      </c>
      <c r="N783" t="s">
        <v>112</v>
      </c>
      <c r="O783">
        <v>1</v>
      </c>
      <c r="Q783">
        <v>1</v>
      </c>
      <c r="R783">
        <v>33</v>
      </c>
      <c r="S783" t="s">
        <v>112</v>
      </c>
      <c r="T783" t="s">
        <v>152</v>
      </c>
      <c r="U783" t="s">
        <v>153</v>
      </c>
      <c r="V783" t="s">
        <v>154</v>
      </c>
      <c r="W783" t="s">
        <v>119</v>
      </c>
      <c r="X783" t="s">
        <v>112</v>
      </c>
      <c r="Y783" t="s">
        <v>112</v>
      </c>
      <c r="Z783" t="s">
        <v>152</v>
      </c>
      <c r="AA783" t="s">
        <v>153</v>
      </c>
      <c r="AB783" t="s">
        <v>154</v>
      </c>
      <c r="AC783" t="s">
        <v>119</v>
      </c>
      <c r="AD783" t="s">
        <v>112</v>
      </c>
      <c r="AE783" t="s">
        <v>121</v>
      </c>
      <c r="AF783" t="s">
        <v>122</v>
      </c>
      <c r="AG783">
        <v>5570265.4800000004</v>
      </c>
      <c r="AH783" t="s">
        <v>112</v>
      </c>
      <c r="AI783" t="s">
        <v>152</v>
      </c>
      <c r="AJ783" t="s">
        <v>153</v>
      </c>
      <c r="AK783" t="s">
        <v>154</v>
      </c>
      <c r="AL783" t="s">
        <v>119</v>
      </c>
      <c r="AM783" t="s">
        <v>112</v>
      </c>
      <c r="AN783" t="s">
        <v>121</v>
      </c>
      <c r="AO783" t="s">
        <v>122</v>
      </c>
      <c r="AP783" t="s">
        <v>122</v>
      </c>
      <c r="AQ783" t="s">
        <v>124</v>
      </c>
      <c r="AR783" t="s">
        <v>125</v>
      </c>
      <c r="AS783">
        <v>2</v>
      </c>
      <c r="AT783" t="s">
        <v>126</v>
      </c>
      <c r="AU783" t="s">
        <v>155</v>
      </c>
      <c r="AV783" t="s">
        <v>156</v>
      </c>
      <c r="AX783" t="s">
        <v>129</v>
      </c>
      <c r="AY783">
        <v>52269</v>
      </c>
      <c r="BB783">
        <v>99.011099999999999</v>
      </c>
      <c r="BC783" t="s">
        <v>112</v>
      </c>
      <c r="BD783" t="s">
        <v>112</v>
      </c>
      <c r="BE783" t="s">
        <v>157</v>
      </c>
      <c r="BF783" t="s">
        <v>133</v>
      </c>
      <c r="BG783" t="s">
        <v>134</v>
      </c>
      <c r="BH783" t="s">
        <v>112</v>
      </c>
      <c r="BI783" t="s">
        <v>112</v>
      </c>
      <c r="BJ783" t="s">
        <v>112</v>
      </c>
      <c r="BK783" t="s">
        <v>158</v>
      </c>
      <c r="BL783" t="s">
        <v>159</v>
      </c>
      <c r="BM783" t="s">
        <v>212</v>
      </c>
      <c r="BN783" t="s">
        <v>161</v>
      </c>
      <c r="BP783" t="s">
        <v>1562</v>
      </c>
      <c r="BR783" t="s">
        <v>150</v>
      </c>
      <c r="BS783">
        <v>33</v>
      </c>
      <c r="BT783">
        <v>0</v>
      </c>
      <c r="BU783">
        <v>0</v>
      </c>
      <c r="BW783">
        <v>0</v>
      </c>
      <c r="BY783" t="s">
        <v>106</v>
      </c>
      <c r="BZ783" t="s">
        <v>142</v>
      </c>
      <c r="CA783" t="s">
        <v>112</v>
      </c>
      <c r="CB783" t="s">
        <v>112</v>
      </c>
      <c r="CC783" t="s">
        <v>121</v>
      </c>
      <c r="CD783">
        <v>15392.4</v>
      </c>
      <c r="CE783" t="s">
        <v>144</v>
      </c>
      <c r="CF783">
        <v>4000000</v>
      </c>
      <c r="CG783">
        <v>15248.4</v>
      </c>
      <c r="CH783">
        <v>0</v>
      </c>
      <c r="CI783" t="s">
        <v>112</v>
      </c>
      <c r="CJ783" t="s">
        <v>112</v>
      </c>
      <c r="CK783">
        <v>52269</v>
      </c>
      <c r="CM783">
        <v>0</v>
      </c>
      <c r="CN783">
        <v>1</v>
      </c>
      <c r="CO783">
        <v>5570265.4800000004</v>
      </c>
      <c r="CP783">
        <v>59872.73</v>
      </c>
      <c r="CQ783" t="s">
        <v>145</v>
      </c>
      <c r="CR783">
        <v>59926.212</v>
      </c>
      <c r="CS783">
        <v>3.93</v>
      </c>
      <c r="CT783">
        <v>45</v>
      </c>
      <c r="CV783" t="s">
        <v>233</v>
      </c>
      <c r="CW783">
        <v>130</v>
      </c>
    </row>
    <row r="784" spans="1:101" x14ac:dyDescent="0.2">
      <c r="A784" t="s">
        <v>106</v>
      </c>
      <c r="B784" s="46">
        <v>45122</v>
      </c>
      <c r="C784" t="s">
        <v>1602</v>
      </c>
      <c r="D784" t="s">
        <v>108</v>
      </c>
      <c r="E784" t="s">
        <v>1603</v>
      </c>
      <c r="F784" t="s">
        <v>110</v>
      </c>
      <c r="G784" t="s">
        <v>111</v>
      </c>
      <c r="H784" t="s">
        <v>112</v>
      </c>
      <c r="I784" t="s">
        <v>112</v>
      </c>
      <c r="J784" t="s">
        <v>112</v>
      </c>
      <c r="K784" t="s">
        <v>150</v>
      </c>
      <c r="L784" t="s">
        <v>151</v>
      </c>
      <c r="M784" t="s">
        <v>112</v>
      </c>
      <c r="N784" t="s">
        <v>112</v>
      </c>
      <c r="O784">
        <v>1</v>
      </c>
      <c r="Q784">
        <v>1</v>
      </c>
      <c r="R784">
        <v>33</v>
      </c>
      <c r="S784" t="s">
        <v>112</v>
      </c>
      <c r="T784" t="s">
        <v>152</v>
      </c>
      <c r="U784" t="s">
        <v>153</v>
      </c>
      <c r="V784" t="s">
        <v>154</v>
      </c>
      <c r="W784" t="s">
        <v>119</v>
      </c>
      <c r="X784" t="s">
        <v>112</v>
      </c>
      <c r="Y784" t="s">
        <v>112</v>
      </c>
      <c r="Z784" t="s">
        <v>152</v>
      </c>
      <c r="AA784" t="s">
        <v>153</v>
      </c>
      <c r="AB784" t="s">
        <v>154</v>
      </c>
      <c r="AC784" t="s">
        <v>119</v>
      </c>
      <c r="AD784" t="s">
        <v>112</v>
      </c>
      <c r="AE784" t="s">
        <v>121</v>
      </c>
      <c r="AF784" t="s">
        <v>122</v>
      </c>
      <c r="AG784">
        <v>4671478.3499999996</v>
      </c>
      <c r="AH784" t="s">
        <v>112</v>
      </c>
      <c r="AI784" t="s">
        <v>152</v>
      </c>
      <c r="AJ784" t="s">
        <v>153</v>
      </c>
      <c r="AK784" t="s">
        <v>154</v>
      </c>
      <c r="AL784" t="s">
        <v>119</v>
      </c>
      <c r="AM784" t="s">
        <v>112</v>
      </c>
      <c r="AN784" t="s">
        <v>121</v>
      </c>
      <c r="AO784" t="s">
        <v>122</v>
      </c>
      <c r="AP784" t="s">
        <v>122</v>
      </c>
      <c r="AQ784" t="s">
        <v>124</v>
      </c>
      <c r="AR784" t="s">
        <v>125</v>
      </c>
      <c r="AS784">
        <v>2</v>
      </c>
      <c r="AT784" t="s">
        <v>126</v>
      </c>
      <c r="AU784" t="s">
        <v>155</v>
      </c>
      <c r="AV784" t="s">
        <v>156</v>
      </c>
      <c r="AX784" t="s">
        <v>129</v>
      </c>
      <c r="AY784">
        <v>43191.360000000001</v>
      </c>
      <c r="BB784">
        <v>99.011099999999999</v>
      </c>
      <c r="BC784" t="s">
        <v>112</v>
      </c>
      <c r="BD784" t="s">
        <v>112</v>
      </c>
      <c r="BE784" t="s">
        <v>157</v>
      </c>
      <c r="BF784" t="s">
        <v>133</v>
      </c>
      <c r="BG784" t="s">
        <v>134</v>
      </c>
      <c r="BH784" t="s">
        <v>112</v>
      </c>
      <c r="BI784" t="s">
        <v>112</v>
      </c>
      <c r="BJ784" t="s">
        <v>112</v>
      </c>
      <c r="BK784" t="s">
        <v>158</v>
      </c>
      <c r="BL784" t="s">
        <v>159</v>
      </c>
      <c r="BM784" t="s">
        <v>212</v>
      </c>
      <c r="BN784" t="s">
        <v>161</v>
      </c>
      <c r="BP784" t="s">
        <v>466</v>
      </c>
      <c r="BR784" t="s">
        <v>150</v>
      </c>
      <c r="BS784">
        <v>33</v>
      </c>
      <c r="BT784">
        <v>0</v>
      </c>
      <c r="BU784">
        <v>0</v>
      </c>
      <c r="BW784">
        <v>0</v>
      </c>
      <c r="BY784" t="s">
        <v>106</v>
      </c>
      <c r="BZ784" t="s">
        <v>142</v>
      </c>
      <c r="CA784" t="s">
        <v>112</v>
      </c>
      <c r="CB784" t="s">
        <v>112</v>
      </c>
      <c r="CC784" t="s">
        <v>121</v>
      </c>
      <c r="CD784">
        <v>16914.560000000001</v>
      </c>
      <c r="CE784" t="s">
        <v>144</v>
      </c>
      <c r="CF784">
        <v>4000000</v>
      </c>
      <c r="CG784">
        <v>16878.560000000001</v>
      </c>
      <c r="CH784">
        <v>0</v>
      </c>
      <c r="CI784" t="s">
        <v>112</v>
      </c>
      <c r="CJ784" t="s">
        <v>112</v>
      </c>
      <c r="CK784">
        <v>43191.360000000001</v>
      </c>
      <c r="CM784">
        <v>0</v>
      </c>
      <c r="CN784">
        <v>1</v>
      </c>
      <c r="CO784">
        <v>4671478.3499999996</v>
      </c>
      <c r="CP784">
        <v>50212</v>
      </c>
      <c r="CQ784" t="s">
        <v>145</v>
      </c>
      <c r="CR784">
        <v>50129.323200000006</v>
      </c>
      <c r="CS784">
        <v>2.97</v>
      </c>
      <c r="CT784">
        <v>45</v>
      </c>
      <c r="CV784" t="s">
        <v>729</v>
      </c>
      <c r="CW784">
        <v>576</v>
      </c>
    </row>
    <row r="785" spans="1:101" x14ac:dyDescent="0.2">
      <c r="A785" t="s">
        <v>106</v>
      </c>
      <c r="B785" s="46">
        <v>45134</v>
      </c>
      <c r="C785" t="s">
        <v>1604</v>
      </c>
      <c r="D785" t="s">
        <v>108</v>
      </c>
      <c r="E785" t="s">
        <v>1605</v>
      </c>
      <c r="F785" t="s">
        <v>110</v>
      </c>
      <c r="G785" t="s">
        <v>111</v>
      </c>
      <c r="H785" t="s">
        <v>112</v>
      </c>
      <c r="I785" t="s">
        <v>112</v>
      </c>
      <c r="J785" t="s">
        <v>112</v>
      </c>
      <c r="K785" t="s">
        <v>150</v>
      </c>
      <c r="L785" t="s">
        <v>151</v>
      </c>
      <c r="M785" t="s">
        <v>112</v>
      </c>
      <c r="N785" t="s">
        <v>112</v>
      </c>
      <c r="O785">
        <v>1</v>
      </c>
      <c r="Q785">
        <v>1</v>
      </c>
      <c r="R785">
        <v>33</v>
      </c>
      <c r="S785" t="s">
        <v>112</v>
      </c>
      <c r="T785" t="s">
        <v>152</v>
      </c>
      <c r="U785" t="s">
        <v>153</v>
      </c>
      <c r="V785" t="s">
        <v>154</v>
      </c>
      <c r="W785" t="s">
        <v>119</v>
      </c>
      <c r="X785" t="s">
        <v>112</v>
      </c>
      <c r="Y785" t="s">
        <v>112</v>
      </c>
      <c r="Z785" t="s">
        <v>152</v>
      </c>
      <c r="AA785" t="s">
        <v>153</v>
      </c>
      <c r="AB785" t="s">
        <v>154</v>
      </c>
      <c r="AC785" t="s">
        <v>119</v>
      </c>
      <c r="AD785" t="s">
        <v>112</v>
      </c>
      <c r="AE785" t="s">
        <v>121</v>
      </c>
      <c r="AF785" t="s">
        <v>122</v>
      </c>
      <c r="AG785">
        <v>4377256.97</v>
      </c>
      <c r="AH785" t="s">
        <v>112</v>
      </c>
      <c r="AI785" t="s">
        <v>152</v>
      </c>
      <c r="AJ785" t="s">
        <v>153</v>
      </c>
      <c r="AK785" t="s">
        <v>154</v>
      </c>
      <c r="AL785" t="s">
        <v>119</v>
      </c>
      <c r="AM785" t="s">
        <v>112</v>
      </c>
      <c r="AN785" t="s">
        <v>121</v>
      </c>
      <c r="AO785" t="s">
        <v>122</v>
      </c>
      <c r="AP785" t="s">
        <v>122</v>
      </c>
      <c r="AQ785" t="s">
        <v>124</v>
      </c>
      <c r="AR785" t="s">
        <v>125</v>
      </c>
      <c r="AS785">
        <v>2</v>
      </c>
      <c r="AT785" t="s">
        <v>126</v>
      </c>
      <c r="AU785" t="s">
        <v>155</v>
      </c>
      <c r="AV785" t="s">
        <v>156</v>
      </c>
      <c r="AX785" t="s">
        <v>129</v>
      </c>
      <c r="AY785">
        <v>40219.760000000002</v>
      </c>
      <c r="BB785">
        <v>99.011099999999999</v>
      </c>
      <c r="BC785" t="s">
        <v>112</v>
      </c>
      <c r="BD785" t="s">
        <v>112</v>
      </c>
      <c r="BE785" t="s">
        <v>157</v>
      </c>
      <c r="BF785" t="s">
        <v>133</v>
      </c>
      <c r="BG785" t="s">
        <v>134</v>
      </c>
      <c r="BH785" t="s">
        <v>112</v>
      </c>
      <c r="BI785" t="s">
        <v>112</v>
      </c>
      <c r="BJ785" t="s">
        <v>112</v>
      </c>
      <c r="BK785" t="s">
        <v>158</v>
      </c>
      <c r="BL785" t="s">
        <v>159</v>
      </c>
      <c r="BM785" t="s">
        <v>212</v>
      </c>
      <c r="BN785" t="s">
        <v>161</v>
      </c>
      <c r="BP785" t="s">
        <v>616</v>
      </c>
      <c r="BR785" t="s">
        <v>150</v>
      </c>
      <c r="BS785">
        <v>33</v>
      </c>
      <c r="BT785">
        <v>0</v>
      </c>
      <c r="BU785">
        <v>0</v>
      </c>
      <c r="BW785">
        <v>0</v>
      </c>
      <c r="BY785" t="s">
        <v>106</v>
      </c>
      <c r="BZ785" t="s">
        <v>142</v>
      </c>
      <c r="CA785" t="s">
        <v>112</v>
      </c>
      <c r="CB785" t="s">
        <v>112</v>
      </c>
      <c r="CC785" t="s">
        <v>121</v>
      </c>
      <c r="CD785">
        <v>17353.91</v>
      </c>
      <c r="CE785" t="s">
        <v>144</v>
      </c>
      <c r="CF785">
        <v>4000000</v>
      </c>
      <c r="CG785">
        <v>17353.91</v>
      </c>
      <c r="CH785">
        <v>0</v>
      </c>
      <c r="CI785" t="s">
        <v>112</v>
      </c>
      <c r="CJ785" t="s">
        <v>112</v>
      </c>
      <c r="CK785">
        <v>40219.760000000002</v>
      </c>
      <c r="CM785">
        <v>0</v>
      </c>
      <c r="CN785">
        <v>1</v>
      </c>
      <c r="CO785">
        <v>4377256.97</v>
      </c>
      <c r="CP785">
        <v>47049.52</v>
      </c>
      <c r="CQ785" t="s">
        <v>145</v>
      </c>
      <c r="CR785">
        <v>47029.096100000002</v>
      </c>
      <c r="CS785">
        <v>2.71</v>
      </c>
      <c r="CT785">
        <v>45</v>
      </c>
      <c r="CV785" t="s">
        <v>1140</v>
      </c>
      <c r="CW785">
        <v>317</v>
      </c>
    </row>
    <row r="786" spans="1:101" x14ac:dyDescent="0.2">
      <c r="A786" t="s">
        <v>106</v>
      </c>
      <c r="B786" s="46">
        <v>45119</v>
      </c>
      <c r="C786" t="s">
        <v>1882</v>
      </c>
      <c r="D786" t="s">
        <v>108</v>
      </c>
      <c r="E786" t="s">
        <v>1883</v>
      </c>
      <c r="F786" t="s">
        <v>110</v>
      </c>
      <c r="G786" t="s">
        <v>111</v>
      </c>
      <c r="H786" t="s">
        <v>112</v>
      </c>
      <c r="I786" t="s">
        <v>112</v>
      </c>
      <c r="J786" t="s">
        <v>112</v>
      </c>
      <c r="K786" t="s">
        <v>150</v>
      </c>
      <c r="L786" t="s">
        <v>151</v>
      </c>
      <c r="M786" t="s">
        <v>112</v>
      </c>
      <c r="N786" t="s">
        <v>112</v>
      </c>
      <c r="O786">
        <v>1</v>
      </c>
      <c r="Q786">
        <v>1</v>
      </c>
      <c r="R786">
        <v>33</v>
      </c>
      <c r="S786" t="s">
        <v>112</v>
      </c>
      <c r="T786" t="s">
        <v>152</v>
      </c>
      <c r="U786" t="s">
        <v>153</v>
      </c>
      <c r="V786" t="s">
        <v>154</v>
      </c>
      <c r="W786" t="s">
        <v>119</v>
      </c>
      <c r="X786" t="s">
        <v>112</v>
      </c>
      <c r="Y786" t="s">
        <v>112</v>
      </c>
      <c r="Z786" t="s">
        <v>152</v>
      </c>
      <c r="AA786" t="s">
        <v>153</v>
      </c>
      <c r="AB786" t="s">
        <v>154</v>
      </c>
      <c r="AC786" t="s">
        <v>119</v>
      </c>
      <c r="AD786" t="s">
        <v>112</v>
      </c>
      <c r="AE786" t="s">
        <v>121</v>
      </c>
      <c r="AF786" t="s">
        <v>122</v>
      </c>
      <c r="AG786">
        <v>4977747.22</v>
      </c>
      <c r="AH786" t="s">
        <v>112</v>
      </c>
      <c r="AI786" t="s">
        <v>152</v>
      </c>
      <c r="AJ786" t="s">
        <v>153</v>
      </c>
      <c r="AK786" t="s">
        <v>154</v>
      </c>
      <c r="AL786" t="s">
        <v>119</v>
      </c>
      <c r="AM786" t="s">
        <v>112</v>
      </c>
      <c r="AN786" t="s">
        <v>121</v>
      </c>
      <c r="AO786" t="s">
        <v>122</v>
      </c>
      <c r="AP786" t="s">
        <v>122</v>
      </c>
      <c r="AQ786" t="s">
        <v>124</v>
      </c>
      <c r="AR786" t="s">
        <v>125</v>
      </c>
      <c r="AS786">
        <v>2</v>
      </c>
      <c r="AT786" t="s">
        <v>126</v>
      </c>
      <c r="AU786" t="s">
        <v>155</v>
      </c>
      <c r="AV786" t="s">
        <v>156</v>
      </c>
      <c r="AX786" t="s">
        <v>129</v>
      </c>
      <c r="AY786">
        <v>43241.52</v>
      </c>
      <c r="BB786">
        <v>105.0789</v>
      </c>
      <c r="BC786" t="s">
        <v>112</v>
      </c>
      <c r="BD786" t="s">
        <v>112</v>
      </c>
      <c r="BE786" t="s">
        <v>157</v>
      </c>
      <c r="BF786" t="s">
        <v>133</v>
      </c>
      <c r="BG786" t="s">
        <v>167</v>
      </c>
      <c r="BH786" t="s">
        <v>112</v>
      </c>
      <c r="BI786" t="s">
        <v>112</v>
      </c>
      <c r="BJ786" t="s">
        <v>112</v>
      </c>
      <c r="BK786" t="s">
        <v>169</v>
      </c>
      <c r="BL786" t="s">
        <v>159</v>
      </c>
      <c r="BM786" t="s">
        <v>160</v>
      </c>
      <c r="BN786" t="s">
        <v>161</v>
      </c>
      <c r="BP786" t="s">
        <v>232</v>
      </c>
      <c r="BR786" t="s">
        <v>150</v>
      </c>
      <c r="BS786">
        <v>33</v>
      </c>
      <c r="BT786">
        <v>0</v>
      </c>
      <c r="BU786">
        <v>0</v>
      </c>
      <c r="BW786">
        <v>0</v>
      </c>
      <c r="BY786" t="s">
        <v>106</v>
      </c>
      <c r="BZ786" t="s">
        <v>142</v>
      </c>
      <c r="CA786" t="s">
        <v>112</v>
      </c>
      <c r="CB786" t="s">
        <v>112</v>
      </c>
      <c r="CC786" t="s">
        <v>121</v>
      </c>
      <c r="CD786">
        <v>16921.48</v>
      </c>
      <c r="CE786" t="s">
        <v>144</v>
      </c>
      <c r="CF786">
        <v>4000000</v>
      </c>
      <c r="CG786">
        <v>16921.48</v>
      </c>
      <c r="CH786">
        <v>0</v>
      </c>
      <c r="CI786" t="s">
        <v>112</v>
      </c>
      <c r="CJ786" t="s">
        <v>112</v>
      </c>
      <c r="CK786">
        <v>43241.52</v>
      </c>
      <c r="CM786">
        <v>0</v>
      </c>
      <c r="CN786">
        <v>1</v>
      </c>
      <c r="CO786">
        <v>4977747.22</v>
      </c>
      <c r="CP786">
        <v>50874.37</v>
      </c>
      <c r="CQ786" t="s">
        <v>145</v>
      </c>
      <c r="CR786">
        <v>50933.654799999997</v>
      </c>
      <c r="CS786">
        <v>3.01</v>
      </c>
      <c r="CT786">
        <v>45</v>
      </c>
      <c r="CV786" t="s">
        <v>1140</v>
      </c>
      <c r="CW786">
        <v>353</v>
      </c>
    </row>
    <row r="787" spans="1:101" x14ac:dyDescent="0.2">
      <c r="A787" t="s">
        <v>106</v>
      </c>
      <c r="B787" s="46">
        <v>45222</v>
      </c>
      <c r="C787" t="s">
        <v>1892</v>
      </c>
      <c r="D787" t="s">
        <v>108</v>
      </c>
      <c r="E787" t="s">
        <v>1893</v>
      </c>
      <c r="F787" t="s">
        <v>110</v>
      </c>
      <c r="G787" t="s">
        <v>111</v>
      </c>
      <c r="H787" t="s">
        <v>112</v>
      </c>
      <c r="I787" t="s">
        <v>112</v>
      </c>
      <c r="J787" t="s">
        <v>112</v>
      </c>
      <c r="K787" t="s">
        <v>150</v>
      </c>
      <c r="L787" t="s">
        <v>151</v>
      </c>
      <c r="M787" t="s">
        <v>112</v>
      </c>
      <c r="N787" t="s">
        <v>112</v>
      </c>
      <c r="O787">
        <v>1</v>
      </c>
      <c r="Q787">
        <v>1</v>
      </c>
      <c r="R787">
        <v>33</v>
      </c>
      <c r="S787" t="s">
        <v>112</v>
      </c>
      <c r="T787" t="s">
        <v>152</v>
      </c>
      <c r="U787" t="s">
        <v>153</v>
      </c>
      <c r="V787" t="s">
        <v>154</v>
      </c>
      <c r="W787" t="s">
        <v>119</v>
      </c>
      <c r="X787" t="s">
        <v>112</v>
      </c>
      <c r="Y787" t="s">
        <v>112</v>
      </c>
      <c r="Z787" t="s">
        <v>152</v>
      </c>
      <c r="AA787" t="s">
        <v>153</v>
      </c>
      <c r="AB787" t="s">
        <v>154</v>
      </c>
      <c r="AC787" t="s">
        <v>119</v>
      </c>
      <c r="AD787" t="s">
        <v>112</v>
      </c>
      <c r="AE787" t="s">
        <v>121</v>
      </c>
      <c r="AF787" t="s">
        <v>122</v>
      </c>
      <c r="AG787">
        <v>4732942.8</v>
      </c>
      <c r="AH787" t="s">
        <v>112</v>
      </c>
      <c r="AI787" t="s">
        <v>152</v>
      </c>
      <c r="AJ787" t="s">
        <v>153</v>
      </c>
      <c r="AK787" t="s">
        <v>154</v>
      </c>
      <c r="AL787" t="s">
        <v>119</v>
      </c>
      <c r="AM787" t="s">
        <v>112</v>
      </c>
      <c r="AN787" t="s">
        <v>121</v>
      </c>
      <c r="AO787" t="s">
        <v>122</v>
      </c>
      <c r="AP787" t="s">
        <v>122</v>
      </c>
      <c r="AQ787" t="s">
        <v>124</v>
      </c>
      <c r="AR787" t="s">
        <v>125</v>
      </c>
      <c r="AS787">
        <v>2</v>
      </c>
      <c r="AT787" t="s">
        <v>126</v>
      </c>
      <c r="AU787" t="s">
        <v>155</v>
      </c>
      <c r="AV787" t="s">
        <v>156</v>
      </c>
      <c r="AX787" t="s">
        <v>129</v>
      </c>
      <c r="AY787">
        <v>40391.800000000003</v>
      </c>
      <c r="BB787">
        <v>105.0789</v>
      </c>
      <c r="BC787" t="s">
        <v>112</v>
      </c>
      <c r="BD787" t="s">
        <v>112</v>
      </c>
      <c r="BE787" t="s">
        <v>157</v>
      </c>
      <c r="BF787" t="s">
        <v>133</v>
      </c>
      <c r="BG787" t="s">
        <v>134</v>
      </c>
      <c r="BH787" t="s">
        <v>112</v>
      </c>
      <c r="BI787" t="s">
        <v>112</v>
      </c>
      <c r="BJ787" t="s">
        <v>112</v>
      </c>
      <c r="BK787" t="s">
        <v>169</v>
      </c>
      <c r="BL787" t="s">
        <v>159</v>
      </c>
      <c r="BM787" t="s">
        <v>212</v>
      </c>
      <c r="BN787" t="s">
        <v>161</v>
      </c>
      <c r="BP787" t="s">
        <v>281</v>
      </c>
      <c r="BR787" t="s">
        <v>150</v>
      </c>
      <c r="BS787">
        <v>33</v>
      </c>
      <c r="BT787">
        <v>0</v>
      </c>
      <c r="BU787">
        <v>0</v>
      </c>
      <c r="BW787">
        <v>0</v>
      </c>
      <c r="BY787" t="s">
        <v>106</v>
      </c>
      <c r="BZ787" t="s">
        <v>142</v>
      </c>
      <c r="CA787" t="s">
        <v>112</v>
      </c>
      <c r="CB787" t="s">
        <v>112</v>
      </c>
      <c r="CC787" t="s">
        <v>121</v>
      </c>
      <c r="CD787">
        <v>16137.89</v>
      </c>
      <c r="CE787" t="s">
        <v>144</v>
      </c>
      <c r="CF787">
        <v>4000000</v>
      </c>
      <c r="CG787">
        <v>15900.29</v>
      </c>
      <c r="CH787">
        <v>0</v>
      </c>
      <c r="CI787" t="s">
        <v>112</v>
      </c>
      <c r="CJ787" t="s">
        <v>112</v>
      </c>
      <c r="CK787">
        <v>40391.800000000003</v>
      </c>
      <c r="CM787">
        <v>0</v>
      </c>
      <c r="CN787">
        <v>1</v>
      </c>
      <c r="CO787">
        <v>4732942.8</v>
      </c>
      <c r="CP787">
        <v>48372.38</v>
      </c>
      <c r="CQ787" t="s">
        <v>145</v>
      </c>
      <c r="CR787">
        <v>48336.881600000001</v>
      </c>
      <c r="CS787">
        <v>3.04</v>
      </c>
      <c r="CT787">
        <v>45</v>
      </c>
      <c r="CV787" t="s">
        <v>206</v>
      </c>
      <c r="CW787">
        <v>587</v>
      </c>
    </row>
    <row r="788" spans="1:101" x14ac:dyDescent="0.2">
      <c r="A788" t="s">
        <v>106</v>
      </c>
      <c r="B788" s="46">
        <v>45144</v>
      </c>
      <c r="C788" t="s">
        <v>1888</v>
      </c>
      <c r="D788" t="s">
        <v>108</v>
      </c>
      <c r="E788" t="s">
        <v>1889</v>
      </c>
      <c r="F788" t="s">
        <v>110</v>
      </c>
      <c r="G788" t="s">
        <v>111</v>
      </c>
      <c r="H788" t="s">
        <v>112</v>
      </c>
      <c r="I788" t="s">
        <v>112</v>
      </c>
      <c r="J788" t="s">
        <v>112</v>
      </c>
      <c r="K788" t="s">
        <v>150</v>
      </c>
      <c r="L788" t="s">
        <v>151</v>
      </c>
      <c r="M788" t="s">
        <v>112</v>
      </c>
      <c r="N788" t="s">
        <v>112</v>
      </c>
      <c r="O788">
        <v>1</v>
      </c>
      <c r="Q788">
        <v>1</v>
      </c>
      <c r="R788">
        <v>33</v>
      </c>
      <c r="S788" t="s">
        <v>112</v>
      </c>
      <c r="T788" t="s">
        <v>152</v>
      </c>
      <c r="U788" t="s">
        <v>153</v>
      </c>
      <c r="V788" t="s">
        <v>154</v>
      </c>
      <c r="W788" t="s">
        <v>119</v>
      </c>
      <c r="X788" t="s">
        <v>112</v>
      </c>
      <c r="Y788" t="s">
        <v>112</v>
      </c>
      <c r="Z788" t="s">
        <v>152</v>
      </c>
      <c r="AA788" t="s">
        <v>153</v>
      </c>
      <c r="AB788" t="s">
        <v>154</v>
      </c>
      <c r="AC788" t="s">
        <v>119</v>
      </c>
      <c r="AD788" t="s">
        <v>112</v>
      </c>
      <c r="AE788" t="s">
        <v>121</v>
      </c>
      <c r="AF788" t="s">
        <v>122</v>
      </c>
      <c r="AG788">
        <v>5090093.37</v>
      </c>
      <c r="AH788" t="s">
        <v>112</v>
      </c>
      <c r="AI788" t="s">
        <v>152</v>
      </c>
      <c r="AJ788" t="s">
        <v>153</v>
      </c>
      <c r="AK788" t="s">
        <v>154</v>
      </c>
      <c r="AL788" t="s">
        <v>119</v>
      </c>
      <c r="AM788" t="s">
        <v>112</v>
      </c>
      <c r="AN788" t="s">
        <v>121</v>
      </c>
      <c r="AO788" t="s">
        <v>122</v>
      </c>
      <c r="AP788" t="s">
        <v>122</v>
      </c>
      <c r="AQ788" t="s">
        <v>124</v>
      </c>
      <c r="AR788" t="s">
        <v>125</v>
      </c>
      <c r="AS788">
        <v>2</v>
      </c>
      <c r="AT788" t="s">
        <v>126</v>
      </c>
      <c r="AU788" t="s">
        <v>155</v>
      </c>
      <c r="AV788" t="s">
        <v>156</v>
      </c>
      <c r="AX788" t="s">
        <v>129</v>
      </c>
      <c r="AY788">
        <v>44310.68</v>
      </c>
      <c r="BB788">
        <v>105.0789</v>
      </c>
      <c r="BC788" t="s">
        <v>112</v>
      </c>
      <c r="BD788" t="s">
        <v>112</v>
      </c>
      <c r="BE788" t="s">
        <v>157</v>
      </c>
      <c r="BF788" t="s">
        <v>133</v>
      </c>
      <c r="BG788" t="s">
        <v>134</v>
      </c>
      <c r="BH788" t="s">
        <v>112</v>
      </c>
      <c r="BI788" t="s">
        <v>112</v>
      </c>
      <c r="BJ788" t="s">
        <v>112</v>
      </c>
      <c r="BK788" t="s">
        <v>169</v>
      </c>
      <c r="BL788" t="s">
        <v>159</v>
      </c>
      <c r="BM788" t="s">
        <v>212</v>
      </c>
      <c r="BN788" t="s">
        <v>161</v>
      </c>
      <c r="BP788" t="s">
        <v>162</v>
      </c>
      <c r="BR788" t="s">
        <v>150</v>
      </c>
      <c r="BS788">
        <v>33</v>
      </c>
      <c r="BT788">
        <v>0</v>
      </c>
      <c r="BU788">
        <v>0</v>
      </c>
      <c r="BW788">
        <v>0</v>
      </c>
      <c r="BY788" t="s">
        <v>106</v>
      </c>
      <c r="BZ788" t="s">
        <v>142</v>
      </c>
      <c r="CA788" t="s">
        <v>112</v>
      </c>
      <c r="CB788" t="s">
        <v>112</v>
      </c>
      <c r="CC788" t="s">
        <v>121</v>
      </c>
      <c r="CD788">
        <v>16900.7</v>
      </c>
      <c r="CE788" t="s">
        <v>144</v>
      </c>
      <c r="CF788">
        <v>4000000</v>
      </c>
      <c r="CG788">
        <v>16846.7</v>
      </c>
      <c r="CH788">
        <v>0</v>
      </c>
      <c r="CI788" t="s">
        <v>112</v>
      </c>
      <c r="CJ788" t="s">
        <v>112</v>
      </c>
      <c r="CK788">
        <v>44310.68</v>
      </c>
      <c r="CM788">
        <v>0</v>
      </c>
      <c r="CN788">
        <v>1</v>
      </c>
      <c r="CO788">
        <v>5090093.37</v>
      </c>
      <c r="CP788">
        <v>52022.59</v>
      </c>
      <c r="CQ788" t="s">
        <v>145</v>
      </c>
      <c r="CR788">
        <v>52056.303</v>
      </c>
      <c r="CS788">
        <v>3.09</v>
      </c>
      <c r="CT788">
        <v>45</v>
      </c>
      <c r="CV788" t="s">
        <v>1140</v>
      </c>
      <c r="CW788">
        <v>68</v>
      </c>
    </row>
    <row r="789" spans="1:101" x14ac:dyDescent="0.2">
      <c r="A789" t="s">
        <v>106</v>
      </c>
      <c r="B789" s="46">
        <v>45253</v>
      </c>
      <c r="C789" t="s">
        <v>1890</v>
      </c>
      <c r="D789" t="s">
        <v>108</v>
      </c>
      <c r="E789" t="s">
        <v>1891</v>
      </c>
      <c r="F789" t="s">
        <v>110</v>
      </c>
      <c r="G789" t="s">
        <v>111</v>
      </c>
      <c r="H789" t="s">
        <v>112</v>
      </c>
      <c r="I789" t="s">
        <v>112</v>
      </c>
      <c r="J789" t="s">
        <v>112</v>
      </c>
      <c r="K789" t="s">
        <v>150</v>
      </c>
      <c r="L789" t="s">
        <v>151</v>
      </c>
      <c r="M789" t="s">
        <v>112</v>
      </c>
      <c r="N789" t="s">
        <v>112</v>
      </c>
      <c r="O789">
        <v>1</v>
      </c>
      <c r="Q789">
        <v>1</v>
      </c>
      <c r="R789">
        <v>33</v>
      </c>
      <c r="S789" t="s">
        <v>112</v>
      </c>
      <c r="T789" t="s">
        <v>152</v>
      </c>
      <c r="U789" t="s">
        <v>153</v>
      </c>
      <c r="V789" t="s">
        <v>154</v>
      </c>
      <c r="W789" t="s">
        <v>119</v>
      </c>
      <c r="X789" t="s">
        <v>112</v>
      </c>
      <c r="Y789" t="s">
        <v>112</v>
      </c>
      <c r="Z789" t="s">
        <v>152</v>
      </c>
      <c r="AA789" t="s">
        <v>153</v>
      </c>
      <c r="AB789" t="s">
        <v>154</v>
      </c>
      <c r="AC789" t="s">
        <v>119</v>
      </c>
      <c r="AD789" t="s">
        <v>112</v>
      </c>
      <c r="AE789" t="s">
        <v>121</v>
      </c>
      <c r="AF789" t="s">
        <v>122</v>
      </c>
      <c r="AG789">
        <v>5036694.38</v>
      </c>
      <c r="AH789" t="s">
        <v>112</v>
      </c>
      <c r="AI789" t="s">
        <v>152</v>
      </c>
      <c r="AJ789" t="s">
        <v>153</v>
      </c>
      <c r="AK789" t="s">
        <v>154</v>
      </c>
      <c r="AL789" t="s">
        <v>119</v>
      </c>
      <c r="AM789" t="s">
        <v>112</v>
      </c>
      <c r="AN789" t="s">
        <v>121</v>
      </c>
      <c r="AO789" t="s">
        <v>122</v>
      </c>
      <c r="AP789" t="s">
        <v>122</v>
      </c>
      <c r="AQ789" t="s">
        <v>124</v>
      </c>
      <c r="AR789" t="s">
        <v>125</v>
      </c>
      <c r="AS789">
        <v>2</v>
      </c>
      <c r="AT789" t="s">
        <v>126</v>
      </c>
      <c r="AU789" t="s">
        <v>155</v>
      </c>
      <c r="AV789" t="s">
        <v>156</v>
      </c>
      <c r="AX789" t="s">
        <v>129</v>
      </c>
      <c r="AY789">
        <v>43282.5</v>
      </c>
      <c r="BB789">
        <v>105.0789</v>
      </c>
      <c r="BC789" t="s">
        <v>112</v>
      </c>
      <c r="BD789" t="s">
        <v>112</v>
      </c>
      <c r="BE789" t="s">
        <v>157</v>
      </c>
      <c r="BF789" t="s">
        <v>133</v>
      </c>
      <c r="BG789" t="s">
        <v>167</v>
      </c>
      <c r="BH789" t="s">
        <v>112</v>
      </c>
      <c r="BI789" t="s">
        <v>112</v>
      </c>
      <c r="BJ789" t="s">
        <v>112</v>
      </c>
      <c r="BK789" t="s">
        <v>169</v>
      </c>
      <c r="BL789" t="s">
        <v>159</v>
      </c>
      <c r="BM789" t="s">
        <v>160</v>
      </c>
      <c r="BN789" t="s">
        <v>161</v>
      </c>
      <c r="BP789" t="s">
        <v>162</v>
      </c>
      <c r="BR789" t="s">
        <v>150</v>
      </c>
      <c r="BS789">
        <v>33</v>
      </c>
      <c r="BT789">
        <v>0</v>
      </c>
      <c r="BU789">
        <v>0</v>
      </c>
      <c r="BW789">
        <v>0</v>
      </c>
      <c r="BY789" t="s">
        <v>106</v>
      </c>
      <c r="BZ789" t="s">
        <v>142</v>
      </c>
      <c r="CA789" t="s">
        <v>112</v>
      </c>
      <c r="CB789" t="s">
        <v>112</v>
      </c>
      <c r="CC789" t="s">
        <v>121</v>
      </c>
      <c r="CD789">
        <v>15367.33</v>
      </c>
      <c r="CE789" t="s">
        <v>144</v>
      </c>
      <c r="CF789">
        <v>4000000</v>
      </c>
      <c r="CG789">
        <v>15148.34</v>
      </c>
      <c r="CH789">
        <v>0</v>
      </c>
      <c r="CI789" t="s">
        <v>112</v>
      </c>
      <c r="CJ789" t="s">
        <v>112</v>
      </c>
      <c r="CK789">
        <v>43282.5</v>
      </c>
      <c r="CM789">
        <v>0</v>
      </c>
      <c r="CN789">
        <v>1</v>
      </c>
      <c r="CO789">
        <v>5036694.38</v>
      </c>
      <c r="CP789">
        <v>51476.84</v>
      </c>
      <c r="CQ789" t="s">
        <v>145</v>
      </c>
      <c r="CR789">
        <v>51504.356</v>
      </c>
      <c r="CS789">
        <v>3.4</v>
      </c>
      <c r="CT789">
        <v>45</v>
      </c>
      <c r="CV789" t="s">
        <v>233</v>
      </c>
      <c r="CW789">
        <v>205</v>
      </c>
    </row>
    <row r="790" spans="1:101" x14ac:dyDescent="0.2">
      <c r="A790" t="s">
        <v>106</v>
      </c>
      <c r="B790" s="46">
        <v>45042</v>
      </c>
      <c r="C790" t="s">
        <v>1886</v>
      </c>
      <c r="D790" t="s">
        <v>108</v>
      </c>
      <c r="E790" t="s">
        <v>1887</v>
      </c>
      <c r="F790" t="s">
        <v>110</v>
      </c>
      <c r="G790" t="s">
        <v>111</v>
      </c>
      <c r="H790" t="s">
        <v>112</v>
      </c>
      <c r="I790" t="s">
        <v>112</v>
      </c>
      <c r="J790" t="s">
        <v>112</v>
      </c>
      <c r="K790" t="s">
        <v>150</v>
      </c>
      <c r="L790" t="s">
        <v>151</v>
      </c>
      <c r="M790" t="s">
        <v>112</v>
      </c>
      <c r="N790" t="s">
        <v>112</v>
      </c>
      <c r="O790">
        <v>1</v>
      </c>
      <c r="Q790">
        <v>1</v>
      </c>
      <c r="R790">
        <v>33</v>
      </c>
      <c r="S790" t="s">
        <v>112</v>
      </c>
      <c r="T790" t="s">
        <v>152</v>
      </c>
      <c r="U790" t="s">
        <v>153</v>
      </c>
      <c r="V790" t="s">
        <v>154</v>
      </c>
      <c r="W790" t="s">
        <v>119</v>
      </c>
      <c r="X790" t="s">
        <v>112</v>
      </c>
      <c r="Y790" t="s">
        <v>112</v>
      </c>
      <c r="Z790" t="s">
        <v>152</v>
      </c>
      <c r="AA790" t="s">
        <v>153</v>
      </c>
      <c r="AB790" t="s">
        <v>154</v>
      </c>
      <c r="AC790" t="s">
        <v>119</v>
      </c>
      <c r="AD790" t="s">
        <v>112</v>
      </c>
      <c r="AE790" t="s">
        <v>121</v>
      </c>
      <c r="AF790" t="s">
        <v>122</v>
      </c>
      <c r="AG790">
        <v>5039323.45</v>
      </c>
      <c r="AH790" t="s">
        <v>112</v>
      </c>
      <c r="AI790" t="s">
        <v>152</v>
      </c>
      <c r="AJ790" t="s">
        <v>153</v>
      </c>
      <c r="AK790" t="s">
        <v>154</v>
      </c>
      <c r="AL790" t="s">
        <v>119</v>
      </c>
      <c r="AM790" t="s">
        <v>112</v>
      </c>
      <c r="AN790" t="s">
        <v>121</v>
      </c>
      <c r="AO790" t="s">
        <v>122</v>
      </c>
      <c r="AP790" t="s">
        <v>122</v>
      </c>
      <c r="AQ790" t="s">
        <v>124</v>
      </c>
      <c r="AR790" t="s">
        <v>125</v>
      </c>
      <c r="AS790">
        <v>2</v>
      </c>
      <c r="AT790" t="s">
        <v>126</v>
      </c>
      <c r="AU790" t="s">
        <v>155</v>
      </c>
      <c r="AV790" t="s">
        <v>156</v>
      </c>
      <c r="AX790" t="s">
        <v>129</v>
      </c>
      <c r="AY790">
        <v>43827.519999999997</v>
      </c>
      <c r="BB790">
        <v>105.0789</v>
      </c>
      <c r="BC790" t="s">
        <v>112</v>
      </c>
      <c r="BD790" t="s">
        <v>112</v>
      </c>
      <c r="BE790" t="s">
        <v>157</v>
      </c>
      <c r="BF790" t="s">
        <v>133</v>
      </c>
      <c r="BG790" t="s">
        <v>134</v>
      </c>
      <c r="BH790" t="s">
        <v>112</v>
      </c>
      <c r="BI790" t="s">
        <v>112</v>
      </c>
      <c r="BJ790" t="s">
        <v>112</v>
      </c>
      <c r="BK790" t="s">
        <v>169</v>
      </c>
      <c r="BL790" t="s">
        <v>159</v>
      </c>
      <c r="BM790" t="s">
        <v>212</v>
      </c>
      <c r="BN790" t="s">
        <v>161</v>
      </c>
      <c r="BP790" t="s">
        <v>232</v>
      </c>
      <c r="BR790" t="s">
        <v>150</v>
      </c>
      <c r="BS790">
        <v>33</v>
      </c>
      <c r="BT790">
        <v>0</v>
      </c>
      <c r="BU790">
        <v>0</v>
      </c>
      <c r="BW790">
        <v>0</v>
      </c>
      <c r="BY790" t="s">
        <v>106</v>
      </c>
      <c r="BZ790" t="s">
        <v>142</v>
      </c>
      <c r="CA790" t="s">
        <v>112</v>
      </c>
      <c r="CB790" t="s">
        <v>112</v>
      </c>
      <c r="CC790" t="s">
        <v>121</v>
      </c>
      <c r="CD790">
        <v>16629.5</v>
      </c>
      <c r="CE790" t="s">
        <v>144</v>
      </c>
      <c r="CF790">
        <v>4000000</v>
      </c>
      <c r="CG790">
        <v>16593.5</v>
      </c>
      <c r="CH790">
        <v>0</v>
      </c>
      <c r="CI790" t="s">
        <v>112</v>
      </c>
      <c r="CJ790" t="s">
        <v>112</v>
      </c>
      <c r="CK790">
        <v>43827.519999999997</v>
      </c>
      <c r="CM790">
        <v>0</v>
      </c>
      <c r="CN790">
        <v>1</v>
      </c>
      <c r="CO790">
        <v>5039323.45</v>
      </c>
      <c r="CP790">
        <v>51503.71</v>
      </c>
      <c r="CQ790" t="s">
        <v>145</v>
      </c>
      <c r="CR790">
        <v>51439.85</v>
      </c>
      <c r="CS790">
        <v>3.1</v>
      </c>
      <c r="CT790">
        <v>45</v>
      </c>
      <c r="CV790" t="s">
        <v>206</v>
      </c>
      <c r="CW790">
        <v>342</v>
      </c>
    </row>
    <row r="791" spans="1:101" x14ac:dyDescent="0.2">
      <c r="A791" t="s">
        <v>106</v>
      </c>
      <c r="B791" s="46">
        <v>45144</v>
      </c>
      <c r="C791" t="s">
        <v>1878</v>
      </c>
      <c r="D791" t="s">
        <v>108</v>
      </c>
      <c r="E791" t="s">
        <v>1879</v>
      </c>
      <c r="F791" t="s">
        <v>110</v>
      </c>
      <c r="G791" t="s">
        <v>111</v>
      </c>
      <c r="H791" t="s">
        <v>112</v>
      </c>
      <c r="I791" t="s">
        <v>112</v>
      </c>
      <c r="J791" t="s">
        <v>112</v>
      </c>
      <c r="K791" t="s">
        <v>150</v>
      </c>
      <c r="L791" t="s">
        <v>151</v>
      </c>
      <c r="M791" t="s">
        <v>112</v>
      </c>
      <c r="N791" t="s">
        <v>112</v>
      </c>
      <c r="O791">
        <v>1</v>
      </c>
      <c r="Q791">
        <v>1</v>
      </c>
      <c r="R791">
        <v>33</v>
      </c>
      <c r="S791" t="s">
        <v>112</v>
      </c>
      <c r="T791" t="s">
        <v>152</v>
      </c>
      <c r="U791" t="s">
        <v>153</v>
      </c>
      <c r="V791" t="s">
        <v>154</v>
      </c>
      <c r="W791" t="s">
        <v>119</v>
      </c>
      <c r="X791" t="s">
        <v>112</v>
      </c>
      <c r="Y791" t="s">
        <v>112</v>
      </c>
      <c r="Z791" t="s">
        <v>152</v>
      </c>
      <c r="AA791" t="s">
        <v>153</v>
      </c>
      <c r="AB791" t="s">
        <v>154</v>
      </c>
      <c r="AC791" t="s">
        <v>119</v>
      </c>
      <c r="AD791" t="s">
        <v>112</v>
      </c>
      <c r="AE791" t="s">
        <v>121</v>
      </c>
      <c r="AF791" t="s">
        <v>122</v>
      </c>
      <c r="AG791">
        <v>4978400.8099999996</v>
      </c>
      <c r="AH791" t="s">
        <v>112</v>
      </c>
      <c r="AI791" t="s">
        <v>152</v>
      </c>
      <c r="AJ791" t="s">
        <v>153</v>
      </c>
      <c r="AK791" t="s">
        <v>154</v>
      </c>
      <c r="AL791" t="s">
        <v>119</v>
      </c>
      <c r="AM791" t="s">
        <v>112</v>
      </c>
      <c r="AN791" t="s">
        <v>121</v>
      </c>
      <c r="AO791" t="s">
        <v>122</v>
      </c>
      <c r="AP791" t="s">
        <v>122</v>
      </c>
      <c r="AQ791" t="s">
        <v>124</v>
      </c>
      <c r="AR791" t="s">
        <v>125</v>
      </c>
      <c r="AS791">
        <v>2</v>
      </c>
      <c r="AT791" t="s">
        <v>126</v>
      </c>
      <c r="AU791" t="s">
        <v>155</v>
      </c>
      <c r="AV791" t="s">
        <v>156</v>
      </c>
      <c r="AX791" t="s">
        <v>129</v>
      </c>
      <c r="AY791">
        <v>42547.74</v>
      </c>
      <c r="BB791">
        <v>105.0789</v>
      </c>
      <c r="BC791" t="s">
        <v>112</v>
      </c>
      <c r="BD791" t="s">
        <v>112</v>
      </c>
      <c r="BE791" t="s">
        <v>157</v>
      </c>
      <c r="BF791" t="s">
        <v>133</v>
      </c>
      <c r="BG791" t="s">
        <v>167</v>
      </c>
      <c r="BH791" t="s">
        <v>112</v>
      </c>
      <c r="BI791" t="s">
        <v>112</v>
      </c>
      <c r="BJ791" t="s">
        <v>112</v>
      </c>
      <c r="BK791" t="s">
        <v>169</v>
      </c>
      <c r="BL791" t="s">
        <v>159</v>
      </c>
      <c r="BM791" t="s">
        <v>160</v>
      </c>
      <c r="BN791" t="s">
        <v>161</v>
      </c>
      <c r="BP791" t="s">
        <v>205</v>
      </c>
      <c r="BR791" t="s">
        <v>150</v>
      </c>
      <c r="BS791">
        <v>33</v>
      </c>
      <c r="BT791">
        <v>0</v>
      </c>
      <c r="BU791">
        <v>0</v>
      </c>
      <c r="BW791">
        <v>0</v>
      </c>
      <c r="BY791" t="s">
        <v>106</v>
      </c>
      <c r="BZ791" t="s">
        <v>142</v>
      </c>
      <c r="CA791" t="s">
        <v>112</v>
      </c>
      <c r="CB791" t="s">
        <v>112</v>
      </c>
      <c r="CC791" t="s">
        <v>121</v>
      </c>
      <c r="CD791">
        <v>14622.97</v>
      </c>
      <c r="CE791" t="s">
        <v>144</v>
      </c>
      <c r="CF791">
        <v>4000000</v>
      </c>
      <c r="CG791">
        <v>14365.57</v>
      </c>
      <c r="CH791">
        <v>0</v>
      </c>
      <c r="CI791" t="s">
        <v>112</v>
      </c>
      <c r="CJ791" t="s">
        <v>112</v>
      </c>
      <c r="CK791">
        <v>42547.74</v>
      </c>
      <c r="CM791">
        <v>0</v>
      </c>
      <c r="CN791">
        <v>1</v>
      </c>
      <c r="CO791">
        <v>4978400.8099999996</v>
      </c>
      <c r="CP791">
        <v>50881.05</v>
      </c>
      <c r="CQ791" t="s">
        <v>145</v>
      </c>
      <c r="CR791">
        <v>50854.1178</v>
      </c>
      <c r="CS791">
        <v>3.54</v>
      </c>
      <c r="CT791">
        <v>45</v>
      </c>
      <c r="CV791" t="s">
        <v>233</v>
      </c>
      <c r="CW791">
        <v>299</v>
      </c>
    </row>
    <row r="792" spans="1:101" x14ac:dyDescent="0.2">
      <c r="A792" t="s">
        <v>106</v>
      </c>
      <c r="B792" s="46">
        <v>45268</v>
      </c>
      <c r="C792" t="s">
        <v>1674</v>
      </c>
      <c r="D792" t="s">
        <v>108</v>
      </c>
      <c r="E792" t="s">
        <v>1675</v>
      </c>
      <c r="F792" t="s">
        <v>110</v>
      </c>
      <c r="G792" t="s">
        <v>111</v>
      </c>
      <c r="H792" t="s">
        <v>112</v>
      </c>
      <c r="I792" t="s">
        <v>112</v>
      </c>
      <c r="J792" t="s">
        <v>112</v>
      </c>
      <c r="K792" t="s">
        <v>150</v>
      </c>
      <c r="L792" t="s">
        <v>151</v>
      </c>
      <c r="M792" t="s">
        <v>112</v>
      </c>
      <c r="N792" t="s">
        <v>112</v>
      </c>
      <c r="Q792">
        <v>1</v>
      </c>
      <c r="R792">
        <v>33</v>
      </c>
      <c r="S792" t="s">
        <v>166</v>
      </c>
      <c r="T792" t="s">
        <v>152</v>
      </c>
      <c r="U792" t="s">
        <v>153</v>
      </c>
      <c r="V792" t="s">
        <v>154</v>
      </c>
      <c r="W792" t="s">
        <v>119</v>
      </c>
      <c r="X792" t="s">
        <v>112</v>
      </c>
      <c r="Y792" t="s">
        <v>166</v>
      </c>
      <c r="Z792" t="s">
        <v>152</v>
      </c>
      <c r="AA792" t="s">
        <v>153</v>
      </c>
      <c r="AB792" t="s">
        <v>154</v>
      </c>
      <c r="AC792" t="s">
        <v>119</v>
      </c>
      <c r="AD792" t="s">
        <v>112</v>
      </c>
      <c r="AE792" t="s">
        <v>121</v>
      </c>
      <c r="AF792" t="s">
        <v>122</v>
      </c>
      <c r="AG792">
        <v>4867899.99</v>
      </c>
      <c r="AH792" t="s">
        <v>166</v>
      </c>
      <c r="AI792" t="s">
        <v>152</v>
      </c>
      <c r="AJ792" t="s">
        <v>153</v>
      </c>
      <c r="AK792" t="s">
        <v>154</v>
      </c>
      <c r="AL792" t="s">
        <v>119</v>
      </c>
      <c r="AM792" t="s">
        <v>112</v>
      </c>
      <c r="AN792" t="s">
        <v>121</v>
      </c>
      <c r="AO792" t="s">
        <v>122</v>
      </c>
      <c r="AP792" t="s">
        <v>122</v>
      </c>
      <c r="AQ792" t="s">
        <v>124</v>
      </c>
      <c r="AR792" t="s">
        <v>125</v>
      </c>
      <c r="AT792" t="s">
        <v>126</v>
      </c>
      <c r="AU792" t="s">
        <v>155</v>
      </c>
      <c r="AV792" t="s">
        <v>156</v>
      </c>
      <c r="AX792" t="s">
        <v>129</v>
      </c>
      <c r="AY792">
        <v>42749.8</v>
      </c>
      <c r="BB792">
        <v>103.8379</v>
      </c>
      <c r="BC792" t="s">
        <v>112</v>
      </c>
      <c r="BD792" t="s">
        <v>112</v>
      </c>
      <c r="BE792" t="s">
        <v>112</v>
      </c>
      <c r="BF792" t="s">
        <v>133</v>
      </c>
      <c r="BG792" t="s">
        <v>134</v>
      </c>
      <c r="BH792" t="s">
        <v>112</v>
      </c>
      <c r="BI792" t="s">
        <v>112</v>
      </c>
      <c r="BJ792" t="s">
        <v>112</v>
      </c>
      <c r="BK792" t="s">
        <v>112</v>
      </c>
      <c r="BL792" t="s">
        <v>112</v>
      </c>
      <c r="BM792" t="s">
        <v>112</v>
      </c>
      <c r="BN792" t="s">
        <v>161</v>
      </c>
      <c r="BP792" t="s">
        <v>205</v>
      </c>
      <c r="BR792" t="s">
        <v>150</v>
      </c>
      <c r="BS792">
        <v>33</v>
      </c>
      <c r="BT792">
        <v>0</v>
      </c>
      <c r="BU792">
        <v>0</v>
      </c>
      <c r="BY792" t="s">
        <v>106</v>
      </c>
      <c r="BZ792" t="s">
        <v>142</v>
      </c>
      <c r="CA792" t="s">
        <v>112</v>
      </c>
      <c r="CB792" t="s">
        <v>112</v>
      </c>
      <c r="CC792" t="s">
        <v>121</v>
      </c>
      <c r="CD792">
        <v>16106.4</v>
      </c>
      <c r="CE792" t="s">
        <v>144</v>
      </c>
      <c r="CF792">
        <v>4000000</v>
      </c>
      <c r="CG792">
        <v>15955.2</v>
      </c>
      <c r="CH792">
        <v>0</v>
      </c>
      <c r="CI792" t="s">
        <v>112</v>
      </c>
      <c r="CJ792" t="s">
        <v>112</v>
      </c>
      <c r="CK792">
        <v>42749.8</v>
      </c>
      <c r="CM792">
        <v>0</v>
      </c>
      <c r="CN792">
        <v>1</v>
      </c>
      <c r="CO792">
        <v>4867899.99</v>
      </c>
      <c r="CP792">
        <v>51345.04</v>
      </c>
      <c r="CQ792" t="s">
        <v>145</v>
      </c>
      <c r="CR792">
        <v>51375.744000000006</v>
      </c>
      <c r="CS792">
        <v>3.22</v>
      </c>
      <c r="CW792">
        <v>166</v>
      </c>
    </row>
    <row r="793" spans="1:101" x14ac:dyDescent="0.2">
      <c r="A793" t="s">
        <v>106</v>
      </c>
      <c r="B793" s="46">
        <v>45087</v>
      </c>
      <c r="C793" t="s">
        <v>1672</v>
      </c>
      <c r="D793" t="s">
        <v>108</v>
      </c>
      <c r="E793" t="s">
        <v>1673</v>
      </c>
      <c r="F793" t="s">
        <v>110</v>
      </c>
      <c r="G793" t="s">
        <v>111</v>
      </c>
      <c r="H793" t="s">
        <v>112</v>
      </c>
      <c r="I793" t="s">
        <v>112</v>
      </c>
      <c r="J793" t="s">
        <v>112</v>
      </c>
      <c r="K793" t="s">
        <v>150</v>
      </c>
      <c r="L793" t="s">
        <v>151</v>
      </c>
      <c r="M793" t="s">
        <v>112</v>
      </c>
      <c r="N793" t="s">
        <v>112</v>
      </c>
      <c r="Q793">
        <v>1</v>
      </c>
      <c r="R793">
        <v>33</v>
      </c>
      <c r="S793" t="s">
        <v>166</v>
      </c>
      <c r="T793" t="s">
        <v>152</v>
      </c>
      <c r="U793" t="s">
        <v>153</v>
      </c>
      <c r="V793" t="s">
        <v>154</v>
      </c>
      <c r="W793" t="s">
        <v>119</v>
      </c>
      <c r="X793" t="s">
        <v>112</v>
      </c>
      <c r="Y793" t="s">
        <v>166</v>
      </c>
      <c r="Z793" t="s">
        <v>152</v>
      </c>
      <c r="AA793" t="s">
        <v>153</v>
      </c>
      <c r="AB793" t="s">
        <v>154</v>
      </c>
      <c r="AC793" t="s">
        <v>119</v>
      </c>
      <c r="AD793" t="s">
        <v>112</v>
      </c>
      <c r="AE793" t="s">
        <v>121</v>
      </c>
      <c r="AF793" t="s">
        <v>122</v>
      </c>
      <c r="AG793">
        <v>5179789.58</v>
      </c>
      <c r="AH793" t="s">
        <v>166</v>
      </c>
      <c r="AI793" t="s">
        <v>152</v>
      </c>
      <c r="AJ793" t="s">
        <v>153</v>
      </c>
      <c r="AK793" t="s">
        <v>154</v>
      </c>
      <c r="AL793" t="s">
        <v>119</v>
      </c>
      <c r="AM793" t="s">
        <v>112</v>
      </c>
      <c r="AN793" t="s">
        <v>121</v>
      </c>
      <c r="AO793" t="s">
        <v>122</v>
      </c>
      <c r="AP793" t="s">
        <v>122</v>
      </c>
      <c r="AQ793" t="s">
        <v>124</v>
      </c>
      <c r="AR793" t="s">
        <v>125</v>
      </c>
      <c r="AT793" t="s">
        <v>126</v>
      </c>
      <c r="AU793" t="s">
        <v>155</v>
      </c>
      <c r="AV793" t="s">
        <v>156</v>
      </c>
      <c r="AX793" t="s">
        <v>129</v>
      </c>
      <c r="AY793">
        <v>45753.42</v>
      </c>
      <c r="BB793">
        <v>103.8379</v>
      </c>
      <c r="BC793" t="s">
        <v>112</v>
      </c>
      <c r="BD793" t="s">
        <v>112</v>
      </c>
      <c r="BE793" t="s">
        <v>112</v>
      </c>
      <c r="BF793" t="s">
        <v>133</v>
      </c>
      <c r="BG793" t="s">
        <v>167</v>
      </c>
      <c r="BH793" t="s">
        <v>112</v>
      </c>
      <c r="BI793" t="s">
        <v>112</v>
      </c>
      <c r="BJ793" t="s">
        <v>112</v>
      </c>
      <c r="BK793" t="s">
        <v>112</v>
      </c>
      <c r="BL793" t="s">
        <v>112</v>
      </c>
      <c r="BM793" t="s">
        <v>112</v>
      </c>
      <c r="BN793" t="s">
        <v>161</v>
      </c>
      <c r="BP793" t="s">
        <v>205</v>
      </c>
      <c r="BR793" t="s">
        <v>150</v>
      </c>
      <c r="BS793">
        <v>33</v>
      </c>
      <c r="BT793">
        <v>0</v>
      </c>
      <c r="BU793">
        <v>0</v>
      </c>
      <c r="BY793" t="s">
        <v>106</v>
      </c>
      <c r="BZ793" t="s">
        <v>142</v>
      </c>
      <c r="CA793" t="s">
        <v>112</v>
      </c>
      <c r="CB793" t="s">
        <v>112</v>
      </c>
      <c r="CC793" t="s">
        <v>121</v>
      </c>
      <c r="CD793">
        <v>16125.5</v>
      </c>
      <c r="CE793" t="s">
        <v>144</v>
      </c>
      <c r="CF793">
        <v>4000000</v>
      </c>
      <c r="CG793">
        <v>15992.3</v>
      </c>
      <c r="CH793">
        <v>0</v>
      </c>
      <c r="CI793" t="s">
        <v>112</v>
      </c>
      <c r="CJ793" t="s">
        <v>112</v>
      </c>
      <c r="CK793">
        <v>45753.42</v>
      </c>
      <c r="CM793">
        <v>0</v>
      </c>
      <c r="CN793">
        <v>1</v>
      </c>
      <c r="CO793">
        <v>5179789.58</v>
      </c>
      <c r="CP793">
        <v>54634.75</v>
      </c>
      <c r="CQ793" t="s">
        <v>145</v>
      </c>
      <c r="CR793">
        <v>54693.665999999997</v>
      </c>
      <c r="CS793">
        <v>3.42</v>
      </c>
      <c r="CW793">
        <v>80</v>
      </c>
    </row>
    <row r="794" spans="1:101" x14ac:dyDescent="0.2">
      <c r="A794" t="s">
        <v>106</v>
      </c>
      <c r="B794" s="46">
        <v>45135</v>
      </c>
      <c r="C794" t="s">
        <v>1670</v>
      </c>
      <c r="D794" t="s">
        <v>108</v>
      </c>
      <c r="E794" t="s">
        <v>1671</v>
      </c>
      <c r="F794" t="s">
        <v>110</v>
      </c>
      <c r="G794" t="s">
        <v>111</v>
      </c>
      <c r="H794" t="s">
        <v>112</v>
      </c>
      <c r="I794" t="s">
        <v>112</v>
      </c>
      <c r="J794" t="s">
        <v>112</v>
      </c>
      <c r="K794" t="s">
        <v>150</v>
      </c>
      <c r="L794" t="s">
        <v>151</v>
      </c>
      <c r="M794" t="s">
        <v>112</v>
      </c>
      <c r="N794" t="s">
        <v>112</v>
      </c>
      <c r="Q794">
        <v>1</v>
      </c>
      <c r="R794">
        <v>33</v>
      </c>
      <c r="S794" t="s">
        <v>166</v>
      </c>
      <c r="T794" t="s">
        <v>152</v>
      </c>
      <c r="U794" t="s">
        <v>153</v>
      </c>
      <c r="V794" t="s">
        <v>154</v>
      </c>
      <c r="W794" t="s">
        <v>119</v>
      </c>
      <c r="X794" t="s">
        <v>112</v>
      </c>
      <c r="Y794" t="s">
        <v>166</v>
      </c>
      <c r="Z794" t="s">
        <v>152</v>
      </c>
      <c r="AA794" t="s">
        <v>153</v>
      </c>
      <c r="AB794" t="s">
        <v>154</v>
      </c>
      <c r="AC794" t="s">
        <v>119</v>
      </c>
      <c r="AD794" t="s">
        <v>112</v>
      </c>
      <c r="AE794" t="s">
        <v>121</v>
      </c>
      <c r="AF794" t="s">
        <v>122</v>
      </c>
      <c r="AG794">
        <v>5021247.8</v>
      </c>
      <c r="AH794" t="s">
        <v>166</v>
      </c>
      <c r="AI794" t="s">
        <v>152</v>
      </c>
      <c r="AJ794" t="s">
        <v>153</v>
      </c>
      <c r="AK794" t="s">
        <v>154</v>
      </c>
      <c r="AL794" t="s">
        <v>119</v>
      </c>
      <c r="AM794" t="s">
        <v>112</v>
      </c>
      <c r="AN794" t="s">
        <v>121</v>
      </c>
      <c r="AO794" t="s">
        <v>122</v>
      </c>
      <c r="AP794" t="s">
        <v>122</v>
      </c>
      <c r="AQ794" t="s">
        <v>124</v>
      </c>
      <c r="AR794" t="s">
        <v>125</v>
      </c>
      <c r="AT794" t="s">
        <v>126</v>
      </c>
      <c r="AU794" t="s">
        <v>155</v>
      </c>
      <c r="AV794" t="s">
        <v>156</v>
      </c>
      <c r="AX794" t="s">
        <v>129</v>
      </c>
      <c r="AY794">
        <v>44226.6</v>
      </c>
      <c r="BB794">
        <v>103.8379</v>
      </c>
      <c r="BC794" t="s">
        <v>112</v>
      </c>
      <c r="BD794" t="s">
        <v>112</v>
      </c>
      <c r="BE794" t="s">
        <v>112</v>
      </c>
      <c r="BF794" t="s">
        <v>133</v>
      </c>
      <c r="BG794" t="s">
        <v>134</v>
      </c>
      <c r="BH794" t="s">
        <v>112</v>
      </c>
      <c r="BI794" t="s">
        <v>112</v>
      </c>
      <c r="BJ794" t="s">
        <v>112</v>
      </c>
      <c r="BK794" t="s">
        <v>112</v>
      </c>
      <c r="BL794" t="s">
        <v>112</v>
      </c>
      <c r="BM794" t="s">
        <v>112</v>
      </c>
      <c r="BN794" t="s">
        <v>161</v>
      </c>
      <c r="BP794" t="s">
        <v>205</v>
      </c>
      <c r="BR794" t="s">
        <v>150</v>
      </c>
      <c r="BS794">
        <v>33</v>
      </c>
      <c r="BT794">
        <v>0</v>
      </c>
      <c r="BU794">
        <v>0</v>
      </c>
      <c r="BY794" t="s">
        <v>106</v>
      </c>
      <c r="BZ794" t="s">
        <v>142</v>
      </c>
      <c r="CA794" t="s">
        <v>112</v>
      </c>
      <c r="CB794" t="s">
        <v>112</v>
      </c>
      <c r="CC794" t="s">
        <v>121</v>
      </c>
      <c r="CD794">
        <v>16140.1</v>
      </c>
      <c r="CE794" t="s">
        <v>144</v>
      </c>
      <c r="CF794">
        <v>4000000</v>
      </c>
      <c r="CG794">
        <v>15996.1</v>
      </c>
      <c r="CH794">
        <v>0</v>
      </c>
      <c r="CI794" t="s">
        <v>112</v>
      </c>
      <c r="CJ794" t="s">
        <v>112</v>
      </c>
      <c r="CK794">
        <v>44226.6</v>
      </c>
      <c r="CM794">
        <v>0</v>
      </c>
      <c r="CN794">
        <v>1</v>
      </c>
      <c r="CO794">
        <v>5021247.8</v>
      </c>
      <c r="CP794">
        <v>52962.5</v>
      </c>
      <c r="CQ794" t="s">
        <v>145</v>
      </c>
      <c r="CR794">
        <v>52947.091</v>
      </c>
      <c r="CS794">
        <v>3.31</v>
      </c>
      <c r="CW794">
        <v>124</v>
      </c>
    </row>
    <row r="795" spans="1:101" x14ac:dyDescent="0.2">
      <c r="A795" t="s">
        <v>106</v>
      </c>
      <c r="B795" s="46">
        <v>44932</v>
      </c>
      <c r="C795" t="s">
        <v>1668</v>
      </c>
      <c r="D795" t="s">
        <v>108</v>
      </c>
      <c r="E795" t="s">
        <v>1669</v>
      </c>
      <c r="F795" t="s">
        <v>110</v>
      </c>
      <c r="G795" t="s">
        <v>111</v>
      </c>
      <c r="H795" t="s">
        <v>112</v>
      </c>
      <c r="I795" t="s">
        <v>112</v>
      </c>
      <c r="J795" t="s">
        <v>112</v>
      </c>
      <c r="K795" t="s">
        <v>150</v>
      </c>
      <c r="L795" t="s">
        <v>151</v>
      </c>
      <c r="M795" t="s">
        <v>112</v>
      </c>
      <c r="N795" t="s">
        <v>112</v>
      </c>
      <c r="Q795">
        <v>1</v>
      </c>
      <c r="R795">
        <v>33</v>
      </c>
      <c r="S795" t="s">
        <v>166</v>
      </c>
      <c r="T795" t="s">
        <v>152</v>
      </c>
      <c r="U795" t="s">
        <v>153</v>
      </c>
      <c r="V795" t="s">
        <v>154</v>
      </c>
      <c r="W795" t="s">
        <v>119</v>
      </c>
      <c r="X795" t="s">
        <v>112</v>
      </c>
      <c r="Y795" t="s">
        <v>166</v>
      </c>
      <c r="Z795" t="s">
        <v>152</v>
      </c>
      <c r="AA795" t="s">
        <v>153</v>
      </c>
      <c r="AB795" t="s">
        <v>154</v>
      </c>
      <c r="AC795" t="s">
        <v>119</v>
      </c>
      <c r="AD795" t="s">
        <v>112</v>
      </c>
      <c r="AE795" t="s">
        <v>121</v>
      </c>
      <c r="AF795" t="s">
        <v>122</v>
      </c>
      <c r="AG795">
        <v>4847489.6100000003</v>
      </c>
      <c r="AH795" t="s">
        <v>166</v>
      </c>
      <c r="AI795" t="s">
        <v>152</v>
      </c>
      <c r="AJ795" t="s">
        <v>153</v>
      </c>
      <c r="AK795" t="s">
        <v>154</v>
      </c>
      <c r="AL795" t="s">
        <v>119</v>
      </c>
      <c r="AM795" t="s">
        <v>112</v>
      </c>
      <c r="AN795" t="s">
        <v>121</v>
      </c>
      <c r="AO795" t="s">
        <v>122</v>
      </c>
      <c r="AP795" t="s">
        <v>122</v>
      </c>
      <c r="AQ795" t="s">
        <v>124</v>
      </c>
      <c r="AR795" t="s">
        <v>125</v>
      </c>
      <c r="AT795" t="s">
        <v>126</v>
      </c>
      <c r="AU795" t="s">
        <v>155</v>
      </c>
      <c r="AV795" t="s">
        <v>156</v>
      </c>
      <c r="AX795" t="s">
        <v>129</v>
      </c>
      <c r="AY795">
        <v>42033.24</v>
      </c>
      <c r="BB795">
        <v>103.8379</v>
      </c>
      <c r="BC795" t="s">
        <v>112</v>
      </c>
      <c r="BD795" t="s">
        <v>112</v>
      </c>
      <c r="BE795" t="s">
        <v>112</v>
      </c>
      <c r="BF795" t="s">
        <v>133</v>
      </c>
      <c r="BG795" t="s">
        <v>134</v>
      </c>
      <c r="BH795" t="s">
        <v>112</v>
      </c>
      <c r="BI795" t="s">
        <v>112</v>
      </c>
      <c r="BJ795" t="s">
        <v>112</v>
      </c>
      <c r="BK795" t="s">
        <v>112</v>
      </c>
      <c r="BL795" t="s">
        <v>112</v>
      </c>
      <c r="BM795" t="s">
        <v>112</v>
      </c>
      <c r="BN795" t="s">
        <v>161</v>
      </c>
      <c r="BP795" t="s">
        <v>205</v>
      </c>
      <c r="BR795" t="s">
        <v>150</v>
      </c>
      <c r="BS795">
        <v>33</v>
      </c>
      <c r="BT795">
        <v>0</v>
      </c>
      <c r="BU795">
        <v>0</v>
      </c>
      <c r="BY795" t="s">
        <v>106</v>
      </c>
      <c r="BZ795" t="s">
        <v>142</v>
      </c>
      <c r="CA795" t="s">
        <v>112</v>
      </c>
      <c r="CB795" t="s">
        <v>112</v>
      </c>
      <c r="CC795" t="s">
        <v>121</v>
      </c>
      <c r="CD795">
        <v>16268.05</v>
      </c>
      <c r="CE795" t="s">
        <v>144</v>
      </c>
      <c r="CF795">
        <v>4000000</v>
      </c>
      <c r="CG795">
        <v>16149.25</v>
      </c>
      <c r="CH795">
        <v>0</v>
      </c>
      <c r="CI795" t="s">
        <v>112</v>
      </c>
      <c r="CJ795" t="s">
        <v>112</v>
      </c>
      <c r="CK795">
        <v>42033.24</v>
      </c>
      <c r="CM795">
        <v>0</v>
      </c>
      <c r="CN795">
        <v>1</v>
      </c>
      <c r="CO795">
        <v>4847489.6100000003</v>
      </c>
      <c r="CP795">
        <v>51129.760000000002</v>
      </c>
      <c r="CQ795" t="s">
        <v>145</v>
      </c>
      <c r="CR795">
        <v>51193.122499999998</v>
      </c>
      <c r="CS795">
        <v>3.17</v>
      </c>
      <c r="CW795">
        <v>124</v>
      </c>
    </row>
    <row r="796" spans="1:101" x14ac:dyDescent="0.2">
      <c r="A796" t="s">
        <v>106</v>
      </c>
      <c r="B796" s="46">
        <v>45089</v>
      </c>
      <c r="C796" t="s">
        <v>1666</v>
      </c>
      <c r="D796" t="s">
        <v>108</v>
      </c>
      <c r="E796" t="s">
        <v>1667</v>
      </c>
      <c r="F796" t="s">
        <v>110</v>
      </c>
      <c r="G796" t="s">
        <v>111</v>
      </c>
      <c r="H796" t="s">
        <v>112</v>
      </c>
      <c r="I796" t="s">
        <v>112</v>
      </c>
      <c r="J796" t="s">
        <v>112</v>
      </c>
      <c r="K796" t="s">
        <v>150</v>
      </c>
      <c r="L796" t="s">
        <v>151</v>
      </c>
      <c r="M796" t="s">
        <v>112</v>
      </c>
      <c r="N796" t="s">
        <v>112</v>
      </c>
      <c r="Q796">
        <v>1</v>
      </c>
      <c r="R796">
        <v>33</v>
      </c>
      <c r="S796" t="s">
        <v>166</v>
      </c>
      <c r="T796" t="s">
        <v>152</v>
      </c>
      <c r="U796" t="s">
        <v>153</v>
      </c>
      <c r="V796" t="s">
        <v>154</v>
      </c>
      <c r="W796" t="s">
        <v>119</v>
      </c>
      <c r="X796" t="s">
        <v>112</v>
      </c>
      <c r="Y796" t="s">
        <v>166</v>
      </c>
      <c r="Z796" t="s">
        <v>152</v>
      </c>
      <c r="AA796" t="s">
        <v>153</v>
      </c>
      <c r="AB796" t="s">
        <v>154</v>
      </c>
      <c r="AC796" t="s">
        <v>119</v>
      </c>
      <c r="AD796" t="s">
        <v>112</v>
      </c>
      <c r="AE796" t="s">
        <v>121</v>
      </c>
      <c r="AF796" t="s">
        <v>122</v>
      </c>
      <c r="AG796">
        <v>4925369.07</v>
      </c>
      <c r="AH796" t="s">
        <v>166</v>
      </c>
      <c r="AI796" t="s">
        <v>152</v>
      </c>
      <c r="AJ796" t="s">
        <v>153</v>
      </c>
      <c r="AK796" t="s">
        <v>154</v>
      </c>
      <c r="AL796" t="s">
        <v>119</v>
      </c>
      <c r="AM796" t="s">
        <v>112</v>
      </c>
      <c r="AN796" t="s">
        <v>121</v>
      </c>
      <c r="AO796" t="s">
        <v>122</v>
      </c>
      <c r="AP796" t="s">
        <v>122</v>
      </c>
      <c r="AQ796" t="s">
        <v>124</v>
      </c>
      <c r="AR796" t="s">
        <v>125</v>
      </c>
      <c r="AT796" t="s">
        <v>126</v>
      </c>
      <c r="AU796" t="s">
        <v>155</v>
      </c>
      <c r="AV796" t="s">
        <v>156</v>
      </c>
      <c r="AX796" t="s">
        <v>129</v>
      </c>
      <c r="AY796">
        <v>43303.25</v>
      </c>
      <c r="BB796">
        <v>103.8379</v>
      </c>
      <c r="BC796" t="s">
        <v>112</v>
      </c>
      <c r="BD796" t="s">
        <v>112</v>
      </c>
      <c r="BE796" t="s">
        <v>112</v>
      </c>
      <c r="BF796" t="s">
        <v>133</v>
      </c>
      <c r="BG796" t="s">
        <v>134</v>
      </c>
      <c r="BH796" t="s">
        <v>112</v>
      </c>
      <c r="BI796" t="s">
        <v>112</v>
      </c>
      <c r="BJ796" t="s">
        <v>112</v>
      </c>
      <c r="BK796" t="s">
        <v>112</v>
      </c>
      <c r="BL796" t="s">
        <v>112</v>
      </c>
      <c r="BM796" t="s">
        <v>112</v>
      </c>
      <c r="BN796" t="s">
        <v>161</v>
      </c>
      <c r="BP796" t="s">
        <v>162</v>
      </c>
      <c r="BR796" t="s">
        <v>150</v>
      </c>
      <c r="BS796">
        <v>33</v>
      </c>
      <c r="BT796">
        <v>0</v>
      </c>
      <c r="BU796">
        <v>0</v>
      </c>
      <c r="BY796" t="s">
        <v>106</v>
      </c>
      <c r="BZ796" t="s">
        <v>142</v>
      </c>
      <c r="CA796" t="s">
        <v>112</v>
      </c>
      <c r="CB796" t="s">
        <v>112</v>
      </c>
      <c r="CC796" t="s">
        <v>121</v>
      </c>
      <c r="CD796">
        <v>16580.23</v>
      </c>
      <c r="CE796" t="s">
        <v>144</v>
      </c>
      <c r="CF796">
        <v>4000000</v>
      </c>
      <c r="CG796">
        <v>16490.23</v>
      </c>
      <c r="CH796">
        <v>0</v>
      </c>
      <c r="CI796" t="s">
        <v>112</v>
      </c>
      <c r="CJ796" t="s">
        <v>112</v>
      </c>
      <c r="CK796">
        <v>43303.25</v>
      </c>
      <c r="CM796">
        <v>0</v>
      </c>
      <c r="CN796">
        <v>1</v>
      </c>
      <c r="CO796">
        <v>4925369.07</v>
      </c>
      <c r="CP796">
        <v>51951.21</v>
      </c>
      <c r="CQ796" t="s">
        <v>145</v>
      </c>
      <c r="CR796">
        <v>51944.224499999997</v>
      </c>
      <c r="CS796">
        <v>3.15</v>
      </c>
      <c r="CW796">
        <v>4</v>
      </c>
    </row>
    <row r="797" spans="1:101" x14ac:dyDescent="0.2">
      <c r="A797" t="s">
        <v>106</v>
      </c>
      <c r="B797" s="46">
        <v>45090</v>
      </c>
      <c r="C797" t="s">
        <v>1664</v>
      </c>
      <c r="D797" t="s">
        <v>108</v>
      </c>
      <c r="E797" t="s">
        <v>1665</v>
      </c>
      <c r="F797" t="s">
        <v>110</v>
      </c>
      <c r="G797" t="s">
        <v>111</v>
      </c>
      <c r="H797" t="s">
        <v>112</v>
      </c>
      <c r="I797" t="s">
        <v>112</v>
      </c>
      <c r="J797" t="s">
        <v>112</v>
      </c>
      <c r="K797" t="s">
        <v>150</v>
      </c>
      <c r="L797" t="s">
        <v>151</v>
      </c>
      <c r="M797" t="s">
        <v>112</v>
      </c>
      <c r="N797" t="s">
        <v>112</v>
      </c>
      <c r="Q797">
        <v>1</v>
      </c>
      <c r="R797">
        <v>33</v>
      </c>
      <c r="S797" t="s">
        <v>166</v>
      </c>
      <c r="T797" t="s">
        <v>152</v>
      </c>
      <c r="U797" t="s">
        <v>153</v>
      </c>
      <c r="V797" t="s">
        <v>154</v>
      </c>
      <c r="W797" t="s">
        <v>119</v>
      </c>
      <c r="X797" t="s">
        <v>112</v>
      </c>
      <c r="Y797" t="s">
        <v>166</v>
      </c>
      <c r="Z797" t="s">
        <v>152</v>
      </c>
      <c r="AA797" t="s">
        <v>153</v>
      </c>
      <c r="AB797" t="s">
        <v>154</v>
      </c>
      <c r="AC797" t="s">
        <v>119</v>
      </c>
      <c r="AD797" t="s">
        <v>112</v>
      </c>
      <c r="AE797" t="s">
        <v>121</v>
      </c>
      <c r="AF797" t="s">
        <v>122</v>
      </c>
      <c r="AG797">
        <v>4182007.05</v>
      </c>
      <c r="AH797" t="s">
        <v>166</v>
      </c>
      <c r="AI797" t="s">
        <v>152</v>
      </c>
      <c r="AJ797" t="s">
        <v>153</v>
      </c>
      <c r="AK797" t="s">
        <v>154</v>
      </c>
      <c r="AL797" t="s">
        <v>119</v>
      </c>
      <c r="AM797" t="s">
        <v>112</v>
      </c>
      <c r="AN797" t="s">
        <v>121</v>
      </c>
      <c r="AO797" t="s">
        <v>122</v>
      </c>
      <c r="AP797" t="s">
        <v>122</v>
      </c>
      <c r="AQ797" t="s">
        <v>124</v>
      </c>
      <c r="AR797" t="s">
        <v>125</v>
      </c>
      <c r="AT797" t="s">
        <v>126</v>
      </c>
      <c r="AU797" t="s">
        <v>155</v>
      </c>
      <c r="AV797" t="s">
        <v>156</v>
      </c>
      <c r="AX797" t="s">
        <v>129</v>
      </c>
      <c r="AY797">
        <v>36144.379999999997</v>
      </c>
      <c r="BB797">
        <v>103.8379</v>
      </c>
      <c r="BC797" t="s">
        <v>112</v>
      </c>
      <c r="BD797" t="s">
        <v>112</v>
      </c>
      <c r="BE797" t="s">
        <v>112</v>
      </c>
      <c r="BF797" t="s">
        <v>133</v>
      </c>
      <c r="BG797" t="s">
        <v>167</v>
      </c>
      <c r="BH797" t="s">
        <v>112</v>
      </c>
      <c r="BI797" t="s">
        <v>112</v>
      </c>
      <c r="BJ797" t="s">
        <v>112</v>
      </c>
      <c r="BK797" t="s">
        <v>112</v>
      </c>
      <c r="BL797" t="s">
        <v>112</v>
      </c>
      <c r="BM797" t="s">
        <v>112</v>
      </c>
      <c r="BN797" t="s">
        <v>161</v>
      </c>
      <c r="BP797" t="s">
        <v>205</v>
      </c>
      <c r="BR797" t="s">
        <v>150</v>
      </c>
      <c r="BS797">
        <v>33</v>
      </c>
      <c r="BT797">
        <v>0</v>
      </c>
      <c r="BU797">
        <v>0</v>
      </c>
      <c r="BY797" t="s">
        <v>106</v>
      </c>
      <c r="BZ797" t="s">
        <v>142</v>
      </c>
      <c r="CA797" t="s">
        <v>112</v>
      </c>
      <c r="CB797" t="s">
        <v>112</v>
      </c>
      <c r="CC797" t="s">
        <v>121</v>
      </c>
      <c r="CD797">
        <v>16289.58</v>
      </c>
      <c r="CE797" t="s">
        <v>144</v>
      </c>
      <c r="CF797">
        <v>4000000</v>
      </c>
      <c r="CG797">
        <v>16192.38</v>
      </c>
      <c r="CH797">
        <v>0</v>
      </c>
      <c r="CI797" t="s">
        <v>112</v>
      </c>
      <c r="CJ797" t="s">
        <v>112</v>
      </c>
      <c r="CK797">
        <v>36144.379999999997</v>
      </c>
      <c r="CM797">
        <v>0</v>
      </c>
      <c r="CN797">
        <v>1</v>
      </c>
      <c r="CO797">
        <v>4182007.05</v>
      </c>
      <c r="CP797">
        <v>44110.46</v>
      </c>
      <c r="CQ797" t="s">
        <v>145</v>
      </c>
      <c r="CR797">
        <v>44043.2736</v>
      </c>
      <c r="CS797">
        <v>2.72</v>
      </c>
      <c r="CW797">
        <v>556</v>
      </c>
    </row>
    <row r="798" spans="1:101" x14ac:dyDescent="0.2">
      <c r="A798" t="s">
        <v>106</v>
      </c>
      <c r="B798" s="46">
        <v>45093</v>
      </c>
      <c r="C798" t="s">
        <v>1662</v>
      </c>
      <c r="D798" t="s">
        <v>108</v>
      </c>
      <c r="E798" t="s">
        <v>1663</v>
      </c>
      <c r="F798" t="s">
        <v>110</v>
      </c>
      <c r="G798" t="s">
        <v>111</v>
      </c>
      <c r="H798" t="s">
        <v>112</v>
      </c>
      <c r="I798" t="s">
        <v>112</v>
      </c>
      <c r="J798" t="s">
        <v>112</v>
      </c>
      <c r="K798" t="s">
        <v>150</v>
      </c>
      <c r="L798" t="s">
        <v>151</v>
      </c>
      <c r="M798" t="s">
        <v>112</v>
      </c>
      <c r="N798" t="s">
        <v>112</v>
      </c>
      <c r="Q798">
        <v>1</v>
      </c>
      <c r="R798">
        <v>33</v>
      </c>
      <c r="S798" t="s">
        <v>166</v>
      </c>
      <c r="T798" t="s">
        <v>152</v>
      </c>
      <c r="U798" t="s">
        <v>153</v>
      </c>
      <c r="V798" t="s">
        <v>154</v>
      </c>
      <c r="W798" t="s">
        <v>119</v>
      </c>
      <c r="X798" t="s">
        <v>112</v>
      </c>
      <c r="Y798" t="s">
        <v>166</v>
      </c>
      <c r="Z798" t="s">
        <v>152</v>
      </c>
      <c r="AA798" t="s">
        <v>153</v>
      </c>
      <c r="AB798" t="s">
        <v>154</v>
      </c>
      <c r="AC798" t="s">
        <v>119</v>
      </c>
      <c r="AD798" t="s">
        <v>112</v>
      </c>
      <c r="AE798" t="s">
        <v>121</v>
      </c>
      <c r="AF798" t="s">
        <v>122</v>
      </c>
      <c r="AG798">
        <v>4944650.7300000004</v>
      </c>
      <c r="AH798" t="s">
        <v>166</v>
      </c>
      <c r="AI798" t="s">
        <v>152</v>
      </c>
      <c r="AJ798" t="s">
        <v>153</v>
      </c>
      <c r="AK798" t="s">
        <v>154</v>
      </c>
      <c r="AL798" t="s">
        <v>119</v>
      </c>
      <c r="AM798" t="s">
        <v>112</v>
      </c>
      <c r="AN798" t="s">
        <v>121</v>
      </c>
      <c r="AO798" t="s">
        <v>122</v>
      </c>
      <c r="AP798" t="s">
        <v>122</v>
      </c>
      <c r="AQ798" t="s">
        <v>124</v>
      </c>
      <c r="AR798" t="s">
        <v>125</v>
      </c>
      <c r="AT798" t="s">
        <v>126</v>
      </c>
      <c r="AU798" t="s">
        <v>155</v>
      </c>
      <c r="AV798" t="s">
        <v>156</v>
      </c>
      <c r="AX798" t="s">
        <v>129</v>
      </c>
      <c r="AY798">
        <v>43488.94</v>
      </c>
      <c r="BB798">
        <v>103.8379</v>
      </c>
      <c r="BC798" t="s">
        <v>112</v>
      </c>
      <c r="BD798" t="s">
        <v>112</v>
      </c>
      <c r="BE798" t="s">
        <v>112</v>
      </c>
      <c r="BF798" t="s">
        <v>133</v>
      </c>
      <c r="BG798" t="s">
        <v>167</v>
      </c>
      <c r="BH798" t="s">
        <v>112</v>
      </c>
      <c r="BI798" t="s">
        <v>112</v>
      </c>
      <c r="BJ798" t="s">
        <v>112</v>
      </c>
      <c r="BK798" t="s">
        <v>112</v>
      </c>
      <c r="BL798" t="s">
        <v>112</v>
      </c>
      <c r="BM798" t="s">
        <v>112</v>
      </c>
      <c r="BN798" t="s">
        <v>161</v>
      </c>
      <c r="BP798" t="s">
        <v>162</v>
      </c>
      <c r="BR798" t="s">
        <v>150</v>
      </c>
      <c r="BS798">
        <v>33</v>
      </c>
      <c r="BT798">
        <v>0</v>
      </c>
      <c r="BU798">
        <v>0</v>
      </c>
      <c r="BY798" t="s">
        <v>106</v>
      </c>
      <c r="BZ798" t="s">
        <v>142</v>
      </c>
      <c r="CA798" t="s">
        <v>112</v>
      </c>
      <c r="CB798" t="s">
        <v>112</v>
      </c>
      <c r="CC798" t="s">
        <v>121</v>
      </c>
      <c r="CD798">
        <v>16403.71</v>
      </c>
      <c r="CE798" t="s">
        <v>144</v>
      </c>
      <c r="CF798">
        <v>4000000</v>
      </c>
      <c r="CG798">
        <v>16252.51</v>
      </c>
      <c r="CH798">
        <v>0</v>
      </c>
      <c r="CI798" t="s">
        <v>112</v>
      </c>
      <c r="CJ798" t="s">
        <v>112</v>
      </c>
      <c r="CK798">
        <v>43488.94</v>
      </c>
      <c r="CM798">
        <v>0</v>
      </c>
      <c r="CN798">
        <v>1</v>
      </c>
      <c r="CO798">
        <v>4944650.7300000004</v>
      </c>
      <c r="CP798">
        <v>52154.58</v>
      </c>
      <c r="CQ798" t="s">
        <v>145</v>
      </c>
      <c r="CR798">
        <v>52170.557099999998</v>
      </c>
      <c r="CS798">
        <v>3.21</v>
      </c>
      <c r="CW798">
        <v>134</v>
      </c>
    </row>
    <row r="799" spans="1:101" x14ac:dyDescent="0.2">
      <c r="A799" t="s">
        <v>106</v>
      </c>
      <c r="B799" s="46">
        <v>45156</v>
      </c>
      <c r="C799" t="s">
        <v>1660</v>
      </c>
      <c r="D799" t="s">
        <v>108</v>
      </c>
      <c r="E799" t="s">
        <v>1661</v>
      </c>
      <c r="F799" t="s">
        <v>110</v>
      </c>
      <c r="G799" t="s">
        <v>111</v>
      </c>
      <c r="H799" t="s">
        <v>112</v>
      </c>
      <c r="I799" t="s">
        <v>112</v>
      </c>
      <c r="J799" t="s">
        <v>112</v>
      </c>
      <c r="K799" t="s">
        <v>150</v>
      </c>
      <c r="L799" t="s">
        <v>151</v>
      </c>
      <c r="M799" t="s">
        <v>112</v>
      </c>
      <c r="N799" t="s">
        <v>112</v>
      </c>
      <c r="Q799">
        <v>1</v>
      </c>
      <c r="R799">
        <v>33</v>
      </c>
      <c r="S799" t="s">
        <v>166</v>
      </c>
      <c r="T799" t="s">
        <v>152</v>
      </c>
      <c r="U799" t="s">
        <v>153</v>
      </c>
      <c r="V799" t="s">
        <v>154</v>
      </c>
      <c r="W799" t="s">
        <v>119</v>
      </c>
      <c r="X799" t="s">
        <v>112</v>
      </c>
      <c r="Y799" t="s">
        <v>166</v>
      </c>
      <c r="Z799" t="s">
        <v>152</v>
      </c>
      <c r="AA799" t="s">
        <v>153</v>
      </c>
      <c r="AB799" t="s">
        <v>154</v>
      </c>
      <c r="AC799" t="s">
        <v>119</v>
      </c>
      <c r="AD799" t="s">
        <v>112</v>
      </c>
      <c r="AE799" t="s">
        <v>121</v>
      </c>
      <c r="AF799" t="s">
        <v>122</v>
      </c>
      <c r="AG799">
        <v>4820321.46</v>
      </c>
      <c r="AH799" t="s">
        <v>166</v>
      </c>
      <c r="AI799" t="s">
        <v>152</v>
      </c>
      <c r="AJ799" t="s">
        <v>153</v>
      </c>
      <c r="AK799" t="s">
        <v>154</v>
      </c>
      <c r="AL799" t="s">
        <v>119</v>
      </c>
      <c r="AM799" t="s">
        <v>112</v>
      </c>
      <c r="AN799" t="s">
        <v>121</v>
      </c>
      <c r="AO799" t="s">
        <v>122</v>
      </c>
      <c r="AP799" t="s">
        <v>122</v>
      </c>
      <c r="AQ799" t="s">
        <v>124</v>
      </c>
      <c r="AR799" t="s">
        <v>125</v>
      </c>
      <c r="AT799" t="s">
        <v>126</v>
      </c>
      <c r="AU799" t="s">
        <v>155</v>
      </c>
      <c r="AV799" t="s">
        <v>156</v>
      </c>
      <c r="AX799" t="s">
        <v>129</v>
      </c>
      <c r="AY799">
        <v>41591.599999999999</v>
      </c>
      <c r="BB799">
        <v>103.8379</v>
      </c>
      <c r="BC799" t="s">
        <v>112</v>
      </c>
      <c r="BD799" t="s">
        <v>112</v>
      </c>
      <c r="BE799" t="s">
        <v>112</v>
      </c>
      <c r="BF799" t="s">
        <v>133</v>
      </c>
      <c r="BG799" t="s">
        <v>167</v>
      </c>
      <c r="BH799" t="s">
        <v>112</v>
      </c>
      <c r="BI799" t="s">
        <v>112</v>
      </c>
      <c r="BJ799" t="s">
        <v>112</v>
      </c>
      <c r="BK799" t="s">
        <v>112</v>
      </c>
      <c r="BL799" t="s">
        <v>112</v>
      </c>
      <c r="BM799" t="s">
        <v>112</v>
      </c>
      <c r="BN799" t="s">
        <v>161</v>
      </c>
      <c r="BP799" t="s">
        <v>205</v>
      </c>
      <c r="BR799" t="s">
        <v>150</v>
      </c>
      <c r="BS799">
        <v>33</v>
      </c>
      <c r="BT799">
        <v>0</v>
      </c>
      <c r="BU799">
        <v>0</v>
      </c>
      <c r="BY799" t="s">
        <v>106</v>
      </c>
      <c r="BZ799" t="s">
        <v>142</v>
      </c>
      <c r="CA799" t="s">
        <v>112</v>
      </c>
      <c r="CB799" t="s">
        <v>112</v>
      </c>
      <c r="CC799" t="s">
        <v>121</v>
      </c>
      <c r="CD799">
        <v>16427.16</v>
      </c>
      <c r="CE799" t="s">
        <v>144</v>
      </c>
      <c r="CF799">
        <v>4000000</v>
      </c>
      <c r="CG799">
        <v>16319.22</v>
      </c>
      <c r="CH799">
        <v>0</v>
      </c>
      <c r="CI799" t="s">
        <v>112</v>
      </c>
      <c r="CJ799" t="s">
        <v>112</v>
      </c>
      <c r="CK799">
        <v>41591.599999999999</v>
      </c>
      <c r="CM799">
        <v>0</v>
      </c>
      <c r="CN799">
        <v>1</v>
      </c>
      <c r="CO799">
        <v>4820321.46</v>
      </c>
      <c r="CP799">
        <v>50843.199999999997</v>
      </c>
      <c r="CQ799" t="s">
        <v>145</v>
      </c>
      <c r="CR799">
        <v>50915.966399999998</v>
      </c>
      <c r="CS799">
        <v>3.12</v>
      </c>
      <c r="CW799">
        <v>75</v>
      </c>
    </row>
    <row r="800" spans="1:101" x14ac:dyDescent="0.2">
      <c r="A800" t="s">
        <v>106</v>
      </c>
      <c r="B800" s="46">
        <v>45225</v>
      </c>
      <c r="C800" t="s">
        <v>1658</v>
      </c>
      <c r="D800" t="s">
        <v>108</v>
      </c>
      <c r="E800" t="s">
        <v>1659</v>
      </c>
      <c r="F800" t="s">
        <v>110</v>
      </c>
      <c r="G800" t="s">
        <v>111</v>
      </c>
      <c r="H800" t="s">
        <v>112</v>
      </c>
      <c r="I800" t="s">
        <v>112</v>
      </c>
      <c r="J800" t="s">
        <v>112</v>
      </c>
      <c r="K800" t="s">
        <v>150</v>
      </c>
      <c r="L800" t="s">
        <v>151</v>
      </c>
      <c r="M800" t="s">
        <v>112</v>
      </c>
      <c r="N800" t="s">
        <v>112</v>
      </c>
      <c r="Q800">
        <v>1</v>
      </c>
      <c r="R800">
        <v>33</v>
      </c>
      <c r="S800" t="s">
        <v>166</v>
      </c>
      <c r="T800" t="s">
        <v>152</v>
      </c>
      <c r="U800" t="s">
        <v>153</v>
      </c>
      <c r="V800" t="s">
        <v>154</v>
      </c>
      <c r="W800" t="s">
        <v>119</v>
      </c>
      <c r="X800" t="s">
        <v>112</v>
      </c>
      <c r="Y800" t="s">
        <v>166</v>
      </c>
      <c r="Z800" t="s">
        <v>152</v>
      </c>
      <c r="AA800" t="s">
        <v>153</v>
      </c>
      <c r="AB800" t="s">
        <v>154</v>
      </c>
      <c r="AC800" t="s">
        <v>119</v>
      </c>
      <c r="AD800" t="s">
        <v>112</v>
      </c>
      <c r="AE800" t="s">
        <v>121</v>
      </c>
      <c r="AF800" t="s">
        <v>122</v>
      </c>
      <c r="AG800">
        <v>4570188.42</v>
      </c>
      <c r="AH800" t="s">
        <v>166</v>
      </c>
      <c r="AI800" t="s">
        <v>152</v>
      </c>
      <c r="AJ800" t="s">
        <v>153</v>
      </c>
      <c r="AK800" t="s">
        <v>154</v>
      </c>
      <c r="AL800" t="s">
        <v>119</v>
      </c>
      <c r="AM800" t="s">
        <v>112</v>
      </c>
      <c r="AN800" t="s">
        <v>121</v>
      </c>
      <c r="AO800" t="s">
        <v>122</v>
      </c>
      <c r="AP800" t="s">
        <v>122</v>
      </c>
      <c r="AQ800" t="s">
        <v>124</v>
      </c>
      <c r="AR800" t="s">
        <v>125</v>
      </c>
      <c r="AT800" t="s">
        <v>126</v>
      </c>
      <c r="AU800" t="s">
        <v>155</v>
      </c>
      <c r="AV800" t="s">
        <v>156</v>
      </c>
      <c r="AX800" t="s">
        <v>129</v>
      </c>
      <c r="AY800">
        <v>39882.720000000001</v>
      </c>
      <c r="BB800">
        <v>103.8379</v>
      </c>
      <c r="BC800" t="s">
        <v>112</v>
      </c>
      <c r="BD800" t="s">
        <v>112</v>
      </c>
      <c r="BE800" t="s">
        <v>112</v>
      </c>
      <c r="BF800" t="s">
        <v>133</v>
      </c>
      <c r="BG800" t="s">
        <v>167</v>
      </c>
      <c r="BH800" t="s">
        <v>112</v>
      </c>
      <c r="BI800" t="s">
        <v>112</v>
      </c>
      <c r="BJ800" t="s">
        <v>112</v>
      </c>
      <c r="BK800" t="s">
        <v>112</v>
      </c>
      <c r="BL800" t="s">
        <v>112</v>
      </c>
      <c r="BM800" t="s">
        <v>112</v>
      </c>
      <c r="BN800" t="s">
        <v>161</v>
      </c>
      <c r="BP800" t="s">
        <v>162</v>
      </c>
      <c r="BR800" t="s">
        <v>150</v>
      </c>
      <c r="BS800">
        <v>33</v>
      </c>
      <c r="BT800">
        <v>0</v>
      </c>
      <c r="BU800">
        <v>0</v>
      </c>
      <c r="BY800" t="s">
        <v>106</v>
      </c>
      <c r="BZ800" t="s">
        <v>142</v>
      </c>
      <c r="CA800" t="s">
        <v>112</v>
      </c>
      <c r="CB800" t="s">
        <v>112</v>
      </c>
      <c r="CC800" t="s">
        <v>121</v>
      </c>
      <c r="CD800">
        <v>16471.14</v>
      </c>
      <c r="CE800" t="s">
        <v>144</v>
      </c>
      <c r="CF800">
        <v>4000000</v>
      </c>
      <c r="CG800">
        <v>16319.94</v>
      </c>
      <c r="CH800">
        <v>0</v>
      </c>
      <c r="CI800" t="s">
        <v>112</v>
      </c>
      <c r="CJ800" t="s">
        <v>112</v>
      </c>
      <c r="CK800">
        <v>39882.720000000001</v>
      </c>
      <c r="CM800">
        <v>0</v>
      </c>
      <c r="CN800">
        <v>1</v>
      </c>
      <c r="CO800">
        <v>4570188.42</v>
      </c>
      <c r="CP800">
        <v>48204.87</v>
      </c>
      <c r="CQ800" t="s">
        <v>145</v>
      </c>
      <c r="CR800">
        <v>48143.823000000004</v>
      </c>
      <c r="CS800">
        <v>2.95</v>
      </c>
      <c r="CW800">
        <v>21</v>
      </c>
    </row>
    <row r="801" spans="1:101" x14ac:dyDescent="0.2">
      <c r="A801" t="s">
        <v>106</v>
      </c>
      <c r="B801" s="46">
        <v>45200</v>
      </c>
      <c r="C801" t="s">
        <v>1656</v>
      </c>
      <c r="D801" t="s">
        <v>108</v>
      </c>
      <c r="E801" t="s">
        <v>1657</v>
      </c>
      <c r="F801" t="s">
        <v>110</v>
      </c>
      <c r="G801" t="s">
        <v>111</v>
      </c>
      <c r="H801" t="s">
        <v>112</v>
      </c>
      <c r="I801" t="s">
        <v>112</v>
      </c>
      <c r="J801" t="s">
        <v>112</v>
      </c>
      <c r="K801" t="s">
        <v>150</v>
      </c>
      <c r="L801" t="s">
        <v>151</v>
      </c>
      <c r="M801" t="s">
        <v>112</v>
      </c>
      <c r="N801" t="s">
        <v>112</v>
      </c>
      <c r="Q801">
        <v>1</v>
      </c>
      <c r="R801">
        <v>33</v>
      </c>
      <c r="S801" t="s">
        <v>166</v>
      </c>
      <c r="T801" t="s">
        <v>152</v>
      </c>
      <c r="U801" t="s">
        <v>153</v>
      </c>
      <c r="V801" t="s">
        <v>154</v>
      </c>
      <c r="W801" t="s">
        <v>119</v>
      </c>
      <c r="X801" t="s">
        <v>112</v>
      </c>
      <c r="Y801" t="s">
        <v>166</v>
      </c>
      <c r="Z801" t="s">
        <v>152</v>
      </c>
      <c r="AA801" t="s">
        <v>153</v>
      </c>
      <c r="AB801" t="s">
        <v>154</v>
      </c>
      <c r="AC801" t="s">
        <v>119</v>
      </c>
      <c r="AD801" t="s">
        <v>112</v>
      </c>
      <c r="AE801" t="s">
        <v>121</v>
      </c>
      <c r="AF801" t="s">
        <v>122</v>
      </c>
      <c r="AG801">
        <v>4385884.46</v>
      </c>
      <c r="AH801" t="s">
        <v>166</v>
      </c>
      <c r="AI801" t="s">
        <v>152</v>
      </c>
      <c r="AJ801" t="s">
        <v>153</v>
      </c>
      <c r="AK801" t="s">
        <v>154</v>
      </c>
      <c r="AL801" t="s">
        <v>119</v>
      </c>
      <c r="AM801" t="s">
        <v>112</v>
      </c>
      <c r="AN801" t="s">
        <v>121</v>
      </c>
      <c r="AO801" t="s">
        <v>122</v>
      </c>
      <c r="AP801" t="s">
        <v>122</v>
      </c>
      <c r="AQ801" t="s">
        <v>124</v>
      </c>
      <c r="AR801" t="s">
        <v>125</v>
      </c>
      <c r="AT801" t="s">
        <v>126</v>
      </c>
      <c r="AU801" t="s">
        <v>155</v>
      </c>
      <c r="AV801" t="s">
        <v>156</v>
      </c>
      <c r="AX801" t="s">
        <v>129</v>
      </c>
      <c r="AY801">
        <v>38107.800000000003</v>
      </c>
      <c r="BB801">
        <v>103.8379</v>
      </c>
      <c r="BC801" t="s">
        <v>112</v>
      </c>
      <c r="BD801" t="s">
        <v>112</v>
      </c>
      <c r="BE801" t="s">
        <v>112</v>
      </c>
      <c r="BF801" t="s">
        <v>133</v>
      </c>
      <c r="BG801" t="s">
        <v>167</v>
      </c>
      <c r="BH801" t="s">
        <v>112</v>
      </c>
      <c r="BI801" t="s">
        <v>112</v>
      </c>
      <c r="BJ801" t="s">
        <v>112</v>
      </c>
      <c r="BK801" t="s">
        <v>112</v>
      </c>
      <c r="BL801" t="s">
        <v>112</v>
      </c>
      <c r="BM801" t="s">
        <v>112</v>
      </c>
      <c r="BN801" t="s">
        <v>161</v>
      </c>
      <c r="BP801" t="s">
        <v>205</v>
      </c>
      <c r="BR801" t="s">
        <v>150</v>
      </c>
      <c r="BS801">
        <v>33</v>
      </c>
      <c r="BT801">
        <v>0</v>
      </c>
      <c r="BU801">
        <v>0</v>
      </c>
      <c r="BY801" t="s">
        <v>106</v>
      </c>
      <c r="BZ801" t="s">
        <v>142</v>
      </c>
      <c r="CA801" t="s">
        <v>112</v>
      </c>
      <c r="CB801" t="s">
        <v>112</v>
      </c>
      <c r="CC801" t="s">
        <v>121</v>
      </c>
      <c r="CD801">
        <v>15835.08</v>
      </c>
      <c r="CE801" t="s">
        <v>144</v>
      </c>
      <c r="CF801">
        <v>4000000</v>
      </c>
      <c r="CG801">
        <v>15705.48</v>
      </c>
      <c r="CH801">
        <v>0</v>
      </c>
      <c r="CI801" t="s">
        <v>112</v>
      </c>
      <c r="CJ801" t="s">
        <v>112</v>
      </c>
      <c r="CK801">
        <v>38107.800000000003</v>
      </c>
      <c r="CM801">
        <v>0</v>
      </c>
      <c r="CN801">
        <v>1</v>
      </c>
      <c r="CO801">
        <v>4385884.46</v>
      </c>
      <c r="CP801">
        <v>46260.9</v>
      </c>
      <c r="CQ801" t="s">
        <v>145</v>
      </c>
      <c r="CR801">
        <v>46331.166000000005</v>
      </c>
      <c r="CS801">
        <v>2.95</v>
      </c>
      <c r="CW801">
        <v>9</v>
      </c>
    </row>
    <row r="802" spans="1:101" x14ac:dyDescent="0.2">
      <c r="A802" t="s">
        <v>106</v>
      </c>
      <c r="B802" s="46">
        <v>45094</v>
      </c>
      <c r="C802" t="s">
        <v>1434</v>
      </c>
      <c r="D802" t="s">
        <v>108</v>
      </c>
      <c r="E802" t="s">
        <v>1435</v>
      </c>
      <c r="F802" t="s">
        <v>110</v>
      </c>
      <c r="G802" t="s">
        <v>111</v>
      </c>
      <c r="H802" t="s">
        <v>112</v>
      </c>
      <c r="I802" t="s">
        <v>112</v>
      </c>
      <c r="J802" t="s">
        <v>112</v>
      </c>
      <c r="K802" t="s">
        <v>150</v>
      </c>
      <c r="L802" t="s">
        <v>1405</v>
      </c>
      <c r="M802" t="s">
        <v>112</v>
      </c>
      <c r="N802" t="s">
        <v>112</v>
      </c>
      <c r="O802">
        <v>1</v>
      </c>
      <c r="Q802">
        <v>1</v>
      </c>
      <c r="R802">
        <v>33</v>
      </c>
      <c r="S802" t="s">
        <v>166</v>
      </c>
      <c r="T802" t="s">
        <v>152</v>
      </c>
      <c r="U802" t="s">
        <v>153</v>
      </c>
      <c r="V802" t="s">
        <v>154</v>
      </c>
      <c r="W802" t="s">
        <v>119</v>
      </c>
      <c r="X802" t="s">
        <v>112</v>
      </c>
      <c r="Y802" t="s">
        <v>166</v>
      </c>
      <c r="Z802" t="s">
        <v>152</v>
      </c>
      <c r="AA802" t="s">
        <v>153</v>
      </c>
      <c r="AB802" t="s">
        <v>154</v>
      </c>
      <c r="AC802" t="s">
        <v>119</v>
      </c>
      <c r="AD802" t="s">
        <v>112</v>
      </c>
      <c r="AE802" t="s">
        <v>121</v>
      </c>
      <c r="AF802" t="s">
        <v>122</v>
      </c>
      <c r="AG802">
        <v>4831755.72</v>
      </c>
      <c r="AH802" t="s">
        <v>166</v>
      </c>
      <c r="AI802" t="s">
        <v>152</v>
      </c>
      <c r="AJ802" t="s">
        <v>153</v>
      </c>
      <c r="AK802" t="s">
        <v>154</v>
      </c>
      <c r="AL802" t="s">
        <v>119</v>
      </c>
      <c r="AM802" t="s">
        <v>112</v>
      </c>
      <c r="AN802" t="s">
        <v>121</v>
      </c>
      <c r="AO802" t="s">
        <v>122</v>
      </c>
      <c r="AP802" t="s">
        <v>122</v>
      </c>
      <c r="AQ802" t="s">
        <v>124</v>
      </c>
      <c r="AR802" t="s">
        <v>125</v>
      </c>
      <c r="AS802">
        <v>2</v>
      </c>
      <c r="AT802" t="s">
        <v>126</v>
      </c>
      <c r="AU802" t="s">
        <v>155</v>
      </c>
      <c r="AV802" t="s">
        <v>156</v>
      </c>
      <c r="AW802">
        <v>1</v>
      </c>
      <c r="AX802" t="s">
        <v>129</v>
      </c>
      <c r="AY802">
        <v>43323.92</v>
      </c>
      <c r="AZ802">
        <v>4363425</v>
      </c>
      <c r="BA802">
        <v>52195.98</v>
      </c>
      <c r="BB802">
        <v>100.7163</v>
      </c>
      <c r="BC802" t="s">
        <v>130</v>
      </c>
      <c r="BD802" t="s">
        <v>112</v>
      </c>
      <c r="BE802" t="s">
        <v>157</v>
      </c>
      <c r="BF802" t="s">
        <v>133</v>
      </c>
      <c r="BG802" t="s">
        <v>134</v>
      </c>
      <c r="BH802" t="s">
        <v>112</v>
      </c>
      <c r="BI802" t="s">
        <v>112</v>
      </c>
      <c r="BJ802" t="s">
        <v>112</v>
      </c>
      <c r="BK802" t="s">
        <v>169</v>
      </c>
      <c r="BL802" t="s">
        <v>159</v>
      </c>
      <c r="BM802" t="s">
        <v>722</v>
      </c>
      <c r="BN802" t="s">
        <v>161</v>
      </c>
      <c r="BO802">
        <v>1</v>
      </c>
      <c r="BP802" t="s">
        <v>1436</v>
      </c>
      <c r="BR802" t="s">
        <v>150</v>
      </c>
      <c r="BS802">
        <v>33</v>
      </c>
      <c r="BY802" t="s">
        <v>106</v>
      </c>
      <c r="BZ802" t="s">
        <v>142</v>
      </c>
      <c r="CA802" t="s">
        <v>112</v>
      </c>
      <c r="CB802" t="s">
        <v>112</v>
      </c>
      <c r="CC802" t="s">
        <v>121</v>
      </c>
      <c r="CD802">
        <v>16131.58</v>
      </c>
      <c r="CE802" t="s">
        <v>144</v>
      </c>
      <c r="CF802">
        <v>4000000</v>
      </c>
      <c r="CG802">
        <v>15944.38</v>
      </c>
      <c r="CI802" t="s">
        <v>112</v>
      </c>
      <c r="CJ802" t="s">
        <v>112</v>
      </c>
      <c r="CK802">
        <v>43323.92</v>
      </c>
      <c r="CL802">
        <v>4363425</v>
      </c>
      <c r="CM802">
        <v>0</v>
      </c>
      <c r="CN802">
        <v>1</v>
      </c>
      <c r="CO802">
        <v>4831755.72</v>
      </c>
      <c r="CP802">
        <v>52195.98</v>
      </c>
      <c r="CQ802" t="s">
        <v>145</v>
      </c>
      <c r="CR802">
        <v>52138.122599999995</v>
      </c>
      <c r="CS802">
        <v>3.27</v>
      </c>
      <c r="CT802">
        <v>45</v>
      </c>
      <c r="CU802" t="s">
        <v>171</v>
      </c>
      <c r="CV802" t="s">
        <v>463</v>
      </c>
      <c r="CW802">
        <v>368</v>
      </c>
    </row>
    <row r="803" spans="1:101" x14ac:dyDescent="0.2">
      <c r="A803" t="s">
        <v>106</v>
      </c>
      <c r="B803" s="46">
        <v>44999</v>
      </c>
      <c r="C803" t="s">
        <v>1288</v>
      </c>
      <c r="D803" t="s">
        <v>108</v>
      </c>
      <c r="E803" t="s">
        <v>1289</v>
      </c>
      <c r="F803" t="s">
        <v>110</v>
      </c>
      <c r="G803" t="s">
        <v>111</v>
      </c>
      <c r="H803" t="s">
        <v>112</v>
      </c>
      <c r="I803" t="s">
        <v>112</v>
      </c>
      <c r="J803" t="s">
        <v>112</v>
      </c>
      <c r="K803" t="s">
        <v>150</v>
      </c>
      <c r="L803" t="s">
        <v>1036</v>
      </c>
      <c r="M803" t="s">
        <v>112</v>
      </c>
      <c r="N803" t="s">
        <v>112</v>
      </c>
      <c r="O803">
        <v>1</v>
      </c>
      <c r="P803">
        <v>0</v>
      </c>
      <c r="Q803">
        <v>1</v>
      </c>
      <c r="R803">
        <v>33</v>
      </c>
      <c r="S803" t="s">
        <v>166</v>
      </c>
      <c r="T803" t="s">
        <v>152</v>
      </c>
      <c r="U803" t="s">
        <v>153</v>
      </c>
      <c r="V803" t="s">
        <v>154</v>
      </c>
      <c r="W803" t="s">
        <v>119</v>
      </c>
      <c r="X803" t="s">
        <v>112</v>
      </c>
      <c r="Y803" t="s">
        <v>166</v>
      </c>
      <c r="Z803" t="s">
        <v>152</v>
      </c>
      <c r="AA803" t="s">
        <v>153</v>
      </c>
      <c r="AB803" t="s">
        <v>154</v>
      </c>
      <c r="AC803" t="s">
        <v>119</v>
      </c>
      <c r="AD803" t="s">
        <v>112</v>
      </c>
      <c r="AE803" t="s">
        <v>121</v>
      </c>
      <c r="AF803" t="s">
        <v>122</v>
      </c>
      <c r="AG803">
        <v>4402465.13</v>
      </c>
      <c r="AH803" t="s">
        <v>166</v>
      </c>
      <c r="AI803" t="s">
        <v>152</v>
      </c>
      <c r="AJ803" t="s">
        <v>153</v>
      </c>
      <c r="AK803" t="s">
        <v>154</v>
      </c>
      <c r="AL803" t="s">
        <v>119</v>
      </c>
      <c r="AM803" t="s">
        <v>112</v>
      </c>
      <c r="AN803" t="s">
        <v>121</v>
      </c>
      <c r="AO803" t="s">
        <v>122</v>
      </c>
      <c r="AP803" t="s">
        <v>122</v>
      </c>
      <c r="AQ803" t="s">
        <v>124</v>
      </c>
      <c r="AR803" t="s">
        <v>125</v>
      </c>
      <c r="AS803">
        <v>2</v>
      </c>
      <c r="AT803" t="s">
        <v>126</v>
      </c>
      <c r="AU803" t="s">
        <v>155</v>
      </c>
      <c r="AV803" t="s">
        <v>156</v>
      </c>
      <c r="AW803">
        <v>1</v>
      </c>
      <c r="AX803" t="s">
        <v>129</v>
      </c>
      <c r="AY803">
        <v>46501.04</v>
      </c>
      <c r="AZ803">
        <v>4043354</v>
      </c>
      <c r="BA803">
        <v>54184.05</v>
      </c>
      <c r="BB803">
        <v>86.951899999999995</v>
      </c>
      <c r="BC803" t="s">
        <v>130</v>
      </c>
      <c r="BD803" t="s">
        <v>112</v>
      </c>
      <c r="BE803" t="s">
        <v>157</v>
      </c>
      <c r="BF803" t="s">
        <v>133</v>
      </c>
      <c r="BG803" t="s">
        <v>134</v>
      </c>
      <c r="BH803" t="s">
        <v>112</v>
      </c>
      <c r="BI803" t="s">
        <v>112</v>
      </c>
      <c r="BJ803" t="s">
        <v>112</v>
      </c>
      <c r="BK803" t="s">
        <v>169</v>
      </c>
      <c r="BL803" t="s">
        <v>159</v>
      </c>
      <c r="BM803" t="s">
        <v>722</v>
      </c>
      <c r="BN803" t="s">
        <v>161</v>
      </c>
      <c r="BO803">
        <v>1</v>
      </c>
      <c r="BP803" t="s">
        <v>162</v>
      </c>
      <c r="BR803" t="s">
        <v>150</v>
      </c>
      <c r="BS803">
        <v>33</v>
      </c>
      <c r="BT803">
        <v>0</v>
      </c>
      <c r="BU803">
        <v>0</v>
      </c>
      <c r="BW803">
        <v>0</v>
      </c>
      <c r="BY803" t="s">
        <v>106</v>
      </c>
      <c r="BZ803" t="s">
        <v>142</v>
      </c>
      <c r="CA803" t="s">
        <v>112</v>
      </c>
      <c r="CB803" t="s">
        <v>112</v>
      </c>
      <c r="CC803" t="s">
        <v>121</v>
      </c>
      <c r="CD803">
        <v>16936.36</v>
      </c>
      <c r="CE803" t="s">
        <v>144</v>
      </c>
      <c r="CF803">
        <v>4000000</v>
      </c>
      <c r="CG803">
        <v>16936.36</v>
      </c>
      <c r="CH803">
        <v>0</v>
      </c>
      <c r="CI803" t="s">
        <v>112</v>
      </c>
      <c r="CJ803" t="s">
        <v>112</v>
      </c>
      <c r="CK803">
        <v>46501.04</v>
      </c>
      <c r="CL803">
        <v>4043354</v>
      </c>
      <c r="CM803">
        <v>0</v>
      </c>
      <c r="CN803">
        <v>1</v>
      </c>
      <c r="CO803">
        <v>4402465.13</v>
      </c>
      <c r="CP803">
        <v>54184.05</v>
      </c>
      <c r="CQ803" t="s">
        <v>145</v>
      </c>
      <c r="CR803">
        <v>54196.352000000006</v>
      </c>
      <c r="CS803">
        <v>3.2</v>
      </c>
      <c r="CT803">
        <v>45</v>
      </c>
      <c r="CU803" t="s">
        <v>171</v>
      </c>
      <c r="CV803" t="s">
        <v>372</v>
      </c>
      <c r="CW803">
        <v>71</v>
      </c>
    </row>
    <row r="804" spans="1:101" x14ac:dyDescent="0.2">
      <c r="A804" t="s">
        <v>106</v>
      </c>
      <c r="B804" s="46">
        <v>45186</v>
      </c>
      <c r="C804" t="s">
        <v>1279</v>
      </c>
      <c r="D804" t="s">
        <v>108</v>
      </c>
      <c r="E804" t="s">
        <v>1280</v>
      </c>
      <c r="F804" t="s">
        <v>110</v>
      </c>
      <c r="G804" t="s">
        <v>111</v>
      </c>
      <c r="H804" t="s">
        <v>112</v>
      </c>
      <c r="I804" t="s">
        <v>112</v>
      </c>
      <c r="J804" t="s">
        <v>112</v>
      </c>
      <c r="K804" t="s">
        <v>150</v>
      </c>
      <c r="L804" t="s">
        <v>1036</v>
      </c>
      <c r="M804" t="s">
        <v>112</v>
      </c>
      <c r="N804" t="s">
        <v>112</v>
      </c>
      <c r="O804">
        <v>1</v>
      </c>
      <c r="P804">
        <v>0</v>
      </c>
      <c r="Q804">
        <v>1</v>
      </c>
      <c r="R804">
        <v>33</v>
      </c>
      <c r="S804" t="s">
        <v>166</v>
      </c>
      <c r="T804" t="s">
        <v>152</v>
      </c>
      <c r="U804" t="s">
        <v>153</v>
      </c>
      <c r="V804" t="s">
        <v>154</v>
      </c>
      <c r="W804" t="s">
        <v>119</v>
      </c>
      <c r="X804" t="s">
        <v>112</v>
      </c>
      <c r="Y804" t="s">
        <v>166</v>
      </c>
      <c r="Z804" t="s">
        <v>152</v>
      </c>
      <c r="AA804" t="s">
        <v>153</v>
      </c>
      <c r="AB804" t="s">
        <v>154</v>
      </c>
      <c r="AC804" t="s">
        <v>119</v>
      </c>
      <c r="AD804" t="s">
        <v>112</v>
      </c>
      <c r="AE804" t="s">
        <v>121</v>
      </c>
      <c r="AF804" t="s">
        <v>122</v>
      </c>
      <c r="AG804">
        <v>4039920.92</v>
      </c>
      <c r="AH804" t="s">
        <v>166</v>
      </c>
      <c r="AI804" t="s">
        <v>152</v>
      </c>
      <c r="AJ804" t="s">
        <v>153</v>
      </c>
      <c r="AK804" t="s">
        <v>154</v>
      </c>
      <c r="AL804" t="s">
        <v>119</v>
      </c>
      <c r="AM804" t="s">
        <v>112</v>
      </c>
      <c r="AN804" t="s">
        <v>121</v>
      </c>
      <c r="AO804" t="s">
        <v>122</v>
      </c>
      <c r="AP804" t="s">
        <v>122</v>
      </c>
      <c r="AQ804" t="s">
        <v>124</v>
      </c>
      <c r="AR804" t="s">
        <v>125</v>
      </c>
      <c r="AS804">
        <v>2</v>
      </c>
      <c r="AT804" t="s">
        <v>126</v>
      </c>
      <c r="AU804" t="s">
        <v>155</v>
      </c>
      <c r="AV804" t="s">
        <v>156</v>
      </c>
      <c r="AW804">
        <v>1</v>
      </c>
      <c r="AX804" t="s">
        <v>129</v>
      </c>
      <c r="AY804">
        <v>42331.56</v>
      </c>
      <c r="AZ804">
        <v>3680810</v>
      </c>
      <c r="BA804">
        <v>49721.98</v>
      </c>
      <c r="BB804">
        <v>86.951899999999995</v>
      </c>
      <c r="BC804" t="s">
        <v>130</v>
      </c>
      <c r="BD804" t="s">
        <v>112</v>
      </c>
      <c r="BE804" t="s">
        <v>157</v>
      </c>
      <c r="BF804" t="s">
        <v>133</v>
      </c>
      <c r="BG804" t="s">
        <v>134</v>
      </c>
      <c r="BH804" t="s">
        <v>112</v>
      </c>
      <c r="BI804" t="s">
        <v>112</v>
      </c>
      <c r="BJ804" t="s">
        <v>112</v>
      </c>
      <c r="BK804" t="s">
        <v>169</v>
      </c>
      <c r="BL804" t="s">
        <v>159</v>
      </c>
      <c r="BM804" t="s">
        <v>722</v>
      </c>
      <c r="BN804" t="s">
        <v>161</v>
      </c>
      <c r="BO804">
        <v>1</v>
      </c>
      <c r="BP804" t="s">
        <v>1281</v>
      </c>
      <c r="BR804" t="s">
        <v>150</v>
      </c>
      <c r="BS804">
        <v>33</v>
      </c>
      <c r="BT804">
        <v>0</v>
      </c>
      <c r="BU804">
        <v>0</v>
      </c>
      <c r="BW804">
        <v>0</v>
      </c>
      <c r="BY804" t="s">
        <v>106</v>
      </c>
      <c r="BZ804" t="s">
        <v>142</v>
      </c>
      <c r="CA804" t="s">
        <v>112</v>
      </c>
      <c r="CB804" t="s">
        <v>112</v>
      </c>
      <c r="CC804" t="s">
        <v>121</v>
      </c>
      <c r="CD804">
        <v>17066.21</v>
      </c>
      <c r="CE804" t="s">
        <v>144</v>
      </c>
      <c r="CF804">
        <v>4000000</v>
      </c>
      <c r="CG804">
        <v>17066.21</v>
      </c>
      <c r="CH804">
        <v>0</v>
      </c>
      <c r="CI804" t="s">
        <v>112</v>
      </c>
      <c r="CJ804" t="s">
        <v>112</v>
      </c>
      <c r="CK804">
        <v>42331.56</v>
      </c>
      <c r="CL804">
        <v>3680810</v>
      </c>
      <c r="CM804">
        <v>0</v>
      </c>
      <c r="CN804">
        <v>1</v>
      </c>
      <c r="CO804">
        <v>4039920.92</v>
      </c>
      <c r="CP804">
        <v>49721.98</v>
      </c>
      <c r="CQ804" t="s">
        <v>145</v>
      </c>
      <c r="CR804">
        <v>49662.6711</v>
      </c>
      <c r="CS804">
        <v>2.91</v>
      </c>
      <c r="CT804">
        <v>45</v>
      </c>
      <c r="CU804" t="s">
        <v>171</v>
      </c>
      <c r="CV804" t="s">
        <v>463</v>
      </c>
      <c r="CW804">
        <v>153</v>
      </c>
    </row>
    <row r="805" spans="1:101" x14ac:dyDescent="0.2">
      <c r="A805" t="s">
        <v>106</v>
      </c>
      <c r="B805" s="46">
        <v>45008</v>
      </c>
      <c r="C805" t="s">
        <v>1277</v>
      </c>
      <c r="D805" t="s">
        <v>108</v>
      </c>
      <c r="E805" t="s">
        <v>1278</v>
      </c>
      <c r="F805" t="s">
        <v>110</v>
      </c>
      <c r="G805" t="s">
        <v>111</v>
      </c>
      <c r="H805" t="s">
        <v>112</v>
      </c>
      <c r="I805" t="s">
        <v>112</v>
      </c>
      <c r="J805" t="s">
        <v>112</v>
      </c>
      <c r="K805" t="s">
        <v>150</v>
      </c>
      <c r="L805" t="s">
        <v>1036</v>
      </c>
      <c r="M805" t="s">
        <v>112</v>
      </c>
      <c r="N805" t="s">
        <v>112</v>
      </c>
      <c r="O805">
        <v>1</v>
      </c>
      <c r="P805">
        <v>0</v>
      </c>
      <c r="Q805">
        <v>1</v>
      </c>
      <c r="R805">
        <v>33</v>
      </c>
      <c r="S805" t="s">
        <v>166</v>
      </c>
      <c r="T805" t="s">
        <v>152</v>
      </c>
      <c r="U805" t="s">
        <v>153</v>
      </c>
      <c r="V805" t="s">
        <v>154</v>
      </c>
      <c r="W805" t="s">
        <v>119</v>
      </c>
      <c r="X805" t="s">
        <v>112</v>
      </c>
      <c r="Y805" t="s">
        <v>166</v>
      </c>
      <c r="Z805" t="s">
        <v>152</v>
      </c>
      <c r="AA805" t="s">
        <v>153</v>
      </c>
      <c r="AB805" t="s">
        <v>154</v>
      </c>
      <c r="AC805" t="s">
        <v>119</v>
      </c>
      <c r="AD805" t="s">
        <v>112</v>
      </c>
      <c r="AE805" t="s">
        <v>121</v>
      </c>
      <c r="AF805" t="s">
        <v>122</v>
      </c>
      <c r="AG805">
        <v>3966560.48</v>
      </c>
      <c r="AH805" t="s">
        <v>166</v>
      </c>
      <c r="AI805" t="s">
        <v>152</v>
      </c>
      <c r="AJ805" t="s">
        <v>153</v>
      </c>
      <c r="AK805" t="s">
        <v>154</v>
      </c>
      <c r="AL805" t="s">
        <v>119</v>
      </c>
      <c r="AM805" t="s">
        <v>112</v>
      </c>
      <c r="AN805" t="s">
        <v>121</v>
      </c>
      <c r="AO805" t="s">
        <v>122</v>
      </c>
      <c r="AP805" t="s">
        <v>122</v>
      </c>
      <c r="AQ805" t="s">
        <v>124</v>
      </c>
      <c r="AR805" t="s">
        <v>125</v>
      </c>
      <c r="AS805">
        <v>2</v>
      </c>
      <c r="AT805" t="s">
        <v>126</v>
      </c>
      <c r="AU805" t="s">
        <v>155</v>
      </c>
      <c r="AV805" t="s">
        <v>156</v>
      </c>
      <c r="AW805">
        <v>1</v>
      </c>
      <c r="AX805" t="s">
        <v>129</v>
      </c>
      <c r="AY805">
        <v>40967.870000000003</v>
      </c>
      <c r="AZ805">
        <v>3562234</v>
      </c>
      <c r="BA805">
        <v>48819.09</v>
      </c>
      <c r="BB805">
        <v>86.951899999999995</v>
      </c>
      <c r="BC805" t="s">
        <v>130</v>
      </c>
      <c r="BD805" t="s">
        <v>112</v>
      </c>
      <c r="BE805" t="s">
        <v>157</v>
      </c>
      <c r="BF805" t="s">
        <v>133</v>
      </c>
      <c r="BG805" t="s">
        <v>134</v>
      </c>
      <c r="BH805" t="s">
        <v>112</v>
      </c>
      <c r="BI805" t="s">
        <v>112</v>
      </c>
      <c r="BJ805" t="s">
        <v>112</v>
      </c>
      <c r="BK805" t="s">
        <v>169</v>
      </c>
      <c r="BL805" t="s">
        <v>159</v>
      </c>
      <c r="BM805" t="s">
        <v>722</v>
      </c>
      <c r="BN805" t="s">
        <v>161</v>
      </c>
      <c r="BO805">
        <v>1</v>
      </c>
      <c r="BP805" t="s">
        <v>834</v>
      </c>
      <c r="BR805" t="s">
        <v>150</v>
      </c>
      <c r="BS805">
        <v>33</v>
      </c>
      <c r="BT805">
        <v>0</v>
      </c>
      <c r="BU805">
        <v>0</v>
      </c>
      <c r="BW805">
        <v>0</v>
      </c>
      <c r="BY805" t="s">
        <v>106</v>
      </c>
      <c r="BZ805" t="s">
        <v>142</v>
      </c>
      <c r="CA805" t="s">
        <v>112</v>
      </c>
      <c r="CB805" t="s">
        <v>112</v>
      </c>
      <c r="CC805" t="s">
        <v>121</v>
      </c>
      <c r="CD805">
        <v>15782.83</v>
      </c>
      <c r="CE805" t="s">
        <v>144</v>
      </c>
      <c r="CF805">
        <v>4000000</v>
      </c>
      <c r="CG805">
        <v>15566.83</v>
      </c>
      <c r="CH805">
        <v>0</v>
      </c>
      <c r="CI805" t="s">
        <v>112</v>
      </c>
      <c r="CJ805" t="s">
        <v>112</v>
      </c>
      <c r="CK805">
        <v>40967.870000000003</v>
      </c>
      <c r="CL805">
        <v>3562234</v>
      </c>
      <c r="CM805">
        <v>0</v>
      </c>
      <c r="CN805">
        <v>1</v>
      </c>
      <c r="CO805">
        <v>3966560.48</v>
      </c>
      <c r="CP805">
        <v>48819.09</v>
      </c>
      <c r="CQ805" t="s">
        <v>145</v>
      </c>
      <c r="CR805">
        <v>48879.8462</v>
      </c>
      <c r="CS805">
        <v>3.14</v>
      </c>
      <c r="CT805">
        <v>45</v>
      </c>
      <c r="CU805" t="s">
        <v>171</v>
      </c>
      <c r="CV805" t="s">
        <v>463</v>
      </c>
      <c r="CW805">
        <v>365</v>
      </c>
    </row>
    <row r="806" spans="1:101" x14ac:dyDescent="0.2">
      <c r="A806" t="s">
        <v>106</v>
      </c>
      <c r="B806" s="46">
        <v>45031</v>
      </c>
      <c r="C806" t="s">
        <v>1006</v>
      </c>
      <c r="D806" t="s">
        <v>108</v>
      </c>
      <c r="E806" t="s">
        <v>1007</v>
      </c>
      <c r="F806" t="s">
        <v>110</v>
      </c>
      <c r="G806" t="s">
        <v>111</v>
      </c>
      <c r="H806" t="s">
        <v>112</v>
      </c>
      <c r="I806" t="s">
        <v>112</v>
      </c>
      <c r="J806" t="s">
        <v>112</v>
      </c>
      <c r="K806" t="s">
        <v>150</v>
      </c>
      <c r="L806" t="s">
        <v>151</v>
      </c>
      <c r="M806" t="s">
        <v>112</v>
      </c>
      <c r="N806" t="s">
        <v>112</v>
      </c>
      <c r="O806">
        <v>1</v>
      </c>
      <c r="P806">
        <v>0</v>
      </c>
      <c r="Q806">
        <v>1</v>
      </c>
      <c r="R806">
        <v>33</v>
      </c>
      <c r="S806" t="s">
        <v>166</v>
      </c>
      <c r="T806" t="s">
        <v>152</v>
      </c>
      <c r="U806" t="s">
        <v>153</v>
      </c>
      <c r="V806" t="s">
        <v>154</v>
      </c>
      <c r="W806" t="s">
        <v>119</v>
      </c>
      <c r="X806" t="s">
        <v>112</v>
      </c>
      <c r="Y806" t="s">
        <v>166</v>
      </c>
      <c r="Z806" t="s">
        <v>152</v>
      </c>
      <c r="AA806" t="s">
        <v>153</v>
      </c>
      <c r="AB806" t="s">
        <v>154</v>
      </c>
      <c r="AC806" t="s">
        <v>119</v>
      </c>
      <c r="AD806" t="s">
        <v>112</v>
      </c>
      <c r="AE806" t="s">
        <v>121</v>
      </c>
      <c r="AF806" t="s">
        <v>122</v>
      </c>
      <c r="AG806">
        <v>4245038.09</v>
      </c>
      <c r="AH806" t="s">
        <v>166</v>
      </c>
      <c r="AI806" t="s">
        <v>152</v>
      </c>
      <c r="AJ806" t="s">
        <v>153</v>
      </c>
      <c r="AK806" t="s">
        <v>154</v>
      </c>
      <c r="AL806" t="s">
        <v>119</v>
      </c>
      <c r="AM806" t="s">
        <v>112</v>
      </c>
      <c r="AN806" t="s">
        <v>121</v>
      </c>
      <c r="AO806" t="s">
        <v>122</v>
      </c>
      <c r="AP806" t="s">
        <v>122</v>
      </c>
      <c r="AQ806" t="s">
        <v>124</v>
      </c>
      <c r="AR806" t="s">
        <v>125</v>
      </c>
      <c r="AS806">
        <v>2</v>
      </c>
      <c r="AT806" t="s">
        <v>126</v>
      </c>
      <c r="AU806" t="s">
        <v>155</v>
      </c>
      <c r="AV806" t="s">
        <v>156</v>
      </c>
      <c r="AW806">
        <v>1</v>
      </c>
      <c r="AX806" t="s">
        <v>129</v>
      </c>
      <c r="AY806">
        <v>43118.239999999998</v>
      </c>
      <c r="AZ806">
        <v>3799985</v>
      </c>
      <c r="BA806">
        <v>52621.42</v>
      </c>
      <c r="BB806">
        <v>88.129400000000004</v>
      </c>
      <c r="BC806" t="s">
        <v>130</v>
      </c>
      <c r="BD806" t="s">
        <v>112</v>
      </c>
      <c r="BE806" t="s">
        <v>157</v>
      </c>
      <c r="BF806" t="s">
        <v>133</v>
      </c>
      <c r="BG806" t="s">
        <v>134</v>
      </c>
      <c r="BH806" t="s">
        <v>112</v>
      </c>
      <c r="BI806" t="s">
        <v>112</v>
      </c>
      <c r="BJ806" t="s">
        <v>112</v>
      </c>
      <c r="BK806" t="s">
        <v>169</v>
      </c>
      <c r="BL806" t="s">
        <v>159</v>
      </c>
      <c r="BM806" t="s">
        <v>722</v>
      </c>
      <c r="BN806" t="s">
        <v>161</v>
      </c>
      <c r="BO806">
        <v>1</v>
      </c>
      <c r="BP806" t="s">
        <v>232</v>
      </c>
      <c r="BR806" t="s">
        <v>150</v>
      </c>
      <c r="BS806">
        <v>33</v>
      </c>
      <c r="BT806">
        <v>0</v>
      </c>
      <c r="BU806">
        <v>0</v>
      </c>
      <c r="BW806">
        <v>0</v>
      </c>
      <c r="BY806" t="s">
        <v>106</v>
      </c>
      <c r="BZ806" t="s">
        <v>142</v>
      </c>
      <c r="CA806" t="s">
        <v>112</v>
      </c>
      <c r="CB806" t="s">
        <v>112</v>
      </c>
      <c r="CC806" t="s">
        <v>121</v>
      </c>
      <c r="CD806">
        <v>16459.93</v>
      </c>
      <c r="CE806" t="s">
        <v>144</v>
      </c>
      <c r="CF806">
        <v>4000000</v>
      </c>
      <c r="CG806">
        <v>16337.53</v>
      </c>
      <c r="CH806">
        <v>0</v>
      </c>
      <c r="CI806" t="s">
        <v>112</v>
      </c>
      <c r="CJ806" t="s">
        <v>112</v>
      </c>
      <c r="CK806">
        <v>43118.239999999998</v>
      </c>
      <c r="CL806">
        <v>3799985</v>
      </c>
      <c r="CM806">
        <v>0</v>
      </c>
      <c r="CN806">
        <v>1</v>
      </c>
      <c r="CO806">
        <v>4245038.09</v>
      </c>
      <c r="CP806">
        <v>52621.42</v>
      </c>
      <c r="CQ806" t="s">
        <v>145</v>
      </c>
      <c r="CR806">
        <v>52621.550377</v>
      </c>
      <c r="CS806">
        <v>3.2208999999999999</v>
      </c>
      <c r="CT806">
        <v>45</v>
      </c>
      <c r="CU806" t="s">
        <v>171</v>
      </c>
      <c r="CV806" t="s">
        <v>350</v>
      </c>
      <c r="CW806">
        <v>213</v>
      </c>
    </row>
    <row r="807" spans="1:101" x14ac:dyDescent="0.2">
      <c r="A807" t="s">
        <v>106</v>
      </c>
      <c r="B807" s="46">
        <v>45070</v>
      </c>
      <c r="C807" t="s">
        <v>1016</v>
      </c>
      <c r="D807" t="s">
        <v>108</v>
      </c>
      <c r="E807" t="s">
        <v>1017</v>
      </c>
      <c r="F807" t="s">
        <v>110</v>
      </c>
      <c r="G807" t="s">
        <v>111</v>
      </c>
      <c r="H807" t="s">
        <v>112</v>
      </c>
      <c r="I807" t="s">
        <v>112</v>
      </c>
      <c r="J807" t="s">
        <v>112</v>
      </c>
      <c r="K807" t="s">
        <v>150</v>
      </c>
      <c r="L807" t="s">
        <v>151</v>
      </c>
      <c r="M807" t="s">
        <v>112</v>
      </c>
      <c r="N807" t="s">
        <v>112</v>
      </c>
      <c r="O807">
        <v>1</v>
      </c>
      <c r="P807">
        <v>0</v>
      </c>
      <c r="Q807">
        <v>1</v>
      </c>
      <c r="R807">
        <v>33</v>
      </c>
      <c r="S807" t="s">
        <v>166</v>
      </c>
      <c r="T807" t="s">
        <v>152</v>
      </c>
      <c r="U807" t="s">
        <v>153</v>
      </c>
      <c r="V807" t="s">
        <v>154</v>
      </c>
      <c r="W807" t="s">
        <v>119</v>
      </c>
      <c r="X807" t="s">
        <v>112</v>
      </c>
      <c r="Y807" t="s">
        <v>166</v>
      </c>
      <c r="Z807" t="s">
        <v>152</v>
      </c>
      <c r="AA807" t="s">
        <v>153</v>
      </c>
      <c r="AB807" t="s">
        <v>154</v>
      </c>
      <c r="AC807" t="s">
        <v>119</v>
      </c>
      <c r="AD807" t="s">
        <v>112</v>
      </c>
      <c r="AE807" t="s">
        <v>121</v>
      </c>
      <c r="AF807" t="s">
        <v>122</v>
      </c>
      <c r="AG807">
        <v>3909932.22</v>
      </c>
      <c r="AH807" t="s">
        <v>166</v>
      </c>
      <c r="AI807" t="s">
        <v>152</v>
      </c>
      <c r="AJ807" t="s">
        <v>153</v>
      </c>
      <c r="AK807" t="s">
        <v>154</v>
      </c>
      <c r="AL807" t="s">
        <v>119</v>
      </c>
      <c r="AM807" t="s">
        <v>112</v>
      </c>
      <c r="AN807" t="s">
        <v>121</v>
      </c>
      <c r="AO807" t="s">
        <v>122</v>
      </c>
      <c r="AP807" t="s">
        <v>122</v>
      </c>
      <c r="AQ807" t="s">
        <v>124</v>
      </c>
      <c r="AR807" t="s">
        <v>125</v>
      </c>
      <c r="AS807">
        <v>2</v>
      </c>
      <c r="AT807" t="s">
        <v>126</v>
      </c>
      <c r="AU807" t="s">
        <v>155</v>
      </c>
      <c r="AV807" t="s">
        <v>156</v>
      </c>
      <c r="AW807">
        <v>1</v>
      </c>
      <c r="AX807" t="s">
        <v>129</v>
      </c>
      <c r="AY807">
        <v>40015.81</v>
      </c>
      <c r="AZ807">
        <v>3526569</v>
      </c>
      <c r="BA807">
        <v>48467.45</v>
      </c>
      <c r="BB807">
        <v>88.129400000000004</v>
      </c>
      <c r="BC807" t="s">
        <v>130</v>
      </c>
      <c r="BD807" t="s">
        <v>112</v>
      </c>
      <c r="BE807" t="s">
        <v>157</v>
      </c>
      <c r="BF807" t="s">
        <v>133</v>
      </c>
      <c r="BG807" t="s">
        <v>134</v>
      </c>
      <c r="BH807" t="s">
        <v>112</v>
      </c>
      <c r="BI807" t="s">
        <v>112</v>
      </c>
      <c r="BJ807" t="s">
        <v>112</v>
      </c>
      <c r="BK807" t="s">
        <v>169</v>
      </c>
      <c r="BL807" t="s">
        <v>159</v>
      </c>
      <c r="BM807" t="s">
        <v>722</v>
      </c>
      <c r="BN807" t="s">
        <v>161</v>
      </c>
      <c r="BO807">
        <v>1</v>
      </c>
      <c r="BP807" t="s">
        <v>232</v>
      </c>
      <c r="BR807" t="s">
        <v>150</v>
      </c>
      <c r="BS807">
        <v>33</v>
      </c>
      <c r="BT807">
        <v>0</v>
      </c>
      <c r="BU807">
        <v>0</v>
      </c>
      <c r="BW807">
        <v>0</v>
      </c>
      <c r="BY807" t="s">
        <v>106</v>
      </c>
      <c r="BZ807" t="s">
        <v>142</v>
      </c>
      <c r="CA807" t="s">
        <v>112</v>
      </c>
      <c r="CB807" t="s">
        <v>112</v>
      </c>
      <c r="CC807" t="s">
        <v>121</v>
      </c>
      <c r="CD807">
        <v>16914.919999999998</v>
      </c>
      <c r="CE807" t="s">
        <v>144</v>
      </c>
      <c r="CF807">
        <v>4000000</v>
      </c>
      <c r="CG807">
        <v>16873.52</v>
      </c>
      <c r="CH807">
        <v>0</v>
      </c>
      <c r="CI807" t="s">
        <v>112</v>
      </c>
      <c r="CJ807" t="s">
        <v>112</v>
      </c>
      <c r="CK807">
        <v>40015.81</v>
      </c>
      <c r="CL807">
        <v>3526569</v>
      </c>
      <c r="CM807">
        <v>0</v>
      </c>
      <c r="CN807">
        <v>1</v>
      </c>
      <c r="CO807">
        <v>3909932.22</v>
      </c>
      <c r="CP807">
        <v>48467.45</v>
      </c>
      <c r="CQ807" t="s">
        <v>145</v>
      </c>
      <c r="CR807">
        <v>48467.498847999996</v>
      </c>
      <c r="CS807">
        <v>2.8723999999999998</v>
      </c>
      <c r="CT807">
        <v>45</v>
      </c>
      <c r="CU807" t="s">
        <v>171</v>
      </c>
      <c r="CV807" t="s">
        <v>372</v>
      </c>
      <c r="CW807">
        <v>320</v>
      </c>
    </row>
    <row r="808" spans="1:101" x14ac:dyDescent="0.2">
      <c r="A808" t="s">
        <v>106</v>
      </c>
      <c r="B808" s="46">
        <v>45183</v>
      </c>
      <c r="C808" t="s">
        <v>1010</v>
      </c>
      <c r="D808" t="s">
        <v>108</v>
      </c>
      <c r="E808" t="s">
        <v>1011</v>
      </c>
      <c r="F808" t="s">
        <v>110</v>
      </c>
      <c r="G808" t="s">
        <v>111</v>
      </c>
      <c r="H808" t="s">
        <v>112</v>
      </c>
      <c r="I808" t="s">
        <v>112</v>
      </c>
      <c r="J808" t="s">
        <v>112</v>
      </c>
      <c r="K808" t="s">
        <v>150</v>
      </c>
      <c r="L808" t="s">
        <v>151</v>
      </c>
      <c r="M808" t="s">
        <v>112</v>
      </c>
      <c r="N808" t="s">
        <v>112</v>
      </c>
      <c r="O808">
        <v>1</v>
      </c>
      <c r="P808">
        <v>0</v>
      </c>
      <c r="Q808">
        <v>1</v>
      </c>
      <c r="R808">
        <v>33</v>
      </c>
      <c r="S808" t="s">
        <v>166</v>
      </c>
      <c r="T808" t="s">
        <v>152</v>
      </c>
      <c r="U808" t="s">
        <v>153</v>
      </c>
      <c r="V808" t="s">
        <v>154</v>
      </c>
      <c r="W808" t="s">
        <v>119</v>
      </c>
      <c r="X808" t="s">
        <v>112</v>
      </c>
      <c r="Y808" t="s">
        <v>166</v>
      </c>
      <c r="Z808" t="s">
        <v>152</v>
      </c>
      <c r="AA808" t="s">
        <v>153</v>
      </c>
      <c r="AB808" t="s">
        <v>154</v>
      </c>
      <c r="AC808" t="s">
        <v>119</v>
      </c>
      <c r="AD808" t="s">
        <v>112</v>
      </c>
      <c r="AE808" t="s">
        <v>121</v>
      </c>
      <c r="AF808" t="s">
        <v>122</v>
      </c>
      <c r="AG808">
        <v>4258761.5999999996</v>
      </c>
      <c r="AH808" t="s">
        <v>166</v>
      </c>
      <c r="AI808" t="s">
        <v>152</v>
      </c>
      <c r="AJ808" t="s">
        <v>153</v>
      </c>
      <c r="AK808" t="s">
        <v>154</v>
      </c>
      <c r="AL808" t="s">
        <v>119</v>
      </c>
      <c r="AM808" t="s">
        <v>112</v>
      </c>
      <c r="AN808" t="s">
        <v>121</v>
      </c>
      <c r="AO808" t="s">
        <v>122</v>
      </c>
      <c r="AP808" t="s">
        <v>122</v>
      </c>
      <c r="AQ808" t="s">
        <v>124</v>
      </c>
      <c r="AR808" t="s">
        <v>125</v>
      </c>
      <c r="AS808">
        <v>2</v>
      </c>
      <c r="AT808" t="s">
        <v>126</v>
      </c>
      <c r="AU808" t="s">
        <v>155</v>
      </c>
      <c r="AV808" t="s">
        <v>156</v>
      </c>
      <c r="AW808">
        <v>1</v>
      </c>
      <c r="AX808" t="s">
        <v>129</v>
      </c>
      <c r="AY808">
        <v>43473.96</v>
      </c>
      <c r="AZ808">
        <v>3831334</v>
      </c>
      <c r="BA808">
        <v>52791.53</v>
      </c>
      <c r="BB808">
        <v>88.129400000000004</v>
      </c>
      <c r="BC808" t="s">
        <v>130</v>
      </c>
      <c r="BD808" t="s">
        <v>112</v>
      </c>
      <c r="BE808" t="s">
        <v>157</v>
      </c>
      <c r="BF808" t="s">
        <v>133</v>
      </c>
      <c r="BG808" t="s">
        <v>134</v>
      </c>
      <c r="BH808" t="s">
        <v>112</v>
      </c>
      <c r="BI808" t="s">
        <v>112</v>
      </c>
      <c r="BJ808" t="s">
        <v>112</v>
      </c>
      <c r="BK808" t="s">
        <v>169</v>
      </c>
      <c r="BL808" t="s">
        <v>159</v>
      </c>
      <c r="BM808" t="s">
        <v>722</v>
      </c>
      <c r="BN808" t="s">
        <v>161</v>
      </c>
      <c r="BO808">
        <v>1</v>
      </c>
      <c r="BP808" t="s">
        <v>205</v>
      </c>
      <c r="BR808" t="s">
        <v>150</v>
      </c>
      <c r="BS808">
        <v>33</v>
      </c>
      <c r="BT808">
        <v>0</v>
      </c>
      <c r="BU808">
        <v>0</v>
      </c>
      <c r="BW808">
        <v>0</v>
      </c>
      <c r="BY808" t="s">
        <v>106</v>
      </c>
      <c r="BZ808" t="s">
        <v>142</v>
      </c>
      <c r="CA808" t="s">
        <v>112</v>
      </c>
      <c r="CB808" t="s">
        <v>112</v>
      </c>
      <c r="CC808" t="s">
        <v>121</v>
      </c>
      <c r="CD808">
        <v>16246.57</v>
      </c>
      <c r="CE808" t="s">
        <v>144</v>
      </c>
      <c r="CF808">
        <v>4000000</v>
      </c>
      <c r="CG808">
        <v>16246.57</v>
      </c>
      <c r="CH808">
        <v>0</v>
      </c>
      <c r="CI808" t="s">
        <v>112</v>
      </c>
      <c r="CJ808" t="s">
        <v>112</v>
      </c>
      <c r="CK808">
        <v>43473.96</v>
      </c>
      <c r="CL808">
        <v>3831334</v>
      </c>
      <c r="CM808">
        <v>0</v>
      </c>
      <c r="CN808">
        <v>1</v>
      </c>
      <c r="CO808">
        <v>4258761.5999999996</v>
      </c>
      <c r="CP808">
        <v>52791.53</v>
      </c>
      <c r="CQ808" t="s">
        <v>145</v>
      </c>
      <c r="CR808">
        <v>52791.604557999999</v>
      </c>
      <c r="CS808">
        <v>3.2494000000000001</v>
      </c>
      <c r="CT808">
        <v>45</v>
      </c>
      <c r="CU808" t="s">
        <v>171</v>
      </c>
      <c r="CV808" t="s">
        <v>369</v>
      </c>
      <c r="CW808">
        <v>365</v>
      </c>
    </row>
    <row r="809" spans="1:101" x14ac:dyDescent="0.2">
      <c r="A809" t="s">
        <v>106</v>
      </c>
      <c r="B809" s="46">
        <v>45082</v>
      </c>
      <c r="C809" t="s">
        <v>839</v>
      </c>
      <c r="D809" t="s">
        <v>108</v>
      </c>
      <c r="E809" t="s">
        <v>840</v>
      </c>
      <c r="F809" t="s">
        <v>110</v>
      </c>
      <c r="G809" t="s">
        <v>111</v>
      </c>
      <c r="H809" t="s">
        <v>112</v>
      </c>
      <c r="I809" t="s">
        <v>112</v>
      </c>
      <c r="J809" t="s">
        <v>112</v>
      </c>
      <c r="K809" t="s">
        <v>150</v>
      </c>
      <c r="L809" t="s">
        <v>151</v>
      </c>
      <c r="M809" t="s">
        <v>112</v>
      </c>
      <c r="N809" t="s">
        <v>112</v>
      </c>
      <c r="O809">
        <v>1</v>
      </c>
      <c r="P809">
        <v>0</v>
      </c>
      <c r="Q809">
        <v>1</v>
      </c>
      <c r="R809">
        <v>38</v>
      </c>
      <c r="S809" t="s">
        <v>166</v>
      </c>
      <c r="T809" t="s">
        <v>152</v>
      </c>
      <c r="U809" t="s">
        <v>153</v>
      </c>
      <c r="V809" t="s">
        <v>154</v>
      </c>
      <c r="W809" t="s">
        <v>119</v>
      </c>
      <c r="X809" t="s">
        <v>112</v>
      </c>
      <c r="Y809" t="s">
        <v>166</v>
      </c>
      <c r="Z809" t="s">
        <v>152</v>
      </c>
      <c r="AA809" t="s">
        <v>153</v>
      </c>
      <c r="AB809" t="s">
        <v>154</v>
      </c>
      <c r="AC809" t="s">
        <v>119</v>
      </c>
      <c r="AD809" t="s">
        <v>112</v>
      </c>
      <c r="AE809" t="s">
        <v>121</v>
      </c>
      <c r="AF809" t="s">
        <v>122</v>
      </c>
      <c r="AG809">
        <v>4108430.09</v>
      </c>
      <c r="AH809" t="s">
        <v>166</v>
      </c>
      <c r="AI809" t="s">
        <v>152</v>
      </c>
      <c r="AJ809" t="s">
        <v>153</v>
      </c>
      <c r="AK809" t="s">
        <v>154</v>
      </c>
      <c r="AL809" t="s">
        <v>119</v>
      </c>
      <c r="AM809" t="s">
        <v>112</v>
      </c>
      <c r="AN809" t="s">
        <v>121</v>
      </c>
      <c r="AO809" t="s">
        <v>122</v>
      </c>
      <c r="AP809" t="s">
        <v>122</v>
      </c>
      <c r="AQ809" t="s">
        <v>124</v>
      </c>
      <c r="AR809" t="s">
        <v>125</v>
      </c>
      <c r="AS809">
        <v>2</v>
      </c>
      <c r="AT809" t="s">
        <v>126</v>
      </c>
      <c r="AU809" t="s">
        <v>155</v>
      </c>
      <c r="AV809" t="s">
        <v>156</v>
      </c>
      <c r="AW809">
        <v>1</v>
      </c>
      <c r="AX809" t="s">
        <v>129</v>
      </c>
      <c r="AY809">
        <v>46854.77</v>
      </c>
      <c r="AZ809">
        <v>3759407</v>
      </c>
      <c r="BA809">
        <v>54435.9</v>
      </c>
      <c r="BB809">
        <v>80.235299999999995</v>
      </c>
      <c r="BC809" t="s">
        <v>130</v>
      </c>
      <c r="BD809" t="s">
        <v>112</v>
      </c>
      <c r="BE809" t="s">
        <v>157</v>
      </c>
      <c r="BF809" t="s">
        <v>133</v>
      </c>
      <c r="BG809" t="s">
        <v>134</v>
      </c>
      <c r="BH809" t="s">
        <v>112</v>
      </c>
      <c r="BI809" t="s">
        <v>112</v>
      </c>
      <c r="BJ809" t="s">
        <v>112</v>
      </c>
      <c r="BK809" t="s">
        <v>169</v>
      </c>
      <c r="BL809" t="s">
        <v>159</v>
      </c>
      <c r="BM809" t="s">
        <v>212</v>
      </c>
      <c r="BN809" t="s">
        <v>161</v>
      </c>
      <c r="BO809">
        <v>1</v>
      </c>
      <c r="BP809" t="s">
        <v>841</v>
      </c>
      <c r="BR809" t="s">
        <v>150</v>
      </c>
      <c r="BS809">
        <v>38</v>
      </c>
      <c r="BT809">
        <v>0</v>
      </c>
      <c r="BU809">
        <v>0</v>
      </c>
      <c r="BW809">
        <v>0</v>
      </c>
      <c r="BY809" t="s">
        <v>106</v>
      </c>
      <c r="BZ809" t="s">
        <v>142</v>
      </c>
      <c r="CA809" t="s">
        <v>112</v>
      </c>
      <c r="CB809" t="s">
        <v>112</v>
      </c>
      <c r="CC809" t="s">
        <v>121</v>
      </c>
      <c r="CD809">
        <v>19595.650000000001</v>
      </c>
      <c r="CE809" t="s">
        <v>144</v>
      </c>
      <c r="CF809">
        <v>4000000</v>
      </c>
      <c r="CG809">
        <v>19595.650000000001</v>
      </c>
      <c r="CH809">
        <v>0</v>
      </c>
      <c r="CI809" t="s">
        <v>112</v>
      </c>
      <c r="CJ809" t="s">
        <v>112</v>
      </c>
      <c r="CK809">
        <v>46854.77</v>
      </c>
      <c r="CL809">
        <v>3759407</v>
      </c>
      <c r="CM809">
        <v>0</v>
      </c>
      <c r="CN809">
        <v>1</v>
      </c>
      <c r="CO809">
        <v>4108430.09</v>
      </c>
      <c r="CP809">
        <v>54435.9</v>
      </c>
      <c r="CQ809" t="s">
        <v>145</v>
      </c>
      <c r="CR809">
        <v>54436.715700000008</v>
      </c>
      <c r="CS809">
        <v>2.778</v>
      </c>
      <c r="CT809">
        <v>45</v>
      </c>
      <c r="CU809" t="s">
        <v>171</v>
      </c>
      <c r="CV809" t="s">
        <v>372</v>
      </c>
      <c r="CW809">
        <v>252</v>
      </c>
    </row>
    <row r="810" spans="1:101" x14ac:dyDescent="0.2">
      <c r="A810" t="s">
        <v>106</v>
      </c>
      <c r="B810" s="46">
        <v>45024</v>
      </c>
      <c r="C810" t="s">
        <v>848</v>
      </c>
      <c r="D810" t="s">
        <v>108</v>
      </c>
      <c r="E810" t="s">
        <v>849</v>
      </c>
      <c r="F810" t="s">
        <v>110</v>
      </c>
      <c r="G810" t="s">
        <v>111</v>
      </c>
      <c r="H810" t="s">
        <v>112</v>
      </c>
      <c r="I810" t="s">
        <v>112</v>
      </c>
      <c r="J810" t="s">
        <v>112</v>
      </c>
      <c r="K810" t="s">
        <v>150</v>
      </c>
      <c r="L810" t="s">
        <v>151</v>
      </c>
      <c r="M810" t="s">
        <v>112</v>
      </c>
      <c r="N810" t="s">
        <v>112</v>
      </c>
      <c r="O810">
        <v>1</v>
      </c>
      <c r="P810">
        <v>0</v>
      </c>
      <c r="Q810">
        <v>1</v>
      </c>
      <c r="R810">
        <v>33</v>
      </c>
      <c r="S810" t="s">
        <v>166</v>
      </c>
      <c r="T810" t="s">
        <v>152</v>
      </c>
      <c r="U810" t="s">
        <v>153</v>
      </c>
      <c r="V810" t="s">
        <v>154</v>
      </c>
      <c r="W810" t="s">
        <v>119</v>
      </c>
      <c r="X810" t="s">
        <v>112</v>
      </c>
      <c r="Y810" t="s">
        <v>166</v>
      </c>
      <c r="Z810" t="s">
        <v>152</v>
      </c>
      <c r="AA810" t="s">
        <v>153</v>
      </c>
      <c r="AB810" t="s">
        <v>154</v>
      </c>
      <c r="AC810" t="s">
        <v>119</v>
      </c>
      <c r="AD810" t="s">
        <v>112</v>
      </c>
      <c r="AE810" t="s">
        <v>121</v>
      </c>
      <c r="AF810" t="s">
        <v>122</v>
      </c>
      <c r="AG810">
        <v>3820840.29</v>
      </c>
      <c r="AH810" t="s">
        <v>166</v>
      </c>
      <c r="AI810" t="s">
        <v>152</v>
      </c>
      <c r="AJ810" t="s">
        <v>153</v>
      </c>
      <c r="AK810" t="s">
        <v>154</v>
      </c>
      <c r="AL810" t="s">
        <v>119</v>
      </c>
      <c r="AM810" t="s">
        <v>112</v>
      </c>
      <c r="AN810" t="s">
        <v>121</v>
      </c>
      <c r="AO810" t="s">
        <v>122</v>
      </c>
      <c r="AP810" t="s">
        <v>122</v>
      </c>
      <c r="AQ810" t="s">
        <v>124</v>
      </c>
      <c r="AR810" t="s">
        <v>125</v>
      </c>
      <c r="AS810">
        <v>2</v>
      </c>
      <c r="AT810" t="s">
        <v>126</v>
      </c>
      <c r="AU810" t="s">
        <v>155</v>
      </c>
      <c r="AV810" t="s">
        <v>156</v>
      </c>
      <c r="AW810">
        <v>1</v>
      </c>
      <c r="AX810" t="s">
        <v>129</v>
      </c>
      <c r="AY810">
        <v>43270.44</v>
      </c>
      <c r="AZ810">
        <v>3471817</v>
      </c>
      <c r="BA810">
        <v>50625.39</v>
      </c>
      <c r="BB810">
        <v>80.235299999999995</v>
      </c>
      <c r="BC810" t="s">
        <v>130</v>
      </c>
      <c r="BD810" t="s">
        <v>112</v>
      </c>
      <c r="BE810" t="s">
        <v>157</v>
      </c>
      <c r="BF810" t="s">
        <v>133</v>
      </c>
      <c r="BG810" t="s">
        <v>134</v>
      </c>
      <c r="BH810" t="s">
        <v>112</v>
      </c>
      <c r="BI810" t="s">
        <v>112</v>
      </c>
      <c r="BJ810" t="s">
        <v>112</v>
      </c>
      <c r="BK810" t="s">
        <v>169</v>
      </c>
      <c r="BL810" t="s">
        <v>159</v>
      </c>
      <c r="BM810" t="s">
        <v>212</v>
      </c>
      <c r="BN810" t="s">
        <v>161</v>
      </c>
      <c r="BO810">
        <v>1</v>
      </c>
      <c r="BP810" t="s">
        <v>579</v>
      </c>
      <c r="BR810" t="s">
        <v>150</v>
      </c>
      <c r="BS810">
        <v>33</v>
      </c>
      <c r="BT810">
        <v>0</v>
      </c>
      <c r="BU810">
        <v>0</v>
      </c>
      <c r="BW810">
        <v>0</v>
      </c>
      <c r="BY810" t="s">
        <v>106</v>
      </c>
      <c r="BZ810" t="s">
        <v>142</v>
      </c>
      <c r="CA810" t="s">
        <v>112</v>
      </c>
      <c r="CB810" t="s">
        <v>112</v>
      </c>
      <c r="CC810" t="s">
        <v>121</v>
      </c>
      <c r="CD810">
        <v>16199.89</v>
      </c>
      <c r="CE810" t="s">
        <v>144</v>
      </c>
      <c r="CF810">
        <v>4000000</v>
      </c>
      <c r="CG810">
        <v>16084.69</v>
      </c>
      <c r="CH810">
        <v>0</v>
      </c>
      <c r="CI810" t="s">
        <v>112</v>
      </c>
      <c r="CJ810" t="s">
        <v>112</v>
      </c>
      <c r="CK810">
        <v>43270.44</v>
      </c>
      <c r="CL810">
        <v>3471817</v>
      </c>
      <c r="CM810">
        <v>0</v>
      </c>
      <c r="CN810">
        <v>1</v>
      </c>
      <c r="CO810">
        <v>3820840.29</v>
      </c>
      <c r="CP810">
        <v>50625.39</v>
      </c>
      <c r="CQ810" t="s">
        <v>145</v>
      </c>
      <c r="CR810">
        <v>50624.953306000003</v>
      </c>
      <c r="CS810">
        <v>3.1474000000000002</v>
      </c>
      <c r="CT810">
        <v>45</v>
      </c>
      <c r="CU810" t="s">
        <v>171</v>
      </c>
      <c r="CV810" t="s">
        <v>463</v>
      </c>
      <c r="CW810">
        <v>570</v>
      </c>
    </row>
    <row r="811" spans="1:101" x14ac:dyDescent="0.2">
      <c r="A811" t="s">
        <v>106</v>
      </c>
      <c r="B811" s="46">
        <v>44986</v>
      </c>
      <c r="C811" t="s">
        <v>852</v>
      </c>
      <c r="D811" t="s">
        <v>108</v>
      </c>
      <c r="E811" t="s">
        <v>853</v>
      </c>
      <c r="F811" t="s">
        <v>110</v>
      </c>
      <c r="G811" t="s">
        <v>111</v>
      </c>
      <c r="H811" t="s">
        <v>112</v>
      </c>
      <c r="I811" t="s">
        <v>112</v>
      </c>
      <c r="J811" t="s">
        <v>112</v>
      </c>
      <c r="K811" t="s">
        <v>175</v>
      </c>
      <c r="L811" t="s">
        <v>448</v>
      </c>
      <c r="M811" t="s">
        <v>112</v>
      </c>
      <c r="N811" t="s">
        <v>112</v>
      </c>
      <c r="O811">
        <v>1</v>
      </c>
      <c r="P811">
        <v>0</v>
      </c>
      <c r="Q811">
        <v>1</v>
      </c>
      <c r="R811">
        <v>33</v>
      </c>
      <c r="S811" t="s">
        <v>166</v>
      </c>
      <c r="T811" t="s">
        <v>152</v>
      </c>
      <c r="U811" t="s">
        <v>153</v>
      </c>
      <c r="V811" t="s">
        <v>154</v>
      </c>
      <c r="W811" t="s">
        <v>119</v>
      </c>
      <c r="X811" t="s">
        <v>112</v>
      </c>
      <c r="Y811" t="s">
        <v>166</v>
      </c>
      <c r="Z811" t="s">
        <v>152</v>
      </c>
      <c r="AA811" t="s">
        <v>153</v>
      </c>
      <c r="AB811" t="s">
        <v>154</v>
      </c>
      <c r="AC811" t="s">
        <v>119</v>
      </c>
      <c r="AD811" t="s">
        <v>112</v>
      </c>
      <c r="AE811" t="s">
        <v>121</v>
      </c>
      <c r="AF811" t="s">
        <v>122</v>
      </c>
      <c r="AG811">
        <v>3829184.77</v>
      </c>
      <c r="AH811" t="s">
        <v>166</v>
      </c>
      <c r="AI811" t="s">
        <v>152</v>
      </c>
      <c r="AJ811" t="s">
        <v>153</v>
      </c>
      <c r="AK811" t="s">
        <v>154</v>
      </c>
      <c r="AL811" t="s">
        <v>119</v>
      </c>
      <c r="AM811" t="s">
        <v>112</v>
      </c>
      <c r="AN811" t="s">
        <v>121</v>
      </c>
      <c r="AO811" t="s">
        <v>122</v>
      </c>
      <c r="AP811" t="s">
        <v>122</v>
      </c>
      <c r="AQ811" t="s">
        <v>124</v>
      </c>
      <c r="AR811" t="s">
        <v>125</v>
      </c>
      <c r="AS811">
        <v>2</v>
      </c>
      <c r="AT811" t="s">
        <v>126</v>
      </c>
      <c r="AU811" t="s">
        <v>155</v>
      </c>
      <c r="AV811" t="s">
        <v>156</v>
      </c>
      <c r="AW811">
        <v>1</v>
      </c>
      <c r="AX811" t="s">
        <v>129</v>
      </c>
      <c r="AY811">
        <v>42674.44</v>
      </c>
      <c r="AZ811">
        <v>3423996</v>
      </c>
      <c r="BA811">
        <v>50735.96</v>
      </c>
      <c r="BB811">
        <v>80.235299999999995</v>
      </c>
      <c r="BC811" t="s">
        <v>130</v>
      </c>
      <c r="BD811" t="s">
        <v>112</v>
      </c>
      <c r="BE811" t="s">
        <v>157</v>
      </c>
      <c r="BF811" t="s">
        <v>133</v>
      </c>
      <c r="BG811" t="s">
        <v>134</v>
      </c>
      <c r="BH811" t="s">
        <v>112</v>
      </c>
      <c r="BI811" t="s">
        <v>112</v>
      </c>
      <c r="BJ811" t="s">
        <v>112</v>
      </c>
      <c r="BK811" t="s">
        <v>169</v>
      </c>
      <c r="BL811" t="s">
        <v>159</v>
      </c>
      <c r="BM811" t="s">
        <v>212</v>
      </c>
      <c r="BN811" t="s">
        <v>161</v>
      </c>
      <c r="BO811">
        <v>1</v>
      </c>
      <c r="BP811" t="s">
        <v>466</v>
      </c>
      <c r="BR811" t="s">
        <v>150</v>
      </c>
      <c r="BS811">
        <v>33</v>
      </c>
      <c r="BT811">
        <v>0</v>
      </c>
      <c r="BU811">
        <v>0</v>
      </c>
      <c r="BW811">
        <v>0</v>
      </c>
      <c r="BY811" t="s">
        <v>106</v>
      </c>
      <c r="BZ811" t="s">
        <v>142</v>
      </c>
      <c r="CA811" t="s">
        <v>112</v>
      </c>
      <c r="CB811" t="s">
        <v>112</v>
      </c>
      <c r="CC811" t="s">
        <v>121</v>
      </c>
      <c r="CD811">
        <v>16777.330000000002</v>
      </c>
      <c r="CE811" t="s">
        <v>144</v>
      </c>
      <c r="CF811">
        <v>4000000</v>
      </c>
      <c r="CG811">
        <v>16777.330000000002</v>
      </c>
      <c r="CH811">
        <v>0</v>
      </c>
      <c r="CI811" t="s">
        <v>112</v>
      </c>
      <c r="CJ811" t="s">
        <v>112</v>
      </c>
      <c r="CK811">
        <v>42674.44</v>
      </c>
      <c r="CL811">
        <v>3423996</v>
      </c>
      <c r="CM811">
        <v>0</v>
      </c>
      <c r="CN811">
        <v>1</v>
      </c>
      <c r="CO811">
        <v>3829184.77</v>
      </c>
      <c r="CP811">
        <v>50735.96</v>
      </c>
      <c r="CQ811" t="s">
        <v>145</v>
      </c>
      <c r="CR811">
        <v>50736.323652999999</v>
      </c>
      <c r="CS811">
        <v>3.0240999999999998</v>
      </c>
      <c r="CT811">
        <v>45</v>
      </c>
      <c r="CU811" t="s">
        <v>171</v>
      </c>
      <c r="CV811" t="s">
        <v>369</v>
      </c>
      <c r="CW811">
        <v>131</v>
      </c>
    </row>
    <row r="812" spans="1:101" x14ac:dyDescent="0.2">
      <c r="A812" t="s">
        <v>106</v>
      </c>
      <c r="B812" s="46">
        <v>45120</v>
      </c>
      <c r="C812" t="s">
        <v>844</v>
      </c>
      <c r="D812" t="s">
        <v>108</v>
      </c>
      <c r="E812" t="s">
        <v>845</v>
      </c>
      <c r="F812" t="s">
        <v>110</v>
      </c>
      <c r="G812" t="s">
        <v>111</v>
      </c>
      <c r="H812" t="s">
        <v>112</v>
      </c>
      <c r="I812" t="s">
        <v>112</v>
      </c>
      <c r="J812" t="s">
        <v>112</v>
      </c>
      <c r="K812" t="s">
        <v>150</v>
      </c>
      <c r="L812" t="s">
        <v>151</v>
      </c>
      <c r="M812" t="s">
        <v>112</v>
      </c>
      <c r="N812" t="s">
        <v>112</v>
      </c>
      <c r="O812">
        <v>1</v>
      </c>
      <c r="P812">
        <v>0</v>
      </c>
      <c r="Q812">
        <v>1</v>
      </c>
      <c r="R812">
        <v>33</v>
      </c>
      <c r="S812" t="s">
        <v>166</v>
      </c>
      <c r="T812" t="s">
        <v>152</v>
      </c>
      <c r="U812" t="s">
        <v>153</v>
      </c>
      <c r="V812" t="s">
        <v>154</v>
      </c>
      <c r="W812" t="s">
        <v>119</v>
      </c>
      <c r="X812" t="s">
        <v>112</v>
      </c>
      <c r="Y812" t="s">
        <v>166</v>
      </c>
      <c r="Z812" t="s">
        <v>152</v>
      </c>
      <c r="AA812" t="s">
        <v>153</v>
      </c>
      <c r="AB812" t="s">
        <v>154</v>
      </c>
      <c r="AC812" t="s">
        <v>119</v>
      </c>
      <c r="AD812" t="s">
        <v>112</v>
      </c>
      <c r="AE812" t="s">
        <v>121</v>
      </c>
      <c r="AF812" t="s">
        <v>122</v>
      </c>
      <c r="AG812">
        <v>3876655.18</v>
      </c>
      <c r="AH812" t="s">
        <v>166</v>
      </c>
      <c r="AI812" t="s">
        <v>152</v>
      </c>
      <c r="AJ812" t="s">
        <v>153</v>
      </c>
      <c r="AK812" t="s">
        <v>154</v>
      </c>
      <c r="AL812" t="s">
        <v>119</v>
      </c>
      <c r="AM812" t="s">
        <v>112</v>
      </c>
      <c r="AN812" t="s">
        <v>121</v>
      </c>
      <c r="AO812" t="s">
        <v>122</v>
      </c>
      <c r="AP812" t="s">
        <v>122</v>
      </c>
      <c r="AQ812" t="s">
        <v>124</v>
      </c>
      <c r="AR812" t="s">
        <v>125</v>
      </c>
      <c r="AS812">
        <v>2</v>
      </c>
      <c r="AT812" t="s">
        <v>126</v>
      </c>
      <c r="AU812" t="s">
        <v>155</v>
      </c>
      <c r="AV812" t="s">
        <v>156</v>
      </c>
      <c r="AW812">
        <v>1</v>
      </c>
      <c r="AX812" t="s">
        <v>129</v>
      </c>
      <c r="AY812">
        <v>43966.080000000002</v>
      </c>
      <c r="AZ812">
        <v>3527632</v>
      </c>
      <c r="BA812">
        <v>51364.93</v>
      </c>
      <c r="BB812">
        <v>80.235299999999995</v>
      </c>
      <c r="BC812" t="s">
        <v>130</v>
      </c>
      <c r="BD812" t="s">
        <v>112</v>
      </c>
      <c r="BE812" t="s">
        <v>157</v>
      </c>
      <c r="BF812" t="s">
        <v>133</v>
      </c>
      <c r="BG812" t="s">
        <v>134</v>
      </c>
      <c r="BH812" t="s">
        <v>112</v>
      </c>
      <c r="BI812" t="s">
        <v>112</v>
      </c>
      <c r="BJ812" t="s">
        <v>112</v>
      </c>
      <c r="BK812" t="s">
        <v>169</v>
      </c>
      <c r="BL812" t="s">
        <v>159</v>
      </c>
      <c r="BM812" t="s">
        <v>212</v>
      </c>
      <c r="BN812" t="s">
        <v>161</v>
      </c>
      <c r="BO812">
        <v>1</v>
      </c>
      <c r="BP812" t="s">
        <v>205</v>
      </c>
      <c r="BR812" t="s">
        <v>150</v>
      </c>
      <c r="BS812">
        <v>33</v>
      </c>
      <c r="BT812">
        <v>0</v>
      </c>
      <c r="BU812">
        <v>0</v>
      </c>
      <c r="BW812">
        <v>0</v>
      </c>
      <c r="BY812" t="s">
        <v>106</v>
      </c>
      <c r="BZ812" t="s">
        <v>142</v>
      </c>
      <c r="CA812" t="s">
        <v>112</v>
      </c>
      <c r="CB812" t="s">
        <v>112</v>
      </c>
      <c r="CC812" t="s">
        <v>121</v>
      </c>
      <c r="CD812">
        <v>16739.96</v>
      </c>
      <c r="CE812" t="s">
        <v>144</v>
      </c>
      <c r="CF812">
        <v>4000000</v>
      </c>
      <c r="CG812">
        <v>16685.96</v>
      </c>
      <c r="CH812">
        <v>0</v>
      </c>
      <c r="CI812" t="s">
        <v>112</v>
      </c>
      <c r="CJ812" t="s">
        <v>112</v>
      </c>
      <c r="CK812">
        <v>43966.080000000002</v>
      </c>
      <c r="CL812">
        <v>3527632</v>
      </c>
      <c r="CM812">
        <v>0</v>
      </c>
      <c r="CN812">
        <v>1</v>
      </c>
      <c r="CO812">
        <v>3876655.18</v>
      </c>
      <c r="CP812">
        <v>51364.93</v>
      </c>
      <c r="CQ812" t="s">
        <v>145</v>
      </c>
      <c r="CR812">
        <v>51364.390668</v>
      </c>
      <c r="CS812">
        <v>3.0783</v>
      </c>
      <c r="CT812">
        <v>45</v>
      </c>
      <c r="CU812" t="s">
        <v>171</v>
      </c>
      <c r="CV812" t="s">
        <v>172</v>
      </c>
      <c r="CW812">
        <v>166</v>
      </c>
    </row>
    <row r="813" spans="1:101" x14ac:dyDescent="0.2">
      <c r="A813" t="s">
        <v>106</v>
      </c>
      <c r="B813" s="46">
        <v>44959</v>
      </c>
      <c r="C813" t="s">
        <v>479</v>
      </c>
      <c r="D813" t="s">
        <v>108</v>
      </c>
      <c r="E813" t="s">
        <v>480</v>
      </c>
      <c r="F813" t="s">
        <v>110</v>
      </c>
      <c r="G813" t="s">
        <v>111</v>
      </c>
      <c r="H813" t="s">
        <v>112</v>
      </c>
      <c r="I813" t="s">
        <v>112</v>
      </c>
      <c r="J813" t="s">
        <v>112</v>
      </c>
      <c r="K813" t="s">
        <v>150</v>
      </c>
      <c r="L813" t="s">
        <v>151</v>
      </c>
      <c r="M813" t="s">
        <v>112</v>
      </c>
      <c r="N813" t="s">
        <v>112</v>
      </c>
      <c r="O813">
        <v>1</v>
      </c>
      <c r="P813">
        <v>0</v>
      </c>
      <c r="Q813">
        <v>1</v>
      </c>
      <c r="R813">
        <v>33</v>
      </c>
      <c r="S813" t="s">
        <v>166</v>
      </c>
      <c r="T813" t="s">
        <v>152</v>
      </c>
      <c r="U813" t="s">
        <v>153</v>
      </c>
      <c r="V813" t="s">
        <v>154</v>
      </c>
      <c r="W813" t="s">
        <v>119</v>
      </c>
      <c r="X813" t="s">
        <v>112</v>
      </c>
      <c r="Y813" t="s">
        <v>166</v>
      </c>
      <c r="Z813" t="s">
        <v>152</v>
      </c>
      <c r="AA813" t="s">
        <v>153</v>
      </c>
      <c r="AB813" t="s">
        <v>154</v>
      </c>
      <c r="AC813" t="s">
        <v>119</v>
      </c>
      <c r="AD813" t="s">
        <v>112</v>
      </c>
      <c r="AE813" t="s">
        <v>121</v>
      </c>
      <c r="AF813" t="s">
        <v>122</v>
      </c>
      <c r="AG813">
        <v>3767841.78</v>
      </c>
      <c r="AH813" t="s">
        <v>166</v>
      </c>
      <c r="AI813" t="s">
        <v>152</v>
      </c>
      <c r="AJ813" t="s">
        <v>153</v>
      </c>
      <c r="AK813" t="s">
        <v>154</v>
      </c>
      <c r="AL813" t="s">
        <v>119</v>
      </c>
      <c r="AM813" t="s">
        <v>112</v>
      </c>
      <c r="AN813" t="s">
        <v>121</v>
      </c>
      <c r="AO813" t="s">
        <v>122</v>
      </c>
      <c r="AP813" t="s">
        <v>122</v>
      </c>
      <c r="AQ813" t="s">
        <v>124</v>
      </c>
      <c r="AR813" t="s">
        <v>125</v>
      </c>
      <c r="AS813">
        <v>2</v>
      </c>
      <c r="AT813" t="s">
        <v>126</v>
      </c>
      <c r="AU813" t="s">
        <v>155</v>
      </c>
      <c r="AV813" t="s">
        <v>156</v>
      </c>
      <c r="AW813">
        <v>1</v>
      </c>
      <c r="AX813" t="s">
        <v>129</v>
      </c>
      <c r="AY813">
        <v>45204.24</v>
      </c>
      <c r="AZ813">
        <v>3437091</v>
      </c>
      <c r="BA813">
        <v>53369.54</v>
      </c>
      <c r="BB813">
        <v>76.034700000000001</v>
      </c>
      <c r="BC813" t="s">
        <v>130</v>
      </c>
      <c r="BD813" t="s">
        <v>112</v>
      </c>
      <c r="BE813" t="s">
        <v>157</v>
      </c>
      <c r="BF813" t="s">
        <v>133</v>
      </c>
      <c r="BG813" t="s">
        <v>134</v>
      </c>
      <c r="BH813" t="s">
        <v>112</v>
      </c>
      <c r="BI813" t="s">
        <v>112</v>
      </c>
      <c r="BJ813" t="s">
        <v>112</v>
      </c>
      <c r="BK813" t="s">
        <v>169</v>
      </c>
      <c r="BL813" t="s">
        <v>159</v>
      </c>
      <c r="BM813" t="s">
        <v>212</v>
      </c>
      <c r="BN813" t="s">
        <v>161</v>
      </c>
      <c r="BO813">
        <v>1</v>
      </c>
      <c r="BP813" t="s">
        <v>205</v>
      </c>
      <c r="BR813" t="s">
        <v>150</v>
      </c>
      <c r="BS813">
        <v>33</v>
      </c>
      <c r="BT813">
        <v>0</v>
      </c>
      <c r="BU813">
        <v>0</v>
      </c>
      <c r="BW813">
        <v>0</v>
      </c>
      <c r="BY813" t="s">
        <v>106</v>
      </c>
      <c r="BZ813" t="s">
        <v>142</v>
      </c>
      <c r="CA813" t="s">
        <v>112</v>
      </c>
      <c r="CB813" t="s">
        <v>112</v>
      </c>
      <c r="CC813" t="s">
        <v>121</v>
      </c>
      <c r="CD813">
        <v>16644.009999999998</v>
      </c>
      <c r="CE813" t="s">
        <v>144</v>
      </c>
      <c r="CF813">
        <v>4000000</v>
      </c>
      <c r="CG813">
        <v>16572.009999999998</v>
      </c>
      <c r="CH813">
        <v>0</v>
      </c>
      <c r="CI813" t="s">
        <v>112</v>
      </c>
      <c r="CJ813" t="s">
        <v>112</v>
      </c>
      <c r="CK813">
        <v>45204.24</v>
      </c>
      <c r="CL813">
        <v>3437091</v>
      </c>
      <c r="CM813">
        <v>0</v>
      </c>
      <c r="CN813">
        <v>1</v>
      </c>
      <c r="CO813">
        <v>3767841.78</v>
      </c>
      <c r="CP813">
        <v>53369.54</v>
      </c>
      <c r="CQ813" t="s">
        <v>145</v>
      </c>
      <c r="CR813">
        <v>53370.158204999992</v>
      </c>
      <c r="CS813">
        <v>3.2204999999999999</v>
      </c>
      <c r="CT813">
        <v>45</v>
      </c>
      <c r="CU813" t="s">
        <v>171</v>
      </c>
      <c r="CV813" t="s">
        <v>463</v>
      </c>
      <c r="CW813">
        <v>544</v>
      </c>
    </row>
    <row r="814" spans="1:101" x14ac:dyDescent="0.2">
      <c r="A814" t="s">
        <v>106</v>
      </c>
      <c r="B814" s="46">
        <v>45069</v>
      </c>
      <c r="C814" t="s">
        <v>473</v>
      </c>
      <c r="D814" t="s">
        <v>108</v>
      </c>
      <c r="E814" t="s">
        <v>474</v>
      </c>
      <c r="F814" t="s">
        <v>110</v>
      </c>
      <c r="G814" t="s">
        <v>111</v>
      </c>
      <c r="H814" t="s">
        <v>112</v>
      </c>
      <c r="I814" t="s">
        <v>112</v>
      </c>
      <c r="J814" t="s">
        <v>112</v>
      </c>
      <c r="K814" t="s">
        <v>175</v>
      </c>
      <c r="L814" t="s">
        <v>448</v>
      </c>
      <c r="M814" t="s">
        <v>112</v>
      </c>
      <c r="N814" t="s">
        <v>112</v>
      </c>
      <c r="O814">
        <v>1</v>
      </c>
      <c r="P814">
        <v>0</v>
      </c>
      <c r="Q814">
        <v>1</v>
      </c>
      <c r="R814">
        <v>33</v>
      </c>
      <c r="S814" t="s">
        <v>166</v>
      </c>
      <c r="T814" t="s">
        <v>152</v>
      </c>
      <c r="U814" t="s">
        <v>153</v>
      </c>
      <c r="V814" t="s">
        <v>154</v>
      </c>
      <c r="W814" t="s">
        <v>119</v>
      </c>
      <c r="X814" t="s">
        <v>112</v>
      </c>
      <c r="Y814" t="s">
        <v>166</v>
      </c>
      <c r="Z814" t="s">
        <v>152</v>
      </c>
      <c r="AA814" t="s">
        <v>153</v>
      </c>
      <c r="AB814" t="s">
        <v>154</v>
      </c>
      <c r="AC814" t="s">
        <v>119</v>
      </c>
      <c r="AD814" t="s">
        <v>112</v>
      </c>
      <c r="AE814" t="s">
        <v>121</v>
      </c>
      <c r="AF814" t="s">
        <v>122</v>
      </c>
      <c r="AG814">
        <v>3768495.68</v>
      </c>
      <c r="AH814" t="s">
        <v>166</v>
      </c>
      <c r="AI814" t="s">
        <v>152</v>
      </c>
      <c r="AJ814" t="s">
        <v>153</v>
      </c>
      <c r="AK814" t="s">
        <v>154</v>
      </c>
      <c r="AL814" t="s">
        <v>119</v>
      </c>
      <c r="AM814" t="s">
        <v>112</v>
      </c>
      <c r="AN814" t="s">
        <v>121</v>
      </c>
      <c r="AO814" t="s">
        <v>122</v>
      </c>
      <c r="AP814" t="s">
        <v>122</v>
      </c>
      <c r="AQ814" t="s">
        <v>124</v>
      </c>
      <c r="AR814" t="s">
        <v>125</v>
      </c>
      <c r="AS814">
        <v>2</v>
      </c>
      <c r="AT814" t="s">
        <v>126</v>
      </c>
      <c r="AU814" t="s">
        <v>155</v>
      </c>
      <c r="AV814" t="s">
        <v>156</v>
      </c>
      <c r="AW814">
        <v>1</v>
      </c>
      <c r="AX814" t="s">
        <v>129</v>
      </c>
      <c r="AY814">
        <v>45212.84</v>
      </c>
      <c r="AZ814">
        <v>3437745</v>
      </c>
      <c r="BA814">
        <v>53378.81</v>
      </c>
      <c r="BB814">
        <v>76.034700000000001</v>
      </c>
      <c r="BC814" t="s">
        <v>130</v>
      </c>
      <c r="BD814" t="s">
        <v>112</v>
      </c>
      <c r="BE814" t="s">
        <v>157</v>
      </c>
      <c r="BF814" t="s">
        <v>133</v>
      </c>
      <c r="BG814" t="s">
        <v>134</v>
      </c>
      <c r="BH814" t="s">
        <v>112</v>
      </c>
      <c r="BI814" t="s">
        <v>112</v>
      </c>
      <c r="BJ814" t="s">
        <v>112</v>
      </c>
      <c r="BK814" t="s">
        <v>169</v>
      </c>
      <c r="BL814" t="s">
        <v>159</v>
      </c>
      <c r="BM814" t="s">
        <v>212</v>
      </c>
      <c r="BN814" t="s">
        <v>161</v>
      </c>
      <c r="BO814">
        <v>1</v>
      </c>
      <c r="BP814" t="s">
        <v>475</v>
      </c>
      <c r="BR814" t="s">
        <v>150</v>
      </c>
      <c r="BS814">
        <v>33</v>
      </c>
      <c r="BT814">
        <v>0</v>
      </c>
      <c r="BU814">
        <v>0</v>
      </c>
      <c r="BW814">
        <v>0</v>
      </c>
      <c r="BY814" t="s">
        <v>106</v>
      </c>
      <c r="BZ814" t="s">
        <v>142</v>
      </c>
      <c r="CA814" t="s">
        <v>112</v>
      </c>
      <c r="CB814" t="s">
        <v>112</v>
      </c>
      <c r="CC814" t="s">
        <v>121</v>
      </c>
      <c r="CD814">
        <v>15574.73</v>
      </c>
      <c r="CE814" t="s">
        <v>144</v>
      </c>
      <c r="CF814">
        <v>4000000</v>
      </c>
      <c r="CG814">
        <v>15268.73</v>
      </c>
      <c r="CH814">
        <v>0</v>
      </c>
      <c r="CI814" t="s">
        <v>112</v>
      </c>
      <c r="CJ814" t="s">
        <v>112</v>
      </c>
      <c r="CK814">
        <v>45212.84</v>
      </c>
      <c r="CL814">
        <v>3437745</v>
      </c>
      <c r="CM814">
        <v>0</v>
      </c>
      <c r="CN814">
        <v>1</v>
      </c>
      <c r="CO814">
        <v>3768495.68</v>
      </c>
      <c r="CP814">
        <v>53378.81</v>
      </c>
      <c r="CQ814" t="s">
        <v>145</v>
      </c>
      <c r="CR814">
        <v>53379.480080000001</v>
      </c>
      <c r="CS814">
        <v>3.496</v>
      </c>
      <c r="CT814">
        <v>45</v>
      </c>
      <c r="CU814" t="s">
        <v>171</v>
      </c>
      <c r="CV814" t="s">
        <v>372</v>
      </c>
      <c r="CW814">
        <v>189</v>
      </c>
    </row>
    <row r="815" spans="1:101" x14ac:dyDescent="0.2">
      <c r="A815" t="s">
        <v>106</v>
      </c>
      <c r="B815" s="46">
        <v>45026</v>
      </c>
      <c r="C815" t="s">
        <v>476</v>
      </c>
      <c r="D815" t="s">
        <v>108</v>
      </c>
      <c r="E815" t="s">
        <v>477</v>
      </c>
      <c r="F815" t="s">
        <v>110</v>
      </c>
      <c r="G815" t="s">
        <v>111</v>
      </c>
      <c r="H815" t="s">
        <v>112</v>
      </c>
      <c r="I815" t="s">
        <v>112</v>
      </c>
      <c r="J815" t="s">
        <v>112</v>
      </c>
      <c r="K815" t="s">
        <v>150</v>
      </c>
      <c r="L815" t="s">
        <v>151</v>
      </c>
      <c r="M815" t="s">
        <v>112</v>
      </c>
      <c r="N815" t="s">
        <v>112</v>
      </c>
      <c r="O815">
        <v>1</v>
      </c>
      <c r="P815">
        <v>0</v>
      </c>
      <c r="Q815">
        <v>1</v>
      </c>
      <c r="R815">
        <v>33</v>
      </c>
      <c r="S815" t="s">
        <v>166</v>
      </c>
      <c r="T815" t="s">
        <v>152</v>
      </c>
      <c r="U815" t="s">
        <v>153</v>
      </c>
      <c r="V815" t="s">
        <v>154</v>
      </c>
      <c r="W815" t="s">
        <v>119</v>
      </c>
      <c r="X815" t="s">
        <v>112</v>
      </c>
      <c r="Y815" t="s">
        <v>166</v>
      </c>
      <c r="Z815" t="s">
        <v>152</v>
      </c>
      <c r="AA815" t="s">
        <v>153</v>
      </c>
      <c r="AB815" t="s">
        <v>154</v>
      </c>
      <c r="AC815" t="s">
        <v>119</v>
      </c>
      <c r="AD815" t="s">
        <v>112</v>
      </c>
      <c r="AE815" t="s">
        <v>121</v>
      </c>
      <c r="AF815" t="s">
        <v>122</v>
      </c>
      <c r="AG815">
        <v>4031466.25</v>
      </c>
      <c r="AH815" t="s">
        <v>166</v>
      </c>
      <c r="AI815" t="s">
        <v>152</v>
      </c>
      <c r="AJ815" t="s">
        <v>153</v>
      </c>
      <c r="AK815" t="s">
        <v>154</v>
      </c>
      <c r="AL815" t="s">
        <v>119</v>
      </c>
      <c r="AM815" t="s">
        <v>112</v>
      </c>
      <c r="AN815" t="s">
        <v>121</v>
      </c>
      <c r="AO815" t="s">
        <v>122</v>
      </c>
      <c r="AP815" t="s">
        <v>122</v>
      </c>
      <c r="AQ815" t="s">
        <v>124</v>
      </c>
      <c r="AR815" t="s">
        <v>125</v>
      </c>
      <c r="AS815">
        <v>2</v>
      </c>
      <c r="AT815" t="s">
        <v>126</v>
      </c>
      <c r="AU815" t="s">
        <v>155</v>
      </c>
      <c r="AV815" t="s">
        <v>156</v>
      </c>
      <c r="AW815">
        <v>1</v>
      </c>
      <c r="AX815" t="s">
        <v>129</v>
      </c>
      <c r="AY815">
        <v>48671.4</v>
      </c>
      <c r="AZ815">
        <v>3700715</v>
      </c>
      <c r="BA815">
        <v>57103.65</v>
      </c>
      <c r="BB815">
        <v>76.034700000000001</v>
      </c>
      <c r="BC815" t="s">
        <v>130</v>
      </c>
      <c r="BD815" t="s">
        <v>112</v>
      </c>
      <c r="BE815" t="s">
        <v>157</v>
      </c>
      <c r="BF815" t="s">
        <v>133</v>
      </c>
      <c r="BG815" t="s">
        <v>134</v>
      </c>
      <c r="BH815" t="s">
        <v>112</v>
      </c>
      <c r="BI815" t="s">
        <v>112</v>
      </c>
      <c r="BJ815" t="s">
        <v>112</v>
      </c>
      <c r="BK815" t="s">
        <v>169</v>
      </c>
      <c r="BL815" t="s">
        <v>159</v>
      </c>
      <c r="BM815" t="s">
        <v>212</v>
      </c>
      <c r="BN815" t="s">
        <v>161</v>
      </c>
      <c r="BO815">
        <v>1</v>
      </c>
      <c r="BP815" t="s">
        <v>478</v>
      </c>
      <c r="BR815" t="s">
        <v>150</v>
      </c>
      <c r="BS815">
        <v>33</v>
      </c>
      <c r="BT815">
        <v>0</v>
      </c>
      <c r="BU815">
        <v>0</v>
      </c>
      <c r="BW815">
        <v>0</v>
      </c>
      <c r="BY815" t="s">
        <v>106</v>
      </c>
      <c r="BZ815" t="s">
        <v>142</v>
      </c>
      <c r="CA815" t="s">
        <v>112</v>
      </c>
      <c r="CB815" t="s">
        <v>112</v>
      </c>
      <c r="CC815" t="s">
        <v>121</v>
      </c>
      <c r="CD815">
        <v>16822.68</v>
      </c>
      <c r="CE815" t="s">
        <v>144</v>
      </c>
      <c r="CF815">
        <v>4000000</v>
      </c>
      <c r="CG815">
        <v>16714.68</v>
      </c>
      <c r="CH815">
        <v>0</v>
      </c>
      <c r="CI815" t="s">
        <v>112</v>
      </c>
      <c r="CJ815" t="s">
        <v>112</v>
      </c>
      <c r="CK815">
        <v>48671.4</v>
      </c>
      <c r="CL815">
        <v>3700715</v>
      </c>
      <c r="CM815">
        <v>0</v>
      </c>
      <c r="CN815">
        <v>1</v>
      </c>
      <c r="CO815">
        <v>4031466.25</v>
      </c>
      <c r="CP815">
        <v>57103.65</v>
      </c>
      <c r="CQ815" t="s">
        <v>145</v>
      </c>
      <c r="CR815">
        <v>57104.032751999999</v>
      </c>
      <c r="CS815">
        <v>3.4163999999999999</v>
      </c>
      <c r="CT815">
        <v>45</v>
      </c>
      <c r="CU815" t="s">
        <v>171</v>
      </c>
      <c r="CV815" t="s">
        <v>172</v>
      </c>
      <c r="CW815">
        <v>201</v>
      </c>
    </row>
    <row r="816" spans="1:101" x14ac:dyDescent="0.2">
      <c r="A816" t="s">
        <v>106</v>
      </c>
      <c r="B816" s="46">
        <v>44952</v>
      </c>
      <c r="C816" t="s">
        <v>994</v>
      </c>
      <c r="D816" t="s">
        <v>108</v>
      </c>
      <c r="E816" t="s">
        <v>995</v>
      </c>
      <c r="F816" t="s">
        <v>110</v>
      </c>
      <c r="G816" t="s">
        <v>111</v>
      </c>
      <c r="H816" t="s">
        <v>112</v>
      </c>
      <c r="I816" t="s">
        <v>112</v>
      </c>
      <c r="J816" t="s">
        <v>112</v>
      </c>
      <c r="K816" t="s">
        <v>150</v>
      </c>
      <c r="L816" t="s">
        <v>151</v>
      </c>
      <c r="M816" t="s">
        <v>112</v>
      </c>
      <c r="N816" t="s">
        <v>112</v>
      </c>
      <c r="O816">
        <v>1</v>
      </c>
      <c r="Q816">
        <v>1</v>
      </c>
      <c r="R816">
        <v>33</v>
      </c>
      <c r="S816" t="s">
        <v>112</v>
      </c>
      <c r="T816" t="s">
        <v>152</v>
      </c>
      <c r="U816" t="s">
        <v>153</v>
      </c>
      <c r="V816" t="s">
        <v>154</v>
      </c>
      <c r="W816" t="s">
        <v>119</v>
      </c>
      <c r="X816" t="s">
        <v>112</v>
      </c>
      <c r="Y816" t="s">
        <v>112</v>
      </c>
      <c r="Z816" t="s">
        <v>152</v>
      </c>
      <c r="AA816" t="s">
        <v>153</v>
      </c>
      <c r="AB816" t="s">
        <v>154</v>
      </c>
      <c r="AC816" t="s">
        <v>119</v>
      </c>
      <c r="AD816" t="s">
        <v>112</v>
      </c>
      <c r="AE816" t="s">
        <v>121</v>
      </c>
      <c r="AF816" t="s">
        <v>122</v>
      </c>
      <c r="AG816">
        <v>4505164.46</v>
      </c>
      <c r="AH816" t="s">
        <v>112</v>
      </c>
      <c r="AI816" t="s">
        <v>152</v>
      </c>
      <c r="AJ816" t="s">
        <v>153</v>
      </c>
      <c r="AK816" t="s">
        <v>154</v>
      </c>
      <c r="AL816" t="s">
        <v>119</v>
      </c>
      <c r="AM816" t="s">
        <v>112</v>
      </c>
      <c r="AN816" t="s">
        <v>121</v>
      </c>
      <c r="AO816" t="s">
        <v>122</v>
      </c>
      <c r="AP816" t="s">
        <v>122</v>
      </c>
      <c r="AQ816" t="s">
        <v>124</v>
      </c>
      <c r="AR816" t="s">
        <v>125</v>
      </c>
      <c r="AS816">
        <v>2</v>
      </c>
      <c r="AT816" t="s">
        <v>126</v>
      </c>
      <c r="AU816" t="s">
        <v>155</v>
      </c>
      <c r="AV816" t="s">
        <v>156</v>
      </c>
      <c r="AX816" t="s">
        <v>129</v>
      </c>
      <c r="AY816">
        <v>41455.199999999997</v>
      </c>
      <c r="BB816">
        <v>99.134</v>
      </c>
      <c r="BC816" t="s">
        <v>112</v>
      </c>
      <c r="BD816" t="s">
        <v>112</v>
      </c>
      <c r="BE816" t="s">
        <v>157</v>
      </c>
      <c r="BF816" t="s">
        <v>133</v>
      </c>
      <c r="BG816" t="s">
        <v>134</v>
      </c>
      <c r="BH816" t="s">
        <v>112</v>
      </c>
      <c r="BI816" t="s">
        <v>112</v>
      </c>
      <c r="BJ816" t="s">
        <v>112</v>
      </c>
      <c r="BK816" t="s">
        <v>158</v>
      </c>
      <c r="BL816" t="s">
        <v>159</v>
      </c>
      <c r="BM816" t="s">
        <v>212</v>
      </c>
      <c r="BN816" t="s">
        <v>161</v>
      </c>
      <c r="BP816" t="s">
        <v>162</v>
      </c>
      <c r="BR816" t="s">
        <v>150</v>
      </c>
      <c r="BS816">
        <v>33</v>
      </c>
      <c r="BT816">
        <v>0</v>
      </c>
      <c r="BU816">
        <v>0</v>
      </c>
      <c r="BW816">
        <v>0</v>
      </c>
      <c r="BY816" t="s">
        <v>106</v>
      </c>
      <c r="BZ816" t="s">
        <v>142</v>
      </c>
      <c r="CA816" t="s">
        <v>112</v>
      </c>
      <c r="CB816" t="s">
        <v>112</v>
      </c>
      <c r="CC816" t="s">
        <v>121</v>
      </c>
      <c r="CD816">
        <v>17227.32</v>
      </c>
      <c r="CE816" t="s">
        <v>144</v>
      </c>
      <c r="CF816">
        <v>4000000</v>
      </c>
      <c r="CG816">
        <v>17209.32</v>
      </c>
      <c r="CH816">
        <v>0</v>
      </c>
      <c r="CI816" t="s">
        <v>112</v>
      </c>
      <c r="CJ816" t="s">
        <v>112</v>
      </c>
      <c r="CK816">
        <v>41455.199999999997</v>
      </c>
      <c r="CM816">
        <v>0</v>
      </c>
      <c r="CN816">
        <v>1</v>
      </c>
      <c r="CO816">
        <v>4505164.46</v>
      </c>
      <c r="CP816">
        <v>49192.52</v>
      </c>
      <c r="CQ816" t="s">
        <v>145</v>
      </c>
      <c r="CR816">
        <v>49218.655199999994</v>
      </c>
      <c r="CS816">
        <v>2.86</v>
      </c>
      <c r="CT816">
        <v>45</v>
      </c>
      <c r="CV816" t="s">
        <v>163</v>
      </c>
      <c r="CW816">
        <v>9</v>
      </c>
    </row>
    <row r="817" spans="1:101" x14ac:dyDescent="0.2">
      <c r="A817" t="s">
        <v>106</v>
      </c>
      <c r="B817" s="46">
        <v>45203</v>
      </c>
      <c r="C817" t="s">
        <v>1044</v>
      </c>
      <c r="D817" t="s">
        <v>108</v>
      </c>
      <c r="E817" t="s">
        <v>1045</v>
      </c>
      <c r="F817" t="s">
        <v>110</v>
      </c>
      <c r="G817" t="s">
        <v>111</v>
      </c>
      <c r="H817" t="s">
        <v>112</v>
      </c>
      <c r="I817" t="s">
        <v>112</v>
      </c>
      <c r="J817" t="s">
        <v>112</v>
      </c>
      <c r="K817" t="s">
        <v>150</v>
      </c>
      <c r="L817" t="s">
        <v>151</v>
      </c>
      <c r="M817" t="s">
        <v>112</v>
      </c>
      <c r="N817" t="s">
        <v>112</v>
      </c>
      <c r="O817">
        <v>1</v>
      </c>
      <c r="Q817">
        <v>1</v>
      </c>
      <c r="R817">
        <v>33</v>
      </c>
      <c r="S817" t="s">
        <v>112</v>
      </c>
      <c r="T817" t="s">
        <v>152</v>
      </c>
      <c r="U817" t="s">
        <v>153</v>
      </c>
      <c r="V817" t="s">
        <v>154</v>
      </c>
      <c r="W817" t="s">
        <v>119</v>
      </c>
      <c r="X817" t="s">
        <v>112</v>
      </c>
      <c r="Y817" t="s">
        <v>112</v>
      </c>
      <c r="Z817" t="s">
        <v>152</v>
      </c>
      <c r="AA817" t="s">
        <v>153</v>
      </c>
      <c r="AB817" t="s">
        <v>154</v>
      </c>
      <c r="AC817" t="s">
        <v>119</v>
      </c>
      <c r="AD817" t="s">
        <v>112</v>
      </c>
      <c r="AE817" t="s">
        <v>121</v>
      </c>
      <c r="AF817" t="s">
        <v>122</v>
      </c>
      <c r="AG817">
        <v>4502678.18</v>
      </c>
      <c r="AH817" t="s">
        <v>112</v>
      </c>
      <c r="AI817" t="s">
        <v>152</v>
      </c>
      <c r="AJ817" t="s">
        <v>153</v>
      </c>
      <c r="AK817" t="s">
        <v>154</v>
      </c>
      <c r="AL817" t="s">
        <v>119</v>
      </c>
      <c r="AM817" t="s">
        <v>112</v>
      </c>
      <c r="AN817" t="s">
        <v>121</v>
      </c>
      <c r="AO817" t="s">
        <v>122</v>
      </c>
      <c r="AP817" t="s">
        <v>122</v>
      </c>
      <c r="AQ817" t="s">
        <v>124</v>
      </c>
      <c r="AR817" t="s">
        <v>125</v>
      </c>
      <c r="AS817">
        <v>2</v>
      </c>
      <c r="AT817" t="s">
        <v>126</v>
      </c>
      <c r="AU817" t="s">
        <v>155</v>
      </c>
      <c r="AV817" t="s">
        <v>156</v>
      </c>
      <c r="AX817" t="s">
        <v>129</v>
      </c>
      <c r="AY817">
        <v>41430.120000000003</v>
      </c>
      <c r="BB817">
        <v>99.134</v>
      </c>
      <c r="BC817" t="s">
        <v>112</v>
      </c>
      <c r="BD817" t="s">
        <v>112</v>
      </c>
      <c r="BE817" t="s">
        <v>157</v>
      </c>
      <c r="BF817" t="s">
        <v>133</v>
      </c>
      <c r="BG817" t="s">
        <v>134</v>
      </c>
      <c r="BH817" t="s">
        <v>112</v>
      </c>
      <c r="BI817" t="s">
        <v>112</v>
      </c>
      <c r="BJ817" t="s">
        <v>112</v>
      </c>
      <c r="BK817" t="s">
        <v>158</v>
      </c>
      <c r="BL817" t="s">
        <v>159</v>
      </c>
      <c r="BM817" t="s">
        <v>212</v>
      </c>
      <c r="BN817" t="s">
        <v>161</v>
      </c>
      <c r="BP817" t="s">
        <v>162</v>
      </c>
      <c r="BR817" t="s">
        <v>150</v>
      </c>
      <c r="BS817">
        <v>33</v>
      </c>
      <c r="BT817">
        <v>0</v>
      </c>
      <c r="BU817">
        <v>0</v>
      </c>
      <c r="BW817">
        <v>0</v>
      </c>
      <c r="BY817" t="s">
        <v>106</v>
      </c>
      <c r="BZ817" t="s">
        <v>142</v>
      </c>
      <c r="CA817" t="s">
        <v>112</v>
      </c>
      <c r="CB817" t="s">
        <v>112</v>
      </c>
      <c r="CC817" t="s">
        <v>121</v>
      </c>
      <c r="CD817">
        <v>16950.759999999998</v>
      </c>
      <c r="CE817" t="s">
        <v>144</v>
      </c>
      <c r="CF817">
        <v>4000000</v>
      </c>
      <c r="CG817">
        <v>16950.759999999998</v>
      </c>
      <c r="CH817">
        <v>0</v>
      </c>
      <c r="CI817" t="s">
        <v>112</v>
      </c>
      <c r="CJ817" t="s">
        <v>112</v>
      </c>
      <c r="CK817">
        <v>41430.120000000003</v>
      </c>
      <c r="CM817">
        <v>0</v>
      </c>
      <c r="CN817">
        <v>1</v>
      </c>
      <c r="CO817">
        <v>4502678.18</v>
      </c>
      <c r="CP817">
        <v>49165.38</v>
      </c>
      <c r="CQ817" t="s">
        <v>145</v>
      </c>
      <c r="CR817">
        <v>49157.203999999991</v>
      </c>
      <c r="CS817">
        <v>2.9</v>
      </c>
      <c r="CT817">
        <v>45</v>
      </c>
      <c r="CV817" t="s">
        <v>163</v>
      </c>
      <c r="CW817">
        <v>544</v>
      </c>
    </row>
    <row r="818" spans="1:101" x14ac:dyDescent="0.2">
      <c r="A818" t="s">
        <v>106</v>
      </c>
      <c r="B818" s="46">
        <v>45271</v>
      </c>
      <c r="C818" t="s">
        <v>1008</v>
      </c>
      <c r="D818" t="s">
        <v>108</v>
      </c>
      <c r="E818" t="s">
        <v>1009</v>
      </c>
      <c r="F818" t="s">
        <v>110</v>
      </c>
      <c r="G818" t="s">
        <v>111</v>
      </c>
      <c r="H818" t="s">
        <v>112</v>
      </c>
      <c r="I818" t="s">
        <v>112</v>
      </c>
      <c r="J818" t="s">
        <v>112</v>
      </c>
      <c r="K818" t="s">
        <v>150</v>
      </c>
      <c r="L818" t="s">
        <v>151</v>
      </c>
      <c r="M818" t="s">
        <v>112</v>
      </c>
      <c r="N818" t="s">
        <v>112</v>
      </c>
      <c r="O818">
        <v>1</v>
      </c>
      <c r="Q818">
        <v>1</v>
      </c>
      <c r="R818">
        <v>33</v>
      </c>
      <c r="S818" t="s">
        <v>112</v>
      </c>
      <c r="T818" t="s">
        <v>152</v>
      </c>
      <c r="U818" t="s">
        <v>153</v>
      </c>
      <c r="V818" t="s">
        <v>154</v>
      </c>
      <c r="W818" t="s">
        <v>119</v>
      </c>
      <c r="X818" t="s">
        <v>112</v>
      </c>
      <c r="Y818" t="s">
        <v>112</v>
      </c>
      <c r="Z818" t="s">
        <v>152</v>
      </c>
      <c r="AA818" t="s">
        <v>153</v>
      </c>
      <c r="AB818" t="s">
        <v>154</v>
      </c>
      <c r="AC818" t="s">
        <v>119</v>
      </c>
      <c r="AD818" t="s">
        <v>112</v>
      </c>
      <c r="AE818" t="s">
        <v>121</v>
      </c>
      <c r="AF818" t="s">
        <v>122</v>
      </c>
      <c r="AG818">
        <v>4674917.55</v>
      </c>
      <c r="AH818" t="s">
        <v>112</v>
      </c>
      <c r="AI818" t="s">
        <v>152</v>
      </c>
      <c r="AJ818" t="s">
        <v>153</v>
      </c>
      <c r="AK818" t="s">
        <v>154</v>
      </c>
      <c r="AL818" t="s">
        <v>119</v>
      </c>
      <c r="AM818" t="s">
        <v>112</v>
      </c>
      <c r="AN818" t="s">
        <v>121</v>
      </c>
      <c r="AO818" t="s">
        <v>122</v>
      </c>
      <c r="AP818" t="s">
        <v>122</v>
      </c>
      <c r="AQ818" t="s">
        <v>124</v>
      </c>
      <c r="AR818" t="s">
        <v>125</v>
      </c>
      <c r="AS818">
        <v>2</v>
      </c>
      <c r="AT818" t="s">
        <v>126</v>
      </c>
      <c r="AU818" t="s">
        <v>155</v>
      </c>
      <c r="AV818" t="s">
        <v>156</v>
      </c>
      <c r="AX818" t="s">
        <v>129</v>
      </c>
      <c r="AY818">
        <v>42467.56</v>
      </c>
      <c r="BB818">
        <v>99.134</v>
      </c>
      <c r="BC818" t="s">
        <v>112</v>
      </c>
      <c r="BD818" t="s">
        <v>112</v>
      </c>
      <c r="BE818" t="s">
        <v>157</v>
      </c>
      <c r="BF818" t="s">
        <v>133</v>
      </c>
      <c r="BG818" t="s">
        <v>134</v>
      </c>
      <c r="BH818" t="s">
        <v>112</v>
      </c>
      <c r="BI818" t="s">
        <v>112</v>
      </c>
      <c r="BJ818" t="s">
        <v>112</v>
      </c>
      <c r="BK818" t="s">
        <v>158</v>
      </c>
      <c r="BL818" t="s">
        <v>159</v>
      </c>
      <c r="BM818" t="s">
        <v>212</v>
      </c>
      <c r="BN818" t="s">
        <v>161</v>
      </c>
      <c r="BP818" t="s">
        <v>205</v>
      </c>
      <c r="BR818" t="s">
        <v>150</v>
      </c>
      <c r="BS818">
        <v>33</v>
      </c>
      <c r="BT818">
        <v>0</v>
      </c>
      <c r="BU818">
        <v>0</v>
      </c>
      <c r="BW818">
        <v>0</v>
      </c>
      <c r="BY818" t="s">
        <v>106</v>
      </c>
      <c r="BZ818" t="s">
        <v>142</v>
      </c>
      <c r="CA818" t="s">
        <v>112</v>
      </c>
      <c r="CB818" t="s">
        <v>112</v>
      </c>
      <c r="CC818" t="s">
        <v>121</v>
      </c>
      <c r="CD818">
        <v>17508.71</v>
      </c>
      <c r="CE818" t="s">
        <v>144</v>
      </c>
      <c r="CF818">
        <v>4000000</v>
      </c>
      <c r="CG818">
        <v>17508.71</v>
      </c>
      <c r="CH818">
        <v>0</v>
      </c>
      <c r="CI818" t="s">
        <v>112</v>
      </c>
      <c r="CJ818" t="s">
        <v>112</v>
      </c>
      <c r="CK818">
        <v>42467.56</v>
      </c>
      <c r="CM818">
        <v>0</v>
      </c>
      <c r="CN818">
        <v>1</v>
      </c>
      <c r="CO818">
        <v>4674917.55</v>
      </c>
      <c r="CP818">
        <v>51046.080000000002</v>
      </c>
      <c r="CQ818" t="s">
        <v>145</v>
      </c>
      <c r="CR818">
        <v>51125.433199999999</v>
      </c>
      <c r="CS818">
        <v>2.92</v>
      </c>
      <c r="CT818">
        <v>45</v>
      </c>
      <c r="CV818" t="s">
        <v>729</v>
      </c>
      <c r="CW818">
        <v>551</v>
      </c>
    </row>
    <row r="819" spans="1:101" x14ac:dyDescent="0.2">
      <c r="A819" t="s">
        <v>106</v>
      </c>
      <c r="B819" s="46">
        <v>44958</v>
      </c>
      <c r="C819" t="s">
        <v>1014</v>
      </c>
      <c r="D819" t="s">
        <v>108</v>
      </c>
      <c r="E819" t="s">
        <v>1015</v>
      </c>
      <c r="F819" t="s">
        <v>110</v>
      </c>
      <c r="G819" t="s">
        <v>111</v>
      </c>
      <c r="H819" t="s">
        <v>112</v>
      </c>
      <c r="I819" t="s">
        <v>112</v>
      </c>
      <c r="J819" t="s">
        <v>112</v>
      </c>
      <c r="K819" t="s">
        <v>150</v>
      </c>
      <c r="L819" t="s">
        <v>151</v>
      </c>
      <c r="M819" t="s">
        <v>112</v>
      </c>
      <c r="N819" t="s">
        <v>112</v>
      </c>
      <c r="O819">
        <v>1</v>
      </c>
      <c r="Q819">
        <v>1</v>
      </c>
      <c r="R819">
        <v>33</v>
      </c>
      <c r="S819" t="s">
        <v>112</v>
      </c>
      <c r="T819" t="s">
        <v>152</v>
      </c>
      <c r="U819" t="s">
        <v>153</v>
      </c>
      <c r="V819" t="s">
        <v>154</v>
      </c>
      <c r="W819" t="s">
        <v>119</v>
      </c>
      <c r="X819" t="s">
        <v>112</v>
      </c>
      <c r="Y819" t="s">
        <v>112</v>
      </c>
      <c r="Z819" t="s">
        <v>152</v>
      </c>
      <c r="AA819" t="s">
        <v>153</v>
      </c>
      <c r="AB819" t="s">
        <v>154</v>
      </c>
      <c r="AC819" t="s">
        <v>119</v>
      </c>
      <c r="AD819" t="s">
        <v>112</v>
      </c>
      <c r="AE819" t="s">
        <v>121</v>
      </c>
      <c r="AF819" t="s">
        <v>122</v>
      </c>
      <c r="AG819">
        <v>4348393.95</v>
      </c>
      <c r="AH819" t="s">
        <v>112</v>
      </c>
      <c r="AI819" t="s">
        <v>152</v>
      </c>
      <c r="AJ819" t="s">
        <v>153</v>
      </c>
      <c r="AK819" t="s">
        <v>154</v>
      </c>
      <c r="AL819" t="s">
        <v>119</v>
      </c>
      <c r="AM819" t="s">
        <v>112</v>
      </c>
      <c r="AN819" t="s">
        <v>121</v>
      </c>
      <c r="AO819" t="s">
        <v>122</v>
      </c>
      <c r="AP819" t="s">
        <v>122</v>
      </c>
      <c r="AQ819" t="s">
        <v>124</v>
      </c>
      <c r="AR819" t="s">
        <v>125</v>
      </c>
      <c r="AS819">
        <v>2</v>
      </c>
      <c r="AT819" t="s">
        <v>126</v>
      </c>
      <c r="AU819" t="s">
        <v>155</v>
      </c>
      <c r="AV819" t="s">
        <v>156</v>
      </c>
      <c r="AX819" t="s">
        <v>129</v>
      </c>
      <c r="AY819">
        <v>39343.800000000003</v>
      </c>
      <c r="BB819">
        <v>99.134</v>
      </c>
      <c r="BC819" t="s">
        <v>112</v>
      </c>
      <c r="BD819" t="s">
        <v>112</v>
      </c>
      <c r="BE819" t="s">
        <v>157</v>
      </c>
      <c r="BF819" t="s">
        <v>133</v>
      </c>
      <c r="BG819" t="s">
        <v>134</v>
      </c>
      <c r="BH819" t="s">
        <v>112</v>
      </c>
      <c r="BI819" t="s">
        <v>112</v>
      </c>
      <c r="BJ819" t="s">
        <v>112</v>
      </c>
      <c r="BK819" t="s">
        <v>158</v>
      </c>
      <c r="BL819" t="s">
        <v>159</v>
      </c>
      <c r="BM819" t="s">
        <v>212</v>
      </c>
      <c r="BN819" t="s">
        <v>161</v>
      </c>
      <c r="BP819" t="s">
        <v>232</v>
      </c>
      <c r="BR819" t="s">
        <v>150</v>
      </c>
      <c r="BS819">
        <v>33</v>
      </c>
      <c r="BT819">
        <v>0</v>
      </c>
      <c r="BU819">
        <v>0</v>
      </c>
      <c r="BW819">
        <v>0</v>
      </c>
      <c r="BY819" t="s">
        <v>106</v>
      </c>
      <c r="BZ819" t="s">
        <v>142</v>
      </c>
      <c r="CA819" t="s">
        <v>112</v>
      </c>
      <c r="CB819" t="s">
        <v>112</v>
      </c>
      <c r="CC819" t="s">
        <v>121</v>
      </c>
      <c r="CD819">
        <v>16980.78</v>
      </c>
      <c r="CE819" t="s">
        <v>144</v>
      </c>
      <c r="CF819">
        <v>4000000</v>
      </c>
      <c r="CG819">
        <v>16959.18</v>
      </c>
      <c r="CH819">
        <v>0</v>
      </c>
      <c r="CI819" t="s">
        <v>112</v>
      </c>
      <c r="CJ819" t="s">
        <v>112</v>
      </c>
      <c r="CK819">
        <v>39343.800000000003</v>
      </c>
      <c r="CM819">
        <v>0</v>
      </c>
      <c r="CN819">
        <v>1</v>
      </c>
      <c r="CO819">
        <v>4348393.95</v>
      </c>
      <c r="CP819">
        <v>47480.72</v>
      </c>
      <c r="CQ819" t="s">
        <v>145</v>
      </c>
      <c r="CR819">
        <v>47485.703999999998</v>
      </c>
      <c r="CS819">
        <v>2.8</v>
      </c>
      <c r="CT819">
        <v>45</v>
      </c>
      <c r="CV819" t="s">
        <v>233</v>
      </c>
      <c r="CW819">
        <v>296</v>
      </c>
    </row>
    <row r="820" spans="1:101" x14ac:dyDescent="0.2">
      <c r="A820" t="s">
        <v>106</v>
      </c>
      <c r="B820" s="46">
        <v>45241</v>
      </c>
      <c r="C820" t="s">
        <v>885</v>
      </c>
      <c r="D820" t="s">
        <v>108</v>
      </c>
      <c r="E820" t="s">
        <v>886</v>
      </c>
      <c r="F820" t="s">
        <v>110</v>
      </c>
      <c r="G820" t="s">
        <v>111</v>
      </c>
      <c r="H820" t="s">
        <v>112</v>
      </c>
      <c r="I820" t="s">
        <v>112</v>
      </c>
      <c r="J820" t="s">
        <v>112</v>
      </c>
      <c r="K820" t="s">
        <v>150</v>
      </c>
      <c r="L820" t="s">
        <v>151</v>
      </c>
      <c r="M820" t="s">
        <v>112</v>
      </c>
      <c r="N820" t="s">
        <v>112</v>
      </c>
      <c r="O820">
        <v>1</v>
      </c>
      <c r="Q820">
        <v>1</v>
      </c>
      <c r="R820">
        <v>33</v>
      </c>
      <c r="S820" t="s">
        <v>112</v>
      </c>
      <c r="T820" t="s">
        <v>152</v>
      </c>
      <c r="U820" t="s">
        <v>153</v>
      </c>
      <c r="V820" t="s">
        <v>154</v>
      </c>
      <c r="W820" t="s">
        <v>119</v>
      </c>
      <c r="X820" t="s">
        <v>112</v>
      </c>
      <c r="Y820" t="s">
        <v>112</v>
      </c>
      <c r="Z820" t="s">
        <v>152</v>
      </c>
      <c r="AA820" t="s">
        <v>153</v>
      </c>
      <c r="AB820" t="s">
        <v>154</v>
      </c>
      <c r="AC820" t="s">
        <v>119</v>
      </c>
      <c r="AD820" t="s">
        <v>112</v>
      </c>
      <c r="AE820" t="s">
        <v>121</v>
      </c>
      <c r="AF820" t="s">
        <v>122</v>
      </c>
      <c r="AG820">
        <v>4822876.04</v>
      </c>
      <c r="AH820" t="s">
        <v>112</v>
      </c>
      <c r="AI820" t="s">
        <v>152</v>
      </c>
      <c r="AJ820" t="s">
        <v>153</v>
      </c>
      <c r="AK820" t="s">
        <v>154</v>
      </c>
      <c r="AL820" t="s">
        <v>119</v>
      </c>
      <c r="AM820" t="s">
        <v>112</v>
      </c>
      <c r="AN820" t="s">
        <v>121</v>
      </c>
      <c r="AO820" t="s">
        <v>122</v>
      </c>
      <c r="AP820" t="s">
        <v>122</v>
      </c>
      <c r="AQ820" t="s">
        <v>124</v>
      </c>
      <c r="AR820" t="s">
        <v>125</v>
      </c>
      <c r="AS820">
        <v>2</v>
      </c>
      <c r="AT820" t="s">
        <v>126</v>
      </c>
      <c r="AU820" t="s">
        <v>155</v>
      </c>
      <c r="AV820" t="s">
        <v>156</v>
      </c>
      <c r="AX820" t="s">
        <v>129</v>
      </c>
      <c r="AY820">
        <v>44660.07</v>
      </c>
      <c r="BB820">
        <v>99.134</v>
      </c>
      <c r="BC820" t="s">
        <v>112</v>
      </c>
      <c r="BD820" t="s">
        <v>112</v>
      </c>
      <c r="BE820" t="s">
        <v>157</v>
      </c>
      <c r="BF820" t="s">
        <v>133</v>
      </c>
      <c r="BG820" t="s">
        <v>134</v>
      </c>
      <c r="BH820" t="s">
        <v>112</v>
      </c>
      <c r="BI820" t="s">
        <v>112</v>
      </c>
      <c r="BJ820" t="s">
        <v>112</v>
      </c>
      <c r="BK820" t="s">
        <v>158</v>
      </c>
      <c r="BL820" t="s">
        <v>159</v>
      </c>
      <c r="BM820" t="s">
        <v>212</v>
      </c>
      <c r="BN820" t="s">
        <v>161</v>
      </c>
      <c r="BP820" t="s">
        <v>232</v>
      </c>
      <c r="BR820" t="s">
        <v>150</v>
      </c>
      <c r="BS820">
        <v>33</v>
      </c>
      <c r="BT820">
        <v>0</v>
      </c>
      <c r="BU820">
        <v>0</v>
      </c>
      <c r="BW820">
        <v>0</v>
      </c>
      <c r="BY820" t="s">
        <v>106</v>
      </c>
      <c r="BZ820" t="s">
        <v>142</v>
      </c>
      <c r="CA820" t="s">
        <v>112</v>
      </c>
      <c r="CB820" t="s">
        <v>112</v>
      </c>
      <c r="CC820" t="s">
        <v>121</v>
      </c>
      <c r="CD820">
        <v>17213.28</v>
      </c>
      <c r="CE820" t="s">
        <v>144</v>
      </c>
      <c r="CF820">
        <v>4000000</v>
      </c>
      <c r="CG820">
        <v>17213.28</v>
      </c>
      <c r="CH820">
        <v>0</v>
      </c>
      <c r="CI820" t="s">
        <v>112</v>
      </c>
      <c r="CJ820" t="s">
        <v>112</v>
      </c>
      <c r="CK820">
        <v>44660.07</v>
      </c>
      <c r="CM820">
        <v>0</v>
      </c>
      <c r="CN820">
        <v>1</v>
      </c>
      <c r="CO820">
        <v>4822876.04</v>
      </c>
      <c r="CP820">
        <v>52661.66</v>
      </c>
      <c r="CQ820" t="s">
        <v>145</v>
      </c>
      <c r="CR820">
        <v>52672.6368</v>
      </c>
      <c r="CS820">
        <v>3.06</v>
      </c>
      <c r="CT820">
        <v>45</v>
      </c>
      <c r="CV820" t="s">
        <v>233</v>
      </c>
      <c r="CW820">
        <v>88</v>
      </c>
    </row>
    <row r="821" spans="1:101" x14ac:dyDescent="0.2">
      <c r="A821" t="s">
        <v>106</v>
      </c>
      <c r="B821" s="46">
        <v>45201</v>
      </c>
      <c r="C821" t="s">
        <v>1862</v>
      </c>
      <c r="D821" t="s">
        <v>108</v>
      </c>
      <c r="E821" t="s">
        <v>1863</v>
      </c>
      <c r="F821" t="s">
        <v>110</v>
      </c>
      <c r="G821" t="s">
        <v>111</v>
      </c>
      <c r="H821" t="s">
        <v>112</v>
      </c>
      <c r="I821" t="s">
        <v>112</v>
      </c>
      <c r="J821" t="s">
        <v>112</v>
      </c>
      <c r="K821" t="s">
        <v>150</v>
      </c>
      <c r="L821" t="s">
        <v>151</v>
      </c>
      <c r="M821" t="s">
        <v>112</v>
      </c>
      <c r="N821" t="s">
        <v>112</v>
      </c>
      <c r="O821">
        <v>1</v>
      </c>
      <c r="Q821">
        <v>1</v>
      </c>
      <c r="R821">
        <v>33</v>
      </c>
      <c r="S821" t="s">
        <v>112</v>
      </c>
      <c r="T821" t="s">
        <v>152</v>
      </c>
      <c r="U821" t="s">
        <v>153</v>
      </c>
      <c r="V821" t="s">
        <v>154</v>
      </c>
      <c r="W821" t="s">
        <v>119</v>
      </c>
      <c r="X821" t="s">
        <v>112</v>
      </c>
      <c r="Y821" t="s">
        <v>112</v>
      </c>
      <c r="Z821" t="s">
        <v>152</v>
      </c>
      <c r="AA821" t="s">
        <v>153</v>
      </c>
      <c r="AB821" t="s">
        <v>154</v>
      </c>
      <c r="AC821" t="s">
        <v>119</v>
      </c>
      <c r="AD821" t="s">
        <v>112</v>
      </c>
      <c r="AE821" t="s">
        <v>121</v>
      </c>
      <c r="AF821" t="s">
        <v>122</v>
      </c>
      <c r="AG821">
        <v>4757989.08</v>
      </c>
      <c r="AH821" t="s">
        <v>112</v>
      </c>
      <c r="AI821" t="s">
        <v>152</v>
      </c>
      <c r="AJ821" t="s">
        <v>153</v>
      </c>
      <c r="AK821" t="s">
        <v>154</v>
      </c>
      <c r="AL821" t="s">
        <v>119</v>
      </c>
      <c r="AM821" t="s">
        <v>112</v>
      </c>
      <c r="AN821" t="s">
        <v>121</v>
      </c>
      <c r="AO821" t="s">
        <v>122</v>
      </c>
      <c r="AP821" t="s">
        <v>122</v>
      </c>
      <c r="AQ821" t="s">
        <v>124</v>
      </c>
      <c r="AR821" t="s">
        <v>125</v>
      </c>
      <c r="AS821">
        <v>2</v>
      </c>
      <c r="AT821" t="s">
        <v>126</v>
      </c>
      <c r="AU821" t="s">
        <v>155</v>
      </c>
      <c r="AV821" t="s">
        <v>156</v>
      </c>
      <c r="AX821" t="s">
        <v>129</v>
      </c>
      <c r="AY821">
        <v>41225.519999999997</v>
      </c>
      <c r="BB821">
        <v>104.90430000000001</v>
      </c>
      <c r="BC821" t="s">
        <v>112</v>
      </c>
      <c r="BD821" t="s">
        <v>112</v>
      </c>
      <c r="BE821" t="s">
        <v>157</v>
      </c>
      <c r="BF821" t="s">
        <v>133</v>
      </c>
      <c r="BG821" t="s">
        <v>167</v>
      </c>
      <c r="BH821" t="s">
        <v>112</v>
      </c>
      <c r="BI821" t="s">
        <v>112</v>
      </c>
      <c r="BJ821" t="s">
        <v>112</v>
      </c>
      <c r="BK821" t="s">
        <v>169</v>
      </c>
      <c r="BL821" t="s">
        <v>159</v>
      </c>
      <c r="BM821" t="s">
        <v>160</v>
      </c>
      <c r="BN821" t="s">
        <v>161</v>
      </c>
      <c r="BP821" t="s">
        <v>162</v>
      </c>
      <c r="BR821" t="s">
        <v>150</v>
      </c>
      <c r="BS821">
        <v>33</v>
      </c>
      <c r="BT821">
        <v>0</v>
      </c>
      <c r="BU821">
        <v>0</v>
      </c>
      <c r="BW821">
        <v>0</v>
      </c>
      <c r="BY821" t="s">
        <v>106</v>
      </c>
      <c r="BZ821" t="s">
        <v>142</v>
      </c>
      <c r="CA821" t="s">
        <v>112</v>
      </c>
      <c r="CB821" t="s">
        <v>112</v>
      </c>
      <c r="CC821" t="s">
        <v>121</v>
      </c>
      <c r="CD821">
        <v>16921.48</v>
      </c>
      <c r="CE821" t="s">
        <v>144</v>
      </c>
      <c r="CF821">
        <v>4000000</v>
      </c>
      <c r="CG821">
        <v>16921.48</v>
      </c>
      <c r="CH821">
        <v>0</v>
      </c>
      <c r="CI821" t="s">
        <v>112</v>
      </c>
      <c r="CJ821" t="s">
        <v>112</v>
      </c>
      <c r="CK821">
        <v>41225.519999999997</v>
      </c>
      <c r="CM821">
        <v>0</v>
      </c>
      <c r="CN821">
        <v>1</v>
      </c>
      <c r="CO821">
        <v>4757989.08</v>
      </c>
      <c r="CP821">
        <v>48780.73</v>
      </c>
      <c r="CQ821" t="s">
        <v>145</v>
      </c>
      <c r="CR821">
        <v>48733.862399999998</v>
      </c>
      <c r="CS821">
        <v>2.88</v>
      </c>
      <c r="CT821">
        <v>45</v>
      </c>
      <c r="CV821" t="s">
        <v>163</v>
      </c>
      <c r="CW821">
        <v>582</v>
      </c>
    </row>
    <row r="822" spans="1:101" x14ac:dyDescent="0.2">
      <c r="A822" t="s">
        <v>106</v>
      </c>
      <c r="B822" s="46">
        <v>45269</v>
      </c>
      <c r="C822" t="s">
        <v>1866</v>
      </c>
      <c r="D822" t="s">
        <v>108</v>
      </c>
      <c r="E822" t="s">
        <v>1867</v>
      </c>
      <c r="F822" t="s">
        <v>110</v>
      </c>
      <c r="G822" t="s">
        <v>111</v>
      </c>
      <c r="H822" t="s">
        <v>112</v>
      </c>
      <c r="I822" t="s">
        <v>112</v>
      </c>
      <c r="J822" t="s">
        <v>112</v>
      </c>
      <c r="K822" t="s">
        <v>150</v>
      </c>
      <c r="L822" t="s">
        <v>151</v>
      </c>
      <c r="M822" t="s">
        <v>112</v>
      </c>
      <c r="N822" t="s">
        <v>112</v>
      </c>
      <c r="O822">
        <v>1</v>
      </c>
      <c r="Q822">
        <v>1</v>
      </c>
      <c r="R822">
        <v>33</v>
      </c>
      <c r="S822" t="s">
        <v>112</v>
      </c>
      <c r="T822" t="s">
        <v>152</v>
      </c>
      <c r="U822" t="s">
        <v>153</v>
      </c>
      <c r="V822" t="s">
        <v>154</v>
      </c>
      <c r="W822" t="s">
        <v>119</v>
      </c>
      <c r="X822" t="s">
        <v>112</v>
      </c>
      <c r="Y822" t="s">
        <v>112</v>
      </c>
      <c r="Z822" t="s">
        <v>152</v>
      </c>
      <c r="AA822" t="s">
        <v>153</v>
      </c>
      <c r="AB822" t="s">
        <v>154</v>
      </c>
      <c r="AC822" t="s">
        <v>119</v>
      </c>
      <c r="AD822" t="s">
        <v>112</v>
      </c>
      <c r="AE822" t="s">
        <v>121</v>
      </c>
      <c r="AF822" t="s">
        <v>122</v>
      </c>
      <c r="AG822">
        <v>4690829.34</v>
      </c>
      <c r="AH822" t="s">
        <v>112</v>
      </c>
      <c r="AI822" t="s">
        <v>152</v>
      </c>
      <c r="AJ822" t="s">
        <v>153</v>
      </c>
      <c r="AK822" t="s">
        <v>154</v>
      </c>
      <c r="AL822" t="s">
        <v>119</v>
      </c>
      <c r="AM822" t="s">
        <v>112</v>
      </c>
      <c r="AN822" t="s">
        <v>121</v>
      </c>
      <c r="AO822" t="s">
        <v>122</v>
      </c>
      <c r="AP822" t="s">
        <v>122</v>
      </c>
      <c r="AQ822" t="s">
        <v>124</v>
      </c>
      <c r="AR822" t="s">
        <v>125</v>
      </c>
      <c r="AS822">
        <v>2</v>
      </c>
      <c r="AT822" t="s">
        <v>126</v>
      </c>
      <c r="AU822" t="s">
        <v>155</v>
      </c>
      <c r="AV822" t="s">
        <v>156</v>
      </c>
      <c r="AX822" t="s">
        <v>129</v>
      </c>
      <c r="AY822">
        <v>40585.32</v>
      </c>
      <c r="BB822">
        <v>104.90430000000001</v>
      </c>
      <c r="BC822" t="s">
        <v>112</v>
      </c>
      <c r="BD822" t="s">
        <v>112</v>
      </c>
      <c r="BE822" t="s">
        <v>157</v>
      </c>
      <c r="BF822" t="s">
        <v>133</v>
      </c>
      <c r="BG822" t="s">
        <v>134</v>
      </c>
      <c r="BH822" t="s">
        <v>112</v>
      </c>
      <c r="BI822" t="s">
        <v>112</v>
      </c>
      <c r="BJ822" t="s">
        <v>112</v>
      </c>
      <c r="BK822" t="s">
        <v>169</v>
      </c>
      <c r="BL822" t="s">
        <v>159</v>
      </c>
      <c r="BM822" t="s">
        <v>212</v>
      </c>
      <c r="BN822" t="s">
        <v>161</v>
      </c>
      <c r="BP822" t="s">
        <v>162</v>
      </c>
      <c r="BR822" t="s">
        <v>150</v>
      </c>
      <c r="BS822">
        <v>33</v>
      </c>
      <c r="BT822">
        <v>0</v>
      </c>
      <c r="BU822">
        <v>0</v>
      </c>
      <c r="BW822">
        <v>0</v>
      </c>
      <c r="BY822" t="s">
        <v>106</v>
      </c>
      <c r="BZ822" t="s">
        <v>142</v>
      </c>
      <c r="CA822" t="s">
        <v>112</v>
      </c>
      <c r="CB822" t="s">
        <v>112</v>
      </c>
      <c r="CC822" t="s">
        <v>121</v>
      </c>
      <c r="CD822">
        <v>15579.46</v>
      </c>
      <c r="CE822" t="s">
        <v>144</v>
      </c>
      <c r="CF822">
        <v>4000000</v>
      </c>
      <c r="CG822">
        <v>15371.86</v>
      </c>
      <c r="CH822">
        <v>0</v>
      </c>
      <c r="CI822" t="s">
        <v>112</v>
      </c>
      <c r="CJ822" t="s">
        <v>112</v>
      </c>
      <c r="CK822">
        <v>40585.32</v>
      </c>
      <c r="CM822">
        <v>0</v>
      </c>
      <c r="CN822">
        <v>1</v>
      </c>
      <c r="CO822">
        <v>4690829.34</v>
      </c>
      <c r="CP822">
        <v>48092.18</v>
      </c>
      <c r="CQ822" t="s">
        <v>145</v>
      </c>
      <c r="CR822">
        <v>48113.921800000004</v>
      </c>
      <c r="CS822">
        <v>3.13</v>
      </c>
      <c r="CT822">
        <v>45</v>
      </c>
      <c r="CV822" t="s">
        <v>163</v>
      </c>
      <c r="CW822">
        <v>157</v>
      </c>
    </row>
    <row r="823" spans="1:101" x14ac:dyDescent="0.2">
      <c r="A823" t="s">
        <v>106</v>
      </c>
      <c r="B823" s="46">
        <v>45270</v>
      </c>
      <c r="C823" t="s">
        <v>1874</v>
      </c>
      <c r="D823" t="s">
        <v>108</v>
      </c>
      <c r="E823" t="s">
        <v>1875</v>
      </c>
      <c r="F823" t="s">
        <v>110</v>
      </c>
      <c r="G823" t="s">
        <v>111</v>
      </c>
      <c r="H823" t="s">
        <v>112</v>
      </c>
      <c r="I823" t="s">
        <v>112</v>
      </c>
      <c r="J823" t="s">
        <v>112</v>
      </c>
      <c r="K823" t="s">
        <v>150</v>
      </c>
      <c r="L823" t="s">
        <v>151</v>
      </c>
      <c r="M823" t="s">
        <v>112</v>
      </c>
      <c r="N823" t="s">
        <v>112</v>
      </c>
      <c r="O823">
        <v>1</v>
      </c>
      <c r="Q823">
        <v>1</v>
      </c>
      <c r="R823">
        <v>33</v>
      </c>
      <c r="S823" t="s">
        <v>112</v>
      </c>
      <c r="T823" t="s">
        <v>152</v>
      </c>
      <c r="U823" t="s">
        <v>153</v>
      </c>
      <c r="V823" t="s">
        <v>154</v>
      </c>
      <c r="W823" t="s">
        <v>119</v>
      </c>
      <c r="X823" t="s">
        <v>112</v>
      </c>
      <c r="Y823" t="s">
        <v>112</v>
      </c>
      <c r="Z823" t="s">
        <v>152</v>
      </c>
      <c r="AA823" t="s">
        <v>153</v>
      </c>
      <c r="AB823" t="s">
        <v>154</v>
      </c>
      <c r="AC823" t="s">
        <v>119</v>
      </c>
      <c r="AD823" t="s">
        <v>112</v>
      </c>
      <c r="AE823" t="s">
        <v>121</v>
      </c>
      <c r="AF823" t="s">
        <v>122</v>
      </c>
      <c r="AG823">
        <v>4643697.9400000004</v>
      </c>
      <c r="AH823" t="s">
        <v>112</v>
      </c>
      <c r="AI823" t="s">
        <v>152</v>
      </c>
      <c r="AJ823" t="s">
        <v>153</v>
      </c>
      <c r="AK823" t="s">
        <v>154</v>
      </c>
      <c r="AL823" t="s">
        <v>119</v>
      </c>
      <c r="AM823" t="s">
        <v>112</v>
      </c>
      <c r="AN823" t="s">
        <v>121</v>
      </c>
      <c r="AO823" t="s">
        <v>122</v>
      </c>
      <c r="AP823" t="s">
        <v>122</v>
      </c>
      <c r="AQ823" t="s">
        <v>124</v>
      </c>
      <c r="AR823" t="s">
        <v>125</v>
      </c>
      <c r="AS823">
        <v>2</v>
      </c>
      <c r="AT823" t="s">
        <v>126</v>
      </c>
      <c r="AU823" t="s">
        <v>155</v>
      </c>
      <c r="AV823" t="s">
        <v>156</v>
      </c>
      <c r="AX823" t="s">
        <v>129</v>
      </c>
      <c r="AY823">
        <v>40136.04</v>
      </c>
      <c r="BB823">
        <v>104.90430000000001</v>
      </c>
      <c r="BC823" t="s">
        <v>112</v>
      </c>
      <c r="BD823" t="s">
        <v>112</v>
      </c>
      <c r="BE823" t="s">
        <v>157</v>
      </c>
      <c r="BF823" t="s">
        <v>133</v>
      </c>
      <c r="BG823" t="s">
        <v>167</v>
      </c>
      <c r="BH823" t="s">
        <v>112</v>
      </c>
      <c r="BI823" t="s">
        <v>112</v>
      </c>
      <c r="BJ823" t="s">
        <v>112</v>
      </c>
      <c r="BK823" t="s">
        <v>169</v>
      </c>
      <c r="BL823" t="s">
        <v>159</v>
      </c>
      <c r="BM823" t="s">
        <v>160</v>
      </c>
      <c r="BN823" t="s">
        <v>161</v>
      </c>
      <c r="BP823" t="s">
        <v>162</v>
      </c>
      <c r="BR823" t="s">
        <v>150</v>
      </c>
      <c r="BS823">
        <v>33</v>
      </c>
      <c r="BT823">
        <v>0</v>
      </c>
      <c r="BU823">
        <v>0</v>
      </c>
      <c r="BW823">
        <v>0</v>
      </c>
      <c r="BY823" t="s">
        <v>106</v>
      </c>
      <c r="BZ823" t="s">
        <v>142</v>
      </c>
      <c r="CA823" t="s">
        <v>112</v>
      </c>
      <c r="CB823" t="s">
        <v>112</v>
      </c>
      <c r="CC823" t="s">
        <v>121</v>
      </c>
      <c r="CD823">
        <v>17176.57</v>
      </c>
      <c r="CE823" t="s">
        <v>144</v>
      </c>
      <c r="CF823">
        <v>4000000</v>
      </c>
      <c r="CG823">
        <v>17154.97</v>
      </c>
      <c r="CH823">
        <v>0</v>
      </c>
      <c r="CI823" t="s">
        <v>112</v>
      </c>
      <c r="CJ823" t="s">
        <v>112</v>
      </c>
      <c r="CK823">
        <v>40136.04</v>
      </c>
      <c r="CM823">
        <v>0</v>
      </c>
      <c r="CN823">
        <v>1</v>
      </c>
      <c r="CO823">
        <v>4643697.9400000004</v>
      </c>
      <c r="CP823">
        <v>47608.97</v>
      </c>
      <c r="CQ823" t="s">
        <v>145</v>
      </c>
      <c r="CR823">
        <v>47690.816599999998</v>
      </c>
      <c r="CS823">
        <v>2.78</v>
      </c>
      <c r="CT823">
        <v>45</v>
      </c>
      <c r="CV823" t="s">
        <v>163</v>
      </c>
      <c r="CW823">
        <v>557</v>
      </c>
    </row>
    <row r="824" spans="1:101" x14ac:dyDescent="0.2">
      <c r="A824" t="s">
        <v>106</v>
      </c>
      <c r="B824" s="46">
        <v>45010</v>
      </c>
      <c r="C824" t="s">
        <v>1868</v>
      </c>
      <c r="D824" t="s">
        <v>108</v>
      </c>
      <c r="E824" t="s">
        <v>1869</v>
      </c>
      <c r="F824" t="s">
        <v>110</v>
      </c>
      <c r="G824" t="s">
        <v>111</v>
      </c>
      <c r="H824" t="s">
        <v>112</v>
      </c>
      <c r="I824" t="s">
        <v>112</v>
      </c>
      <c r="J824" t="s">
        <v>112</v>
      </c>
      <c r="K824" t="s">
        <v>150</v>
      </c>
      <c r="L824" t="s">
        <v>151</v>
      </c>
      <c r="M824" t="s">
        <v>112</v>
      </c>
      <c r="N824" t="s">
        <v>112</v>
      </c>
      <c r="O824">
        <v>1</v>
      </c>
      <c r="Q824">
        <v>1</v>
      </c>
      <c r="R824">
        <v>33</v>
      </c>
      <c r="S824" t="s">
        <v>112</v>
      </c>
      <c r="T824" t="s">
        <v>152</v>
      </c>
      <c r="U824" t="s">
        <v>153</v>
      </c>
      <c r="V824" t="s">
        <v>154</v>
      </c>
      <c r="W824" t="s">
        <v>119</v>
      </c>
      <c r="X824" t="s">
        <v>112</v>
      </c>
      <c r="Y824" t="s">
        <v>112</v>
      </c>
      <c r="Z824" t="s">
        <v>152</v>
      </c>
      <c r="AA824" t="s">
        <v>153</v>
      </c>
      <c r="AB824" t="s">
        <v>154</v>
      </c>
      <c r="AC824" t="s">
        <v>119</v>
      </c>
      <c r="AD824" t="s">
        <v>112</v>
      </c>
      <c r="AE824" t="s">
        <v>121</v>
      </c>
      <c r="AF824" t="s">
        <v>122</v>
      </c>
      <c r="AG824">
        <v>4605395.28</v>
      </c>
      <c r="AH824" t="s">
        <v>112</v>
      </c>
      <c r="AI824" t="s">
        <v>152</v>
      </c>
      <c r="AJ824" t="s">
        <v>153</v>
      </c>
      <c r="AK824" t="s">
        <v>154</v>
      </c>
      <c r="AL824" t="s">
        <v>119</v>
      </c>
      <c r="AM824" t="s">
        <v>112</v>
      </c>
      <c r="AN824" t="s">
        <v>121</v>
      </c>
      <c r="AO824" t="s">
        <v>122</v>
      </c>
      <c r="AP824" t="s">
        <v>122</v>
      </c>
      <c r="AQ824" t="s">
        <v>124</v>
      </c>
      <c r="AR824" t="s">
        <v>125</v>
      </c>
      <c r="AS824">
        <v>2</v>
      </c>
      <c r="AT824" t="s">
        <v>126</v>
      </c>
      <c r="AU824" t="s">
        <v>155</v>
      </c>
      <c r="AV824" t="s">
        <v>156</v>
      </c>
      <c r="AX824" t="s">
        <v>129</v>
      </c>
      <c r="AY824">
        <v>39770.92</v>
      </c>
      <c r="BB824">
        <v>104.90430000000001</v>
      </c>
      <c r="BC824" t="s">
        <v>112</v>
      </c>
      <c r="BD824" t="s">
        <v>112</v>
      </c>
      <c r="BE824" t="s">
        <v>157</v>
      </c>
      <c r="BF824" t="s">
        <v>133</v>
      </c>
      <c r="BG824" t="s">
        <v>167</v>
      </c>
      <c r="BH824" t="s">
        <v>112</v>
      </c>
      <c r="BI824" t="s">
        <v>112</v>
      </c>
      <c r="BJ824" t="s">
        <v>112</v>
      </c>
      <c r="BK824" t="s">
        <v>169</v>
      </c>
      <c r="BL824" t="s">
        <v>159</v>
      </c>
      <c r="BM824" t="s">
        <v>160</v>
      </c>
      <c r="BN824" t="s">
        <v>161</v>
      </c>
      <c r="BP824" t="s">
        <v>205</v>
      </c>
      <c r="BR824" t="s">
        <v>150</v>
      </c>
      <c r="BS824">
        <v>33</v>
      </c>
      <c r="BT824">
        <v>0</v>
      </c>
      <c r="BU824">
        <v>0</v>
      </c>
      <c r="BW824">
        <v>0</v>
      </c>
      <c r="BY824" t="s">
        <v>106</v>
      </c>
      <c r="BZ824" t="s">
        <v>142</v>
      </c>
      <c r="CA824" t="s">
        <v>112</v>
      </c>
      <c r="CB824" t="s">
        <v>112</v>
      </c>
      <c r="CC824" t="s">
        <v>121</v>
      </c>
      <c r="CD824">
        <v>16759.71</v>
      </c>
      <c r="CE824" t="s">
        <v>144</v>
      </c>
      <c r="CF824">
        <v>4000000</v>
      </c>
      <c r="CG824">
        <v>16694.91</v>
      </c>
      <c r="CH824">
        <v>0</v>
      </c>
      <c r="CI824" t="s">
        <v>112</v>
      </c>
      <c r="CJ824" t="s">
        <v>112</v>
      </c>
      <c r="CK824">
        <v>39770.92</v>
      </c>
      <c r="CM824">
        <v>0</v>
      </c>
      <c r="CN824">
        <v>1</v>
      </c>
      <c r="CO824">
        <v>4605395.28</v>
      </c>
      <c r="CP824">
        <v>47216.28</v>
      </c>
      <c r="CQ824" t="s">
        <v>145</v>
      </c>
      <c r="CR824">
        <v>47246.595300000001</v>
      </c>
      <c r="CS824">
        <v>2.83</v>
      </c>
      <c r="CT824">
        <v>45</v>
      </c>
      <c r="CV824" t="s">
        <v>233</v>
      </c>
      <c r="CW824">
        <v>299</v>
      </c>
    </row>
    <row r="825" spans="1:101" x14ac:dyDescent="0.2">
      <c r="A825" t="s">
        <v>106</v>
      </c>
      <c r="B825" s="46">
        <v>45030</v>
      </c>
      <c r="C825" t="s">
        <v>1421</v>
      </c>
      <c r="D825" t="s">
        <v>108</v>
      </c>
      <c r="E825" t="s">
        <v>1422</v>
      </c>
      <c r="F825" t="s">
        <v>110</v>
      </c>
      <c r="G825" t="s">
        <v>111</v>
      </c>
      <c r="H825" t="s">
        <v>112</v>
      </c>
      <c r="I825" t="s">
        <v>112</v>
      </c>
      <c r="J825" t="s">
        <v>112</v>
      </c>
      <c r="K825" t="s">
        <v>150</v>
      </c>
      <c r="L825" t="s">
        <v>1405</v>
      </c>
      <c r="M825" t="s">
        <v>112</v>
      </c>
      <c r="N825" t="s">
        <v>112</v>
      </c>
      <c r="O825">
        <v>1</v>
      </c>
      <c r="Q825">
        <v>1</v>
      </c>
      <c r="R825">
        <v>33</v>
      </c>
      <c r="S825" t="s">
        <v>166</v>
      </c>
      <c r="T825" t="s">
        <v>152</v>
      </c>
      <c r="U825" t="s">
        <v>153</v>
      </c>
      <c r="V825" t="s">
        <v>154</v>
      </c>
      <c r="W825" t="s">
        <v>119</v>
      </c>
      <c r="X825" t="s">
        <v>112</v>
      </c>
      <c r="Y825" t="s">
        <v>166</v>
      </c>
      <c r="Z825" t="s">
        <v>152</v>
      </c>
      <c r="AA825" t="s">
        <v>153</v>
      </c>
      <c r="AB825" t="s">
        <v>154</v>
      </c>
      <c r="AC825" t="s">
        <v>119</v>
      </c>
      <c r="AD825" t="s">
        <v>112</v>
      </c>
      <c r="AE825" t="s">
        <v>121</v>
      </c>
      <c r="AF825" t="s">
        <v>122</v>
      </c>
      <c r="AG825">
        <v>5233012.51</v>
      </c>
      <c r="AH825" t="s">
        <v>166</v>
      </c>
      <c r="AI825" t="s">
        <v>152</v>
      </c>
      <c r="AJ825" t="s">
        <v>153</v>
      </c>
      <c r="AK825" t="s">
        <v>154</v>
      </c>
      <c r="AL825" t="s">
        <v>119</v>
      </c>
      <c r="AM825" t="s">
        <v>112</v>
      </c>
      <c r="AN825" t="s">
        <v>121</v>
      </c>
      <c r="AO825" t="s">
        <v>122</v>
      </c>
      <c r="AP825" t="s">
        <v>122</v>
      </c>
      <c r="AQ825" t="s">
        <v>124</v>
      </c>
      <c r="AR825" t="s">
        <v>125</v>
      </c>
      <c r="AS825">
        <v>2</v>
      </c>
      <c r="AT825" t="s">
        <v>126</v>
      </c>
      <c r="AU825" t="s">
        <v>155</v>
      </c>
      <c r="AV825" t="s">
        <v>156</v>
      </c>
      <c r="AW825">
        <v>1</v>
      </c>
      <c r="AX825" t="s">
        <v>129</v>
      </c>
      <c r="AY825">
        <v>49043.24</v>
      </c>
      <c r="AZ825">
        <v>4826561</v>
      </c>
      <c r="BA825">
        <v>57927.040000000001</v>
      </c>
      <c r="BB825">
        <v>98.414400000000001</v>
      </c>
      <c r="BC825" t="s">
        <v>130</v>
      </c>
      <c r="BD825" t="s">
        <v>112</v>
      </c>
      <c r="BE825" t="s">
        <v>157</v>
      </c>
      <c r="BF825" t="s">
        <v>133</v>
      </c>
      <c r="BG825" t="s">
        <v>134</v>
      </c>
      <c r="BH825" t="s">
        <v>112</v>
      </c>
      <c r="BI825" t="s">
        <v>112</v>
      </c>
      <c r="BJ825" t="s">
        <v>112</v>
      </c>
      <c r="BK825" t="s">
        <v>169</v>
      </c>
      <c r="BL825" t="s">
        <v>159</v>
      </c>
      <c r="BM825" t="s">
        <v>726</v>
      </c>
      <c r="BN825" t="s">
        <v>161</v>
      </c>
      <c r="BO825">
        <v>1</v>
      </c>
      <c r="BP825" t="s">
        <v>1423</v>
      </c>
      <c r="BR825" t="s">
        <v>150</v>
      </c>
      <c r="BS825">
        <v>33</v>
      </c>
      <c r="BY825" t="s">
        <v>106</v>
      </c>
      <c r="BZ825" t="s">
        <v>142</v>
      </c>
      <c r="CA825" t="s">
        <v>112</v>
      </c>
      <c r="CB825" t="s">
        <v>112</v>
      </c>
      <c r="CC825" t="s">
        <v>121</v>
      </c>
      <c r="CD825">
        <v>16292.48</v>
      </c>
      <c r="CE825" t="s">
        <v>144</v>
      </c>
      <c r="CF825">
        <v>4000000</v>
      </c>
      <c r="CG825">
        <v>16202.49</v>
      </c>
      <c r="CI825" t="s">
        <v>112</v>
      </c>
      <c r="CJ825" t="s">
        <v>112</v>
      </c>
      <c r="CK825">
        <v>49043.24</v>
      </c>
      <c r="CL825">
        <v>4826561</v>
      </c>
      <c r="CM825">
        <v>0</v>
      </c>
      <c r="CN825">
        <v>1</v>
      </c>
      <c r="CO825">
        <v>5233012.51</v>
      </c>
      <c r="CP825">
        <v>57927.040000000001</v>
      </c>
      <c r="CQ825" t="s">
        <v>145</v>
      </c>
      <c r="CR825">
        <v>58004.914199999999</v>
      </c>
      <c r="CS825">
        <v>3.58</v>
      </c>
      <c r="CT825">
        <v>45</v>
      </c>
      <c r="CU825" t="s">
        <v>171</v>
      </c>
      <c r="CV825" t="s">
        <v>172</v>
      </c>
      <c r="CW825">
        <v>109</v>
      </c>
    </row>
    <row r="826" spans="1:101" x14ac:dyDescent="0.2">
      <c r="A826" t="s">
        <v>106</v>
      </c>
      <c r="B826" s="46">
        <v>45105</v>
      </c>
      <c r="C826" t="s">
        <v>1427</v>
      </c>
      <c r="D826" t="s">
        <v>108</v>
      </c>
      <c r="E826" t="s">
        <v>1428</v>
      </c>
      <c r="F826" t="s">
        <v>110</v>
      </c>
      <c r="G826" t="s">
        <v>111</v>
      </c>
      <c r="H826" t="s">
        <v>112</v>
      </c>
      <c r="I826" t="s">
        <v>112</v>
      </c>
      <c r="J826" t="s">
        <v>112</v>
      </c>
      <c r="K826" t="s">
        <v>150</v>
      </c>
      <c r="L826" t="s">
        <v>1405</v>
      </c>
      <c r="M826" t="s">
        <v>112</v>
      </c>
      <c r="N826" t="s">
        <v>112</v>
      </c>
      <c r="O826">
        <v>1</v>
      </c>
      <c r="P826">
        <v>0</v>
      </c>
      <c r="Q826">
        <v>1</v>
      </c>
      <c r="R826">
        <v>33</v>
      </c>
      <c r="S826" t="s">
        <v>166</v>
      </c>
      <c r="T826" t="s">
        <v>152</v>
      </c>
      <c r="U826" t="s">
        <v>153</v>
      </c>
      <c r="V826" t="s">
        <v>154</v>
      </c>
      <c r="W826" t="s">
        <v>119</v>
      </c>
      <c r="X826" t="s">
        <v>112</v>
      </c>
      <c r="Y826" t="s">
        <v>166</v>
      </c>
      <c r="Z826" t="s">
        <v>152</v>
      </c>
      <c r="AA826" t="s">
        <v>153</v>
      </c>
      <c r="AB826" t="s">
        <v>154</v>
      </c>
      <c r="AC826" t="s">
        <v>119</v>
      </c>
      <c r="AD826" t="s">
        <v>112</v>
      </c>
      <c r="AE826" t="s">
        <v>121</v>
      </c>
      <c r="AF826" t="s">
        <v>122</v>
      </c>
      <c r="AG826">
        <v>4655229.4400000004</v>
      </c>
      <c r="AH826" t="s">
        <v>166</v>
      </c>
      <c r="AI826" t="s">
        <v>152</v>
      </c>
      <c r="AJ826" t="s">
        <v>153</v>
      </c>
      <c r="AK826" t="s">
        <v>154</v>
      </c>
      <c r="AL826" t="s">
        <v>119</v>
      </c>
      <c r="AM826" t="s">
        <v>112</v>
      </c>
      <c r="AN826" t="s">
        <v>121</v>
      </c>
      <c r="AO826" t="s">
        <v>122</v>
      </c>
      <c r="AP826" t="s">
        <v>122</v>
      </c>
      <c r="AQ826" t="s">
        <v>124</v>
      </c>
      <c r="AR826" t="s">
        <v>125</v>
      </c>
      <c r="AS826">
        <v>2</v>
      </c>
      <c r="AT826" t="s">
        <v>126</v>
      </c>
      <c r="AU826" t="s">
        <v>155</v>
      </c>
      <c r="AV826" t="s">
        <v>156</v>
      </c>
      <c r="AW826">
        <v>1</v>
      </c>
      <c r="AX826" t="s">
        <v>129</v>
      </c>
      <c r="AY826">
        <v>42472.32</v>
      </c>
      <c r="AZ826">
        <v>4179888</v>
      </c>
      <c r="BA826">
        <v>51531.24</v>
      </c>
      <c r="BB826">
        <v>98.414400000000001</v>
      </c>
      <c r="BC826" t="s">
        <v>130</v>
      </c>
      <c r="BD826" t="s">
        <v>112</v>
      </c>
      <c r="BE826" t="s">
        <v>157</v>
      </c>
      <c r="BF826" t="s">
        <v>133</v>
      </c>
      <c r="BG826" t="s">
        <v>134</v>
      </c>
      <c r="BH826" t="s">
        <v>112</v>
      </c>
      <c r="BI826" t="s">
        <v>112</v>
      </c>
      <c r="BJ826" t="s">
        <v>112</v>
      </c>
      <c r="BK826" t="s">
        <v>169</v>
      </c>
      <c r="BL826" t="s">
        <v>159</v>
      </c>
      <c r="BM826" t="s">
        <v>722</v>
      </c>
      <c r="BN826" t="s">
        <v>161</v>
      </c>
      <c r="BO826">
        <v>1</v>
      </c>
      <c r="BP826" t="s">
        <v>1429</v>
      </c>
      <c r="BR826" t="s">
        <v>150</v>
      </c>
      <c r="BS826">
        <v>33</v>
      </c>
      <c r="BT826">
        <v>0</v>
      </c>
      <c r="BU826">
        <v>0</v>
      </c>
      <c r="BW826">
        <v>0</v>
      </c>
      <c r="BY826" t="s">
        <v>106</v>
      </c>
      <c r="BZ826" t="s">
        <v>142</v>
      </c>
      <c r="CA826" t="s">
        <v>112</v>
      </c>
      <c r="CB826" t="s">
        <v>112</v>
      </c>
      <c r="CC826" t="s">
        <v>121</v>
      </c>
      <c r="CD826">
        <v>16646.95</v>
      </c>
      <c r="CE826" t="s">
        <v>144</v>
      </c>
      <c r="CF826">
        <v>4000000</v>
      </c>
      <c r="CG826">
        <v>16571.349999999999</v>
      </c>
      <c r="CH826">
        <v>0</v>
      </c>
      <c r="CI826" t="s">
        <v>112</v>
      </c>
      <c r="CJ826" t="s">
        <v>112</v>
      </c>
      <c r="CK826">
        <v>42472.32</v>
      </c>
      <c r="CL826">
        <v>4179888</v>
      </c>
      <c r="CM826">
        <v>0</v>
      </c>
      <c r="CN826">
        <v>1</v>
      </c>
      <c r="CO826">
        <v>4655229.4400000004</v>
      </c>
      <c r="CP826">
        <v>51531.24</v>
      </c>
      <c r="CQ826" t="s">
        <v>145</v>
      </c>
      <c r="CR826">
        <v>51536.898499999996</v>
      </c>
      <c r="CS826">
        <v>3.11</v>
      </c>
      <c r="CT826">
        <v>45</v>
      </c>
      <c r="CU826" t="s">
        <v>171</v>
      </c>
      <c r="CV826" t="s">
        <v>463</v>
      </c>
      <c r="CW826">
        <v>278</v>
      </c>
    </row>
    <row r="827" spans="1:101" x14ac:dyDescent="0.2">
      <c r="A827" t="s">
        <v>106</v>
      </c>
      <c r="B827" s="46">
        <v>45111</v>
      </c>
      <c r="C827" t="s">
        <v>1430</v>
      </c>
      <c r="D827" t="s">
        <v>108</v>
      </c>
      <c r="E827" t="s">
        <v>1431</v>
      </c>
      <c r="F827" t="s">
        <v>110</v>
      </c>
      <c r="G827" t="s">
        <v>111</v>
      </c>
      <c r="H827" t="s">
        <v>112</v>
      </c>
      <c r="I827" t="s">
        <v>112</v>
      </c>
      <c r="J827" t="s">
        <v>112</v>
      </c>
      <c r="K827" t="s">
        <v>150</v>
      </c>
      <c r="L827" t="s">
        <v>1405</v>
      </c>
      <c r="M827" t="s">
        <v>112</v>
      </c>
      <c r="N827" t="s">
        <v>112</v>
      </c>
      <c r="O827">
        <v>1</v>
      </c>
      <c r="P827">
        <v>0</v>
      </c>
      <c r="Q827">
        <v>1</v>
      </c>
      <c r="R827">
        <v>33</v>
      </c>
      <c r="S827" t="s">
        <v>166</v>
      </c>
      <c r="T827" t="s">
        <v>152</v>
      </c>
      <c r="U827" t="s">
        <v>153</v>
      </c>
      <c r="V827" t="s">
        <v>154</v>
      </c>
      <c r="W827" t="s">
        <v>119</v>
      </c>
      <c r="X827" t="s">
        <v>112</v>
      </c>
      <c r="Y827" t="s">
        <v>166</v>
      </c>
      <c r="Z827" t="s">
        <v>152</v>
      </c>
      <c r="AA827" t="s">
        <v>153</v>
      </c>
      <c r="AB827" t="s">
        <v>154</v>
      </c>
      <c r="AC827" t="s">
        <v>119</v>
      </c>
      <c r="AD827" t="s">
        <v>112</v>
      </c>
      <c r="AE827" t="s">
        <v>121</v>
      </c>
      <c r="AF827" t="s">
        <v>122</v>
      </c>
      <c r="AG827">
        <v>4877051.5599999996</v>
      </c>
      <c r="AH827" t="s">
        <v>166</v>
      </c>
      <c r="AI827" t="s">
        <v>152</v>
      </c>
      <c r="AJ827" t="s">
        <v>153</v>
      </c>
      <c r="AK827" t="s">
        <v>154</v>
      </c>
      <c r="AL827" t="s">
        <v>119</v>
      </c>
      <c r="AM827" t="s">
        <v>112</v>
      </c>
      <c r="AN827" t="s">
        <v>121</v>
      </c>
      <c r="AO827" t="s">
        <v>122</v>
      </c>
      <c r="AP827" t="s">
        <v>122</v>
      </c>
      <c r="AQ827" t="s">
        <v>124</v>
      </c>
      <c r="AR827" t="s">
        <v>125</v>
      </c>
      <c r="AS827">
        <v>2</v>
      </c>
      <c r="AT827" t="s">
        <v>126</v>
      </c>
      <c r="AU827" t="s">
        <v>155</v>
      </c>
      <c r="AV827" t="s">
        <v>156</v>
      </c>
      <c r="AW827">
        <v>1</v>
      </c>
      <c r="AX827" t="s">
        <v>129</v>
      </c>
      <c r="AY827">
        <v>45426.28</v>
      </c>
      <c r="AZ827">
        <v>4470600</v>
      </c>
      <c r="BA827">
        <v>53986.71</v>
      </c>
      <c r="BB827">
        <v>98.414400000000001</v>
      </c>
      <c r="BC827" t="s">
        <v>130</v>
      </c>
      <c r="BD827" t="s">
        <v>112</v>
      </c>
      <c r="BE827" t="s">
        <v>157</v>
      </c>
      <c r="BF827" t="s">
        <v>133</v>
      </c>
      <c r="BG827" t="s">
        <v>134</v>
      </c>
      <c r="BH827" t="s">
        <v>112</v>
      </c>
      <c r="BI827" t="s">
        <v>112</v>
      </c>
      <c r="BJ827" t="s">
        <v>112</v>
      </c>
      <c r="BK827" t="s">
        <v>169</v>
      </c>
      <c r="BL827" t="s">
        <v>159</v>
      </c>
      <c r="BM827" t="s">
        <v>722</v>
      </c>
      <c r="BN827" t="s">
        <v>161</v>
      </c>
      <c r="BO827">
        <v>1</v>
      </c>
      <c r="BP827" t="s">
        <v>1281</v>
      </c>
      <c r="BR827" t="s">
        <v>150</v>
      </c>
      <c r="BS827">
        <v>33</v>
      </c>
      <c r="BT827">
        <v>0</v>
      </c>
      <c r="BU827">
        <v>0</v>
      </c>
      <c r="BW827">
        <v>0</v>
      </c>
      <c r="BY827" t="s">
        <v>106</v>
      </c>
      <c r="BZ827" t="s">
        <v>142</v>
      </c>
      <c r="CA827" t="s">
        <v>112</v>
      </c>
      <c r="CB827" t="s">
        <v>112</v>
      </c>
      <c r="CC827" t="s">
        <v>121</v>
      </c>
      <c r="CD827">
        <v>16250.78</v>
      </c>
      <c r="CE827" t="s">
        <v>144</v>
      </c>
      <c r="CF827">
        <v>4000000</v>
      </c>
      <c r="CG827">
        <v>16106.78</v>
      </c>
      <c r="CH827">
        <v>0</v>
      </c>
      <c r="CI827" t="s">
        <v>112</v>
      </c>
      <c r="CJ827" t="s">
        <v>112</v>
      </c>
      <c r="CK827">
        <v>45426.28</v>
      </c>
      <c r="CL827">
        <v>4470600</v>
      </c>
      <c r="CM827">
        <v>0</v>
      </c>
      <c r="CN827">
        <v>1</v>
      </c>
      <c r="CO827">
        <v>4877051.5599999996</v>
      </c>
      <c r="CP827">
        <v>53986.71</v>
      </c>
      <c r="CQ827" t="s">
        <v>145</v>
      </c>
      <c r="CR827">
        <v>53957.713000000003</v>
      </c>
      <c r="CS827">
        <v>3.35</v>
      </c>
      <c r="CT827">
        <v>45</v>
      </c>
      <c r="CU827" t="s">
        <v>171</v>
      </c>
      <c r="CV827" t="s">
        <v>372</v>
      </c>
      <c r="CW827">
        <v>236</v>
      </c>
    </row>
    <row r="828" spans="1:101" x14ac:dyDescent="0.2">
      <c r="A828" t="s">
        <v>106</v>
      </c>
      <c r="B828" s="46">
        <v>44951</v>
      </c>
      <c r="C828" t="s">
        <v>1263</v>
      </c>
      <c r="D828" t="s">
        <v>108</v>
      </c>
      <c r="E828" t="s">
        <v>1264</v>
      </c>
      <c r="F828" t="s">
        <v>110</v>
      </c>
      <c r="G828" t="s">
        <v>111</v>
      </c>
      <c r="H828" t="s">
        <v>112</v>
      </c>
      <c r="I828" t="s">
        <v>112</v>
      </c>
      <c r="J828" t="s">
        <v>112</v>
      </c>
      <c r="K828" t="s">
        <v>150</v>
      </c>
      <c r="L828" t="s">
        <v>1036</v>
      </c>
      <c r="M828" t="s">
        <v>112</v>
      </c>
      <c r="N828" t="s">
        <v>112</v>
      </c>
      <c r="O828">
        <v>1</v>
      </c>
      <c r="P828">
        <v>0</v>
      </c>
      <c r="Q828">
        <v>1</v>
      </c>
      <c r="R828">
        <v>33</v>
      </c>
      <c r="S828" t="s">
        <v>166</v>
      </c>
      <c r="T828" t="s">
        <v>152</v>
      </c>
      <c r="U828" t="s">
        <v>153</v>
      </c>
      <c r="V828" t="s">
        <v>154</v>
      </c>
      <c r="W828" t="s">
        <v>119</v>
      </c>
      <c r="X828" t="s">
        <v>112</v>
      </c>
      <c r="Y828" t="s">
        <v>166</v>
      </c>
      <c r="Z828" t="s">
        <v>152</v>
      </c>
      <c r="AA828" t="s">
        <v>153</v>
      </c>
      <c r="AB828" t="s">
        <v>154</v>
      </c>
      <c r="AC828" t="s">
        <v>119</v>
      </c>
      <c r="AD828" t="s">
        <v>112</v>
      </c>
      <c r="AE828" t="s">
        <v>121</v>
      </c>
      <c r="AF828" t="s">
        <v>122</v>
      </c>
      <c r="AG828">
        <v>3786057.36</v>
      </c>
      <c r="AH828" t="s">
        <v>166</v>
      </c>
      <c r="AI828" t="s">
        <v>152</v>
      </c>
      <c r="AJ828" t="s">
        <v>153</v>
      </c>
      <c r="AK828" t="s">
        <v>154</v>
      </c>
      <c r="AL828" t="s">
        <v>119</v>
      </c>
      <c r="AM828" t="s">
        <v>112</v>
      </c>
      <c r="AN828" t="s">
        <v>121</v>
      </c>
      <c r="AO828" t="s">
        <v>122</v>
      </c>
      <c r="AP828" t="s">
        <v>122</v>
      </c>
      <c r="AQ828" t="s">
        <v>124</v>
      </c>
      <c r="AR828" t="s">
        <v>125</v>
      </c>
      <c r="AS828">
        <v>2</v>
      </c>
      <c r="AT828" t="s">
        <v>126</v>
      </c>
      <c r="AU828" t="s">
        <v>155</v>
      </c>
      <c r="AV828" t="s">
        <v>156</v>
      </c>
      <c r="AW828">
        <v>1</v>
      </c>
      <c r="AX828" t="s">
        <v>129</v>
      </c>
      <c r="AY828">
        <v>39372</v>
      </c>
      <c r="AZ828">
        <v>3426616</v>
      </c>
      <c r="BA828">
        <v>46552.14</v>
      </c>
      <c r="BB828">
        <v>87.031800000000004</v>
      </c>
      <c r="BC828" t="s">
        <v>130</v>
      </c>
      <c r="BD828" t="s">
        <v>112</v>
      </c>
      <c r="BE828" t="s">
        <v>157</v>
      </c>
      <c r="BF828" t="s">
        <v>133</v>
      </c>
      <c r="BG828" t="s">
        <v>134</v>
      </c>
      <c r="BH828" t="s">
        <v>112</v>
      </c>
      <c r="BI828" t="s">
        <v>112</v>
      </c>
      <c r="BJ828" t="s">
        <v>112</v>
      </c>
      <c r="BK828" t="s">
        <v>169</v>
      </c>
      <c r="BL828" t="s">
        <v>159</v>
      </c>
      <c r="BM828" t="s">
        <v>722</v>
      </c>
      <c r="BN828" t="s">
        <v>161</v>
      </c>
      <c r="BO828">
        <v>1</v>
      </c>
      <c r="BP828" t="s">
        <v>162</v>
      </c>
      <c r="BR828" t="s">
        <v>150</v>
      </c>
      <c r="BS828">
        <v>33</v>
      </c>
      <c r="BT828">
        <v>0</v>
      </c>
      <c r="BU828">
        <v>0</v>
      </c>
      <c r="BW828">
        <v>0</v>
      </c>
      <c r="BY828" t="s">
        <v>106</v>
      </c>
      <c r="BZ828" t="s">
        <v>142</v>
      </c>
      <c r="CA828" t="s">
        <v>112</v>
      </c>
      <c r="CB828" t="s">
        <v>112</v>
      </c>
      <c r="CC828" t="s">
        <v>121</v>
      </c>
      <c r="CD828">
        <v>16497.849999999999</v>
      </c>
      <c r="CE828" t="s">
        <v>144</v>
      </c>
      <c r="CF828">
        <v>4000000</v>
      </c>
      <c r="CG828">
        <v>16411.46</v>
      </c>
      <c r="CH828">
        <v>0</v>
      </c>
      <c r="CI828" t="s">
        <v>112</v>
      </c>
      <c r="CJ828" t="s">
        <v>112</v>
      </c>
      <c r="CK828">
        <v>39372</v>
      </c>
      <c r="CL828">
        <v>3426616</v>
      </c>
      <c r="CM828">
        <v>0</v>
      </c>
      <c r="CN828">
        <v>1</v>
      </c>
      <c r="CO828">
        <v>3786057.36</v>
      </c>
      <c r="CP828">
        <v>46552.14</v>
      </c>
      <c r="CQ828" t="s">
        <v>145</v>
      </c>
      <c r="CR828">
        <v>46608.546399999992</v>
      </c>
      <c r="CS828">
        <v>2.84</v>
      </c>
      <c r="CT828">
        <v>45</v>
      </c>
      <c r="CU828" t="s">
        <v>171</v>
      </c>
      <c r="CV828" t="s">
        <v>350</v>
      </c>
      <c r="CW828">
        <v>34</v>
      </c>
    </row>
    <row r="829" spans="1:101" x14ac:dyDescent="0.2">
      <c r="A829" t="s">
        <v>106</v>
      </c>
      <c r="B829" s="46">
        <v>45046</v>
      </c>
      <c r="C829" t="s">
        <v>1270</v>
      </c>
      <c r="D829" t="s">
        <v>108</v>
      </c>
      <c r="E829" t="s">
        <v>1271</v>
      </c>
      <c r="F829" t="s">
        <v>110</v>
      </c>
      <c r="G829" t="s">
        <v>111</v>
      </c>
      <c r="H829" t="s">
        <v>112</v>
      </c>
      <c r="I829" t="s">
        <v>112</v>
      </c>
      <c r="J829" t="s">
        <v>112</v>
      </c>
      <c r="K829" t="s">
        <v>150</v>
      </c>
      <c r="L829" t="s">
        <v>1036</v>
      </c>
      <c r="M829" t="s">
        <v>112</v>
      </c>
      <c r="N829" t="s">
        <v>112</v>
      </c>
      <c r="O829">
        <v>1</v>
      </c>
      <c r="P829">
        <v>0</v>
      </c>
      <c r="Q829">
        <v>1</v>
      </c>
      <c r="R829">
        <v>33</v>
      </c>
      <c r="S829" t="s">
        <v>166</v>
      </c>
      <c r="T829" t="s">
        <v>152</v>
      </c>
      <c r="U829" t="s">
        <v>153</v>
      </c>
      <c r="V829" t="s">
        <v>154</v>
      </c>
      <c r="W829" t="s">
        <v>119</v>
      </c>
      <c r="X829" t="s">
        <v>112</v>
      </c>
      <c r="Y829" t="s">
        <v>166</v>
      </c>
      <c r="Z829" t="s">
        <v>152</v>
      </c>
      <c r="AA829" t="s">
        <v>153</v>
      </c>
      <c r="AB829" t="s">
        <v>154</v>
      </c>
      <c r="AC829" t="s">
        <v>119</v>
      </c>
      <c r="AD829" t="s">
        <v>112</v>
      </c>
      <c r="AE829" t="s">
        <v>121</v>
      </c>
      <c r="AF829" t="s">
        <v>122</v>
      </c>
      <c r="AG829">
        <v>4063361.56</v>
      </c>
      <c r="AH829" t="s">
        <v>166</v>
      </c>
      <c r="AI829" t="s">
        <v>152</v>
      </c>
      <c r="AJ829" t="s">
        <v>153</v>
      </c>
      <c r="AK829" t="s">
        <v>154</v>
      </c>
      <c r="AL829" t="s">
        <v>119</v>
      </c>
      <c r="AM829" t="s">
        <v>112</v>
      </c>
      <c r="AN829" t="s">
        <v>121</v>
      </c>
      <c r="AO829" t="s">
        <v>122</v>
      </c>
      <c r="AP829" t="s">
        <v>122</v>
      </c>
      <c r="AQ829" t="s">
        <v>124</v>
      </c>
      <c r="AR829" t="s">
        <v>125</v>
      </c>
      <c r="AS829">
        <v>2</v>
      </c>
      <c r="AT829" t="s">
        <v>126</v>
      </c>
      <c r="AU829" t="s">
        <v>155</v>
      </c>
      <c r="AV829" t="s">
        <v>156</v>
      </c>
      <c r="AW829">
        <v>1</v>
      </c>
      <c r="AX829" t="s">
        <v>129</v>
      </c>
      <c r="AY829">
        <v>42558.239999999998</v>
      </c>
      <c r="AZ829">
        <v>3703920</v>
      </c>
      <c r="BA829">
        <v>49961.78</v>
      </c>
      <c r="BB829">
        <v>87.031800000000004</v>
      </c>
      <c r="BC829" t="s">
        <v>130</v>
      </c>
      <c r="BD829" t="s">
        <v>112</v>
      </c>
      <c r="BE829" t="s">
        <v>157</v>
      </c>
      <c r="BF829" t="s">
        <v>133</v>
      </c>
      <c r="BG829" t="s">
        <v>134</v>
      </c>
      <c r="BH829" t="s">
        <v>112</v>
      </c>
      <c r="BI829" t="s">
        <v>112</v>
      </c>
      <c r="BJ829" t="s">
        <v>112</v>
      </c>
      <c r="BK829" t="s">
        <v>169</v>
      </c>
      <c r="BL829" t="s">
        <v>159</v>
      </c>
      <c r="BM829" t="s">
        <v>722</v>
      </c>
      <c r="BN829" t="s">
        <v>161</v>
      </c>
      <c r="BO829">
        <v>1</v>
      </c>
      <c r="BP829" t="s">
        <v>162</v>
      </c>
      <c r="BR829" t="s">
        <v>150</v>
      </c>
      <c r="BS829">
        <v>33</v>
      </c>
      <c r="BT829">
        <v>0</v>
      </c>
      <c r="BU829">
        <v>0</v>
      </c>
      <c r="BW829">
        <v>0</v>
      </c>
      <c r="BY829" t="s">
        <v>106</v>
      </c>
      <c r="BZ829" t="s">
        <v>142</v>
      </c>
      <c r="CA829" t="s">
        <v>112</v>
      </c>
      <c r="CB829" t="s">
        <v>112</v>
      </c>
      <c r="CC829" t="s">
        <v>121</v>
      </c>
      <c r="CD829">
        <v>16972.39</v>
      </c>
      <c r="CE829" t="s">
        <v>144</v>
      </c>
      <c r="CF829">
        <v>4000000</v>
      </c>
      <c r="CG829">
        <v>16972.39</v>
      </c>
      <c r="CH829">
        <v>0</v>
      </c>
      <c r="CI829" t="s">
        <v>112</v>
      </c>
      <c r="CJ829" t="s">
        <v>112</v>
      </c>
      <c r="CK829">
        <v>42558.239999999998</v>
      </c>
      <c r="CL829">
        <v>3703920</v>
      </c>
      <c r="CM829">
        <v>0</v>
      </c>
      <c r="CN829">
        <v>1</v>
      </c>
      <c r="CO829">
        <v>4063361.56</v>
      </c>
      <c r="CP829">
        <v>49961.78</v>
      </c>
      <c r="CQ829" t="s">
        <v>145</v>
      </c>
      <c r="CR829">
        <v>49898.8266</v>
      </c>
      <c r="CS829">
        <v>2.94</v>
      </c>
      <c r="CT829">
        <v>45</v>
      </c>
      <c r="CU829" t="s">
        <v>171</v>
      </c>
      <c r="CV829" t="s">
        <v>350</v>
      </c>
      <c r="CW829">
        <v>319</v>
      </c>
    </row>
    <row r="830" spans="1:101" x14ac:dyDescent="0.2">
      <c r="A830" t="s">
        <v>106</v>
      </c>
      <c r="B830" s="46">
        <v>45072</v>
      </c>
      <c r="C830" t="s">
        <v>1267</v>
      </c>
      <c r="D830" t="s">
        <v>108</v>
      </c>
      <c r="E830" t="s">
        <v>1268</v>
      </c>
      <c r="F830" t="s">
        <v>110</v>
      </c>
      <c r="G830" t="s">
        <v>111</v>
      </c>
      <c r="H830" t="s">
        <v>112</v>
      </c>
      <c r="I830" t="s">
        <v>112</v>
      </c>
      <c r="J830" t="s">
        <v>112</v>
      </c>
      <c r="K830" t="s">
        <v>150</v>
      </c>
      <c r="L830" t="s">
        <v>1036</v>
      </c>
      <c r="M830" t="s">
        <v>112</v>
      </c>
      <c r="N830" t="s">
        <v>112</v>
      </c>
      <c r="O830">
        <v>1</v>
      </c>
      <c r="P830">
        <v>0</v>
      </c>
      <c r="Q830">
        <v>1</v>
      </c>
      <c r="R830">
        <v>33</v>
      </c>
      <c r="S830" t="s">
        <v>166</v>
      </c>
      <c r="T830" t="s">
        <v>152</v>
      </c>
      <c r="U830" t="s">
        <v>153</v>
      </c>
      <c r="V830" t="s">
        <v>154</v>
      </c>
      <c r="W830" t="s">
        <v>119</v>
      </c>
      <c r="X830" t="s">
        <v>112</v>
      </c>
      <c r="Y830" t="s">
        <v>166</v>
      </c>
      <c r="Z830" t="s">
        <v>152</v>
      </c>
      <c r="AA830" t="s">
        <v>153</v>
      </c>
      <c r="AB830" t="s">
        <v>154</v>
      </c>
      <c r="AC830" t="s">
        <v>119</v>
      </c>
      <c r="AD830" t="s">
        <v>112</v>
      </c>
      <c r="AE830" t="s">
        <v>121</v>
      </c>
      <c r="AF830" t="s">
        <v>122</v>
      </c>
      <c r="AG830">
        <v>4036238.97</v>
      </c>
      <c r="AH830" t="s">
        <v>166</v>
      </c>
      <c r="AI830" t="s">
        <v>152</v>
      </c>
      <c r="AJ830" t="s">
        <v>153</v>
      </c>
      <c r="AK830" t="s">
        <v>154</v>
      </c>
      <c r="AL830" t="s">
        <v>119</v>
      </c>
      <c r="AM830" t="s">
        <v>112</v>
      </c>
      <c r="AN830" t="s">
        <v>121</v>
      </c>
      <c r="AO830" t="s">
        <v>122</v>
      </c>
      <c r="AP830" t="s">
        <v>122</v>
      </c>
      <c r="AQ830" t="s">
        <v>124</v>
      </c>
      <c r="AR830" t="s">
        <v>125</v>
      </c>
      <c r="AS830">
        <v>2</v>
      </c>
      <c r="AT830" t="s">
        <v>126</v>
      </c>
      <c r="AU830" t="s">
        <v>155</v>
      </c>
      <c r="AV830" t="s">
        <v>156</v>
      </c>
      <c r="AW830">
        <v>1</v>
      </c>
      <c r="AX830" t="s">
        <v>129</v>
      </c>
      <c r="AY830">
        <v>42246.6</v>
      </c>
      <c r="AZ830">
        <v>3676798</v>
      </c>
      <c r="BA830">
        <v>49628.29</v>
      </c>
      <c r="BB830">
        <v>87.031800000000004</v>
      </c>
      <c r="BC830" t="s">
        <v>130</v>
      </c>
      <c r="BD830" t="s">
        <v>112</v>
      </c>
      <c r="BE830" t="s">
        <v>157</v>
      </c>
      <c r="BF830" t="s">
        <v>133</v>
      </c>
      <c r="BG830" t="s">
        <v>134</v>
      </c>
      <c r="BH830" t="s">
        <v>112</v>
      </c>
      <c r="BI830" t="s">
        <v>112</v>
      </c>
      <c r="BJ830" t="s">
        <v>112</v>
      </c>
      <c r="BK830" t="s">
        <v>169</v>
      </c>
      <c r="BL830" t="s">
        <v>159</v>
      </c>
      <c r="BM830" t="s">
        <v>722</v>
      </c>
      <c r="BN830" t="s">
        <v>161</v>
      </c>
      <c r="BO830">
        <v>1</v>
      </c>
      <c r="BP830" t="s">
        <v>1269</v>
      </c>
      <c r="BR830" t="s">
        <v>150</v>
      </c>
      <c r="BS830">
        <v>33</v>
      </c>
      <c r="BT830">
        <v>0</v>
      </c>
      <c r="BU830">
        <v>0</v>
      </c>
      <c r="BW830">
        <v>0</v>
      </c>
      <c r="BY830" t="s">
        <v>106</v>
      </c>
      <c r="BZ830" t="s">
        <v>142</v>
      </c>
      <c r="CA830" t="s">
        <v>112</v>
      </c>
      <c r="CB830" t="s">
        <v>112</v>
      </c>
      <c r="CC830" t="s">
        <v>121</v>
      </c>
      <c r="CD830">
        <v>17019.96</v>
      </c>
      <c r="CE830" t="s">
        <v>144</v>
      </c>
      <c r="CF830">
        <v>4000000</v>
      </c>
      <c r="CG830">
        <v>17019.96</v>
      </c>
      <c r="CH830">
        <v>0</v>
      </c>
      <c r="CI830" t="s">
        <v>112</v>
      </c>
      <c r="CJ830" t="s">
        <v>112</v>
      </c>
      <c r="CK830">
        <v>42246.6</v>
      </c>
      <c r="CL830">
        <v>3676798</v>
      </c>
      <c r="CM830">
        <v>0</v>
      </c>
      <c r="CN830">
        <v>1</v>
      </c>
      <c r="CO830">
        <v>4036238.97</v>
      </c>
      <c r="CP830">
        <v>49628.29</v>
      </c>
      <c r="CQ830" t="s">
        <v>145</v>
      </c>
      <c r="CR830">
        <v>49698.283199999998</v>
      </c>
      <c r="CS830">
        <v>2.92</v>
      </c>
      <c r="CT830">
        <v>45</v>
      </c>
      <c r="CU830" t="s">
        <v>171</v>
      </c>
      <c r="CV830" t="s">
        <v>372</v>
      </c>
      <c r="CW830">
        <v>298</v>
      </c>
    </row>
    <row r="831" spans="1:101" x14ac:dyDescent="0.2">
      <c r="A831" t="s">
        <v>106</v>
      </c>
      <c r="B831" s="46">
        <v>45231</v>
      </c>
      <c r="C831" t="s">
        <v>1265</v>
      </c>
      <c r="D831" t="s">
        <v>108</v>
      </c>
      <c r="E831" t="s">
        <v>1266</v>
      </c>
      <c r="F831" t="s">
        <v>110</v>
      </c>
      <c r="G831" t="s">
        <v>111</v>
      </c>
      <c r="H831" t="s">
        <v>112</v>
      </c>
      <c r="I831" t="s">
        <v>112</v>
      </c>
      <c r="J831" t="s">
        <v>112</v>
      </c>
      <c r="K831" t="s">
        <v>150</v>
      </c>
      <c r="L831" t="s">
        <v>1036</v>
      </c>
      <c r="M831" t="s">
        <v>112</v>
      </c>
      <c r="N831" t="s">
        <v>112</v>
      </c>
      <c r="O831">
        <v>1</v>
      </c>
      <c r="P831">
        <v>0</v>
      </c>
      <c r="Q831">
        <v>1</v>
      </c>
      <c r="R831">
        <v>33</v>
      </c>
      <c r="S831" t="s">
        <v>166</v>
      </c>
      <c r="T831" t="s">
        <v>152</v>
      </c>
      <c r="U831" t="s">
        <v>153</v>
      </c>
      <c r="V831" t="s">
        <v>154</v>
      </c>
      <c r="W831" t="s">
        <v>119</v>
      </c>
      <c r="X831" t="s">
        <v>112</v>
      </c>
      <c r="Y831" t="s">
        <v>166</v>
      </c>
      <c r="Z831" t="s">
        <v>152</v>
      </c>
      <c r="AA831" t="s">
        <v>153</v>
      </c>
      <c r="AB831" t="s">
        <v>154</v>
      </c>
      <c r="AC831" t="s">
        <v>119</v>
      </c>
      <c r="AD831" t="s">
        <v>112</v>
      </c>
      <c r="AE831" t="s">
        <v>121</v>
      </c>
      <c r="AF831" t="s">
        <v>122</v>
      </c>
      <c r="AG831">
        <v>4129651.94</v>
      </c>
      <c r="AH831" t="s">
        <v>166</v>
      </c>
      <c r="AI831" t="s">
        <v>152</v>
      </c>
      <c r="AJ831" t="s">
        <v>153</v>
      </c>
      <c r="AK831" t="s">
        <v>154</v>
      </c>
      <c r="AL831" t="s">
        <v>119</v>
      </c>
      <c r="AM831" t="s">
        <v>112</v>
      </c>
      <c r="AN831" t="s">
        <v>121</v>
      </c>
      <c r="AO831" t="s">
        <v>122</v>
      </c>
      <c r="AP831" t="s">
        <v>122</v>
      </c>
      <c r="AQ831" t="s">
        <v>124</v>
      </c>
      <c r="AR831" t="s">
        <v>125</v>
      </c>
      <c r="AS831">
        <v>2</v>
      </c>
      <c r="AT831" t="s">
        <v>126</v>
      </c>
      <c r="AU831" t="s">
        <v>155</v>
      </c>
      <c r="AV831" t="s">
        <v>156</v>
      </c>
      <c r="AW831">
        <v>1</v>
      </c>
      <c r="AX831" t="s">
        <v>129</v>
      </c>
      <c r="AY831">
        <v>43319.92</v>
      </c>
      <c r="AZ831">
        <v>3770211</v>
      </c>
      <c r="BA831">
        <v>50776.86</v>
      </c>
      <c r="BB831">
        <v>87.031800000000004</v>
      </c>
      <c r="BC831" t="s">
        <v>130</v>
      </c>
      <c r="BD831" t="s">
        <v>112</v>
      </c>
      <c r="BE831" t="s">
        <v>157</v>
      </c>
      <c r="BF831" t="s">
        <v>133</v>
      </c>
      <c r="BG831" t="s">
        <v>134</v>
      </c>
      <c r="BH831" t="s">
        <v>112</v>
      </c>
      <c r="BI831" t="s">
        <v>112</v>
      </c>
      <c r="BJ831" t="s">
        <v>112</v>
      </c>
      <c r="BK831" t="s">
        <v>169</v>
      </c>
      <c r="BL831" t="s">
        <v>159</v>
      </c>
      <c r="BM831" t="s">
        <v>722</v>
      </c>
      <c r="BN831" t="s">
        <v>161</v>
      </c>
      <c r="BO831">
        <v>1</v>
      </c>
      <c r="BP831" t="s">
        <v>536</v>
      </c>
      <c r="BR831" t="s">
        <v>150</v>
      </c>
      <c r="BS831">
        <v>33</v>
      </c>
      <c r="BT831">
        <v>0</v>
      </c>
      <c r="BU831">
        <v>0</v>
      </c>
      <c r="BW831">
        <v>0</v>
      </c>
      <c r="BY831" t="s">
        <v>106</v>
      </c>
      <c r="BZ831" t="s">
        <v>142</v>
      </c>
      <c r="CA831" t="s">
        <v>112</v>
      </c>
      <c r="CB831" t="s">
        <v>112</v>
      </c>
      <c r="CC831" t="s">
        <v>121</v>
      </c>
      <c r="CD831">
        <v>16699.78</v>
      </c>
      <c r="CE831" t="s">
        <v>144</v>
      </c>
      <c r="CF831">
        <v>4000000</v>
      </c>
      <c r="CG831">
        <v>16699.78</v>
      </c>
      <c r="CH831">
        <v>0</v>
      </c>
      <c r="CI831" t="s">
        <v>112</v>
      </c>
      <c r="CJ831" t="s">
        <v>112</v>
      </c>
      <c r="CK831">
        <v>43319.92</v>
      </c>
      <c r="CL831">
        <v>3770211</v>
      </c>
      <c r="CM831">
        <v>0</v>
      </c>
      <c r="CN831">
        <v>1</v>
      </c>
      <c r="CO831">
        <v>4129651.94</v>
      </c>
      <c r="CP831">
        <v>50776.86</v>
      </c>
      <c r="CQ831" t="s">
        <v>145</v>
      </c>
      <c r="CR831">
        <v>50767.331200000001</v>
      </c>
      <c r="CS831">
        <v>3.04</v>
      </c>
      <c r="CT831">
        <v>45</v>
      </c>
      <c r="CU831" t="s">
        <v>171</v>
      </c>
      <c r="CV831" t="s">
        <v>350</v>
      </c>
      <c r="CW831">
        <v>205</v>
      </c>
    </row>
    <row r="832" spans="1:101" x14ac:dyDescent="0.2">
      <c r="A832" t="s">
        <v>106</v>
      </c>
      <c r="B832" s="46">
        <v>45200</v>
      </c>
      <c r="C832" t="s">
        <v>1275</v>
      </c>
      <c r="D832" t="s">
        <v>108</v>
      </c>
      <c r="E832" t="s">
        <v>1276</v>
      </c>
      <c r="F832" t="s">
        <v>110</v>
      </c>
      <c r="G832" t="s">
        <v>111</v>
      </c>
      <c r="H832" t="s">
        <v>112</v>
      </c>
      <c r="I832" t="s">
        <v>112</v>
      </c>
      <c r="J832" t="s">
        <v>112</v>
      </c>
      <c r="K832" t="s">
        <v>150</v>
      </c>
      <c r="L832" t="s">
        <v>1036</v>
      </c>
      <c r="M832" t="s">
        <v>112</v>
      </c>
      <c r="N832" t="s">
        <v>112</v>
      </c>
      <c r="O832">
        <v>1</v>
      </c>
      <c r="P832">
        <v>0</v>
      </c>
      <c r="Q832">
        <v>1</v>
      </c>
      <c r="R832">
        <v>33</v>
      </c>
      <c r="S832" t="s">
        <v>166</v>
      </c>
      <c r="T832" t="s">
        <v>152</v>
      </c>
      <c r="U832" t="s">
        <v>153</v>
      </c>
      <c r="V832" t="s">
        <v>154</v>
      </c>
      <c r="W832" t="s">
        <v>119</v>
      </c>
      <c r="X832" t="s">
        <v>112</v>
      </c>
      <c r="Y832" t="s">
        <v>166</v>
      </c>
      <c r="Z832" t="s">
        <v>152</v>
      </c>
      <c r="AA832" t="s">
        <v>153</v>
      </c>
      <c r="AB832" t="s">
        <v>154</v>
      </c>
      <c r="AC832" t="s">
        <v>119</v>
      </c>
      <c r="AD832" t="s">
        <v>112</v>
      </c>
      <c r="AE832" t="s">
        <v>121</v>
      </c>
      <c r="AF832" t="s">
        <v>122</v>
      </c>
      <c r="AG832">
        <v>3968075.67</v>
      </c>
      <c r="AH832" t="s">
        <v>166</v>
      </c>
      <c r="AI832" t="s">
        <v>152</v>
      </c>
      <c r="AJ832" t="s">
        <v>153</v>
      </c>
      <c r="AK832" t="s">
        <v>154</v>
      </c>
      <c r="AL832" t="s">
        <v>119</v>
      </c>
      <c r="AM832" t="s">
        <v>112</v>
      </c>
      <c r="AN832" t="s">
        <v>121</v>
      </c>
      <c r="AO832" t="s">
        <v>122</v>
      </c>
      <c r="AP832" t="s">
        <v>122</v>
      </c>
      <c r="AQ832" t="s">
        <v>124</v>
      </c>
      <c r="AR832" t="s">
        <v>125</v>
      </c>
      <c r="AS832">
        <v>2</v>
      </c>
      <c r="AT832" t="s">
        <v>126</v>
      </c>
      <c r="AU832" t="s">
        <v>155</v>
      </c>
      <c r="AV832" t="s">
        <v>156</v>
      </c>
      <c r="AW832">
        <v>1</v>
      </c>
      <c r="AX832" t="s">
        <v>129</v>
      </c>
      <c r="AY832">
        <v>40943.4</v>
      </c>
      <c r="AZ832">
        <v>3563378</v>
      </c>
      <c r="BA832">
        <v>48790.18</v>
      </c>
      <c r="BB832">
        <v>87.031800000000004</v>
      </c>
      <c r="BC832" t="s">
        <v>130</v>
      </c>
      <c r="BD832" t="s">
        <v>112</v>
      </c>
      <c r="BE832" t="s">
        <v>157</v>
      </c>
      <c r="BF832" t="s">
        <v>133</v>
      </c>
      <c r="BG832" t="s">
        <v>134</v>
      </c>
      <c r="BH832" t="s">
        <v>112</v>
      </c>
      <c r="BI832" t="s">
        <v>112</v>
      </c>
      <c r="BJ832" t="s">
        <v>112</v>
      </c>
      <c r="BK832" t="s">
        <v>169</v>
      </c>
      <c r="BL832" t="s">
        <v>159</v>
      </c>
      <c r="BM832" t="s">
        <v>722</v>
      </c>
      <c r="BN832" t="s">
        <v>161</v>
      </c>
      <c r="BO832">
        <v>1</v>
      </c>
      <c r="BP832" t="s">
        <v>162</v>
      </c>
      <c r="BR832" t="s">
        <v>150</v>
      </c>
      <c r="BS832">
        <v>33</v>
      </c>
      <c r="BT832">
        <v>0</v>
      </c>
      <c r="BU832">
        <v>0</v>
      </c>
      <c r="BW832">
        <v>0</v>
      </c>
      <c r="BY832" t="s">
        <v>106</v>
      </c>
      <c r="BZ832" t="s">
        <v>142</v>
      </c>
      <c r="CA832" t="s">
        <v>112</v>
      </c>
      <c r="CB832" t="s">
        <v>112</v>
      </c>
      <c r="CC832" t="s">
        <v>121</v>
      </c>
      <c r="CD832">
        <v>17014.560000000001</v>
      </c>
      <c r="CE832" t="s">
        <v>144</v>
      </c>
      <c r="CF832">
        <v>4000000</v>
      </c>
      <c r="CG832">
        <v>17014.560000000001</v>
      </c>
      <c r="CH832">
        <v>0</v>
      </c>
      <c r="CI832" t="s">
        <v>112</v>
      </c>
      <c r="CJ832" t="s">
        <v>112</v>
      </c>
      <c r="CK832">
        <v>40943.4</v>
      </c>
      <c r="CL832">
        <v>3563378</v>
      </c>
      <c r="CM832">
        <v>0</v>
      </c>
      <c r="CN832">
        <v>1</v>
      </c>
      <c r="CO832">
        <v>3968075.67</v>
      </c>
      <c r="CP832">
        <v>48790.18</v>
      </c>
      <c r="CQ832" t="s">
        <v>145</v>
      </c>
      <c r="CR832">
        <v>48831.787200000006</v>
      </c>
      <c r="CS832">
        <v>2.87</v>
      </c>
      <c r="CT832">
        <v>45</v>
      </c>
      <c r="CU832" t="s">
        <v>171</v>
      </c>
      <c r="CV832" t="s">
        <v>350</v>
      </c>
      <c r="CW832">
        <v>546</v>
      </c>
    </row>
    <row r="833" spans="1:101" x14ac:dyDescent="0.2">
      <c r="A833" t="s">
        <v>106</v>
      </c>
      <c r="B833" s="46">
        <v>45202</v>
      </c>
      <c r="C833" t="s">
        <v>1272</v>
      </c>
      <c r="D833" t="s">
        <v>108</v>
      </c>
      <c r="E833" t="s">
        <v>1273</v>
      </c>
      <c r="F833" t="s">
        <v>110</v>
      </c>
      <c r="G833" t="s">
        <v>111</v>
      </c>
      <c r="H833" t="s">
        <v>112</v>
      </c>
      <c r="I833" t="s">
        <v>112</v>
      </c>
      <c r="J833" t="s">
        <v>112</v>
      </c>
      <c r="K833" t="s">
        <v>175</v>
      </c>
      <c r="L833" t="s">
        <v>1274</v>
      </c>
      <c r="M833" t="s">
        <v>112</v>
      </c>
      <c r="N833" t="s">
        <v>112</v>
      </c>
      <c r="O833">
        <v>1</v>
      </c>
      <c r="P833">
        <v>0</v>
      </c>
      <c r="Q833">
        <v>1</v>
      </c>
      <c r="R833">
        <v>33</v>
      </c>
      <c r="S833" t="s">
        <v>166</v>
      </c>
      <c r="T833" t="s">
        <v>152</v>
      </c>
      <c r="U833" t="s">
        <v>153</v>
      </c>
      <c r="V833" t="s">
        <v>154</v>
      </c>
      <c r="W833" t="s">
        <v>119</v>
      </c>
      <c r="X833" t="s">
        <v>112</v>
      </c>
      <c r="Y833" t="s">
        <v>166</v>
      </c>
      <c r="Z833" t="s">
        <v>152</v>
      </c>
      <c r="AA833" t="s">
        <v>153</v>
      </c>
      <c r="AB833" t="s">
        <v>154</v>
      </c>
      <c r="AC833" t="s">
        <v>119</v>
      </c>
      <c r="AD833" t="s">
        <v>112</v>
      </c>
      <c r="AE833" t="s">
        <v>121</v>
      </c>
      <c r="AF833" t="s">
        <v>122</v>
      </c>
      <c r="AG833">
        <v>4127034.9</v>
      </c>
      <c r="AH833" t="s">
        <v>166</v>
      </c>
      <c r="AI833" t="s">
        <v>152</v>
      </c>
      <c r="AJ833" t="s">
        <v>153</v>
      </c>
      <c r="AK833" t="s">
        <v>154</v>
      </c>
      <c r="AL833" t="s">
        <v>119</v>
      </c>
      <c r="AM833" t="s">
        <v>112</v>
      </c>
      <c r="AN833" t="s">
        <v>121</v>
      </c>
      <c r="AO833" t="s">
        <v>122</v>
      </c>
      <c r="AP833" t="s">
        <v>122</v>
      </c>
      <c r="AQ833" t="s">
        <v>124</v>
      </c>
      <c r="AR833" t="s">
        <v>125</v>
      </c>
      <c r="AS833">
        <v>2</v>
      </c>
      <c r="AT833" t="s">
        <v>126</v>
      </c>
      <c r="AU833" t="s">
        <v>155</v>
      </c>
      <c r="AV833" t="s">
        <v>156</v>
      </c>
      <c r="AW833">
        <v>1</v>
      </c>
      <c r="AX833" t="s">
        <v>129</v>
      </c>
      <c r="AY833">
        <v>42769.85</v>
      </c>
      <c r="AZ833">
        <v>3722337</v>
      </c>
      <c r="BA833">
        <v>50744.69</v>
      </c>
      <c r="BB833">
        <v>87.031800000000004</v>
      </c>
      <c r="BC833" t="s">
        <v>130</v>
      </c>
      <c r="BD833" t="s">
        <v>112</v>
      </c>
      <c r="BE833" t="s">
        <v>157</v>
      </c>
      <c r="BF833" t="s">
        <v>133</v>
      </c>
      <c r="BG833" t="s">
        <v>134</v>
      </c>
      <c r="BH833" t="s">
        <v>112</v>
      </c>
      <c r="BI833" t="s">
        <v>112</v>
      </c>
      <c r="BJ833" t="s">
        <v>112</v>
      </c>
      <c r="BK833" t="s">
        <v>169</v>
      </c>
      <c r="BL833" t="s">
        <v>159</v>
      </c>
      <c r="BM833" t="s">
        <v>722</v>
      </c>
      <c r="BN833" t="s">
        <v>161</v>
      </c>
      <c r="BO833">
        <v>1</v>
      </c>
      <c r="BP833" t="s">
        <v>658</v>
      </c>
      <c r="BR833" t="s">
        <v>150</v>
      </c>
      <c r="BS833">
        <v>33</v>
      </c>
      <c r="BT833">
        <v>0</v>
      </c>
      <c r="BU833">
        <v>0</v>
      </c>
      <c r="BW833">
        <v>0</v>
      </c>
      <c r="BY833" t="s">
        <v>106</v>
      </c>
      <c r="BZ833" t="s">
        <v>142</v>
      </c>
      <c r="CA833" t="s">
        <v>112</v>
      </c>
      <c r="CB833" t="s">
        <v>112</v>
      </c>
      <c r="CC833" t="s">
        <v>121</v>
      </c>
      <c r="CD833">
        <v>16899.89</v>
      </c>
      <c r="CE833" t="s">
        <v>144</v>
      </c>
      <c r="CF833">
        <v>4000000</v>
      </c>
      <c r="CG833">
        <v>16899.89</v>
      </c>
      <c r="CH833">
        <v>0</v>
      </c>
      <c r="CI833" t="s">
        <v>112</v>
      </c>
      <c r="CJ833" t="s">
        <v>112</v>
      </c>
      <c r="CK833">
        <v>42769.85</v>
      </c>
      <c r="CL833">
        <v>3722337</v>
      </c>
      <c r="CM833">
        <v>0</v>
      </c>
      <c r="CN833">
        <v>1</v>
      </c>
      <c r="CO833">
        <v>4127034.9</v>
      </c>
      <c r="CP833">
        <v>50744.69</v>
      </c>
      <c r="CQ833" t="s">
        <v>145</v>
      </c>
      <c r="CR833">
        <v>50699.67</v>
      </c>
      <c r="CS833">
        <v>3</v>
      </c>
      <c r="CT833">
        <v>45</v>
      </c>
      <c r="CU833" t="s">
        <v>171</v>
      </c>
      <c r="CV833" t="s">
        <v>463</v>
      </c>
      <c r="CW833">
        <v>248</v>
      </c>
    </row>
    <row r="834" spans="1:101" x14ac:dyDescent="0.2">
      <c r="A834" t="s">
        <v>106</v>
      </c>
      <c r="B834" s="46">
        <v>45127</v>
      </c>
      <c r="C834" t="s">
        <v>823</v>
      </c>
      <c r="D834" t="s">
        <v>108</v>
      </c>
      <c r="E834" t="s">
        <v>824</v>
      </c>
      <c r="F834" t="s">
        <v>110</v>
      </c>
      <c r="G834" t="s">
        <v>111</v>
      </c>
      <c r="H834" t="s">
        <v>112</v>
      </c>
      <c r="I834" t="s">
        <v>112</v>
      </c>
      <c r="J834" t="s">
        <v>112</v>
      </c>
      <c r="K834" t="s">
        <v>150</v>
      </c>
      <c r="L834" t="s">
        <v>151</v>
      </c>
      <c r="M834" t="s">
        <v>112</v>
      </c>
      <c r="N834" t="s">
        <v>112</v>
      </c>
      <c r="O834">
        <v>1</v>
      </c>
      <c r="P834">
        <v>0</v>
      </c>
      <c r="Q834">
        <v>1</v>
      </c>
      <c r="R834">
        <v>33</v>
      </c>
      <c r="S834" t="s">
        <v>166</v>
      </c>
      <c r="T834" t="s">
        <v>152</v>
      </c>
      <c r="U834" t="s">
        <v>153</v>
      </c>
      <c r="V834" t="s">
        <v>154</v>
      </c>
      <c r="W834" t="s">
        <v>119</v>
      </c>
      <c r="X834" t="s">
        <v>112</v>
      </c>
      <c r="Y834" t="s">
        <v>166</v>
      </c>
      <c r="Z834" t="s">
        <v>152</v>
      </c>
      <c r="AA834" t="s">
        <v>153</v>
      </c>
      <c r="AB834" t="s">
        <v>154</v>
      </c>
      <c r="AC834" t="s">
        <v>119</v>
      </c>
      <c r="AD834" t="s">
        <v>112</v>
      </c>
      <c r="AE834" t="s">
        <v>121</v>
      </c>
      <c r="AF834" t="s">
        <v>122</v>
      </c>
      <c r="AG834">
        <v>3437210.69</v>
      </c>
      <c r="AH834" t="s">
        <v>166</v>
      </c>
      <c r="AI834" t="s">
        <v>152</v>
      </c>
      <c r="AJ834" t="s">
        <v>153</v>
      </c>
      <c r="AK834" t="s">
        <v>154</v>
      </c>
      <c r="AL834" t="s">
        <v>119</v>
      </c>
      <c r="AM834" t="s">
        <v>112</v>
      </c>
      <c r="AN834" t="s">
        <v>121</v>
      </c>
      <c r="AO834" t="s">
        <v>122</v>
      </c>
      <c r="AP834" t="s">
        <v>122</v>
      </c>
      <c r="AQ834" t="s">
        <v>124</v>
      </c>
      <c r="AR834" t="s">
        <v>125</v>
      </c>
      <c r="AS834">
        <v>2</v>
      </c>
      <c r="AT834" t="s">
        <v>126</v>
      </c>
      <c r="AU834" t="s">
        <v>155</v>
      </c>
      <c r="AV834" t="s">
        <v>156</v>
      </c>
      <c r="AW834">
        <v>1</v>
      </c>
      <c r="AX834" t="s">
        <v>129</v>
      </c>
      <c r="AY834">
        <v>38589.96</v>
      </c>
      <c r="AZ834">
        <v>3089007</v>
      </c>
      <c r="BA834">
        <v>45550.58</v>
      </c>
      <c r="BB834">
        <v>80.046899999999994</v>
      </c>
      <c r="BC834" t="s">
        <v>130</v>
      </c>
      <c r="BD834" t="s">
        <v>112</v>
      </c>
      <c r="BE834" t="s">
        <v>157</v>
      </c>
      <c r="BF834" t="s">
        <v>133</v>
      </c>
      <c r="BG834" t="s">
        <v>167</v>
      </c>
      <c r="BH834" t="s">
        <v>168</v>
      </c>
      <c r="BI834" t="s">
        <v>112</v>
      </c>
      <c r="BJ834" t="s">
        <v>112</v>
      </c>
      <c r="BK834" t="s">
        <v>169</v>
      </c>
      <c r="BL834" t="s">
        <v>159</v>
      </c>
      <c r="BM834" t="s">
        <v>160</v>
      </c>
      <c r="BN834" t="s">
        <v>161</v>
      </c>
      <c r="BO834">
        <v>1</v>
      </c>
      <c r="BP834" t="s">
        <v>213</v>
      </c>
      <c r="BR834" t="s">
        <v>150</v>
      </c>
      <c r="BS834">
        <v>33</v>
      </c>
      <c r="BT834">
        <v>0</v>
      </c>
      <c r="BU834">
        <v>0</v>
      </c>
      <c r="BW834">
        <v>0</v>
      </c>
      <c r="BY834" t="s">
        <v>106</v>
      </c>
      <c r="BZ834" t="s">
        <v>142</v>
      </c>
      <c r="CA834" t="s">
        <v>112</v>
      </c>
      <c r="CB834" t="s">
        <v>112</v>
      </c>
      <c r="CC834" t="s">
        <v>121</v>
      </c>
      <c r="CD834">
        <v>15007.01</v>
      </c>
      <c r="CE834" t="s">
        <v>144</v>
      </c>
      <c r="CF834">
        <v>4000000</v>
      </c>
      <c r="CG834">
        <v>14596.61</v>
      </c>
      <c r="CH834">
        <v>0</v>
      </c>
      <c r="CI834" t="s">
        <v>112</v>
      </c>
      <c r="CJ834" t="s">
        <v>112</v>
      </c>
      <c r="CK834">
        <v>38589.96</v>
      </c>
      <c r="CL834">
        <v>3089007</v>
      </c>
      <c r="CM834">
        <v>0</v>
      </c>
      <c r="CN834">
        <v>1</v>
      </c>
      <c r="CO834">
        <v>3437210.69</v>
      </c>
      <c r="CP834">
        <v>45550.58</v>
      </c>
      <c r="CQ834" t="s">
        <v>145</v>
      </c>
      <c r="CR834">
        <v>45550.181166000002</v>
      </c>
      <c r="CS834">
        <v>3.1206</v>
      </c>
      <c r="CT834">
        <v>45</v>
      </c>
      <c r="CU834" t="s">
        <v>171</v>
      </c>
      <c r="CV834" t="s">
        <v>463</v>
      </c>
      <c r="CW834">
        <v>88</v>
      </c>
    </row>
    <row r="835" spans="1:101" x14ac:dyDescent="0.2">
      <c r="A835" t="s">
        <v>106</v>
      </c>
      <c r="B835" s="46">
        <v>44990</v>
      </c>
      <c r="C835" t="s">
        <v>827</v>
      </c>
      <c r="D835" t="s">
        <v>108</v>
      </c>
      <c r="E835" t="s">
        <v>828</v>
      </c>
      <c r="F835" t="s">
        <v>110</v>
      </c>
      <c r="G835" t="s">
        <v>111</v>
      </c>
      <c r="H835" t="s">
        <v>112</v>
      </c>
      <c r="I835" t="s">
        <v>112</v>
      </c>
      <c r="J835" t="s">
        <v>112</v>
      </c>
      <c r="K835" t="s">
        <v>150</v>
      </c>
      <c r="L835" t="s">
        <v>151</v>
      </c>
      <c r="M835" t="s">
        <v>112</v>
      </c>
      <c r="N835" t="s">
        <v>112</v>
      </c>
      <c r="O835">
        <v>1</v>
      </c>
      <c r="P835">
        <v>0</v>
      </c>
      <c r="Q835">
        <v>1</v>
      </c>
      <c r="R835">
        <v>38</v>
      </c>
      <c r="S835" t="s">
        <v>166</v>
      </c>
      <c r="T835" t="s">
        <v>152</v>
      </c>
      <c r="U835" t="s">
        <v>153</v>
      </c>
      <c r="V835" t="s">
        <v>154</v>
      </c>
      <c r="W835" t="s">
        <v>119</v>
      </c>
      <c r="X835" t="s">
        <v>112</v>
      </c>
      <c r="Y835" t="s">
        <v>166</v>
      </c>
      <c r="Z835" t="s">
        <v>152</v>
      </c>
      <c r="AA835" t="s">
        <v>153</v>
      </c>
      <c r="AB835" t="s">
        <v>154</v>
      </c>
      <c r="AC835" t="s">
        <v>119</v>
      </c>
      <c r="AD835" t="s">
        <v>112</v>
      </c>
      <c r="AE835" t="s">
        <v>121</v>
      </c>
      <c r="AF835" t="s">
        <v>122</v>
      </c>
      <c r="AG835">
        <v>4439773.3</v>
      </c>
      <c r="AH835" t="s">
        <v>166</v>
      </c>
      <c r="AI835" t="s">
        <v>152</v>
      </c>
      <c r="AJ835" t="s">
        <v>153</v>
      </c>
      <c r="AK835" t="s">
        <v>154</v>
      </c>
      <c r="AL835" t="s">
        <v>119</v>
      </c>
      <c r="AM835" t="s">
        <v>112</v>
      </c>
      <c r="AN835" t="s">
        <v>121</v>
      </c>
      <c r="AO835" t="s">
        <v>122</v>
      </c>
      <c r="AP835" t="s">
        <v>122</v>
      </c>
      <c r="AQ835" t="s">
        <v>124</v>
      </c>
      <c r="AR835" t="s">
        <v>125</v>
      </c>
      <c r="AS835">
        <v>2</v>
      </c>
      <c r="AT835" t="s">
        <v>126</v>
      </c>
      <c r="AU835" t="s">
        <v>155</v>
      </c>
      <c r="AV835" t="s">
        <v>156</v>
      </c>
      <c r="AW835">
        <v>1</v>
      </c>
      <c r="AX835" t="s">
        <v>129</v>
      </c>
      <c r="AY835">
        <v>51114.65</v>
      </c>
      <c r="AZ835">
        <v>4091569</v>
      </c>
      <c r="BA835">
        <v>58836.74</v>
      </c>
      <c r="BB835">
        <v>80.046899999999994</v>
      </c>
      <c r="BC835" t="s">
        <v>130</v>
      </c>
      <c r="BD835" t="s">
        <v>112</v>
      </c>
      <c r="BE835" t="s">
        <v>157</v>
      </c>
      <c r="BF835" t="s">
        <v>133</v>
      </c>
      <c r="BG835" t="s">
        <v>167</v>
      </c>
      <c r="BH835" t="s">
        <v>168</v>
      </c>
      <c r="BI835" t="s">
        <v>112</v>
      </c>
      <c r="BJ835" t="s">
        <v>112</v>
      </c>
      <c r="BK835" t="s">
        <v>169</v>
      </c>
      <c r="BL835" t="s">
        <v>159</v>
      </c>
      <c r="BM835" t="s">
        <v>160</v>
      </c>
      <c r="BN835" t="s">
        <v>161</v>
      </c>
      <c r="BO835">
        <v>1</v>
      </c>
      <c r="BP835" t="s">
        <v>829</v>
      </c>
      <c r="BR835" t="s">
        <v>150</v>
      </c>
      <c r="BS835">
        <v>38</v>
      </c>
      <c r="BT835">
        <v>0</v>
      </c>
      <c r="BU835">
        <v>0</v>
      </c>
      <c r="BW835">
        <v>0</v>
      </c>
      <c r="BY835" t="s">
        <v>106</v>
      </c>
      <c r="BZ835" t="s">
        <v>142</v>
      </c>
      <c r="CA835" t="s">
        <v>112</v>
      </c>
      <c r="CB835" t="s">
        <v>112</v>
      </c>
      <c r="CC835" t="s">
        <v>121</v>
      </c>
      <c r="CD835">
        <v>18734.419999999998</v>
      </c>
      <c r="CE835" t="s">
        <v>144</v>
      </c>
      <c r="CF835">
        <v>4000000</v>
      </c>
      <c r="CG835">
        <v>18554.419999999998</v>
      </c>
      <c r="CH835">
        <v>0</v>
      </c>
      <c r="CI835" t="s">
        <v>112</v>
      </c>
      <c r="CJ835" t="s">
        <v>112</v>
      </c>
      <c r="CK835">
        <v>51114.65</v>
      </c>
      <c r="CL835">
        <v>4091569</v>
      </c>
      <c r="CM835">
        <v>0</v>
      </c>
      <c r="CN835">
        <v>1</v>
      </c>
      <c r="CO835">
        <v>4439773.3</v>
      </c>
      <c r="CP835">
        <v>58836.74</v>
      </c>
      <c r="CQ835" t="s">
        <v>145</v>
      </c>
      <c r="CR835">
        <v>58836.065819999989</v>
      </c>
      <c r="CS835">
        <v>3.1709999999999998</v>
      </c>
      <c r="CT835">
        <v>45</v>
      </c>
      <c r="CU835" t="s">
        <v>171</v>
      </c>
      <c r="CV835" t="s">
        <v>372</v>
      </c>
      <c r="CW835">
        <v>54</v>
      </c>
    </row>
    <row r="836" spans="1:101" x14ac:dyDescent="0.2">
      <c r="A836" t="s">
        <v>106</v>
      </c>
      <c r="B836" s="46">
        <v>45139</v>
      </c>
      <c r="C836" t="s">
        <v>832</v>
      </c>
      <c r="D836" t="s">
        <v>108</v>
      </c>
      <c r="E836" t="s">
        <v>833</v>
      </c>
      <c r="F836" t="s">
        <v>110</v>
      </c>
      <c r="G836" t="s">
        <v>111</v>
      </c>
      <c r="H836" t="s">
        <v>112</v>
      </c>
      <c r="I836" t="s">
        <v>112</v>
      </c>
      <c r="J836" t="s">
        <v>112</v>
      </c>
      <c r="K836" t="s">
        <v>150</v>
      </c>
      <c r="L836" t="s">
        <v>151</v>
      </c>
      <c r="M836" t="s">
        <v>112</v>
      </c>
      <c r="N836" t="s">
        <v>112</v>
      </c>
      <c r="O836">
        <v>1</v>
      </c>
      <c r="P836">
        <v>0</v>
      </c>
      <c r="Q836">
        <v>1</v>
      </c>
      <c r="R836">
        <v>33</v>
      </c>
      <c r="S836" t="s">
        <v>166</v>
      </c>
      <c r="T836" t="s">
        <v>152</v>
      </c>
      <c r="U836" t="s">
        <v>153</v>
      </c>
      <c r="V836" t="s">
        <v>154</v>
      </c>
      <c r="W836" t="s">
        <v>119</v>
      </c>
      <c r="X836" t="s">
        <v>112</v>
      </c>
      <c r="Y836" t="s">
        <v>166</v>
      </c>
      <c r="Z836" t="s">
        <v>152</v>
      </c>
      <c r="AA836" t="s">
        <v>153</v>
      </c>
      <c r="AB836" t="s">
        <v>154</v>
      </c>
      <c r="AC836" t="s">
        <v>119</v>
      </c>
      <c r="AD836" t="s">
        <v>112</v>
      </c>
      <c r="AE836" t="s">
        <v>121</v>
      </c>
      <c r="AF836" t="s">
        <v>122</v>
      </c>
      <c r="AG836">
        <v>3934449.22</v>
      </c>
      <c r="AH836" t="s">
        <v>166</v>
      </c>
      <c r="AI836" t="s">
        <v>152</v>
      </c>
      <c r="AJ836" t="s">
        <v>153</v>
      </c>
      <c r="AK836" t="s">
        <v>154</v>
      </c>
      <c r="AL836" t="s">
        <v>119</v>
      </c>
      <c r="AM836" t="s">
        <v>112</v>
      </c>
      <c r="AN836" t="s">
        <v>121</v>
      </c>
      <c r="AO836" t="s">
        <v>122</v>
      </c>
      <c r="AP836" t="s">
        <v>122</v>
      </c>
      <c r="AQ836" t="s">
        <v>124</v>
      </c>
      <c r="AR836" t="s">
        <v>125</v>
      </c>
      <c r="AS836">
        <v>2</v>
      </c>
      <c r="AT836" t="s">
        <v>126</v>
      </c>
      <c r="AU836" t="s">
        <v>155</v>
      </c>
      <c r="AV836" t="s">
        <v>156</v>
      </c>
      <c r="AW836">
        <v>1</v>
      </c>
      <c r="AX836" t="s">
        <v>129</v>
      </c>
      <c r="AY836">
        <v>44801.8</v>
      </c>
      <c r="AZ836">
        <v>3586245</v>
      </c>
      <c r="BA836">
        <v>52140.09</v>
      </c>
      <c r="BB836">
        <v>80.046899999999994</v>
      </c>
      <c r="BC836" t="s">
        <v>130</v>
      </c>
      <c r="BD836" t="s">
        <v>112</v>
      </c>
      <c r="BE836" t="s">
        <v>157</v>
      </c>
      <c r="BF836" t="s">
        <v>133</v>
      </c>
      <c r="BG836" t="s">
        <v>167</v>
      </c>
      <c r="BH836" t="s">
        <v>168</v>
      </c>
      <c r="BI836" t="s">
        <v>112</v>
      </c>
      <c r="BJ836" t="s">
        <v>112</v>
      </c>
      <c r="BK836" t="s">
        <v>169</v>
      </c>
      <c r="BL836" t="s">
        <v>159</v>
      </c>
      <c r="BM836" t="s">
        <v>160</v>
      </c>
      <c r="BN836" t="s">
        <v>161</v>
      </c>
      <c r="BO836">
        <v>1</v>
      </c>
      <c r="BP836" t="s">
        <v>834</v>
      </c>
      <c r="BR836" t="s">
        <v>150</v>
      </c>
      <c r="BS836">
        <v>33</v>
      </c>
      <c r="BT836">
        <v>0</v>
      </c>
      <c r="BU836">
        <v>0</v>
      </c>
      <c r="BW836">
        <v>0</v>
      </c>
      <c r="BY836" t="s">
        <v>106</v>
      </c>
      <c r="BZ836" t="s">
        <v>142</v>
      </c>
      <c r="CA836" t="s">
        <v>112</v>
      </c>
      <c r="CB836" t="s">
        <v>112</v>
      </c>
      <c r="CC836" t="s">
        <v>121</v>
      </c>
      <c r="CD836">
        <v>16776.900000000001</v>
      </c>
      <c r="CE836" t="s">
        <v>144</v>
      </c>
      <c r="CF836">
        <v>4000000</v>
      </c>
      <c r="CG836">
        <v>16719.3</v>
      </c>
      <c r="CH836">
        <v>0</v>
      </c>
      <c r="CI836" t="s">
        <v>112</v>
      </c>
      <c r="CJ836" t="s">
        <v>112</v>
      </c>
      <c r="CK836">
        <v>44801.8</v>
      </c>
      <c r="CL836">
        <v>3586245</v>
      </c>
      <c r="CM836">
        <v>0</v>
      </c>
      <c r="CN836">
        <v>1</v>
      </c>
      <c r="CO836">
        <v>3934449.22</v>
      </c>
      <c r="CP836">
        <v>52140.09</v>
      </c>
      <c r="CQ836" t="s">
        <v>145</v>
      </c>
      <c r="CR836">
        <v>52140.808979999994</v>
      </c>
      <c r="CS836">
        <v>3.1185999999999998</v>
      </c>
      <c r="CT836">
        <v>45</v>
      </c>
      <c r="CU836" t="s">
        <v>171</v>
      </c>
      <c r="CV836" t="s">
        <v>350</v>
      </c>
      <c r="CW836">
        <v>144</v>
      </c>
    </row>
    <row r="837" spans="1:101" x14ac:dyDescent="0.2">
      <c r="A837" t="s">
        <v>106</v>
      </c>
      <c r="B837" s="46">
        <v>45045</v>
      </c>
      <c r="C837" t="s">
        <v>835</v>
      </c>
      <c r="D837" t="s">
        <v>108</v>
      </c>
      <c r="E837" t="s">
        <v>836</v>
      </c>
      <c r="F837" t="s">
        <v>110</v>
      </c>
      <c r="G837" t="s">
        <v>111</v>
      </c>
      <c r="H837" t="s">
        <v>112</v>
      </c>
      <c r="I837" t="s">
        <v>112</v>
      </c>
      <c r="J837" t="s">
        <v>112</v>
      </c>
      <c r="K837" t="s">
        <v>150</v>
      </c>
      <c r="L837" t="s">
        <v>151</v>
      </c>
      <c r="M837" t="s">
        <v>112</v>
      </c>
      <c r="N837" t="s">
        <v>112</v>
      </c>
      <c r="O837">
        <v>1</v>
      </c>
      <c r="P837">
        <v>0</v>
      </c>
      <c r="Q837">
        <v>1</v>
      </c>
      <c r="R837">
        <v>33</v>
      </c>
      <c r="S837" t="s">
        <v>166</v>
      </c>
      <c r="T837" t="s">
        <v>152</v>
      </c>
      <c r="U837" t="s">
        <v>153</v>
      </c>
      <c r="V837" t="s">
        <v>154</v>
      </c>
      <c r="W837" t="s">
        <v>119</v>
      </c>
      <c r="X837" t="s">
        <v>112</v>
      </c>
      <c r="Y837" t="s">
        <v>166</v>
      </c>
      <c r="Z837" t="s">
        <v>152</v>
      </c>
      <c r="AA837" t="s">
        <v>153</v>
      </c>
      <c r="AB837" t="s">
        <v>154</v>
      </c>
      <c r="AC837" t="s">
        <v>119</v>
      </c>
      <c r="AD837" t="s">
        <v>112</v>
      </c>
      <c r="AE837" t="s">
        <v>121</v>
      </c>
      <c r="AF837" t="s">
        <v>122</v>
      </c>
      <c r="AG837">
        <v>3608664.75</v>
      </c>
      <c r="AH837" t="s">
        <v>166</v>
      </c>
      <c r="AI837" t="s">
        <v>152</v>
      </c>
      <c r="AJ837" t="s">
        <v>153</v>
      </c>
      <c r="AK837" t="s">
        <v>154</v>
      </c>
      <c r="AL837" t="s">
        <v>119</v>
      </c>
      <c r="AM837" t="s">
        <v>112</v>
      </c>
      <c r="AN837" t="s">
        <v>121</v>
      </c>
      <c r="AO837" t="s">
        <v>122</v>
      </c>
      <c r="AP837" t="s">
        <v>122</v>
      </c>
      <c r="AQ837" t="s">
        <v>124</v>
      </c>
      <c r="AR837" t="s">
        <v>125</v>
      </c>
      <c r="AS837">
        <v>2</v>
      </c>
      <c r="AT837" t="s">
        <v>126</v>
      </c>
      <c r="AU837" t="s">
        <v>155</v>
      </c>
      <c r="AV837" t="s">
        <v>156</v>
      </c>
      <c r="AW837">
        <v>1</v>
      </c>
      <c r="AX837" t="s">
        <v>129</v>
      </c>
      <c r="AY837">
        <v>40731.879999999997</v>
      </c>
      <c r="AZ837">
        <v>3260461</v>
      </c>
      <c r="BA837">
        <v>47822.73</v>
      </c>
      <c r="BB837">
        <v>80.046899999999994</v>
      </c>
      <c r="BC837" t="s">
        <v>130</v>
      </c>
      <c r="BD837" t="s">
        <v>112</v>
      </c>
      <c r="BE837" t="s">
        <v>157</v>
      </c>
      <c r="BF837" t="s">
        <v>133</v>
      </c>
      <c r="BG837" t="s">
        <v>134</v>
      </c>
      <c r="BH837" t="s">
        <v>112</v>
      </c>
      <c r="BI837" t="s">
        <v>112</v>
      </c>
      <c r="BJ837" t="s">
        <v>112</v>
      </c>
      <c r="BK837" t="s">
        <v>169</v>
      </c>
      <c r="BL837" t="s">
        <v>159</v>
      </c>
      <c r="BM837" t="s">
        <v>212</v>
      </c>
      <c r="BN837" t="s">
        <v>161</v>
      </c>
      <c r="BO837">
        <v>1</v>
      </c>
      <c r="BP837" t="s">
        <v>205</v>
      </c>
      <c r="BR837" t="s">
        <v>150</v>
      </c>
      <c r="BS837">
        <v>33</v>
      </c>
      <c r="BT837">
        <v>0</v>
      </c>
      <c r="BU837">
        <v>0</v>
      </c>
      <c r="BW837">
        <v>0</v>
      </c>
      <c r="BY837" t="s">
        <v>106</v>
      </c>
      <c r="BZ837" t="s">
        <v>142</v>
      </c>
      <c r="CA837" t="s">
        <v>112</v>
      </c>
      <c r="CB837" t="s">
        <v>112</v>
      </c>
      <c r="CC837" t="s">
        <v>121</v>
      </c>
      <c r="CD837">
        <v>16643.419999999998</v>
      </c>
      <c r="CE837" t="s">
        <v>144</v>
      </c>
      <c r="CF837">
        <v>4000000</v>
      </c>
      <c r="CG837">
        <v>16571.419999999998</v>
      </c>
      <c r="CH837">
        <v>0</v>
      </c>
      <c r="CI837" t="s">
        <v>112</v>
      </c>
      <c r="CJ837" t="s">
        <v>112</v>
      </c>
      <c r="CK837">
        <v>40731.879999999997</v>
      </c>
      <c r="CL837">
        <v>3260461</v>
      </c>
      <c r="CM837">
        <v>0</v>
      </c>
      <c r="CN837">
        <v>1</v>
      </c>
      <c r="CO837">
        <v>3608664.75</v>
      </c>
      <c r="CP837">
        <v>47822.73</v>
      </c>
      <c r="CQ837" t="s">
        <v>145</v>
      </c>
      <c r="CR837">
        <v>47823.460977999996</v>
      </c>
      <c r="CS837">
        <v>2.8858999999999999</v>
      </c>
      <c r="CT837">
        <v>45</v>
      </c>
      <c r="CU837" t="s">
        <v>171</v>
      </c>
      <c r="CV837" t="s">
        <v>350</v>
      </c>
      <c r="CW837">
        <v>270</v>
      </c>
    </row>
    <row r="838" spans="1:101" x14ac:dyDescent="0.2">
      <c r="A838" t="s">
        <v>106</v>
      </c>
      <c r="B838" s="46">
        <v>44987</v>
      </c>
      <c r="C838" t="s">
        <v>825</v>
      </c>
      <c r="D838" t="s">
        <v>108</v>
      </c>
      <c r="E838" t="s">
        <v>826</v>
      </c>
      <c r="F838" t="s">
        <v>110</v>
      </c>
      <c r="G838" t="s">
        <v>111</v>
      </c>
      <c r="H838" t="s">
        <v>112</v>
      </c>
      <c r="I838" t="s">
        <v>112</v>
      </c>
      <c r="J838" t="s">
        <v>112</v>
      </c>
      <c r="K838" t="s">
        <v>150</v>
      </c>
      <c r="L838" t="s">
        <v>151</v>
      </c>
      <c r="M838" t="s">
        <v>112</v>
      </c>
      <c r="N838" t="s">
        <v>112</v>
      </c>
      <c r="O838">
        <v>1</v>
      </c>
      <c r="P838">
        <v>0</v>
      </c>
      <c r="Q838">
        <v>1</v>
      </c>
      <c r="R838">
        <v>33</v>
      </c>
      <c r="S838" t="s">
        <v>166</v>
      </c>
      <c r="T838" t="s">
        <v>152</v>
      </c>
      <c r="U838" t="s">
        <v>153</v>
      </c>
      <c r="V838" t="s">
        <v>154</v>
      </c>
      <c r="W838" t="s">
        <v>119</v>
      </c>
      <c r="X838" t="s">
        <v>112</v>
      </c>
      <c r="Y838" t="s">
        <v>166</v>
      </c>
      <c r="Z838" t="s">
        <v>152</v>
      </c>
      <c r="AA838" t="s">
        <v>153</v>
      </c>
      <c r="AB838" t="s">
        <v>154</v>
      </c>
      <c r="AC838" t="s">
        <v>119</v>
      </c>
      <c r="AD838" t="s">
        <v>112</v>
      </c>
      <c r="AE838" t="s">
        <v>121</v>
      </c>
      <c r="AF838" t="s">
        <v>122</v>
      </c>
      <c r="AG838">
        <v>3316059.71</v>
      </c>
      <c r="AH838" t="s">
        <v>166</v>
      </c>
      <c r="AI838" t="s">
        <v>152</v>
      </c>
      <c r="AJ838" t="s">
        <v>153</v>
      </c>
      <c r="AK838" t="s">
        <v>154</v>
      </c>
      <c r="AL838" t="s">
        <v>119</v>
      </c>
      <c r="AM838" t="s">
        <v>112</v>
      </c>
      <c r="AN838" t="s">
        <v>121</v>
      </c>
      <c r="AO838" t="s">
        <v>122</v>
      </c>
      <c r="AP838" t="s">
        <v>122</v>
      </c>
      <c r="AQ838" t="s">
        <v>124</v>
      </c>
      <c r="AR838" t="s">
        <v>125</v>
      </c>
      <c r="AS838">
        <v>2</v>
      </c>
      <c r="AT838" t="s">
        <v>126</v>
      </c>
      <c r="AU838" t="s">
        <v>155</v>
      </c>
      <c r="AV838" t="s">
        <v>156</v>
      </c>
      <c r="AW838">
        <v>1</v>
      </c>
      <c r="AX838" t="s">
        <v>129</v>
      </c>
      <c r="AY838">
        <v>37076.46</v>
      </c>
      <c r="AZ838">
        <v>2967856</v>
      </c>
      <c r="BA838">
        <v>43945.07</v>
      </c>
      <c r="BB838">
        <v>80.046899999999994</v>
      </c>
      <c r="BC838" t="s">
        <v>130</v>
      </c>
      <c r="BD838" t="s">
        <v>112</v>
      </c>
      <c r="BE838" t="s">
        <v>157</v>
      </c>
      <c r="BF838" t="s">
        <v>133</v>
      </c>
      <c r="BG838" t="s">
        <v>167</v>
      </c>
      <c r="BH838" t="s">
        <v>168</v>
      </c>
      <c r="BI838" t="s">
        <v>112</v>
      </c>
      <c r="BJ838" t="s">
        <v>112</v>
      </c>
      <c r="BK838" t="s">
        <v>169</v>
      </c>
      <c r="BL838" t="s">
        <v>159</v>
      </c>
      <c r="BM838" t="s">
        <v>160</v>
      </c>
      <c r="BN838" t="s">
        <v>161</v>
      </c>
      <c r="BO838">
        <v>1</v>
      </c>
      <c r="BP838" t="s">
        <v>707</v>
      </c>
      <c r="BR838" t="s">
        <v>150</v>
      </c>
      <c r="BS838">
        <v>33</v>
      </c>
      <c r="BT838">
        <v>0</v>
      </c>
      <c r="BU838">
        <v>0</v>
      </c>
      <c r="BW838">
        <v>0</v>
      </c>
      <c r="BY838" t="s">
        <v>106</v>
      </c>
      <c r="BZ838" t="s">
        <v>142</v>
      </c>
      <c r="CA838" t="s">
        <v>112</v>
      </c>
      <c r="CB838" t="s">
        <v>112</v>
      </c>
      <c r="CC838" t="s">
        <v>121</v>
      </c>
      <c r="CD838">
        <v>16334.03</v>
      </c>
      <c r="CE838" t="s">
        <v>144</v>
      </c>
      <c r="CF838">
        <v>4000000</v>
      </c>
      <c r="CG838">
        <v>16279.43</v>
      </c>
      <c r="CH838">
        <v>0</v>
      </c>
      <c r="CI838" t="s">
        <v>112</v>
      </c>
      <c r="CJ838" t="s">
        <v>112</v>
      </c>
      <c r="CK838">
        <v>37076.46</v>
      </c>
      <c r="CL838">
        <v>2967856</v>
      </c>
      <c r="CM838">
        <v>0</v>
      </c>
      <c r="CN838">
        <v>1</v>
      </c>
      <c r="CO838">
        <v>3316059.71</v>
      </c>
      <c r="CP838">
        <v>43945.07</v>
      </c>
      <c r="CQ838" t="s">
        <v>145</v>
      </c>
      <c r="CR838">
        <v>43944.693341999999</v>
      </c>
      <c r="CS838">
        <v>2.6993999999999998</v>
      </c>
      <c r="CT838">
        <v>45</v>
      </c>
      <c r="CU838" t="s">
        <v>171</v>
      </c>
      <c r="CV838" t="s">
        <v>369</v>
      </c>
      <c r="CW838">
        <v>270</v>
      </c>
    </row>
    <row r="839" spans="1:101" x14ac:dyDescent="0.2">
      <c r="A839" t="s">
        <v>106</v>
      </c>
      <c r="B839" s="46">
        <v>45111</v>
      </c>
      <c r="C839" t="s">
        <v>460</v>
      </c>
      <c r="D839" t="s">
        <v>108</v>
      </c>
      <c r="E839" t="s">
        <v>461</v>
      </c>
      <c r="F839" t="s">
        <v>110</v>
      </c>
      <c r="G839" t="s">
        <v>111</v>
      </c>
      <c r="H839" t="s">
        <v>112</v>
      </c>
      <c r="I839" t="s">
        <v>112</v>
      </c>
      <c r="J839" t="s">
        <v>112</v>
      </c>
      <c r="K839" t="s">
        <v>150</v>
      </c>
      <c r="L839" t="s">
        <v>151</v>
      </c>
      <c r="M839" t="s">
        <v>112</v>
      </c>
      <c r="N839" t="s">
        <v>112</v>
      </c>
      <c r="O839">
        <v>1</v>
      </c>
      <c r="P839">
        <v>0</v>
      </c>
      <c r="Q839">
        <v>1</v>
      </c>
      <c r="R839">
        <v>33</v>
      </c>
      <c r="S839" t="s">
        <v>166</v>
      </c>
      <c r="T839" t="s">
        <v>152</v>
      </c>
      <c r="U839" t="s">
        <v>153</v>
      </c>
      <c r="V839" t="s">
        <v>154</v>
      </c>
      <c r="W839" t="s">
        <v>119</v>
      </c>
      <c r="X839" t="s">
        <v>112</v>
      </c>
      <c r="Y839" t="s">
        <v>166</v>
      </c>
      <c r="Z839" t="s">
        <v>152</v>
      </c>
      <c r="AA839" t="s">
        <v>153</v>
      </c>
      <c r="AB839" t="s">
        <v>154</v>
      </c>
      <c r="AC839" t="s">
        <v>119</v>
      </c>
      <c r="AD839" t="s">
        <v>112</v>
      </c>
      <c r="AE839" t="s">
        <v>121</v>
      </c>
      <c r="AF839" t="s">
        <v>122</v>
      </c>
      <c r="AG839">
        <v>3856186.75</v>
      </c>
      <c r="AH839" t="s">
        <v>166</v>
      </c>
      <c r="AI839" t="s">
        <v>152</v>
      </c>
      <c r="AJ839" t="s">
        <v>153</v>
      </c>
      <c r="AK839" t="s">
        <v>154</v>
      </c>
      <c r="AL839" t="s">
        <v>119</v>
      </c>
      <c r="AM839" t="s">
        <v>112</v>
      </c>
      <c r="AN839" t="s">
        <v>121</v>
      </c>
      <c r="AO839" t="s">
        <v>122</v>
      </c>
      <c r="AP839" t="s">
        <v>122</v>
      </c>
      <c r="AQ839" t="s">
        <v>124</v>
      </c>
      <c r="AR839" t="s">
        <v>125</v>
      </c>
      <c r="AS839">
        <v>2</v>
      </c>
      <c r="AT839" t="s">
        <v>126</v>
      </c>
      <c r="AU839" t="s">
        <v>155</v>
      </c>
      <c r="AV839" t="s">
        <v>156</v>
      </c>
      <c r="AW839">
        <v>1</v>
      </c>
      <c r="AX839" t="s">
        <v>129</v>
      </c>
      <c r="AY839">
        <v>45903.69</v>
      </c>
      <c r="AZ839">
        <v>3522392</v>
      </c>
      <c r="BA839">
        <v>54787.29</v>
      </c>
      <c r="BB839">
        <v>76.734399999999994</v>
      </c>
      <c r="BC839" t="s">
        <v>130</v>
      </c>
      <c r="BD839" t="s">
        <v>112</v>
      </c>
      <c r="BE839" t="s">
        <v>157</v>
      </c>
      <c r="BF839" t="s">
        <v>133</v>
      </c>
      <c r="BG839" t="s">
        <v>134</v>
      </c>
      <c r="BH839" t="s">
        <v>112</v>
      </c>
      <c r="BI839" t="s">
        <v>112</v>
      </c>
      <c r="BJ839" t="s">
        <v>112</v>
      </c>
      <c r="BK839" t="s">
        <v>169</v>
      </c>
      <c r="BL839" t="s">
        <v>159</v>
      </c>
      <c r="BM839" t="s">
        <v>212</v>
      </c>
      <c r="BN839" t="s">
        <v>161</v>
      </c>
      <c r="BO839">
        <v>1</v>
      </c>
      <c r="BP839" t="s">
        <v>462</v>
      </c>
      <c r="BR839" t="s">
        <v>150</v>
      </c>
      <c r="BS839">
        <v>33</v>
      </c>
      <c r="BT839">
        <v>0</v>
      </c>
      <c r="BU839">
        <v>0</v>
      </c>
      <c r="BW839">
        <v>0</v>
      </c>
      <c r="BY839" t="s">
        <v>106</v>
      </c>
      <c r="BZ839" t="s">
        <v>142</v>
      </c>
      <c r="CA839" t="s">
        <v>112</v>
      </c>
      <c r="CB839" t="s">
        <v>112</v>
      </c>
      <c r="CC839" t="s">
        <v>121</v>
      </c>
      <c r="CD839">
        <v>16918.599999999999</v>
      </c>
      <c r="CE839" t="s">
        <v>144</v>
      </c>
      <c r="CF839">
        <v>4000000</v>
      </c>
      <c r="CG839">
        <v>16882.599999999999</v>
      </c>
      <c r="CH839">
        <v>0</v>
      </c>
      <c r="CI839" t="s">
        <v>112</v>
      </c>
      <c r="CJ839" t="s">
        <v>112</v>
      </c>
      <c r="CK839">
        <v>45903.69</v>
      </c>
      <c r="CL839">
        <v>3522392</v>
      </c>
      <c r="CM839">
        <v>0</v>
      </c>
      <c r="CN839">
        <v>1</v>
      </c>
      <c r="CO839">
        <v>3856186.75</v>
      </c>
      <c r="CP839">
        <v>54787.29</v>
      </c>
      <c r="CQ839" t="s">
        <v>145</v>
      </c>
      <c r="CR839">
        <v>54787.413519999995</v>
      </c>
      <c r="CS839">
        <v>3.2452000000000001</v>
      </c>
      <c r="CT839">
        <v>45</v>
      </c>
      <c r="CU839" t="s">
        <v>171</v>
      </c>
      <c r="CV839" t="s">
        <v>463</v>
      </c>
      <c r="CW839">
        <v>549</v>
      </c>
    </row>
    <row r="840" spans="1:101" x14ac:dyDescent="0.2">
      <c r="A840" t="s">
        <v>106</v>
      </c>
      <c r="B840" s="46">
        <v>45086</v>
      </c>
      <c r="C840" t="s">
        <v>467</v>
      </c>
      <c r="D840" t="s">
        <v>108</v>
      </c>
      <c r="E840" t="s">
        <v>468</v>
      </c>
      <c r="F840" t="s">
        <v>110</v>
      </c>
      <c r="G840" t="s">
        <v>111</v>
      </c>
      <c r="H840" t="s">
        <v>112</v>
      </c>
      <c r="I840" t="s">
        <v>112</v>
      </c>
      <c r="J840" t="s">
        <v>112</v>
      </c>
      <c r="K840" t="s">
        <v>469</v>
      </c>
      <c r="L840" t="s">
        <v>448</v>
      </c>
      <c r="M840" t="s">
        <v>112</v>
      </c>
      <c r="N840" t="s">
        <v>112</v>
      </c>
      <c r="O840">
        <v>1</v>
      </c>
      <c r="P840">
        <v>0</v>
      </c>
      <c r="Q840">
        <v>1</v>
      </c>
      <c r="R840">
        <v>33</v>
      </c>
      <c r="S840" t="s">
        <v>166</v>
      </c>
      <c r="T840" t="s">
        <v>152</v>
      </c>
      <c r="U840" t="s">
        <v>153</v>
      </c>
      <c r="V840" t="s">
        <v>154</v>
      </c>
      <c r="W840" t="s">
        <v>119</v>
      </c>
      <c r="X840" t="s">
        <v>112</v>
      </c>
      <c r="Y840" t="s">
        <v>166</v>
      </c>
      <c r="Z840" t="s">
        <v>152</v>
      </c>
      <c r="AA840" t="s">
        <v>153</v>
      </c>
      <c r="AB840" t="s">
        <v>154</v>
      </c>
      <c r="AC840" t="s">
        <v>119</v>
      </c>
      <c r="AD840" t="s">
        <v>112</v>
      </c>
      <c r="AE840" t="s">
        <v>121</v>
      </c>
      <c r="AF840" t="s">
        <v>122</v>
      </c>
      <c r="AG840">
        <v>3270751.62</v>
      </c>
      <c r="AH840" t="s">
        <v>166</v>
      </c>
      <c r="AI840" t="s">
        <v>152</v>
      </c>
      <c r="AJ840" t="s">
        <v>153</v>
      </c>
      <c r="AK840" t="s">
        <v>154</v>
      </c>
      <c r="AL840" t="s">
        <v>119</v>
      </c>
      <c r="AM840" t="s">
        <v>112</v>
      </c>
      <c r="AN840" t="s">
        <v>121</v>
      </c>
      <c r="AO840" t="s">
        <v>122</v>
      </c>
      <c r="AP840" t="s">
        <v>122</v>
      </c>
      <c r="AQ840" t="s">
        <v>124</v>
      </c>
      <c r="AR840" t="s">
        <v>125</v>
      </c>
      <c r="AS840">
        <v>2</v>
      </c>
      <c r="AT840" t="s">
        <v>126</v>
      </c>
      <c r="AU840" t="s">
        <v>155</v>
      </c>
      <c r="AV840" t="s">
        <v>156</v>
      </c>
      <c r="AW840">
        <v>1</v>
      </c>
      <c r="AX840" t="s">
        <v>129</v>
      </c>
      <c r="AY840">
        <v>38274.32</v>
      </c>
      <c r="AZ840">
        <v>2936957</v>
      </c>
      <c r="BA840">
        <v>46469.64</v>
      </c>
      <c r="BB840">
        <v>76.734399999999994</v>
      </c>
      <c r="BC840" t="s">
        <v>130</v>
      </c>
      <c r="BD840" t="s">
        <v>112</v>
      </c>
      <c r="BE840" t="s">
        <v>157</v>
      </c>
      <c r="BF840" t="s">
        <v>133</v>
      </c>
      <c r="BG840" t="s">
        <v>134</v>
      </c>
      <c r="BH840" t="s">
        <v>112</v>
      </c>
      <c r="BI840" t="s">
        <v>112</v>
      </c>
      <c r="BJ840" t="s">
        <v>112</v>
      </c>
      <c r="BK840" t="s">
        <v>169</v>
      </c>
      <c r="BL840" t="s">
        <v>159</v>
      </c>
      <c r="BM840" t="s">
        <v>212</v>
      </c>
      <c r="BN840" t="s">
        <v>161</v>
      </c>
      <c r="BO840">
        <v>1</v>
      </c>
      <c r="BP840" t="s">
        <v>470</v>
      </c>
      <c r="BR840" t="s">
        <v>150</v>
      </c>
      <c r="BS840">
        <v>33</v>
      </c>
      <c r="BT840">
        <v>0</v>
      </c>
      <c r="BU840">
        <v>0</v>
      </c>
      <c r="BW840">
        <v>0</v>
      </c>
      <c r="BY840" t="s">
        <v>106</v>
      </c>
      <c r="BZ840" t="s">
        <v>142</v>
      </c>
      <c r="CA840" t="s">
        <v>112</v>
      </c>
      <c r="CB840" t="s">
        <v>112</v>
      </c>
      <c r="CC840" t="s">
        <v>121</v>
      </c>
      <c r="CD840">
        <v>16395.240000000002</v>
      </c>
      <c r="CE840" t="s">
        <v>144</v>
      </c>
      <c r="CF840">
        <v>4000000</v>
      </c>
      <c r="CG840">
        <v>16290.84</v>
      </c>
      <c r="CH840">
        <v>0</v>
      </c>
      <c r="CI840" t="s">
        <v>112</v>
      </c>
      <c r="CJ840" t="s">
        <v>112</v>
      </c>
      <c r="CK840">
        <v>38274.32</v>
      </c>
      <c r="CL840">
        <v>2936957</v>
      </c>
      <c r="CM840">
        <v>0</v>
      </c>
      <c r="CN840">
        <v>1</v>
      </c>
      <c r="CO840">
        <v>3270751.62</v>
      </c>
      <c r="CP840">
        <v>46469.64</v>
      </c>
      <c r="CQ840" t="s">
        <v>145</v>
      </c>
      <c r="CR840">
        <v>46469.621100000004</v>
      </c>
      <c r="CS840">
        <v>2.8525</v>
      </c>
      <c r="CT840">
        <v>45</v>
      </c>
      <c r="CU840" t="s">
        <v>171</v>
      </c>
      <c r="CV840" t="s">
        <v>372</v>
      </c>
      <c r="CW840">
        <v>152</v>
      </c>
    </row>
    <row r="841" spans="1:101" x14ac:dyDescent="0.2">
      <c r="A841" t="s">
        <v>106</v>
      </c>
      <c r="B841" s="46">
        <v>44993</v>
      </c>
      <c r="C841" t="s">
        <v>464</v>
      </c>
      <c r="D841" t="s">
        <v>108</v>
      </c>
      <c r="E841" t="s">
        <v>465</v>
      </c>
      <c r="F841" t="s">
        <v>110</v>
      </c>
      <c r="G841" t="s">
        <v>111</v>
      </c>
      <c r="H841" t="s">
        <v>112</v>
      </c>
      <c r="I841" t="s">
        <v>112</v>
      </c>
      <c r="J841" t="s">
        <v>112</v>
      </c>
      <c r="K841" t="s">
        <v>150</v>
      </c>
      <c r="L841" t="s">
        <v>151</v>
      </c>
      <c r="M841" t="s">
        <v>112</v>
      </c>
      <c r="N841" t="s">
        <v>112</v>
      </c>
      <c r="O841">
        <v>1</v>
      </c>
      <c r="P841">
        <v>0</v>
      </c>
      <c r="Q841">
        <v>1</v>
      </c>
      <c r="R841">
        <v>33</v>
      </c>
      <c r="S841" t="s">
        <v>166</v>
      </c>
      <c r="T841" t="s">
        <v>152</v>
      </c>
      <c r="U841" t="s">
        <v>153</v>
      </c>
      <c r="V841" t="s">
        <v>154</v>
      </c>
      <c r="W841" t="s">
        <v>119</v>
      </c>
      <c r="X841" t="s">
        <v>112</v>
      </c>
      <c r="Y841" t="s">
        <v>166</v>
      </c>
      <c r="Z841" t="s">
        <v>152</v>
      </c>
      <c r="AA841" t="s">
        <v>153</v>
      </c>
      <c r="AB841" t="s">
        <v>154</v>
      </c>
      <c r="AC841" t="s">
        <v>119</v>
      </c>
      <c r="AD841" t="s">
        <v>112</v>
      </c>
      <c r="AE841" t="s">
        <v>121</v>
      </c>
      <c r="AF841" t="s">
        <v>122</v>
      </c>
      <c r="AG841">
        <v>3629012.26</v>
      </c>
      <c r="AH841" t="s">
        <v>166</v>
      </c>
      <c r="AI841" t="s">
        <v>152</v>
      </c>
      <c r="AJ841" t="s">
        <v>153</v>
      </c>
      <c r="AK841" t="s">
        <v>154</v>
      </c>
      <c r="AL841" t="s">
        <v>119</v>
      </c>
      <c r="AM841" t="s">
        <v>112</v>
      </c>
      <c r="AN841" t="s">
        <v>121</v>
      </c>
      <c r="AO841" t="s">
        <v>122</v>
      </c>
      <c r="AP841" t="s">
        <v>122</v>
      </c>
      <c r="AQ841" t="s">
        <v>124</v>
      </c>
      <c r="AR841" t="s">
        <v>125</v>
      </c>
      <c r="AS841">
        <v>2</v>
      </c>
      <c r="AT841" t="s">
        <v>126</v>
      </c>
      <c r="AU841" t="s">
        <v>155</v>
      </c>
      <c r="AV841" t="s">
        <v>156</v>
      </c>
      <c r="AW841">
        <v>1</v>
      </c>
      <c r="AX841" t="s">
        <v>129</v>
      </c>
      <c r="AY841">
        <v>42943.16</v>
      </c>
      <c r="AZ841">
        <v>3295218</v>
      </c>
      <c r="BA841">
        <v>51559.68</v>
      </c>
      <c r="BB841">
        <v>76.734399999999994</v>
      </c>
      <c r="BC841" t="s">
        <v>130</v>
      </c>
      <c r="BD841" t="s">
        <v>112</v>
      </c>
      <c r="BE841" t="s">
        <v>157</v>
      </c>
      <c r="BF841" t="s">
        <v>133</v>
      </c>
      <c r="BG841" t="s">
        <v>167</v>
      </c>
      <c r="BH841" t="s">
        <v>168</v>
      </c>
      <c r="BI841" t="s">
        <v>112</v>
      </c>
      <c r="BJ841" t="s">
        <v>112</v>
      </c>
      <c r="BK841" t="s">
        <v>169</v>
      </c>
      <c r="BL841" t="s">
        <v>159</v>
      </c>
      <c r="BM841" t="s">
        <v>160</v>
      </c>
      <c r="BN841" t="s">
        <v>161</v>
      </c>
      <c r="BO841">
        <v>1</v>
      </c>
      <c r="BP841" t="s">
        <v>466</v>
      </c>
      <c r="BR841" t="s">
        <v>150</v>
      </c>
      <c r="BS841">
        <v>33</v>
      </c>
      <c r="BT841">
        <v>0</v>
      </c>
      <c r="BU841">
        <v>0</v>
      </c>
      <c r="BW841">
        <v>0</v>
      </c>
      <c r="BY841" t="s">
        <v>106</v>
      </c>
      <c r="BZ841" t="s">
        <v>142</v>
      </c>
      <c r="CA841" t="s">
        <v>112</v>
      </c>
      <c r="CB841" t="s">
        <v>112</v>
      </c>
      <c r="CC841" t="s">
        <v>121</v>
      </c>
      <c r="CD841">
        <v>16456.990000000002</v>
      </c>
      <c r="CE841" t="s">
        <v>144</v>
      </c>
      <c r="CF841">
        <v>4000000</v>
      </c>
      <c r="CG841">
        <v>16420.990000000002</v>
      </c>
      <c r="CH841">
        <v>0</v>
      </c>
      <c r="CI841" t="s">
        <v>112</v>
      </c>
      <c r="CJ841" t="s">
        <v>112</v>
      </c>
      <c r="CK841">
        <v>42943.16</v>
      </c>
      <c r="CL841">
        <v>3295218</v>
      </c>
      <c r="CM841">
        <v>0</v>
      </c>
      <c r="CN841">
        <v>1</v>
      </c>
      <c r="CO841">
        <v>3629012.26</v>
      </c>
      <c r="CP841">
        <v>51559.68</v>
      </c>
      <c r="CQ841" t="s">
        <v>145</v>
      </c>
      <c r="CR841">
        <v>51560.266501000006</v>
      </c>
      <c r="CS841">
        <v>3.1398999999999999</v>
      </c>
      <c r="CT841">
        <v>45</v>
      </c>
      <c r="CU841" t="s">
        <v>171</v>
      </c>
      <c r="CV841" t="s">
        <v>369</v>
      </c>
      <c r="CW841">
        <v>278</v>
      </c>
    </row>
    <row r="842" spans="1:101" x14ac:dyDescent="0.2">
      <c r="A842" t="s">
        <v>106</v>
      </c>
      <c r="B842" s="46">
        <v>44768</v>
      </c>
      <c r="C842" t="s">
        <v>310</v>
      </c>
      <c r="D842" t="s">
        <v>108</v>
      </c>
      <c r="E842" t="s">
        <v>311</v>
      </c>
      <c r="F842" t="s">
        <v>110</v>
      </c>
      <c r="G842" t="s">
        <v>111</v>
      </c>
      <c r="H842" t="s">
        <v>112</v>
      </c>
      <c r="I842" t="s">
        <v>112</v>
      </c>
      <c r="J842" t="s">
        <v>112</v>
      </c>
      <c r="K842" t="s">
        <v>175</v>
      </c>
      <c r="L842" t="s">
        <v>176</v>
      </c>
      <c r="M842" t="s">
        <v>112</v>
      </c>
      <c r="N842" t="s">
        <v>112</v>
      </c>
      <c r="O842">
        <v>1</v>
      </c>
      <c r="P842">
        <v>0</v>
      </c>
      <c r="Q842">
        <v>1</v>
      </c>
      <c r="R842">
        <v>33</v>
      </c>
      <c r="S842" t="s">
        <v>166</v>
      </c>
      <c r="T842" t="s">
        <v>152</v>
      </c>
      <c r="U842" t="s">
        <v>153</v>
      </c>
      <c r="V842" t="s">
        <v>177</v>
      </c>
      <c r="W842" t="s">
        <v>119</v>
      </c>
      <c r="X842" t="s">
        <v>112</v>
      </c>
      <c r="Y842" t="s">
        <v>166</v>
      </c>
      <c r="Z842" t="s">
        <v>152</v>
      </c>
      <c r="AA842" t="s">
        <v>153</v>
      </c>
      <c r="AB842" t="s">
        <v>177</v>
      </c>
      <c r="AC842" t="s">
        <v>119</v>
      </c>
      <c r="AD842" t="s">
        <v>112</v>
      </c>
      <c r="AE842" t="s">
        <v>121</v>
      </c>
      <c r="AF842" t="s">
        <v>122</v>
      </c>
      <c r="AG842">
        <v>3799559.88</v>
      </c>
      <c r="AH842" t="s">
        <v>166</v>
      </c>
      <c r="AI842" t="s">
        <v>152</v>
      </c>
      <c r="AJ842" t="s">
        <v>153</v>
      </c>
      <c r="AK842" t="s">
        <v>177</v>
      </c>
      <c r="AL842" t="s">
        <v>119</v>
      </c>
      <c r="AM842" t="s">
        <v>112</v>
      </c>
      <c r="AN842" t="s">
        <v>121</v>
      </c>
      <c r="AO842" t="s">
        <v>122</v>
      </c>
      <c r="AP842" t="s">
        <v>122</v>
      </c>
      <c r="AQ842" t="s">
        <v>124</v>
      </c>
      <c r="AR842" t="s">
        <v>125</v>
      </c>
      <c r="AS842">
        <v>2</v>
      </c>
      <c r="AT842" t="s">
        <v>106</v>
      </c>
      <c r="AU842" t="s">
        <v>155</v>
      </c>
      <c r="AV842" t="s">
        <v>156</v>
      </c>
      <c r="AW842">
        <v>1</v>
      </c>
      <c r="AX842" t="s">
        <v>129</v>
      </c>
      <c r="AY842">
        <v>46878.84</v>
      </c>
      <c r="AZ842">
        <v>3546633</v>
      </c>
      <c r="BA842">
        <v>54018.98</v>
      </c>
      <c r="BB842">
        <v>75.655299999999997</v>
      </c>
      <c r="BC842" t="s">
        <v>130</v>
      </c>
      <c r="BD842" t="s">
        <v>112</v>
      </c>
      <c r="BE842" t="s">
        <v>157</v>
      </c>
      <c r="BF842" t="s">
        <v>133</v>
      </c>
      <c r="BG842" t="s">
        <v>134</v>
      </c>
      <c r="BH842" t="s">
        <v>112</v>
      </c>
      <c r="BI842" t="s">
        <v>178</v>
      </c>
      <c r="BJ842" t="s">
        <v>112</v>
      </c>
      <c r="BK842" t="s">
        <v>125</v>
      </c>
      <c r="BL842" t="s">
        <v>179</v>
      </c>
      <c r="BM842" t="s">
        <v>180</v>
      </c>
      <c r="BN842" t="s">
        <v>181</v>
      </c>
      <c r="BO842">
        <v>1</v>
      </c>
      <c r="BP842" t="s">
        <v>312</v>
      </c>
      <c r="BR842" t="s">
        <v>150</v>
      </c>
      <c r="BS842">
        <v>33</v>
      </c>
      <c r="BT842">
        <v>1</v>
      </c>
      <c r="BU842">
        <v>0</v>
      </c>
      <c r="BW842">
        <v>0</v>
      </c>
      <c r="BY842" t="s">
        <v>106</v>
      </c>
      <c r="BZ842" t="s">
        <v>142</v>
      </c>
      <c r="CA842" t="s">
        <v>112</v>
      </c>
      <c r="CB842" t="s">
        <v>112</v>
      </c>
      <c r="CC842" t="s">
        <v>121</v>
      </c>
      <c r="CD842">
        <v>14651.32</v>
      </c>
      <c r="CE842" t="s">
        <v>144</v>
      </c>
      <c r="CF842">
        <v>4000000</v>
      </c>
      <c r="CG842">
        <v>14463.52</v>
      </c>
      <c r="CH842">
        <v>0</v>
      </c>
      <c r="CI842" t="s">
        <v>112</v>
      </c>
      <c r="CJ842" t="s">
        <v>112</v>
      </c>
      <c r="CK842">
        <v>46878.84</v>
      </c>
      <c r="CL842">
        <v>3546633</v>
      </c>
      <c r="CM842">
        <v>0</v>
      </c>
      <c r="CN842">
        <v>1</v>
      </c>
      <c r="CO842">
        <v>3799559.88</v>
      </c>
      <c r="CP842">
        <v>54018.98</v>
      </c>
      <c r="CQ842" t="s">
        <v>145</v>
      </c>
      <c r="CR842">
        <v>54018.354496</v>
      </c>
      <c r="CS842">
        <v>3.7347999999999999</v>
      </c>
      <c r="CT842">
        <v>941</v>
      </c>
      <c r="CU842" t="s">
        <v>183</v>
      </c>
      <c r="CV842" t="s">
        <v>147</v>
      </c>
      <c r="CW842">
        <v>159</v>
      </c>
    </row>
    <row r="843" spans="1:101" x14ac:dyDescent="0.2">
      <c r="A843" t="s">
        <v>106</v>
      </c>
      <c r="B843" s="46">
        <v>44948</v>
      </c>
      <c r="C843" t="s">
        <v>923</v>
      </c>
      <c r="D843" t="s">
        <v>108</v>
      </c>
      <c r="E843" t="s">
        <v>924</v>
      </c>
      <c r="F843" t="s">
        <v>110</v>
      </c>
      <c r="G843" t="s">
        <v>111</v>
      </c>
      <c r="H843" t="s">
        <v>112</v>
      </c>
      <c r="I843" t="s">
        <v>112</v>
      </c>
      <c r="J843" t="s">
        <v>112</v>
      </c>
      <c r="K843" t="s">
        <v>150</v>
      </c>
      <c r="L843" t="s">
        <v>151</v>
      </c>
      <c r="M843" t="s">
        <v>112</v>
      </c>
      <c r="N843" t="s">
        <v>112</v>
      </c>
      <c r="O843">
        <v>1</v>
      </c>
      <c r="Q843">
        <v>1</v>
      </c>
      <c r="R843">
        <v>33</v>
      </c>
      <c r="S843" t="s">
        <v>112</v>
      </c>
      <c r="T843" t="s">
        <v>152</v>
      </c>
      <c r="U843" t="s">
        <v>153</v>
      </c>
      <c r="V843" t="s">
        <v>154</v>
      </c>
      <c r="W843" t="s">
        <v>119</v>
      </c>
      <c r="X843" t="s">
        <v>112</v>
      </c>
      <c r="Y843" t="s">
        <v>112</v>
      </c>
      <c r="Z843" t="s">
        <v>152</v>
      </c>
      <c r="AA843" t="s">
        <v>153</v>
      </c>
      <c r="AB843" t="s">
        <v>154</v>
      </c>
      <c r="AC843" t="s">
        <v>119</v>
      </c>
      <c r="AD843" t="s">
        <v>112</v>
      </c>
      <c r="AE843" t="s">
        <v>121</v>
      </c>
      <c r="AF843" t="s">
        <v>122</v>
      </c>
      <c r="AG843">
        <v>4322507.91</v>
      </c>
      <c r="AH843" t="s">
        <v>112</v>
      </c>
      <c r="AI843" t="s">
        <v>152</v>
      </c>
      <c r="AJ843" t="s">
        <v>153</v>
      </c>
      <c r="AK843" t="s">
        <v>154</v>
      </c>
      <c r="AL843" t="s">
        <v>119</v>
      </c>
      <c r="AM843" t="s">
        <v>112</v>
      </c>
      <c r="AN843" t="s">
        <v>121</v>
      </c>
      <c r="AO843" t="s">
        <v>122</v>
      </c>
      <c r="AP843" t="s">
        <v>122</v>
      </c>
      <c r="AQ843" t="s">
        <v>124</v>
      </c>
      <c r="AR843" t="s">
        <v>125</v>
      </c>
      <c r="AS843">
        <v>2</v>
      </c>
      <c r="AT843" t="s">
        <v>126</v>
      </c>
      <c r="AU843" t="s">
        <v>155</v>
      </c>
      <c r="AV843" t="s">
        <v>156</v>
      </c>
      <c r="AX843" t="s">
        <v>129</v>
      </c>
      <c r="AY843">
        <v>39329.14</v>
      </c>
      <c r="BB843">
        <v>98.576800000000006</v>
      </c>
      <c r="BC843" t="s">
        <v>112</v>
      </c>
      <c r="BD843" t="s">
        <v>112</v>
      </c>
      <c r="BE843" t="s">
        <v>157</v>
      </c>
      <c r="BF843" t="s">
        <v>133</v>
      </c>
      <c r="BG843" t="s">
        <v>167</v>
      </c>
      <c r="BH843" t="s">
        <v>112</v>
      </c>
      <c r="BI843" t="s">
        <v>112</v>
      </c>
      <c r="BJ843" t="s">
        <v>112</v>
      </c>
      <c r="BK843" t="s">
        <v>158</v>
      </c>
      <c r="BL843" t="s">
        <v>159</v>
      </c>
      <c r="BM843" t="s">
        <v>160</v>
      </c>
      <c r="BN843" t="s">
        <v>161</v>
      </c>
      <c r="BP843" t="s">
        <v>205</v>
      </c>
      <c r="BR843" t="s">
        <v>150</v>
      </c>
      <c r="BS843">
        <v>33</v>
      </c>
      <c r="BT843">
        <v>0</v>
      </c>
      <c r="BU843">
        <v>0</v>
      </c>
      <c r="BW843">
        <v>0</v>
      </c>
      <c r="BY843" t="s">
        <v>106</v>
      </c>
      <c r="BZ843" t="s">
        <v>142</v>
      </c>
      <c r="CA843" t="s">
        <v>112</v>
      </c>
      <c r="CB843" t="s">
        <v>112</v>
      </c>
      <c r="CC843" t="s">
        <v>121</v>
      </c>
      <c r="CD843">
        <v>16717.36</v>
      </c>
      <c r="CE843" t="s">
        <v>144</v>
      </c>
      <c r="CF843">
        <v>4000000</v>
      </c>
      <c r="CG843">
        <v>16717.36</v>
      </c>
      <c r="CH843">
        <v>0</v>
      </c>
      <c r="CI843" t="s">
        <v>112</v>
      </c>
      <c r="CJ843" t="s">
        <v>112</v>
      </c>
      <c r="CK843">
        <v>39329.14</v>
      </c>
      <c r="CM843">
        <v>0</v>
      </c>
      <c r="CN843">
        <v>1</v>
      </c>
      <c r="CO843">
        <v>4322507.91</v>
      </c>
      <c r="CP843">
        <v>47671.49</v>
      </c>
      <c r="CQ843" t="s">
        <v>145</v>
      </c>
      <c r="CR843">
        <v>47644.476000000002</v>
      </c>
      <c r="CS843">
        <v>2.85</v>
      </c>
      <c r="CT843">
        <v>45</v>
      </c>
      <c r="CV843" t="s">
        <v>729</v>
      </c>
      <c r="CW843">
        <v>301</v>
      </c>
    </row>
    <row r="844" spans="1:101" x14ac:dyDescent="0.2">
      <c r="A844" t="s">
        <v>106</v>
      </c>
      <c r="B844" s="46">
        <v>44872</v>
      </c>
      <c r="C844" t="s">
        <v>2067</v>
      </c>
      <c r="D844" t="s">
        <v>108</v>
      </c>
      <c r="E844" t="s">
        <v>2068</v>
      </c>
      <c r="F844" t="s">
        <v>110</v>
      </c>
      <c r="G844" t="s">
        <v>111</v>
      </c>
      <c r="H844" t="s">
        <v>112</v>
      </c>
      <c r="I844" t="s">
        <v>112</v>
      </c>
      <c r="J844" t="s">
        <v>112</v>
      </c>
      <c r="K844" t="s">
        <v>150</v>
      </c>
      <c r="L844" t="s">
        <v>151</v>
      </c>
      <c r="M844" t="s">
        <v>112</v>
      </c>
      <c r="N844" t="s">
        <v>112</v>
      </c>
      <c r="O844">
        <v>1</v>
      </c>
      <c r="Q844">
        <v>1</v>
      </c>
      <c r="R844">
        <v>33</v>
      </c>
      <c r="S844" t="s">
        <v>112</v>
      </c>
      <c r="T844" t="s">
        <v>152</v>
      </c>
      <c r="U844" t="s">
        <v>153</v>
      </c>
      <c r="V844" t="s">
        <v>154</v>
      </c>
      <c r="W844" t="s">
        <v>119</v>
      </c>
      <c r="X844" t="s">
        <v>112</v>
      </c>
      <c r="Y844" t="s">
        <v>112</v>
      </c>
      <c r="Z844" t="s">
        <v>152</v>
      </c>
      <c r="AA844" t="s">
        <v>153</v>
      </c>
      <c r="AB844" t="s">
        <v>154</v>
      </c>
      <c r="AC844" t="s">
        <v>119</v>
      </c>
      <c r="AD844" t="s">
        <v>112</v>
      </c>
      <c r="AE844" t="s">
        <v>121</v>
      </c>
      <c r="AF844" t="s">
        <v>122</v>
      </c>
      <c r="AG844">
        <v>4576141.5999999996</v>
      </c>
      <c r="AH844" t="s">
        <v>112</v>
      </c>
      <c r="AI844" t="s">
        <v>152</v>
      </c>
      <c r="AJ844" t="s">
        <v>153</v>
      </c>
      <c r="AK844" t="s">
        <v>154</v>
      </c>
      <c r="AL844" t="s">
        <v>119</v>
      </c>
      <c r="AM844" t="s">
        <v>112</v>
      </c>
      <c r="AN844" t="s">
        <v>121</v>
      </c>
      <c r="AO844" t="s">
        <v>122</v>
      </c>
      <c r="AP844" t="s">
        <v>122</v>
      </c>
      <c r="AQ844" t="s">
        <v>124</v>
      </c>
      <c r="AR844" t="s">
        <v>125</v>
      </c>
      <c r="AS844">
        <v>2</v>
      </c>
      <c r="AT844" t="s">
        <v>126</v>
      </c>
      <c r="AU844" t="s">
        <v>155</v>
      </c>
      <c r="AV844" t="s">
        <v>156</v>
      </c>
      <c r="AX844" t="s">
        <v>129</v>
      </c>
      <c r="AY844">
        <v>39883.79</v>
      </c>
      <c r="BB844">
        <v>104.30240000000001</v>
      </c>
      <c r="BC844" t="s">
        <v>112</v>
      </c>
      <c r="BD844" t="s">
        <v>112</v>
      </c>
      <c r="BE844" t="s">
        <v>157</v>
      </c>
      <c r="BF844" t="s">
        <v>133</v>
      </c>
      <c r="BG844" t="s">
        <v>134</v>
      </c>
      <c r="BH844" t="s">
        <v>112</v>
      </c>
      <c r="BI844" t="s">
        <v>112</v>
      </c>
      <c r="BJ844" t="s">
        <v>112</v>
      </c>
      <c r="BK844" t="s">
        <v>158</v>
      </c>
      <c r="BL844" t="s">
        <v>159</v>
      </c>
      <c r="BM844" t="s">
        <v>212</v>
      </c>
      <c r="BN844" t="s">
        <v>161</v>
      </c>
      <c r="BP844" t="s">
        <v>162</v>
      </c>
      <c r="BR844" t="s">
        <v>150</v>
      </c>
      <c r="BS844">
        <v>33</v>
      </c>
      <c r="BT844">
        <v>0</v>
      </c>
      <c r="BU844">
        <v>0</v>
      </c>
      <c r="BW844">
        <v>0</v>
      </c>
      <c r="BY844" t="s">
        <v>106</v>
      </c>
      <c r="BZ844" t="s">
        <v>142</v>
      </c>
      <c r="CA844" t="s">
        <v>112</v>
      </c>
      <c r="CB844" t="s">
        <v>112</v>
      </c>
      <c r="CC844" t="s">
        <v>121</v>
      </c>
      <c r="CD844">
        <v>15279.23</v>
      </c>
      <c r="CE844" t="s">
        <v>144</v>
      </c>
      <c r="CF844">
        <v>4000000</v>
      </c>
      <c r="CG844">
        <v>15075.84</v>
      </c>
      <c r="CH844">
        <v>0</v>
      </c>
      <c r="CI844" t="s">
        <v>112</v>
      </c>
      <c r="CJ844" t="s">
        <v>112</v>
      </c>
      <c r="CK844">
        <v>39883.79</v>
      </c>
      <c r="CM844">
        <v>0</v>
      </c>
      <c r="CN844">
        <v>1</v>
      </c>
      <c r="CO844">
        <v>4576141.5999999996</v>
      </c>
      <c r="CP844">
        <v>46011.95</v>
      </c>
      <c r="CQ844" t="s">
        <v>145</v>
      </c>
      <c r="CR844">
        <v>45981.311999999998</v>
      </c>
      <c r="CS844">
        <v>3.05</v>
      </c>
      <c r="CT844">
        <v>45</v>
      </c>
      <c r="CV844" t="s">
        <v>1140</v>
      </c>
      <c r="CW844">
        <v>337</v>
      </c>
    </row>
    <row r="845" spans="1:101" x14ac:dyDescent="0.2">
      <c r="A845" t="s">
        <v>106</v>
      </c>
      <c r="B845" s="46">
        <v>45080</v>
      </c>
      <c r="C845" t="s">
        <v>2087</v>
      </c>
      <c r="D845" t="s">
        <v>108</v>
      </c>
      <c r="E845" t="s">
        <v>2088</v>
      </c>
      <c r="F845" t="s">
        <v>110</v>
      </c>
      <c r="G845" t="s">
        <v>111</v>
      </c>
      <c r="H845" t="s">
        <v>112</v>
      </c>
      <c r="I845" t="s">
        <v>112</v>
      </c>
      <c r="J845" t="s">
        <v>112</v>
      </c>
      <c r="K845" t="s">
        <v>150</v>
      </c>
      <c r="L845" t="s">
        <v>151</v>
      </c>
      <c r="M845" t="s">
        <v>112</v>
      </c>
      <c r="N845" t="s">
        <v>112</v>
      </c>
      <c r="O845">
        <v>1</v>
      </c>
      <c r="Q845">
        <v>1</v>
      </c>
      <c r="R845">
        <v>33</v>
      </c>
      <c r="S845" t="s">
        <v>112</v>
      </c>
      <c r="T845" t="s">
        <v>152</v>
      </c>
      <c r="U845" t="s">
        <v>153</v>
      </c>
      <c r="V845" t="s">
        <v>154</v>
      </c>
      <c r="W845" t="s">
        <v>119</v>
      </c>
      <c r="X845" t="s">
        <v>112</v>
      </c>
      <c r="Y845" t="s">
        <v>112</v>
      </c>
      <c r="Z845" t="s">
        <v>152</v>
      </c>
      <c r="AA845" t="s">
        <v>153</v>
      </c>
      <c r="AB845" t="s">
        <v>154</v>
      </c>
      <c r="AC845" t="s">
        <v>119</v>
      </c>
      <c r="AD845" t="s">
        <v>112</v>
      </c>
      <c r="AE845" t="s">
        <v>121</v>
      </c>
      <c r="AF845" t="s">
        <v>122</v>
      </c>
      <c r="AG845">
        <v>4421344.32</v>
      </c>
      <c r="AH845" t="s">
        <v>112</v>
      </c>
      <c r="AI845" t="s">
        <v>152</v>
      </c>
      <c r="AJ845" t="s">
        <v>153</v>
      </c>
      <c r="AK845" t="s">
        <v>154</v>
      </c>
      <c r="AL845" t="s">
        <v>119</v>
      </c>
      <c r="AM845" t="s">
        <v>112</v>
      </c>
      <c r="AN845" t="s">
        <v>121</v>
      </c>
      <c r="AO845" t="s">
        <v>122</v>
      </c>
      <c r="AP845" t="s">
        <v>122</v>
      </c>
      <c r="AQ845" t="s">
        <v>124</v>
      </c>
      <c r="AR845" t="s">
        <v>125</v>
      </c>
      <c r="AS845">
        <v>2</v>
      </c>
      <c r="AT845" t="s">
        <v>126</v>
      </c>
      <c r="AU845" t="s">
        <v>155</v>
      </c>
      <c r="AV845" t="s">
        <v>156</v>
      </c>
      <c r="AX845" t="s">
        <v>129</v>
      </c>
      <c r="AY845">
        <v>38399.67</v>
      </c>
      <c r="BB845">
        <v>104.30240000000001</v>
      </c>
      <c r="BC845" t="s">
        <v>112</v>
      </c>
      <c r="BD845" t="s">
        <v>112</v>
      </c>
      <c r="BE845" t="s">
        <v>157</v>
      </c>
      <c r="BF845" t="s">
        <v>133</v>
      </c>
      <c r="BG845" t="s">
        <v>134</v>
      </c>
      <c r="BH845" t="s">
        <v>112</v>
      </c>
      <c r="BI845" t="s">
        <v>112</v>
      </c>
      <c r="BJ845" t="s">
        <v>112</v>
      </c>
      <c r="BK845" t="s">
        <v>158</v>
      </c>
      <c r="BL845" t="s">
        <v>159</v>
      </c>
      <c r="BM845" t="s">
        <v>212</v>
      </c>
      <c r="BN845" t="s">
        <v>161</v>
      </c>
      <c r="BP845" t="s">
        <v>281</v>
      </c>
      <c r="BR845" t="s">
        <v>150</v>
      </c>
      <c r="BS845">
        <v>33</v>
      </c>
      <c r="BT845">
        <v>0</v>
      </c>
      <c r="BU845">
        <v>0</v>
      </c>
      <c r="BW845">
        <v>0</v>
      </c>
      <c r="BY845" t="s">
        <v>106</v>
      </c>
      <c r="BZ845" t="s">
        <v>142</v>
      </c>
      <c r="CA845" t="s">
        <v>112</v>
      </c>
      <c r="CB845" t="s">
        <v>112</v>
      </c>
      <c r="CC845" t="s">
        <v>121</v>
      </c>
      <c r="CD845">
        <v>14533.5</v>
      </c>
      <c r="CE845" t="s">
        <v>144</v>
      </c>
      <c r="CF845">
        <v>4000000</v>
      </c>
      <c r="CG845">
        <v>14068.5</v>
      </c>
      <c r="CH845">
        <v>0</v>
      </c>
      <c r="CI845" t="s">
        <v>112</v>
      </c>
      <c r="CJ845" t="s">
        <v>112</v>
      </c>
      <c r="CK845">
        <v>38399.67</v>
      </c>
      <c r="CM845">
        <v>0</v>
      </c>
      <c r="CN845">
        <v>1</v>
      </c>
      <c r="CO845">
        <v>4421344.32</v>
      </c>
      <c r="CP845">
        <v>44455.5</v>
      </c>
      <c r="CQ845" t="s">
        <v>145</v>
      </c>
      <c r="CR845">
        <v>44456.46</v>
      </c>
      <c r="CS845">
        <v>3.16</v>
      </c>
      <c r="CT845">
        <v>45</v>
      </c>
      <c r="CV845" t="s">
        <v>233</v>
      </c>
      <c r="CW845">
        <v>150</v>
      </c>
    </row>
    <row r="846" spans="1:101" x14ac:dyDescent="0.2">
      <c r="A846" t="s">
        <v>106</v>
      </c>
      <c r="B846" s="46">
        <v>45157</v>
      </c>
      <c r="C846" t="s">
        <v>2087</v>
      </c>
      <c r="D846" t="s">
        <v>108</v>
      </c>
      <c r="E846" t="s">
        <v>2088</v>
      </c>
      <c r="F846" t="s">
        <v>110</v>
      </c>
      <c r="G846" t="s">
        <v>111</v>
      </c>
      <c r="H846" t="s">
        <v>112</v>
      </c>
      <c r="I846" t="s">
        <v>112</v>
      </c>
      <c r="J846" t="s">
        <v>112</v>
      </c>
      <c r="K846" t="s">
        <v>150</v>
      </c>
      <c r="L846" t="s">
        <v>151</v>
      </c>
      <c r="M846" t="s">
        <v>112</v>
      </c>
      <c r="N846" t="s">
        <v>112</v>
      </c>
      <c r="O846">
        <v>1</v>
      </c>
      <c r="Q846">
        <v>1</v>
      </c>
      <c r="R846">
        <v>33</v>
      </c>
      <c r="S846" t="s">
        <v>112</v>
      </c>
      <c r="T846" t="s">
        <v>152</v>
      </c>
      <c r="U846" t="s">
        <v>153</v>
      </c>
      <c r="V846" t="s">
        <v>154</v>
      </c>
      <c r="W846" t="s">
        <v>119</v>
      </c>
      <c r="X846" t="s">
        <v>112</v>
      </c>
      <c r="Y846" t="s">
        <v>112</v>
      </c>
      <c r="Z846" t="s">
        <v>152</v>
      </c>
      <c r="AA846" t="s">
        <v>153</v>
      </c>
      <c r="AB846" t="s">
        <v>154</v>
      </c>
      <c r="AC846" t="s">
        <v>119</v>
      </c>
      <c r="AD846" t="s">
        <v>112</v>
      </c>
      <c r="AE846" t="s">
        <v>121</v>
      </c>
      <c r="AF846" t="s">
        <v>122</v>
      </c>
      <c r="AG846">
        <v>4421344.32</v>
      </c>
      <c r="AH846" t="s">
        <v>112</v>
      </c>
      <c r="AI846" t="s">
        <v>152</v>
      </c>
      <c r="AJ846" t="s">
        <v>153</v>
      </c>
      <c r="AK846" t="s">
        <v>154</v>
      </c>
      <c r="AL846" t="s">
        <v>119</v>
      </c>
      <c r="AM846" t="s">
        <v>112</v>
      </c>
      <c r="AN846" t="s">
        <v>121</v>
      </c>
      <c r="AO846" t="s">
        <v>122</v>
      </c>
      <c r="AP846" t="s">
        <v>122</v>
      </c>
      <c r="AQ846" t="s">
        <v>124</v>
      </c>
      <c r="AR846" t="s">
        <v>125</v>
      </c>
      <c r="AS846">
        <v>2</v>
      </c>
      <c r="AT846" t="s">
        <v>126</v>
      </c>
      <c r="AU846" t="s">
        <v>155</v>
      </c>
      <c r="AV846" t="s">
        <v>156</v>
      </c>
      <c r="AX846" t="s">
        <v>129</v>
      </c>
      <c r="AY846">
        <v>38399.67</v>
      </c>
      <c r="BB846">
        <v>104.30240000000001</v>
      </c>
      <c r="BC846" t="s">
        <v>112</v>
      </c>
      <c r="BD846" t="s">
        <v>112</v>
      </c>
      <c r="BE846" t="s">
        <v>157</v>
      </c>
      <c r="BF846" t="s">
        <v>133</v>
      </c>
      <c r="BG846" t="s">
        <v>134</v>
      </c>
      <c r="BH846" t="s">
        <v>112</v>
      </c>
      <c r="BI846" t="s">
        <v>112</v>
      </c>
      <c r="BJ846" t="s">
        <v>112</v>
      </c>
      <c r="BK846" t="s">
        <v>158</v>
      </c>
      <c r="BL846" t="s">
        <v>159</v>
      </c>
      <c r="BM846" t="s">
        <v>212</v>
      </c>
      <c r="BN846" t="s">
        <v>161</v>
      </c>
      <c r="BP846" t="s">
        <v>281</v>
      </c>
      <c r="BR846" t="s">
        <v>150</v>
      </c>
      <c r="BS846">
        <v>33</v>
      </c>
      <c r="BT846">
        <v>0</v>
      </c>
      <c r="BU846">
        <v>0</v>
      </c>
      <c r="BW846">
        <v>0</v>
      </c>
      <c r="BY846" t="s">
        <v>106</v>
      </c>
      <c r="BZ846" t="s">
        <v>142</v>
      </c>
      <c r="CA846" t="s">
        <v>112</v>
      </c>
      <c r="CB846" t="s">
        <v>112</v>
      </c>
      <c r="CC846" t="s">
        <v>121</v>
      </c>
      <c r="CD846">
        <v>14533.5</v>
      </c>
      <c r="CE846" t="s">
        <v>144</v>
      </c>
      <c r="CF846">
        <v>4000000</v>
      </c>
      <c r="CG846">
        <v>14068.5</v>
      </c>
      <c r="CH846">
        <v>0</v>
      </c>
      <c r="CI846" t="s">
        <v>112</v>
      </c>
      <c r="CJ846" t="s">
        <v>112</v>
      </c>
      <c r="CK846">
        <v>38399.67</v>
      </c>
      <c r="CM846">
        <v>0</v>
      </c>
      <c r="CN846">
        <v>1</v>
      </c>
      <c r="CO846">
        <v>4421344.32</v>
      </c>
      <c r="CP846">
        <v>44455.5</v>
      </c>
      <c r="CQ846" t="s">
        <v>145</v>
      </c>
      <c r="CR846">
        <v>44456.46</v>
      </c>
      <c r="CS846">
        <v>3.16</v>
      </c>
      <c r="CT846">
        <v>45</v>
      </c>
      <c r="CV846" t="s">
        <v>233</v>
      </c>
      <c r="CW846">
        <v>150</v>
      </c>
    </row>
    <row r="847" spans="1:101" x14ac:dyDescent="0.2">
      <c r="A847" t="s">
        <v>106</v>
      </c>
      <c r="B847" s="46">
        <v>45101</v>
      </c>
      <c r="C847" t="s">
        <v>2108</v>
      </c>
      <c r="D847" t="s">
        <v>108</v>
      </c>
      <c r="E847" t="s">
        <v>2109</v>
      </c>
      <c r="F847" t="s">
        <v>110</v>
      </c>
      <c r="G847" t="s">
        <v>111</v>
      </c>
      <c r="H847" t="s">
        <v>112</v>
      </c>
      <c r="I847" t="s">
        <v>112</v>
      </c>
      <c r="J847" t="s">
        <v>112</v>
      </c>
      <c r="K847" t="s">
        <v>150</v>
      </c>
      <c r="L847" t="s">
        <v>151</v>
      </c>
      <c r="M847" t="s">
        <v>112</v>
      </c>
      <c r="N847" t="s">
        <v>112</v>
      </c>
      <c r="O847">
        <v>1</v>
      </c>
      <c r="Q847">
        <v>1</v>
      </c>
      <c r="R847">
        <v>33</v>
      </c>
      <c r="S847" t="s">
        <v>112</v>
      </c>
      <c r="T847" t="s">
        <v>152</v>
      </c>
      <c r="U847" t="s">
        <v>153</v>
      </c>
      <c r="V847" t="s">
        <v>154</v>
      </c>
      <c r="W847" t="s">
        <v>119</v>
      </c>
      <c r="X847" t="s">
        <v>112</v>
      </c>
      <c r="Y847" t="s">
        <v>112</v>
      </c>
      <c r="Z847" t="s">
        <v>152</v>
      </c>
      <c r="AA847" t="s">
        <v>153</v>
      </c>
      <c r="AB847" t="s">
        <v>154</v>
      </c>
      <c r="AC847" t="s">
        <v>119</v>
      </c>
      <c r="AD847" t="s">
        <v>112</v>
      </c>
      <c r="AE847" t="s">
        <v>121</v>
      </c>
      <c r="AF847" t="s">
        <v>122</v>
      </c>
      <c r="AG847">
        <v>4723209.03</v>
      </c>
      <c r="AH847" t="s">
        <v>112</v>
      </c>
      <c r="AI847" t="s">
        <v>152</v>
      </c>
      <c r="AJ847" t="s">
        <v>153</v>
      </c>
      <c r="AK847" t="s">
        <v>154</v>
      </c>
      <c r="AL847" t="s">
        <v>119</v>
      </c>
      <c r="AM847" t="s">
        <v>112</v>
      </c>
      <c r="AN847" t="s">
        <v>121</v>
      </c>
      <c r="AO847" t="s">
        <v>122</v>
      </c>
      <c r="AP847" t="s">
        <v>122</v>
      </c>
      <c r="AQ847" t="s">
        <v>124</v>
      </c>
      <c r="AR847" t="s">
        <v>125</v>
      </c>
      <c r="AS847">
        <v>2</v>
      </c>
      <c r="AT847" t="s">
        <v>126</v>
      </c>
      <c r="AU847" t="s">
        <v>155</v>
      </c>
      <c r="AV847" t="s">
        <v>156</v>
      </c>
      <c r="AX847" t="s">
        <v>129</v>
      </c>
      <c r="AY847">
        <v>41293.800000000003</v>
      </c>
      <c r="BB847">
        <v>104.30240000000001</v>
      </c>
      <c r="BC847" t="s">
        <v>112</v>
      </c>
      <c r="BD847" t="s">
        <v>112</v>
      </c>
      <c r="BE847" t="s">
        <v>157</v>
      </c>
      <c r="BF847" t="s">
        <v>133</v>
      </c>
      <c r="BG847" t="s">
        <v>134</v>
      </c>
      <c r="BH847" t="s">
        <v>112</v>
      </c>
      <c r="BI847" t="s">
        <v>112</v>
      </c>
      <c r="BJ847" t="s">
        <v>112</v>
      </c>
      <c r="BK847" t="s">
        <v>158</v>
      </c>
      <c r="BL847" t="s">
        <v>159</v>
      </c>
      <c r="BM847" t="s">
        <v>212</v>
      </c>
      <c r="BN847" t="s">
        <v>161</v>
      </c>
      <c r="BP847" t="s">
        <v>205</v>
      </c>
      <c r="BR847" t="s">
        <v>150</v>
      </c>
      <c r="BS847">
        <v>33</v>
      </c>
      <c r="BT847">
        <v>0</v>
      </c>
      <c r="BU847">
        <v>0</v>
      </c>
      <c r="BW847">
        <v>0</v>
      </c>
      <c r="BY847" t="s">
        <v>106</v>
      </c>
      <c r="BZ847" t="s">
        <v>142</v>
      </c>
      <c r="CA847" t="s">
        <v>112</v>
      </c>
      <c r="CB847" t="s">
        <v>112</v>
      </c>
      <c r="CC847" t="s">
        <v>121</v>
      </c>
      <c r="CD847">
        <v>15849.3</v>
      </c>
      <c r="CE847" t="s">
        <v>144</v>
      </c>
      <c r="CF847">
        <v>4000000</v>
      </c>
      <c r="CG847">
        <v>15568.5</v>
      </c>
      <c r="CH847">
        <v>0</v>
      </c>
      <c r="CI847" t="s">
        <v>112</v>
      </c>
      <c r="CJ847" t="s">
        <v>112</v>
      </c>
      <c r="CK847">
        <v>41293.800000000003</v>
      </c>
      <c r="CM847">
        <v>0</v>
      </c>
      <c r="CN847">
        <v>1</v>
      </c>
      <c r="CO847">
        <v>4723209.03</v>
      </c>
      <c r="CP847">
        <v>47490.68</v>
      </c>
      <c r="CQ847" t="s">
        <v>145</v>
      </c>
      <c r="CR847">
        <v>47483.924999999996</v>
      </c>
      <c r="CS847">
        <v>3.05</v>
      </c>
      <c r="CT847">
        <v>45</v>
      </c>
      <c r="CV847" t="s">
        <v>729</v>
      </c>
      <c r="CW847">
        <v>337</v>
      </c>
    </row>
    <row r="848" spans="1:101" x14ac:dyDescent="0.2">
      <c r="A848" t="s">
        <v>106</v>
      </c>
      <c r="B848" s="46">
        <v>44970</v>
      </c>
      <c r="C848" t="s">
        <v>2108</v>
      </c>
      <c r="D848" t="s">
        <v>108</v>
      </c>
      <c r="E848" t="s">
        <v>2109</v>
      </c>
      <c r="F848" t="s">
        <v>110</v>
      </c>
      <c r="G848" t="s">
        <v>111</v>
      </c>
      <c r="H848" t="s">
        <v>112</v>
      </c>
      <c r="I848" t="s">
        <v>112</v>
      </c>
      <c r="J848" t="s">
        <v>112</v>
      </c>
      <c r="K848" t="s">
        <v>150</v>
      </c>
      <c r="L848" t="s">
        <v>151</v>
      </c>
      <c r="M848" t="s">
        <v>112</v>
      </c>
      <c r="N848" t="s">
        <v>112</v>
      </c>
      <c r="O848">
        <v>1</v>
      </c>
      <c r="Q848">
        <v>1</v>
      </c>
      <c r="R848">
        <v>33</v>
      </c>
      <c r="S848" t="s">
        <v>112</v>
      </c>
      <c r="T848" t="s">
        <v>152</v>
      </c>
      <c r="U848" t="s">
        <v>153</v>
      </c>
      <c r="V848" t="s">
        <v>154</v>
      </c>
      <c r="W848" t="s">
        <v>119</v>
      </c>
      <c r="X848" t="s">
        <v>112</v>
      </c>
      <c r="Y848" t="s">
        <v>112</v>
      </c>
      <c r="Z848" t="s">
        <v>152</v>
      </c>
      <c r="AA848" t="s">
        <v>153</v>
      </c>
      <c r="AB848" t="s">
        <v>154</v>
      </c>
      <c r="AC848" t="s">
        <v>119</v>
      </c>
      <c r="AD848" t="s">
        <v>112</v>
      </c>
      <c r="AE848" t="s">
        <v>121</v>
      </c>
      <c r="AF848" t="s">
        <v>122</v>
      </c>
      <c r="AG848">
        <v>4723209.03</v>
      </c>
      <c r="AH848" t="s">
        <v>112</v>
      </c>
      <c r="AI848" t="s">
        <v>152</v>
      </c>
      <c r="AJ848" t="s">
        <v>153</v>
      </c>
      <c r="AK848" t="s">
        <v>154</v>
      </c>
      <c r="AL848" t="s">
        <v>119</v>
      </c>
      <c r="AM848" t="s">
        <v>112</v>
      </c>
      <c r="AN848" t="s">
        <v>121</v>
      </c>
      <c r="AO848" t="s">
        <v>122</v>
      </c>
      <c r="AP848" t="s">
        <v>122</v>
      </c>
      <c r="AQ848" t="s">
        <v>124</v>
      </c>
      <c r="AR848" t="s">
        <v>125</v>
      </c>
      <c r="AS848">
        <v>2</v>
      </c>
      <c r="AT848" t="s">
        <v>126</v>
      </c>
      <c r="AU848" t="s">
        <v>155</v>
      </c>
      <c r="AV848" t="s">
        <v>156</v>
      </c>
      <c r="AX848" t="s">
        <v>129</v>
      </c>
      <c r="AY848">
        <v>41293.800000000003</v>
      </c>
      <c r="BB848">
        <v>104.30240000000001</v>
      </c>
      <c r="BC848" t="s">
        <v>112</v>
      </c>
      <c r="BD848" t="s">
        <v>112</v>
      </c>
      <c r="BE848" t="s">
        <v>157</v>
      </c>
      <c r="BF848" t="s">
        <v>133</v>
      </c>
      <c r="BG848" t="s">
        <v>134</v>
      </c>
      <c r="BH848" t="s">
        <v>112</v>
      </c>
      <c r="BI848" t="s">
        <v>112</v>
      </c>
      <c r="BJ848" t="s">
        <v>112</v>
      </c>
      <c r="BK848" t="s">
        <v>158</v>
      </c>
      <c r="BL848" t="s">
        <v>159</v>
      </c>
      <c r="BM848" t="s">
        <v>212</v>
      </c>
      <c r="BN848" t="s">
        <v>161</v>
      </c>
      <c r="BP848" t="s">
        <v>205</v>
      </c>
      <c r="BR848" t="s">
        <v>150</v>
      </c>
      <c r="BS848">
        <v>33</v>
      </c>
      <c r="BT848">
        <v>0</v>
      </c>
      <c r="BU848">
        <v>0</v>
      </c>
      <c r="BW848">
        <v>0</v>
      </c>
      <c r="BY848" t="s">
        <v>106</v>
      </c>
      <c r="BZ848" t="s">
        <v>142</v>
      </c>
      <c r="CA848" t="s">
        <v>112</v>
      </c>
      <c r="CB848" t="s">
        <v>112</v>
      </c>
      <c r="CC848" t="s">
        <v>121</v>
      </c>
      <c r="CD848">
        <v>15849.3</v>
      </c>
      <c r="CE848" t="s">
        <v>144</v>
      </c>
      <c r="CF848">
        <v>4000000</v>
      </c>
      <c r="CG848">
        <v>15568.5</v>
      </c>
      <c r="CH848">
        <v>0</v>
      </c>
      <c r="CI848" t="s">
        <v>112</v>
      </c>
      <c r="CJ848" t="s">
        <v>112</v>
      </c>
      <c r="CK848">
        <v>41293.800000000003</v>
      </c>
      <c r="CM848">
        <v>0</v>
      </c>
      <c r="CN848">
        <v>1</v>
      </c>
      <c r="CO848">
        <v>4723209.03</v>
      </c>
      <c r="CP848">
        <v>47490.68</v>
      </c>
      <c r="CQ848" t="s">
        <v>145</v>
      </c>
      <c r="CR848">
        <v>47483.924999999996</v>
      </c>
      <c r="CS848">
        <v>3.05</v>
      </c>
      <c r="CT848">
        <v>45</v>
      </c>
      <c r="CV848" t="s">
        <v>729</v>
      </c>
      <c r="CW848">
        <v>337</v>
      </c>
    </row>
    <row r="849" spans="1:101" x14ac:dyDescent="0.2">
      <c r="A849" t="s">
        <v>106</v>
      </c>
      <c r="B849" s="46">
        <v>44982</v>
      </c>
      <c r="C849" t="s">
        <v>2098</v>
      </c>
      <c r="D849" t="s">
        <v>108</v>
      </c>
      <c r="E849" t="s">
        <v>2099</v>
      </c>
      <c r="F849" t="s">
        <v>110</v>
      </c>
      <c r="G849" t="s">
        <v>111</v>
      </c>
      <c r="H849" t="s">
        <v>112</v>
      </c>
      <c r="I849" t="s">
        <v>112</v>
      </c>
      <c r="J849" t="s">
        <v>112</v>
      </c>
      <c r="K849" t="s">
        <v>150</v>
      </c>
      <c r="L849" t="s">
        <v>151</v>
      </c>
      <c r="M849" t="s">
        <v>112</v>
      </c>
      <c r="N849" t="s">
        <v>112</v>
      </c>
      <c r="O849">
        <v>1</v>
      </c>
      <c r="Q849">
        <v>1</v>
      </c>
      <c r="R849">
        <v>33</v>
      </c>
      <c r="S849" t="s">
        <v>112</v>
      </c>
      <c r="T849" t="s">
        <v>152</v>
      </c>
      <c r="U849" t="s">
        <v>153</v>
      </c>
      <c r="V849" t="s">
        <v>154</v>
      </c>
      <c r="W849" t="s">
        <v>119</v>
      </c>
      <c r="X849" t="s">
        <v>112</v>
      </c>
      <c r="Y849" t="s">
        <v>112</v>
      </c>
      <c r="Z849" t="s">
        <v>152</v>
      </c>
      <c r="AA849" t="s">
        <v>153</v>
      </c>
      <c r="AB849" t="s">
        <v>154</v>
      </c>
      <c r="AC849" t="s">
        <v>119</v>
      </c>
      <c r="AD849" t="s">
        <v>112</v>
      </c>
      <c r="AE849" t="s">
        <v>121</v>
      </c>
      <c r="AF849" t="s">
        <v>122</v>
      </c>
      <c r="AG849">
        <v>4541551.79</v>
      </c>
      <c r="AH849" t="s">
        <v>112</v>
      </c>
      <c r="AI849" t="s">
        <v>152</v>
      </c>
      <c r="AJ849" t="s">
        <v>153</v>
      </c>
      <c r="AK849" t="s">
        <v>154</v>
      </c>
      <c r="AL849" t="s">
        <v>119</v>
      </c>
      <c r="AM849" t="s">
        <v>112</v>
      </c>
      <c r="AN849" t="s">
        <v>121</v>
      </c>
      <c r="AO849" t="s">
        <v>122</v>
      </c>
      <c r="AP849" t="s">
        <v>122</v>
      </c>
      <c r="AQ849" t="s">
        <v>124</v>
      </c>
      <c r="AR849" t="s">
        <v>125</v>
      </c>
      <c r="AS849">
        <v>2</v>
      </c>
      <c r="AT849" t="s">
        <v>126</v>
      </c>
      <c r="AU849" t="s">
        <v>155</v>
      </c>
      <c r="AV849" t="s">
        <v>156</v>
      </c>
      <c r="AX849" t="s">
        <v>129</v>
      </c>
      <c r="AY849">
        <v>39022.160000000003</v>
      </c>
      <c r="BB849">
        <v>104.30240000000001</v>
      </c>
      <c r="BC849" t="s">
        <v>112</v>
      </c>
      <c r="BD849" t="s">
        <v>112</v>
      </c>
      <c r="BE849" t="s">
        <v>157</v>
      </c>
      <c r="BF849" t="s">
        <v>133</v>
      </c>
      <c r="BG849" t="s">
        <v>134</v>
      </c>
      <c r="BH849" t="s">
        <v>112</v>
      </c>
      <c r="BI849" t="s">
        <v>112</v>
      </c>
      <c r="BJ849" t="s">
        <v>112</v>
      </c>
      <c r="BK849" t="s">
        <v>158</v>
      </c>
      <c r="BL849" t="s">
        <v>159</v>
      </c>
      <c r="BM849" t="s">
        <v>212</v>
      </c>
      <c r="BN849" t="s">
        <v>161</v>
      </c>
      <c r="BP849" t="s">
        <v>232</v>
      </c>
      <c r="BR849" t="s">
        <v>150</v>
      </c>
      <c r="BS849">
        <v>33</v>
      </c>
      <c r="BT849">
        <v>0</v>
      </c>
      <c r="BU849">
        <v>0</v>
      </c>
      <c r="BW849">
        <v>0</v>
      </c>
      <c r="BY849" t="s">
        <v>106</v>
      </c>
      <c r="BZ849" t="s">
        <v>142</v>
      </c>
      <c r="CA849" t="s">
        <v>112</v>
      </c>
      <c r="CB849" t="s">
        <v>112</v>
      </c>
      <c r="CC849" t="s">
        <v>121</v>
      </c>
      <c r="CD849">
        <v>16225.67</v>
      </c>
      <c r="CE849" t="s">
        <v>144</v>
      </c>
      <c r="CF849">
        <v>4000000</v>
      </c>
      <c r="CG849">
        <v>16123.67</v>
      </c>
      <c r="CH849">
        <v>0</v>
      </c>
      <c r="CI849" t="s">
        <v>112</v>
      </c>
      <c r="CJ849" t="s">
        <v>112</v>
      </c>
      <c r="CK849">
        <v>39022.160000000003</v>
      </c>
      <c r="CM849">
        <v>0</v>
      </c>
      <c r="CN849">
        <v>1</v>
      </c>
      <c r="CO849">
        <v>4541551.79</v>
      </c>
      <c r="CP849">
        <v>45664.160000000003</v>
      </c>
      <c r="CQ849" t="s">
        <v>145</v>
      </c>
      <c r="CR849">
        <v>45629.986100000002</v>
      </c>
      <c r="CS849">
        <v>2.83</v>
      </c>
      <c r="CT849">
        <v>45</v>
      </c>
      <c r="CV849" t="s">
        <v>233</v>
      </c>
      <c r="CW849">
        <v>18</v>
      </c>
    </row>
    <row r="850" spans="1:101" x14ac:dyDescent="0.2">
      <c r="A850" t="s">
        <v>106</v>
      </c>
      <c r="B850" s="46">
        <v>45002</v>
      </c>
      <c r="C850" t="s">
        <v>2098</v>
      </c>
      <c r="D850" t="s">
        <v>108</v>
      </c>
      <c r="E850" t="s">
        <v>2099</v>
      </c>
      <c r="F850" t="s">
        <v>110</v>
      </c>
      <c r="G850" t="s">
        <v>111</v>
      </c>
      <c r="H850" t="s">
        <v>112</v>
      </c>
      <c r="I850" t="s">
        <v>112</v>
      </c>
      <c r="J850" t="s">
        <v>112</v>
      </c>
      <c r="K850" t="s">
        <v>150</v>
      </c>
      <c r="L850" t="s">
        <v>151</v>
      </c>
      <c r="M850" t="s">
        <v>112</v>
      </c>
      <c r="N850" t="s">
        <v>112</v>
      </c>
      <c r="O850">
        <v>1</v>
      </c>
      <c r="Q850">
        <v>1</v>
      </c>
      <c r="R850">
        <v>33</v>
      </c>
      <c r="S850" t="s">
        <v>112</v>
      </c>
      <c r="T850" t="s">
        <v>152</v>
      </c>
      <c r="U850" t="s">
        <v>153</v>
      </c>
      <c r="V850" t="s">
        <v>154</v>
      </c>
      <c r="W850" t="s">
        <v>119</v>
      </c>
      <c r="X850" t="s">
        <v>112</v>
      </c>
      <c r="Y850" t="s">
        <v>112</v>
      </c>
      <c r="Z850" t="s">
        <v>152</v>
      </c>
      <c r="AA850" t="s">
        <v>153</v>
      </c>
      <c r="AB850" t="s">
        <v>154</v>
      </c>
      <c r="AC850" t="s">
        <v>119</v>
      </c>
      <c r="AD850" t="s">
        <v>112</v>
      </c>
      <c r="AE850" t="s">
        <v>121</v>
      </c>
      <c r="AF850" t="s">
        <v>122</v>
      </c>
      <c r="AG850">
        <v>4541551.79</v>
      </c>
      <c r="AH850" t="s">
        <v>112</v>
      </c>
      <c r="AI850" t="s">
        <v>152</v>
      </c>
      <c r="AJ850" t="s">
        <v>153</v>
      </c>
      <c r="AK850" t="s">
        <v>154</v>
      </c>
      <c r="AL850" t="s">
        <v>119</v>
      </c>
      <c r="AM850" t="s">
        <v>112</v>
      </c>
      <c r="AN850" t="s">
        <v>121</v>
      </c>
      <c r="AO850" t="s">
        <v>122</v>
      </c>
      <c r="AP850" t="s">
        <v>122</v>
      </c>
      <c r="AQ850" t="s">
        <v>124</v>
      </c>
      <c r="AR850" t="s">
        <v>125</v>
      </c>
      <c r="AS850">
        <v>2</v>
      </c>
      <c r="AT850" t="s">
        <v>126</v>
      </c>
      <c r="AU850" t="s">
        <v>155</v>
      </c>
      <c r="AV850" t="s">
        <v>156</v>
      </c>
      <c r="AX850" t="s">
        <v>129</v>
      </c>
      <c r="AY850">
        <v>39022.160000000003</v>
      </c>
      <c r="BB850">
        <v>104.30240000000001</v>
      </c>
      <c r="BC850" t="s">
        <v>112</v>
      </c>
      <c r="BD850" t="s">
        <v>112</v>
      </c>
      <c r="BE850" t="s">
        <v>157</v>
      </c>
      <c r="BF850" t="s">
        <v>133</v>
      </c>
      <c r="BG850" t="s">
        <v>134</v>
      </c>
      <c r="BH850" t="s">
        <v>112</v>
      </c>
      <c r="BI850" t="s">
        <v>112</v>
      </c>
      <c r="BJ850" t="s">
        <v>112</v>
      </c>
      <c r="BK850" t="s">
        <v>158</v>
      </c>
      <c r="BL850" t="s">
        <v>159</v>
      </c>
      <c r="BM850" t="s">
        <v>212</v>
      </c>
      <c r="BN850" t="s">
        <v>161</v>
      </c>
      <c r="BP850" t="s">
        <v>232</v>
      </c>
      <c r="BR850" t="s">
        <v>150</v>
      </c>
      <c r="BS850">
        <v>33</v>
      </c>
      <c r="BT850">
        <v>0</v>
      </c>
      <c r="BU850">
        <v>0</v>
      </c>
      <c r="BW850">
        <v>0</v>
      </c>
      <c r="BY850" t="s">
        <v>106</v>
      </c>
      <c r="BZ850" t="s">
        <v>142</v>
      </c>
      <c r="CA850" t="s">
        <v>112</v>
      </c>
      <c r="CB850" t="s">
        <v>112</v>
      </c>
      <c r="CC850" t="s">
        <v>121</v>
      </c>
      <c r="CD850">
        <v>16225.67</v>
      </c>
      <c r="CE850" t="s">
        <v>144</v>
      </c>
      <c r="CF850">
        <v>4000000</v>
      </c>
      <c r="CG850">
        <v>16123.67</v>
      </c>
      <c r="CH850">
        <v>0</v>
      </c>
      <c r="CI850" t="s">
        <v>112</v>
      </c>
      <c r="CJ850" t="s">
        <v>112</v>
      </c>
      <c r="CK850">
        <v>39022.160000000003</v>
      </c>
      <c r="CM850">
        <v>0</v>
      </c>
      <c r="CN850">
        <v>1</v>
      </c>
      <c r="CO850">
        <v>4541551.79</v>
      </c>
      <c r="CP850">
        <v>45664.160000000003</v>
      </c>
      <c r="CQ850" t="s">
        <v>145</v>
      </c>
      <c r="CR850">
        <v>45629.986100000002</v>
      </c>
      <c r="CS850">
        <v>2.83</v>
      </c>
      <c r="CT850">
        <v>45</v>
      </c>
      <c r="CV850" t="s">
        <v>233</v>
      </c>
      <c r="CW850">
        <v>18</v>
      </c>
    </row>
    <row r="851" spans="1:101" x14ac:dyDescent="0.2">
      <c r="A851" t="s">
        <v>106</v>
      </c>
      <c r="B851" s="46">
        <v>44987</v>
      </c>
      <c r="C851" t="s">
        <v>2100</v>
      </c>
      <c r="D851" t="s">
        <v>108</v>
      </c>
      <c r="E851" t="s">
        <v>2101</v>
      </c>
      <c r="F851" t="s">
        <v>110</v>
      </c>
      <c r="G851" t="s">
        <v>111</v>
      </c>
      <c r="H851" t="s">
        <v>112</v>
      </c>
      <c r="I851" t="s">
        <v>112</v>
      </c>
      <c r="J851" t="s">
        <v>112</v>
      </c>
      <c r="K851" t="s">
        <v>150</v>
      </c>
      <c r="L851" t="s">
        <v>151</v>
      </c>
      <c r="M851" t="s">
        <v>112</v>
      </c>
      <c r="N851" t="s">
        <v>112</v>
      </c>
      <c r="O851">
        <v>1</v>
      </c>
      <c r="Q851">
        <v>1</v>
      </c>
      <c r="R851">
        <v>33</v>
      </c>
      <c r="S851" t="s">
        <v>112</v>
      </c>
      <c r="T851" t="s">
        <v>152</v>
      </c>
      <c r="U851" t="s">
        <v>153</v>
      </c>
      <c r="V851" t="s">
        <v>154</v>
      </c>
      <c r="W851" t="s">
        <v>119</v>
      </c>
      <c r="X851" t="s">
        <v>112</v>
      </c>
      <c r="Y851" t="s">
        <v>112</v>
      </c>
      <c r="Z851" t="s">
        <v>152</v>
      </c>
      <c r="AA851" t="s">
        <v>153</v>
      </c>
      <c r="AB851" t="s">
        <v>154</v>
      </c>
      <c r="AC851" t="s">
        <v>119</v>
      </c>
      <c r="AD851" t="s">
        <v>112</v>
      </c>
      <c r="AE851" t="s">
        <v>121</v>
      </c>
      <c r="AF851" t="s">
        <v>122</v>
      </c>
      <c r="AG851">
        <v>4743798.32</v>
      </c>
      <c r="AH851" t="s">
        <v>112</v>
      </c>
      <c r="AI851" t="s">
        <v>152</v>
      </c>
      <c r="AJ851" t="s">
        <v>153</v>
      </c>
      <c r="AK851" t="s">
        <v>154</v>
      </c>
      <c r="AL851" t="s">
        <v>119</v>
      </c>
      <c r="AM851" t="s">
        <v>112</v>
      </c>
      <c r="AN851" t="s">
        <v>121</v>
      </c>
      <c r="AO851" t="s">
        <v>122</v>
      </c>
      <c r="AP851" t="s">
        <v>122</v>
      </c>
      <c r="AQ851" t="s">
        <v>124</v>
      </c>
      <c r="AR851" t="s">
        <v>125</v>
      </c>
      <c r="AS851">
        <v>2</v>
      </c>
      <c r="AT851" t="s">
        <v>126</v>
      </c>
      <c r="AU851" t="s">
        <v>155</v>
      </c>
      <c r="AV851" t="s">
        <v>156</v>
      </c>
      <c r="AX851" t="s">
        <v>129</v>
      </c>
      <c r="AY851">
        <v>41491.199999999997</v>
      </c>
      <c r="BB851">
        <v>104.30240000000001</v>
      </c>
      <c r="BC851" t="s">
        <v>112</v>
      </c>
      <c r="BD851" t="s">
        <v>112</v>
      </c>
      <c r="BE851" t="s">
        <v>157</v>
      </c>
      <c r="BF851" t="s">
        <v>133</v>
      </c>
      <c r="BG851" t="s">
        <v>134</v>
      </c>
      <c r="BH851" t="s">
        <v>112</v>
      </c>
      <c r="BI851" t="s">
        <v>112</v>
      </c>
      <c r="BJ851" t="s">
        <v>112</v>
      </c>
      <c r="BK851" t="s">
        <v>158</v>
      </c>
      <c r="BL851" t="s">
        <v>159</v>
      </c>
      <c r="BM851" t="s">
        <v>212</v>
      </c>
      <c r="BN851" t="s">
        <v>161</v>
      </c>
      <c r="BP851" t="s">
        <v>466</v>
      </c>
      <c r="BR851" t="s">
        <v>150</v>
      </c>
      <c r="BS851">
        <v>33</v>
      </c>
      <c r="BT851">
        <v>0</v>
      </c>
      <c r="BU851">
        <v>0</v>
      </c>
      <c r="BW851">
        <v>0</v>
      </c>
      <c r="BY851" t="s">
        <v>106</v>
      </c>
      <c r="BZ851" t="s">
        <v>142</v>
      </c>
      <c r="CA851" t="s">
        <v>112</v>
      </c>
      <c r="CB851" t="s">
        <v>112</v>
      </c>
      <c r="CC851" t="s">
        <v>121</v>
      </c>
      <c r="CD851">
        <v>15637.65</v>
      </c>
      <c r="CE851" t="s">
        <v>144</v>
      </c>
      <c r="CF851">
        <v>4000000</v>
      </c>
      <c r="CG851">
        <v>15486.45</v>
      </c>
      <c r="CH851">
        <v>0</v>
      </c>
      <c r="CI851" t="s">
        <v>112</v>
      </c>
      <c r="CJ851" t="s">
        <v>112</v>
      </c>
      <c r="CK851">
        <v>41491.199999999997</v>
      </c>
      <c r="CM851">
        <v>0</v>
      </c>
      <c r="CN851">
        <v>1</v>
      </c>
      <c r="CO851">
        <v>4743798.32</v>
      </c>
      <c r="CP851">
        <v>47697.7</v>
      </c>
      <c r="CQ851" t="s">
        <v>145</v>
      </c>
      <c r="CR851">
        <v>47698.266000000003</v>
      </c>
      <c r="CS851">
        <v>3.08</v>
      </c>
      <c r="CT851">
        <v>45</v>
      </c>
      <c r="CV851" t="s">
        <v>729</v>
      </c>
      <c r="CW851">
        <v>257</v>
      </c>
    </row>
    <row r="852" spans="1:101" x14ac:dyDescent="0.2">
      <c r="A852" t="s">
        <v>106</v>
      </c>
      <c r="B852" s="46">
        <v>45284</v>
      </c>
      <c r="C852" t="s">
        <v>2100</v>
      </c>
      <c r="D852" t="s">
        <v>108</v>
      </c>
      <c r="E852" t="s">
        <v>2101</v>
      </c>
      <c r="F852" t="s">
        <v>110</v>
      </c>
      <c r="G852" t="s">
        <v>111</v>
      </c>
      <c r="H852" t="s">
        <v>112</v>
      </c>
      <c r="I852" t="s">
        <v>112</v>
      </c>
      <c r="J852" t="s">
        <v>112</v>
      </c>
      <c r="K852" t="s">
        <v>150</v>
      </c>
      <c r="L852" t="s">
        <v>151</v>
      </c>
      <c r="M852" t="s">
        <v>112</v>
      </c>
      <c r="N852" t="s">
        <v>112</v>
      </c>
      <c r="O852">
        <v>1</v>
      </c>
      <c r="Q852">
        <v>1</v>
      </c>
      <c r="R852">
        <v>33</v>
      </c>
      <c r="S852" t="s">
        <v>112</v>
      </c>
      <c r="T852" t="s">
        <v>152</v>
      </c>
      <c r="U852" t="s">
        <v>153</v>
      </c>
      <c r="V852" t="s">
        <v>154</v>
      </c>
      <c r="W852" t="s">
        <v>119</v>
      </c>
      <c r="X852" t="s">
        <v>112</v>
      </c>
      <c r="Y852" t="s">
        <v>112</v>
      </c>
      <c r="Z852" t="s">
        <v>152</v>
      </c>
      <c r="AA852" t="s">
        <v>153</v>
      </c>
      <c r="AB852" t="s">
        <v>154</v>
      </c>
      <c r="AC852" t="s">
        <v>119</v>
      </c>
      <c r="AD852" t="s">
        <v>112</v>
      </c>
      <c r="AE852" t="s">
        <v>121</v>
      </c>
      <c r="AF852" t="s">
        <v>122</v>
      </c>
      <c r="AG852">
        <v>4743798.32</v>
      </c>
      <c r="AH852" t="s">
        <v>112</v>
      </c>
      <c r="AI852" t="s">
        <v>152</v>
      </c>
      <c r="AJ852" t="s">
        <v>153</v>
      </c>
      <c r="AK852" t="s">
        <v>154</v>
      </c>
      <c r="AL852" t="s">
        <v>119</v>
      </c>
      <c r="AM852" t="s">
        <v>112</v>
      </c>
      <c r="AN852" t="s">
        <v>121</v>
      </c>
      <c r="AO852" t="s">
        <v>122</v>
      </c>
      <c r="AP852" t="s">
        <v>122</v>
      </c>
      <c r="AQ852" t="s">
        <v>124</v>
      </c>
      <c r="AR852" t="s">
        <v>125</v>
      </c>
      <c r="AS852">
        <v>2</v>
      </c>
      <c r="AT852" t="s">
        <v>126</v>
      </c>
      <c r="AU852" t="s">
        <v>155</v>
      </c>
      <c r="AV852" t="s">
        <v>156</v>
      </c>
      <c r="AX852" t="s">
        <v>129</v>
      </c>
      <c r="AY852">
        <v>41491.199999999997</v>
      </c>
      <c r="BB852">
        <v>104.30240000000001</v>
      </c>
      <c r="BC852" t="s">
        <v>112</v>
      </c>
      <c r="BD852" t="s">
        <v>112</v>
      </c>
      <c r="BE852" t="s">
        <v>157</v>
      </c>
      <c r="BF852" t="s">
        <v>133</v>
      </c>
      <c r="BG852" t="s">
        <v>134</v>
      </c>
      <c r="BH852" t="s">
        <v>112</v>
      </c>
      <c r="BI852" t="s">
        <v>112</v>
      </c>
      <c r="BJ852" t="s">
        <v>112</v>
      </c>
      <c r="BK852" t="s">
        <v>158</v>
      </c>
      <c r="BL852" t="s">
        <v>159</v>
      </c>
      <c r="BM852" t="s">
        <v>212</v>
      </c>
      <c r="BN852" t="s">
        <v>161</v>
      </c>
      <c r="BP852" t="s">
        <v>466</v>
      </c>
      <c r="BR852" t="s">
        <v>150</v>
      </c>
      <c r="BS852">
        <v>33</v>
      </c>
      <c r="BT852">
        <v>0</v>
      </c>
      <c r="BU852">
        <v>0</v>
      </c>
      <c r="BW852">
        <v>0</v>
      </c>
      <c r="BY852" t="s">
        <v>106</v>
      </c>
      <c r="BZ852" t="s">
        <v>142</v>
      </c>
      <c r="CA852" t="s">
        <v>112</v>
      </c>
      <c r="CB852" t="s">
        <v>112</v>
      </c>
      <c r="CC852" t="s">
        <v>121</v>
      </c>
      <c r="CD852">
        <v>15637.65</v>
      </c>
      <c r="CE852" t="s">
        <v>144</v>
      </c>
      <c r="CF852">
        <v>4000000</v>
      </c>
      <c r="CG852">
        <v>15486.45</v>
      </c>
      <c r="CH852">
        <v>0</v>
      </c>
      <c r="CI852" t="s">
        <v>112</v>
      </c>
      <c r="CJ852" t="s">
        <v>112</v>
      </c>
      <c r="CK852">
        <v>41491.199999999997</v>
      </c>
      <c r="CM852">
        <v>0</v>
      </c>
      <c r="CN852">
        <v>1</v>
      </c>
      <c r="CO852">
        <v>4743798.32</v>
      </c>
      <c r="CP852">
        <v>47697.7</v>
      </c>
      <c r="CQ852" t="s">
        <v>145</v>
      </c>
      <c r="CR852">
        <v>47698.266000000003</v>
      </c>
      <c r="CS852">
        <v>3.08</v>
      </c>
      <c r="CT852">
        <v>45</v>
      </c>
      <c r="CV852" t="s">
        <v>729</v>
      </c>
      <c r="CW852">
        <v>257</v>
      </c>
    </row>
    <row r="853" spans="1:101" x14ac:dyDescent="0.2">
      <c r="A853" t="s">
        <v>106</v>
      </c>
      <c r="B853" s="46">
        <v>45202</v>
      </c>
      <c r="C853" t="s">
        <v>1860</v>
      </c>
      <c r="D853" t="s">
        <v>108</v>
      </c>
      <c r="E853" t="s">
        <v>1861</v>
      </c>
      <c r="F853" t="s">
        <v>110</v>
      </c>
      <c r="G853" t="s">
        <v>111</v>
      </c>
      <c r="H853" t="s">
        <v>112</v>
      </c>
      <c r="I853" t="s">
        <v>112</v>
      </c>
      <c r="J853" t="s">
        <v>112</v>
      </c>
      <c r="K853" t="s">
        <v>150</v>
      </c>
      <c r="L853" t="s">
        <v>151</v>
      </c>
      <c r="M853" t="s">
        <v>112</v>
      </c>
      <c r="N853" t="s">
        <v>112</v>
      </c>
      <c r="O853">
        <v>1</v>
      </c>
      <c r="Q853">
        <v>1</v>
      </c>
      <c r="R853">
        <v>33</v>
      </c>
      <c r="S853" t="s">
        <v>112</v>
      </c>
      <c r="T853" t="s">
        <v>152</v>
      </c>
      <c r="U853" t="s">
        <v>153</v>
      </c>
      <c r="V853" t="s">
        <v>154</v>
      </c>
      <c r="W853" t="s">
        <v>119</v>
      </c>
      <c r="X853" t="s">
        <v>112</v>
      </c>
      <c r="Y853" t="s">
        <v>112</v>
      </c>
      <c r="Z853" t="s">
        <v>152</v>
      </c>
      <c r="AA853" t="s">
        <v>153</v>
      </c>
      <c r="AB853" t="s">
        <v>154</v>
      </c>
      <c r="AC853" t="s">
        <v>119</v>
      </c>
      <c r="AD853" t="s">
        <v>112</v>
      </c>
      <c r="AE853" t="s">
        <v>121</v>
      </c>
      <c r="AF853" t="s">
        <v>122</v>
      </c>
      <c r="AG853">
        <v>4415623.74</v>
      </c>
      <c r="AH853" t="s">
        <v>112</v>
      </c>
      <c r="AI853" t="s">
        <v>152</v>
      </c>
      <c r="AJ853" t="s">
        <v>153</v>
      </c>
      <c r="AK853" t="s">
        <v>154</v>
      </c>
      <c r="AL853" t="s">
        <v>119</v>
      </c>
      <c r="AM853" t="s">
        <v>112</v>
      </c>
      <c r="AN853" t="s">
        <v>121</v>
      </c>
      <c r="AO853" t="s">
        <v>122</v>
      </c>
      <c r="AP853" t="s">
        <v>122</v>
      </c>
      <c r="AQ853" t="s">
        <v>124</v>
      </c>
      <c r="AR853" t="s">
        <v>125</v>
      </c>
      <c r="AS853">
        <v>2</v>
      </c>
      <c r="AT853" t="s">
        <v>126</v>
      </c>
      <c r="AU853" t="s">
        <v>155</v>
      </c>
      <c r="AV853" t="s">
        <v>156</v>
      </c>
      <c r="AX853" t="s">
        <v>129</v>
      </c>
      <c r="AY853">
        <v>38158.32</v>
      </c>
      <c r="BB853">
        <v>104.4171</v>
      </c>
      <c r="BC853" t="s">
        <v>112</v>
      </c>
      <c r="BD853" t="s">
        <v>112</v>
      </c>
      <c r="BE853" t="s">
        <v>157</v>
      </c>
      <c r="BF853" t="s">
        <v>133</v>
      </c>
      <c r="BG853" t="s">
        <v>167</v>
      </c>
      <c r="BH853" t="s">
        <v>112</v>
      </c>
      <c r="BI853" t="s">
        <v>112</v>
      </c>
      <c r="BJ853" t="s">
        <v>112</v>
      </c>
      <c r="BK853" t="s">
        <v>169</v>
      </c>
      <c r="BL853" t="s">
        <v>159</v>
      </c>
      <c r="BM853" t="s">
        <v>160</v>
      </c>
      <c r="BN853" t="s">
        <v>161</v>
      </c>
      <c r="BP853" t="s">
        <v>213</v>
      </c>
      <c r="BR853" t="s">
        <v>150</v>
      </c>
      <c r="BS853">
        <v>33</v>
      </c>
      <c r="BT853">
        <v>0</v>
      </c>
      <c r="BU853">
        <v>0</v>
      </c>
      <c r="BW853">
        <v>0</v>
      </c>
      <c r="BY853" t="s">
        <v>106</v>
      </c>
      <c r="BZ853" t="s">
        <v>142</v>
      </c>
      <c r="CA853" t="s">
        <v>112</v>
      </c>
      <c r="CB853" t="s">
        <v>112</v>
      </c>
      <c r="CC853" t="s">
        <v>121</v>
      </c>
      <c r="CD853">
        <v>15773.8</v>
      </c>
      <c r="CE853" t="s">
        <v>144</v>
      </c>
      <c r="CF853">
        <v>4000000</v>
      </c>
      <c r="CG853">
        <v>15514.6</v>
      </c>
      <c r="CH853">
        <v>0</v>
      </c>
      <c r="CI853" t="s">
        <v>112</v>
      </c>
      <c r="CJ853" t="s">
        <v>112</v>
      </c>
      <c r="CK853">
        <v>38158.32</v>
      </c>
      <c r="CM853">
        <v>0</v>
      </c>
      <c r="CN853">
        <v>1</v>
      </c>
      <c r="CO853">
        <v>4415623.74</v>
      </c>
      <c r="CP853">
        <v>45700.98</v>
      </c>
      <c r="CQ853" t="s">
        <v>145</v>
      </c>
      <c r="CR853">
        <v>45768.070000000007</v>
      </c>
      <c r="CS853">
        <v>2.95</v>
      </c>
      <c r="CT853">
        <v>45</v>
      </c>
      <c r="CV853" t="s">
        <v>163</v>
      </c>
      <c r="CW853">
        <v>131</v>
      </c>
    </row>
    <row r="854" spans="1:101" x14ac:dyDescent="0.2">
      <c r="A854" t="s">
        <v>106</v>
      </c>
      <c r="B854" s="46">
        <v>45122</v>
      </c>
      <c r="C854" t="s">
        <v>1858</v>
      </c>
      <c r="D854" t="s">
        <v>108</v>
      </c>
      <c r="E854" t="s">
        <v>1859</v>
      </c>
      <c r="F854" t="s">
        <v>110</v>
      </c>
      <c r="G854" t="s">
        <v>111</v>
      </c>
      <c r="H854" t="s">
        <v>112</v>
      </c>
      <c r="I854" t="s">
        <v>112</v>
      </c>
      <c r="J854" t="s">
        <v>112</v>
      </c>
      <c r="K854" t="s">
        <v>150</v>
      </c>
      <c r="L854" t="s">
        <v>151</v>
      </c>
      <c r="M854" t="s">
        <v>112</v>
      </c>
      <c r="N854" t="s">
        <v>112</v>
      </c>
      <c r="O854">
        <v>1</v>
      </c>
      <c r="Q854">
        <v>1</v>
      </c>
      <c r="R854">
        <v>33</v>
      </c>
      <c r="S854" t="s">
        <v>112</v>
      </c>
      <c r="T854" t="s">
        <v>152</v>
      </c>
      <c r="U854" t="s">
        <v>153</v>
      </c>
      <c r="V854" t="s">
        <v>154</v>
      </c>
      <c r="W854" t="s">
        <v>119</v>
      </c>
      <c r="X854" t="s">
        <v>112</v>
      </c>
      <c r="Y854" t="s">
        <v>112</v>
      </c>
      <c r="Z854" t="s">
        <v>152</v>
      </c>
      <c r="AA854" t="s">
        <v>153</v>
      </c>
      <c r="AB854" t="s">
        <v>154</v>
      </c>
      <c r="AC854" t="s">
        <v>119</v>
      </c>
      <c r="AD854" t="s">
        <v>112</v>
      </c>
      <c r="AE854" t="s">
        <v>121</v>
      </c>
      <c r="AF854" t="s">
        <v>122</v>
      </c>
      <c r="AG854">
        <v>5268544.37</v>
      </c>
      <c r="AH854" t="s">
        <v>112</v>
      </c>
      <c r="AI854" t="s">
        <v>152</v>
      </c>
      <c r="AJ854" t="s">
        <v>153</v>
      </c>
      <c r="AK854" t="s">
        <v>154</v>
      </c>
      <c r="AL854" t="s">
        <v>119</v>
      </c>
      <c r="AM854" t="s">
        <v>112</v>
      </c>
      <c r="AN854" t="s">
        <v>121</v>
      </c>
      <c r="AO854" t="s">
        <v>122</v>
      </c>
      <c r="AP854" t="s">
        <v>122</v>
      </c>
      <c r="AQ854" t="s">
        <v>124</v>
      </c>
      <c r="AR854" t="s">
        <v>125</v>
      </c>
      <c r="AS854">
        <v>2</v>
      </c>
      <c r="AT854" t="s">
        <v>126</v>
      </c>
      <c r="AU854" t="s">
        <v>155</v>
      </c>
      <c r="AV854" t="s">
        <v>156</v>
      </c>
      <c r="AX854" t="s">
        <v>129</v>
      </c>
      <c r="AY854">
        <v>46326.720000000001</v>
      </c>
      <c r="BB854">
        <v>104.4171</v>
      </c>
      <c r="BC854" t="s">
        <v>112</v>
      </c>
      <c r="BD854" t="s">
        <v>112</v>
      </c>
      <c r="BE854" t="s">
        <v>157</v>
      </c>
      <c r="BF854" t="s">
        <v>133</v>
      </c>
      <c r="BG854" t="s">
        <v>134</v>
      </c>
      <c r="BH854" t="s">
        <v>112</v>
      </c>
      <c r="BI854" t="s">
        <v>112</v>
      </c>
      <c r="BJ854" t="s">
        <v>112</v>
      </c>
      <c r="BK854" t="s">
        <v>169</v>
      </c>
      <c r="BL854" t="s">
        <v>159</v>
      </c>
      <c r="BM854" t="s">
        <v>212</v>
      </c>
      <c r="BN854" t="s">
        <v>161</v>
      </c>
      <c r="BP854" t="s">
        <v>232</v>
      </c>
      <c r="BR854" t="s">
        <v>150</v>
      </c>
      <c r="BS854">
        <v>33</v>
      </c>
      <c r="BT854">
        <v>0</v>
      </c>
      <c r="BU854">
        <v>0</v>
      </c>
      <c r="BW854">
        <v>0</v>
      </c>
      <c r="BY854" t="s">
        <v>106</v>
      </c>
      <c r="BZ854" t="s">
        <v>142</v>
      </c>
      <c r="CA854" t="s">
        <v>112</v>
      </c>
      <c r="CB854" t="s">
        <v>112</v>
      </c>
      <c r="CC854" t="s">
        <v>121</v>
      </c>
      <c r="CD854">
        <v>16342.24</v>
      </c>
      <c r="CE854" t="s">
        <v>144</v>
      </c>
      <c r="CF854">
        <v>4000000</v>
      </c>
      <c r="CG854">
        <v>16234.24</v>
      </c>
      <c r="CH854">
        <v>0</v>
      </c>
      <c r="CI854" t="s">
        <v>112</v>
      </c>
      <c r="CJ854" t="s">
        <v>112</v>
      </c>
      <c r="CK854">
        <v>46326.720000000001</v>
      </c>
      <c r="CM854">
        <v>0</v>
      </c>
      <c r="CN854">
        <v>1</v>
      </c>
      <c r="CO854">
        <v>5268544.37</v>
      </c>
      <c r="CP854">
        <v>54528.56</v>
      </c>
      <c r="CQ854" t="s">
        <v>145</v>
      </c>
      <c r="CR854">
        <v>54547.046399999999</v>
      </c>
      <c r="CS854">
        <v>3.36</v>
      </c>
      <c r="CT854">
        <v>45</v>
      </c>
      <c r="CV854" t="s">
        <v>1140</v>
      </c>
      <c r="CW854">
        <v>182</v>
      </c>
    </row>
    <row r="855" spans="1:101" x14ac:dyDescent="0.2">
      <c r="A855" t="s">
        <v>106</v>
      </c>
      <c r="B855" s="46">
        <v>45281</v>
      </c>
      <c r="C855" t="s">
        <v>1419</v>
      </c>
      <c r="D855" t="s">
        <v>108</v>
      </c>
      <c r="E855" t="s">
        <v>1420</v>
      </c>
      <c r="F855" t="s">
        <v>110</v>
      </c>
      <c r="G855" t="s">
        <v>111</v>
      </c>
      <c r="H855" t="s">
        <v>112</v>
      </c>
      <c r="I855" t="s">
        <v>112</v>
      </c>
      <c r="J855" t="s">
        <v>112</v>
      </c>
      <c r="K855" t="s">
        <v>150</v>
      </c>
      <c r="L855" t="s">
        <v>1405</v>
      </c>
      <c r="M855" t="s">
        <v>112</v>
      </c>
      <c r="N855" t="s">
        <v>112</v>
      </c>
      <c r="O855">
        <v>1</v>
      </c>
      <c r="P855">
        <v>0</v>
      </c>
      <c r="Q855">
        <v>1</v>
      </c>
      <c r="R855">
        <v>33</v>
      </c>
      <c r="S855" t="s">
        <v>166</v>
      </c>
      <c r="T855" t="s">
        <v>152</v>
      </c>
      <c r="U855" t="s">
        <v>153</v>
      </c>
      <c r="V855" t="s">
        <v>154</v>
      </c>
      <c r="W855" t="s">
        <v>119</v>
      </c>
      <c r="X855" t="s">
        <v>112</v>
      </c>
      <c r="Y855" t="s">
        <v>166</v>
      </c>
      <c r="Z855" t="s">
        <v>152</v>
      </c>
      <c r="AA855" t="s">
        <v>153</v>
      </c>
      <c r="AB855" t="s">
        <v>154</v>
      </c>
      <c r="AC855" t="s">
        <v>119</v>
      </c>
      <c r="AD855" t="s">
        <v>112</v>
      </c>
      <c r="AE855" t="s">
        <v>121</v>
      </c>
      <c r="AF855" t="s">
        <v>122</v>
      </c>
      <c r="AG855">
        <v>5146459.66</v>
      </c>
      <c r="AH855" t="s">
        <v>166</v>
      </c>
      <c r="AI855" t="s">
        <v>152</v>
      </c>
      <c r="AJ855" t="s">
        <v>153</v>
      </c>
      <c r="AK855" t="s">
        <v>154</v>
      </c>
      <c r="AL855" t="s">
        <v>119</v>
      </c>
      <c r="AM855" t="s">
        <v>112</v>
      </c>
      <c r="AN855" t="s">
        <v>121</v>
      </c>
      <c r="AO855" t="s">
        <v>122</v>
      </c>
      <c r="AP855" t="s">
        <v>122</v>
      </c>
      <c r="AQ855" t="s">
        <v>124</v>
      </c>
      <c r="AR855" t="s">
        <v>125</v>
      </c>
      <c r="AS855">
        <v>2</v>
      </c>
      <c r="AT855" t="s">
        <v>126</v>
      </c>
      <c r="AU855" t="s">
        <v>155</v>
      </c>
      <c r="AV855" t="s">
        <v>156</v>
      </c>
      <c r="AW855">
        <v>1</v>
      </c>
      <c r="AX855" t="s">
        <v>129</v>
      </c>
      <c r="AY855">
        <v>48525.56</v>
      </c>
      <c r="AZ855">
        <v>4742801</v>
      </c>
      <c r="BA855">
        <v>57473.45</v>
      </c>
      <c r="BB855">
        <v>97.738200000000006</v>
      </c>
      <c r="BC855" t="s">
        <v>130</v>
      </c>
      <c r="BD855" t="s">
        <v>112</v>
      </c>
      <c r="BE855" t="s">
        <v>157</v>
      </c>
      <c r="BF855" t="s">
        <v>133</v>
      </c>
      <c r="BG855" t="s">
        <v>134</v>
      </c>
      <c r="BH855" t="s">
        <v>112</v>
      </c>
      <c r="BI855" t="s">
        <v>112</v>
      </c>
      <c r="BJ855" t="s">
        <v>112</v>
      </c>
      <c r="BK855" t="s">
        <v>169</v>
      </c>
      <c r="BL855" t="s">
        <v>159</v>
      </c>
      <c r="BM855" t="s">
        <v>722</v>
      </c>
      <c r="BN855" t="s">
        <v>161</v>
      </c>
      <c r="BO855">
        <v>1</v>
      </c>
      <c r="BP855" t="s">
        <v>232</v>
      </c>
      <c r="BR855" t="s">
        <v>150</v>
      </c>
      <c r="BS855">
        <v>33</v>
      </c>
      <c r="BT855">
        <v>0</v>
      </c>
      <c r="BU855">
        <v>0</v>
      </c>
      <c r="BW855">
        <v>0</v>
      </c>
      <c r="BY855" t="s">
        <v>106</v>
      </c>
      <c r="BZ855" t="s">
        <v>142</v>
      </c>
      <c r="CA855" t="s">
        <v>112</v>
      </c>
      <c r="CB855" t="s">
        <v>112</v>
      </c>
      <c r="CC855" t="s">
        <v>121</v>
      </c>
      <c r="CD855">
        <v>16534.55</v>
      </c>
      <c r="CE855" t="s">
        <v>144</v>
      </c>
      <c r="CF855">
        <v>4000000</v>
      </c>
      <c r="CG855">
        <v>16480.55</v>
      </c>
      <c r="CH855">
        <v>0</v>
      </c>
      <c r="CI855" t="s">
        <v>112</v>
      </c>
      <c r="CJ855" t="s">
        <v>112</v>
      </c>
      <c r="CK855">
        <v>48525.56</v>
      </c>
      <c r="CL855">
        <v>4742801</v>
      </c>
      <c r="CM855">
        <v>0</v>
      </c>
      <c r="CN855">
        <v>1</v>
      </c>
      <c r="CO855">
        <v>5146459.66</v>
      </c>
      <c r="CP855">
        <v>57473.45</v>
      </c>
      <c r="CQ855" t="s">
        <v>145</v>
      </c>
      <c r="CR855">
        <v>57517.119500000001</v>
      </c>
      <c r="CS855">
        <v>3.49</v>
      </c>
      <c r="CT855">
        <v>45</v>
      </c>
      <c r="CU855" t="s">
        <v>171</v>
      </c>
      <c r="CV855" t="s">
        <v>463</v>
      </c>
      <c r="CW855">
        <v>238</v>
      </c>
    </row>
    <row r="856" spans="1:101" x14ac:dyDescent="0.2">
      <c r="A856" t="s">
        <v>106</v>
      </c>
      <c r="B856" s="46">
        <v>45284</v>
      </c>
      <c r="C856" t="s">
        <v>1416</v>
      </c>
      <c r="D856" t="s">
        <v>108</v>
      </c>
      <c r="E856" t="s">
        <v>1417</v>
      </c>
      <c r="F856" t="s">
        <v>3244</v>
      </c>
      <c r="G856" t="s">
        <v>111</v>
      </c>
      <c r="H856" t="s">
        <v>112</v>
      </c>
      <c r="I856" t="s">
        <v>112</v>
      </c>
      <c r="J856" t="s">
        <v>112</v>
      </c>
      <c r="K856" t="s">
        <v>150</v>
      </c>
      <c r="L856" t="s">
        <v>1405</v>
      </c>
      <c r="M856" t="s">
        <v>112</v>
      </c>
      <c r="N856" t="s">
        <v>112</v>
      </c>
      <c r="O856">
        <v>1</v>
      </c>
      <c r="P856">
        <v>0</v>
      </c>
      <c r="Q856">
        <v>1</v>
      </c>
      <c r="R856">
        <v>33</v>
      </c>
      <c r="S856" t="s">
        <v>166</v>
      </c>
      <c r="T856" t="s">
        <v>152</v>
      </c>
      <c r="U856" t="s">
        <v>153</v>
      </c>
      <c r="V856" t="s">
        <v>154</v>
      </c>
      <c r="W856" t="s">
        <v>119</v>
      </c>
      <c r="X856" t="s">
        <v>112</v>
      </c>
      <c r="Y856" t="s">
        <v>166</v>
      </c>
      <c r="Z856" t="s">
        <v>152</v>
      </c>
      <c r="AA856" t="s">
        <v>153</v>
      </c>
      <c r="AB856" t="s">
        <v>154</v>
      </c>
      <c r="AC856" t="s">
        <v>119</v>
      </c>
      <c r="AD856" t="s">
        <v>112</v>
      </c>
      <c r="AE856" t="s">
        <v>121</v>
      </c>
      <c r="AF856" t="s">
        <v>122</v>
      </c>
      <c r="AG856">
        <v>4514703.3899999997</v>
      </c>
      <c r="AH856" t="s">
        <v>166</v>
      </c>
      <c r="AI856" t="s">
        <v>152</v>
      </c>
      <c r="AJ856" t="s">
        <v>153</v>
      </c>
      <c r="AK856" t="s">
        <v>154</v>
      </c>
      <c r="AL856" t="s">
        <v>119</v>
      </c>
      <c r="AM856" t="s">
        <v>112</v>
      </c>
      <c r="AN856" t="s">
        <v>121</v>
      </c>
      <c r="AO856" t="s">
        <v>122</v>
      </c>
      <c r="AP856" t="s">
        <v>122</v>
      </c>
      <c r="AQ856" t="s">
        <v>124</v>
      </c>
      <c r="AR856" t="s">
        <v>125</v>
      </c>
      <c r="AS856">
        <v>2</v>
      </c>
      <c r="AT856" t="s">
        <v>126</v>
      </c>
      <c r="AU856" t="s">
        <v>155</v>
      </c>
      <c r="AV856" t="s">
        <v>156</v>
      </c>
      <c r="AW856">
        <v>1</v>
      </c>
      <c r="AX856" t="s">
        <v>129</v>
      </c>
      <c r="AY856">
        <v>42061.8</v>
      </c>
      <c r="AZ856">
        <v>4111045</v>
      </c>
      <c r="BA856">
        <v>50418.26</v>
      </c>
      <c r="BB856">
        <v>97.738200000000006</v>
      </c>
      <c r="BC856" t="s">
        <v>130</v>
      </c>
      <c r="BD856" t="s">
        <v>112</v>
      </c>
      <c r="BE856" t="s">
        <v>157</v>
      </c>
      <c r="BF856" t="s">
        <v>133</v>
      </c>
      <c r="BG856" t="s">
        <v>134</v>
      </c>
      <c r="BH856" t="s">
        <v>112</v>
      </c>
      <c r="BI856" t="s">
        <v>112</v>
      </c>
      <c r="BJ856" t="s">
        <v>112</v>
      </c>
      <c r="BK856" t="s">
        <v>169</v>
      </c>
      <c r="BL856" t="s">
        <v>159</v>
      </c>
      <c r="BM856" t="s">
        <v>722</v>
      </c>
      <c r="BN856" t="s">
        <v>161</v>
      </c>
      <c r="BO856">
        <v>1</v>
      </c>
      <c r="BP856" t="s">
        <v>1418</v>
      </c>
      <c r="BR856" t="s">
        <v>150</v>
      </c>
      <c r="BS856">
        <v>33</v>
      </c>
      <c r="BT856">
        <v>0</v>
      </c>
      <c r="BU856">
        <v>0</v>
      </c>
      <c r="BW856">
        <v>0</v>
      </c>
      <c r="BY856" t="s">
        <v>106</v>
      </c>
      <c r="BZ856" t="s">
        <v>142</v>
      </c>
      <c r="CA856" t="s">
        <v>112</v>
      </c>
      <c r="CB856" t="s">
        <v>112</v>
      </c>
      <c r="CC856" t="s">
        <v>121</v>
      </c>
      <c r="CD856">
        <v>16324.91</v>
      </c>
      <c r="CE856" t="s">
        <v>144</v>
      </c>
      <c r="CF856">
        <v>4000000</v>
      </c>
      <c r="CG856">
        <v>16242.12</v>
      </c>
      <c r="CH856">
        <v>0</v>
      </c>
      <c r="CI856" t="s">
        <v>112</v>
      </c>
      <c r="CJ856" t="s">
        <v>112</v>
      </c>
      <c r="CK856">
        <v>42061.8</v>
      </c>
      <c r="CL856">
        <v>4111045</v>
      </c>
      <c r="CM856">
        <v>0</v>
      </c>
      <c r="CN856">
        <v>1</v>
      </c>
      <c r="CO856">
        <v>4514703.3899999997</v>
      </c>
      <c r="CP856">
        <v>50418.26</v>
      </c>
      <c r="CQ856" t="s">
        <v>145</v>
      </c>
      <c r="CR856">
        <v>50350.572000000007</v>
      </c>
      <c r="CS856">
        <v>3.1</v>
      </c>
      <c r="CT856">
        <v>45</v>
      </c>
      <c r="CU856" t="s">
        <v>171</v>
      </c>
      <c r="CV856" t="s">
        <v>372</v>
      </c>
      <c r="CW856">
        <v>238</v>
      </c>
    </row>
    <row r="857" spans="1:101" x14ac:dyDescent="0.2">
      <c r="A857" t="s">
        <v>106</v>
      </c>
      <c r="B857" s="46">
        <v>44951</v>
      </c>
      <c r="C857" t="s">
        <v>1256</v>
      </c>
      <c r="D857" t="s">
        <v>108</v>
      </c>
      <c r="E857" t="s">
        <v>1257</v>
      </c>
      <c r="F857" t="s">
        <v>3244</v>
      </c>
      <c r="G857" t="s">
        <v>111</v>
      </c>
      <c r="H857" t="s">
        <v>112</v>
      </c>
      <c r="I857" t="s">
        <v>112</v>
      </c>
      <c r="J857" t="s">
        <v>112</v>
      </c>
      <c r="K857" t="s">
        <v>150</v>
      </c>
      <c r="L857" t="s">
        <v>1036</v>
      </c>
      <c r="M857" t="s">
        <v>112</v>
      </c>
      <c r="N857" t="s">
        <v>112</v>
      </c>
      <c r="O857">
        <v>1</v>
      </c>
      <c r="P857">
        <v>0</v>
      </c>
      <c r="Q857">
        <v>1</v>
      </c>
      <c r="R857">
        <v>33</v>
      </c>
      <c r="S857" t="s">
        <v>166</v>
      </c>
      <c r="T857" t="s">
        <v>152</v>
      </c>
      <c r="U857" t="s">
        <v>153</v>
      </c>
      <c r="V857" t="s">
        <v>154</v>
      </c>
      <c r="W857" t="s">
        <v>119</v>
      </c>
      <c r="X857" t="s">
        <v>112</v>
      </c>
      <c r="Y857" t="s">
        <v>166</v>
      </c>
      <c r="Z857" t="s">
        <v>152</v>
      </c>
      <c r="AA857" t="s">
        <v>153</v>
      </c>
      <c r="AB857" t="s">
        <v>154</v>
      </c>
      <c r="AC857" t="s">
        <v>119</v>
      </c>
      <c r="AD857" t="s">
        <v>112</v>
      </c>
      <c r="AE857" t="s">
        <v>121</v>
      </c>
      <c r="AF857" t="s">
        <v>122</v>
      </c>
      <c r="AG857">
        <v>4040294.86</v>
      </c>
      <c r="AH857" t="s">
        <v>166</v>
      </c>
      <c r="AI857" t="s">
        <v>152</v>
      </c>
      <c r="AJ857" t="s">
        <v>153</v>
      </c>
      <c r="AK857" t="s">
        <v>154</v>
      </c>
      <c r="AL857" t="s">
        <v>119</v>
      </c>
      <c r="AM857" t="s">
        <v>112</v>
      </c>
      <c r="AN857" t="s">
        <v>121</v>
      </c>
      <c r="AO857" t="s">
        <v>122</v>
      </c>
      <c r="AP857" t="s">
        <v>122</v>
      </c>
      <c r="AQ857" t="s">
        <v>124</v>
      </c>
      <c r="AR857" t="s">
        <v>125</v>
      </c>
      <c r="AS857">
        <v>2</v>
      </c>
      <c r="AT857" t="s">
        <v>126</v>
      </c>
      <c r="AU857" t="s">
        <v>155</v>
      </c>
      <c r="AV857" t="s">
        <v>156</v>
      </c>
      <c r="AW857">
        <v>1</v>
      </c>
      <c r="AX857" t="s">
        <v>129</v>
      </c>
      <c r="AY857">
        <v>41556.32</v>
      </c>
      <c r="AZ857">
        <v>3619597</v>
      </c>
      <c r="BA857">
        <v>49956.91</v>
      </c>
      <c r="BB857">
        <v>87.100999999999999</v>
      </c>
      <c r="BC857" t="s">
        <v>130</v>
      </c>
      <c r="BD857" t="s">
        <v>112</v>
      </c>
      <c r="BE857" t="s">
        <v>157</v>
      </c>
      <c r="BF857" t="s">
        <v>133</v>
      </c>
      <c r="BG857" t="s">
        <v>134</v>
      </c>
      <c r="BH857" t="s">
        <v>112</v>
      </c>
      <c r="BI857" t="s">
        <v>112</v>
      </c>
      <c r="BJ857" t="s">
        <v>112</v>
      </c>
      <c r="BK857" t="s">
        <v>169</v>
      </c>
      <c r="BL857" t="s">
        <v>159</v>
      </c>
      <c r="BM857" t="s">
        <v>722</v>
      </c>
      <c r="BN857" t="s">
        <v>161</v>
      </c>
      <c r="BO857">
        <v>1</v>
      </c>
      <c r="BP857" t="s">
        <v>162</v>
      </c>
      <c r="BR857" t="s">
        <v>150</v>
      </c>
      <c r="BS857">
        <v>33</v>
      </c>
      <c r="BT857">
        <v>0</v>
      </c>
      <c r="BU857">
        <v>0</v>
      </c>
      <c r="BW857">
        <v>0</v>
      </c>
      <c r="BY857" t="s">
        <v>106</v>
      </c>
      <c r="BZ857" t="s">
        <v>142</v>
      </c>
      <c r="CA857" t="s">
        <v>112</v>
      </c>
      <c r="CB857" t="s">
        <v>112</v>
      </c>
      <c r="CC857" t="s">
        <v>121</v>
      </c>
      <c r="CD857">
        <v>16521.34</v>
      </c>
      <c r="CE857" t="s">
        <v>144</v>
      </c>
      <c r="CF857">
        <v>4000000</v>
      </c>
      <c r="CG857">
        <v>16413.34</v>
      </c>
      <c r="CH857">
        <v>0</v>
      </c>
      <c r="CI857" t="s">
        <v>112</v>
      </c>
      <c r="CJ857" t="s">
        <v>112</v>
      </c>
      <c r="CK857">
        <v>41556.32</v>
      </c>
      <c r="CL857">
        <v>3619597</v>
      </c>
      <c r="CM857">
        <v>0</v>
      </c>
      <c r="CN857">
        <v>1</v>
      </c>
      <c r="CO857">
        <v>4040294.86</v>
      </c>
      <c r="CP857">
        <v>49956.91</v>
      </c>
      <c r="CQ857" t="s">
        <v>145</v>
      </c>
      <c r="CR857">
        <v>49896.553599999999</v>
      </c>
      <c r="CS857">
        <v>3.04</v>
      </c>
      <c r="CT857">
        <v>45</v>
      </c>
      <c r="CU857" t="s">
        <v>171</v>
      </c>
      <c r="CV857" t="s">
        <v>372</v>
      </c>
      <c r="CW857">
        <v>42</v>
      </c>
    </row>
    <row r="858" spans="1:101" x14ac:dyDescent="0.2">
      <c r="A858" t="s">
        <v>106</v>
      </c>
      <c r="B858" s="46">
        <v>44965</v>
      </c>
      <c r="C858" t="s">
        <v>1260</v>
      </c>
      <c r="D858" t="s">
        <v>108</v>
      </c>
      <c r="E858" t="s">
        <v>1261</v>
      </c>
      <c r="F858" t="s">
        <v>3244</v>
      </c>
      <c r="G858" t="s">
        <v>111</v>
      </c>
      <c r="H858" t="s">
        <v>112</v>
      </c>
      <c r="I858" t="s">
        <v>112</v>
      </c>
      <c r="J858" t="s">
        <v>112</v>
      </c>
      <c r="K858" t="s">
        <v>150</v>
      </c>
      <c r="L858" t="s">
        <v>1036</v>
      </c>
      <c r="M858" t="s">
        <v>112</v>
      </c>
      <c r="N858" t="s">
        <v>112</v>
      </c>
      <c r="O858">
        <v>1</v>
      </c>
      <c r="P858">
        <v>0</v>
      </c>
      <c r="Q858">
        <v>1</v>
      </c>
      <c r="R858">
        <v>33</v>
      </c>
      <c r="S858" t="s">
        <v>166</v>
      </c>
      <c r="T858" t="s">
        <v>152</v>
      </c>
      <c r="U858" t="s">
        <v>153</v>
      </c>
      <c r="V858" t="s">
        <v>154</v>
      </c>
      <c r="W858" t="s">
        <v>119</v>
      </c>
      <c r="X858" t="s">
        <v>112</v>
      </c>
      <c r="Y858" t="s">
        <v>166</v>
      </c>
      <c r="Z858" t="s">
        <v>152</v>
      </c>
      <c r="AA858" t="s">
        <v>153</v>
      </c>
      <c r="AB858" t="s">
        <v>154</v>
      </c>
      <c r="AC858" t="s">
        <v>119</v>
      </c>
      <c r="AD858" t="s">
        <v>112</v>
      </c>
      <c r="AE858" t="s">
        <v>121</v>
      </c>
      <c r="AF858" t="s">
        <v>122</v>
      </c>
      <c r="AG858">
        <v>3983955.32</v>
      </c>
      <c r="AH858" t="s">
        <v>166</v>
      </c>
      <c r="AI858" t="s">
        <v>152</v>
      </c>
      <c r="AJ858" t="s">
        <v>153</v>
      </c>
      <c r="AK858" t="s">
        <v>154</v>
      </c>
      <c r="AL858" t="s">
        <v>119</v>
      </c>
      <c r="AM858" t="s">
        <v>112</v>
      </c>
      <c r="AN858" t="s">
        <v>121</v>
      </c>
      <c r="AO858" t="s">
        <v>122</v>
      </c>
      <c r="AP858" t="s">
        <v>122</v>
      </c>
      <c r="AQ858" t="s">
        <v>124</v>
      </c>
      <c r="AR858" t="s">
        <v>125</v>
      </c>
      <c r="AS858">
        <v>2</v>
      </c>
      <c r="AT858" t="s">
        <v>126</v>
      </c>
      <c r="AU858" t="s">
        <v>155</v>
      </c>
      <c r="AV858" t="s">
        <v>156</v>
      </c>
      <c r="AW858">
        <v>1</v>
      </c>
      <c r="AX858" t="s">
        <v>129</v>
      </c>
      <c r="AY858">
        <v>41089.49</v>
      </c>
      <c r="AZ858">
        <v>3578936</v>
      </c>
      <c r="BA858">
        <v>49260.29</v>
      </c>
      <c r="BB858">
        <v>87.100999999999999</v>
      </c>
      <c r="BC858" t="s">
        <v>130</v>
      </c>
      <c r="BD858" t="s">
        <v>112</v>
      </c>
      <c r="BE858" t="s">
        <v>157</v>
      </c>
      <c r="BF858" t="s">
        <v>133</v>
      </c>
      <c r="BG858" t="s">
        <v>134</v>
      </c>
      <c r="BH858" t="s">
        <v>112</v>
      </c>
      <c r="BI858" t="s">
        <v>112</v>
      </c>
      <c r="BJ858" t="s">
        <v>112</v>
      </c>
      <c r="BK858" t="s">
        <v>169</v>
      </c>
      <c r="BL858" t="s">
        <v>159</v>
      </c>
      <c r="BM858" t="s">
        <v>722</v>
      </c>
      <c r="BN858" t="s">
        <v>161</v>
      </c>
      <c r="BO858">
        <v>1</v>
      </c>
      <c r="BP858" t="s">
        <v>1262</v>
      </c>
      <c r="BR858" t="s">
        <v>150</v>
      </c>
      <c r="BS858">
        <v>33</v>
      </c>
      <c r="BT858">
        <v>0</v>
      </c>
      <c r="BU858">
        <v>0</v>
      </c>
      <c r="BW858">
        <v>0</v>
      </c>
      <c r="BY858" t="s">
        <v>106</v>
      </c>
      <c r="BZ858" t="s">
        <v>142</v>
      </c>
      <c r="CA858" t="s">
        <v>112</v>
      </c>
      <c r="CB858" t="s">
        <v>112</v>
      </c>
      <c r="CC858" t="s">
        <v>121</v>
      </c>
      <c r="CD858">
        <v>17004.45</v>
      </c>
      <c r="CE858" t="s">
        <v>144</v>
      </c>
      <c r="CF858">
        <v>4000000</v>
      </c>
      <c r="CG858">
        <v>17004.45</v>
      </c>
      <c r="CH858">
        <v>0</v>
      </c>
      <c r="CI858" t="s">
        <v>112</v>
      </c>
      <c r="CJ858" t="s">
        <v>112</v>
      </c>
      <c r="CK858">
        <v>41089.49</v>
      </c>
      <c r="CL858">
        <v>3578936</v>
      </c>
      <c r="CM858">
        <v>0</v>
      </c>
      <c r="CN858">
        <v>1</v>
      </c>
      <c r="CO858">
        <v>3983955.32</v>
      </c>
      <c r="CP858">
        <v>49260.29</v>
      </c>
      <c r="CQ858" t="s">
        <v>145</v>
      </c>
      <c r="CR858">
        <v>49312.904999999999</v>
      </c>
      <c r="CS858">
        <v>2.9</v>
      </c>
      <c r="CT858">
        <v>45</v>
      </c>
      <c r="CU858" t="s">
        <v>171</v>
      </c>
      <c r="CV858" t="s">
        <v>463</v>
      </c>
      <c r="CW858">
        <v>68</v>
      </c>
    </row>
    <row r="859" spans="1:101" x14ac:dyDescent="0.2">
      <c r="A859" t="s">
        <v>106</v>
      </c>
      <c r="B859" s="46">
        <v>44930</v>
      </c>
      <c r="C859" t="s">
        <v>1124</v>
      </c>
      <c r="D859" t="s">
        <v>108</v>
      </c>
      <c r="E859" t="s">
        <v>1125</v>
      </c>
      <c r="F859" t="s">
        <v>3244</v>
      </c>
      <c r="G859" t="s">
        <v>111</v>
      </c>
      <c r="H859" t="s">
        <v>112</v>
      </c>
      <c r="I859" t="s">
        <v>112</v>
      </c>
      <c r="J859" t="s">
        <v>112</v>
      </c>
      <c r="K859" t="s">
        <v>150</v>
      </c>
      <c r="L859" t="s">
        <v>1103</v>
      </c>
      <c r="M859" t="s">
        <v>112</v>
      </c>
      <c r="N859" t="s">
        <v>112</v>
      </c>
      <c r="O859">
        <v>1</v>
      </c>
      <c r="P859">
        <v>0</v>
      </c>
      <c r="Q859">
        <v>1</v>
      </c>
      <c r="R859">
        <v>33</v>
      </c>
      <c r="S859" t="s">
        <v>166</v>
      </c>
      <c r="T859" t="s">
        <v>152</v>
      </c>
      <c r="U859" t="s">
        <v>153</v>
      </c>
      <c r="V859" t="s">
        <v>154</v>
      </c>
      <c r="W859" t="s">
        <v>119</v>
      </c>
      <c r="X859" t="s">
        <v>112</v>
      </c>
      <c r="Y859" t="s">
        <v>166</v>
      </c>
      <c r="Z859" t="s">
        <v>152</v>
      </c>
      <c r="AA859" t="s">
        <v>153</v>
      </c>
      <c r="AB859" t="s">
        <v>154</v>
      </c>
      <c r="AC859" t="s">
        <v>119</v>
      </c>
      <c r="AD859" t="s">
        <v>112</v>
      </c>
      <c r="AE859" t="s">
        <v>121</v>
      </c>
      <c r="AF859" t="s">
        <v>122</v>
      </c>
      <c r="AG859">
        <v>3723421.76</v>
      </c>
      <c r="AH859" t="s">
        <v>166</v>
      </c>
      <c r="AI859" t="s">
        <v>152</v>
      </c>
      <c r="AJ859" t="s">
        <v>153</v>
      </c>
      <c r="AK859" t="s">
        <v>154</v>
      </c>
      <c r="AL859" t="s">
        <v>119</v>
      </c>
      <c r="AM859" t="s">
        <v>112</v>
      </c>
      <c r="AN859" t="s">
        <v>121</v>
      </c>
      <c r="AO859" t="s">
        <v>122</v>
      </c>
      <c r="AP859" t="s">
        <v>122</v>
      </c>
      <c r="AQ859" t="s">
        <v>124</v>
      </c>
      <c r="AR859" t="s">
        <v>125</v>
      </c>
      <c r="AS859">
        <v>2</v>
      </c>
      <c r="AT859" t="s">
        <v>126</v>
      </c>
      <c r="AU859" t="s">
        <v>155</v>
      </c>
      <c r="AV859" t="s">
        <v>156</v>
      </c>
      <c r="AW859">
        <v>1</v>
      </c>
      <c r="AX859" t="s">
        <v>129</v>
      </c>
      <c r="AY859">
        <v>37948.639999999999</v>
      </c>
      <c r="AZ859">
        <v>3301479</v>
      </c>
      <c r="BA859">
        <v>47363.4</v>
      </c>
      <c r="BB859">
        <v>86.998599999999996</v>
      </c>
      <c r="BC859" t="s">
        <v>130</v>
      </c>
      <c r="BD859" t="s">
        <v>112</v>
      </c>
      <c r="BE859" t="s">
        <v>157</v>
      </c>
      <c r="BF859" t="s">
        <v>133</v>
      </c>
      <c r="BG859" t="s">
        <v>134</v>
      </c>
      <c r="BH859" t="s">
        <v>112</v>
      </c>
      <c r="BI859" t="s">
        <v>112</v>
      </c>
      <c r="BJ859" t="s">
        <v>112</v>
      </c>
      <c r="BK859" t="s">
        <v>169</v>
      </c>
      <c r="BL859" t="s">
        <v>159</v>
      </c>
      <c r="BM859" t="s">
        <v>722</v>
      </c>
      <c r="BN859" t="s">
        <v>161</v>
      </c>
      <c r="BO859">
        <v>1</v>
      </c>
      <c r="BP859" t="s">
        <v>579</v>
      </c>
      <c r="BR859" t="s">
        <v>150</v>
      </c>
      <c r="BS859">
        <v>33</v>
      </c>
      <c r="BT859">
        <v>0</v>
      </c>
      <c r="BU859">
        <v>0</v>
      </c>
      <c r="BW859">
        <v>0</v>
      </c>
      <c r="BY859" t="s">
        <v>106</v>
      </c>
      <c r="BZ859" t="s">
        <v>142</v>
      </c>
      <c r="CA859" t="s">
        <v>112</v>
      </c>
      <c r="CB859" t="s">
        <v>112</v>
      </c>
      <c r="CC859" t="s">
        <v>121</v>
      </c>
      <c r="CD859">
        <v>16672.95</v>
      </c>
      <c r="CE859" t="s">
        <v>144</v>
      </c>
      <c r="CF859">
        <v>4000000</v>
      </c>
      <c r="CG859">
        <v>16586.55</v>
      </c>
      <c r="CH859">
        <v>0</v>
      </c>
      <c r="CI859" t="s">
        <v>112</v>
      </c>
      <c r="CJ859" t="s">
        <v>112</v>
      </c>
      <c r="CK859">
        <v>37948.639999999999</v>
      </c>
      <c r="CL859">
        <v>3301479</v>
      </c>
      <c r="CM859">
        <v>0</v>
      </c>
      <c r="CN859">
        <v>1</v>
      </c>
      <c r="CO859">
        <v>3723421.76</v>
      </c>
      <c r="CP859">
        <v>47363.4</v>
      </c>
      <c r="CQ859" t="s">
        <v>145</v>
      </c>
      <c r="CR859">
        <v>47362.893524999999</v>
      </c>
      <c r="CS859">
        <v>2.8555000000000001</v>
      </c>
      <c r="CT859">
        <v>45</v>
      </c>
      <c r="CU859" t="s">
        <v>171</v>
      </c>
      <c r="CV859" t="s">
        <v>372</v>
      </c>
      <c r="CW859">
        <v>182</v>
      </c>
    </row>
    <row r="860" spans="1:101" x14ac:dyDescent="0.2">
      <c r="A860" t="s">
        <v>106</v>
      </c>
      <c r="B860" s="46">
        <v>45021</v>
      </c>
      <c r="C860" t="s">
        <v>1132</v>
      </c>
      <c r="D860" t="s">
        <v>108</v>
      </c>
      <c r="E860" t="s">
        <v>1133</v>
      </c>
      <c r="F860" t="s">
        <v>3244</v>
      </c>
      <c r="G860" t="s">
        <v>111</v>
      </c>
      <c r="H860" t="s">
        <v>112</v>
      </c>
      <c r="I860" t="s">
        <v>112</v>
      </c>
      <c r="J860" t="s">
        <v>112</v>
      </c>
      <c r="K860" t="s">
        <v>150</v>
      </c>
      <c r="L860" t="s">
        <v>1103</v>
      </c>
      <c r="M860" t="s">
        <v>112</v>
      </c>
      <c r="N860" t="s">
        <v>112</v>
      </c>
      <c r="O860">
        <v>1</v>
      </c>
      <c r="P860">
        <v>0</v>
      </c>
      <c r="Q860">
        <v>1</v>
      </c>
      <c r="R860">
        <v>33</v>
      </c>
      <c r="S860" t="s">
        <v>166</v>
      </c>
      <c r="T860" t="s">
        <v>152</v>
      </c>
      <c r="U860" t="s">
        <v>153</v>
      </c>
      <c r="V860" t="s">
        <v>154</v>
      </c>
      <c r="W860" t="s">
        <v>119</v>
      </c>
      <c r="X860" t="s">
        <v>112</v>
      </c>
      <c r="Y860" t="s">
        <v>166</v>
      </c>
      <c r="Z860" t="s">
        <v>152</v>
      </c>
      <c r="AA860" t="s">
        <v>153</v>
      </c>
      <c r="AB860" t="s">
        <v>154</v>
      </c>
      <c r="AC860" t="s">
        <v>119</v>
      </c>
      <c r="AD860" t="s">
        <v>112</v>
      </c>
      <c r="AE860" t="s">
        <v>121</v>
      </c>
      <c r="AF860" t="s">
        <v>122</v>
      </c>
      <c r="AG860">
        <v>4196132.13</v>
      </c>
      <c r="AH860" t="s">
        <v>166</v>
      </c>
      <c r="AI860" t="s">
        <v>152</v>
      </c>
      <c r="AJ860" t="s">
        <v>153</v>
      </c>
      <c r="AK860" t="s">
        <v>154</v>
      </c>
      <c r="AL860" t="s">
        <v>119</v>
      </c>
      <c r="AM860" t="s">
        <v>112</v>
      </c>
      <c r="AN860" t="s">
        <v>121</v>
      </c>
      <c r="AO860" t="s">
        <v>122</v>
      </c>
      <c r="AP860" t="s">
        <v>122</v>
      </c>
      <c r="AQ860" t="s">
        <v>124</v>
      </c>
      <c r="AR860" t="s">
        <v>125</v>
      </c>
      <c r="AS860">
        <v>2</v>
      </c>
      <c r="AT860" t="s">
        <v>126</v>
      </c>
      <c r="AU860" t="s">
        <v>155</v>
      </c>
      <c r="AV860" t="s">
        <v>156</v>
      </c>
      <c r="AW860">
        <v>1</v>
      </c>
      <c r="AX860" t="s">
        <v>129</v>
      </c>
      <c r="AY860">
        <v>43882.18</v>
      </c>
      <c r="AZ860">
        <v>3817688</v>
      </c>
      <c r="BA860">
        <v>53376.47</v>
      </c>
      <c r="BB860">
        <v>86.998599999999996</v>
      </c>
      <c r="BC860" t="s">
        <v>130</v>
      </c>
      <c r="BD860" t="s">
        <v>112</v>
      </c>
      <c r="BE860" t="s">
        <v>157</v>
      </c>
      <c r="BF860" t="s">
        <v>133</v>
      </c>
      <c r="BG860" t="s">
        <v>134</v>
      </c>
      <c r="BH860" t="s">
        <v>112</v>
      </c>
      <c r="BI860" t="s">
        <v>112</v>
      </c>
      <c r="BJ860" t="s">
        <v>112</v>
      </c>
      <c r="BK860" t="s">
        <v>169</v>
      </c>
      <c r="BL860" t="s">
        <v>159</v>
      </c>
      <c r="BM860" t="s">
        <v>722</v>
      </c>
      <c r="BN860" t="s">
        <v>161</v>
      </c>
      <c r="BO860">
        <v>1</v>
      </c>
      <c r="BP860" t="s">
        <v>1134</v>
      </c>
      <c r="BR860" t="s">
        <v>150</v>
      </c>
      <c r="BS860">
        <v>33</v>
      </c>
      <c r="BT860">
        <v>0</v>
      </c>
      <c r="BU860">
        <v>0</v>
      </c>
      <c r="BW860">
        <v>0</v>
      </c>
      <c r="BY860" t="s">
        <v>106</v>
      </c>
      <c r="BZ860" t="s">
        <v>142</v>
      </c>
      <c r="CA860" t="s">
        <v>112</v>
      </c>
      <c r="CB860" t="s">
        <v>112</v>
      </c>
      <c r="CC860" t="s">
        <v>121</v>
      </c>
      <c r="CD860">
        <v>16105.79</v>
      </c>
      <c r="CE860" t="s">
        <v>144</v>
      </c>
      <c r="CF860">
        <v>4000000</v>
      </c>
      <c r="CG860">
        <v>16015.79</v>
      </c>
      <c r="CH860">
        <v>0</v>
      </c>
      <c r="CI860" t="s">
        <v>112</v>
      </c>
      <c r="CJ860" t="s">
        <v>112</v>
      </c>
      <c r="CK860">
        <v>43882.18</v>
      </c>
      <c r="CL860">
        <v>3817688</v>
      </c>
      <c r="CM860">
        <v>0</v>
      </c>
      <c r="CN860">
        <v>1</v>
      </c>
      <c r="CO860">
        <v>4196132.13</v>
      </c>
      <c r="CP860">
        <v>53376.47</v>
      </c>
      <c r="CQ860" t="s">
        <v>145</v>
      </c>
      <c r="CR860">
        <v>53375.823333</v>
      </c>
      <c r="CS860">
        <v>3.3327</v>
      </c>
      <c r="CT860">
        <v>45</v>
      </c>
      <c r="CU860" t="s">
        <v>171</v>
      </c>
      <c r="CV860" t="s">
        <v>350</v>
      </c>
      <c r="CW860">
        <v>54</v>
      </c>
    </row>
    <row r="861" spans="1:101" x14ac:dyDescent="0.2">
      <c r="A861" t="s">
        <v>106</v>
      </c>
      <c r="B861" s="46">
        <v>45028</v>
      </c>
      <c r="C861" t="s">
        <v>1128</v>
      </c>
      <c r="D861" t="s">
        <v>108</v>
      </c>
      <c r="E861" t="s">
        <v>1129</v>
      </c>
      <c r="F861" t="s">
        <v>3244</v>
      </c>
      <c r="G861" t="s">
        <v>111</v>
      </c>
      <c r="H861" t="s">
        <v>112</v>
      </c>
      <c r="I861" t="s">
        <v>112</v>
      </c>
      <c r="J861" t="s">
        <v>112</v>
      </c>
      <c r="K861" t="s">
        <v>150</v>
      </c>
      <c r="L861" t="s">
        <v>1103</v>
      </c>
      <c r="M861" t="s">
        <v>112</v>
      </c>
      <c r="N861" t="s">
        <v>112</v>
      </c>
      <c r="O861">
        <v>1</v>
      </c>
      <c r="P861">
        <v>0</v>
      </c>
      <c r="Q861">
        <v>1</v>
      </c>
      <c r="R861">
        <v>33</v>
      </c>
      <c r="S861" t="s">
        <v>166</v>
      </c>
      <c r="T861" t="s">
        <v>152</v>
      </c>
      <c r="U861" t="s">
        <v>153</v>
      </c>
      <c r="V861" t="s">
        <v>154</v>
      </c>
      <c r="W861" t="s">
        <v>119</v>
      </c>
      <c r="X861" t="s">
        <v>112</v>
      </c>
      <c r="Y861" t="s">
        <v>166</v>
      </c>
      <c r="Z861" t="s">
        <v>152</v>
      </c>
      <c r="AA861" t="s">
        <v>153</v>
      </c>
      <c r="AB861" t="s">
        <v>154</v>
      </c>
      <c r="AC861" t="s">
        <v>119</v>
      </c>
      <c r="AD861" t="s">
        <v>112</v>
      </c>
      <c r="AE861" t="s">
        <v>121</v>
      </c>
      <c r="AF861" t="s">
        <v>122</v>
      </c>
      <c r="AG861">
        <v>3730768.79</v>
      </c>
      <c r="AH861" t="s">
        <v>166</v>
      </c>
      <c r="AI861" t="s">
        <v>152</v>
      </c>
      <c r="AJ861" t="s">
        <v>153</v>
      </c>
      <c r="AK861" t="s">
        <v>154</v>
      </c>
      <c r="AL861" t="s">
        <v>119</v>
      </c>
      <c r="AM861" t="s">
        <v>112</v>
      </c>
      <c r="AN861" t="s">
        <v>121</v>
      </c>
      <c r="AO861" t="s">
        <v>122</v>
      </c>
      <c r="AP861" t="s">
        <v>122</v>
      </c>
      <c r="AQ861" t="s">
        <v>124</v>
      </c>
      <c r="AR861" t="s">
        <v>125</v>
      </c>
      <c r="AS861">
        <v>2</v>
      </c>
      <c r="AT861" t="s">
        <v>126</v>
      </c>
      <c r="AU861" t="s">
        <v>155</v>
      </c>
      <c r="AV861" t="s">
        <v>156</v>
      </c>
      <c r="AW861">
        <v>1</v>
      </c>
      <c r="AX861" t="s">
        <v>129</v>
      </c>
      <c r="AY861">
        <v>38533.089999999997</v>
      </c>
      <c r="AZ861">
        <v>3352325</v>
      </c>
      <c r="BA861">
        <v>47456.86</v>
      </c>
      <c r="BB861">
        <v>86.998599999999996</v>
      </c>
      <c r="BC861" t="s">
        <v>130</v>
      </c>
      <c r="BD861" t="s">
        <v>112</v>
      </c>
      <c r="BE861" t="s">
        <v>157</v>
      </c>
      <c r="BF861" t="s">
        <v>133</v>
      </c>
      <c r="BG861" t="s">
        <v>167</v>
      </c>
      <c r="BH861" t="s">
        <v>168</v>
      </c>
      <c r="BI861" t="s">
        <v>112</v>
      </c>
      <c r="BJ861" t="s">
        <v>112</v>
      </c>
      <c r="BK861" t="s">
        <v>169</v>
      </c>
      <c r="BL861" t="s">
        <v>159</v>
      </c>
      <c r="BM861" t="s">
        <v>726</v>
      </c>
      <c r="BN861" t="s">
        <v>161</v>
      </c>
      <c r="BO861">
        <v>1</v>
      </c>
      <c r="BP861" t="s">
        <v>1967</v>
      </c>
      <c r="BR861" t="s">
        <v>150</v>
      </c>
      <c r="BS861">
        <v>33</v>
      </c>
      <c r="BT861">
        <v>0</v>
      </c>
      <c r="BU861">
        <v>0</v>
      </c>
      <c r="BW861">
        <v>0</v>
      </c>
      <c r="BY861" t="s">
        <v>106</v>
      </c>
      <c r="BZ861" t="s">
        <v>142</v>
      </c>
      <c r="CA861" t="s">
        <v>112</v>
      </c>
      <c r="CB861" t="s">
        <v>112</v>
      </c>
      <c r="CC861" t="s">
        <v>121</v>
      </c>
      <c r="CD861">
        <v>16189.26</v>
      </c>
      <c r="CE861" t="s">
        <v>144</v>
      </c>
      <c r="CF861">
        <v>4000000</v>
      </c>
      <c r="CG861">
        <v>16016.46</v>
      </c>
      <c r="CH861">
        <v>0</v>
      </c>
      <c r="CI861" t="s">
        <v>112</v>
      </c>
      <c r="CJ861" t="s">
        <v>112</v>
      </c>
      <c r="CK861">
        <v>38533.089999999997</v>
      </c>
      <c r="CL861">
        <v>3352325</v>
      </c>
      <c r="CM861">
        <v>0</v>
      </c>
      <c r="CN861">
        <v>1</v>
      </c>
      <c r="CO861">
        <v>3730768.79</v>
      </c>
      <c r="CP861">
        <v>47456.86</v>
      </c>
      <c r="CQ861" t="s">
        <v>145</v>
      </c>
      <c r="CR861">
        <v>47456.770980000001</v>
      </c>
      <c r="CS861">
        <v>2.9630000000000001</v>
      </c>
      <c r="CT861">
        <v>45</v>
      </c>
      <c r="CU861" t="s">
        <v>171</v>
      </c>
      <c r="CV861" t="s">
        <v>369</v>
      </c>
      <c r="CW861">
        <v>75</v>
      </c>
    </row>
    <row r="862" spans="1:101" x14ac:dyDescent="0.2">
      <c r="A862" t="s">
        <v>106</v>
      </c>
      <c r="B862" s="46">
        <v>45148</v>
      </c>
      <c r="C862" t="s">
        <v>1004</v>
      </c>
      <c r="D862" t="s">
        <v>108</v>
      </c>
      <c r="E862" t="s">
        <v>1005</v>
      </c>
      <c r="F862" t="s">
        <v>3244</v>
      </c>
      <c r="G862" t="s">
        <v>111</v>
      </c>
      <c r="H862" t="s">
        <v>112</v>
      </c>
      <c r="I862" t="s">
        <v>112</v>
      </c>
      <c r="J862" t="s">
        <v>112</v>
      </c>
      <c r="K862" t="s">
        <v>150</v>
      </c>
      <c r="L862" t="s">
        <v>151</v>
      </c>
      <c r="M862" t="s">
        <v>112</v>
      </c>
      <c r="N862" t="s">
        <v>112</v>
      </c>
      <c r="O862">
        <v>1</v>
      </c>
      <c r="P862">
        <v>0</v>
      </c>
      <c r="Q862">
        <v>1</v>
      </c>
      <c r="R862">
        <v>33</v>
      </c>
      <c r="S862" t="s">
        <v>166</v>
      </c>
      <c r="T862" t="s">
        <v>152</v>
      </c>
      <c r="U862" t="s">
        <v>153</v>
      </c>
      <c r="V862" t="s">
        <v>154</v>
      </c>
      <c r="W862" t="s">
        <v>119</v>
      </c>
      <c r="X862" t="s">
        <v>112</v>
      </c>
      <c r="Y862" t="s">
        <v>166</v>
      </c>
      <c r="Z862" t="s">
        <v>152</v>
      </c>
      <c r="AA862" t="s">
        <v>153</v>
      </c>
      <c r="AB862" t="s">
        <v>154</v>
      </c>
      <c r="AC862" t="s">
        <v>119</v>
      </c>
      <c r="AD862" t="s">
        <v>112</v>
      </c>
      <c r="AE862" t="s">
        <v>121</v>
      </c>
      <c r="AF862" t="s">
        <v>122</v>
      </c>
      <c r="AG862">
        <v>4012702.08</v>
      </c>
      <c r="AH862" t="s">
        <v>166</v>
      </c>
      <c r="AI862" t="s">
        <v>152</v>
      </c>
      <c r="AJ862" t="s">
        <v>153</v>
      </c>
      <c r="AK862" t="s">
        <v>154</v>
      </c>
      <c r="AL862" t="s">
        <v>119</v>
      </c>
      <c r="AM862" t="s">
        <v>112</v>
      </c>
      <c r="AN862" t="s">
        <v>121</v>
      </c>
      <c r="AO862" t="s">
        <v>122</v>
      </c>
      <c r="AP862" t="s">
        <v>122</v>
      </c>
      <c r="AQ862" t="s">
        <v>124</v>
      </c>
      <c r="AR862" t="s">
        <v>125</v>
      </c>
      <c r="AS862">
        <v>2</v>
      </c>
      <c r="AT862" t="s">
        <v>126</v>
      </c>
      <c r="AU862" t="s">
        <v>155</v>
      </c>
      <c r="AV862" t="s">
        <v>156</v>
      </c>
      <c r="AW862">
        <v>1</v>
      </c>
      <c r="AX862" t="s">
        <v>129</v>
      </c>
      <c r="AY862">
        <v>41921.56</v>
      </c>
      <c r="AZ862">
        <v>3635467</v>
      </c>
      <c r="BA862">
        <v>50565.64</v>
      </c>
      <c r="BB862">
        <v>86.720699999999994</v>
      </c>
      <c r="BC862" t="s">
        <v>130</v>
      </c>
      <c r="BD862" t="s">
        <v>112</v>
      </c>
      <c r="BE862" t="s">
        <v>157</v>
      </c>
      <c r="BF862" t="s">
        <v>133</v>
      </c>
      <c r="BG862" t="s">
        <v>134</v>
      </c>
      <c r="BH862" t="s">
        <v>112</v>
      </c>
      <c r="BI862" t="s">
        <v>112</v>
      </c>
      <c r="BJ862" t="s">
        <v>112</v>
      </c>
      <c r="BK862" t="s">
        <v>169</v>
      </c>
      <c r="BL862" t="s">
        <v>159</v>
      </c>
      <c r="BM862" t="s">
        <v>722</v>
      </c>
      <c r="BN862" t="s">
        <v>161</v>
      </c>
      <c r="BO862">
        <v>1</v>
      </c>
      <c r="BP862" t="s">
        <v>205</v>
      </c>
      <c r="BR862" t="s">
        <v>150</v>
      </c>
      <c r="BS862">
        <v>33</v>
      </c>
      <c r="BT862">
        <v>0</v>
      </c>
      <c r="BU862">
        <v>0</v>
      </c>
      <c r="BW862">
        <v>0</v>
      </c>
      <c r="BY862" t="s">
        <v>106</v>
      </c>
      <c r="BZ862" t="s">
        <v>142</v>
      </c>
      <c r="CA862" t="s">
        <v>112</v>
      </c>
      <c r="CB862" t="s">
        <v>112</v>
      </c>
      <c r="CC862" t="s">
        <v>121</v>
      </c>
      <c r="CD862">
        <v>16436.21</v>
      </c>
      <c r="CE862" t="s">
        <v>144</v>
      </c>
      <c r="CF862">
        <v>4000000</v>
      </c>
      <c r="CG862">
        <v>16349.81</v>
      </c>
      <c r="CH862">
        <v>0</v>
      </c>
      <c r="CI862" t="s">
        <v>112</v>
      </c>
      <c r="CJ862" t="s">
        <v>112</v>
      </c>
      <c r="CK862">
        <v>41921.56</v>
      </c>
      <c r="CL862">
        <v>3635467</v>
      </c>
      <c r="CM862">
        <v>0</v>
      </c>
      <c r="CN862">
        <v>1</v>
      </c>
      <c r="CO862">
        <v>4012702.08</v>
      </c>
      <c r="CP862">
        <v>50565.64</v>
      </c>
      <c r="CQ862" t="s">
        <v>145</v>
      </c>
      <c r="CR862">
        <v>50565.057386999993</v>
      </c>
      <c r="CS862">
        <v>3.0926999999999998</v>
      </c>
      <c r="CT862">
        <v>45</v>
      </c>
      <c r="CU862" t="s">
        <v>171</v>
      </c>
      <c r="CV862" t="s">
        <v>463</v>
      </c>
      <c r="CW862">
        <v>159</v>
      </c>
    </row>
    <row r="863" spans="1:101" x14ac:dyDescent="0.2">
      <c r="A863" t="s">
        <v>106</v>
      </c>
      <c r="B863" s="46">
        <v>44930</v>
      </c>
      <c r="C863" t="s">
        <v>1002</v>
      </c>
      <c r="D863" t="s">
        <v>108</v>
      </c>
      <c r="E863" t="s">
        <v>1003</v>
      </c>
      <c r="F863" t="s">
        <v>3244</v>
      </c>
      <c r="G863" t="s">
        <v>111</v>
      </c>
      <c r="H863" t="s">
        <v>112</v>
      </c>
      <c r="I863" t="s">
        <v>112</v>
      </c>
      <c r="J863" t="s">
        <v>112</v>
      </c>
      <c r="K863" t="s">
        <v>150</v>
      </c>
      <c r="L863" t="s">
        <v>151</v>
      </c>
      <c r="M863" t="s">
        <v>112</v>
      </c>
      <c r="N863" t="s">
        <v>112</v>
      </c>
      <c r="O863">
        <v>1</v>
      </c>
      <c r="P863">
        <v>0</v>
      </c>
      <c r="Q863">
        <v>1</v>
      </c>
      <c r="R863">
        <v>33</v>
      </c>
      <c r="S863" t="s">
        <v>166</v>
      </c>
      <c r="T863" t="s">
        <v>152</v>
      </c>
      <c r="U863" t="s">
        <v>153</v>
      </c>
      <c r="V863" t="s">
        <v>154</v>
      </c>
      <c r="W863" t="s">
        <v>119</v>
      </c>
      <c r="X863" t="s">
        <v>112</v>
      </c>
      <c r="Y863" t="s">
        <v>166</v>
      </c>
      <c r="Z863" t="s">
        <v>152</v>
      </c>
      <c r="AA863" t="s">
        <v>153</v>
      </c>
      <c r="AB863" t="s">
        <v>154</v>
      </c>
      <c r="AC863" t="s">
        <v>119</v>
      </c>
      <c r="AD863" t="s">
        <v>112</v>
      </c>
      <c r="AE863" t="s">
        <v>121</v>
      </c>
      <c r="AF863" t="s">
        <v>122</v>
      </c>
      <c r="AG863">
        <v>4065789.02</v>
      </c>
      <c r="AH863" t="s">
        <v>166</v>
      </c>
      <c r="AI863" t="s">
        <v>152</v>
      </c>
      <c r="AJ863" t="s">
        <v>153</v>
      </c>
      <c r="AK863" t="s">
        <v>154</v>
      </c>
      <c r="AL863" t="s">
        <v>119</v>
      </c>
      <c r="AM863" t="s">
        <v>112</v>
      </c>
      <c r="AN863" t="s">
        <v>121</v>
      </c>
      <c r="AO863" t="s">
        <v>122</v>
      </c>
      <c r="AP863" t="s">
        <v>122</v>
      </c>
      <c r="AQ863" t="s">
        <v>124</v>
      </c>
      <c r="AR863" t="s">
        <v>125</v>
      </c>
      <c r="AS863">
        <v>2</v>
      </c>
      <c r="AT863" t="s">
        <v>126</v>
      </c>
      <c r="AU863" t="s">
        <v>155</v>
      </c>
      <c r="AV863" t="s">
        <v>156</v>
      </c>
      <c r="AW863">
        <v>1</v>
      </c>
      <c r="AX863" t="s">
        <v>129</v>
      </c>
      <c r="AY863">
        <v>42033.72</v>
      </c>
      <c r="AZ863">
        <v>3645194</v>
      </c>
      <c r="BA863">
        <v>51234.61</v>
      </c>
      <c r="BB863">
        <v>86.720699999999994</v>
      </c>
      <c r="BC863" t="s">
        <v>130</v>
      </c>
      <c r="BD863" t="s">
        <v>112</v>
      </c>
      <c r="BE863" t="s">
        <v>157</v>
      </c>
      <c r="BF863" t="s">
        <v>133</v>
      </c>
      <c r="BG863" t="s">
        <v>134</v>
      </c>
      <c r="BH863" t="s">
        <v>112</v>
      </c>
      <c r="BI863" t="s">
        <v>112</v>
      </c>
      <c r="BJ863" t="s">
        <v>112</v>
      </c>
      <c r="BK863" t="s">
        <v>169</v>
      </c>
      <c r="BL863" t="s">
        <v>159</v>
      </c>
      <c r="BM863" t="s">
        <v>722</v>
      </c>
      <c r="BN863" t="s">
        <v>161</v>
      </c>
      <c r="BO863">
        <v>1</v>
      </c>
      <c r="BP863" t="s">
        <v>232</v>
      </c>
      <c r="BR863" t="s">
        <v>150</v>
      </c>
      <c r="BS863">
        <v>33</v>
      </c>
      <c r="BT863">
        <v>0</v>
      </c>
      <c r="BU863">
        <v>0</v>
      </c>
      <c r="BW863">
        <v>0</v>
      </c>
      <c r="BY863" t="s">
        <v>106</v>
      </c>
      <c r="BZ863" t="s">
        <v>142</v>
      </c>
      <c r="CA863" t="s">
        <v>112</v>
      </c>
      <c r="CB863" t="s">
        <v>112</v>
      </c>
      <c r="CC863" t="s">
        <v>121</v>
      </c>
      <c r="CD863">
        <v>16667.62</v>
      </c>
      <c r="CE863" t="s">
        <v>144</v>
      </c>
      <c r="CF863">
        <v>4000000</v>
      </c>
      <c r="CG863">
        <v>16521.22</v>
      </c>
      <c r="CH863">
        <v>0</v>
      </c>
      <c r="CI863" t="s">
        <v>112</v>
      </c>
      <c r="CJ863" t="s">
        <v>112</v>
      </c>
      <c r="CK863">
        <v>42033.72</v>
      </c>
      <c r="CL863">
        <v>3645194</v>
      </c>
      <c r="CM863">
        <v>0</v>
      </c>
      <c r="CN863">
        <v>1</v>
      </c>
      <c r="CO863">
        <v>4065789.02</v>
      </c>
      <c r="CP863">
        <v>51234.61</v>
      </c>
      <c r="CQ863" t="s">
        <v>145</v>
      </c>
      <c r="CR863">
        <v>51233.955342000008</v>
      </c>
      <c r="CS863">
        <v>3.1011000000000002</v>
      </c>
      <c r="CT863">
        <v>45</v>
      </c>
      <c r="CU863" t="s">
        <v>171</v>
      </c>
      <c r="CV863" t="s">
        <v>372</v>
      </c>
      <c r="CW863">
        <v>52</v>
      </c>
    </row>
    <row r="864" spans="1:101" x14ac:dyDescent="0.2">
      <c r="A864" t="s">
        <v>106</v>
      </c>
      <c r="B864" s="46">
        <v>44850</v>
      </c>
      <c r="C864" t="s">
        <v>307</v>
      </c>
      <c r="D864" t="s">
        <v>108</v>
      </c>
      <c r="E864" t="s">
        <v>308</v>
      </c>
      <c r="F864" t="s">
        <v>3244</v>
      </c>
      <c r="G864" t="s">
        <v>111</v>
      </c>
      <c r="H864" t="s">
        <v>112</v>
      </c>
      <c r="I864" t="s">
        <v>112</v>
      </c>
      <c r="J864" t="s">
        <v>112</v>
      </c>
      <c r="K864" t="s">
        <v>175</v>
      </c>
      <c r="L864" t="s">
        <v>176</v>
      </c>
      <c r="M864" t="s">
        <v>112</v>
      </c>
      <c r="N864" t="s">
        <v>112</v>
      </c>
      <c r="O864">
        <v>1</v>
      </c>
      <c r="P864">
        <v>0</v>
      </c>
      <c r="Q864">
        <v>1</v>
      </c>
      <c r="R864">
        <v>33</v>
      </c>
      <c r="S864" t="s">
        <v>166</v>
      </c>
      <c r="T864" t="s">
        <v>152</v>
      </c>
      <c r="U864" t="s">
        <v>153</v>
      </c>
      <c r="V864" t="s">
        <v>177</v>
      </c>
      <c r="W864" t="s">
        <v>119</v>
      </c>
      <c r="X864" t="s">
        <v>112</v>
      </c>
      <c r="Y864" t="s">
        <v>166</v>
      </c>
      <c r="Z864" t="s">
        <v>152</v>
      </c>
      <c r="AA864" t="s">
        <v>153</v>
      </c>
      <c r="AB864" t="s">
        <v>177</v>
      </c>
      <c r="AC864" t="s">
        <v>119</v>
      </c>
      <c r="AD864" t="s">
        <v>112</v>
      </c>
      <c r="AE864" t="s">
        <v>121</v>
      </c>
      <c r="AF864" t="s">
        <v>122</v>
      </c>
      <c r="AG864">
        <v>3587749.07</v>
      </c>
      <c r="AH864" t="s">
        <v>166</v>
      </c>
      <c r="AI864" t="s">
        <v>152</v>
      </c>
      <c r="AJ864" t="s">
        <v>153</v>
      </c>
      <c r="AK864" t="s">
        <v>177</v>
      </c>
      <c r="AL864" t="s">
        <v>119</v>
      </c>
      <c r="AM864" t="s">
        <v>112</v>
      </c>
      <c r="AN864" t="s">
        <v>121</v>
      </c>
      <c r="AO864" t="s">
        <v>122</v>
      </c>
      <c r="AP864" t="s">
        <v>122</v>
      </c>
      <c r="AQ864" t="s">
        <v>124</v>
      </c>
      <c r="AR864" t="s">
        <v>125</v>
      </c>
      <c r="AS864">
        <v>2</v>
      </c>
      <c r="AT864" t="s">
        <v>106</v>
      </c>
      <c r="AU864" t="s">
        <v>155</v>
      </c>
      <c r="AV864" t="s">
        <v>156</v>
      </c>
      <c r="AW864">
        <v>1</v>
      </c>
      <c r="AX864" t="s">
        <v>129</v>
      </c>
      <c r="AY864">
        <v>44527.199999999997</v>
      </c>
      <c r="AZ864">
        <v>3368719</v>
      </c>
      <c r="BA864">
        <v>51007.63</v>
      </c>
      <c r="BB864">
        <v>75.655299999999997</v>
      </c>
      <c r="BC864" t="s">
        <v>130</v>
      </c>
      <c r="BD864" t="s">
        <v>112</v>
      </c>
      <c r="BE864" t="s">
        <v>157</v>
      </c>
      <c r="BF864" t="s">
        <v>133</v>
      </c>
      <c r="BG864" t="s">
        <v>134</v>
      </c>
      <c r="BH864" t="s">
        <v>112</v>
      </c>
      <c r="BI864" t="s">
        <v>178</v>
      </c>
      <c r="BJ864" t="s">
        <v>112</v>
      </c>
      <c r="BK864" t="s">
        <v>125</v>
      </c>
      <c r="BL864" t="s">
        <v>179</v>
      </c>
      <c r="BM864" t="s">
        <v>180</v>
      </c>
      <c r="BN864" t="s">
        <v>181</v>
      </c>
      <c r="BO864">
        <v>1</v>
      </c>
      <c r="BP864" t="s">
        <v>309</v>
      </c>
      <c r="BR864" t="s">
        <v>150</v>
      </c>
      <c r="BS864">
        <v>33</v>
      </c>
      <c r="BT864">
        <v>1</v>
      </c>
      <c r="BU864">
        <v>0</v>
      </c>
      <c r="BW864">
        <v>0</v>
      </c>
      <c r="BY864" t="s">
        <v>106</v>
      </c>
      <c r="BZ864" t="s">
        <v>142</v>
      </c>
      <c r="CA864" t="s">
        <v>112</v>
      </c>
      <c r="CB864" t="s">
        <v>112</v>
      </c>
      <c r="CC864" t="s">
        <v>121</v>
      </c>
      <c r="CD864">
        <v>16631.150000000001</v>
      </c>
      <c r="CE864" t="s">
        <v>144</v>
      </c>
      <c r="CF864">
        <v>4000000</v>
      </c>
      <c r="CG864">
        <v>16631.150000000001</v>
      </c>
      <c r="CH864">
        <v>0</v>
      </c>
      <c r="CI864" t="s">
        <v>112</v>
      </c>
      <c r="CJ864" t="s">
        <v>112</v>
      </c>
      <c r="CK864">
        <v>44527.199999999997</v>
      </c>
      <c r="CL864">
        <v>3368719</v>
      </c>
      <c r="CM864">
        <v>0</v>
      </c>
      <c r="CN864">
        <v>1</v>
      </c>
      <c r="CO864">
        <v>3587749.07</v>
      </c>
      <c r="CP864">
        <v>51007.63</v>
      </c>
      <c r="CQ864" t="s">
        <v>145</v>
      </c>
      <c r="CR864">
        <v>51007.737050000011</v>
      </c>
      <c r="CS864">
        <v>3.0670000000000002</v>
      </c>
      <c r="CT864">
        <v>941</v>
      </c>
      <c r="CU864" t="s">
        <v>183</v>
      </c>
      <c r="CV864" t="s">
        <v>147</v>
      </c>
      <c r="CW864">
        <v>186</v>
      </c>
    </row>
    <row r="865" spans="1:101" x14ac:dyDescent="0.2">
      <c r="A865" t="s">
        <v>106</v>
      </c>
      <c r="B865" s="46">
        <v>44621</v>
      </c>
      <c r="C865" t="s">
        <v>301</v>
      </c>
      <c r="D865" t="s">
        <v>108</v>
      </c>
      <c r="E865" t="s">
        <v>302</v>
      </c>
      <c r="F865" t="s">
        <v>3244</v>
      </c>
      <c r="G865" t="s">
        <v>111</v>
      </c>
      <c r="H865" t="s">
        <v>112</v>
      </c>
      <c r="I865" t="s">
        <v>112</v>
      </c>
      <c r="J865" t="s">
        <v>112</v>
      </c>
      <c r="K865" t="s">
        <v>175</v>
      </c>
      <c r="L865" t="s">
        <v>176</v>
      </c>
      <c r="M865" t="s">
        <v>112</v>
      </c>
      <c r="N865" t="s">
        <v>112</v>
      </c>
      <c r="O865">
        <v>1</v>
      </c>
      <c r="P865">
        <v>0</v>
      </c>
      <c r="Q865">
        <v>1</v>
      </c>
      <c r="R865">
        <v>33</v>
      </c>
      <c r="S865" t="s">
        <v>166</v>
      </c>
      <c r="T865" t="s">
        <v>152</v>
      </c>
      <c r="U865" t="s">
        <v>153</v>
      </c>
      <c r="V865" t="s">
        <v>177</v>
      </c>
      <c r="W865" t="s">
        <v>119</v>
      </c>
      <c r="X865" t="s">
        <v>112</v>
      </c>
      <c r="Y865" t="s">
        <v>166</v>
      </c>
      <c r="Z865" t="s">
        <v>152</v>
      </c>
      <c r="AA865" t="s">
        <v>153</v>
      </c>
      <c r="AB865" t="s">
        <v>177</v>
      </c>
      <c r="AC865" t="s">
        <v>119</v>
      </c>
      <c r="AD865" t="s">
        <v>112</v>
      </c>
      <c r="AE865" t="s">
        <v>121</v>
      </c>
      <c r="AF865" t="s">
        <v>122</v>
      </c>
      <c r="AG865">
        <v>3593556.55</v>
      </c>
      <c r="AH865" t="s">
        <v>166</v>
      </c>
      <c r="AI865" t="s">
        <v>152</v>
      </c>
      <c r="AJ865" t="s">
        <v>153</v>
      </c>
      <c r="AK865" t="s">
        <v>177</v>
      </c>
      <c r="AL865" t="s">
        <v>119</v>
      </c>
      <c r="AM865" t="s">
        <v>112</v>
      </c>
      <c r="AN865" t="s">
        <v>121</v>
      </c>
      <c r="AO865" t="s">
        <v>122</v>
      </c>
      <c r="AP865" t="s">
        <v>122</v>
      </c>
      <c r="AQ865" t="s">
        <v>124</v>
      </c>
      <c r="AR865" t="s">
        <v>125</v>
      </c>
      <c r="AS865">
        <v>2</v>
      </c>
      <c r="AT865" t="s">
        <v>106</v>
      </c>
      <c r="AU865" t="s">
        <v>155</v>
      </c>
      <c r="AV865" t="s">
        <v>156</v>
      </c>
      <c r="AW865">
        <v>1</v>
      </c>
      <c r="AX865" t="s">
        <v>129</v>
      </c>
      <c r="AY865">
        <v>44155.92</v>
      </c>
      <c r="AZ865">
        <v>3340629</v>
      </c>
      <c r="BA865">
        <v>51090.19</v>
      </c>
      <c r="BB865">
        <v>75.655299999999997</v>
      </c>
      <c r="BC865" t="s">
        <v>130</v>
      </c>
      <c r="BD865" t="s">
        <v>112</v>
      </c>
      <c r="BE865" t="s">
        <v>157</v>
      </c>
      <c r="BF865" t="s">
        <v>133</v>
      </c>
      <c r="BG865" t="s">
        <v>134</v>
      </c>
      <c r="BH865" t="s">
        <v>112</v>
      </c>
      <c r="BI865" t="s">
        <v>178</v>
      </c>
      <c r="BJ865" t="s">
        <v>112</v>
      </c>
      <c r="BK865" t="s">
        <v>125</v>
      </c>
      <c r="BL865" t="s">
        <v>179</v>
      </c>
      <c r="BM865" t="s">
        <v>180</v>
      </c>
      <c r="BN865" t="s">
        <v>181</v>
      </c>
      <c r="BO865">
        <v>1</v>
      </c>
      <c r="BP865" t="s">
        <v>303</v>
      </c>
      <c r="BR865" t="s">
        <v>150</v>
      </c>
      <c r="BS865">
        <v>33</v>
      </c>
      <c r="BT865">
        <v>1</v>
      </c>
      <c r="BU865">
        <v>0</v>
      </c>
      <c r="BW865">
        <v>0</v>
      </c>
      <c r="BY865" t="s">
        <v>106</v>
      </c>
      <c r="BZ865" t="s">
        <v>142</v>
      </c>
      <c r="CA865" t="s">
        <v>112</v>
      </c>
      <c r="CB865" t="s">
        <v>112</v>
      </c>
      <c r="CC865" t="s">
        <v>121</v>
      </c>
      <c r="CD865">
        <v>16857.52</v>
      </c>
      <c r="CE865" t="s">
        <v>144</v>
      </c>
      <c r="CF865">
        <v>4000000</v>
      </c>
      <c r="CG865">
        <v>16821.52</v>
      </c>
      <c r="CH865">
        <v>0</v>
      </c>
      <c r="CI865" t="s">
        <v>112</v>
      </c>
      <c r="CJ865" t="s">
        <v>112</v>
      </c>
      <c r="CK865">
        <v>44155.92</v>
      </c>
      <c r="CL865">
        <v>3340629</v>
      </c>
      <c r="CM865">
        <v>0</v>
      </c>
      <c r="CN865">
        <v>1</v>
      </c>
      <c r="CO865">
        <v>3593556.55</v>
      </c>
      <c r="CP865">
        <v>51090.19</v>
      </c>
      <c r="CQ865" t="s">
        <v>145</v>
      </c>
      <c r="CR865">
        <v>51090.320544000002</v>
      </c>
      <c r="CS865">
        <v>3.0371999999999999</v>
      </c>
      <c r="CT865">
        <v>941</v>
      </c>
      <c r="CU865" t="s">
        <v>183</v>
      </c>
      <c r="CV865" t="s">
        <v>147</v>
      </c>
      <c r="CW865">
        <v>233</v>
      </c>
    </row>
    <row r="866" spans="1:101" x14ac:dyDescent="0.2">
      <c r="A866" t="s">
        <v>106</v>
      </c>
      <c r="B866" s="46">
        <v>44882</v>
      </c>
      <c r="C866" t="s">
        <v>295</v>
      </c>
      <c r="D866" t="s">
        <v>108</v>
      </c>
      <c r="E866" t="s">
        <v>296</v>
      </c>
      <c r="F866" t="s">
        <v>3244</v>
      </c>
      <c r="G866" t="s">
        <v>111</v>
      </c>
      <c r="H866" t="s">
        <v>112</v>
      </c>
      <c r="I866" t="s">
        <v>112</v>
      </c>
      <c r="J866" t="s">
        <v>112</v>
      </c>
      <c r="K866" t="s">
        <v>175</v>
      </c>
      <c r="L866" t="s">
        <v>176</v>
      </c>
      <c r="M866" t="s">
        <v>112</v>
      </c>
      <c r="N866" t="s">
        <v>112</v>
      </c>
      <c r="O866">
        <v>1</v>
      </c>
      <c r="P866">
        <v>0</v>
      </c>
      <c r="Q866">
        <v>1</v>
      </c>
      <c r="R866">
        <v>33</v>
      </c>
      <c r="S866" t="s">
        <v>166</v>
      </c>
      <c r="T866" t="s">
        <v>152</v>
      </c>
      <c r="U866" t="s">
        <v>153</v>
      </c>
      <c r="V866" t="s">
        <v>177</v>
      </c>
      <c r="W866" t="s">
        <v>119</v>
      </c>
      <c r="X866" t="s">
        <v>112</v>
      </c>
      <c r="Y866" t="s">
        <v>166</v>
      </c>
      <c r="Z866" t="s">
        <v>152</v>
      </c>
      <c r="AA866" t="s">
        <v>153</v>
      </c>
      <c r="AB866" t="s">
        <v>177</v>
      </c>
      <c r="AC866" t="s">
        <v>119</v>
      </c>
      <c r="AD866" t="s">
        <v>112</v>
      </c>
      <c r="AE866" t="s">
        <v>121</v>
      </c>
      <c r="AF866" t="s">
        <v>122</v>
      </c>
      <c r="AG866">
        <v>2971795.4</v>
      </c>
      <c r="AH866" t="s">
        <v>166</v>
      </c>
      <c r="AI866" t="s">
        <v>152</v>
      </c>
      <c r="AJ866" t="s">
        <v>153</v>
      </c>
      <c r="AK866" t="s">
        <v>177</v>
      </c>
      <c r="AL866" t="s">
        <v>119</v>
      </c>
      <c r="AM866" t="s">
        <v>112</v>
      </c>
      <c r="AN866" t="s">
        <v>121</v>
      </c>
      <c r="AO866" t="s">
        <v>122</v>
      </c>
      <c r="AP866" t="s">
        <v>122</v>
      </c>
      <c r="AQ866" t="s">
        <v>124</v>
      </c>
      <c r="AR866" t="s">
        <v>125</v>
      </c>
      <c r="AS866">
        <v>2</v>
      </c>
      <c r="AT866" t="s">
        <v>106</v>
      </c>
      <c r="AU866" t="s">
        <v>155</v>
      </c>
      <c r="AV866" t="s">
        <v>156</v>
      </c>
      <c r="AW866">
        <v>1</v>
      </c>
      <c r="AX866" t="s">
        <v>129</v>
      </c>
      <c r="AY866">
        <v>36385.620000000003</v>
      </c>
      <c r="AZ866">
        <v>2752765</v>
      </c>
      <c r="BA866">
        <v>42250.51</v>
      </c>
      <c r="BB866">
        <v>75.655299999999997</v>
      </c>
      <c r="BC866" t="s">
        <v>130</v>
      </c>
      <c r="BD866" t="s">
        <v>112</v>
      </c>
      <c r="BE866" t="s">
        <v>157</v>
      </c>
      <c r="BF866" t="s">
        <v>133</v>
      </c>
      <c r="BG866" t="s">
        <v>134</v>
      </c>
      <c r="BH866" t="s">
        <v>112</v>
      </c>
      <c r="BI866" t="s">
        <v>178</v>
      </c>
      <c r="BJ866" t="s">
        <v>112</v>
      </c>
      <c r="BK866" t="s">
        <v>125</v>
      </c>
      <c r="BL866" t="s">
        <v>179</v>
      </c>
      <c r="BM866" t="s">
        <v>180</v>
      </c>
      <c r="BN866" t="s">
        <v>181</v>
      </c>
      <c r="BO866">
        <v>1</v>
      </c>
      <c r="BP866" t="s">
        <v>297</v>
      </c>
      <c r="BR866" t="s">
        <v>150</v>
      </c>
      <c r="BS866">
        <v>33</v>
      </c>
      <c r="BT866">
        <v>1</v>
      </c>
      <c r="BU866">
        <v>0</v>
      </c>
      <c r="BW866">
        <v>0</v>
      </c>
      <c r="BY866" t="s">
        <v>106</v>
      </c>
      <c r="BZ866" t="s">
        <v>142</v>
      </c>
      <c r="CA866" t="s">
        <v>112</v>
      </c>
      <c r="CB866" t="s">
        <v>112</v>
      </c>
      <c r="CC866" t="s">
        <v>121</v>
      </c>
      <c r="CD866">
        <v>14819.77</v>
      </c>
      <c r="CE866" t="s">
        <v>144</v>
      </c>
      <c r="CF866">
        <v>4000000</v>
      </c>
      <c r="CG866">
        <v>14468.77</v>
      </c>
      <c r="CH866">
        <v>0</v>
      </c>
      <c r="CI866" t="s">
        <v>112</v>
      </c>
      <c r="CJ866" t="s">
        <v>112</v>
      </c>
      <c r="CK866">
        <v>36385.620000000003</v>
      </c>
      <c r="CL866">
        <v>2752765</v>
      </c>
      <c r="CM866">
        <v>0</v>
      </c>
      <c r="CN866">
        <v>1</v>
      </c>
      <c r="CO866">
        <v>2971795.4</v>
      </c>
      <c r="CP866">
        <v>42250.51</v>
      </c>
      <c r="CQ866" t="s">
        <v>145</v>
      </c>
      <c r="CR866">
        <v>42250.255277000004</v>
      </c>
      <c r="CS866">
        <v>2.9201000000000001</v>
      </c>
      <c r="CT866">
        <v>941</v>
      </c>
      <c r="CU866" t="s">
        <v>183</v>
      </c>
      <c r="CV866" t="s">
        <v>147</v>
      </c>
      <c r="CW866">
        <v>233</v>
      </c>
    </row>
    <row r="867" spans="1:101" x14ac:dyDescent="0.2">
      <c r="A867" t="s">
        <v>106</v>
      </c>
      <c r="B867" s="46">
        <v>44627</v>
      </c>
      <c r="C867" t="s">
        <v>298</v>
      </c>
      <c r="D867" t="s">
        <v>108</v>
      </c>
      <c r="E867" t="s">
        <v>299</v>
      </c>
      <c r="F867" t="s">
        <v>3244</v>
      </c>
      <c r="G867" t="s">
        <v>111</v>
      </c>
      <c r="H867" t="s">
        <v>112</v>
      </c>
      <c r="I867" t="s">
        <v>112</v>
      </c>
      <c r="J867" t="s">
        <v>112</v>
      </c>
      <c r="K867" t="s">
        <v>175</v>
      </c>
      <c r="L867" t="s">
        <v>176</v>
      </c>
      <c r="M867" t="s">
        <v>112</v>
      </c>
      <c r="N867" t="s">
        <v>112</v>
      </c>
      <c r="O867">
        <v>1</v>
      </c>
      <c r="P867">
        <v>0</v>
      </c>
      <c r="Q867">
        <v>1</v>
      </c>
      <c r="R867">
        <v>33</v>
      </c>
      <c r="S867" t="s">
        <v>166</v>
      </c>
      <c r="T867" t="s">
        <v>152</v>
      </c>
      <c r="U867" t="s">
        <v>153</v>
      </c>
      <c r="V867" t="s">
        <v>177</v>
      </c>
      <c r="W867" t="s">
        <v>119</v>
      </c>
      <c r="X867" t="s">
        <v>112</v>
      </c>
      <c r="Y867" t="s">
        <v>166</v>
      </c>
      <c r="Z867" t="s">
        <v>152</v>
      </c>
      <c r="AA867" t="s">
        <v>153</v>
      </c>
      <c r="AB867" t="s">
        <v>177</v>
      </c>
      <c r="AC867" t="s">
        <v>119</v>
      </c>
      <c r="AD867" t="s">
        <v>112</v>
      </c>
      <c r="AE867" t="s">
        <v>121</v>
      </c>
      <c r="AF867" t="s">
        <v>122</v>
      </c>
      <c r="AG867">
        <v>3590320.02</v>
      </c>
      <c r="AH867" t="s">
        <v>166</v>
      </c>
      <c r="AI867" t="s">
        <v>152</v>
      </c>
      <c r="AJ867" t="s">
        <v>153</v>
      </c>
      <c r="AK867" t="s">
        <v>177</v>
      </c>
      <c r="AL867" t="s">
        <v>119</v>
      </c>
      <c r="AM867" t="s">
        <v>112</v>
      </c>
      <c r="AN867" t="s">
        <v>121</v>
      </c>
      <c r="AO867" t="s">
        <v>122</v>
      </c>
      <c r="AP867" t="s">
        <v>122</v>
      </c>
      <c r="AQ867" t="s">
        <v>124</v>
      </c>
      <c r="AR867" t="s">
        <v>125</v>
      </c>
      <c r="AS867">
        <v>2</v>
      </c>
      <c r="AT867" t="s">
        <v>106</v>
      </c>
      <c r="AU867" t="s">
        <v>155</v>
      </c>
      <c r="AV867" t="s">
        <v>156</v>
      </c>
      <c r="AW867">
        <v>1</v>
      </c>
      <c r="AX867" t="s">
        <v>129</v>
      </c>
      <c r="AY867">
        <v>44113.14</v>
      </c>
      <c r="AZ867">
        <v>3337393</v>
      </c>
      <c r="BA867">
        <v>51044.18</v>
      </c>
      <c r="BB867">
        <v>75.655299999999997</v>
      </c>
      <c r="BC867" t="s">
        <v>130</v>
      </c>
      <c r="BD867" t="s">
        <v>112</v>
      </c>
      <c r="BE867" t="s">
        <v>157</v>
      </c>
      <c r="BF867" t="s">
        <v>133</v>
      </c>
      <c r="BG867" t="s">
        <v>134</v>
      </c>
      <c r="BH867" t="s">
        <v>112</v>
      </c>
      <c r="BI867" t="s">
        <v>178</v>
      </c>
      <c r="BJ867" t="s">
        <v>112</v>
      </c>
      <c r="BK867" t="s">
        <v>125</v>
      </c>
      <c r="BL867" t="s">
        <v>179</v>
      </c>
      <c r="BM867" t="s">
        <v>180</v>
      </c>
      <c r="BN867" t="s">
        <v>181</v>
      </c>
      <c r="BO867">
        <v>1</v>
      </c>
      <c r="BP867" t="s">
        <v>300</v>
      </c>
      <c r="BR867" t="s">
        <v>150</v>
      </c>
      <c r="BS867">
        <v>33</v>
      </c>
      <c r="BT867">
        <v>1</v>
      </c>
      <c r="BU867">
        <v>0</v>
      </c>
      <c r="BW867">
        <v>0</v>
      </c>
      <c r="BY867" t="s">
        <v>106</v>
      </c>
      <c r="BZ867" t="s">
        <v>142</v>
      </c>
      <c r="CA867" t="s">
        <v>112</v>
      </c>
      <c r="CB867" t="s">
        <v>112</v>
      </c>
      <c r="CC867" t="s">
        <v>121</v>
      </c>
      <c r="CD867">
        <v>15836.12</v>
      </c>
      <c r="CE867" t="s">
        <v>144</v>
      </c>
      <c r="CF867">
        <v>4000000</v>
      </c>
      <c r="CG867">
        <v>15836.12</v>
      </c>
      <c r="CH867">
        <v>0</v>
      </c>
      <c r="CI867" t="s">
        <v>112</v>
      </c>
      <c r="CJ867" t="s">
        <v>112</v>
      </c>
      <c r="CK867">
        <v>44113.14</v>
      </c>
      <c r="CL867">
        <v>3337393</v>
      </c>
      <c r="CM867">
        <v>0</v>
      </c>
      <c r="CN867">
        <v>1</v>
      </c>
      <c r="CO867">
        <v>3590320.02</v>
      </c>
      <c r="CP867">
        <v>51044.18</v>
      </c>
      <c r="CQ867" t="s">
        <v>145</v>
      </c>
      <c r="CR867">
        <v>51044.565596</v>
      </c>
      <c r="CS867">
        <v>3.2233000000000001</v>
      </c>
      <c r="CT867">
        <v>941</v>
      </c>
      <c r="CU867" t="s">
        <v>183</v>
      </c>
      <c r="CV867" t="s">
        <v>147</v>
      </c>
      <c r="CW867">
        <v>46</v>
      </c>
    </row>
    <row r="868" spans="1:101" x14ac:dyDescent="0.2">
      <c r="A868" t="s">
        <v>106</v>
      </c>
      <c r="B868" s="46">
        <v>44722</v>
      </c>
      <c r="C868" t="s">
        <v>292</v>
      </c>
      <c r="D868" t="s">
        <v>108</v>
      </c>
      <c r="E868" t="s">
        <v>293</v>
      </c>
      <c r="F868" t="s">
        <v>3244</v>
      </c>
      <c r="G868" t="s">
        <v>111</v>
      </c>
      <c r="H868" t="s">
        <v>112</v>
      </c>
      <c r="I868" t="s">
        <v>112</v>
      </c>
      <c r="J868" t="s">
        <v>112</v>
      </c>
      <c r="K868" t="s">
        <v>175</v>
      </c>
      <c r="L868" t="s">
        <v>176</v>
      </c>
      <c r="M868" t="s">
        <v>112</v>
      </c>
      <c r="N868" t="s">
        <v>112</v>
      </c>
      <c r="O868">
        <v>1</v>
      </c>
      <c r="P868">
        <v>0</v>
      </c>
      <c r="Q868">
        <v>1</v>
      </c>
      <c r="R868">
        <v>33</v>
      </c>
      <c r="S868" t="s">
        <v>166</v>
      </c>
      <c r="T868" t="s">
        <v>152</v>
      </c>
      <c r="U868" t="s">
        <v>153</v>
      </c>
      <c r="V868" t="s">
        <v>177</v>
      </c>
      <c r="W868" t="s">
        <v>119</v>
      </c>
      <c r="X868" t="s">
        <v>112</v>
      </c>
      <c r="Y868" t="s">
        <v>166</v>
      </c>
      <c r="Z868" t="s">
        <v>152</v>
      </c>
      <c r="AA868" t="s">
        <v>153</v>
      </c>
      <c r="AB868" t="s">
        <v>177</v>
      </c>
      <c r="AC868" t="s">
        <v>119</v>
      </c>
      <c r="AD868" t="s">
        <v>112</v>
      </c>
      <c r="AE868" t="s">
        <v>121</v>
      </c>
      <c r="AF868" t="s">
        <v>122</v>
      </c>
      <c r="AG868">
        <v>3506888.69</v>
      </c>
      <c r="AH868" t="s">
        <v>166</v>
      </c>
      <c r="AI868" t="s">
        <v>152</v>
      </c>
      <c r="AJ868" t="s">
        <v>153</v>
      </c>
      <c r="AK868" t="s">
        <v>177</v>
      </c>
      <c r="AL868" t="s">
        <v>119</v>
      </c>
      <c r="AM868" t="s">
        <v>112</v>
      </c>
      <c r="AN868" t="s">
        <v>121</v>
      </c>
      <c r="AO868" t="s">
        <v>122</v>
      </c>
      <c r="AP868" t="s">
        <v>122</v>
      </c>
      <c r="AQ868" t="s">
        <v>124</v>
      </c>
      <c r="AR868" t="s">
        <v>125</v>
      </c>
      <c r="AS868">
        <v>2</v>
      </c>
      <c r="AT868" t="s">
        <v>106</v>
      </c>
      <c r="AU868" t="s">
        <v>155</v>
      </c>
      <c r="AV868" t="s">
        <v>156</v>
      </c>
      <c r="AW868">
        <v>1</v>
      </c>
      <c r="AX868" t="s">
        <v>129</v>
      </c>
      <c r="AY868">
        <v>43458.400000000001</v>
      </c>
      <c r="AZ868">
        <v>3287858</v>
      </c>
      <c r="BA868">
        <v>49858.02</v>
      </c>
      <c r="BB868">
        <v>75.655299999999997</v>
      </c>
      <c r="BC868" t="s">
        <v>130</v>
      </c>
      <c r="BD868" t="s">
        <v>112</v>
      </c>
      <c r="BE868" t="s">
        <v>157</v>
      </c>
      <c r="BF868" t="s">
        <v>133</v>
      </c>
      <c r="BG868" t="s">
        <v>134</v>
      </c>
      <c r="BH868" t="s">
        <v>112</v>
      </c>
      <c r="BI868" t="s">
        <v>178</v>
      </c>
      <c r="BJ868" t="s">
        <v>112</v>
      </c>
      <c r="BK868" t="s">
        <v>125</v>
      </c>
      <c r="BL868" t="s">
        <v>179</v>
      </c>
      <c r="BM868" t="s">
        <v>180</v>
      </c>
      <c r="BN868" t="s">
        <v>181</v>
      </c>
      <c r="BO868">
        <v>1</v>
      </c>
      <c r="BP868" t="s">
        <v>294</v>
      </c>
      <c r="BR868" t="s">
        <v>150</v>
      </c>
      <c r="BS868">
        <v>33</v>
      </c>
      <c r="BT868">
        <v>1</v>
      </c>
      <c r="BU868">
        <v>0</v>
      </c>
      <c r="BW868">
        <v>0</v>
      </c>
      <c r="BY868" t="s">
        <v>106</v>
      </c>
      <c r="BZ868" t="s">
        <v>142</v>
      </c>
      <c r="CA868" t="s">
        <v>112</v>
      </c>
      <c r="CB868" t="s">
        <v>112</v>
      </c>
      <c r="CC868" t="s">
        <v>121</v>
      </c>
      <c r="CD868">
        <v>16492.48</v>
      </c>
      <c r="CE868" t="s">
        <v>144</v>
      </c>
      <c r="CF868">
        <v>4000000</v>
      </c>
      <c r="CG868">
        <v>16492.48</v>
      </c>
      <c r="CH868">
        <v>0</v>
      </c>
      <c r="CI868" t="s">
        <v>112</v>
      </c>
      <c r="CJ868" t="s">
        <v>112</v>
      </c>
      <c r="CK868">
        <v>43458.400000000001</v>
      </c>
      <c r="CL868">
        <v>3287858</v>
      </c>
      <c r="CM868">
        <v>0</v>
      </c>
      <c r="CN868">
        <v>1</v>
      </c>
      <c r="CO868">
        <v>3506888.69</v>
      </c>
      <c r="CP868">
        <v>49858.02</v>
      </c>
      <c r="CQ868" t="s">
        <v>145</v>
      </c>
      <c r="CR868">
        <v>49858.416288</v>
      </c>
      <c r="CS868">
        <v>3.0230999999999999</v>
      </c>
      <c r="CT868">
        <v>941</v>
      </c>
      <c r="CU868" t="s">
        <v>183</v>
      </c>
      <c r="CV868" t="s">
        <v>147</v>
      </c>
      <c r="CW868">
        <v>146</v>
      </c>
    </row>
    <row r="869" spans="1:101" x14ac:dyDescent="0.2">
      <c r="A869" t="s">
        <v>106</v>
      </c>
      <c r="B869" s="46">
        <v>44802</v>
      </c>
      <c r="C869" t="s">
        <v>304</v>
      </c>
      <c r="D869" t="s">
        <v>108</v>
      </c>
      <c r="E869" t="s">
        <v>305</v>
      </c>
      <c r="F869" t="s">
        <v>3244</v>
      </c>
      <c r="G869" t="s">
        <v>111</v>
      </c>
      <c r="H869" t="s">
        <v>112</v>
      </c>
      <c r="I869" t="s">
        <v>112</v>
      </c>
      <c r="J869" t="s">
        <v>112</v>
      </c>
      <c r="K869" t="s">
        <v>175</v>
      </c>
      <c r="L869" t="s">
        <v>176</v>
      </c>
      <c r="M869" t="s">
        <v>112</v>
      </c>
      <c r="N869" t="s">
        <v>112</v>
      </c>
      <c r="O869">
        <v>1</v>
      </c>
      <c r="P869">
        <v>0</v>
      </c>
      <c r="Q869">
        <v>1</v>
      </c>
      <c r="R869">
        <v>33</v>
      </c>
      <c r="S869" t="s">
        <v>166</v>
      </c>
      <c r="T869" t="s">
        <v>152</v>
      </c>
      <c r="U869" t="s">
        <v>153</v>
      </c>
      <c r="V869" t="s">
        <v>177</v>
      </c>
      <c r="W869" t="s">
        <v>119</v>
      </c>
      <c r="X869" t="s">
        <v>112</v>
      </c>
      <c r="Y869" t="s">
        <v>166</v>
      </c>
      <c r="Z869" t="s">
        <v>152</v>
      </c>
      <c r="AA869" t="s">
        <v>153</v>
      </c>
      <c r="AB869" t="s">
        <v>177</v>
      </c>
      <c r="AC869" t="s">
        <v>119</v>
      </c>
      <c r="AD869" t="s">
        <v>112</v>
      </c>
      <c r="AE869" t="s">
        <v>121</v>
      </c>
      <c r="AF869" t="s">
        <v>122</v>
      </c>
      <c r="AG869">
        <v>3680162.96</v>
      </c>
      <c r="AH869" t="s">
        <v>166</v>
      </c>
      <c r="AI869" t="s">
        <v>152</v>
      </c>
      <c r="AJ869" t="s">
        <v>153</v>
      </c>
      <c r="AK869" t="s">
        <v>177</v>
      </c>
      <c r="AL869" t="s">
        <v>119</v>
      </c>
      <c r="AM869" t="s">
        <v>112</v>
      </c>
      <c r="AN869" t="s">
        <v>121</v>
      </c>
      <c r="AO869" t="s">
        <v>122</v>
      </c>
      <c r="AP869" t="s">
        <v>122</v>
      </c>
      <c r="AQ869" t="s">
        <v>124</v>
      </c>
      <c r="AR869" t="s">
        <v>125</v>
      </c>
      <c r="AS869">
        <v>2</v>
      </c>
      <c r="AT869" t="s">
        <v>106</v>
      </c>
      <c r="AU869" t="s">
        <v>155</v>
      </c>
      <c r="AV869" t="s">
        <v>156</v>
      </c>
      <c r="AW869">
        <v>1</v>
      </c>
      <c r="AX869" t="s">
        <v>129</v>
      </c>
      <c r="AY869">
        <v>45300.67</v>
      </c>
      <c r="AZ869">
        <v>3427236</v>
      </c>
      <c r="BA869">
        <v>52321.49</v>
      </c>
      <c r="BB869">
        <v>75.655299999999997</v>
      </c>
      <c r="BC869" t="s">
        <v>130</v>
      </c>
      <c r="BD869" t="s">
        <v>112</v>
      </c>
      <c r="BE869" t="s">
        <v>157</v>
      </c>
      <c r="BF869" t="s">
        <v>133</v>
      </c>
      <c r="BG869" t="s">
        <v>134</v>
      </c>
      <c r="BH869" t="s">
        <v>112</v>
      </c>
      <c r="BI869" t="s">
        <v>178</v>
      </c>
      <c r="BJ869" t="s">
        <v>112</v>
      </c>
      <c r="BK869" t="s">
        <v>125</v>
      </c>
      <c r="BL869" t="s">
        <v>179</v>
      </c>
      <c r="BM869" t="s">
        <v>180</v>
      </c>
      <c r="BN869" t="s">
        <v>181</v>
      </c>
      <c r="BO869">
        <v>1</v>
      </c>
      <c r="BP869" t="s">
        <v>306</v>
      </c>
      <c r="BR869" t="s">
        <v>150</v>
      </c>
      <c r="BS869">
        <v>33</v>
      </c>
      <c r="BT869">
        <v>1</v>
      </c>
      <c r="BU869">
        <v>0</v>
      </c>
      <c r="BW869">
        <v>0</v>
      </c>
      <c r="BY869" t="s">
        <v>106</v>
      </c>
      <c r="BZ869" t="s">
        <v>142</v>
      </c>
      <c r="CA869" t="s">
        <v>112</v>
      </c>
      <c r="CB869" t="s">
        <v>112</v>
      </c>
      <c r="CC869" t="s">
        <v>121</v>
      </c>
      <c r="CD869">
        <v>17407.84</v>
      </c>
      <c r="CE869" t="s">
        <v>144</v>
      </c>
      <c r="CF869">
        <v>4000000</v>
      </c>
      <c r="CG869">
        <v>17407.84</v>
      </c>
      <c r="CH869">
        <v>0</v>
      </c>
      <c r="CI869" t="s">
        <v>112</v>
      </c>
      <c r="CJ869" t="s">
        <v>112</v>
      </c>
      <c r="CK869">
        <v>45300.67</v>
      </c>
      <c r="CL869">
        <v>3427236</v>
      </c>
      <c r="CM869">
        <v>0</v>
      </c>
      <c r="CN869">
        <v>1</v>
      </c>
      <c r="CO869">
        <v>3680162.96</v>
      </c>
      <c r="CP869">
        <v>52321.49</v>
      </c>
      <c r="CQ869" t="s">
        <v>145</v>
      </c>
      <c r="CR869">
        <v>52321.003903999997</v>
      </c>
      <c r="CS869">
        <v>3.0055999999999998</v>
      </c>
      <c r="CT869">
        <v>941</v>
      </c>
      <c r="CU869" t="s">
        <v>183</v>
      </c>
      <c r="CV869" t="s">
        <v>147</v>
      </c>
      <c r="CW869">
        <v>152</v>
      </c>
    </row>
    <row r="870" spans="1:101" x14ac:dyDescent="0.2">
      <c r="A870" t="s">
        <v>106</v>
      </c>
      <c r="B870" s="46">
        <v>45222</v>
      </c>
      <c r="C870" t="s">
        <v>1107</v>
      </c>
      <c r="D870" t="s">
        <v>108</v>
      </c>
      <c r="E870" t="s">
        <v>1108</v>
      </c>
      <c r="F870" t="s">
        <v>3244</v>
      </c>
      <c r="G870" t="s">
        <v>111</v>
      </c>
      <c r="H870" t="s">
        <v>112</v>
      </c>
      <c r="I870" t="s">
        <v>112</v>
      </c>
      <c r="J870" t="s">
        <v>112</v>
      </c>
      <c r="K870" t="s">
        <v>150</v>
      </c>
      <c r="L870" t="s">
        <v>151</v>
      </c>
      <c r="M870" t="s">
        <v>112</v>
      </c>
      <c r="N870" t="s">
        <v>112</v>
      </c>
      <c r="O870">
        <v>1</v>
      </c>
      <c r="Q870">
        <v>1</v>
      </c>
      <c r="R870">
        <v>33</v>
      </c>
      <c r="S870" t="s">
        <v>112</v>
      </c>
      <c r="T870" t="s">
        <v>152</v>
      </c>
      <c r="U870" t="s">
        <v>153</v>
      </c>
      <c r="V870" t="s">
        <v>154</v>
      </c>
      <c r="W870" t="s">
        <v>119</v>
      </c>
      <c r="X870" t="s">
        <v>112</v>
      </c>
      <c r="Y870" t="s">
        <v>112</v>
      </c>
      <c r="Z870" t="s">
        <v>152</v>
      </c>
      <c r="AA870" t="s">
        <v>153</v>
      </c>
      <c r="AB870" t="s">
        <v>154</v>
      </c>
      <c r="AC870" t="s">
        <v>119</v>
      </c>
      <c r="AD870" t="s">
        <v>112</v>
      </c>
      <c r="AE870" t="s">
        <v>121</v>
      </c>
      <c r="AF870" t="s">
        <v>122</v>
      </c>
      <c r="AG870">
        <v>4431763.18</v>
      </c>
      <c r="AH870" t="s">
        <v>112</v>
      </c>
      <c r="AI870" t="s">
        <v>152</v>
      </c>
      <c r="AJ870" t="s">
        <v>153</v>
      </c>
      <c r="AK870" t="s">
        <v>154</v>
      </c>
      <c r="AL870" t="s">
        <v>119</v>
      </c>
      <c r="AM870" t="s">
        <v>112</v>
      </c>
      <c r="AN870" t="s">
        <v>121</v>
      </c>
      <c r="AO870" t="s">
        <v>122</v>
      </c>
      <c r="AP870" t="s">
        <v>122</v>
      </c>
      <c r="AQ870" t="s">
        <v>124</v>
      </c>
      <c r="AR870" t="s">
        <v>125</v>
      </c>
      <c r="AS870">
        <v>2</v>
      </c>
      <c r="AT870" t="s">
        <v>126</v>
      </c>
      <c r="AU870" t="s">
        <v>155</v>
      </c>
      <c r="AV870" t="s">
        <v>156</v>
      </c>
      <c r="AX870" t="s">
        <v>129</v>
      </c>
      <c r="AY870">
        <v>40742.44</v>
      </c>
      <c r="BB870">
        <v>97.912599999999998</v>
      </c>
      <c r="BC870" t="s">
        <v>112</v>
      </c>
      <c r="BD870" t="s">
        <v>112</v>
      </c>
      <c r="BE870" t="s">
        <v>157</v>
      </c>
      <c r="BF870" t="s">
        <v>133</v>
      </c>
      <c r="BG870" t="s">
        <v>134</v>
      </c>
      <c r="BH870" t="s">
        <v>112</v>
      </c>
      <c r="BI870" t="s">
        <v>112</v>
      </c>
      <c r="BJ870" t="s">
        <v>112</v>
      </c>
      <c r="BK870" t="s">
        <v>158</v>
      </c>
      <c r="BL870" t="s">
        <v>159</v>
      </c>
      <c r="BM870" t="s">
        <v>212</v>
      </c>
      <c r="BN870" t="s">
        <v>161</v>
      </c>
      <c r="BP870" t="s">
        <v>205</v>
      </c>
      <c r="BR870" t="s">
        <v>150</v>
      </c>
      <c r="BS870">
        <v>33</v>
      </c>
      <c r="BT870">
        <v>0</v>
      </c>
      <c r="BU870">
        <v>0</v>
      </c>
      <c r="BW870">
        <v>0</v>
      </c>
      <c r="BY870" t="s">
        <v>106</v>
      </c>
      <c r="BZ870" t="s">
        <v>142</v>
      </c>
      <c r="CA870" t="s">
        <v>112</v>
      </c>
      <c r="CB870" t="s">
        <v>112</v>
      </c>
      <c r="CC870" t="s">
        <v>121</v>
      </c>
      <c r="CD870">
        <v>16909.349999999999</v>
      </c>
      <c r="CE870" t="s">
        <v>144</v>
      </c>
      <c r="CF870">
        <v>4000000</v>
      </c>
      <c r="CG870">
        <v>16804.95</v>
      </c>
      <c r="CH870">
        <v>0</v>
      </c>
      <c r="CI870" t="s">
        <v>112</v>
      </c>
      <c r="CJ870" t="s">
        <v>112</v>
      </c>
      <c r="CK870">
        <v>40742.44</v>
      </c>
      <c r="CM870">
        <v>0</v>
      </c>
      <c r="CN870">
        <v>1</v>
      </c>
      <c r="CO870">
        <v>4431763.18</v>
      </c>
      <c r="CP870">
        <v>49372.43</v>
      </c>
      <c r="CQ870" t="s">
        <v>145</v>
      </c>
      <c r="CR870">
        <v>49406.553</v>
      </c>
      <c r="CS870">
        <v>2.94</v>
      </c>
      <c r="CT870">
        <v>45</v>
      </c>
      <c r="CV870" t="s">
        <v>729</v>
      </c>
      <c r="CW870">
        <v>300</v>
      </c>
    </row>
    <row r="871" spans="1:101" x14ac:dyDescent="0.2">
      <c r="A871" t="s">
        <v>106</v>
      </c>
      <c r="B871" s="46">
        <v>45099</v>
      </c>
      <c r="C871" t="s">
        <v>1012</v>
      </c>
      <c r="D871" t="s">
        <v>108</v>
      </c>
      <c r="E871" t="s">
        <v>1013</v>
      </c>
      <c r="F871" t="s">
        <v>110</v>
      </c>
      <c r="G871" t="s">
        <v>111</v>
      </c>
      <c r="H871" t="s">
        <v>112</v>
      </c>
      <c r="I871" t="s">
        <v>112</v>
      </c>
      <c r="J871" t="s">
        <v>112</v>
      </c>
      <c r="K871" t="s">
        <v>150</v>
      </c>
      <c r="L871" t="s">
        <v>151</v>
      </c>
      <c r="M871" t="s">
        <v>112</v>
      </c>
      <c r="N871" t="s">
        <v>112</v>
      </c>
      <c r="O871">
        <v>1</v>
      </c>
      <c r="Q871">
        <v>1</v>
      </c>
      <c r="R871">
        <v>33</v>
      </c>
      <c r="S871" t="s">
        <v>112</v>
      </c>
      <c r="T871" t="s">
        <v>152</v>
      </c>
      <c r="U871" t="s">
        <v>153</v>
      </c>
      <c r="V871" t="s">
        <v>154</v>
      </c>
      <c r="W871" t="s">
        <v>119</v>
      </c>
      <c r="X871" t="s">
        <v>112</v>
      </c>
      <c r="Y871" t="s">
        <v>112</v>
      </c>
      <c r="Z871" t="s">
        <v>152</v>
      </c>
      <c r="AA871" t="s">
        <v>153</v>
      </c>
      <c r="AB871" t="s">
        <v>154</v>
      </c>
      <c r="AC871" t="s">
        <v>119</v>
      </c>
      <c r="AD871" t="s">
        <v>112</v>
      </c>
      <c r="AE871" t="s">
        <v>121</v>
      </c>
      <c r="AF871" t="s">
        <v>122</v>
      </c>
      <c r="AG871">
        <v>4552272.05</v>
      </c>
      <c r="AH871" t="s">
        <v>112</v>
      </c>
      <c r="AI871" t="s">
        <v>152</v>
      </c>
      <c r="AJ871" t="s">
        <v>153</v>
      </c>
      <c r="AK871" t="s">
        <v>154</v>
      </c>
      <c r="AL871" t="s">
        <v>119</v>
      </c>
      <c r="AM871" t="s">
        <v>112</v>
      </c>
      <c r="AN871" t="s">
        <v>121</v>
      </c>
      <c r="AO871" t="s">
        <v>122</v>
      </c>
      <c r="AP871" t="s">
        <v>122</v>
      </c>
      <c r="AQ871" t="s">
        <v>124</v>
      </c>
      <c r="AR871" t="s">
        <v>125</v>
      </c>
      <c r="AS871">
        <v>2</v>
      </c>
      <c r="AT871" t="s">
        <v>126</v>
      </c>
      <c r="AU871" t="s">
        <v>155</v>
      </c>
      <c r="AV871" t="s">
        <v>156</v>
      </c>
      <c r="AX871" t="s">
        <v>129</v>
      </c>
      <c r="AY871">
        <v>42503.22</v>
      </c>
      <c r="BB871">
        <v>97.912599999999998</v>
      </c>
      <c r="BC871" t="s">
        <v>112</v>
      </c>
      <c r="BD871" t="s">
        <v>112</v>
      </c>
      <c r="BE871" t="s">
        <v>157</v>
      </c>
      <c r="BF871" t="s">
        <v>133</v>
      </c>
      <c r="BG871" t="s">
        <v>134</v>
      </c>
      <c r="BH871" t="s">
        <v>112</v>
      </c>
      <c r="BI871" t="s">
        <v>112</v>
      </c>
      <c r="BJ871" t="s">
        <v>112</v>
      </c>
      <c r="BK871" t="s">
        <v>158</v>
      </c>
      <c r="BL871" t="s">
        <v>159</v>
      </c>
      <c r="BM871" t="s">
        <v>212</v>
      </c>
      <c r="BN871" t="s">
        <v>161</v>
      </c>
      <c r="BP871" t="s">
        <v>232</v>
      </c>
      <c r="BR871" t="s">
        <v>150</v>
      </c>
      <c r="BS871">
        <v>33</v>
      </c>
      <c r="BT871">
        <v>0</v>
      </c>
      <c r="BU871">
        <v>0</v>
      </c>
      <c r="BW871">
        <v>0</v>
      </c>
      <c r="BY871" t="s">
        <v>106</v>
      </c>
      <c r="BZ871" t="s">
        <v>142</v>
      </c>
      <c r="CA871" t="s">
        <v>112</v>
      </c>
      <c r="CB871" t="s">
        <v>112</v>
      </c>
      <c r="CC871" t="s">
        <v>121</v>
      </c>
      <c r="CD871">
        <v>16031.83</v>
      </c>
      <c r="CE871" t="s">
        <v>144</v>
      </c>
      <c r="CF871">
        <v>4000000</v>
      </c>
      <c r="CG871">
        <v>15994.03</v>
      </c>
      <c r="CH871">
        <v>0</v>
      </c>
      <c r="CI871" t="s">
        <v>112</v>
      </c>
      <c r="CJ871" t="s">
        <v>112</v>
      </c>
      <c r="CK871">
        <v>42503.22</v>
      </c>
      <c r="CM871">
        <v>0</v>
      </c>
      <c r="CN871">
        <v>1</v>
      </c>
      <c r="CO871">
        <v>4552272.05</v>
      </c>
      <c r="CP871">
        <v>50714.97</v>
      </c>
      <c r="CQ871" t="s">
        <v>145</v>
      </c>
      <c r="CR871">
        <v>50701.075100000002</v>
      </c>
      <c r="CS871">
        <v>3.17</v>
      </c>
      <c r="CT871">
        <v>45</v>
      </c>
      <c r="CV871" t="s">
        <v>206</v>
      </c>
      <c r="CW871">
        <v>205</v>
      </c>
    </row>
    <row r="872" spans="1:101" x14ac:dyDescent="0.2">
      <c r="A872" t="s">
        <v>106</v>
      </c>
      <c r="B872" s="46">
        <v>44941</v>
      </c>
      <c r="C872" t="s">
        <v>1063</v>
      </c>
      <c r="D872" t="s">
        <v>108</v>
      </c>
      <c r="E872" t="s">
        <v>1064</v>
      </c>
      <c r="F872" t="s">
        <v>110</v>
      </c>
      <c r="G872" t="s">
        <v>111</v>
      </c>
      <c r="H872" t="s">
        <v>112</v>
      </c>
      <c r="I872" t="s">
        <v>112</v>
      </c>
      <c r="J872" t="s">
        <v>112</v>
      </c>
      <c r="K872" t="s">
        <v>150</v>
      </c>
      <c r="L872" t="s">
        <v>151</v>
      </c>
      <c r="M872" t="s">
        <v>112</v>
      </c>
      <c r="N872" t="s">
        <v>112</v>
      </c>
      <c r="O872">
        <v>1</v>
      </c>
      <c r="Q872">
        <v>1</v>
      </c>
      <c r="R872">
        <v>33</v>
      </c>
      <c r="S872" t="s">
        <v>112</v>
      </c>
      <c r="T872" t="s">
        <v>152</v>
      </c>
      <c r="U872" t="s">
        <v>153</v>
      </c>
      <c r="V872" t="s">
        <v>154</v>
      </c>
      <c r="W872" t="s">
        <v>119</v>
      </c>
      <c r="X872" t="s">
        <v>112</v>
      </c>
      <c r="Y872" t="s">
        <v>112</v>
      </c>
      <c r="Z872" t="s">
        <v>152</v>
      </c>
      <c r="AA872" t="s">
        <v>153</v>
      </c>
      <c r="AB872" t="s">
        <v>154</v>
      </c>
      <c r="AC872" t="s">
        <v>119</v>
      </c>
      <c r="AD872" t="s">
        <v>112</v>
      </c>
      <c r="AE872" t="s">
        <v>121</v>
      </c>
      <c r="AF872" t="s">
        <v>122</v>
      </c>
      <c r="AG872">
        <v>4230161.1399999997</v>
      </c>
      <c r="AH872" t="s">
        <v>112</v>
      </c>
      <c r="AI872" t="s">
        <v>152</v>
      </c>
      <c r="AJ872" t="s">
        <v>153</v>
      </c>
      <c r="AK872" t="s">
        <v>154</v>
      </c>
      <c r="AL872" t="s">
        <v>119</v>
      </c>
      <c r="AM872" t="s">
        <v>112</v>
      </c>
      <c r="AN872" t="s">
        <v>121</v>
      </c>
      <c r="AO872" t="s">
        <v>122</v>
      </c>
      <c r="AP872" t="s">
        <v>122</v>
      </c>
      <c r="AQ872" t="s">
        <v>124</v>
      </c>
      <c r="AR872" t="s">
        <v>125</v>
      </c>
      <c r="AS872">
        <v>2</v>
      </c>
      <c r="AT872" t="s">
        <v>126</v>
      </c>
      <c r="AU872" t="s">
        <v>155</v>
      </c>
      <c r="AV872" t="s">
        <v>156</v>
      </c>
      <c r="AX872" t="s">
        <v>129</v>
      </c>
      <c r="AY872">
        <v>38683.440000000002</v>
      </c>
      <c r="BB872">
        <v>97.912599999999998</v>
      </c>
      <c r="BC872" t="s">
        <v>112</v>
      </c>
      <c r="BD872" t="s">
        <v>112</v>
      </c>
      <c r="BE872" t="s">
        <v>157</v>
      </c>
      <c r="BF872" t="s">
        <v>133</v>
      </c>
      <c r="BG872" t="s">
        <v>134</v>
      </c>
      <c r="BH872" t="s">
        <v>112</v>
      </c>
      <c r="BI872" t="s">
        <v>112</v>
      </c>
      <c r="BJ872" t="s">
        <v>112</v>
      </c>
      <c r="BK872" t="s">
        <v>158</v>
      </c>
      <c r="BL872" t="s">
        <v>159</v>
      </c>
      <c r="BM872" t="s">
        <v>212</v>
      </c>
      <c r="BN872" t="s">
        <v>161</v>
      </c>
      <c r="BP872" t="s">
        <v>232</v>
      </c>
      <c r="BR872" t="s">
        <v>150</v>
      </c>
      <c r="BS872">
        <v>33</v>
      </c>
      <c r="BT872">
        <v>0</v>
      </c>
      <c r="BU872">
        <v>0</v>
      </c>
      <c r="BW872">
        <v>0</v>
      </c>
      <c r="BY872" t="s">
        <v>106</v>
      </c>
      <c r="BZ872" t="s">
        <v>142</v>
      </c>
      <c r="CA872" t="s">
        <v>112</v>
      </c>
      <c r="CB872" t="s">
        <v>112</v>
      </c>
      <c r="CC872" t="s">
        <v>121</v>
      </c>
      <c r="CD872">
        <v>17137.689999999999</v>
      </c>
      <c r="CE872" t="s">
        <v>144</v>
      </c>
      <c r="CF872">
        <v>4000000</v>
      </c>
      <c r="CG872">
        <v>17137.689999999999</v>
      </c>
      <c r="CH872">
        <v>0</v>
      </c>
      <c r="CI872" t="s">
        <v>112</v>
      </c>
      <c r="CJ872" t="s">
        <v>112</v>
      </c>
      <c r="CK872">
        <v>38683.440000000002</v>
      </c>
      <c r="CM872">
        <v>0</v>
      </c>
      <c r="CN872">
        <v>1</v>
      </c>
      <c r="CO872">
        <v>4230161.1399999997</v>
      </c>
      <c r="CP872">
        <v>47126.47</v>
      </c>
      <c r="CQ872" t="s">
        <v>145</v>
      </c>
      <c r="CR872">
        <v>47128.647499999999</v>
      </c>
      <c r="CS872">
        <v>2.75</v>
      </c>
      <c r="CT872">
        <v>45</v>
      </c>
      <c r="CV872" t="s">
        <v>233</v>
      </c>
      <c r="CW872">
        <v>221</v>
      </c>
    </row>
    <row r="873" spans="1:101" x14ac:dyDescent="0.2">
      <c r="A873" t="s">
        <v>106</v>
      </c>
      <c r="B873" s="46">
        <v>44991</v>
      </c>
      <c r="C873" t="s">
        <v>974</v>
      </c>
      <c r="D873" t="s">
        <v>108</v>
      </c>
      <c r="E873" t="s">
        <v>975</v>
      </c>
      <c r="F873" t="s">
        <v>110</v>
      </c>
      <c r="G873" t="s">
        <v>111</v>
      </c>
      <c r="H873" t="s">
        <v>112</v>
      </c>
      <c r="I873" t="s">
        <v>112</v>
      </c>
      <c r="J873" t="s">
        <v>112</v>
      </c>
      <c r="K873" t="s">
        <v>150</v>
      </c>
      <c r="L873" t="s">
        <v>151</v>
      </c>
      <c r="M873" t="s">
        <v>112</v>
      </c>
      <c r="N873" t="s">
        <v>112</v>
      </c>
      <c r="O873">
        <v>1</v>
      </c>
      <c r="Q873">
        <v>1</v>
      </c>
      <c r="R873">
        <v>33</v>
      </c>
      <c r="S873" t="s">
        <v>112</v>
      </c>
      <c r="T873" t="s">
        <v>152</v>
      </c>
      <c r="U873" t="s">
        <v>153</v>
      </c>
      <c r="V873" t="s">
        <v>154</v>
      </c>
      <c r="W873" t="s">
        <v>119</v>
      </c>
      <c r="X873" t="s">
        <v>112</v>
      </c>
      <c r="Y873" t="s">
        <v>112</v>
      </c>
      <c r="Z873" t="s">
        <v>152</v>
      </c>
      <c r="AA873" t="s">
        <v>153</v>
      </c>
      <c r="AB873" t="s">
        <v>154</v>
      </c>
      <c r="AC873" t="s">
        <v>119</v>
      </c>
      <c r="AD873" t="s">
        <v>112</v>
      </c>
      <c r="AE873" t="s">
        <v>121</v>
      </c>
      <c r="AF873" t="s">
        <v>122</v>
      </c>
      <c r="AG873">
        <v>4819027.09</v>
      </c>
      <c r="AH873" t="s">
        <v>112</v>
      </c>
      <c r="AI873" t="s">
        <v>152</v>
      </c>
      <c r="AJ873" t="s">
        <v>153</v>
      </c>
      <c r="AK873" t="s">
        <v>154</v>
      </c>
      <c r="AL873" t="s">
        <v>119</v>
      </c>
      <c r="AM873" t="s">
        <v>112</v>
      </c>
      <c r="AN873" t="s">
        <v>121</v>
      </c>
      <c r="AO873" t="s">
        <v>122</v>
      </c>
      <c r="AP873" t="s">
        <v>122</v>
      </c>
      <c r="AQ873" t="s">
        <v>124</v>
      </c>
      <c r="AR873" t="s">
        <v>125</v>
      </c>
      <c r="AS873">
        <v>2</v>
      </c>
      <c r="AT873" t="s">
        <v>126</v>
      </c>
      <c r="AU873" t="s">
        <v>155</v>
      </c>
      <c r="AV873" t="s">
        <v>156</v>
      </c>
      <c r="AX873" t="s">
        <v>129</v>
      </c>
      <c r="AY873">
        <v>45227.64</v>
      </c>
      <c r="BB873">
        <v>97.912599999999998</v>
      </c>
      <c r="BC873" t="s">
        <v>112</v>
      </c>
      <c r="BD873" t="s">
        <v>112</v>
      </c>
      <c r="BE873" t="s">
        <v>157</v>
      </c>
      <c r="BF873" t="s">
        <v>133</v>
      </c>
      <c r="BG873" t="s">
        <v>167</v>
      </c>
      <c r="BH873" t="s">
        <v>112</v>
      </c>
      <c r="BI873" t="s">
        <v>112</v>
      </c>
      <c r="BJ873" t="s">
        <v>112</v>
      </c>
      <c r="BK873" t="s">
        <v>158</v>
      </c>
      <c r="BL873" t="s">
        <v>159</v>
      </c>
      <c r="BM873" t="s">
        <v>160</v>
      </c>
      <c r="BN873" t="s">
        <v>161</v>
      </c>
      <c r="BP873" t="s">
        <v>232</v>
      </c>
      <c r="BR873" t="s">
        <v>150</v>
      </c>
      <c r="BS873">
        <v>33</v>
      </c>
      <c r="BT873">
        <v>0</v>
      </c>
      <c r="BU873">
        <v>0</v>
      </c>
      <c r="BW873">
        <v>0</v>
      </c>
      <c r="BY873" t="s">
        <v>106</v>
      </c>
      <c r="BZ873" t="s">
        <v>142</v>
      </c>
      <c r="CA873" t="s">
        <v>112</v>
      </c>
      <c r="CB873" t="s">
        <v>112</v>
      </c>
      <c r="CC873" t="s">
        <v>121</v>
      </c>
      <c r="CD873">
        <v>16385.48</v>
      </c>
      <c r="CE873" t="s">
        <v>144</v>
      </c>
      <c r="CF873">
        <v>4000000</v>
      </c>
      <c r="CG873">
        <v>16385.48</v>
      </c>
      <c r="CH873">
        <v>0</v>
      </c>
      <c r="CI873" t="s">
        <v>112</v>
      </c>
      <c r="CJ873" t="s">
        <v>112</v>
      </c>
      <c r="CK873">
        <v>45227.64</v>
      </c>
      <c r="CN873">
        <v>1</v>
      </c>
      <c r="CO873">
        <v>4819027.09</v>
      </c>
      <c r="CP873">
        <v>53686.78</v>
      </c>
      <c r="CQ873" t="s">
        <v>145</v>
      </c>
      <c r="CR873">
        <v>53744.374399999993</v>
      </c>
      <c r="CS873">
        <v>3.28</v>
      </c>
      <c r="CT873">
        <v>45</v>
      </c>
      <c r="CV873" t="s">
        <v>206</v>
      </c>
      <c r="CW873">
        <v>219</v>
      </c>
    </row>
    <row r="874" spans="1:101" x14ac:dyDescent="0.2">
      <c r="A874" t="s">
        <v>106</v>
      </c>
      <c r="B874" s="46">
        <v>44946</v>
      </c>
      <c r="C874" t="s">
        <v>2071</v>
      </c>
      <c r="D874" t="s">
        <v>108</v>
      </c>
      <c r="E874" t="s">
        <v>2072</v>
      </c>
      <c r="F874" t="s">
        <v>110</v>
      </c>
      <c r="G874" t="s">
        <v>111</v>
      </c>
      <c r="H874" t="s">
        <v>112</v>
      </c>
      <c r="I874" t="s">
        <v>112</v>
      </c>
      <c r="J874" t="s">
        <v>112</v>
      </c>
      <c r="K874" t="s">
        <v>150</v>
      </c>
      <c r="L874" t="s">
        <v>151</v>
      </c>
      <c r="M874" t="s">
        <v>112</v>
      </c>
      <c r="N874" t="s">
        <v>112</v>
      </c>
      <c r="O874">
        <v>1</v>
      </c>
      <c r="Q874">
        <v>1</v>
      </c>
      <c r="R874">
        <v>33</v>
      </c>
      <c r="S874" t="s">
        <v>112</v>
      </c>
      <c r="T874" t="s">
        <v>152</v>
      </c>
      <c r="U874" t="s">
        <v>153</v>
      </c>
      <c r="V874" t="s">
        <v>154</v>
      </c>
      <c r="W874" t="s">
        <v>119</v>
      </c>
      <c r="X874" t="s">
        <v>112</v>
      </c>
      <c r="Y874" t="s">
        <v>112</v>
      </c>
      <c r="Z874" t="s">
        <v>152</v>
      </c>
      <c r="AA874" t="s">
        <v>153</v>
      </c>
      <c r="AB874" t="s">
        <v>154</v>
      </c>
      <c r="AC874" t="s">
        <v>119</v>
      </c>
      <c r="AD874" t="s">
        <v>112</v>
      </c>
      <c r="AE874" t="s">
        <v>121</v>
      </c>
      <c r="AF874" t="s">
        <v>122</v>
      </c>
      <c r="AG874">
        <v>4553114.3899999997</v>
      </c>
      <c r="AH874" t="s">
        <v>112</v>
      </c>
      <c r="AI874" t="s">
        <v>152</v>
      </c>
      <c r="AJ874" t="s">
        <v>153</v>
      </c>
      <c r="AK874" t="s">
        <v>154</v>
      </c>
      <c r="AL874" t="s">
        <v>119</v>
      </c>
      <c r="AM874" t="s">
        <v>112</v>
      </c>
      <c r="AN874" t="s">
        <v>121</v>
      </c>
      <c r="AO874" t="s">
        <v>122</v>
      </c>
      <c r="AP874" t="s">
        <v>122</v>
      </c>
      <c r="AQ874" t="s">
        <v>124</v>
      </c>
      <c r="AR874" t="s">
        <v>125</v>
      </c>
      <c r="AS874">
        <v>2</v>
      </c>
      <c r="AT874" t="s">
        <v>126</v>
      </c>
      <c r="AU874" t="s">
        <v>155</v>
      </c>
      <c r="AV874" t="s">
        <v>156</v>
      </c>
      <c r="AX874" t="s">
        <v>129</v>
      </c>
      <c r="AY874">
        <v>39763.82</v>
      </c>
      <c r="BB874">
        <v>104.0621</v>
      </c>
      <c r="BC874" t="s">
        <v>112</v>
      </c>
      <c r="BD874" t="s">
        <v>112</v>
      </c>
      <c r="BE874" t="s">
        <v>157</v>
      </c>
      <c r="BF874" t="s">
        <v>133</v>
      </c>
      <c r="BG874" t="s">
        <v>134</v>
      </c>
      <c r="BH874" t="s">
        <v>112</v>
      </c>
      <c r="BI874" t="s">
        <v>112</v>
      </c>
      <c r="BJ874" t="s">
        <v>112</v>
      </c>
      <c r="BK874" t="s">
        <v>158</v>
      </c>
      <c r="BL874" t="s">
        <v>159</v>
      </c>
      <c r="BM874" t="s">
        <v>212</v>
      </c>
      <c r="BN874" t="s">
        <v>161</v>
      </c>
      <c r="BP874" t="s">
        <v>162</v>
      </c>
      <c r="BR874" t="s">
        <v>150</v>
      </c>
      <c r="BS874">
        <v>33</v>
      </c>
      <c r="BT874">
        <v>0</v>
      </c>
      <c r="BU874">
        <v>0</v>
      </c>
      <c r="BW874">
        <v>0</v>
      </c>
      <c r="BY874" t="s">
        <v>106</v>
      </c>
      <c r="BZ874" t="s">
        <v>142</v>
      </c>
      <c r="CA874" t="s">
        <v>112</v>
      </c>
      <c r="CB874" t="s">
        <v>112</v>
      </c>
      <c r="CC874" t="s">
        <v>121</v>
      </c>
      <c r="CD874">
        <v>16952.810000000001</v>
      </c>
      <c r="CE874" t="s">
        <v>144</v>
      </c>
      <c r="CF874">
        <v>4000000</v>
      </c>
      <c r="CG874">
        <v>16909.61</v>
      </c>
      <c r="CH874">
        <v>0</v>
      </c>
      <c r="CI874" t="s">
        <v>112</v>
      </c>
      <c r="CJ874" t="s">
        <v>112</v>
      </c>
      <c r="CK874">
        <v>39763.82</v>
      </c>
      <c r="CM874">
        <v>0</v>
      </c>
      <c r="CN874">
        <v>1</v>
      </c>
      <c r="CO874">
        <v>4553114.3899999997</v>
      </c>
      <c r="CP874">
        <v>45867.03</v>
      </c>
      <c r="CQ874" t="s">
        <v>145</v>
      </c>
      <c r="CR874">
        <v>45825.043100000003</v>
      </c>
      <c r="CS874">
        <v>2.71</v>
      </c>
      <c r="CT874">
        <v>45</v>
      </c>
      <c r="CV874" t="s">
        <v>1140</v>
      </c>
      <c r="CW874">
        <v>127</v>
      </c>
    </row>
    <row r="875" spans="1:101" x14ac:dyDescent="0.2">
      <c r="A875" t="s">
        <v>106</v>
      </c>
      <c r="B875" s="46">
        <v>45223</v>
      </c>
      <c r="C875" t="s">
        <v>2071</v>
      </c>
      <c r="D875" t="s">
        <v>108</v>
      </c>
      <c r="E875" t="s">
        <v>2072</v>
      </c>
      <c r="F875" t="s">
        <v>110</v>
      </c>
      <c r="G875" t="s">
        <v>111</v>
      </c>
      <c r="H875" t="s">
        <v>112</v>
      </c>
      <c r="I875" t="s">
        <v>112</v>
      </c>
      <c r="J875" t="s">
        <v>112</v>
      </c>
      <c r="K875" t="s">
        <v>150</v>
      </c>
      <c r="L875" t="s">
        <v>151</v>
      </c>
      <c r="M875" t="s">
        <v>112</v>
      </c>
      <c r="N875" t="s">
        <v>112</v>
      </c>
      <c r="O875">
        <v>1</v>
      </c>
      <c r="Q875">
        <v>1</v>
      </c>
      <c r="R875">
        <v>33</v>
      </c>
      <c r="S875" t="s">
        <v>112</v>
      </c>
      <c r="T875" t="s">
        <v>152</v>
      </c>
      <c r="U875" t="s">
        <v>153</v>
      </c>
      <c r="V875" t="s">
        <v>154</v>
      </c>
      <c r="W875" t="s">
        <v>119</v>
      </c>
      <c r="X875" t="s">
        <v>112</v>
      </c>
      <c r="Y875" t="s">
        <v>112</v>
      </c>
      <c r="Z875" t="s">
        <v>152</v>
      </c>
      <c r="AA875" t="s">
        <v>153</v>
      </c>
      <c r="AB875" t="s">
        <v>154</v>
      </c>
      <c r="AC875" t="s">
        <v>119</v>
      </c>
      <c r="AD875" t="s">
        <v>112</v>
      </c>
      <c r="AE875" t="s">
        <v>121</v>
      </c>
      <c r="AF875" t="s">
        <v>122</v>
      </c>
      <c r="AG875">
        <v>4553114.3899999997</v>
      </c>
      <c r="AH875" t="s">
        <v>112</v>
      </c>
      <c r="AI875" t="s">
        <v>152</v>
      </c>
      <c r="AJ875" t="s">
        <v>153</v>
      </c>
      <c r="AK875" t="s">
        <v>154</v>
      </c>
      <c r="AL875" t="s">
        <v>119</v>
      </c>
      <c r="AM875" t="s">
        <v>112</v>
      </c>
      <c r="AN875" t="s">
        <v>121</v>
      </c>
      <c r="AO875" t="s">
        <v>122</v>
      </c>
      <c r="AP875" t="s">
        <v>122</v>
      </c>
      <c r="AQ875" t="s">
        <v>124</v>
      </c>
      <c r="AR875" t="s">
        <v>125</v>
      </c>
      <c r="AS875">
        <v>2</v>
      </c>
      <c r="AT875" t="s">
        <v>126</v>
      </c>
      <c r="AU875" t="s">
        <v>155</v>
      </c>
      <c r="AV875" t="s">
        <v>156</v>
      </c>
      <c r="AX875" t="s">
        <v>129</v>
      </c>
      <c r="AY875">
        <v>39763.82</v>
      </c>
      <c r="BB875">
        <v>104.0621</v>
      </c>
      <c r="BC875" t="s">
        <v>112</v>
      </c>
      <c r="BD875" t="s">
        <v>112</v>
      </c>
      <c r="BE875" t="s">
        <v>157</v>
      </c>
      <c r="BF875" t="s">
        <v>133</v>
      </c>
      <c r="BG875" t="s">
        <v>134</v>
      </c>
      <c r="BH875" t="s">
        <v>112</v>
      </c>
      <c r="BI875" t="s">
        <v>112</v>
      </c>
      <c r="BJ875" t="s">
        <v>112</v>
      </c>
      <c r="BK875" t="s">
        <v>158</v>
      </c>
      <c r="BL875" t="s">
        <v>159</v>
      </c>
      <c r="BM875" t="s">
        <v>212</v>
      </c>
      <c r="BN875" t="s">
        <v>161</v>
      </c>
      <c r="BP875" t="s">
        <v>162</v>
      </c>
      <c r="BR875" t="s">
        <v>150</v>
      </c>
      <c r="BS875">
        <v>33</v>
      </c>
      <c r="BT875">
        <v>0</v>
      </c>
      <c r="BU875">
        <v>0</v>
      </c>
      <c r="BW875">
        <v>0</v>
      </c>
      <c r="BY875" t="s">
        <v>106</v>
      </c>
      <c r="BZ875" t="s">
        <v>142</v>
      </c>
      <c r="CA875" t="s">
        <v>112</v>
      </c>
      <c r="CB875" t="s">
        <v>112</v>
      </c>
      <c r="CC875" t="s">
        <v>121</v>
      </c>
      <c r="CD875">
        <v>16952.810000000001</v>
      </c>
      <c r="CE875" t="s">
        <v>144</v>
      </c>
      <c r="CF875">
        <v>4000000</v>
      </c>
      <c r="CG875">
        <v>16909.61</v>
      </c>
      <c r="CH875">
        <v>0</v>
      </c>
      <c r="CI875" t="s">
        <v>112</v>
      </c>
      <c r="CJ875" t="s">
        <v>112</v>
      </c>
      <c r="CK875">
        <v>39763.82</v>
      </c>
      <c r="CM875">
        <v>0</v>
      </c>
      <c r="CN875">
        <v>1</v>
      </c>
      <c r="CO875">
        <v>4553114.3899999997</v>
      </c>
      <c r="CP875">
        <v>45867.03</v>
      </c>
      <c r="CQ875" t="s">
        <v>145</v>
      </c>
      <c r="CR875">
        <v>45825.043100000003</v>
      </c>
      <c r="CS875">
        <v>2.71</v>
      </c>
      <c r="CT875">
        <v>45</v>
      </c>
      <c r="CV875" t="s">
        <v>1140</v>
      </c>
      <c r="CW875">
        <v>127</v>
      </c>
    </row>
    <row r="876" spans="1:101" x14ac:dyDescent="0.2">
      <c r="A876" t="s">
        <v>106</v>
      </c>
      <c r="B876" s="46">
        <v>45209</v>
      </c>
      <c r="C876" t="s">
        <v>2102</v>
      </c>
      <c r="D876" t="s">
        <v>108</v>
      </c>
      <c r="E876" t="s">
        <v>2103</v>
      </c>
      <c r="F876" t="s">
        <v>110</v>
      </c>
      <c r="G876" t="s">
        <v>111</v>
      </c>
      <c r="H876" t="s">
        <v>112</v>
      </c>
      <c r="I876" t="s">
        <v>112</v>
      </c>
      <c r="J876" t="s">
        <v>112</v>
      </c>
      <c r="K876" t="s">
        <v>150</v>
      </c>
      <c r="L876" t="s">
        <v>151</v>
      </c>
      <c r="M876" t="s">
        <v>112</v>
      </c>
      <c r="N876" t="s">
        <v>112</v>
      </c>
      <c r="O876">
        <v>1</v>
      </c>
      <c r="Q876">
        <v>1</v>
      </c>
      <c r="R876">
        <v>33</v>
      </c>
      <c r="S876" t="s">
        <v>112</v>
      </c>
      <c r="T876" t="s">
        <v>152</v>
      </c>
      <c r="U876" t="s">
        <v>153</v>
      </c>
      <c r="V876" t="s">
        <v>154</v>
      </c>
      <c r="W876" t="s">
        <v>119</v>
      </c>
      <c r="X876" t="s">
        <v>112</v>
      </c>
      <c r="Y876" t="s">
        <v>112</v>
      </c>
      <c r="Z876" t="s">
        <v>152</v>
      </c>
      <c r="AA876" t="s">
        <v>153</v>
      </c>
      <c r="AB876" t="s">
        <v>154</v>
      </c>
      <c r="AC876" t="s">
        <v>119</v>
      </c>
      <c r="AD876" t="s">
        <v>112</v>
      </c>
      <c r="AE876" t="s">
        <v>121</v>
      </c>
      <c r="AF876" t="s">
        <v>122</v>
      </c>
      <c r="AG876">
        <v>4575265.05</v>
      </c>
      <c r="AH876" t="s">
        <v>112</v>
      </c>
      <c r="AI876" t="s">
        <v>152</v>
      </c>
      <c r="AJ876" t="s">
        <v>153</v>
      </c>
      <c r="AK876" t="s">
        <v>154</v>
      </c>
      <c r="AL876" t="s">
        <v>119</v>
      </c>
      <c r="AM876" t="s">
        <v>112</v>
      </c>
      <c r="AN876" t="s">
        <v>121</v>
      </c>
      <c r="AO876" t="s">
        <v>122</v>
      </c>
      <c r="AP876" t="s">
        <v>122</v>
      </c>
      <c r="AQ876" t="s">
        <v>124</v>
      </c>
      <c r="AR876" t="s">
        <v>125</v>
      </c>
      <c r="AS876">
        <v>2</v>
      </c>
      <c r="AT876" t="s">
        <v>126</v>
      </c>
      <c r="AU876" t="s">
        <v>155</v>
      </c>
      <c r="AV876" t="s">
        <v>156</v>
      </c>
      <c r="AX876" t="s">
        <v>129</v>
      </c>
      <c r="AY876">
        <v>39976.68</v>
      </c>
      <c r="BB876">
        <v>104.0621</v>
      </c>
      <c r="BC876" t="s">
        <v>112</v>
      </c>
      <c r="BD876" t="s">
        <v>112</v>
      </c>
      <c r="BE876" t="s">
        <v>157</v>
      </c>
      <c r="BF876" t="s">
        <v>133</v>
      </c>
      <c r="BG876" t="s">
        <v>134</v>
      </c>
      <c r="BH876" t="s">
        <v>112</v>
      </c>
      <c r="BI876" t="s">
        <v>112</v>
      </c>
      <c r="BJ876" t="s">
        <v>112</v>
      </c>
      <c r="BK876" t="s">
        <v>158</v>
      </c>
      <c r="BL876" t="s">
        <v>159</v>
      </c>
      <c r="BM876" t="s">
        <v>212</v>
      </c>
      <c r="BN876" t="s">
        <v>161</v>
      </c>
      <c r="BP876" t="s">
        <v>205</v>
      </c>
      <c r="BR876" t="s">
        <v>150</v>
      </c>
      <c r="BS876">
        <v>33</v>
      </c>
      <c r="BT876">
        <v>0</v>
      </c>
      <c r="BU876">
        <v>0</v>
      </c>
      <c r="BW876">
        <v>0</v>
      </c>
      <c r="BY876" t="s">
        <v>106</v>
      </c>
      <c r="BZ876" t="s">
        <v>142</v>
      </c>
      <c r="CA876" t="s">
        <v>112</v>
      </c>
      <c r="CB876" t="s">
        <v>112</v>
      </c>
      <c r="CC876" t="s">
        <v>121</v>
      </c>
      <c r="CD876">
        <v>17090.84</v>
      </c>
      <c r="CE876" t="s">
        <v>144</v>
      </c>
      <c r="CF876">
        <v>4000000</v>
      </c>
      <c r="CG876">
        <v>17004.439999999999</v>
      </c>
      <c r="CH876">
        <v>0</v>
      </c>
      <c r="CI876" t="s">
        <v>112</v>
      </c>
      <c r="CJ876" t="s">
        <v>112</v>
      </c>
      <c r="CK876">
        <v>39976.68</v>
      </c>
      <c r="CM876">
        <v>0</v>
      </c>
      <c r="CN876">
        <v>1</v>
      </c>
      <c r="CO876">
        <v>4575265.05</v>
      </c>
      <c r="CP876">
        <v>46090.17</v>
      </c>
      <c r="CQ876" t="s">
        <v>145</v>
      </c>
      <c r="CR876">
        <v>46082.032399999996</v>
      </c>
      <c r="CS876">
        <v>2.71</v>
      </c>
      <c r="CT876">
        <v>45</v>
      </c>
      <c r="CV876" t="s">
        <v>163</v>
      </c>
      <c r="CW876">
        <v>243</v>
      </c>
    </row>
    <row r="877" spans="1:101" x14ac:dyDescent="0.2">
      <c r="A877" t="s">
        <v>106</v>
      </c>
      <c r="B877" s="46">
        <v>45245</v>
      </c>
      <c r="C877" t="s">
        <v>2102</v>
      </c>
      <c r="D877" t="s">
        <v>108</v>
      </c>
      <c r="E877" t="s">
        <v>2103</v>
      </c>
      <c r="F877" t="s">
        <v>110</v>
      </c>
      <c r="G877" t="s">
        <v>111</v>
      </c>
      <c r="H877" t="s">
        <v>112</v>
      </c>
      <c r="I877" t="s">
        <v>112</v>
      </c>
      <c r="J877" t="s">
        <v>112</v>
      </c>
      <c r="K877" t="s">
        <v>150</v>
      </c>
      <c r="L877" t="s">
        <v>151</v>
      </c>
      <c r="M877" t="s">
        <v>112</v>
      </c>
      <c r="N877" t="s">
        <v>112</v>
      </c>
      <c r="O877">
        <v>1</v>
      </c>
      <c r="Q877">
        <v>1</v>
      </c>
      <c r="R877">
        <v>33</v>
      </c>
      <c r="S877" t="s">
        <v>112</v>
      </c>
      <c r="T877" t="s">
        <v>152</v>
      </c>
      <c r="U877" t="s">
        <v>153</v>
      </c>
      <c r="V877" t="s">
        <v>154</v>
      </c>
      <c r="W877" t="s">
        <v>119</v>
      </c>
      <c r="X877" t="s">
        <v>112</v>
      </c>
      <c r="Y877" t="s">
        <v>112</v>
      </c>
      <c r="Z877" t="s">
        <v>152</v>
      </c>
      <c r="AA877" t="s">
        <v>153</v>
      </c>
      <c r="AB877" t="s">
        <v>154</v>
      </c>
      <c r="AC877" t="s">
        <v>119</v>
      </c>
      <c r="AD877" t="s">
        <v>112</v>
      </c>
      <c r="AE877" t="s">
        <v>121</v>
      </c>
      <c r="AF877" t="s">
        <v>122</v>
      </c>
      <c r="AG877">
        <v>4575265.05</v>
      </c>
      <c r="AH877" t="s">
        <v>112</v>
      </c>
      <c r="AI877" t="s">
        <v>152</v>
      </c>
      <c r="AJ877" t="s">
        <v>153</v>
      </c>
      <c r="AK877" t="s">
        <v>154</v>
      </c>
      <c r="AL877" t="s">
        <v>119</v>
      </c>
      <c r="AM877" t="s">
        <v>112</v>
      </c>
      <c r="AN877" t="s">
        <v>121</v>
      </c>
      <c r="AO877" t="s">
        <v>122</v>
      </c>
      <c r="AP877" t="s">
        <v>122</v>
      </c>
      <c r="AQ877" t="s">
        <v>124</v>
      </c>
      <c r="AR877" t="s">
        <v>125</v>
      </c>
      <c r="AS877">
        <v>2</v>
      </c>
      <c r="AT877" t="s">
        <v>126</v>
      </c>
      <c r="AU877" t="s">
        <v>155</v>
      </c>
      <c r="AV877" t="s">
        <v>156</v>
      </c>
      <c r="AX877" t="s">
        <v>129</v>
      </c>
      <c r="AY877">
        <v>39976.68</v>
      </c>
      <c r="BB877">
        <v>104.0621</v>
      </c>
      <c r="BC877" t="s">
        <v>112</v>
      </c>
      <c r="BD877" t="s">
        <v>112</v>
      </c>
      <c r="BE877" t="s">
        <v>157</v>
      </c>
      <c r="BF877" t="s">
        <v>133</v>
      </c>
      <c r="BG877" t="s">
        <v>134</v>
      </c>
      <c r="BH877" t="s">
        <v>112</v>
      </c>
      <c r="BI877" t="s">
        <v>112</v>
      </c>
      <c r="BJ877" t="s">
        <v>112</v>
      </c>
      <c r="BK877" t="s">
        <v>158</v>
      </c>
      <c r="BL877" t="s">
        <v>159</v>
      </c>
      <c r="BM877" t="s">
        <v>212</v>
      </c>
      <c r="BN877" t="s">
        <v>161</v>
      </c>
      <c r="BP877" t="s">
        <v>205</v>
      </c>
      <c r="BR877" t="s">
        <v>150</v>
      </c>
      <c r="BS877">
        <v>33</v>
      </c>
      <c r="BT877">
        <v>0</v>
      </c>
      <c r="BU877">
        <v>0</v>
      </c>
      <c r="BW877">
        <v>0</v>
      </c>
      <c r="BY877" t="s">
        <v>106</v>
      </c>
      <c r="BZ877" t="s">
        <v>142</v>
      </c>
      <c r="CA877" t="s">
        <v>112</v>
      </c>
      <c r="CB877" t="s">
        <v>112</v>
      </c>
      <c r="CC877" t="s">
        <v>121</v>
      </c>
      <c r="CD877">
        <v>17090.84</v>
      </c>
      <c r="CE877" t="s">
        <v>144</v>
      </c>
      <c r="CF877">
        <v>4000000</v>
      </c>
      <c r="CG877">
        <v>17004.439999999999</v>
      </c>
      <c r="CH877">
        <v>0</v>
      </c>
      <c r="CI877" t="s">
        <v>112</v>
      </c>
      <c r="CJ877" t="s">
        <v>112</v>
      </c>
      <c r="CK877">
        <v>39976.68</v>
      </c>
      <c r="CM877">
        <v>0</v>
      </c>
      <c r="CN877">
        <v>1</v>
      </c>
      <c r="CO877">
        <v>4575265.05</v>
      </c>
      <c r="CP877">
        <v>46090.17</v>
      </c>
      <c r="CQ877" t="s">
        <v>145</v>
      </c>
      <c r="CR877">
        <v>46082.032399999996</v>
      </c>
      <c r="CS877">
        <v>2.71</v>
      </c>
      <c r="CT877">
        <v>45</v>
      </c>
      <c r="CV877" t="s">
        <v>163</v>
      </c>
      <c r="CW877">
        <v>243</v>
      </c>
    </row>
    <row r="878" spans="1:101" x14ac:dyDescent="0.2">
      <c r="A878" t="s">
        <v>106</v>
      </c>
      <c r="B878" s="46">
        <v>45004</v>
      </c>
      <c r="C878" t="s">
        <v>1844</v>
      </c>
      <c r="D878" t="s">
        <v>108</v>
      </c>
      <c r="E878" t="s">
        <v>1845</v>
      </c>
      <c r="F878" t="s">
        <v>110</v>
      </c>
      <c r="G878" t="s">
        <v>111</v>
      </c>
      <c r="H878" t="s">
        <v>112</v>
      </c>
      <c r="I878" t="s">
        <v>112</v>
      </c>
      <c r="J878" t="s">
        <v>112</v>
      </c>
      <c r="K878" t="s">
        <v>150</v>
      </c>
      <c r="L878" t="s">
        <v>151</v>
      </c>
      <c r="M878" t="s">
        <v>112</v>
      </c>
      <c r="N878" t="s">
        <v>112</v>
      </c>
      <c r="O878">
        <v>1</v>
      </c>
      <c r="Q878">
        <v>1</v>
      </c>
      <c r="R878">
        <v>33</v>
      </c>
      <c r="S878" t="s">
        <v>112</v>
      </c>
      <c r="T878" t="s">
        <v>152</v>
      </c>
      <c r="U878" t="s">
        <v>153</v>
      </c>
      <c r="V878" t="s">
        <v>154</v>
      </c>
      <c r="W878" t="s">
        <v>119</v>
      </c>
      <c r="X878" t="s">
        <v>112</v>
      </c>
      <c r="Y878" t="s">
        <v>112</v>
      </c>
      <c r="Z878" t="s">
        <v>152</v>
      </c>
      <c r="AA878" t="s">
        <v>153</v>
      </c>
      <c r="AB878" t="s">
        <v>154</v>
      </c>
      <c r="AC878" t="s">
        <v>119</v>
      </c>
      <c r="AD878" t="s">
        <v>112</v>
      </c>
      <c r="AE878" t="s">
        <v>121</v>
      </c>
      <c r="AF878" t="s">
        <v>122</v>
      </c>
      <c r="AG878">
        <v>4616621.0599999996</v>
      </c>
      <c r="AH878" t="s">
        <v>112</v>
      </c>
      <c r="AI878" t="s">
        <v>152</v>
      </c>
      <c r="AJ878" t="s">
        <v>153</v>
      </c>
      <c r="AK878" t="s">
        <v>154</v>
      </c>
      <c r="AL878" t="s">
        <v>119</v>
      </c>
      <c r="AM878" t="s">
        <v>112</v>
      </c>
      <c r="AN878" t="s">
        <v>121</v>
      </c>
      <c r="AO878" t="s">
        <v>122</v>
      </c>
      <c r="AP878" t="s">
        <v>122</v>
      </c>
      <c r="AQ878" t="s">
        <v>124</v>
      </c>
      <c r="AR878" t="s">
        <v>125</v>
      </c>
      <c r="AS878">
        <v>2</v>
      </c>
      <c r="AT878" t="s">
        <v>126</v>
      </c>
      <c r="AU878" t="s">
        <v>155</v>
      </c>
      <c r="AV878" t="s">
        <v>156</v>
      </c>
      <c r="AX878" t="s">
        <v>129</v>
      </c>
      <c r="AY878">
        <v>40001.4</v>
      </c>
      <c r="BB878">
        <v>104.6108</v>
      </c>
      <c r="BC878" t="s">
        <v>112</v>
      </c>
      <c r="BD878" t="s">
        <v>112</v>
      </c>
      <c r="BE878" t="s">
        <v>157</v>
      </c>
      <c r="BF878" t="s">
        <v>133</v>
      </c>
      <c r="BG878" t="s">
        <v>167</v>
      </c>
      <c r="BH878" t="s">
        <v>112</v>
      </c>
      <c r="BI878" t="s">
        <v>112</v>
      </c>
      <c r="BJ878" t="s">
        <v>112</v>
      </c>
      <c r="BK878" t="s">
        <v>169</v>
      </c>
      <c r="BL878" t="s">
        <v>159</v>
      </c>
      <c r="BM878" t="s">
        <v>160</v>
      </c>
      <c r="BN878" t="s">
        <v>161</v>
      </c>
      <c r="BP878" t="s">
        <v>232</v>
      </c>
      <c r="BR878" t="s">
        <v>150</v>
      </c>
      <c r="BS878">
        <v>33</v>
      </c>
      <c r="BT878">
        <v>0</v>
      </c>
      <c r="BU878">
        <v>0</v>
      </c>
      <c r="BW878">
        <v>0</v>
      </c>
      <c r="BY878" t="s">
        <v>106</v>
      </c>
      <c r="BZ878" t="s">
        <v>142</v>
      </c>
      <c r="CA878" t="s">
        <v>112</v>
      </c>
      <c r="CB878" t="s">
        <v>112</v>
      </c>
      <c r="CC878" t="s">
        <v>121</v>
      </c>
      <c r="CD878">
        <v>16882.57</v>
      </c>
      <c r="CE878" t="s">
        <v>144</v>
      </c>
      <c r="CF878">
        <v>4000000</v>
      </c>
      <c r="CG878">
        <v>16817.77</v>
      </c>
      <c r="CH878">
        <v>0</v>
      </c>
      <c r="CI878" t="s">
        <v>112</v>
      </c>
      <c r="CJ878" t="s">
        <v>112</v>
      </c>
      <c r="CK878">
        <v>40001.4</v>
      </c>
      <c r="CM878">
        <v>0</v>
      </c>
      <c r="CN878">
        <v>1</v>
      </c>
      <c r="CO878">
        <v>4616621.0599999996</v>
      </c>
      <c r="CP878">
        <v>47919.54</v>
      </c>
      <c r="CQ878" t="s">
        <v>145</v>
      </c>
      <c r="CR878">
        <v>47930.644500000002</v>
      </c>
      <c r="CS878">
        <v>2.85</v>
      </c>
      <c r="CT878">
        <v>45</v>
      </c>
      <c r="CV878" t="s">
        <v>206</v>
      </c>
      <c r="CW878">
        <v>134</v>
      </c>
    </row>
    <row r="879" spans="1:101" x14ac:dyDescent="0.2">
      <c r="A879" t="s">
        <v>106</v>
      </c>
      <c r="B879" s="46">
        <v>45040</v>
      </c>
      <c r="C879" t="s">
        <v>1846</v>
      </c>
      <c r="D879" t="s">
        <v>108</v>
      </c>
      <c r="E879" t="s">
        <v>1847</v>
      </c>
      <c r="F879" t="s">
        <v>3244</v>
      </c>
      <c r="G879" t="s">
        <v>111</v>
      </c>
      <c r="H879" t="s">
        <v>112</v>
      </c>
      <c r="I879" t="s">
        <v>112</v>
      </c>
      <c r="J879" t="s">
        <v>112</v>
      </c>
      <c r="K879" t="s">
        <v>150</v>
      </c>
      <c r="L879" t="s">
        <v>151</v>
      </c>
      <c r="M879" t="s">
        <v>112</v>
      </c>
      <c r="N879" t="s">
        <v>112</v>
      </c>
      <c r="O879">
        <v>1</v>
      </c>
      <c r="Q879">
        <v>1</v>
      </c>
      <c r="R879">
        <v>33</v>
      </c>
      <c r="S879" t="s">
        <v>112</v>
      </c>
      <c r="T879" t="s">
        <v>152</v>
      </c>
      <c r="U879" t="s">
        <v>153</v>
      </c>
      <c r="V879" t="s">
        <v>154</v>
      </c>
      <c r="W879" t="s">
        <v>119</v>
      </c>
      <c r="X879" t="s">
        <v>112</v>
      </c>
      <c r="Y879" t="s">
        <v>112</v>
      </c>
      <c r="Z879" t="s">
        <v>152</v>
      </c>
      <c r="AA879" t="s">
        <v>153</v>
      </c>
      <c r="AB879" t="s">
        <v>154</v>
      </c>
      <c r="AC879" t="s">
        <v>119</v>
      </c>
      <c r="AD879" t="s">
        <v>112</v>
      </c>
      <c r="AE879" t="s">
        <v>121</v>
      </c>
      <c r="AF879" t="s">
        <v>122</v>
      </c>
      <c r="AG879">
        <v>4874616.3899999997</v>
      </c>
      <c r="AH879" t="s">
        <v>112</v>
      </c>
      <c r="AI879" t="s">
        <v>152</v>
      </c>
      <c r="AJ879" t="s">
        <v>153</v>
      </c>
      <c r="AK879" t="s">
        <v>154</v>
      </c>
      <c r="AL879" t="s">
        <v>119</v>
      </c>
      <c r="AM879" t="s">
        <v>112</v>
      </c>
      <c r="AN879" t="s">
        <v>121</v>
      </c>
      <c r="AO879" t="s">
        <v>122</v>
      </c>
      <c r="AP879" t="s">
        <v>122</v>
      </c>
      <c r="AQ879" t="s">
        <v>124</v>
      </c>
      <c r="AR879" t="s">
        <v>125</v>
      </c>
      <c r="AS879">
        <v>2</v>
      </c>
      <c r="AT879" t="s">
        <v>126</v>
      </c>
      <c r="AU879" t="s">
        <v>155</v>
      </c>
      <c r="AV879" t="s">
        <v>156</v>
      </c>
      <c r="AX879" t="s">
        <v>129</v>
      </c>
      <c r="AY879">
        <v>42467.64</v>
      </c>
      <c r="BB879">
        <v>104.6108</v>
      </c>
      <c r="BC879" t="s">
        <v>112</v>
      </c>
      <c r="BD879" t="s">
        <v>112</v>
      </c>
      <c r="BE879" t="s">
        <v>157</v>
      </c>
      <c r="BF879" t="s">
        <v>133</v>
      </c>
      <c r="BG879" t="s">
        <v>134</v>
      </c>
      <c r="BH879" t="s">
        <v>112</v>
      </c>
      <c r="BI879" t="s">
        <v>112</v>
      </c>
      <c r="BJ879" t="s">
        <v>112</v>
      </c>
      <c r="BK879" t="s">
        <v>169</v>
      </c>
      <c r="BL879" t="s">
        <v>159</v>
      </c>
      <c r="BM879" t="s">
        <v>212</v>
      </c>
      <c r="BN879" t="s">
        <v>161</v>
      </c>
      <c r="BP879" t="s">
        <v>232</v>
      </c>
      <c r="BR879" t="s">
        <v>150</v>
      </c>
      <c r="BS879">
        <v>33</v>
      </c>
      <c r="BT879">
        <v>0</v>
      </c>
      <c r="BU879">
        <v>0</v>
      </c>
      <c r="BW879">
        <v>0</v>
      </c>
      <c r="BY879" t="s">
        <v>106</v>
      </c>
      <c r="BZ879" t="s">
        <v>142</v>
      </c>
      <c r="CA879" t="s">
        <v>112</v>
      </c>
      <c r="CB879" t="s">
        <v>112</v>
      </c>
      <c r="CC879" t="s">
        <v>121</v>
      </c>
      <c r="CD879">
        <v>16858.87</v>
      </c>
      <c r="CE879" t="s">
        <v>144</v>
      </c>
      <c r="CF879">
        <v>4000000</v>
      </c>
      <c r="CG879">
        <v>16804.87</v>
      </c>
      <c r="CH879">
        <v>0</v>
      </c>
      <c r="CI879" t="s">
        <v>112</v>
      </c>
      <c r="CJ879" t="s">
        <v>112</v>
      </c>
      <c r="CK879">
        <v>42467.64</v>
      </c>
      <c r="CM879">
        <v>0</v>
      </c>
      <c r="CN879">
        <v>1</v>
      </c>
      <c r="CO879">
        <v>4874616.3899999997</v>
      </c>
      <c r="CP879">
        <v>50597.47</v>
      </c>
      <c r="CQ879" t="s">
        <v>145</v>
      </c>
      <c r="CR879">
        <v>50582.658699999993</v>
      </c>
      <c r="CS879">
        <v>3.01</v>
      </c>
      <c r="CT879">
        <v>45</v>
      </c>
      <c r="CV879" t="s">
        <v>1140</v>
      </c>
      <c r="CW879">
        <v>134</v>
      </c>
    </row>
    <row r="880" spans="1:101" x14ac:dyDescent="0.2">
      <c r="A880" t="s">
        <v>106</v>
      </c>
      <c r="B880" s="46">
        <v>45100</v>
      </c>
      <c r="C880" t="s">
        <v>1854</v>
      </c>
      <c r="D880" t="s">
        <v>108</v>
      </c>
      <c r="E880" t="s">
        <v>1855</v>
      </c>
      <c r="F880" t="s">
        <v>3244</v>
      </c>
      <c r="G880" t="s">
        <v>111</v>
      </c>
      <c r="H880" t="s">
        <v>112</v>
      </c>
      <c r="I880" t="s">
        <v>112</v>
      </c>
      <c r="J880" t="s">
        <v>112</v>
      </c>
      <c r="K880" t="s">
        <v>150</v>
      </c>
      <c r="L880" t="s">
        <v>151</v>
      </c>
      <c r="M880" t="s">
        <v>112</v>
      </c>
      <c r="N880" t="s">
        <v>112</v>
      </c>
      <c r="O880">
        <v>1</v>
      </c>
      <c r="Q880">
        <v>1</v>
      </c>
      <c r="R880">
        <v>33</v>
      </c>
      <c r="S880" t="s">
        <v>112</v>
      </c>
      <c r="T880" t="s">
        <v>152</v>
      </c>
      <c r="U880" t="s">
        <v>153</v>
      </c>
      <c r="V880" t="s">
        <v>154</v>
      </c>
      <c r="W880" t="s">
        <v>119</v>
      </c>
      <c r="X880" t="s">
        <v>112</v>
      </c>
      <c r="Y880" t="s">
        <v>112</v>
      </c>
      <c r="Z880" t="s">
        <v>152</v>
      </c>
      <c r="AA880" t="s">
        <v>153</v>
      </c>
      <c r="AB880" t="s">
        <v>154</v>
      </c>
      <c r="AC880" t="s">
        <v>119</v>
      </c>
      <c r="AD880" t="s">
        <v>112</v>
      </c>
      <c r="AE880" t="s">
        <v>121</v>
      </c>
      <c r="AF880" t="s">
        <v>122</v>
      </c>
      <c r="AG880">
        <v>4529777.3499999996</v>
      </c>
      <c r="AH880" t="s">
        <v>112</v>
      </c>
      <c r="AI880" t="s">
        <v>152</v>
      </c>
      <c r="AJ880" t="s">
        <v>153</v>
      </c>
      <c r="AK880" t="s">
        <v>154</v>
      </c>
      <c r="AL880" t="s">
        <v>119</v>
      </c>
      <c r="AM880" t="s">
        <v>112</v>
      </c>
      <c r="AN880" t="s">
        <v>121</v>
      </c>
      <c r="AO880" t="s">
        <v>122</v>
      </c>
      <c r="AP880" t="s">
        <v>122</v>
      </c>
      <c r="AQ880" t="s">
        <v>124</v>
      </c>
      <c r="AR880" t="s">
        <v>125</v>
      </c>
      <c r="AS880">
        <v>2</v>
      </c>
      <c r="AT880" t="s">
        <v>126</v>
      </c>
      <c r="AU880" t="s">
        <v>155</v>
      </c>
      <c r="AV880" t="s">
        <v>156</v>
      </c>
      <c r="AX880" t="s">
        <v>129</v>
      </c>
      <c r="AY880">
        <v>39171.24</v>
      </c>
      <c r="BB880">
        <v>104.6108</v>
      </c>
      <c r="BC880" t="s">
        <v>112</v>
      </c>
      <c r="BD880" t="s">
        <v>112</v>
      </c>
      <c r="BE880" t="s">
        <v>157</v>
      </c>
      <c r="BF880" t="s">
        <v>133</v>
      </c>
      <c r="BG880" t="s">
        <v>167</v>
      </c>
      <c r="BH880" t="s">
        <v>112</v>
      </c>
      <c r="BI880" t="s">
        <v>112</v>
      </c>
      <c r="BJ880" t="s">
        <v>112</v>
      </c>
      <c r="BK880" t="s">
        <v>169</v>
      </c>
      <c r="BL880" t="s">
        <v>159</v>
      </c>
      <c r="BM880" t="s">
        <v>160</v>
      </c>
      <c r="BN880" t="s">
        <v>161</v>
      </c>
      <c r="BP880" t="s">
        <v>205</v>
      </c>
      <c r="BR880" t="s">
        <v>150</v>
      </c>
      <c r="BS880">
        <v>33</v>
      </c>
      <c r="BT880">
        <v>0</v>
      </c>
      <c r="BU880">
        <v>0</v>
      </c>
      <c r="BW880">
        <v>0</v>
      </c>
      <c r="BY880" t="s">
        <v>106</v>
      </c>
      <c r="BZ880" t="s">
        <v>142</v>
      </c>
      <c r="CA880" t="s">
        <v>112</v>
      </c>
      <c r="CB880" t="s">
        <v>112</v>
      </c>
      <c r="CC880" t="s">
        <v>121</v>
      </c>
      <c r="CD880">
        <v>16861.57</v>
      </c>
      <c r="CE880" t="s">
        <v>144</v>
      </c>
      <c r="CF880">
        <v>4000000</v>
      </c>
      <c r="CG880">
        <v>16796.77</v>
      </c>
      <c r="CH880">
        <v>0</v>
      </c>
      <c r="CI880" t="s">
        <v>112</v>
      </c>
      <c r="CJ880" t="s">
        <v>112</v>
      </c>
      <c r="CK880">
        <v>39171.24</v>
      </c>
      <c r="CM880">
        <v>0</v>
      </c>
      <c r="CN880">
        <v>1</v>
      </c>
      <c r="CO880">
        <v>4529777.3499999996</v>
      </c>
      <c r="CP880">
        <v>47018.12</v>
      </c>
      <c r="CQ880" t="s">
        <v>145</v>
      </c>
      <c r="CR880">
        <v>47030.955999999998</v>
      </c>
      <c r="CS880">
        <v>2.8</v>
      </c>
      <c r="CT880">
        <v>45</v>
      </c>
      <c r="CV880" t="s">
        <v>206</v>
      </c>
      <c r="CW880">
        <v>174</v>
      </c>
    </row>
    <row r="881" spans="1:101" x14ac:dyDescent="0.2">
      <c r="A881" t="s">
        <v>106</v>
      </c>
      <c r="B881" s="46">
        <v>45069</v>
      </c>
      <c r="C881" t="s">
        <v>1856</v>
      </c>
      <c r="D881" t="s">
        <v>108</v>
      </c>
      <c r="E881" t="s">
        <v>1857</v>
      </c>
      <c r="F881" t="s">
        <v>3244</v>
      </c>
      <c r="G881" t="s">
        <v>111</v>
      </c>
      <c r="H881" t="s">
        <v>112</v>
      </c>
      <c r="I881" t="s">
        <v>112</v>
      </c>
      <c r="J881" t="s">
        <v>112</v>
      </c>
      <c r="K881" t="s">
        <v>150</v>
      </c>
      <c r="L881" t="s">
        <v>151</v>
      </c>
      <c r="M881" t="s">
        <v>112</v>
      </c>
      <c r="N881" t="s">
        <v>112</v>
      </c>
      <c r="O881">
        <v>1</v>
      </c>
      <c r="Q881">
        <v>1</v>
      </c>
      <c r="R881">
        <v>33</v>
      </c>
      <c r="S881" t="s">
        <v>112</v>
      </c>
      <c r="T881" t="s">
        <v>152</v>
      </c>
      <c r="U881" t="s">
        <v>153</v>
      </c>
      <c r="V881" t="s">
        <v>154</v>
      </c>
      <c r="W881" t="s">
        <v>119</v>
      </c>
      <c r="X881" t="s">
        <v>112</v>
      </c>
      <c r="Y881" t="s">
        <v>112</v>
      </c>
      <c r="Z881" t="s">
        <v>152</v>
      </c>
      <c r="AA881" t="s">
        <v>153</v>
      </c>
      <c r="AB881" t="s">
        <v>154</v>
      </c>
      <c r="AC881" t="s">
        <v>119</v>
      </c>
      <c r="AD881" t="s">
        <v>112</v>
      </c>
      <c r="AE881" t="s">
        <v>121</v>
      </c>
      <c r="AF881" t="s">
        <v>122</v>
      </c>
      <c r="AG881">
        <v>4548607.3</v>
      </c>
      <c r="AH881" t="s">
        <v>112</v>
      </c>
      <c r="AI881" t="s">
        <v>152</v>
      </c>
      <c r="AJ881" t="s">
        <v>153</v>
      </c>
      <c r="AK881" t="s">
        <v>154</v>
      </c>
      <c r="AL881" t="s">
        <v>119</v>
      </c>
      <c r="AM881" t="s">
        <v>112</v>
      </c>
      <c r="AN881" t="s">
        <v>121</v>
      </c>
      <c r="AO881" t="s">
        <v>122</v>
      </c>
      <c r="AP881" t="s">
        <v>122</v>
      </c>
      <c r="AQ881" t="s">
        <v>124</v>
      </c>
      <c r="AR881" t="s">
        <v>125</v>
      </c>
      <c r="AS881">
        <v>2</v>
      </c>
      <c r="AT881" t="s">
        <v>126</v>
      </c>
      <c r="AU881" t="s">
        <v>155</v>
      </c>
      <c r="AV881" t="s">
        <v>156</v>
      </c>
      <c r="AX881" t="s">
        <v>129</v>
      </c>
      <c r="AY881">
        <v>39351.24</v>
      </c>
      <c r="BB881">
        <v>104.6108</v>
      </c>
      <c r="BC881" t="s">
        <v>112</v>
      </c>
      <c r="BD881" t="s">
        <v>112</v>
      </c>
      <c r="BE881" t="s">
        <v>157</v>
      </c>
      <c r="BF881" t="s">
        <v>133</v>
      </c>
      <c r="BG881" t="s">
        <v>134</v>
      </c>
      <c r="BH881" t="s">
        <v>112</v>
      </c>
      <c r="BI881" t="s">
        <v>112</v>
      </c>
      <c r="BJ881" t="s">
        <v>112</v>
      </c>
      <c r="BK881" t="s">
        <v>169</v>
      </c>
      <c r="BL881" t="s">
        <v>159</v>
      </c>
      <c r="BM881" t="s">
        <v>212</v>
      </c>
      <c r="BN881" t="s">
        <v>161</v>
      </c>
      <c r="BP881" t="s">
        <v>232</v>
      </c>
      <c r="BR881" t="s">
        <v>150</v>
      </c>
      <c r="BS881">
        <v>33</v>
      </c>
      <c r="BT881">
        <v>0</v>
      </c>
      <c r="BU881">
        <v>0</v>
      </c>
      <c r="BW881">
        <v>0</v>
      </c>
      <c r="BY881" t="s">
        <v>106</v>
      </c>
      <c r="BZ881" t="s">
        <v>142</v>
      </c>
      <c r="CA881" t="s">
        <v>112</v>
      </c>
      <c r="CB881" t="s">
        <v>112</v>
      </c>
      <c r="CC881" t="s">
        <v>121</v>
      </c>
      <c r="CD881">
        <v>17019.07</v>
      </c>
      <c r="CE881" t="s">
        <v>144</v>
      </c>
      <c r="CF881">
        <v>4000000</v>
      </c>
      <c r="CG881">
        <v>16975.87</v>
      </c>
      <c r="CH881">
        <v>0</v>
      </c>
      <c r="CI881" t="s">
        <v>112</v>
      </c>
      <c r="CJ881" t="s">
        <v>112</v>
      </c>
      <c r="CK881">
        <v>39351.24</v>
      </c>
      <c r="CM881">
        <v>0</v>
      </c>
      <c r="CN881">
        <v>1</v>
      </c>
      <c r="CO881">
        <v>4548607.3</v>
      </c>
      <c r="CP881">
        <v>47213.57</v>
      </c>
      <c r="CQ881" t="s">
        <v>145</v>
      </c>
      <c r="CR881">
        <v>47192.918599999997</v>
      </c>
      <c r="CS881">
        <v>2.78</v>
      </c>
      <c r="CT881">
        <v>45</v>
      </c>
      <c r="CV881" t="s">
        <v>233</v>
      </c>
      <c r="CW881">
        <v>131</v>
      </c>
    </row>
    <row r="882" spans="1:101" x14ac:dyDescent="0.2">
      <c r="A882" t="s">
        <v>106</v>
      </c>
      <c r="B882" s="46">
        <v>45168</v>
      </c>
      <c r="C882" t="s">
        <v>1850</v>
      </c>
      <c r="D882" t="s">
        <v>108</v>
      </c>
      <c r="E882" t="s">
        <v>1851</v>
      </c>
      <c r="F882" t="s">
        <v>3244</v>
      </c>
      <c r="G882" t="s">
        <v>111</v>
      </c>
      <c r="H882" t="s">
        <v>112</v>
      </c>
      <c r="I882" t="s">
        <v>112</v>
      </c>
      <c r="J882" t="s">
        <v>112</v>
      </c>
      <c r="K882" t="s">
        <v>150</v>
      </c>
      <c r="L882" t="s">
        <v>151</v>
      </c>
      <c r="M882" t="s">
        <v>112</v>
      </c>
      <c r="N882" t="s">
        <v>112</v>
      </c>
      <c r="O882">
        <v>1</v>
      </c>
      <c r="Q882">
        <v>1</v>
      </c>
      <c r="R882">
        <v>33</v>
      </c>
      <c r="S882" t="s">
        <v>112</v>
      </c>
      <c r="T882" t="s">
        <v>152</v>
      </c>
      <c r="U882" t="s">
        <v>153</v>
      </c>
      <c r="V882" t="s">
        <v>154</v>
      </c>
      <c r="W882" t="s">
        <v>119</v>
      </c>
      <c r="X882" t="s">
        <v>112</v>
      </c>
      <c r="Y882" t="s">
        <v>112</v>
      </c>
      <c r="Z882" t="s">
        <v>152</v>
      </c>
      <c r="AA882" t="s">
        <v>153</v>
      </c>
      <c r="AB882" t="s">
        <v>154</v>
      </c>
      <c r="AC882" t="s">
        <v>119</v>
      </c>
      <c r="AD882" t="s">
        <v>112</v>
      </c>
      <c r="AE882" t="s">
        <v>121</v>
      </c>
      <c r="AF882" t="s">
        <v>122</v>
      </c>
      <c r="AG882">
        <v>5171236.13</v>
      </c>
      <c r="AH882" t="s">
        <v>112</v>
      </c>
      <c r="AI882" t="s">
        <v>152</v>
      </c>
      <c r="AJ882" t="s">
        <v>153</v>
      </c>
      <c r="AK882" t="s">
        <v>154</v>
      </c>
      <c r="AL882" t="s">
        <v>119</v>
      </c>
      <c r="AM882" t="s">
        <v>112</v>
      </c>
      <c r="AN882" t="s">
        <v>121</v>
      </c>
      <c r="AO882" t="s">
        <v>122</v>
      </c>
      <c r="AP882" t="s">
        <v>122</v>
      </c>
      <c r="AQ882" t="s">
        <v>124</v>
      </c>
      <c r="AR882" t="s">
        <v>125</v>
      </c>
      <c r="AS882">
        <v>2</v>
      </c>
      <c r="AT882" t="s">
        <v>126</v>
      </c>
      <c r="AU882" t="s">
        <v>155</v>
      </c>
      <c r="AV882" t="s">
        <v>156</v>
      </c>
      <c r="AX882" t="s">
        <v>129</v>
      </c>
      <c r="AY882">
        <v>45303.1</v>
      </c>
      <c r="BB882">
        <v>104.6108</v>
      </c>
      <c r="BC882" t="s">
        <v>112</v>
      </c>
      <c r="BD882" t="s">
        <v>112</v>
      </c>
      <c r="BE882" t="s">
        <v>157</v>
      </c>
      <c r="BF882" t="s">
        <v>133</v>
      </c>
      <c r="BG882" t="s">
        <v>167</v>
      </c>
      <c r="BH882" t="s">
        <v>112</v>
      </c>
      <c r="BI882" t="s">
        <v>112</v>
      </c>
      <c r="BJ882" t="s">
        <v>112</v>
      </c>
      <c r="BK882" t="s">
        <v>169</v>
      </c>
      <c r="BL882" t="s">
        <v>159</v>
      </c>
      <c r="BM882" t="s">
        <v>160</v>
      </c>
      <c r="BN882" t="s">
        <v>161</v>
      </c>
      <c r="BP882" t="s">
        <v>205</v>
      </c>
      <c r="BR882" t="s">
        <v>150</v>
      </c>
      <c r="BS882">
        <v>33</v>
      </c>
      <c r="BT882">
        <v>0</v>
      </c>
      <c r="BU882">
        <v>0</v>
      </c>
      <c r="BW882">
        <v>0</v>
      </c>
      <c r="BY882" t="s">
        <v>106</v>
      </c>
      <c r="BZ882" t="s">
        <v>142</v>
      </c>
      <c r="CA882" t="s">
        <v>112</v>
      </c>
      <c r="CB882" t="s">
        <v>112</v>
      </c>
      <c r="CC882" t="s">
        <v>121</v>
      </c>
      <c r="CD882">
        <v>16377.03</v>
      </c>
      <c r="CE882" t="s">
        <v>144</v>
      </c>
      <c r="CF882">
        <v>4000000</v>
      </c>
      <c r="CG882">
        <v>16287.03</v>
      </c>
      <c r="CH882">
        <v>0</v>
      </c>
      <c r="CI882" t="s">
        <v>112</v>
      </c>
      <c r="CJ882" t="s">
        <v>112</v>
      </c>
      <c r="CK882">
        <v>45303.1</v>
      </c>
      <c r="CM882">
        <v>0</v>
      </c>
      <c r="CN882">
        <v>1</v>
      </c>
      <c r="CO882">
        <v>5171236.13</v>
      </c>
      <c r="CP882">
        <v>53676.32</v>
      </c>
      <c r="CQ882" t="s">
        <v>145</v>
      </c>
      <c r="CR882">
        <v>53747.199000000001</v>
      </c>
      <c r="CS882">
        <v>3.3</v>
      </c>
      <c r="CT882">
        <v>45</v>
      </c>
      <c r="CV882" t="s">
        <v>233</v>
      </c>
      <c r="CW882">
        <v>96</v>
      </c>
    </row>
    <row r="883" spans="1:101" x14ac:dyDescent="0.2">
      <c r="A883" t="s">
        <v>106</v>
      </c>
      <c r="B883" s="46">
        <v>44971</v>
      </c>
      <c r="C883" t="s">
        <v>1852</v>
      </c>
      <c r="D883" t="s">
        <v>108</v>
      </c>
      <c r="E883" t="s">
        <v>1853</v>
      </c>
      <c r="F883" t="s">
        <v>3244</v>
      </c>
      <c r="G883" t="s">
        <v>111</v>
      </c>
      <c r="H883" t="s">
        <v>112</v>
      </c>
      <c r="I883" t="s">
        <v>112</v>
      </c>
      <c r="J883" t="s">
        <v>112</v>
      </c>
      <c r="K883" t="s">
        <v>150</v>
      </c>
      <c r="L883" t="s">
        <v>151</v>
      </c>
      <c r="M883" t="s">
        <v>112</v>
      </c>
      <c r="N883" t="s">
        <v>112</v>
      </c>
      <c r="O883">
        <v>1</v>
      </c>
      <c r="Q883">
        <v>1</v>
      </c>
      <c r="R883">
        <v>33</v>
      </c>
      <c r="S883" t="s">
        <v>112</v>
      </c>
      <c r="T883" t="s">
        <v>152</v>
      </c>
      <c r="U883" t="s">
        <v>153</v>
      </c>
      <c r="V883" t="s">
        <v>154</v>
      </c>
      <c r="W883" t="s">
        <v>119</v>
      </c>
      <c r="X883" t="s">
        <v>112</v>
      </c>
      <c r="Y883" t="s">
        <v>112</v>
      </c>
      <c r="Z883" t="s">
        <v>152</v>
      </c>
      <c r="AA883" t="s">
        <v>153</v>
      </c>
      <c r="AB883" t="s">
        <v>154</v>
      </c>
      <c r="AC883" t="s">
        <v>119</v>
      </c>
      <c r="AD883" t="s">
        <v>112</v>
      </c>
      <c r="AE883" t="s">
        <v>121</v>
      </c>
      <c r="AF883" t="s">
        <v>122</v>
      </c>
      <c r="AG883">
        <v>5226378.58</v>
      </c>
      <c r="AH883" t="s">
        <v>112</v>
      </c>
      <c r="AI883" t="s">
        <v>152</v>
      </c>
      <c r="AJ883" t="s">
        <v>153</v>
      </c>
      <c r="AK883" t="s">
        <v>154</v>
      </c>
      <c r="AL883" t="s">
        <v>119</v>
      </c>
      <c r="AM883" t="s">
        <v>112</v>
      </c>
      <c r="AN883" t="s">
        <v>121</v>
      </c>
      <c r="AO883" t="s">
        <v>122</v>
      </c>
      <c r="AP883" t="s">
        <v>122</v>
      </c>
      <c r="AQ883" t="s">
        <v>124</v>
      </c>
      <c r="AR883" t="s">
        <v>125</v>
      </c>
      <c r="AS883">
        <v>2</v>
      </c>
      <c r="AT883" t="s">
        <v>126</v>
      </c>
      <c r="AU883" t="s">
        <v>155</v>
      </c>
      <c r="AV883" t="s">
        <v>156</v>
      </c>
      <c r="AX883" t="s">
        <v>129</v>
      </c>
      <c r="AY883">
        <v>45830.22</v>
      </c>
      <c r="BB883">
        <v>104.6108</v>
      </c>
      <c r="BC883" t="s">
        <v>112</v>
      </c>
      <c r="BD883" t="s">
        <v>112</v>
      </c>
      <c r="BE883" t="s">
        <v>157</v>
      </c>
      <c r="BF883" t="s">
        <v>133</v>
      </c>
      <c r="BG883" t="s">
        <v>167</v>
      </c>
      <c r="BH883" t="s">
        <v>112</v>
      </c>
      <c r="BI883" t="s">
        <v>112</v>
      </c>
      <c r="BJ883" t="s">
        <v>112</v>
      </c>
      <c r="BK883" t="s">
        <v>169</v>
      </c>
      <c r="BL883" t="s">
        <v>159</v>
      </c>
      <c r="BM883" t="s">
        <v>160</v>
      </c>
      <c r="BN883" t="s">
        <v>161</v>
      </c>
      <c r="BP883" t="s">
        <v>232</v>
      </c>
      <c r="BR883" t="s">
        <v>150</v>
      </c>
      <c r="BS883">
        <v>33</v>
      </c>
      <c r="BT883">
        <v>0</v>
      </c>
      <c r="BU883">
        <v>0</v>
      </c>
      <c r="BW883">
        <v>0</v>
      </c>
      <c r="BY883" t="s">
        <v>106</v>
      </c>
      <c r="BZ883" t="s">
        <v>142</v>
      </c>
      <c r="CA883" t="s">
        <v>112</v>
      </c>
      <c r="CB883" t="s">
        <v>112</v>
      </c>
      <c r="CC883" t="s">
        <v>121</v>
      </c>
      <c r="CD883">
        <v>16838.650000000001</v>
      </c>
      <c r="CE883" t="s">
        <v>144</v>
      </c>
      <c r="CF883">
        <v>4000000</v>
      </c>
      <c r="CG883">
        <v>16784.650000000001</v>
      </c>
      <c r="CH883">
        <v>0</v>
      </c>
      <c r="CI883" t="s">
        <v>112</v>
      </c>
      <c r="CJ883" t="s">
        <v>112</v>
      </c>
      <c r="CK883">
        <v>45830.22</v>
      </c>
      <c r="CM883">
        <v>0</v>
      </c>
      <c r="CN883">
        <v>1</v>
      </c>
      <c r="CO883">
        <v>5226378.58</v>
      </c>
      <c r="CP883">
        <v>54248.69</v>
      </c>
      <c r="CQ883" t="s">
        <v>145</v>
      </c>
      <c r="CR883">
        <v>54214.419500000004</v>
      </c>
      <c r="CS883">
        <v>3.23</v>
      </c>
      <c r="CT883">
        <v>45</v>
      </c>
      <c r="CV883" t="s">
        <v>1140</v>
      </c>
      <c r="CW883">
        <v>313</v>
      </c>
    </row>
    <row r="884" spans="1:101" x14ac:dyDescent="0.2">
      <c r="A884" t="s">
        <v>106</v>
      </c>
      <c r="B884" s="46">
        <v>44969</v>
      </c>
      <c r="C884" t="s">
        <v>1654</v>
      </c>
      <c r="D884" t="s">
        <v>108</v>
      </c>
      <c r="E884" t="s">
        <v>1655</v>
      </c>
      <c r="F884" t="s">
        <v>3244</v>
      </c>
      <c r="G884" t="s">
        <v>111</v>
      </c>
      <c r="H884" t="s">
        <v>112</v>
      </c>
      <c r="I884" t="s">
        <v>112</v>
      </c>
      <c r="J884" t="s">
        <v>112</v>
      </c>
      <c r="K884" t="s">
        <v>150</v>
      </c>
      <c r="L884" t="s">
        <v>151</v>
      </c>
      <c r="M884" t="s">
        <v>112</v>
      </c>
      <c r="N884" t="s">
        <v>112</v>
      </c>
      <c r="Q884">
        <v>1</v>
      </c>
      <c r="R884">
        <v>33</v>
      </c>
      <c r="S884" t="s">
        <v>166</v>
      </c>
      <c r="T884" t="s">
        <v>152</v>
      </c>
      <c r="U884" t="s">
        <v>153</v>
      </c>
      <c r="V884" t="s">
        <v>154</v>
      </c>
      <c r="W884" t="s">
        <v>119</v>
      </c>
      <c r="X884" t="s">
        <v>112</v>
      </c>
      <c r="Y884" t="s">
        <v>166</v>
      </c>
      <c r="Z884" t="s">
        <v>152</v>
      </c>
      <c r="AA884" t="s">
        <v>153</v>
      </c>
      <c r="AB884" t="s">
        <v>154</v>
      </c>
      <c r="AC884" t="s">
        <v>119</v>
      </c>
      <c r="AD884" t="s">
        <v>112</v>
      </c>
      <c r="AE884" t="s">
        <v>121</v>
      </c>
      <c r="AF884" t="s">
        <v>122</v>
      </c>
      <c r="AG884">
        <v>4358469.7699999996</v>
      </c>
      <c r="AH884" t="s">
        <v>166</v>
      </c>
      <c r="AI884" t="s">
        <v>152</v>
      </c>
      <c r="AJ884" t="s">
        <v>153</v>
      </c>
      <c r="AK884" t="s">
        <v>154</v>
      </c>
      <c r="AL884" t="s">
        <v>119</v>
      </c>
      <c r="AM884" t="s">
        <v>112</v>
      </c>
      <c r="AN884" t="s">
        <v>121</v>
      </c>
      <c r="AO884" t="s">
        <v>122</v>
      </c>
      <c r="AP884" t="s">
        <v>122</v>
      </c>
      <c r="AQ884" t="s">
        <v>124</v>
      </c>
      <c r="AR884" t="s">
        <v>125</v>
      </c>
      <c r="AT884" t="s">
        <v>126</v>
      </c>
      <c r="AU884" t="s">
        <v>155</v>
      </c>
      <c r="AV884" t="s">
        <v>156</v>
      </c>
      <c r="AX884" t="s">
        <v>129</v>
      </c>
      <c r="AY884">
        <v>38378.800000000003</v>
      </c>
      <c r="BB884">
        <v>102.53100000000001</v>
      </c>
      <c r="BC884" t="s">
        <v>112</v>
      </c>
      <c r="BD884" t="s">
        <v>112</v>
      </c>
      <c r="BE884" t="s">
        <v>112</v>
      </c>
      <c r="BF884" t="s">
        <v>133</v>
      </c>
      <c r="BG884" t="s">
        <v>1624</v>
      </c>
      <c r="BH884" t="s">
        <v>112</v>
      </c>
      <c r="BI884" t="s">
        <v>112</v>
      </c>
      <c r="BJ884" t="s">
        <v>112</v>
      </c>
      <c r="BK884" t="s">
        <v>112</v>
      </c>
      <c r="BL884" t="s">
        <v>112</v>
      </c>
      <c r="BM884" t="s">
        <v>112</v>
      </c>
      <c r="BN884" t="s">
        <v>161</v>
      </c>
      <c r="BP884" t="s">
        <v>162</v>
      </c>
      <c r="BR884" t="s">
        <v>150</v>
      </c>
      <c r="BS884">
        <v>33</v>
      </c>
      <c r="BU884">
        <v>0</v>
      </c>
      <c r="BY884" t="s">
        <v>106</v>
      </c>
      <c r="BZ884" t="s">
        <v>142</v>
      </c>
      <c r="CA884" t="s">
        <v>112</v>
      </c>
      <c r="CB884" t="s">
        <v>112</v>
      </c>
      <c r="CC884" t="s">
        <v>121</v>
      </c>
      <c r="CD884">
        <v>16299.49</v>
      </c>
      <c r="CE884" t="s">
        <v>144</v>
      </c>
      <c r="CF884">
        <v>4000000</v>
      </c>
      <c r="CG884">
        <v>16194.49</v>
      </c>
      <c r="CH884">
        <v>0</v>
      </c>
      <c r="CI884" t="s">
        <v>112</v>
      </c>
      <c r="CJ884" t="s">
        <v>112</v>
      </c>
      <c r="CK884">
        <v>38378.800000000003</v>
      </c>
      <c r="CO884">
        <v>4358469.7699999996</v>
      </c>
      <c r="CP884">
        <v>46475.87</v>
      </c>
      <c r="CQ884" t="s">
        <v>145</v>
      </c>
      <c r="CR884">
        <v>46478.186300000001</v>
      </c>
      <c r="CS884">
        <v>2.87</v>
      </c>
      <c r="CW884">
        <v>567</v>
      </c>
    </row>
    <row r="885" spans="1:101" x14ac:dyDescent="0.2">
      <c r="A885" t="s">
        <v>106</v>
      </c>
      <c r="B885" s="46">
        <v>45015</v>
      </c>
      <c r="C885" t="s">
        <v>1650</v>
      </c>
      <c r="D885" t="s">
        <v>108</v>
      </c>
      <c r="E885" t="s">
        <v>1651</v>
      </c>
      <c r="F885" t="s">
        <v>3244</v>
      </c>
      <c r="G885" t="s">
        <v>111</v>
      </c>
      <c r="H885" t="s">
        <v>112</v>
      </c>
      <c r="I885" t="s">
        <v>112</v>
      </c>
      <c r="J885" t="s">
        <v>112</v>
      </c>
      <c r="K885" t="s">
        <v>150</v>
      </c>
      <c r="L885" t="s">
        <v>151</v>
      </c>
      <c r="M885" t="s">
        <v>112</v>
      </c>
      <c r="N885" t="s">
        <v>112</v>
      </c>
      <c r="Q885">
        <v>1</v>
      </c>
      <c r="R885">
        <v>33</v>
      </c>
      <c r="S885" t="s">
        <v>166</v>
      </c>
      <c r="T885" t="s">
        <v>152</v>
      </c>
      <c r="U885" t="s">
        <v>153</v>
      </c>
      <c r="V885" t="s">
        <v>154</v>
      </c>
      <c r="W885" t="s">
        <v>119</v>
      </c>
      <c r="X885" t="s">
        <v>112</v>
      </c>
      <c r="Y885" t="s">
        <v>166</v>
      </c>
      <c r="Z885" t="s">
        <v>152</v>
      </c>
      <c r="AA885" t="s">
        <v>153</v>
      </c>
      <c r="AB885" t="s">
        <v>154</v>
      </c>
      <c r="AC885" t="s">
        <v>119</v>
      </c>
      <c r="AD885" t="s">
        <v>112</v>
      </c>
      <c r="AE885" t="s">
        <v>121</v>
      </c>
      <c r="AF885" t="s">
        <v>122</v>
      </c>
      <c r="AG885">
        <v>4735930.47</v>
      </c>
      <c r="AH885" t="s">
        <v>166</v>
      </c>
      <c r="AI885" t="s">
        <v>152</v>
      </c>
      <c r="AJ885" t="s">
        <v>153</v>
      </c>
      <c r="AK885" t="s">
        <v>154</v>
      </c>
      <c r="AL885" t="s">
        <v>119</v>
      </c>
      <c r="AM885" t="s">
        <v>112</v>
      </c>
      <c r="AN885" t="s">
        <v>121</v>
      </c>
      <c r="AO885" t="s">
        <v>122</v>
      </c>
      <c r="AP885" t="s">
        <v>122</v>
      </c>
      <c r="AQ885" t="s">
        <v>124</v>
      </c>
      <c r="AR885" t="s">
        <v>125</v>
      </c>
      <c r="AT885" t="s">
        <v>126</v>
      </c>
      <c r="AU885" t="s">
        <v>155</v>
      </c>
      <c r="AV885" t="s">
        <v>156</v>
      </c>
      <c r="AX885" t="s">
        <v>129</v>
      </c>
      <c r="AY885">
        <v>42060.23</v>
      </c>
      <c r="BB885">
        <v>102.53100000000001</v>
      </c>
      <c r="BC885" t="s">
        <v>112</v>
      </c>
      <c r="BD885" t="s">
        <v>112</v>
      </c>
      <c r="BE885" t="s">
        <v>112</v>
      </c>
      <c r="BF885" t="s">
        <v>133</v>
      </c>
      <c r="BG885" t="s">
        <v>1624</v>
      </c>
      <c r="BH885" t="s">
        <v>112</v>
      </c>
      <c r="BI885" t="s">
        <v>112</v>
      </c>
      <c r="BJ885" t="s">
        <v>112</v>
      </c>
      <c r="BK885" t="s">
        <v>112</v>
      </c>
      <c r="BL885" t="s">
        <v>112</v>
      </c>
      <c r="BM885" t="s">
        <v>112</v>
      </c>
      <c r="BN885" t="s">
        <v>161</v>
      </c>
      <c r="BP885" t="s">
        <v>205</v>
      </c>
      <c r="BR885" t="s">
        <v>150</v>
      </c>
      <c r="BS885">
        <v>33</v>
      </c>
      <c r="BU885">
        <v>0</v>
      </c>
      <c r="BY885" t="s">
        <v>106</v>
      </c>
      <c r="BZ885" t="s">
        <v>142</v>
      </c>
      <c r="CA885" t="s">
        <v>112</v>
      </c>
      <c r="CB885" t="s">
        <v>112</v>
      </c>
      <c r="CC885" t="s">
        <v>121</v>
      </c>
      <c r="CD885">
        <v>16701.599999999999</v>
      </c>
      <c r="CE885" t="s">
        <v>144</v>
      </c>
      <c r="CF885">
        <v>4000000</v>
      </c>
      <c r="CG885">
        <v>16615.2</v>
      </c>
      <c r="CH885">
        <v>0</v>
      </c>
      <c r="CI885" t="s">
        <v>112</v>
      </c>
      <c r="CJ885" t="s">
        <v>112</v>
      </c>
      <c r="CK885">
        <v>42060.23</v>
      </c>
      <c r="CO885">
        <v>4735930.47</v>
      </c>
      <c r="CP885">
        <v>50500.86</v>
      </c>
      <c r="CQ885" t="s">
        <v>145</v>
      </c>
      <c r="CR885">
        <v>50510.208000000006</v>
      </c>
      <c r="CS885">
        <v>3.04</v>
      </c>
      <c r="CW885">
        <v>157</v>
      </c>
    </row>
    <row r="886" spans="1:101" x14ac:dyDescent="0.2">
      <c r="A886" t="s">
        <v>106</v>
      </c>
      <c r="B886" s="46">
        <v>45080</v>
      </c>
      <c r="C886" t="s">
        <v>1648</v>
      </c>
      <c r="D886" t="s">
        <v>108</v>
      </c>
      <c r="E886" t="s">
        <v>1649</v>
      </c>
      <c r="F886" t="s">
        <v>3244</v>
      </c>
      <c r="G886" t="s">
        <v>111</v>
      </c>
      <c r="H886" t="s">
        <v>112</v>
      </c>
      <c r="I886" t="s">
        <v>112</v>
      </c>
      <c r="J886" t="s">
        <v>112</v>
      </c>
      <c r="K886" t="s">
        <v>150</v>
      </c>
      <c r="L886" t="s">
        <v>151</v>
      </c>
      <c r="M886" t="s">
        <v>112</v>
      </c>
      <c r="N886" t="s">
        <v>112</v>
      </c>
      <c r="Q886">
        <v>1</v>
      </c>
      <c r="R886">
        <v>33</v>
      </c>
      <c r="S886" t="s">
        <v>166</v>
      </c>
      <c r="T886" t="s">
        <v>152</v>
      </c>
      <c r="U886" t="s">
        <v>153</v>
      </c>
      <c r="V886" t="s">
        <v>154</v>
      </c>
      <c r="W886" t="s">
        <v>119</v>
      </c>
      <c r="X886" t="s">
        <v>112</v>
      </c>
      <c r="Y886" t="s">
        <v>166</v>
      </c>
      <c r="Z886" t="s">
        <v>152</v>
      </c>
      <c r="AA886" t="s">
        <v>153</v>
      </c>
      <c r="AB886" t="s">
        <v>154</v>
      </c>
      <c r="AC886" t="s">
        <v>119</v>
      </c>
      <c r="AD886" t="s">
        <v>112</v>
      </c>
      <c r="AE886" t="s">
        <v>121</v>
      </c>
      <c r="AF886" t="s">
        <v>122</v>
      </c>
      <c r="AG886">
        <v>4463711.6900000004</v>
      </c>
      <c r="AH886" t="s">
        <v>166</v>
      </c>
      <c r="AI886" t="s">
        <v>152</v>
      </c>
      <c r="AJ886" t="s">
        <v>153</v>
      </c>
      <c r="AK886" t="s">
        <v>154</v>
      </c>
      <c r="AL886" t="s">
        <v>119</v>
      </c>
      <c r="AM886" t="s">
        <v>112</v>
      </c>
      <c r="AN886" t="s">
        <v>121</v>
      </c>
      <c r="AO886" t="s">
        <v>122</v>
      </c>
      <c r="AP886" t="s">
        <v>122</v>
      </c>
      <c r="AQ886" t="s">
        <v>124</v>
      </c>
      <c r="AR886" t="s">
        <v>125</v>
      </c>
      <c r="AT886" t="s">
        <v>126</v>
      </c>
      <c r="AU886" t="s">
        <v>155</v>
      </c>
      <c r="AV886" t="s">
        <v>156</v>
      </c>
      <c r="AX886" t="s">
        <v>129</v>
      </c>
      <c r="AY886">
        <v>39405.24</v>
      </c>
      <c r="BB886">
        <v>102.53100000000001</v>
      </c>
      <c r="BC886" t="s">
        <v>112</v>
      </c>
      <c r="BD886" t="s">
        <v>112</v>
      </c>
      <c r="BE886" t="s">
        <v>112</v>
      </c>
      <c r="BF886" t="s">
        <v>133</v>
      </c>
      <c r="BG886" t="s">
        <v>1624</v>
      </c>
      <c r="BH886" t="s">
        <v>112</v>
      </c>
      <c r="BI886" t="s">
        <v>112</v>
      </c>
      <c r="BJ886" t="s">
        <v>112</v>
      </c>
      <c r="BK886" t="s">
        <v>112</v>
      </c>
      <c r="BL886" t="s">
        <v>112</v>
      </c>
      <c r="BM886" t="s">
        <v>112</v>
      </c>
      <c r="BN886" t="s">
        <v>161</v>
      </c>
      <c r="BP886" t="s">
        <v>162</v>
      </c>
      <c r="BR886" t="s">
        <v>150</v>
      </c>
      <c r="BS886">
        <v>33</v>
      </c>
      <c r="BU886">
        <v>0</v>
      </c>
      <c r="BY886" t="s">
        <v>106</v>
      </c>
      <c r="BZ886" t="s">
        <v>142</v>
      </c>
      <c r="CA886" t="s">
        <v>112</v>
      </c>
      <c r="CB886" t="s">
        <v>112</v>
      </c>
      <c r="CC886" t="s">
        <v>121</v>
      </c>
      <c r="CD886">
        <v>17208.29</v>
      </c>
      <c r="CE886" t="s">
        <v>144</v>
      </c>
      <c r="CF886">
        <v>4000000</v>
      </c>
      <c r="CG886">
        <v>17154.29</v>
      </c>
      <c r="CH886">
        <v>0</v>
      </c>
      <c r="CI886" t="s">
        <v>112</v>
      </c>
      <c r="CJ886" t="s">
        <v>112</v>
      </c>
      <c r="CK886">
        <v>39405.24</v>
      </c>
      <c r="CO886">
        <v>4463711.6900000004</v>
      </c>
      <c r="CP886">
        <v>47598.1</v>
      </c>
      <c r="CQ886" t="s">
        <v>145</v>
      </c>
      <c r="CR886">
        <v>47517.383300000001</v>
      </c>
      <c r="CS886">
        <v>2.77</v>
      </c>
      <c r="CW886">
        <v>93</v>
      </c>
    </row>
    <row r="887" spans="1:101" x14ac:dyDescent="0.2">
      <c r="A887" t="s">
        <v>106</v>
      </c>
      <c r="B887" s="46">
        <v>45189</v>
      </c>
      <c r="C887" t="s">
        <v>1644</v>
      </c>
      <c r="D887" t="s">
        <v>108</v>
      </c>
      <c r="E887" t="s">
        <v>1645</v>
      </c>
      <c r="F887" t="s">
        <v>3244</v>
      </c>
      <c r="G887" t="s">
        <v>111</v>
      </c>
      <c r="H887" t="s">
        <v>112</v>
      </c>
      <c r="I887" t="s">
        <v>112</v>
      </c>
      <c r="J887" t="s">
        <v>112</v>
      </c>
      <c r="K887" t="s">
        <v>150</v>
      </c>
      <c r="L887" t="s">
        <v>151</v>
      </c>
      <c r="M887" t="s">
        <v>112</v>
      </c>
      <c r="N887" t="s">
        <v>112</v>
      </c>
      <c r="Q887">
        <v>1</v>
      </c>
      <c r="R887">
        <v>33</v>
      </c>
      <c r="S887" t="s">
        <v>166</v>
      </c>
      <c r="T887" t="s">
        <v>152</v>
      </c>
      <c r="U887" t="s">
        <v>153</v>
      </c>
      <c r="V887" t="s">
        <v>154</v>
      </c>
      <c r="W887" t="s">
        <v>119</v>
      </c>
      <c r="X887" t="s">
        <v>112</v>
      </c>
      <c r="Y887" t="s">
        <v>166</v>
      </c>
      <c r="Z887" t="s">
        <v>152</v>
      </c>
      <c r="AA887" t="s">
        <v>153</v>
      </c>
      <c r="AB887" t="s">
        <v>154</v>
      </c>
      <c r="AC887" t="s">
        <v>119</v>
      </c>
      <c r="AD887" t="s">
        <v>112</v>
      </c>
      <c r="AE887" t="s">
        <v>121</v>
      </c>
      <c r="AF887" t="s">
        <v>122</v>
      </c>
      <c r="AG887">
        <v>4570680.2300000004</v>
      </c>
      <c r="AH887" t="s">
        <v>166</v>
      </c>
      <c r="AI887" t="s">
        <v>152</v>
      </c>
      <c r="AJ887" t="s">
        <v>153</v>
      </c>
      <c r="AK887" t="s">
        <v>154</v>
      </c>
      <c r="AL887" t="s">
        <v>119</v>
      </c>
      <c r="AM887" t="s">
        <v>112</v>
      </c>
      <c r="AN887" t="s">
        <v>121</v>
      </c>
      <c r="AO887" t="s">
        <v>122</v>
      </c>
      <c r="AP887" t="s">
        <v>122</v>
      </c>
      <c r="AQ887" t="s">
        <v>124</v>
      </c>
      <c r="AR887" t="s">
        <v>125</v>
      </c>
      <c r="AT887" t="s">
        <v>126</v>
      </c>
      <c r="AU887" t="s">
        <v>155</v>
      </c>
      <c r="AV887" t="s">
        <v>156</v>
      </c>
      <c r="AX887" t="s">
        <v>129</v>
      </c>
      <c r="AY887">
        <v>40448.519999999997</v>
      </c>
      <c r="BB887">
        <v>102.53100000000001</v>
      </c>
      <c r="BC887" t="s">
        <v>112</v>
      </c>
      <c r="BD887" t="s">
        <v>112</v>
      </c>
      <c r="BE887" t="s">
        <v>112</v>
      </c>
      <c r="BF887" t="s">
        <v>133</v>
      </c>
      <c r="BG887" t="s">
        <v>1624</v>
      </c>
      <c r="BH887" t="s">
        <v>112</v>
      </c>
      <c r="BI887" t="s">
        <v>112</v>
      </c>
      <c r="BJ887" t="s">
        <v>112</v>
      </c>
      <c r="BK887" t="s">
        <v>112</v>
      </c>
      <c r="BL887" t="s">
        <v>112</v>
      </c>
      <c r="BM887" t="s">
        <v>112</v>
      </c>
      <c r="BN887" t="s">
        <v>161</v>
      </c>
      <c r="BP887" t="s">
        <v>205</v>
      </c>
      <c r="BR887" t="s">
        <v>150</v>
      </c>
      <c r="BS887">
        <v>33</v>
      </c>
      <c r="BU887">
        <v>0</v>
      </c>
      <c r="BY887" t="s">
        <v>106</v>
      </c>
      <c r="BZ887" t="s">
        <v>142</v>
      </c>
      <c r="CA887" t="s">
        <v>112</v>
      </c>
      <c r="CB887" t="s">
        <v>112</v>
      </c>
      <c r="CC887" t="s">
        <v>121</v>
      </c>
      <c r="CD887">
        <v>16510.240000000002</v>
      </c>
      <c r="CE887" t="s">
        <v>144</v>
      </c>
      <c r="CF887">
        <v>4000000</v>
      </c>
      <c r="CG887">
        <v>16359.04</v>
      </c>
      <c r="CH887">
        <v>0</v>
      </c>
      <c r="CI887" t="s">
        <v>112</v>
      </c>
      <c r="CJ887" t="s">
        <v>112</v>
      </c>
      <c r="CK887">
        <v>40448.519999999997</v>
      </c>
      <c r="CO887">
        <v>4570680.2300000004</v>
      </c>
      <c r="CP887">
        <v>48738.74</v>
      </c>
      <c r="CQ887" t="s">
        <v>145</v>
      </c>
      <c r="CR887">
        <v>48749.939200000001</v>
      </c>
      <c r="CS887">
        <v>2.98</v>
      </c>
      <c r="CW887">
        <v>20</v>
      </c>
    </row>
    <row r="888" spans="1:101" x14ac:dyDescent="0.2">
      <c r="A888" t="s">
        <v>106</v>
      </c>
      <c r="B888" s="46">
        <v>44949</v>
      </c>
      <c r="C888" t="s">
        <v>1122</v>
      </c>
      <c r="D888" t="s">
        <v>108</v>
      </c>
      <c r="E888" t="s">
        <v>1123</v>
      </c>
      <c r="F888" t="s">
        <v>3244</v>
      </c>
      <c r="G888" t="s">
        <v>111</v>
      </c>
      <c r="H888" t="s">
        <v>112</v>
      </c>
      <c r="I888" t="s">
        <v>112</v>
      </c>
      <c r="J888" t="s">
        <v>112</v>
      </c>
      <c r="K888" t="s">
        <v>150</v>
      </c>
      <c r="L888" t="s">
        <v>1103</v>
      </c>
      <c r="M888" t="s">
        <v>112</v>
      </c>
      <c r="N888" t="s">
        <v>112</v>
      </c>
      <c r="O888">
        <v>1</v>
      </c>
      <c r="P888">
        <v>0</v>
      </c>
      <c r="Q888">
        <v>1</v>
      </c>
      <c r="R888">
        <v>33</v>
      </c>
      <c r="S888" t="s">
        <v>166</v>
      </c>
      <c r="T888" t="s">
        <v>152</v>
      </c>
      <c r="U888" t="s">
        <v>153</v>
      </c>
      <c r="V888" t="s">
        <v>154</v>
      </c>
      <c r="W888" t="s">
        <v>119</v>
      </c>
      <c r="X888" t="s">
        <v>112</v>
      </c>
      <c r="Y888" t="s">
        <v>166</v>
      </c>
      <c r="Z888" t="s">
        <v>152</v>
      </c>
      <c r="AA888" t="s">
        <v>153</v>
      </c>
      <c r="AB888" t="s">
        <v>154</v>
      </c>
      <c r="AC888" t="s">
        <v>119</v>
      </c>
      <c r="AD888" t="s">
        <v>112</v>
      </c>
      <c r="AE888" t="s">
        <v>121</v>
      </c>
      <c r="AF888" t="s">
        <v>122</v>
      </c>
      <c r="AG888">
        <v>4246024.83</v>
      </c>
      <c r="AH888" t="s">
        <v>166</v>
      </c>
      <c r="AI888" t="s">
        <v>152</v>
      </c>
      <c r="AJ888" t="s">
        <v>153</v>
      </c>
      <c r="AK888" t="s">
        <v>154</v>
      </c>
      <c r="AL888" t="s">
        <v>119</v>
      </c>
      <c r="AM888" t="s">
        <v>112</v>
      </c>
      <c r="AN888" t="s">
        <v>121</v>
      </c>
      <c r="AO888" t="s">
        <v>122</v>
      </c>
      <c r="AP888" t="s">
        <v>122</v>
      </c>
      <c r="AQ888" t="s">
        <v>124</v>
      </c>
      <c r="AR888" t="s">
        <v>125</v>
      </c>
      <c r="AS888">
        <v>2</v>
      </c>
      <c r="AT888" t="s">
        <v>126</v>
      </c>
      <c r="AU888" t="s">
        <v>155</v>
      </c>
      <c r="AV888" t="s">
        <v>156</v>
      </c>
      <c r="AW888">
        <v>1</v>
      </c>
      <c r="AX888" t="s">
        <v>129</v>
      </c>
      <c r="AY888">
        <v>44134.44</v>
      </c>
      <c r="AZ888">
        <v>3865074</v>
      </c>
      <c r="BA888">
        <v>53539.03</v>
      </c>
      <c r="BB888">
        <v>87.575000000000003</v>
      </c>
      <c r="BC888" t="s">
        <v>130</v>
      </c>
      <c r="BD888" t="s">
        <v>112</v>
      </c>
      <c r="BE888" t="s">
        <v>157</v>
      </c>
      <c r="BF888" t="s">
        <v>133</v>
      </c>
      <c r="BG888" t="s">
        <v>134</v>
      </c>
      <c r="BH888" t="s">
        <v>112</v>
      </c>
      <c r="BI888" t="s">
        <v>112</v>
      </c>
      <c r="BJ888" t="s">
        <v>112</v>
      </c>
      <c r="BK888" t="s">
        <v>169</v>
      </c>
      <c r="BL888" t="s">
        <v>159</v>
      </c>
      <c r="BM888" t="s">
        <v>722</v>
      </c>
      <c r="BN888" t="s">
        <v>161</v>
      </c>
      <c r="BO888">
        <v>1</v>
      </c>
      <c r="BP888" t="s">
        <v>475</v>
      </c>
      <c r="BR888" t="s">
        <v>150</v>
      </c>
      <c r="BS888">
        <v>33</v>
      </c>
      <c r="BT888">
        <v>0</v>
      </c>
      <c r="BU888">
        <v>0</v>
      </c>
      <c r="BW888">
        <v>0</v>
      </c>
      <c r="BY888" t="s">
        <v>106</v>
      </c>
      <c r="BZ888" t="s">
        <v>142</v>
      </c>
      <c r="CA888" t="s">
        <v>112</v>
      </c>
      <c r="CB888" t="s">
        <v>112</v>
      </c>
      <c r="CC888" t="s">
        <v>121</v>
      </c>
      <c r="CD888">
        <v>16832.63</v>
      </c>
      <c r="CE888" t="s">
        <v>144</v>
      </c>
      <c r="CF888">
        <v>4000000</v>
      </c>
      <c r="CG888">
        <v>16832.63</v>
      </c>
      <c r="CH888">
        <v>0</v>
      </c>
      <c r="CI888" t="s">
        <v>112</v>
      </c>
      <c r="CJ888" t="s">
        <v>112</v>
      </c>
      <c r="CK888">
        <v>44134.44</v>
      </c>
      <c r="CL888">
        <v>3865074</v>
      </c>
      <c r="CM888">
        <v>0</v>
      </c>
      <c r="CN888">
        <v>1</v>
      </c>
      <c r="CO888">
        <v>4246024.83</v>
      </c>
      <c r="CP888">
        <v>53539.03</v>
      </c>
      <c r="CQ888" t="s">
        <v>145</v>
      </c>
      <c r="CR888">
        <v>53539.546241000004</v>
      </c>
      <c r="CS888">
        <v>3.1806999999999999</v>
      </c>
      <c r="CT888">
        <v>45</v>
      </c>
      <c r="CU888" t="s">
        <v>171</v>
      </c>
      <c r="CV888" t="s">
        <v>350</v>
      </c>
      <c r="CW888">
        <v>91</v>
      </c>
    </row>
    <row r="889" spans="1:101" x14ac:dyDescent="0.2">
      <c r="A889" t="s">
        <v>106</v>
      </c>
      <c r="B889" s="46">
        <v>44941</v>
      </c>
      <c r="C889" t="s">
        <v>992</v>
      </c>
      <c r="D889" t="s">
        <v>108</v>
      </c>
      <c r="E889" t="s">
        <v>993</v>
      </c>
      <c r="F889" t="s">
        <v>3244</v>
      </c>
      <c r="G889" t="s">
        <v>111</v>
      </c>
      <c r="H889" t="s">
        <v>112</v>
      </c>
      <c r="I889" t="s">
        <v>112</v>
      </c>
      <c r="J889" t="s">
        <v>112</v>
      </c>
      <c r="K889" t="s">
        <v>150</v>
      </c>
      <c r="L889" t="s">
        <v>151</v>
      </c>
      <c r="M889" t="s">
        <v>112</v>
      </c>
      <c r="N889" t="s">
        <v>112</v>
      </c>
      <c r="O889">
        <v>1</v>
      </c>
      <c r="P889">
        <v>0</v>
      </c>
      <c r="Q889">
        <v>1</v>
      </c>
      <c r="R889">
        <v>33</v>
      </c>
      <c r="S889" t="s">
        <v>166</v>
      </c>
      <c r="T889" t="s">
        <v>152</v>
      </c>
      <c r="U889" t="s">
        <v>153</v>
      </c>
      <c r="V889" t="s">
        <v>154</v>
      </c>
      <c r="W889" t="s">
        <v>119</v>
      </c>
      <c r="X889" t="s">
        <v>112</v>
      </c>
      <c r="Y889" t="s">
        <v>166</v>
      </c>
      <c r="Z889" t="s">
        <v>152</v>
      </c>
      <c r="AA889" t="s">
        <v>153</v>
      </c>
      <c r="AB889" t="s">
        <v>154</v>
      </c>
      <c r="AC889" t="s">
        <v>119</v>
      </c>
      <c r="AD889" t="s">
        <v>112</v>
      </c>
      <c r="AE889" t="s">
        <v>121</v>
      </c>
      <c r="AF889" t="s">
        <v>122</v>
      </c>
      <c r="AG889">
        <v>4331503.4000000004</v>
      </c>
      <c r="AH889" t="s">
        <v>166</v>
      </c>
      <c r="AI889" t="s">
        <v>152</v>
      </c>
      <c r="AJ889" t="s">
        <v>153</v>
      </c>
      <c r="AK889" t="s">
        <v>154</v>
      </c>
      <c r="AL889" t="s">
        <v>119</v>
      </c>
      <c r="AM889" t="s">
        <v>112</v>
      </c>
      <c r="AN889" t="s">
        <v>121</v>
      </c>
      <c r="AO889" t="s">
        <v>122</v>
      </c>
      <c r="AP889" t="s">
        <v>122</v>
      </c>
      <c r="AQ889" t="s">
        <v>124</v>
      </c>
      <c r="AR889" t="s">
        <v>125</v>
      </c>
      <c r="AS889">
        <v>2</v>
      </c>
      <c r="AT889" t="s">
        <v>126</v>
      </c>
      <c r="AU889" t="s">
        <v>155</v>
      </c>
      <c r="AV889" t="s">
        <v>156</v>
      </c>
      <c r="AW889">
        <v>1</v>
      </c>
      <c r="AX889" t="s">
        <v>129</v>
      </c>
      <c r="AY889">
        <v>46838.61</v>
      </c>
      <c r="AZ889">
        <v>3963413</v>
      </c>
      <c r="BA889">
        <v>55567</v>
      </c>
      <c r="BB889">
        <v>84.618499999999997</v>
      </c>
      <c r="BC889" t="s">
        <v>130</v>
      </c>
      <c r="BD889" t="s">
        <v>112</v>
      </c>
      <c r="BE889" t="s">
        <v>157</v>
      </c>
      <c r="BF889" t="s">
        <v>133</v>
      </c>
      <c r="BG889" t="s">
        <v>134</v>
      </c>
      <c r="BH889" t="s">
        <v>112</v>
      </c>
      <c r="BI889" t="s">
        <v>112</v>
      </c>
      <c r="BJ889" t="s">
        <v>112</v>
      </c>
      <c r="BK889" t="s">
        <v>169</v>
      </c>
      <c r="BL889" t="s">
        <v>159</v>
      </c>
      <c r="BM889" t="s">
        <v>722</v>
      </c>
      <c r="BN889" t="s">
        <v>161</v>
      </c>
      <c r="BO889">
        <v>1</v>
      </c>
      <c r="BP889" t="s">
        <v>205</v>
      </c>
      <c r="BR889" t="s">
        <v>150</v>
      </c>
      <c r="BS889">
        <v>33</v>
      </c>
      <c r="BT889">
        <v>0</v>
      </c>
      <c r="BU889">
        <v>0</v>
      </c>
      <c r="BW889">
        <v>0</v>
      </c>
      <c r="BY889" t="s">
        <v>106</v>
      </c>
      <c r="BZ889" t="s">
        <v>142</v>
      </c>
      <c r="CA889" t="s">
        <v>112</v>
      </c>
      <c r="CB889" t="s">
        <v>112</v>
      </c>
      <c r="CC889" t="s">
        <v>121</v>
      </c>
      <c r="CD889">
        <v>16718.400000000001</v>
      </c>
      <c r="CE889" t="s">
        <v>144</v>
      </c>
      <c r="CF889">
        <v>4000000</v>
      </c>
      <c r="CG889">
        <v>16718.400000000001</v>
      </c>
      <c r="CH889">
        <v>0</v>
      </c>
      <c r="CI889" t="s">
        <v>112</v>
      </c>
      <c r="CJ889" t="s">
        <v>112</v>
      </c>
      <c r="CK889">
        <v>46838.61</v>
      </c>
      <c r="CL889">
        <v>3963413</v>
      </c>
      <c r="CM889">
        <v>0</v>
      </c>
      <c r="CN889">
        <v>1</v>
      </c>
      <c r="CO889">
        <v>4331503.4000000004</v>
      </c>
      <c r="CP889">
        <v>55567</v>
      </c>
      <c r="CQ889" t="s">
        <v>145</v>
      </c>
      <c r="CR889">
        <v>55566.946080000009</v>
      </c>
      <c r="CS889">
        <v>3.3237000000000001</v>
      </c>
      <c r="CT889">
        <v>45</v>
      </c>
      <c r="CU889" t="s">
        <v>171</v>
      </c>
      <c r="CV889" t="s">
        <v>369</v>
      </c>
      <c r="CW889">
        <v>570</v>
      </c>
    </row>
    <row r="890" spans="1:101" x14ac:dyDescent="0.2">
      <c r="A890" t="s">
        <v>106</v>
      </c>
      <c r="B890" s="46">
        <v>45002</v>
      </c>
      <c r="C890" t="s">
        <v>998</v>
      </c>
      <c r="D890" t="s">
        <v>108</v>
      </c>
      <c r="E890" t="s">
        <v>999</v>
      </c>
      <c r="F890" t="s">
        <v>3244</v>
      </c>
      <c r="G890" t="s">
        <v>111</v>
      </c>
      <c r="H890" t="s">
        <v>112</v>
      </c>
      <c r="I890" t="s">
        <v>112</v>
      </c>
      <c r="J890" t="s">
        <v>112</v>
      </c>
      <c r="K890" t="s">
        <v>150</v>
      </c>
      <c r="L890" t="s">
        <v>151</v>
      </c>
      <c r="M890" t="s">
        <v>112</v>
      </c>
      <c r="N890" t="s">
        <v>112</v>
      </c>
      <c r="O890">
        <v>1</v>
      </c>
      <c r="P890">
        <v>0</v>
      </c>
      <c r="Q890">
        <v>1</v>
      </c>
      <c r="R890">
        <v>33</v>
      </c>
      <c r="S890" t="s">
        <v>166</v>
      </c>
      <c r="T890" t="s">
        <v>152</v>
      </c>
      <c r="U890" t="s">
        <v>153</v>
      </c>
      <c r="V890" t="s">
        <v>154</v>
      </c>
      <c r="W890" t="s">
        <v>119</v>
      </c>
      <c r="X890" t="s">
        <v>112</v>
      </c>
      <c r="Y890" t="s">
        <v>166</v>
      </c>
      <c r="Z890" t="s">
        <v>152</v>
      </c>
      <c r="AA890" t="s">
        <v>153</v>
      </c>
      <c r="AB890" t="s">
        <v>154</v>
      </c>
      <c r="AC890" t="s">
        <v>119</v>
      </c>
      <c r="AD890" t="s">
        <v>112</v>
      </c>
      <c r="AE890" t="s">
        <v>121</v>
      </c>
      <c r="AF890" t="s">
        <v>122</v>
      </c>
      <c r="AG890">
        <v>4092319.9</v>
      </c>
      <c r="AH890" t="s">
        <v>166</v>
      </c>
      <c r="AI890" t="s">
        <v>152</v>
      </c>
      <c r="AJ890" t="s">
        <v>153</v>
      </c>
      <c r="AK890" t="s">
        <v>154</v>
      </c>
      <c r="AL890" t="s">
        <v>119</v>
      </c>
      <c r="AM890" t="s">
        <v>112</v>
      </c>
      <c r="AN890" t="s">
        <v>121</v>
      </c>
      <c r="AO890" t="s">
        <v>122</v>
      </c>
      <c r="AP890" t="s">
        <v>122</v>
      </c>
      <c r="AQ890" t="s">
        <v>124</v>
      </c>
      <c r="AR890" t="s">
        <v>125</v>
      </c>
      <c r="AS890">
        <v>2</v>
      </c>
      <c r="AT890" t="s">
        <v>126</v>
      </c>
      <c r="AU890" t="s">
        <v>155</v>
      </c>
      <c r="AV890" t="s">
        <v>156</v>
      </c>
      <c r="AW890">
        <v>1</v>
      </c>
      <c r="AX890" t="s">
        <v>129</v>
      </c>
      <c r="AY890">
        <v>43512</v>
      </c>
      <c r="AZ890">
        <v>3681920</v>
      </c>
      <c r="BA890">
        <v>52498.62</v>
      </c>
      <c r="BB890">
        <v>84.618499999999997</v>
      </c>
      <c r="BC890" t="s">
        <v>130</v>
      </c>
      <c r="BD890" t="s">
        <v>112</v>
      </c>
      <c r="BE890" t="s">
        <v>157</v>
      </c>
      <c r="BF890" t="s">
        <v>133</v>
      </c>
      <c r="BG890" t="s">
        <v>134</v>
      </c>
      <c r="BH890" t="s">
        <v>112</v>
      </c>
      <c r="BI890" t="s">
        <v>112</v>
      </c>
      <c r="BJ890" t="s">
        <v>112</v>
      </c>
      <c r="BK890" t="s">
        <v>169</v>
      </c>
      <c r="BL890" t="s">
        <v>159</v>
      </c>
      <c r="BM890" t="s">
        <v>722</v>
      </c>
      <c r="BN890" t="s">
        <v>161</v>
      </c>
      <c r="BO890">
        <v>1</v>
      </c>
      <c r="BP890" t="s">
        <v>232</v>
      </c>
      <c r="BR890" t="s">
        <v>150</v>
      </c>
      <c r="BS890">
        <v>33</v>
      </c>
      <c r="BT890">
        <v>0</v>
      </c>
      <c r="BU890">
        <v>0</v>
      </c>
      <c r="BW890">
        <v>0</v>
      </c>
      <c r="BY890" t="s">
        <v>106</v>
      </c>
      <c r="BZ890" t="s">
        <v>142</v>
      </c>
      <c r="CA890" t="s">
        <v>112</v>
      </c>
      <c r="CB890" t="s">
        <v>112</v>
      </c>
      <c r="CC890" t="s">
        <v>121</v>
      </c>
      <c r="CD890">
        <v>16525.080000000002</v>
      </c>
      <c r="CE890" t="s">
        <v>144</v>
      </c>
      <c r="CF890">
        <v>4000000</v>
      </c>
      <c r="CG890">
        <v>16525.080000000002</v>
      </c>
      <c r="CH890">
        <v>0</v>
      </c>
      <c r="CI890" t="s">
        <v>112</v>
      </c>
      <c r="CJ890" t="s">
        <v>112</v>
      </c>
      <c r="CK890">
        <v>43512</v>
      </c>
      <c r="CL890">
        <v>3681920</v>
      </c>
      <c r="CM890">
        <v>0</v>
      </c>
      <c r="CN890">
        <v>1</v>
      </c>
      <c r="CO890">
        <v>4092319.9</v>
      </c>
      <c r="CP890">
        <v>52498.62</v>
      </c>
      <c r="CQ890" t="s">
        <v>145</v>
      </c>
      <c r="CR890">
        <v>52498.526652</v>
      </c>
      <c r="CS890">
        <v>3.1768999999999998</v>
      </c>
      <c r="CT890">
        <v>45</v>
      </c>
      <c r="CU890" t="s">
        <v>171</v>
      </c>
      <c r="CV890" t="s">
        <v>172</v>
      </c>
      <c r="CW890">
        <v>326</v>
      </c>
    </row>
    <row r="891" spans="1:101" x14ac:dyDescent="0.2">
      <c r="A891" t="s">
        <v>106</v>
      </c>
      <c r="B891" s="46">
        <v>45060</v>
      </c>
      <c r="C891" t="s">
        <v>996</v>
      </c>
      <c r="D891" t="s">
        <v>108</v>
      </c>
      <c r="E891" t="s">
        <v>997</v>
      </c>
      <c r="F891" t="s">
        <v>3244</v>
      </c>
      <c r="G891" t="s">
        <v>111</v>
      </c>
      <c r="H891" t="s">
        <v>112</v>
      </c>
      <c r="I891" t="s">
        <v>112</v>
      </c>
      <c r="J891" t="s">
        <v>112</v>
      </c>
      <c r="K891" t="s">
        <v>150</v>
      </c>
      <c r="L891" t="s">
        <v>151</v>
      </c>
      <c r="M891" t="s">
        <v>112</v>
      </c>
      <c r="N891" t="s">
        <v>112</v>
      </c>
      <c r="O891">
        <v>1</v>
      </c>
      <c r="P891">
        <v>0</v>
      </c>
      <c r="Q891">
        <v>1</v>
      </c>
      <c r="R891">
        <v>33</v>
      </c>
      <c r="S891" t="s">
        <v>166</v>
      </c>
      <c r="T891" t="s">
        <v>152</v>
      </c>
      <c r="U891" t="s">
        <v>153</v>
      </c>
      <c r="V891" t="s">
        <v>154</v>
      </c>
      <c r="W891" t="s">
        <v>119</v>
      </c>
      <c r="X891" t="s">
        <v>112</v>
      </c>
      <c r="Y891" t="s">
        <v>166</v>
      </c>
      <c r="Z891" t="s">
        <v>152</v>
      </c>
      <c r="AA891" t="s">
        <v>153</v>
      </c>
      <c r="AB891" t="s">
        <v>154</v>
      </c>
      <c r="AC891" t="s">
        <v>119</v>
      </c>
      <c r="AD891" t="s">
        <v>112</v>
      </c>
      <c r="AE891" t="s">
        <v>121</v>
      </c>
      <c r="AF891" t="s">
        <v>122</v>
      </c>
      <c r="AG891">
        <v>3892256.38</v>
      </c>
      <c r="AH891" t="s">
        <v>166</v>
      </c>
      <c r="AI891" t="s">
        <v>152</v>
      </c>
      <c r="AJ891" t="s">
        <v>153</v>
      </c>
      <c r="AK891" t="s">
        <v>154</v>
      </c>
      <c r="AL891" t="s">
        <v>119</v>
      </c>
      <c r="AM891" t="s">
        <v>112</v>
      </c>
      <c r="AN891" t="s">
        <v>121</v>
      </c>
      <c r="AO891" t="s">
        <v>122</v>
      </c>
      <c r="AP891" t="s">
        <v>122</v>
      </c>
      <c r="AQ891" t="s">
        <v>124</v>
      </c>
      <c r="AR891" t="s">
        <v>125</v>
      </c>
      <c r="AS891">
        <v>2</v>
      </c>
      <c r="AT891" t="s">
        <v>126</v>
      </c>
      <c r="AU891" t="s">
        <v>155</v>
      </c>
      <c r="AV891" t="s">
        <v>156</v>
      </c>
      <c r="AW891">
        <v>1</v>
      </c>
      <c r="AX891" t="s">
        <v>129</v>
      </c>
      <c r="AY891">
        <v>41647.699999999997</v>
      </c>
      <c r="AZ891">
        <v>3524166</v>
      </c>
      <c r="BA891">
        <v>49932.09</v>
      </c>
      <c r="BB891">
        <v>84.618499999999997</v>
      </c>
      <c r="BC891" t="s">
        <v>130</v>
      </c>
      <c r="BD891" t="s">
        <v>112</v>
      </c>
      <c r="BE891" t="s">
        <v>157</v>
      </c>
      <c r="BF891" t="s">
        <v>133</v>
      </c>
      <c r="BG891" t="s">
        <v>134</v>
      </c>
      <c r="BH891" t="s">
        <v>112</v>
      </c>
      <c r="BI891" t="s">
        <v>112</v>
      </c>
      <c r="BJ891" t="s">
        <v>112</v>
      </c>
      <c r="BK891" t="s">
        <v>169</v>
      </c>
      <c r="BL891" t="s">
        <v>159</v>
      </c>
      <c r="BM891" t="s">
        <v>722</v>
      </c>
      <c r="BN891" t="s">
        <v>161</v>
      </c>
      <c r="BO891">
        <v>1</v>
      </c>
      <c r="BP891" t="s">
        <v>232</v>
      </c>
      <c r="BR891" t="s">
        <v>150</v>
      </c>
      <c r="BS891">
        <v>33</v>
      </c>
      <c r="BT891">
        <v>0</v>
      </c>
      <c r="BU891">
        <v>0</v>
      </c>
      <c r="BW891">
        <v>0</v>
      </c>
      <c r="BY891" t="s">
        <v>106</v>
      </c>
      <c r="BZ891" t="s">
        <v>142</v>
      </c>
      <c r="CA891" t="s">
        <v>112</v>
      </c>
      <c r="CB891" t="s">
        <v>112</v>
      </c>
      <c r="CC891" t="s">
        <v>121</v>
      </c>
      <c r="CD891">
        <v>16784.43</v>
      </c>
      <c r="CE891" t="s">
        <v>144</v>
      </c>
      <c r="CF891">
        <v>4000000</v>
      </c>
      <c r="CG891">
        <v>16683.63</v>
      </c>
      <c r="CH891">
        <v>0</v>
      </c>
      <c r="CI891" t="s">
        <v>112</v>
      </c>
      <c r="CJ891" t="s">
        <v>112</v>
      </c>
      <c r="CK891">
        <v>41647.699999999997</v>
      </c>
      <c r="CL891">
        <v>3524166</v>
      </c>
      <c r="CM891">
        <v>0</v>
      </c>
      <c r="CN891">
        <v>1</v>
      </c>
      <c r="CO891">
        <v>3892256.38</v>
      </c>
      <c r="CP891">
        <v>49932.09</v>
      </c>
      <c r="CQ891" t="s">
        <v>145</v>
      </c>
      <c r="CR891">
        <v>49932.436227000006</v>
      </c>
      <c r="CS891">
        <v>2.9929000000000001</v>
      </c>
      <c r="CT891">
        <v>45</v>
      </c>
      <c r="CU891" t="s">
        <v>171</v>
      </c>
      <c r="CV891" t="s">
        <v>463</v>
      </c>
      <c r="CW891">
        <v>296</v>
      </c>
    </row>
    <row r="892" spans="1:101" x14ac:dyDescent="0.2">
      <c r="A892" t="s">
        <v>106</v>
      </c>
      <c r="B892" s="46">
        <v>45107</v>
      </c>
      <c r="C892" t="s">
        <v>2077</v>
      </c>
      <c r="D892" t="s">
        <v>108</v>
      </c>
      <c r="E892" t="s">
        <v>2078</v>
      </c>
      <c r="F892" t="s">
        <v>3244</v>
      </c>
      <c r="G892" t="s">
        <v>111</v>
      </c>
      <c r="H892" t="s">
        <v>112</v>
      </c>
      <c r="I892" t="s">
        <v>112</v>
      </c>
      <c r="J892" t="s">
        <v>112</v>
      </c>
      <c r="K892" t="s">
        <v>150</v>
      </c>
      <c r="L892" t="s">
        <v>151</v>
      </c>
      <c r="M892" t="s">
        <v>112</v>
      </c>
      <c r="N892" t="s">
        <v>112</v>
      </c>
      <c r="O892">
        <v>1</v>
      </c>
      <c r="Q892">
        <v>1</v>
      </c>
      <c r="R892">
        <v>33</v>
      </c>
      <c r="S892" t="s">
        <v>112</v>
      </c>
      <c r="T892" t="s">
        <v>152</v>
      </c>
      <c r="U892" t="s">
        <v>153</v>
      </c>
      <c r="V892" t="s">
        <v>154</v>
      </c>
      <c r="W892" t="s">
        <v>119</v>
      </c>
      <c r="X892" t="s">
        <v>112</v>
      </c>
      <c r="Y892" t="s">
        <v>112</v>
      </c>
      <c r="Z892" t="s">
        <v>152</v>
      </c>
      <c r="AA892" t="s">
        <v>153</v>
      </c>
      <c r="AB892" t="s">
        <v>154</v>
      </c>
      <c r="AC892" t="s">
        <v>119</v>
      </c>
      <c r="AD892" t="s">
        <v>112</v>
      </c>
      <c r="AE892" t="s">
        <v>121</v>
      </c>
      <c r="AF892" t="s">
        <v>122</v>
      </c>
      <c r="AG892">
        <v>4526584.0599999996</v>
      </c>
      <c r="AH892" t="s">
        <v>112</v>
      </c>
      <c r="AI892" t="s">
        <v>152</v>
      </c>
      <c r="AJ892" t="s">
        <v>153</v>
      </c>
      <c r="AK892" t="s">
        <v>154</v>
      </c>
      <c r="AL892" t="s">
        <v>119</v>
      </c>
      <c r="AM892" t="s">
        <v>112</v>
      </c>
      <c r="AN892" t="s">
        <v>121</v>
      </c>
      <c r="AO892" t="s">
        <v>122</v>
      </c>
      <c r="AP892" t="s">
        <v>122</v>
      </c>
      <c r="AQ892" t="s">
        <v>124</v>
      </c>
      <c r="AR892" t="s">
        <v>125</v>
      </c>
      <c r="AS892">
        <v>2</v>
      </c>
      <c r="AT892" t="s">
        <v>126</v>
      </c>
      <c r="AU892" t="s">
        <v>155</v>
      </c>
      <c r="AV892" t="s">
        <v>156</v>
      </c>
      <c r="AX892" t="s">
        <v>129</v>
      </c>
      <c r="AY892">
        <v>39590.160000000003</v>
      </c>
      <c r="BB892">
        <v>103.86799999999999</v>
      </c>
      <c r="BC892" t="s">
        <v>112</v>
      </c>
      <c r="BD892" t="s">
        <v>112</v>
      </c>
      <c r="BE892" t="s">
        <v>157</v>
      </c>
      <c r="BF892" t="s">
        <v>133</v>
      </c>
      <c r="BG892" t="s">
        <v>134</v>
      </c>
      <c r="BH892" t="s">
        <v>112</v>
      </c>
      <c r="BI892" t="s">
        <v>112</v>
      </c>
      <c r="BJ892" t="s">
        <v>112</v>
      </c>
      <c r="BK892" t="s">
        <v>158</v>
      </c>
      <c r="BL892" t="s">
        <v>159</v>
      </c>
      <c r="BM892" t="s">
        <v>212</v>
      </c>
      <c r="BN892" t="s">
        <v>161</v>
      </c>
      <c r="BP892" t="s">
        <v>232</v>
      </c>
      <c r="BR892" t="s">
        <v>150</v>
      </c>
      <c r="BS892">
        <v>33</v>
      </c>
      <c r="BT892">
        <v>0</v>
      </c>
      <c r="BU892">
        <v>0</v>
      </c>
      <c r="BW892">
        <v>0</v>
      </c>
      <c r="BY892" t="s">
        <v>106</v>
      </c>
      <c r="BZ892" t="s">
        <v>142</v>
      </c>
      <c r="CA892" t="s">
        <v>112</v>
      </c>
      <c r="CB892" t="s">
        <v>112</v>
      </c>
      <c r="CC892" t="s">
        <v>121</v>
      </c>
      <c r="CD892">
        <v>17088.59</v>
      </c>
      <c r="CE892" t="s">
        <v>144</v>
      </c>
      <c r="CF892">
        <v>4000000</v>
      </c>
      <c r="CG892">
        <v>17023.79</v>
      </c>
      <c r="CH892">
        <v>0</v>
      </c>
      <c r="CI892" t="s">
        <v>112</v>
      </c>
      <c r="CJ892" t="s">
        <v>112</v>
      </c>
      <c r="CK892">
        <v>39590.160000000003</v>
      </c>
      <c r="CM892">
        <v>0</v>
      </c>
      <c r="CN892">
        <v>1</v>
      </c>
      <c r="CO892">
        <v>4526584.0599999996</v>
      </c>
      <c r="CP892">
        <v>45965.2</v>
      </c>
      <c r="CQ892" t="s">
        <v>145</v>
      </c>
      <c r="CR892">
        <v>45964.233000000007</v>
      </c>
      <c r="CS892">
        <v>2.7</v>
      </c>
      <c r="CT892">
        <v>45</v>
      </c>
      <c r="CV892" t="s">
        <v>233</v>
      </c>
      <c r="CW892">
        <v>236</v>
      </c>
    </row>
    <row r="893" spans="1:101" x14ac:dyDescent="0.2">
      <c r="A893" t="s">
        <v>106</v>
      </c>
      <c r="B893" s="46">
        <v>44968</v>
      </c>
      <c r="C893" t="s">
        <v>2077</v>
      </c>
      <c r="D893" t="s">
        <v>108</v>
      </c>
      <c r="E893" t="s">
        <v>2078</v>
      </c>
      <c r="F893" t="s">
        <v>3244</v>
      </c>
      <c r="G893" t="s">
        <v>111</v>
      </c>
      <c r="H893" t="s">
        <v>112</v>
      </c>
      <c r="I893" t="s">
        <v>112</v>
      </c>
      <c r="J893" t="s">
        <v>112</v>
      </c>
      <c r="K893" t="s">
        <v>150</v>
      </c>
      <c r="L893" t="s">
        <v>151</v>
      </c>
      <c r="M893" t="s">
        <v>112</v>
      </c>
      <c r="N893" t="s">
        <v>112</v>
      </c>
      <c r="O893">
        <v>1</v>
      </c>
      <c r="Q893">
        <v>1</v>
      </c>
      <c r="R893">
        <v>33</v>
      </c>
      <c r="S893" t="s">
        <v>112</v>
      </c>
      <c r="T893" t="s">
        <v>152</v>
      </c>
      <c r="U893" t="s">
        <v>153</v>
      </c>
      <c r="V893" t="s">
        <v>154</v>
      </c>
      <c r="W893" t="s">
        <v>119</v>
      </c>
      <c r="X893" t="s">
        <v>112</v>
      </c>
      <c r="Y893" t="s">
        <v>112</v>
      </c>
      <c r="Z893" t="s">
        <v>152</v>
      </c>
      <c r="AA893" t="s">
        <v>153</v>
      </c>
      <c r="AB893" t="s">
        <v>154</v>
      </c>
      <c r="AC893" t="s">
        <v>119</v>
      </c>
      <c r="AD893" t="s">
        <v>112</v>
      </c>
      <c r="AE893" t="s">
        <v>121</v>
      </c>
      <c r="AF893" t="s">
        <v>122</v>
      </c>
      <c r="AG893">
        <v>4526584.0599999996</v>
      </c>
      <c r="AH893" t="s">
        <v>112</v>
      </c>
      <c r="AI893" t="s">
        <v>152</v>
      </c>
      <c r="AJ893" t="s">
        <v>153</v>
      </c>
      <c r="AK893" t="s">
        <v>154</v>
      </c>
      <c r="AL893" t="s">
        <v>119</v>
      </c>
      <c r="AM893" t="s">
        <v>112</v>
      </c>
      <c r="AN893" t="s">
        <v>121</v>
      </c>
      <c r="AO893" t="s">
        <v>122</v>
      </c>
      <c r="AP893" t="s">
        <v>122</v>
      </c>
      <c r="AQ893" t="s">
        <v>124</v>
      </c>
      <c r="AR893" t="s">
        <v>125</v>
      </c>
      <c r="AS893">
        <v>2</v>
      </c>
      <c r="AT893" t="s">
        <v>126</v>
      </c>
      <c r="AU893" t="s">
        <v>155</v>
      </c>
      <c r="AV893" t="s">
        <v>156</v>
      </c>
      <c r="AX893" t="s">
        <v>129</v>
      </c>
      <c r="AY893">
        <v>39590.160000000003</v>
      </c>
      <c r="BB893">
        <v>103.86799999999999</v>
      </c>
      <c r="BC893" t="s">
        <v>112</v>
      </c>
      <c r="BD893" t="s">
        <v>112</v>
      </c>
      <c r="BE893" t="s">
        <v>157</v>
      </c>
      <c r="BF893" t="s">
        <v>133</v>
      </c>
      <c r="BG893" t="s">
        <v>134</v>
      </c>
      <c r="BH893" t="s">
        <v>112</v>
      </c>
      <c r="BI893" t="s">
        <v>112</v>
      </c>
      <c r="BJ893" t="s">
        <v>112</v>
      </c>
      <c r="BK893" t="s">
        <v>158</v>
      </c>
      <c r="BL893" t="s">
        <v>159</v>
      </c>
      <c r="BM893" t="s">
        <v>212</v>
      </c>
      <c r="BN893" t="s">
        <v>161</v>
      </c>
      <c r="BP893" t="s">
        <v>232</v>
      </c>
      <c r="BR893" t="s">
        <v>150</v>
      </c>
      <c r="BS893">
        <v>33</v>
      </c>
      <c r="BT893">
        <v>0</v>
      </c>
      <c r="BU893">
        <v>0</v>
      </c>
      <c r="BW893">
        <v>0</v>
      </c>
      <c r="BY893" t="s">
        <v>106</v>
      </c>
      <c r="BZ893" t="s">
        <v>142</v>
      </c>
      <c r="CA893" t="s">
        <v>112</v>
      </c>
      <c r="CB893" t="s">
        <v>112</v>
      </c>
      <c r="CC893" t="s">
        <v>121</v>
      </c>
      <c r="CD893">
        <v>17088.59</v>
      </c>
      <c r="CE893" t="s">
        <v>144</v>
      </c>
      <c r="CF893">
        <v>4000000</v>
      </c>
      <c r="CG893">
        <v>17023.79</v>
      </c>
      <c r="CH893">
        <v>0</v>
      </c>
      <c r="CI893" t="s">
        <v>112</v>
      </c>
      <c r="CJ893" t="s">
        <v>112</v>
      </c>
      <c r="CK893">
        <v>39590.160000000003</v>
      </c>
      <c r="CM893">
        <v>0</v>
      </c>
      <c r="CN893">
        <v>1</v>
      </c>
      <c r="CO893">
        <v>4526584.0599999996</v>
      </c>
      <c r="CP893">
        <v>45965.2</v>
      </c>
      <c r="CQ893" t="s">
        <v>145</v>
      </c>
      <c r="CR893">
        <v>45964.233000000007</v>
      </c>
      <c r="CS893">
        <v>2.7</v>
      </c>
      <c r="CT893">
        <v>45</v>
      </c>
      <c r="CV893" t="s">
        <v>233</v>
      </c>
      <c r="CW893">
        <v>236</v>
      </c>
    </row>
    <row r="894" spans="1:101" x14ac:dyDescent="0.2">
      <c r="A894" t="s">
        <v>106</v>
      </c>
      <c r="B894" s="46">
        <v>45062</v>
      </c>
      <c r="C894" t="s">
        <v>1642</v>
      </c>
      <c r="D894" t="s">
        <v>108</v>
      </c>
      <c r="E894" t="s">
        <v>1643</v>
      </c>
      <c r="F894" t="s">
        <v>3244</v>
      </c>
      <c r="G894" t="s">
        <v>111</v>
      </c>
      <c r="H894" t="s">
        <v>112</v>
      </c>
      <c r="I894" t="s">
        <v>112</v>
      </c>
      <c r="J894" t="s">
        <v>112</v>
      </c>
      <c r="K894" t="s">
        <v>150</v>
      </c>
      <c r="L894" t="s">
        <v>151</v>
      </c>
      <c r="M894" t="s">
        <v>112</v>
      </c>
      <c r="N894" t="s">
        <v>112</v>
      </c>
      <c r="Q894">
        <v>1</v>
      </c>
      <c r="R894">
        <v>33</v>
      </c>
      <c r="S894" t="s">
        <v>166</v>
      </c>
      <c r="T894" t="s">
        <v>152</v>
      </c>
      <c r="U894" t="s">
        <v>153</v>
      </c>
      <c r="V894" t="s">
        <v>154</v>
      </c>
      <c r="W894" t="s">
        <v>119</v>
      </c>
      <c r="X894" t="s">
        <v>112</v>
      </c>
      <c r="Y894" t="s">
        <v>166</v>
      </c>
      <c r="Z894" t="s">
        <v>152</v>
      </c>
      <c r="AA894" t="s">
        <v>153</v>
      </c>
      <c r="AB894" t="s">
        <v>154</v>
      </c>
      <c r="AC894" t="s">
        <v>119</v>
      </c>
      <c r="AD894" t="s">
        <v>112</v>
      </c>
      <c r="AE894" t="s">
        <v>121</v>
      </c>
      <c r="AF894" t="s">
        <v>122</v>
      </c>
      <c r="AG894">
        <v>4981753.8899999997</v>
      </c>
      <c r="AH894" t="s">
        <v>166</v>
      </c>
      <c r="AI894" t="s">
        <v>152</v>
      </c>
      <c r="AJ894" t="s">
        <v>153</v>
      </c>
      <c r="AK894" t="s">
        <v>154</v>
      </c>
      <c r="AL894" t="s">
        <v>119</v>
      </c>
      <c r="AM894" t="s">
        <v>112</v>
      </c>
      <c r="AN894" t="s">
        <v>121</v>
      </c>
      <c r="AO894" t="s">
        <v>122</v>
      </c>
      <c r="AP894" t="s">
        <v>122</v>
      </c>
      <c r="AQ894" t="s">
        <v>124</v>
      </c>
      <c r="AR894" t="s">
        <v>125</v>
      </c>
      <c r="AT894" t="s">
        <v>126</v>
      </c>
      <c r="AU894" t="s">
        <v>155</v>
      </c>
      <c r="AV894" t="s">
        <v>156</v>
      </c>
      <c r="AX894" t="s">
        <v>129</v>
      </c>
      <c r="AY894">
        <v>44745.8</v>
      </c>
      <c r="BB894">
        <v>101.9268</v>
      </c>
      <c r="BC894" t="s">
        <v>112</v>
      </c>
      <c r="BD894" t="s">
        <v>112</v>
      </c>
      <c r="BE894" t="s">
        <v>112</v>
      </c>
      <c r="BF894" t="s">
        <v>133</v>
      </c>
      <c r="BG894" t="s">
        <v>1627</v>
      </c>
      <c r="BH894" t="s">
        <v>112</v>
      </c>
      <c r="BI894" t="s">
        <v>112</v>
      </c>
      <c r="BJ894" t="s">
        <v>112</v>
      </c>
      <c r="BK894" t="s">
        <v>112</v>
      </c>
      <c r="BL894" t="s">
        <v>112</v>
      </c>
      <c r="BM894" t="s">
        <v>112</v>
      </c>
      <c r="BN894" t="s">
        <v>161</v>
      </c>
      <c r="BP894" t="s">
        <v>205</v>
      </c>
      <c r="BR894" t="s">
        <v>150</v>
      </c>
      <c r="BS894">
        <v>33</v>
      </c>
      <c r="BU894">
        <v>0</v>
      </c>
      <c r="BY894" t="s">
        <v>106</v>
      </c>
      <c r="BZ894" t="s">
        <v>142</v>
      </c>
      <c r="CA894" t="s">
        <v>112</v>
      </c>
      <c r="CB894" t="s">
        <v>112</v>
      </c>
      <c r="CC894" t="s">
        <v>121</v>
      </c>
      <c r="CD894">
        <v>16473.3</v>
      </c>
      <c r="CE894" t="s">
        <v>144</v>
      </c>
      <c r="CF894">
        <v>4000000</v>
      </c>
      <c r="CG894">
        <v>16325.7</v>
      </c>
      <c r="CH894">
        <v>0</v>
      </c>
      <c r="CI894" t="s">
        <v>112</v>
      </c>
      <c r="CJ894" t="s">
        <v>112</v>
      </c>
      <c r="CK894">
        <v>44745.8</v>
      </c>
      <c r="CO894">
        <v>4981753.8899999997</v>
      </c>
      <c r="CP894">
        <v>53658.99</v>
      </c>
      <c r="CQ894" t="s">
        <v>145</v>
      </c>
      <c r="CR894">
        <v>53711.553</v>
      </c>
      <c r="CS894">
        <v>3.29</v>
      </c>
      <c r="CW894">
        <v>340</v>
      </c>
    </row>
    <row r="895" spans="1:101" x14ac:dyDescent="0.2">
      <c r="A895" t="s">
        <v>106</v>
      </c>
      <c r="B895" s="46">
        <v>45224</v>
      </c>
      <c r="C895" t="s">
        <v>1640</v>
      </c>
      <c r="D895" t="s">
        <v>108</v>
      </c>
      <c r="E895" t="s">
        <v>1641</v>
      </c>
      <c r="F895" t="s">
        <v>3244</v>
      </c>
      <c r="G895" t="s">
        <v>111</v>
      </c>
      <c r="H895" t="s">
        <v>112</v>
      </c>
      <c r="I895" t="s">
        <v>112</v>
      </c>
      <c r="J895" t="s">
        <v>112</v>
      </c>
      <c r="K895" t="s">
        <v>150</v>
      </c>
      <c r="L895" t="s">
        <v>151</v>
      </c>
      <c r="M895" t="s">
        <v>112</v>
      </c>
      <c r="N895" t="s">
        <v>112</v>
      </c>
      <c r="Q895">
        <v>1</v>
      </c>
      <c r="R895">
        <v>33</v>
      </c>
      <c r="S895" t="s">
        <v>166</v>
      </c>
      <c r="T895" t="s">
        <v>152</v>
      </c>
      <c r="U895" t="s">
        <v>153</v>
      </c>
      <c r="V895" t="s">
        <v>154</v>
      </c>
      <c r="W895" t="s">
        <v>119</v>
      </c>
      <c r="X895" t="s">
        <v>112</v>
      </c>
      <c r="Y895" t="s">
        <v>166</v>
      </c>
      <c r="Z895" t="s">
        <v>152</v>
      </c>
      <c r="AA895" t="s">
        <v>153</v>
      </c>
      <c r="AB895" t="s">
        <v>154</v>
      </c>
      <c r="AC895" t="s">
        <v>119</v>
      </c>
      <c r="AD895" t="s">
        <v>112</v>
      </c>
      <c r="AE895" t="s">
        <v>121</v>
      </c>
      <c r="AF895" t="s">
        <v>122</v>
      </c>
      <c r="AG895">
        <v>4421808.82</v>
      </c>
      <c r="AH895" t="s">
        <v>166</v>
      </c>
      <c r="AI895" t="s">
        <v>152</v>
      </c>
      <c r="AJ895" t="s">
        <v>153</v>
      </c>
      <c r="AK895" t="s">
        <v>154</v>
      </c>
      <c r="AL895" t="s">
        <v>119</v>
      </c>
      <c r="AM895" t="s">
        <v>112</v>
      </c>
      <c r="AN895" t="s">
        <v>121</v>
      </c>
      <c r="AO895" t="s">
        <v>122</v>
      </c>
      <c r="AP895" t="s">
        <v>122</v>
      </c>
      <c r="AQ895" t="s">
        <v>124</v>
      </c>
      <c r="AR895" t="s">
        <v>125</v>
      </c>
      <c r="AT895" t="s">
        <v>126</v>
      </c>
      <c r="AU895" t="s">
        <v>155</v>
      </c>
      <c r="AV895" t="s">
        <v>156</v>
      </c>
      <c r="AX895" t="s">
        <v>129</v>
      </c>
      <c r="AY895">
        <v>39252.199999999997</v>
      </c>
      <c r="BB895">
        <v>101.9268</v>
      </c>
      <c r="BC895" t="s">
        <v>112</v>
      </c>
      <c r="BD895" t="s">
        <v>112</v>
      </c>
      <c r="BE895" t="s">
        <v>112</v>
      </c>
      <c r="BF895" t="s">
        <v>133</v>
      </c>
      <c r="BG895" t="s">
        <v>1624</v>
      </c>
      <c r="BH895" t="s">
        <v>112</v>
      </c>
      <c r="BI895" t="s">
        <v>112</v>
      </c>
      <c r="BJ895" t="s">
        <v>112</v>
      </c>
      <c r="BK895" t="s">
        <v>112</v>
      </c>
      <c r="BL895" t="s">
        <v>112</v>
      </c>
      <c r="BM895" t="s">
        <v>112</v>
      </c>
      <c r="BN895" t="s">
        <v>161</v>
      </c>
      <c r="BP895" t="s">
        <v>162</v>
      </c>
      <c r="BR895" t="s">
        <v>150</v>
      </c>
      <c r="BS895">
        <v>33</v>
      </c>
      <c r="BU895">
        <v>0</v>
      </c>
      <c r="BY895" t="s">
        <v>106</v>
      </c>
      <c r="BZ895" t="s">
        <v>142</v>
      </c>
      <c r="CA895" t="s">
        <v>112</v>
      </c>
      <c r="CB895" t="s">
        <v>112</v>
      </c>
      <c r="CC895" t="s">
        <v>121</v>
      </c>
      <c r="CD895">
        <v>16400.46</v>
      </c>
      <c r="CE895" t="s">
        <v>144</v>
      </c>
      <c r="CF895">
        <v>4000000</v>
      </c>
      <c r="CG895">
        <v>16226.46</v>
      </c>
      <c r="CH895">
        <v>0</v>
      </c>
      <c r="CI895" t="s">
        <v>112</v>
      </c>
      <c r="CJ895" t="s">
        <v>112</v>
      </c>
      <c r="CK895">
        <v>39252.199999999997</v>
      </c>
      <c r="CO895">
        <v>4421808.82</v>
      </c>
      <c r="CP895">
        <v>47627.76</v>
      </c>
      <c r="CQ895" t="s">
        <v>145</v>
      </c>
      <c r="CR895">
        <v>47705.792399999998</v>
      </c>
      <c r="CS895">
        <v>2.94</v>
      </c>
      <c r="CW895">
        <v>96</v>
      </c>
    </row>
    <row r="896" spans="1:101" x14ac:dyDescent="0.2">
      <c r="A896" t="s">
        <v>106</v>
      </c>
      <c r="B896" s="46">
        <v>45261</v>
      </c>
      <c r="C896" t="s">
        <v>1636</v>
      </c>
      <c r="D896" t="s">
        <v>108</v>
      </c>
      <c r="E896" t="s">
        <v>1637</v>
      </c>
      <c r="F896" t="s">
        <v>3244</v>
      </c>
      <c r="G896" t="s">
        <v>111</v>
      </c>
      <c r="H896" t="s">
        <v>112</v>
      </c>
      <c r="I896" t="s">
        <v>112</v>
      </c>
      <c r="J896" t="s">
        <v>112</v>
      </c>
      <c r="K896" t="s">
        <v>150</v>
      </c>
      <c r="L896" t="s">
        <v>151</v>
      </c>
      <c r="M896" t="s">
        <v>112</v>
      </c>
      <c r="N896" t="s">
        <v>112</v>
      </c>
      <c r="Q896">
        <v>1</v>
      </c>
      <c r="R896">
        <v>33</v>
      </c>
      <c r="S896" t="s">
        <v>166</v>
      </c>
      <c r="T896" t="s">
        <v>152</v>
      </c>
      <c r="U896" t="s">
        <v>153</v>
      </c>
      <c r="V896" t="s">
        <v>154</v>
      </c>
      <c r="W896" t="s">
        <v>119</v>
      </c>
      <c r="X896" t="s">
        <v>112</v>
      </c>
      <c r="Y896" t="s">
        <v>166</v>
      </c>
      <c r="Z896" t="s">
        <v>152</v>
      </c>
      <c r="AA896" t="s">
        <v>153</v>
      </c>
      <c r="AB896" t="s">
        <v>154</v>
      </c>
      <c r="AC896" t="s">
        <v>119</v>
      </c>
      <c r="AD896" t="s">
        <v>112</v>
      </c>
      <c r="AE896" t="s">
        <v>121</v>
      </c>
      <c r="AF896" t="s">
        <v>122</v>
      </c>
      <c r="AG896">
        <v>5031367.78</v>
      </c>
      <c r="AH896" t="s">
        <v>166</v>
      </c>
      <c r="AI896" t="s">
        <v>152</v>
      </c>
      <c r="AJ896" t="s">
        <v>153</v>
      </c>
      <c r="AK896" t="s">
        <v>154</v>
      </c>
      <c r="AL896" t="s">
        <v>119</v>
      </c>
      <c r="AM896" t="s">
        <v>112</v>
      </c>
      <c r="AN896" t="s">
        <v>121</v>
      </c>
      <c r="AO896" t="s">
        <v>122</v>
      </c>
      <c r="AP896" t="s">
        <v>122</v>
      </c>
      <c r="AQ896" t="s">
        <v>124</v>
      </c>
      <c r="AR896" t="s">
        <v>125</v>
      </c>
      <c r="AT896" t="s">
        <v>126</v>
      </c>
      <c r="AU896" t="s">
        <v>155</v>
      </c>
      <c r="AV896" t="s">
        <v>156</v>
      </c>
      <c r="AX896" t="s">
        <v>129</v>
      </c>
      <c r="AY896">
        <v>45232.56</v>
      </c>
      <c r="BB896">
        <v>101.9268</v>
      </c>
      <c r="BC896" t="s">
        <v>112</v>
      </c>
      <c r="BD896" t="s">
        <v>112</v>
      </c>
      <c r="BE896" t="s">
        <v>112</v>
      </c>
      <c r="BF896" t="s">
        <v>133</v>
      </c>
      <c r="BG896" t="s">
        <v>1624</v>
      </c>
      <c r="BH896" t="s">
        <v>112</v>
      </c>
      <c r="BI896" t="s">
        <v>112</v>
      </c>
      <c r="BJ896" t="s">
        <v>112</v>
      </c>
      <c r="BK896" t="s">
        <v>112</v>
      </c>
      <c r="BL896" t="s">
        <v>112</v>
      </c>
      <c r="BM896" t="s">
        <v>112</v>
      </c>
      <c r="BN896" t="s">
        <v>161</v>
      </c>
      <c r="BP896" t="s">
        <v>205</v>
      </c>
      <c r="BR896" t="s">
        <v>150</v>
      </c>
      <c r="BS896">
        <v>33</v>
      </c>
      <c r="BU896">
        <v>0</v>
      </c>
      <c r="BY896" t="s">
        <v>106</v>
      </c>
      <c r="BZ896" t="s">
        <v>142</v>
      </c>
      <c r="CA896" t="s">
        <v>112</v>
      </c>
      <c r="CB896" t="s">
        <v>112</v>
      </c>
      <c r="CC896" t="s">
        <v>121</v>
      </c>
      <c r="CD896">
        <v>16769.09</v>
      </c>
      <c r="CE896" t="s">
        <v>144</v>
      </c>
      <c r="CF896">
        <v>4000000</v>
      </c>
      <c r="CG896">
        <v>16679.09</v>
      </c>
      <c r="CH896">
        <v>0</v>
      </c>
      <c r="CI896" t="s">
        <v>112</v>
      </c>
      <c r="CJ896" t="s">
        <v>112</v>
      </c>
      <c r="CK896">
        <v>45232.56</v>
      </c>
      <c r="CO896">
        <v>5031367.78</v>
      </c>
      <c r="CP896">
        <v>54193.38</v>
      </c>
      <c r="CQ896" t="s">
        <v>145</v>
      </c>
      <c r="CR896">
        <v>54207.042500000003</v>
      </c>
      <c r="CS896">
        <v>3.25</v>
      </c>
      <c r="CW896">
        <v>1</v>
      </c>
    </row>
    <row r="897" spans="1:101" x14ac:dyDescent="0.2">
      <c r="A897" t="s">
        <v>106</v>
      </c>
      <c r="B897" s="46">
        <v>45131</v>
      </c>
      <c r="C897" t="s">
        <v>1408</v>
      </c>
      <c r="D897" t="s">
        <v>108</v>
      </c>
      <c r="E897" t="s">
        <v>1409</v>
      </c>
      <c r="F897" t="s">
        <v>3244</v>
      </c>
      <c r="G897" t="s">
        <v>111</v>
      </c>
      <c r="H897" t="s">
        <v>112</v>
      </c>
      <c r="I897" t="s">
        <v>112</v>
      </c>
      <c r="J897" t="s">
        <v>112</v>
      </c>
      <c r="K897" t="s">
        <v>150</v>
      </c>
      <c r="L897" t="s">
        <v>1405</v>
      </c>
      <c r="M897" t="s">
        <v>112</v>
      </c>
      <c r="N897" t="s">
        <v>112</v>
      </c>
      <c r="O897">
        <v>1</v>
      </c>
      <c r="P897">
        <v>0</v>
      </c>
      <c r="Q897">
        <v>1</v>
      </c>
      <c r="R897">
        <v>33</v>
      </c>
      <c r="S897" t="s">
        <v>166</v>
      </c>
      <c r="T897" t="s">
        <v>152</v>
      </c>
      <c r="U897" t="s">
        <v>153</v>
      </c>
      <c r="V897" t="s">
        <v>154</v>
      </c>
      <c r="W897" t="s">
        <v>119</v>
      </c>
      <c r="X897" t="s">
        <v>112</v>
      </c>
      <c r="Y897" t="s">
        <v>166</v>
      </c>
      <c r="Z897" t="s">
        <v>152</v>
      </c>
      <c r="AA897" t="s">
        <v>153</v>
      </c>
      <c r="AB897" t="s">
        <v>154</v>
      </c>
      <c r="AC897" t="s">
        <v>119</v>
      </c>
      <c r="AD897" t="s">
        <v>112</v>
      </c>
      <c r="AE897" t="s">
        <v>121</v>
      </c>
      <c r="AF897" t="s">
        <v>122</v>
      </c>
      <c r="AG897">
        <v>4247683.76</v>
      </c>
      <c r="AH897" t="s">
        <v>166</v>
      </c>
      <c r="AI897" t="s">
        <v>152</v>
      </c>
      <c r="AJ897" t="s">
        <v>153</v>
      </c>
      <c r="AK897" t="s">
        <v>154</v>
      </c>
      <c r="AL897" t="s">
        <v>119</v>
      </c>
      <c r="AM897" t="s">
        <v>112</v>
      </c>
      <c r="AN897" t="s">
        <v>121</v>
      </c>
      <c r="AO897" t="s">
        <v>122</v>
      </c>
      <c r="AP897" t="s">
        <v>122</v>
      </c>
      <c r="AQ897" t="s">
        <v>124</v>
      </c>
      <c r="AR897" t="s">
        <v>125</v>
      </c>
      <c r="AS897">
        <v>2</v>
      </c>
      <c r="AT897" t="s">
        <v>126</v>
      </c>
      <c r="AU897" t="s">
        <v>155</v>
      </c>
      <c r="AV897" t="s">
        <v>156</v>
      </c>
      <c r="AW897">
        <v>1</v>
      </c>
      <c r="AX897" t="s">
        <v>129</v>
      </c>
      <c r="AY897">
        <v>40107.72</v>
      </c>
      <c r="AZ897">
        <v>3851123</v>
      </c>
      <c r="BA897">
        <v>48059.199999999997</v>
      </c>
      <c r="BB897">
        <v>96.019499999999994</v>
      </c>
      <c r="BC897" t="s">
        <v>130</v>
      </c>
      <c r="BD897" t="s">
        <v>112</v>
      </c>
      <c r="BE897" t="s">
        <v>157</v>
      </c>
      <c r="BF897" t="s">
        <v>133</v>
      </c>
      <c r="BG897" t="s">
        <v>134</v>
      </c>
      <c r="BH897" t="s">
        <v>112</v>
      </c>
      <c r="BI897" t="s">
        <v>112</v>
      </c>
      <c r="BJ897" t="s">
        <v>112</v>
      </c>
      <c r="BK897" t="s">
        <v>169</v>
      </c>
      <c r="BL897" t="s">
        <v>159</v>
      </c>
      <c r="BM897" t="s">
        <v>722</v>
      </c>
      <c r="BN897" t="s">
        <v>161</v>
      </c>
      <c r="BO897">
        <v>1</v>
      </c>
      <c r="BP897" t="s">
        <v>213</v>
      </c>
      <c r="BR897" t="s">
        <v>150</v>
      </c>
      <c r="BS897">
        <v>33</v>
      </c>
      <c r="BT897">
        <v>0</v>
      </c>
      <c r="BU897">
        <v>0</v>
      </c>
      <c r="BW897">
        <v>0</v>
      </c>
      <c r="BY897" t="s">
        <v>106</v>
      </c>
      <c r="BZ897" t="s">
        <v>142</v>
      </c>
      <c r="CA897" t="s">
        <v>112</v>
      </c>
      <c r="CB897" t="s">
        <v>112</v>
      </c>
      <c r="CC897" t="s">
        <v>121</v>
      </c>
      <c r="CD897">
        <v>17278.349999999999</v>
      </c>
      <c r="CE897" t="s">
        <v>144</v>
      </c>
      <c r="CF897">
        <v>4000000</v>
      </c>
      <c r="CG897">
        <v>17213.55</v>
      </c>
      <c r="CH897">
        <v>0</v>
      </c>
      <c r="CI897" t="s">
        <v>112</v>
      </c>
      <c r="CJ897" t="s">
        <v>112</v>
      </c>
      <c r="CK897">
        <v>40107.72</v>
      </c>
      <c r="CL897">
        <v>3851123</v>
      </c>
      <c r="CM897">
        <v>0</v>
      </c>
      <c r="CN897">
        <v>1</v>
      </c>
      <c r="CO897">
        <v>4247683.76</v>
      </c>
      <c r="CP897">
        <v>48059.199999999997</v>
      </c>
      <c r="CQ897" t="s">
        <v>145</v>
      </c>
      <c r="CR897">
        <v>48025.804499999998</v>
      </c>
      <c r="CS897">
        <v>2.79</v>
      </c>
      <c r="CT897">
        <v>45</v>
      </c>
      <c r="CU897" t="s">
        <v>171</v>
      </c>
      <c r="CV897" t="s">
        <v>350</v>
      </c>
      <c r="CW897">
        <v>163</v>
      </c>
    </row>
    <row r="898" spans="1:101" x14ac:dyDescent="0.2">
      <c r="A898" t="s">
        <v>106</v>
      </c>
      <c r="B898" s="46">
        <v>45003</v>
      </c>
      <c r="C898" t="s">
        <v>1403</v>
      </c>
      <c r="D898" t="s">
        <v>108</v>
      </c>
      <c r="E898" t="s">
        <v>1404</v>
      </c>
      <c r="F898" t="s">
        <v>3244</v>
      </c>
      <c r="G898" t="s">
        <v>111</v>
      </c>
      <c r="H898" t="s">
        <v>112</v>
      </c>
      <c r="I898" t="s">
        <v>112</v>
      </c>
      <c r="J898" t="s">
        <v>112</v>
      </c>
      <c r="K898" t="s">
        <v>150</v>
      </c>
      <c r="L898" t="s">
        <v>1405</v>
      </c>
      <c r="M898" t="s">
        <v>112</v>
      </c>
      <c r="N898" t="s">
        <v>112</v>
      </c>
      <c r="O898">
        <v>1</v>
      </c>
      <c r="P898">
        <v>0</v>
      </c>
      <c r="Q898">
        <v>1</v>
      </c>
      <c r="R898">
        <v>33</v>
      </c>
      <c r="S898" t="s">
        <v>166</v>
      </c>
      <c r="T898" t="s">
        <v>152</v>
      </c>
      <c r="U898" t="s">
        <v>153</v>
      </c>
      <c r="V898" t="s">
        <v>154</v>
      </c>
      <c r="W898" t="s">
        <v>119</v>
      </c>
      <c r="X898" t="s">
        <v>112</v>
      </c>
      <c r="Y898" t="s">
        <v>166</v>
      </c>
      <c r="Z898" t="s">
        <v>152</v>
      </c>
      <c r="AA898" t="s">
        <v>153</v>
      </c>
      <c r="AB898" t="s">
        <v>154</v>
      </c>
      <c r="AC898" t="s">
        <v>119</v>
      </c>
      <c r="AD898" t="s">
        <v>112</v>
      </c>
      <c r="AE898" t="s">
        <v>121</v>
      </c>
      <c r="AF898" t="s">
        <v>122</v>
      </c>
      <c r="AG898">
        <v>4375620.1399999997</v>
      </c>
      <c r="AH898" t="s">
        <v>166</v>
      </c>
      <c r="AI898" t="s">
        <v>152</v>
      </c>
      <c r="AJ898" t="s">
        <v>153</v>
      </c>
      <c r="AK898" t="s">
        <v>154</v>
      </c>
      <c r="AL898" t="s">
        <v>119</v>
      </c>
      <c r="AM898" t="s">
        <v>112</v>
      </c>
      <c r="AN898" t="s">
        <v>121</v>
      </c>
      <c r="AO898" t="s">
        <v>122</v>
      </c>
      <c r="AP898" t="s">
        <v>122</v>
      </c>
      <c r="AQ898" t="s">
        <v>124</v>
      </c>
      <c r="AR898" t="s">
        <v>125</v>
      </c>
      <c r="AS898">
        <v>2</v>
      </c>
      <c r="AT898" t="s">
        <v>126</v>
      </c>
      <c r="AU898" t="s">
        <v>155</v>
      </c>
      <c r="AV898" t="s">
        <v>156</v>
      </c>
      <c r="AW898">
        <v>1</v>
      </c>
      <c r="AX898" t="s">
        <v>129</v>
      </c>
      <c r="AY898">
        <v>40920.120000000003</v>
      </c>
      <c r="AZ898">
        <v>3929129</v>
      </c>
      <c r="BA898">
        <v>49506.7</v>
      </c>
      <c r="BB898">
        <v>96.019499999999994</v>
      </c>
      <c r="BC898" t="s">
        <v>130</v>
      </c>
      <c r="BD898" t="s">
        <v>112</v>
      </c>
      <c r="BE898" t="s">
        <v>157</v>
      </c>
      <c r="BF898" t="s">
        <v>133</v>
      </c>
      <c r="BG898" t="s">
        <v>134</v>
      </c>
      <c r="BH898" t="s">
        <v>112</v>
      </c>
      <c r="BI898" t="s">
        <v>112</v>
      </c>
      <c r="BJ898" t="s">
        <v>112</v>
      </c>
      <c r="BK898" t="s">
        <v>169</v>
      </c>
      <c r="BL898" t="s">
        <v>159</v>
      </c>
      <c r="BM898" t="s">
        <v>722</v>
      </c>
      <c r="BN898" t="s">
        <v>161</v>
      </c>
      <c r="BO898">
        <v>1</v>
      </c>
      <c r="BP898" t="s">
        <v>232</v>
      </c>
      <c r="BR898" t="s">
        <v>150</v>
      </c>
      <c r="BS898">
        <v>33</v>
      </c>
      <c r="BT898">
        <v>0</v>
      </c>
      <c r="BU898">
        <v>0</v>
      </c>
      <c r="BW898">
        <v>0</v>
      </c>
      <c r="BY898" t="s">
        <v>106</v>
      </c>
      <c r="BZ898" t="s">
        <v>142</v>
      </c>
      <c r="CA898" t="s">
        <v>112</v>
      </c>
      <c r="CB898" t="s">
        <v>112</v>
      </c>
      <c r="CC898" t="s">
        <v>121</v>
      </c>
      <c r="CD898">
        <v>15928.6</v>
      </c>
      <c r="CE898" t="s">
        <v>144</v>
      </c>
      <c r="CF898">
        <v>4000000</v>
      </c>
      <c r="CG898">
        <v>15723.4</v>
      </c>
      <c r="CH898">
        <v>0</v>
      </c>
      <c r="CI898" t="s">
        <v>112</v>
      </c>
      <c r="CJ898" t="s">
        <v>112</v>
      </c>
      <c r="CK898">
        <v>40920.120000000003</v>
      </c>
      <c r="CL898">
        <v>3929129</v>
      </c>
      <c r="CM898">
        <v>0</v>
      </c>
      <c r="CN898">
        <v>1</v>
      </c>
      <c r="CO898">
        <v>4375620.1399999997</v>
      </c>
      <c r="CP898">
        <v>49506.7</v>
      </c>
      <c r="CQ898" t="s">
        <v>145</v>
      </c>
      <c r="CR898">
        <v>49528.71</v>
      </c>
      <c r="CS898">
        <v>3.15</v>
      </c>
      <c r="CT898">
        <v>45</v>
      </c>
      <c r="CU898" t="s">
        <v>171</v>
      </c>
      <c r="CV898" t="s">
        <v>372</v>
      </c>
      <c r="CW898">
        <v>117</v>
      </c>
    </row>
    <row r="899" spans="1:101" x14ac:dyDescent="0.2">
      <c r="A899" t="s">
        <v>106</v>
      </c>
      <c r="B899" s="46">
        <v>45059</v>
      </c>
      <c r="C899" t="s">
        <v>1414</v>
      </c>
      <c r="D899" t="s">
        <v>108</v>
      </c>
      <c r="E899" t="s">
        <v>1415</v>
      </c>
      <c r="F899" t="s">
        <v>3244</v>
      </c>
      <c r="G899" t="s">
        <v>111</v>
      </c>
      <c r="H899" t="s">
        <v>112</v>
      </c>
      <c r="I899" t="s">
        <v>112</v>
      </c>
      <c r="J899" t="s">
        <v>112</v>
      </c>
      <c r="K899" t="s">
        <v>150</v>
      </c>
      <c r="L899" t="s">
        <v>1405</v>
      </c>
      <c r="M899" t="s">
        <v>112</v>
      </c>
      <c r="N899" t="s">
        <v>112</v>
      </c>
      <c r="O899">
        <v>1</v>
      </c>
      <c r="P899">
        <v>0</v>
      </c>
      <c r="Q899">
        <v>1</v>
      </c>
      <c r="R899">
        <v>33</v>
      </c>
      <c r="S899" t="s">
        <v>166</v>
      </c>
      <c r="T899" t="s">
        <v>152</v>
      </c>
      <c r="U899" t="s">
        <v>153</v>
      </c>
      <c r="V899" t="s">
        <v>154</v>
      </c>
      <c r="W899" t="s">
        <v>119</v>
      </c>
      <c r="X899" t="s">
        <v>112</v>
      </c>
      <c r="Y899" t="s">
        <v>166</v>
      </c>
      <c r="Z899" t="s">
        <v>152</v>
      </c>
      <c r="AA899" t="s">
        <v>153</v>
      </c>
      <c r="AB899" t="s">
        <v>154</v>
      </c>
      <c r="AC899" t="s">
        <v>119</v>
      </c>
      <c r="AD899" t="s">
        <v>112</v>
      </c>
      <c r="AE899" t="s">
        <v>121</v>
      </c>
      <c r="AF899" t="s">
        <v>122</v>
      </c>
      <c r="AG899">
        <v>4642170.2699999996</v>
      </c>
      <c r="AH899" t="s">
        <v>166</v>
      </c>
      <c r="AI899" t="s">
        <v>152</v>
      </c>
      <c r="AJ899" t="s">
        <v>153</v>
      </c>
      <c r="AK899" t="s">
        <v>154</v>
      </c>
      <c r="AL899" t="s">
        <v>119</v>
      </c>
      <c r="AM899" t="s">
        <v>112</v>
      </c>
      <c r="AN899" t="s">
        <v>121</v>
      </c>
      <c r="AO899" t="s">
        <v>122</v>
      </c>
      <c r="AP899" t="s">
        <v>122</v>
      </c>
      <c r="AQ899" t="s">
        <v>124</v>
      </c>
      <c r="AR899" t="s">
        <v>125</v>
      </c>
      <c r="AS899">
        <v>2</v>
      </c>
      <c r="AT899" t="s">
        <v>126</v>
      </c>
      <c r="AU899" t="s">
        <v>155</v>
      </c>
      <c r="AV899" t="s">
        <v>156</v>
      </c>
      <c r="AW899">
        <v>1</v>
      </c>
      <c r="AX899" t="s">
        <v>129</v>
      </c>
      <c r="AY899">
        <v>44216.12</v>
      </c>
      <c r="AZ899">
        <v>4245610</v>
      </c>
      <c r="BA899">
        <v>52522.51</v>
      </c>
      <c r="BB899">
        <v>96.019499999999994</v>
      </c>
      <c r="BC899" t="s">
        <v>130</v>
      </c>
      <c r="BD899" t="s">
        <v>112</v>
      </c>
      <c r="BE899" t="s">
        <v>157</v>
      </c>
      <c r="BF899" t="s">
        <v>133</v>
      </c>
      <c r="BG899" t="s">
        <v>134</v>
      </c>
      <c r="BH899" t="s">
        <v>112</v>
      </c>
      <c r="BI899" t="s">
        <v>112</v>
      </c>
      <c r="BJ899" t="s">
        <v>112</v>
      </c>
      <c r="BK899" t="s">
        <v>169</v>
      </c>
      <c r="BL899" t="s">
        <v>159</v>
      </c>
      <c r="BM899" t="s">
        <v>722</v>
      </c>
      <c r="BN899" t="s">
        <v>161</v>
      </c>
      <c r="BO899">
        <v>1</v>
      </c>
      <c r="BP899" t="s">
        <v>232</v>
      </c>
      <c r="BR899" t="s">
        <v>150</v>
      </c>
      <c r="BS899">
        <v>33</v>
      </c>
      <c r="BT899">
        <v>0</v>
      </c>
      <c r="BU899">
        <v>0</v>
      </c>
      <c r="BW899">
        <v>0</v>
      </c>
      <c r="BY899" t="s">
        <v>106</v>
      </c>
      <c r="BZ899" t="s">
        <v>142</v>
      </c>
      <c r="CA899" t="s">
        <v>112</v>
      </c>
      <c r="CB899" t="s">
        <v>112</v>
      </c>
      <c r="CC899" t="s">
        <v>121</v>
      </c>
      <c r="CD899">
        <v>15715.68</v>
      </c>
      <c r="CE899" t="s">
        <v>144</v>
      </c>
      <c r="CF899">
        <v>4000000</v>
      </c>
      <c r="CG899">
        <v>15460.68</v>
      </c>
      <c r="CH899">
        <v>0</v>
      </c>
      <c r="CI899" t="s">
        <v>112</v>
      </c>
      <c r="CJ899" t="s">
        <v>112</v>
      </c>
      <c r="CK899">
        <v>44216.12</v>
      </c>
      <c r="CL899">
        <v>4245610</v>
      </c>
      <c r="CM899">
        <v>0</v>
      </c>
      <c r="CN899">
        <v>1</v>
      </c>
      <c r="CO899">
        <v>4642170.2699999996</v>
      </c>
      <c r="CP899">
        <v>52522.51</v>
      </c>
      <c r="CQ899" t="s">
        <v>145</v>
      </c>
      <c r="CR899">
        <v>52566.311999999998</v>
      </c>
      <c r="CS899">
        <v>3.4</v>
      </c>
      <c r="CT899">
        <v>45</v>
      </c>
      <c r="CU899" t="s">
        <v>171</v>
      </c>
      <c r="CV899" t="s">
        <v>463</v>
      </c>
      <c r="CW899">
        <v>583</v>
      </c>
    </row>
    <row r="900" spans="1:101" x14ac:dyDescent="0.2">
      <c r="A900" t="s">
        <v>106</v>
      </c>
      <c r="B900" s="46">
        <v>44991</v>
      </c>
      <c r="C900" t="s">
        <v>1410</v>
      </c>
      <c r="D900" t="s">
        <v>108</v>
      </c>
      <c r="E900" t="s">
        <v>1411</v>
      </c>
      <c r="F900" t="s">
        <v>3244</v>
      </c>
      <c r="G900" t="s">
        <v>111</v>
      </c>
      <c r="H900" t="s">
        <v>112</v>
      </c>
      <c r="I900" t="s">
        <v>112</v>
      </c>
      <c r="J900" t="s">
        <v>112</v>
      </c>
      <c r="K900" t="s">
        <v>150</v>
      </c>
      <c r="L900" t="s">
        <v>1405</v>
      </c>
      <c r="M900" t="s">
        <v>112</v>
      </c>
      <c r="N900" t="s">
        <v>112</v>
      </c>
      <c r="O900">
        <v>1</v>
      </c>
      <c r="P900">
        <v>0</v>
      </c>
      <c r="Q900">
        <v>1</v>
      </c>
      <c r="R900">
        <v>33</v>
      </c>
      <c r="S900" t="s">
        <v>166</v>
      </c>
      <c r="T900" t="s">
        <v>152</v>
      </c>
      <c r="U900" t="s">
        <v>153</v>
      </c>
      <c r="V900" t="s">
        <v>154</v>
      </c>
      <c r="W900" t="s">
        <v>119</v>
      </c>
      <c r="X900" t="s">
        <v>112</v>
      </c>
      <c r="Y900" t="s">
        <v>166</v>
      </c>
      <c r="Z900" t="s">
        <v>152</v>
      </c>
      <c r="AA900" t="s">
        <v>153</v>
      </c>
      <c r="AB900" t="s">
        <v>154</v>
      </c>
      <c r="AC900" t="s">
        <v>119</v>
      </c>
      <c r="AD900" t="s">
        <v>112</v>
      </c>
      <c r="AE900" t="s">
        <v>121</v>
      </c>
      <c r="AF900" t="s">
        <v>122</v>
      </c>
      <c r="AG900">
        <v>4744573.1500000004</v>
      </c>
      <c r="AH900" t="s">
        <v>166</v>
      </c>
      <c r="AI900" t="s">
        <v>152</v>
      </c>
      <c r="AJ900" t="s">
        <v>153</v>
      </c>
      <c r="AK900" t="s">
        <v>154</v>
      </c>
      <c r="AL900" t="s">
        <v>119</v>
      </c>
      <c r="AM900" t="s">
        <v>112</v>
      </c>
      <c r="AN900" t="s">
        <v>121</v>
      </c>
      <c r="AO900" t="s">
        <v>122</v>
      </c>
      <c r="AP900" t="s">
        <v>122</v>
      </c>
      <c r="AQ900" t="s">
        <v>124</v>
      </c>
      <c r="AR900" t="s">
        <v>125</v>
      </c>
      <c r="AS900">
        <v>2</v>
      </c>
      <c r="AT900" t="s">
        <v>126</v>
      </c>
      <c r="AU900" t="s">
        <v>155</v>
      </c>
      <c r="AV900" t="s">
        <v>156</v>
      </c>
      <c r="AW900">
        <v>1</v>
      </c>
      <c r="AX900" t="s">
        <v>129</v>
      </c>
      <c r="AY900">
        <v>45282.6</v>
      </c>
      <c r="AZ900">
        <v>4348013</v>
      </c>
      <c r="BA900">
        <v>53681.120000000003</v>
      </c>
      <c r="BB900">
        <v>96.019499999999994</v>
      </c>
      <c r="BC900" t="s">
        <v>130</v>
      </c>
      <c r="BD900" t="s">
        <v>112</v>
      </c>
      <c r="BE900" t="s">
        <v>157</v>
      </c>
      <c r="BF900" t="s">
        <v>133</v>
      </c>
      <c r="BG900" t="s">
        <v>167</v>
      </c>
      <c r="BH900" t="s">
        <v>168</v>
      </c>
      <c r="BI900" t="s">
        <v>112</v>
      </c>
      <c r="BJ900" t="s">
        <v>112</v>
      </c>
      <c r="BK900" t="s">
        <v>169</v>
      </c>
      <c r="BL900" t="s">
        <v>159</v>
      </c>
      <c r="BM900" t="s">
        <v>726</v>
      </c>
      <c r="BN900" t="s">
        <v>161</v>
      </c>
      <c r="BO900">
        <v>1</v>
      </c>
      <c r="BP900" t="s">
        <v>1967</v>
      </c>
      <c r="BR900" t="s">
        <v>150</v>
      </c>
      <c r="BS900">
        <v>33</v>
      </c>
      <c r="BT900">
        <v>0</v>
      </c>
      <c r="BU900">
        <v>0</v>
      </c>
      <c r="BW900">
        <v>0</v>
      </c>
      <c r="BY900" t="s">
        <v>106</v>
      </c>
      <c r="BZ900" t="s">
        <v>142</v>
      </c>
      <c r="CA900" t="s">
        <v>112</v>
      </c>
      <c r="CB900" t="s">
        <v>112</v>
      </c>
      <c r="CC900" t="s">
        <v>121</v>
      </c>
      <c r="CD900">
        <v>16164.72</v>
      </c>
      <c r="CE900" t="s">
        <v>144</v>
      </c>
      <c r="CF900">
        <v>4000000</v>
      </c>
      <c r="CG900">
        <v>16164.72</v>
      </c>
      <c r="CH900">
        <v>0</v>
      </c>
      <c r="CI900" t="s">
        <v>112</v>
      </c>
      <c r="CJ900" t="s">
        <v>112</v>
      </c>
      <c r="CK900">
        <v>45282.6</v>
      </c>
      <c r="CL900">
        <v>4348013</v>
      </c>
      <c r="CM900">
        <v>0</v>
      </c>
      <c r="CN900">
        <v>1</v>
      </c>
      <c r="CO900">
        <v>4744573.1500000004</v>
      </c>
      <c r="CP900">
        <v>53681.120000000003</v>
      </c>
      <c r="CQ900" t="s">
        <v>145</v>
      </c>
      <c r="CR900">
        <v>53666.870399999993</v>
      </c>
      <c r="CS900">
        <v>3.32</v>
      </c>
      <c r="CT900">
        <v>45</v>
      </c>
      <c r="CU900" t="s">
        <v>171</v>
      </c>
      <c r="CV900" t="s">
        <v>350</v>
      </c>
      <c r="CW900">
        <v>301</v>
      </c>
    </row>
    <row r="901" spans="1:101" x14ac:dyDescent="0.2">
      <c r="A901" t="s">
        <v>106</v>
      </c>
      <c r="B901" s="46">
        <v>45060</v>
      </c>
      <c r="C901" t="s">
        <v>1412</v>
      </c>
      <c r="D901" t="s">
        <v>108</v>
      </c>
      <c r="E901" t="s">
        <v>1413</v>
      </c>
      <c r="F901" t="s">
        <v>3244</v>
      </c>
      <c r="G901" t="s">
        <v>111</v>
      </c>
      <c r="H901" t="s">
        <v>112</v>
      </c>
      <c r="I901" t="s">
        <v>112</v>
      </c>
      <c r="J901" t="s">
        <v>112</v>
      </c>
      <c r="K901" t="s">
        <v>150</v>
      </c>
      <c r="L901" t="s">
        <v>1405</v>
      </c>
      <c r="M901" t="s">
        <v>112</v>
      </c>
      <c r="N901" t="s">
        <v>112</v>
      </c>
      <c r="O901">
        <v>1</v>
      </c>
      <c r="P901">
        <v>0</v>
      </c>
      <c r="Q901">
        <v>1</v>
      </c>
      <c r="R901">
        <v>33</v>
      </c>
      <c r="S901" t="s">
        <v>166</v>
      </c>
      <c r="T901" t="s">
        <v>152</v>
      </c>
      <c r="U901" t="s">
        <v>153</v>
      </c>
      <c r="V901" t="s">
        <v>154</v>
      </c>
      <c r="W901" t="s">
        <v>119</v>
      </c>
      <c r="X901" t="s">
        <v>112</v>
      </c>
      <c r="Y901" t="s">
        <v>166</v>
      </c>
      <c r="Z901" t="s">
        <v>152</v>
      </c>
      <c r="AA901" t="s">
        <v>153</v>
      </c>
      <c r="AB901" t="s">
        <v>154</v>
      </c>
      <c r="AC901" t="s">
        <v>119</v>
      </c>
      <c r="AD901" t="s">
        <v>112</v>
      </c>
      <c r="AE901" t="s">
        <v>121</v>
      </c>
      <c r="AF901" t="s">
        <v>122</v>
      </c>
      <c r="AG901">
        <v>4603524.3499999996</v>
      </c>
      <c r="AH901" t="s">
        <v>166</v>
      </c>
      <c r="AI901" t="s">
        <v>152</v>
      </c>
      <c r="AJ901" t="s">
        <v>153</v>
      </c>
      <c r="AK901" t="s">
        <v>154</v>
      </c>
      <c r="AL901" t="s">
        <v>119</v>
      </c>
      <c r="AM901" t="s">
        <v>112</v>
      </c>
      <c r="AN901" t="s">
        <v>121</v>
      </c>
      <c r="AO901" t="s">
        <v>122</v>
      </c>
      <c r="AP901" t="s">
        <v>122</v>
      </c>
      <c r="AQ901" t="s">
        <v>124</v>
      </c>
      <c r="AR901" t="s">
        <v>125</v>
      </c>
      <c r="AS901">
        <v>2</v>
      </c>
      <c r="AT901" t="s">
        <v>126</v>
      </c>
      <c r="AU901" t="s">
        <v>155</v>
      </c>
      <c r="AV901" t="s">
        <v>156</v>
      </c>
      <c r="AW901">
        <v>1</v>
      </c>
      <c r="AX901" t="s">
        <v>129</v>
      </c>
      <c r="AY901">
        <v>43293.64</v>
      </c>
      <c r="AZ901">
        <v>4157034</v>
      </c>
      <c r="BA901">
        <v>52085.26</v>
      </c>
      <c r="BB901">
        <v>96.019499999999994</v>
      </c>
      <c r="BC901" t="s">
        <v>130</v>
      </c>
      <c r="BD901" t="s">
        <v>112</v>
      </c>
      <c r="BE901" t="s">
        <v>157</v>
      </c>
      <c r="BF901" t="s">
        <v>133</v>
      </c>
      <c r="BG901" t="s">
        <v>167</v>
      </c>
      <c r="BH901" t="s">
        <v>168</v>
      </c>
      <c r="BI901" t="s">
        <v>112</v>
      </c>
      <c r="BJ901" t="s">
        <v>112</v>
      </c>
      <c r="BK901" t="s">
        <v>169</v>
      </c>
      <c r="BL901" t="s">
        <v>159</v>
      </c>
      <c r="BM901" t="s">
        <v>726</v>
      </c>
      <c r="BN901" t="s">
        <v>161</v>
      </c>
      <c r="BO901">
        <v>1</v>
      </c>
      <c r="BP901" t="s">
        <v>653</v>
      </c>
      <c r="BR901" t="s">
        <v>150</v>
      </c>
      <c r="BS901">
        <v>33</v>
      </c>
      <c r="BT901">
        <v>0</v>
      </c>
      <c r="BU901">
        <v>0</v>
      </c>
      <c r="BW901">
        <v>0</v>
      </c>
      <c r="BY901" t="s">
        <v>106</v>
      </c>
      <c r="BZ901" t="s">
        <v>142</v>
      </c>
      <c r="CA901" t="s">
        <v>112</v>
      </c>
      <c r="CB901" t="s">
        <v>112</v>
      </c>
      <c r="CC901" t="s">
        <v>121</v>
      </c>
      <c r="CD901">
        <v>16694.16</v>
      </c>
      <c r="CE901" t="s">
        <v>144</v>
      </c>
      <c r="CF901">
        <v>4000000</v>
      </c>
      <c r="CG901">
        <v>16650.96</v>
      </c>
      <c r="CH901">
        <v>0</v>
      </c>
      <c r="CI901" t="s">
        <v>112</v>
      </c>
      <c r="CJ901" t="s">
        <v>112</v>
      </c>
      <c r="CK901">
        <v>43293.64</v>
      </c>
      <c r="CL901">
        <v>4157034</v>
      </c>
      <c r="CM901">
        <v>0</v>
      </c>
      <c r="CN901">
        <v>1</v>
      </c>
      <c r="CO901">
        <v>4603524.3499999996</v>
      </c>
      <c r="CP901">
        <v>52085.26</v>
      </c>
      <c r="CQ901" t="s">
        <v>145</v>
      </c>
      <c r="CR901">
        <v>52117.504799999995</v>
      </c>
      <c r="CS901">
        <v>3.13</v>
      </c>
      <c r="CT901">
        <v>45</v>
      </c>
      <c r="CU901" t="s">
        <v>171</v>
      </c>
      <c r="CV901" t="s">
        <v>372</v>
      </c>
      <c r="CW901">
        <v>301</v>
      </c>
    </row>
    <row r="902" spans="1:101" x14ac:dyDescent="0.2">
      <c r="A902" t="s">
        <v>106</v>
      </c>
      <c r="B902" s="46">
        <v>44999</v>
      </c>
      <c r="C902" t="s">
        <v>1119</v>
      </c>
      <c r="D902" t="s">
        <v>108</v>
      </c>
      <c r="E902" t="s">
        <v>1120</v>
      </c>
      <c r="F902" t="s">
        <v>3244</v>
      </c>
      <c r="G902" t="s">
        <v>111</v>
      </c>
      <c r="H902" t="s">
        <v>112</v>
      </c>
      <c r="I902" t="s">
        <v>112</v>
      </c>
      <c r="J902" t="s">
        <v>112</v>
      </c>
      <c r="K902" t="s">
        <v>150</v>
      </c>
      <c r="L902" t="s">
        <v>1103</v>
      </c>
      <c r="M902" t="s">
        <v>112</v>
      </c>
      <c r="N902" t="s">
        <v>112</v>
      </c>
      <c r="O902">
        <v>1</v>
      </c>
      <c r="P902">
        <v>0</v>
      </c>
      <c r="Q902">
        <v>1</v>
      </c>
      <c r="R902">
        <v>33</v>
      </c>
      <c r="S902" t="s">
        <v>166</v>
      </c>
      <c r="T902" t="s">
        <v>152</v>
      </c>
      <c r="U902" t="s">
        <v>153</v>
      </c>
      <c r="V902" t="s">
        <v>154</v>
      </c>
      <c r="W902" t="s">
        <v>119</v>
      </c>
      <c r="X902" t="s">
        <v>112</v>
      </c>
      <c r="Y902" t="s">
        <v>166</v>
      </c>
      <c r="Z902" t="s">
        <v>152</v>
      </c>
      <c r="AA902" t="s">
        <v>153</v>
      </c>
      <c r="AB902" t="s">
        <v>154</v>
      </c>
      <c r="AC902" t="s">
        <v>119</v>
      </c>
      <c r="AD902" t="s">
        <v>112</v>
      </c>
      <c r="AE902" t="s">
        <v>121</v>
      </c>
      <c r="AF902" t="s">
        <v>122</v>
      </c>
      <c r="AG902">
        <v>4044460.94</v>
      </c>
      <c r="AH902" t="s">
        <v>166</v>
      </c>
      <c r="AI902" t="s">
        <v>152</v>
      </c>
      <c r="AJ902" t="s">
        <v>153</v>
      </c>
      <c r="AK902" t="s">
        <v>154</v>
      </c>
      <c r="AL902" t="s">
        <v>119</v>
      </c>
      <c r="AM902" t="s">
        <v>112</v>
      </c>
      <c r="AN902" t="s">
        <v>121</v>
      </c>
      <c r="AO902" t="s">
        <v>122</v>
      </c>
      <c r="AP902" t="s">
        <v>122</v>
      </c>
      <c r="AQ902" t="s">
        <v>124</v>
      </c>
      <c r="AR902" t="s">
        <v>125</v>
      </c>
      <c r="AS902">
        <v>2</v>
      </c>
      <c r="AT902" t="s">
        <v>126</v>
      </c>
      <c r="AU902" t="s">
        <v>155</v>
      </c>
      <c r="AV902" t="s">
        <v>156</v>
      </c>
      <c r="AW902">
        <v>1</v>
      </c>
      <c r="AX902" t="s">
        <v>129</v>
      </c>
      <c r="AY902">
        <v>41790.36</v>
      </c>
      <c r="AZ902">
        <v>3663159</v>
      </c>
      <c r="BA902">
        <v>50580.480000000003</v>
      </c>
      <c r="BB902">
        <v>87.655600000000007</v>
      </c>
      <c r="BC902" t="s">
        <v>130</v>
      </c>
      <c r="BD902" t="s">
        <v>112</v>
      </c>
      <c r="BE902" t="s">
        <v>157</v>
      </c>
      <c r="BF902" t="s">
        <v>133</v>
      </c>
      <c r="BG902" t="s">
        <v>134</v>
      </c>
      <c r="BH902" t="s">
        <v>112</v>
      </c>
      <c r="BI902" t="s">
        <v>112</v>
      </c>
      <c r="BJ902" t="s">
        <v>112</v>
      </c>
      <c r="BK902" t="s">
        <v>169</v>
      </c>
      <c r="BL902" t="s">
        <v>159</v>
      </c>
      <c r="BM902" t="s">
        <v>722</v>
      </c>
      <c r="BN902" t="s">
        <v>161</v>
      </c>
      <c r="BO902">
        <v>1</v>
      </c>
      <c r="BP902" t="s">
        <v>1121</v>
      </c>
      <c r="BR902" t="s">
        <v>150</v>
      </c>
      <c r="BS902">
        <v>33</v>
      </c>
      <c r="BT902">
        <v>0</v>
      </c>
      <c r="BU902">
        <v>0</v>
      </c>
      <c r="BW902">
        <v>0</v>
      </c>
      <c r="BY902" t="s">
        <v>106</v>
      </c>
      <c r="BZ902" t="s">
        <v>142</v>
      </c>
      <c r="CA902" t="s">
        <v>112</v>
      </c>
      <c r="CB902" t="s">
        <v>112</v>
      </c>
      <c r="CC902" t="s">
        <v>121</v>
      </c>
      <c r="CD902">
        <v>17246.39</v>
      </c>
      <c r="CE902" t="s">
        <v>144</v>
      </c>
      <c r="CF902">
        <v>4000000</v>
      </c>
      <c r="CG902">
        <v>17246.39</v>
      </c>
      <c r="CH902">
        <v>0</v>
      </c>
      <c r="CI902" t="s">
        <v>112</v>
      </c>
      <c r="CJ902" t="s">
        <v>112</v>
      </c>
      <c r="CK902">
        <v>41790.36</v>
      </c>
      <c r="CL902">
        <v>3663159</v>
      </c>
      <c r="CM902">
        <v>0</v>
      </c>
      <c r="CN902">
        <v>1</v>
      </c>
      <c r="CO902">
        <v>4044460.94</v>
      </c>
      <c r="CP902">
        <v>50580.480000000003</v>
      </c>
      <c r="CQ902" t="s">
        <v>145</v>
      </c>
      <c r="CR902">
        <v>50580.212591999996</v>
      </c>
      <c r="CS902">
        <v>2.9327999999999999</v>
      </c>
      <c r="CT902">
        <v>45</v>
      </c>
      <c r="CU902" t="s">
        <v>171</v>
      </c>
      <c r="CV902" t="s">
        <v>172</v>
      </c>
      <c r="CW902">
        <v>211</v>
      </c>
    </row>
    <row r="903" spans="1:101" x14ac:dyDescent="0.2">
      <c r="A903" t="s">
        <v>106</v>
      </c>
      <c r="B903" s="46">
        <v>45166</v>
      </c>
      <c r="C903" t="s">
        <v>1117</v>
      </c>
      <c r="D903" t="s">
        <v>108</v>
      </c>
      <c r="E903" t="s">
        <v>1118</v>
      </c>
      <c r="F903" t="s">
        <v>3244</v>
      </c>
      <c r="G903" t="s">
        <v>111</v>
      </c>
      <c r="H903" t="s">
        <v>112</v>
      </c>
      <c r="I903" t="s">
        <v>112</v>
      </c>
      <c r="J903" t="s">
        <v>112</v>
      </c>
      <c r="K903" t="s">
        <v>150</v>
      </c>
      <c r="L903" t="s">
        <v>1103</v>
      </c>
      <c r="M903" t="s">
        <v>112</v>
      </c>
      <c r="N903" t="s">
        <v>112</v>
      </c>
      <c r="O903">
        <v>1</v>
      </c>
      <c r="P903">
        <v>0</v>
      </c>
      <c r="Q903">
        <v>1</v>
      </c>
      <c r="R903">
        <v>33</v>
      </c>
      <c r="S903" t="s">
        <v>166</v>
      </c>
      <c r="T903" t="s">
        <v>152</v>
      </c>
      <c r="U903" t="s">
        <v>153</v>
      </c>
      <c r="V903" t="s">
        <v>154</v>
      </c>
      <c r="W903" t="s">
        <v>119</v>
      </c>
      <c r="X903" t="s">
        <v>112</v>
      </c>
      <c r="Y903" t="s">
        <v>166</v>
      </c>
      <c r="Z903" t="s">
        <v>152</v>
      </c>
      <c r="AA903" t="s">
        <v>153</v>
      </c>
      <c r="AB903" t="s">
        <v>154</v>
      </c>
      <c r="AC903" t="s">
        <v>119</v>
      </c>
      <c r="AD903" t="s">
        <v>112</v>
      </c>
      <c r="AE903" t="s">
        <v>121</v>
      </c>
      <c r="AF903" t="s">
        <v>122</v>
      </c>
      <c r="AG903">
        <v>4105381.58</v>
      </c>
      <c r="AH903" t="s">
        <v>166</v>
      </c>
      <c r="AI903" t="s">
        <v>152</v>
      </c>
      <c r="AJ903" t="s">
        <v>153</v>
      </c>
      <c r="AK903" t="s">
        <v>154</v>
      </c>
      <c r="AL903" t="s">
        <v>119</v>
      </c>
      <c r="AM903" t="s">
        <v>112</v>
      </c>
      <c r="AN903" t="s">
        <v>121</v>
      </c>
      <c r="AO903" t="s">
        <v>122</v>
      </c>
      <c r="AP903" t="s">
        <v>122</v>
      </c>
      <c r="AQ903" t="s">
        <v>124</v>
      </c>
      <c r="AR903" t="s">
        <v>125</v>
      </c>
      <c r="AS903">
        <v>2</v>
      </c>
      <c r="AT903" t="s">
        <v>126</v>
      </c>
      <c r="AU903" t="s">
        <v>155</v>
      </c>
      <c r="AV903" t="s">
        <v>156</v>
      </c>
      <c r="AW903">
        <v>1</v>
      </c>
      <c r="AX903" t="s">
        <v>129</v>
      </c>
      <c r="AY903">
        <v>42485.36</v>
      </c>
      <c r="AZ903">
        <v>3724080</v>
      </c>
      <c r="BA903">
        <v>51342.36</v>
      </c>
      <c r="BB903">
        <v>87.655600000000007</v>
      </c>
      <c r="BC903" t="s">
        <v>130</v>
      </c>
      <c r="BD903" t="s">
        <v>112</v>
      </c>
      <c r="BE903" t="s">
        <v>157</v>
      </c>
      <c r="BF903" t="s">
        <v>133</v>
      </c>
      <c r="BG903" t="s">
        <v>134</v>
      </c>
      <c r="BH903" t="s">
        <v>112</v>
      </c>
      <c r="BI903" t="s">
        <v>112</v>
      </c>
      <c r="BJ903" t="s">
        <v>112</v>
      </c>
      <c r="BK903" t="s">
        <v>169</v>
      </c>
      <c r="BL903" t="s">
        <v>159</v>
      </c>
      <c r="BM903" t="s">
        <v>722</v>
      </c>
      <c r="BN903" t="s">
        <v>161</v>
      </c>
      <c r="BO903">
        <v>1</v>
      </c>
      <c r="BP903" t="s">
        <v>205</v>
      </c>
      <c r="BR903" t="s">
        <v>150</v>
      </c>
      <c r="BS903">
        <v>33</v>
      </c>
      <c r="BT903">
        <v>0</v>
      </c>
      <c r="BU903">
        <v>0</v>
      </c>
      <c r="BW903">
        <v>0</v>
      </c>
      <c r="BY903" t="s">
        <v>106</v>
      </c>
      <c r="BZ903" t="s">
        <v>142</v>
      </c>
      <c r="CA903" t="s">
        <v>112</v>
      </c>
      <c r="CB903" t="s">
        <v>112</v>
      </c>
      <c r="CC903" t="s">
        <v>121</v>
      </c>
      <c r="CD903">
        <v>17038.71</v>
      </c>
      <c r="CE903" t="s">
        <v>144</v>
      </c>
      <c r="CF903">
        <v>4000000</v>
      </c>
      <c r="CG903">
        <v>17038.71</v>
      </c>
      <c r="CH903">
        <v>0</v>
      </c>
      <c r="CI903" t="s">
        <v>112</v>
      </c>
      <c r="CJ903" t="s">
        <v>112</v>
      </c>
      <c r="CK903">
        <v>42485.36</v>
      </c>
      <c r="CL903">
        <v>3724080</v>
      </c>
      <c r="CM903">
        <v>0</v>
      </c>
      <c r="CN903">
        <v>1</v>
      </c>
      <c r="CO903">
        <v>4105381.58</v>
      </c>
      <c r="CP903">
        <v>51342.36</v>
      </c>
      <c r="CQ903" t="s">
        <v>145</v>
      </c>
      <c r="CR903">
        <v>51342.744843</v>
      </c>
      <c r="CS903">
        <v>3.0133000000000001</v>
      </c>
      <c r="CT903">
        <v>45</v>
      </c>
      <c r="CU903" t="s">
        <v>171</v>
      </c>
      <c r="CV903" t="s">
        <v>172</v>
      </c>
      <c r="CW903">
        <v>300</v>
      </c>
    </row>
    <row r="904" spans="1:101" x14ac:dyDescent="0.2">
      <c r="A904" t="s">
        <v>106</v>
      </c>
      <c r="B904" s="46">
        <v>45241</v>
      </c>
      <c r="C904" t="s">
        <v>990</v>
      </c>
      <c r="D904" t="s">
        <v>108</v>
      </c>
      <c r="E904" t="s">
        <v>991</v>
      </c>
      <c r="F904" t="s">
        <v>3244</v>
      </c>
      <c r="G904" t="s">
        <v>111</v>
      </c>
      <c r="H904" t="s">
        <v>112</v>
      </c>
      <c r="I904" t="s">
        <v>112</v>
      </c>
      <c r="J904" t="s">
        <v>112</v>
      </c>
      <c r="K904" t="s">
        <v>150</v>
      </c>
      <c r="L904" t="s">
        <v>151</v>
      </c>
      <c r="M904" t="s">
        <v>112</v>
      </c>
      <c r="N904" t="s">
        <v>112</v>
      </c>
      <c r="O904">
        <v>1</v>
      </c>
      <c r="P904">
        <v>0</v>
      </c>
      <c r="Q904">
        <v>1</v>
      </c>
      <c r="R904">
        <v>33</v>
      </c>
      <c r="S904" t="s">
        <v>166</v>
      </c>
      <c r="T904" t="s">
        <v>152</v>
      </c>
      <c r="U904" t="s">
        <v>153</v>
      </c>
      <c r="V904" t="s">
        <v>154</v>
      </c>
      <c r="W904" t="s">
        <v>119</v>
      </c>
      <c r="X904" t="s">
        <v>112</v>
      </c>
      <c r="Y904" t="s">
        <v>166</v>
      </c>
      <c r="Z904" t="s">
        <v>152</v>
      </c>
      <c r="AA904" t="s">
        <v>153</v>
      </c>
      <c r="AB904" t="s">
        <v>154</v>
      </c>
      <c r="AC904" t="s">
        <v>119</v>
      </c>
      <c r="AD904" t="s">
        <v>112</v>
      </c>
      <c r="AE904" t="s">
        <v>121</v>
      </c>
      <c r="AF904" t="s">
        <v>122</v>
      </c>
      <c r="AG904">
        <v>4417423.4800000004</v>
      </c>
      <c r="AH904" t="s">
        <v>166</v>
      </c>
      <c r="AI904" t="s">
        <v>152</v>
      </c>
      <c r="AJ904" t="s">
        <v>153</v>
      </c>
      <c r="AK904" t="s">
        <v>154</v>
      </c>
      <c r="AL904" t="s">
        <v>119</v>
      </c>
      <c r="AM904" t="s">
        <v>112</v>
      </c>
      <c r="AN904" t="s">
        <v>121</v>
      </c>
      <c r="AO904" t="s">
        <v>122</v>
      </c>
      <c r="AP904" t="s">
        <v>122</v>
      </c>
      <c r="AQ904" t="s">
        <v>124</v>
      </c>
      <c r="AR904" t="s">
        <v>125</v>
      </c>
      <c r="AS904">
        <v>2</v>
      </c>
      <c r="AT904" t="s">
        <v>126</v>
      </c>
      <c r="AU904" t="s">
        <v>155</v>
      </c>
      <c r="AV904" t="s">
        <v>156</v>
      </c>
      <c r="AW904">
        <v>1</v>
      </c>
      <c r="AX904" t="s">
        <v>129</v>
      </c>
      <c r="AY904">
        <v>48168.6</v>
      </c>
      <c r="AZ904">
        <v>4051538</v>
      </c>
      <c r="BA904">
        <v>57129.27</v>
      </c>
      <c r="BB904">
        <v>84.111599999999996</v>
      </c>
      <c r="BC904" t="s">
        <v>130</v>
      </c>
      <c r="BD904" t="s">
        <v>112</v>
      </c>
      <c r="BE904" t="s">
        <v>157</v>
      </c>
      <c r="BF904" t="s">
        <v>133</v>
      </c>
      <c r="BG904" t="s">
        <v>134</v>
      </c>
      <c r="BH904" t="s">
        <v>112</v>
      </c>
      <c r="BI904" t="s">
        <v>112</v>
      </c>
      <c r="BJ904" t="s">
        <v>112</v>
      </c>
      <c r="BK904" t="s">
        <v>169</v>
      </c>
      <c r="BL904" t="s">
        <v>159</v>
      </c>
      <c r="BM904" t="s">
        <v>722</v>
      </c>
      <c r="BN904" t="s">
        <v>161</v>
      </c>
      <c r="BO904">
        <v>1</v>
      </c>
      <c r="BP904" t="s">
        <v>162</v>
      </c>
      <c r="BR904" t="s">
        <v>150</v>
      </c>
      <c r="BS904">
        <v>33</v>
      </c>
      <c r="BT904">
        <v>0</v>
      </c>
      <c r="BU904">
        <v>0</v>
      </c>
      <c r="BW904">
        <v>0</v>
      </c>
      <c r="BY904" t="s">
        <v>106</v>
      </c>
      <c r="BZ904" t="s">
        <v>142</v>
      </c>
      <c r="CA904" t="s">
        <v>112</v>
      </c>
      <c r="CB904" t="s">
        <v>112</v>
      </c>
      <c r="CC904" t="s">
        <v>121</v>
      </c>
      <c r="CD904">
        <v>16783.32</v>
      </c>
      <c r="CE904" t="s">
        <v>144</v>
      </c>
      <c r="CF904">
        <v>4000000</v>
      </c>
      <c r="CG904">
        <v>16783.32</v>
      </c>
      <c r="CH904">
        <v>0</v>
      </c>
      <c r="CI904" t="s">
        <v>112</v>
      </c>
      <c r="CJ904" t="s">
        <v>112</v>
      </c>
      <c r="CK904">
        <v>48168.6</v>
      </c>
      <c r="CL904">
        <v>4051538</v>
      </c>
      <c r="CM904">
        <v>0</v>
      </c>
      <c r="CN904">
        <v>1</v>
      </c>
      <c r="CO904">
        <v>4417423.4800000004</v>
      </c>
      <c r="CP904">
        <v>57129.27</v>
      </c>
      <c r="CQ904" t="s">
        <v>145</v>
      </c>
      <c r="CR904">
        <v>57128.742947999999</v>
      </c>
      <c r="CS904">
        <v>3.4039000000000001</v>
      </c>
      <c r="CT904">
        <v>45</v>
      </c>
      <c r="CU904" t="s">
        <v>171</v>
      </c>
      <c r="CV904" t="s">
        <v>372</v>
      </c>
      <c r="CW904">
        <v>9</v>
      </c>
    </row>
    <row r="905" spans="1:101" x14ac:dyDescent="0.2">
      <c r="A905" t="s">
        <v>106</v>
      </c>
      <c r="B905" s="46">
        <v>44951</v>
      </c>
      <c r="C905" t="s">
        <v>988</v>
      </c>
      <c r="D905" t="s">
        <v>108</v>
      </c>
      <c r="E905" t="s">
        <v>989</v>
      </c>
      <c r="F905" t="s">
        <v>3244</v>
      </c>
      <c r="G905" t="s">
        <v>111</v>
      </c>
      <c r="H905" t="s">
        <v>112</v>
      </c>
      <c r="I905" t="s">
        <v>112</v>
      </c>
      <c r="J905" t="s">
        <v>112</v>
      </c>
      <c r="K905" t="s">
        <v>150</v>
      </c>
      <c r="L905" t="s">
        <v>151</v>
      </c>
      <c r="M905" t="s">
        <v>112</v>
      </c>
      <c r="N905" t="s">
        <v>112</v>
      </c>
      <c r="O905">
        <v>1</v>
      </c>
      <c r="P905">
        <v>0</v>
      </c>
      <c r="Q905">
        <v>1</v>
      </c>
      <c r="R905">
        <v>33</v>
      </c>
      <c r="S905" t="s">
        <v>166</v>
      </c>
      <c r="T905" t="s">
        <v>152</v>
      </c>
      <c r="U905" t="s">
        <v>153</v>
      </c>
      <c r="V905" t="s">
        <v>154</v>
      </c>
      <c r="W905" t="s">
        <v>119</v>
      </c>
      <c r="X905" t="s">
        <v>112</v>
      </c>
      <c r="Y905" t="s">
        <v>166</v>
      </c>
      <c r="Z905" t="s">
        <v>152</v>
      </c>
      <c r="AA905" t="s">
        <v>153</v>
      </c>
      <c r="AB905" t="s">
        <v>154</v>
      </c>
      <c r="AC905" t="s">
        <v>119</v>
      </c>
      <c r="AD905" t="s">
        <v>112</v>
      </c>
      <c r="AE905" t="s">
        <v>121</v>
      </c>
      <c r="AF905" t="s">
        <v>122</v>
      </c>
      <c r="AG905">
        <v>4176167.86</v>
      </c>
      <c r="AH905" t="s">
        <v>166</v>
      </c>
      <c r="AI905" t="s">
        <v>152</v>
      </c>
      <c r="AJ905" t="s">
        <v>153</v>
      </c>
      <c r="AK905" t="s">
        <v>154</v>
      </c>
      <c r="AL905" t="s">
        <v>119</v>
      </c>
      <c r="AM905" t="s">
        <v>112</v>
      </c>
      <c r="AN905" t="s">
        <v>121</v>
      </c>
      <c r="AO905" t="s">
        <v>122</v>
      </c>
      <c r="AP905" t="s">
        <v>122</v>
      </c>
      <c r="AQ905" t="s">
        <v>124</v>
      </c>
      <c r="AR905" t="s">
        <v>125</v>
      </c>
      <c r="AS905">
        <v>2</v>
      </c>
      <c r="AT905" t="s">
        <v>126</v>
      </c>
      <c r="AU905" t="s">
        <v>155</v>
      </c>
      <c r="AV905" t="s">
        <v>156</v>
      </c>
      <c r="AW905">
        <v>1</v>
      </c>
      <c r="AX905" t="s">
        <v>129</v>
      </c>
      <c r="AY905">
        <v>45300.32</v>
      </c>
      <c r="AZ905">
        <v>3810282</v>
      </c>
      <c r="BA905">
        <v>54009.18</v>
      </c>
      <c r="BB905">
        <v>84.111599999999996</v>
      </c>
      <c r="BC905" t="s">
        <v>130</v>
      </c>
      <c r="BD905" t="s">
        <v>112</v>
      </c>
      <c r="BE905" t="s">
        <v>157</v>
      </c>
      <c r="BF905" t="s">
        <v>133</v>
      </c>
      <c r="BG905" t="s">
        <v>134</v>
      </c>
      <c r="BH905" t="s">
        <v>112</v>
      </c>
      <c r="BI905" t="s">
        <v>112</v>
      </c>
      <c r="BJ905" t="s">
        <v>112</v>
      </c>
      <c r="BK905" t="s">
        <v>169</v>
      </c>
      <c r="BL905" t="s">
        <v>159</v>
      </c>
      <c r="BM905" t="s">
        <v>722</v>
      </c>
      <c r="BN905" t="s">
        <v>161</v>
      </c>
      <c r="BO905">
        <v>1</v>
      </c>
      <c r="BP905" t="s">
        <v>205</v>
      </c>
      <c r="BR905" t="s">
        <v>150</v>
      </c>
      <c r="BS905">
        <v>33</v>
      </c>
      <c r="BT905">
        <v>0</v>
      </c>
      <c r="BU905">
        <v>0</v>
      </c>
      <c r="BW905">
        <v>0</v>
      </c>
      <c r="BY905" t="s">
        <v>106</v>
      </c>
      <c r="BZ905" t="s">
        <v>142</v>
      </c>
      <c r="CA905" t="s">
        <v>112</v>
      </c>
      <c r="CB905" t="s">
        <v>112</v>
      </c>
      <c r="CC905" t="s">
        <v>121</v>
      </c>
      <c r="CD905">
        <v>16308.86</v>
      </c>
      <c r="CE905" t="s">
        <v>144</v>
      </c>
      <c r="CF905">
        <v>4000000</v>
      </c>
      <c r="CG905">
        <v>16200.86</v>
      </c>
      <c r="CH905">
        <v>0</v>
      </c>
      <c r="CI905" t="s">
        <v>112</v>
      </c>
      <c r="CJ905" t="s">
        <v>112</v>
      </c>
      <c r="CK905">
        <v>45300.32</v>
      </c>
      <c r="CL905">
        <v>3810282</v>
      </c>
      <c r="CM905">
        <v>0</v>
      </c>
      <c r="CN905">
        <v>1</v>
      </c>
      <c r="CO905">
        <v>4176167.86</v>
      </c>
      <c r="CP905">
        <v>54009.18</v>
      </c>
      <c r="CQ905" t="s">
        <v>145</v>
      </c>
      <c r="CR905">
        <v>54008.806982000002</v>
      </c>
      <c r="CS905">
        <v>3.3336999999999999</v>
      </c>
      <c r="CT905">
        <v>45</v>
      </c>
      <c r="CU905" t="s">
        <v>171</v>
      </c>
      <c r="CV905" t="s">
        <v>369</v>
      </c>
      <c r="CW905">
        <v>96</v>
      </c>
    </row>
    <row r="906" spans="1:101" x14ac:dyDescent="0.2">
      <c r="A906" t="s">
        <v>106</v>
      </c>
      <c r="B906" s="46">
        <v>45012</v>
      </c>
      <c r="C906" t="s">
        <v>985</v>
      </c>
      <c r="D906" t="s">
        <v>108</v>
      </c>
      <c r="E906" t="s">
        <v>986</v>
      </c>
      <c r="F906" t="s">
        <v>3244</v>
      </c>
      <c r="G906" t="s">
        <v>111</v>
      </c>
      <c r="H906" t="s">
        <v>112</v>
      </c>
      <c r="I906" t="s">
        <v>112</v>
      </c>
      <c r="J906" t="s">
        <v>112</v>
      </c>
      <c r="K906" t="s">
        <v>150</v>
      </c>
      <c r="L906" t="s">
        <v>151</v>
      </c>
      <c r="M906" t="s">
        <v>112</v>
      </c>
      <c r="N906" t="s">
        <v>112</v>
      </c>
      <c r="O906">
        <v>1</v>
      </c>
      <c r="P906">
        <v>0</v>
      </c>
      <c r="Q906">
        <v>1</v>
      </c>
      <c r="R906">
        <v>33</v>
      </c>
      <c r="S906" t="s">
        <v>166</v>
      </c>
      <c r="T906" t="s">
        <v>152</v>
      </c>
      <c r="U906" t="s">
        <v>153</v>
      </c>
      <c r="V906" t="s">
        <v>154</v>
      </c>
      <c r="W906" t="s">
        <v>119</v>
      </c>
      <c r="X906" t="s">
        <v>112</v>
      </c>
      <c r="Y906" t="s">
        <v>166</v>
      </c>
      <c r="Z906" t="s">
        <v>152</v>
      </c>
      <c r="AA906" t="s">
        <v>153</v>
      </c>
      <c r="AB906" t="s">
        <v>154</v>
      </c>
      <c r="AC906" t="s">
        <v>119</v>
      </c>
      <c r="AD906" t="s">
        <v>112</v>
      </c>
      <c r="AE906" t="s">
        <v>121</v>
      </c>
      <c r="AF906" t="s">
        <v>122</v>
      </c>
      <c r="AG906">
        <v>4288798.33</v>
      </c>
      <c r="AH906" t="s">
        <v>166</v>
      </c>
      <c r="AI906" t="s">
        <v>152</v>
      </c>
      <c r="AJ906" t="s">
        <v>153</v>
      </c>
      <c r="AK906" t="s">
        <v>154</v>
      </c>
      <c r="AL906" t="s">
        <v>119</v>
      </c>
      <c r="AM906" t="s">
        <v>112</v>
      </c>
      <c r="AN906" t="s">
        <v>121</v>
      </c>
      <c r="AO906" t="s">
        <v>122</v>
      </c>
      <c r="AP906" t="s">
        <v>122</v>
      </c>
      <c r="AQ906" t="s">
        <v>124</v>
      </c>
      <c r="AR906" t="s">
        <v>125</v>
      </c>
      <c r="AS906">
        <v>2</v>
      </c>
      <c r="AT906" t="s">
        <v>126</v>
      </c>
      <c r="AU906" t="s">
        <v>155</v>
      </c>
      <c r="AV906" t="s">
        <v>156</v>
      </c>
      <c r="AW906">
        <v>1</v>
      </c>
      <c r="AX906" t="s">
        <v>129</v>
      </c>
      <c r="AY906">
        <v>46639.38</v>
      </c>
      <c r="AZ906">
        <v>3922913</v>
      </c>
      <c r="BA906">
        <v>55465.8</v>
      </c>
      <c r="BB906">
        <v>84.111599999999996</v>
      </c>
      <c r="BC906" t="s">
        <v>130</v>
      </c>
      <c r="BD906" t="s">
        <v>112</v>
      </c>
      <c r="BE906" t="s">
        <v>157</v>
      </c>
      <c r="BF906" t="s">
        <v>133</v>
      </c>
      <c r="BG906" t="s">
        <v>134</v>
      </c>
      <c r="BH906" t="s">
        <v>112</v>
      </c>
      <c r="BI906" t="s">
        <v>112</v>
      </c>
      <c r="BJ906" t="s">
        <v>112</v>
      </c>
      <c r="BK906" t="s">
        <v>169</v>
      </c>
      <c r="BL906" t="s">
        <v>159</v>
      </c>
      <c r="BM906" t="s">
        <v>987</v>
      </c>
      <c r="BN906" t="s">
        <v>161</v>
      </c>
      <c r="BO906">
        <v>1</v>
      </c>
      <c r="BP906" t="s">
        <v>162</v>
      </c>
      <c r="BR906" t="s">
        <v>150</v>
      </c>
      <c r="BS906">
        <v>33</v>
      </c>
      <c r="BT906">
        <v>0</v>
      </c>
      <c r="BU906">
        <v>0</v>
      </c>
      <c r="BW906">
        <v>0</v>
      </c>
      <c r="BY906" t="s">
        <v>106</v>
      </c>
      <c r="BZ906" t="s">
        <v>142</v>
      </c>
      <c r="CA906" t="s">
        <v>112</v>
      </c>
      <c r="CB906" t="s">
        <v>112</v>
      </c>
      <c r="CC906" t="s">
        <v>121</v>
      </c>
      <c r="CD906">
        <v>16411.900000000001</v>
      </c>
      <c r="CE906" t="s">
        <v>144</v>
      </c>
      <c r="CF906">
        <v>4000000</v>
      </c>
      <c r="CG906">
        <v>16411.900000000001</v>
      </c>
      <c r="CH906">
        <v>0</v>
      </c>
      <c r="CI906" t="s">
        <v>112</v>
      </c>
      <c r="CJ906" t="s">
        <v>112</v>
      </c>
      <c r="CK906">
        <v>46639.38</v>
      </c>
      <c r="CL906">
        <v>3922913</v>
      </c>
      <c r="CM906">
        <v>0</v>
      </c>
      <c r="CN906">
        <v>1</v>
      </c>
      <c r="CO906">
        <v>4288798.33</v>
      </c>
      <c r="CP906">
        <v>55465.8</v>
      </c>
      <c r="CQ906" t="s">
        <v>145</v>
      </c>
      <c r="CR906">
        <v>55465.65724</v>
      </c>
      <c r="CS906">
        <v>3.3795999999999999</v>
      </c>
      <c r="CT906">
        <v>45</v>
      </c>
      <c r="CU906" t="s">
        <v>171</v>
      </c>
      <c r="CV906" t="s">
        <v>350</v>
      </c>
      <c r="CW906">
        <v>570</v>
      </c>
    </row>
    <row r="907" spans="1:101" x14ac:dyDescent="0.2">
      <c r="A907" t="s">
        <v>106</v>
      </c>
      <c r="B907" s="46">
        <v>45078</v>
      </c>
      <c r="C907" t="s">
        <v>814</v>
      </c>
      <c r="D907" t="s">
        <v>108</v>
      </c>
      <c r="E907" t="s">
        <v>815</v>
      </c>
      <c r="F907" t="s">
        <v>3244</v>
      </c>
      <c r="G907" t="s">
        <v>111</v>
      </c>
      <c r="H907" t="s">
        <v>112</v>
      </c>
      <c r="I907" t="s">
        <v>112</v>
      </c>
      <c r="J907" t="s">
        <v>112</v>
      </c>
      <c r="K907" t="s">
        <v>150</v>
      </c>
      <c r="L907" t="s">
        <v>151</v>
      </c>
      <c r="M907" t="s">
        <v>112</v>
      </c>
      <c r="N907" t="s">
        <v>112</v>
      </c>
      <c r="O907">
        <v>1</v>
      </c>
      <c r="P907">
        <v>0</v>
      </c>
      <c r="Q907">
        <v>1</v>
      </c>
      <c r="R907">
        <v>38</v>
      </c>
      <c r="S907" t="s">
        <v>166</v>
      </c>
      <c r="T907" t="s">
        <v>152</v>
      </c>
      <c r="U907" t="s">
        <v>153</v>
      </c>
      <c r="V907" t="s">
        <v>154</v>
      </c>
      <c r="W907" t="s">
        <v>119</v>
      </c>
      <c r="X907" t="s">
        <v>112</v>
      </c>
      <c r="Y907" t="s">
        <v>166</v>
      </c>
      <c r="Z907" t="s">
        <v>152</v>
      </c>
      <c r="AA907" t="s">
        <v>153</v>
      </c>
      <c r="AB907" t="s">
        <v>154</v>
      </c>
      <c r="AC907" t="s">
        <v>119</v>
      </c>
      <c r="AD907" t="s">
        <v>112</v>
      </c>
      <c r="AE907" t="s">
        <v>121</v>
      </c>
      <c r="AF907" t="s">
        <v>122</v>
      </c>
      <c r="AG907">
        <v>4518205.25</v>
      </c>
      <c r="AH907" t="s">
        <v>166</v>
      </c>
      <c r="AI907" t="s">
        <v>152</v>
      </c>
      <c r="AJ907" t="s">
        <v>153</v>
      </c>
      <c r="AK907" t="s">
        <v>154</v>
      </c>
      <c r="AL907" t="s">
        <v>119</v>
      </c>
      <c r="AM907" t="s">
        <v>112</v>
      </c>
      <c r="AN907" t="s">
        <v>121</v>
      </c>
      <c r="AO907" t="s">
        <v>122</v>
      </c>
      <c r="AP907" t="s">
        <v>122</v>
      </c>
      <c r="AQ907" t="s">
        <v>124</v>
      </c>
      <c r="AR907" t="s">
        <v>125</v>
      </c>
      <c r="AS907">
        <v>2</v>
      </c>
      <c r="AT907" t="s">
        <v>126</v>
      </c>
      <c r="AU907" t="s">
        <v>155</v>
      </c>
      <c r="AV907" t="s">
        <v>156</v>
      </c>
      <c r="AW907">
        <v>1</v>
      </c>
      <c r="AX907" t="s">
        <v>129</v>
      </c>
      <c r="AY907">
        <v>51993.96</v>
      </c>
      <c r="AZ907">
        <v>4169380</v>
      </c>
      <c r="BA907">
        <v>59865.27</v>
      </c>
      <c r="BB907">
        <v>80.189700000000002</v>
      </c>
      <c r="BC907" t="s">
        <v>130</v>
      </c>
      <c r="BD907" t="s">
        <v>112</v>
      </c>
      <c r="BE907" t="s">
        <v>157</v>
      </c>
      <c r="BF907" t="s">
        <v>133</v>
      </c>
      <c r="BG907" t="s">
        <v>134</v>
      </c>
      <c r="BH907" t="s">
        <v>112</v>
      </c>
      <c r="BI907" t="s">
        <v>112</v>
      </c>
      <c r="BJ907" t="s">
        <v>112</v>
      </c>
      <c r="BK907" t="s">
        <v>169</v>
      </c>
      <c r="BL907" t="s">
        <v>159</v>
      </c>
      <c r="BM907" t="s">
        <v>212</v>
      </c>
      <c r="BN907" t="s">
        <v>161</v>
      </c>
      <c r="BO907">
        <v>1</v>
      </c>
      <c r="BP907" t="s">
        <v>232</v>
      </c>
      <c r="BR907" t="s">
        <v>150</v>
      </c>
      <c r="BS907">
        <v>38</v>
      </c>
      <c r="BT907">
        <v>0</v>
      </c>
      <c r="BU907">
        <v>0</v>
      </c>
      <c r="BW907">
        <v>0</v>
      </c>
      <c r="BY907" t="s">
        <v>106</v>
      </c>
      <c r="BZ907" t="s">
        <v>142</v>
      </c>
      <c r="CA907" t="s">
        <v>112</v>
      </c>
      <c r="CB907" t="s">
        <v>112</v>
      </c>
      <c r="CC907" t="s">
        <v>121</v>
      </c>
      <c r="CD907">
        <v>19074.169999999998</v>
      </c>
      <c r="CE907" t="s">
        <v>144</v>
      </c>
      <c r="CF907">
        <v>4000000</v>
      </c>
      <c r="CG907">
        <v>18912.169999999998</v>
      </c>
      <c r="CH907">
        <v>0</v>
      </c>
      <c r="CI907" t="s">
        <v>112</v>
      </c>
      <c r="CJ907" t="s">
        <v>112</v>
      </c>
      <c r="CK907">
        <v>51993.96</v>
      </c>
      <c r="CL907">
        <v>4169380</v>
      </c>
      <c r="CM907">
        <v>0</v>
      </c>
      <c r="CN907">
        <v>1</v>
      </c>
      <c r="CO907">
        <v>4518205.25</v>
      </c>
      <c r="CP907">
        <v>59865.27</v>
      </c>
      <c r="CQ907" t="s">
        <v>145</v>
      </c>
      <c r="CR907">
        <v>59864.582917999993</v>
      </c>
      <c r="CS907">
        <v>3.1654</v>
      </c>
      <c r="CT907">
        <v>45</v>
      </c>
      <c r="CU907" t="s">
        <v>171</v>
      </c>
      <c r="CV907" t="s">
        <v>172</v>
      </c>
      <c r="CW907">
        <v>286</v>
      </c>
    </row>
    <row r="908" spans="1:101" x14ac:dyDescent="0.2">
      <c r="A908" t="s">
        <v>106</v>
      </c>
      <c r="B908" s="46">
        <v>45149</v>
      </c>
      <c r="C908" t="s">
        <v>808</v>
      </c>
      <c r="D908" t="s">
        <v>108</v>
      </c>
      <c r="E908" t="s">
        <v>809</v>
      </c>
      <c r="F908" t="s">
        <v>110</v>
      </c>
      <c r="G908" t="s">
        <v>111</v>
      </c>
      <c r="H908" t="s">
        <v>112</v>
      </c>
      <c r="I908" t="s">
        <v>112</v>
      </c>
      <c r="J908" t="s">
        <v>112</v>
      </c>
      <c r="K908" t="s">
        <v>150</v>
      </c>
      <c r="L908" t="s">
        <v>151</v>
      </c>
      <c r="M908" t="s">
        <v>112</v>
      </c>
      <c r="N908" t="s">
        <v>112</v>
      </c>
      <c r="O908">
        <v>1</v>
      </c>
      <c r="P908">
        <v>0</v>
      </c>
      <c r="Q908">
        <v>1</v>
      </c>
      <c r="R908">
        <v>33</v>
      </c>
      <c r="S908" t="s">
        <v>166</v>
      </c>
      <c r="T908" t="s">
        <v>152</v>
      </c>
      <c r="U908" t="s">
        <v>153</v>
      </c>
      <c r="V908" t="s">
        <v>154</v>
      </c>
      <c r="W908" t="s">
        <v>119</v>
      </c>
      <c r="X908" t="s">
        <v>112</v>
      </c>
      <c r="Y908" t="s">
        <v>166</v>
      </c>
      <c r="Z908" t="s">
        <v>152</v>
      </c>
      <c r="AA908" t="s">
        <v>153</v>
      </c>
      <c r="AB908" t="s">
        <v>154</v>
      </c>
      <c r="AC908" t="s">
        <v>119</v>
      </c>
      <c r="AD908" t="s">
        <v>112</v>
      </c>
      <c r="AE908" t="s">
        <v>121</v>
      </c>
      <c r="AF908" t="s">
        <v>122</v>
      </c>
      <c r="AG908">
        <v>3972074.91</v>
      </c>
      <c r="AH908" t="s">
        <v>166</v>
      </c>
      <c r="AI908" t="s">
        <v>152</v>
      </c>
      <c r="AJ908" t="s">
        <v>153</v>
      </c>
      <c r="AK908" t="s">
        <v>154</v>
      </c>
      <c r="AL908" t="s">
        <v>119</v>
      </c>
      <c r="AM908" t="s">
        <v>112</v>
      </c>
      <c r="AN908" t="s">
        <v>121</v>
      </c>
      <c r="AO908" t="s">
        <v>122</v>
      </c>
      <c r="AP908" t="s">
        <v>122</v>
      </c>
      <c r="AQ908" t="s">
        <v>124</v>
      </c>
      <c r="AR908" t="s">
        <v>125</v>
      </c>
      <c r="AS908">
        <v>2</v>
      </c>
      <c r="AT908" t="s">
        <v>126</v>
      </c>
      <c r="AU908" t="s">
        <v>155</v>
      </c>
      <c r="AV908" t="s">
        <v>156</v>
      </c>
      <c r="AW908">
        <v>1</v>
      </c>
      <c r="AX908" t="s">
        <v>129</v>
      </c>
      <c r="AY908">
        <v>45183.48</v>
      </c>
      <c r="AZ908">
        <v>3623250</v>
      </c>
      <c r="BA908">
        <v>52629.15</v>
      </c>
      <c r="BB908">
        <v>80.189700000000002</v>
      </c>
      <c r="BC908" t="s">
        <v>130</v>
      </c>
      <c r="BD908" t="s">
        <v>112</v>
      </c>
      <c r="BE908" t="s">
        <v>157</v>
      </c>
      <c r="BF908" t="s">
        <v>133</v>
      </c>
      <c r="BG908" t="s">
        <v>134</v>
      </c>
      <c r="BH908" t="s">
        <v>112</v>
      </c>
      <c r="BI908" t="s">
        <v>112</v>
      </c>
      <c r="BJ908" t="s">
        <v>112</v>
      </c>
      <c r="BK908" t="s">
        <v>169</v>
      </c>
      <c r="BL908" t="s">
        <v>159</v>
      </c>
      <c r="BM908" t="s">
        <v>212</v>
      </c>
      <c r="BN908" t="s">
        <v>161</v>
      </c>
      <c r="BO908">
        <v>1</v>
      </c>
      <c r="BP908" t="s">
        <v>810</v>
      </c>
      <c r="BR908" t="s">
        <v>150</v>
      </c>
      <c r="BS908">
        <v>33</v>
      </c>
      <c r="BT908">
        <v>0</v>
      </c>
      <c r="BU908">
        <v>0</v>
      </c>
      <c r="BW908">
        <v>0</v>
      </c>
      <c r="BY908" t="s">
        <v>106</v>
      </c>
      <c r="BZ908" t="s">
        <v>142</v>
      </c>
      <c r="CA908" t="s">
        <v>112</v>
      </c>
      <c r="CB908" t="s">
        <v>112</v>
      </c>
      <c r="CC908" t="s">
        <v>121</v>
      </c>
      <c r="CD908">
        <v>16522.84</v>
      </c>
      <c r="CE908" t="s">
        <v>144</v>
      </c>
      <c r="CF908">
        <v>4000000</v>
      </c>
      <c r="CG908">
        <v>16522.84</v>
      </c>
      <c r="CH908">
        <v>0</v>
      </c>
      <c r="CI908" t="s">
        <v>112</v>
      </c>
      <c r="CJ908" t="s">
        <v>112</v>
      </c>
      <c r="CK908">
        <v>45183.48</v>
      </c>
      <c r="CL908">
        <v>3623250</v>
      </c>
      <c r="CM908">
        <v>0</v>
      </c>
      <c r="CN908">
        <v>1</v>
      </c>
      <c r="CO908">
        <v>3972074.91</v>
      </c>
      <c r="CP908">
        <v>52629.15</v>
      </c>
      <c r="CQ908" t="s">
        <v>145</v>
      </c>
      <c r="CR908">
        <v>52628.549967999999</v>
      </c>
      <c r="CS908">
        <v>3.1852</v>
      </c>
      <c r="CT908">
        <v>45</v>
      </c>
      <c r="CU908" t="s">
        <v>171</v>
      </c>
      <c r="CV908" t="s">
        <v>463</v>
      </c>
      <c r="CW908">
        <v>302</v>
      </c>
    </row>
    <row r="909" spans="1:101" x14ac:dyDescent="0.2">
      <c r="A909" t="s">
        <v>106</v>
      </c>
      <c r="B909" s="46">
        <v>45012</v>
      </c>
      <c r="C909" t="s">
        <v>806</v>
      </c>
      <c r="D909" t="s">
        <v>108</v>
      </c>
      <c r="E909" t="s">
        <v>807</v>
      </c>
      <c r="F909" t="s">
        <v>110</v>
      </c>
      <c r="G909" t="s">
        <v>111</v>
      </c>
      <c r="H909" t="s">
        <v>112</v>
      </c>
      <c r="I909" t="s">
        <v>112</v>
      </c>
      <c r="J909" t="s">
        <v>112</v>
      </c>
      <c r="K909" t="s">
        <v>150</v>
      </c>
      <c r="L909" t="s">
        <v>151</v>
      </c>
      <c r="M909" t="s">
        <v>112</v>
      </c>
      <c r="N909" t="s">
        <v>112</v>
      </c>
      <c r="O909">
        <v>1</v>
      </c>
      <c r="P909">
        <v>0</v>
      </c>
      <c r="Q909">
        <v>1</v>
      </c>
      <c r="R909">
        <v>33</v>
      </c>
      <c r="S909" t="s">
        <v>166</v>
      </c>
      <c r="T909" t="s">
        <v>152</v>
      </c>
      <c r="U909" t="s">
        <v>153</v>
      </c>
      <c r="V909" t="s">
        <v>154</v>
      </c>
      <c r="W909" t="s">
        <v>119</v>
      </c>
      <c r="X909" t="s">
        <v>112</v>
      </c>
      <c r="Y909" t="s">
        <v>166</v>
      </c>
      <c r="Z909" t="s">
        <v>152</v>
      </c>
      <c r="AA909" t="s">
        <v>153</v>
      </c>
      <c r="AB909" t="s">
        <v>154</v>
      </c>
      <c r="AC909" t="s">
        <v>119</v>
      </c>
      <c r="AD909" t="s">
        <v>112</v>
      </c>
      <c r="AE909" t="s">
        <v>121</v>
      </c>
      <c r="AF909" t="s">
        <v>122</v>
      </c>
      <c r="AG909">
        <v>3462286.53</v>
      </c>
      <c r="AH909" t="s">
        <v>166</v>
      </c>
      <c r="AI909" t="s">
        <v>152</v>
      </c>
      <c r="AJ909" t="s">
        <v>153</v>
      </c>
      <c r="AK909" t="s">
        <v>154</v>
      </c>
      <c r="AL909" t="s">
        <v>119</v>
      </c>
      <c r="AM909" t="s">
        <v>112</v>
      </c>
      <c r="AN909" t="s">
        <v>121</v>
      </c>
      <c r="AO909" t="s">
        <v>122</v>
      </c>
      <c r="AP909" t="s">
        <v>122</v>
      </c>
      <c r="AQ909" t="s">
        <v>124</v>
      </c>
      <c r="AR909" t="s">
        <v>125</v>
      </c>
      <c r="AS909">
        <v>2</v>
      </c>
      <c r="AT909" t="s">
        <v>126</v>
      </c>
      <c r="AU909" t="s">
        <v>155</v>
      </c>
      <c r="AV909" t="s">
        <v>156</v>
      </c>
      <c r="AW909">
        <v>1</v>
      </c>
      <c r="AX909" t="s">
        <v>129</v>
      </c>
      <c r="AY909">
        <v>38326.199999999997</v>
      </c>
      <c r="AZ909">
        <v>3073366</v>
      </c>
      <c r="BA909">
        <v>45874.57</v>
      </c>
      <c r="BB909">
        <v>80.189700000000002</v>
      </c>
      <c r="BC909" t="s">
        <v>130</v>
      </c>
      <c r="BD909" t="s">
        <v>112</v>
      </c>
      <c r="BE909" t="s">
        <v>157</v>
      </c>
      <c r="BF909" t="s">
        <v>133</v>
      </c>
      <c r="BG909" t="s">
        <v>134</v>
      </c>
      <c r="BH909" t="s">
        <v>112</v>
      </c>
      <c r="BI909" t="s">
        <v>112</v>
      </c>
      <c r="BJ909" t="s">
        <v>112</v>
      </c>
      <c r="BK909" t="s">
        <v>169</v>
      </c>
      <c r="BL909" t="s">
        <v>159</v>
      </c>
      <c r="BM909" t="s">
        <v>212</v>
      </c>
      <c r="BN909" t="s">
        <v>161</v>
      </c>
      <c r="BO909">
        <v>1</v>
      </c>
      <c r="BP909" t="s">
        <v>205</v>
      </c>
      <c r="BR909" t="s">
        <v>150</v>
      </c>
      <c r="BS909">
        <v>33</v>
      </c>
      <c r="BT909">
        <v>0</v>
      </c>
      <c r="BU909">
        <v>0</v>
      </c>
      <c r="BW909">
        <v>0</v>
      </c>
      <c r="BY909" t="s">
        <v>106</v>
      </c>
      <c r="BZ909" t="s">
        <v>142</v>
      </c>
      <c r="CA909" t="s">
        <v>112</v>
      </c>
      <c r="CB909" t="s">
        <v>112</v>
      </c>
      <c r="CC909" t="s">
        <v>121</v>
      </c>
      <c r="CD909">
        <v>16307.05</v>
      </c>
      <c r="CE909" t="s">
        <v>144</v>
      </c>
      <c r="CF909">
        <v>4000000</v>
      </c>
      <c r="CG909">
        <v>16188.25</v>
      </c>
      <c r="CH909">
        <v>0</v>
      </c>
      <c r="CI909" t="s">
        <v>112</v>
      </c>
      <c r="CJ909" t="s">
        <v>112</v>
      </c>
      <c r="CK909">
        <v>38326.199999999997</v>
      </c>
      <c r="CL909">
        <v>3073366</v>
      </c>
      <c r="CM909">
        <v>0</v>
      </c>
      <c r="CN909">
        <v>1</v>
      </c>
      <c r="CO909">
        <v>3462286.53</v>
      </c>
      <c r="CP909">
        <v>45874.57</v>
      </c>
      <c r="CQ909" t="s">
        <v>145</v>
      </c>
      <c r="CR909">
        <v>45874.262849999999</v>
      </c>
      <c r="CS909">
        <v>2.8338000000000001</v>
      </c>
      <c r="CT909">
        <v>45</v>
      </c>
      <c r="CU909" t="s">
        <v>171</v>
      </c>
      <c r="CV909" t="s">
        <v>369</v>
      </c>
      <c r="CW909">
        <v>211</v>
      </c>
    </row>
    <row r="910" spans="1:101" x14ac:dyDescent="0.2">
      <c r="A910" t="s">
        <v>106</v>
      </c>
      <c r="B910" s="46">
        <v>45031</v>
      </c>
      <c r="C910" t="s">
        <v>811</v>
      </c>
      <c r="D910" t="s">
        <v>108</v>
      </c>
      <c r="E910" t="s">
        <v>812</v>
      </c>
      <c r="F910" t="s">
        <v>110</v>
      </c>
      <c r="G910" t="s">
        <v>111</v>
      </c>
      <c r="H910" t="s">
        <v>112</v>
      </c>
      <c r="I910" t="s">
        <v>112</v>
      </c>
      <c r="J910" t="s">
        <v>112</v>
      </c>
      <c r="K910" t="s">
        <v>150</v>
      </c>
      <c r="L910" t="s">
        <v>151</v>
      </c>
      <c r="M910" t="s">
        <v>112</v>
      </c>
      <c r="N910" t="s">
        <v>112</v>
      </c>
      <c r="O910">
        <v>1</v>
      </c>
      <c r="P910">
        <v>0</v>
      </c>
      <c r="Q910">
        <v>1</v>
      </c>
      <c r="R910">
        <v>33</v>
      </c>
      <c r="S910" t="s">
        <v>166</v>
      </c>
      <c r="T910" t="s">
        <v>152</v>
      </c>
      <c r="U910" t="s">
        <v>153</v>
      </c>
      <c r="V910" t="s">
        <v>154</v>
      </c>
      <c r="W910" t="s">
        <v>119</v>
      </c>
      <c r="X910" t="s">
        <v>112</v>
      </c>
      <c r="Y910" t="s">
        <v>166</v>
      </c>
      <c r="Z910" t="s">
        <v>152</v>
      </c>
      <c r="AA910" t="s">
        <v>153</v>
      </c>
      <c r="AB910" t="s">
        <v>154</v>
      </c>
      <c r="AC910" t="s">
        <v>119</v>
      </c>
      <c r="AD910" t="s">
        <v>112</v>
      </c>
      <c r="AE910" t="s">
        <v>121</v>
      </c>
      <c r="AF910" t="s">
        <v>122</v>
      </c>
      <c r="AG910">
        <v>3813374.68</v>
      </c>
      <c r="AH910" t="s">
        <v>166</v>
      </c>
      <c r="AI910" t="s">
        <v>152</v>
      </c>
      <c r="AJ910" t="s">
        <v>153</v>
      </c>
      <c r="AK910" t="s">
        <v>154</v>
      </c>
      <c r="AL910" t="s">
        <v>119</v>
      </c>
      <c r="AM910" t="s">
        <v>112</v>
      </c>
      <c r="AN910" t="s">
        <v>121</v>
      </c>
      <c r="AO910" t="s">
        <v>122</v>
      </c>
      <c r="AP910" t="s">
        <v>122</v>
      </c>
      <c r="AQ910" t="s">
        <v>124</v>
      </c>
      <c r="AR910" t="s">
        <v>125</v>
      </c>
      <c r="AS910">
        <v>2</v>
      </c>
      <c r="AT910" t="s">
        <v>126</v>
      </c>
      <c r="AU910" t="s">
        <v>155</v>
      </c>
      <c r="AV910" t="s">
        <v>156</v>
      </c>
      <c r="AW910">
        <v>1</v>
      </c>
      <c r="AX910" t="s">
        <v>129</v>
      </c>
      <c r="AY910">
        <v>43204.42</v>
      </c>
      <c r="AZ910">
        <v>3464549</v>
      </c>
      <c r="BA910">
        <v>50526.41</v>
      </c>
      <c r="BB910">
        <v>80.189700000000002</v>
      </c>
      <c r="BC910" t="s">
        <v>130</v>
      </c>
      <c r="BD910" t="s">
        <v>112</v>
      </c>
      <c r="BE910" t="s">
        <v>157</v>
      </c>
      <c r="BF910" t="s">
        <v>133</v>
      </c>
      <c r="BG910" t="s">
        <v>167</v>
      </c>
      <c r="BH910" t="s">
        <v>168</v>
      </c>
      <c r="BI910" t="s">
        <v>112</v>
      </c>
      <c r="BJ910" t="s">
        <v>112</v>
      </c>
      <c r="BK910" t="s">
        <v>169</v>
      </c>
      <c r="BL910" t="s">
        <v>159</v>
      </c>
      <c r="BM910" t="s">
        <v>160</v>
      </c>
      <c r="BN910" t="s">
        <v>161</v>
      </c>
      <c r="BO910">
        <v>1</v>
      </c>
      <c r="BP910" t="s">
        <v>813</v>
      </c>
      <c r="BR910" t="s">
        <v>150</v>
      </c>
      <c r="BS910">
        <v>33</v>
      </c>
      <c r="BT910">
        <v>0</v>
      </c>
      <c r="BU910">
        <v>0</v>
      </c>
      <c r="BW910">
        <v>0</v>
      </c>
      <c r="BY910" t="s">
        <v>106</v>
      </c>
      <c r="BZ910" t="s">
        <v>142</v>
      </c>
      <c r="CA910" t="s">
        <v>112</v>
      </c>
      <c r="CB910" t="s">
        <v>112</v>
      </c>
      <c r="CC910" t="s">
        <v>121</v>
      </c>
      <c r="CD910">
        <v>16748.36</v>
      </c>
      <c r="CE910" t="s">
        <v>144</v>
      </c>
      <c r="CF910">
        <v>4000000</v>
      </c>
      <c r="CG910">
        <v>16683.560000000001</v>
      </c>
      <c r="CH910">
        <v>0</v>
      </c>
      <c r="CI910" t="s">
        <v>112</v>
      </c>
      <c r="CJ910" t="s">
        <v>112</v>
      </c>
      <c r="CK910">
        <v>43204.42</v>
      </c>
      <c r="CL910">
        <v>3464549</v>
      </c>
      <c r="CM910">
        <v>0</v>
      </c>
      <c r="CN910">
        <v>1</v>
      </c>
      <c r="CO910">
        <v>3813374.68</v>
      </c>
      <c r="CP910">
        <v>50526.41</v>
      </c>
      <c r="CQ910" t="s">
        <v>145</v>
      </c>
      <c r="CR910">
        <v>50526.16146000001</v>
      </c>
      <c r="CS910">
        <v>3.0285000000000002</v>
      </c>
      <c r="CT910">
        <v>45</v>
      </c>
      <c r="CU910" t="s">
        <v>171</v>
      </c>
      <c r="CV910" t="s">
        <v>172</v>
      </c>
      <c r="CW910">
        <v>567</v>
      </c>
    </row>
    <row r="911" spans="1:101" x14ac:dyDescent="0.2">
      <c r="A911" t="s">
        <v>106</v>
      </c>
      <c r="B911" s="46">
        <v>45241</v>
      </c>
      <c r="C911" t="s">
        <v>423</v>
      </c>
      <c r="D911" t="s">
        <v>108</v>
      </c>
      <c r="E911" t="s">
        <v>424</v>
      </c>
      <c r="F911" t="s">
        <v>110</v>
      </c>
      <c r="G911" t="s">
        <v>111</v>
      </c>
      <c r="H911" t="s">
        <v>112</v>
      </c>
      <c r="I911" t="s">
        <v>112</v>
      </c>
      <c r="J911" t="s">
        <v>112</v>
      </c>
      <c r="K911" t="s">
        <v>113</v>
      </c>
      <c r="L911" t="s">
        <v>114</v>
      </c>
      <c r="M911" t="s">
        <v>112</v>
      </c>
      <c r="N911" t="s">
        <v>112</v>
      </c>
      <c r="O911">
        <v>1</v>
      </c>
      <c r="P911">
        <v>0</v>
      </c>
      <c r="Q911">
        <v>1</v>
      </c>
      <c r="R911">
        <v>33</v>
      </c>
      <c r="S911" t="s">
        <v>115</v>
      </c>
      <c r="T911" t="s">
        <v>116</v>
      </c>
      <c r="U911" t="s">
        <v>117</v>
      </c>
      <c r="V911" t="s">
        <v>118</v>
      </c>
      <c r="W911" t="s">
        <v>119</v>
      </c>
      <c r="X911" t="s">
        <v>120</v>
      </c>
      <c r="Y911" t="s">
        <v>115</v>
      </c>
      <c r="Z911" t="s">
        <v>116</v>
      </c>
      <c r="AA911" t="s">
        <v>117</v>
      </c>
      <c r="AB911" t="s">
        <v>118</v>
      </c>
      <c r="AC911" t="s">
        <v>119</v>
      </c>
      <c r="AD911" t="s">
        <v>120</v>
      </c>
      <c r="AE911" t="s">
        <v>121</v>
      </c>
      <c r="AF911" t="s">
        <v>122</v>
      </c>
      <c r="AG911">
        <v>3928534.95</v>
      </c>
      <c r="AH911" t="s">
        <v>115</v>
      </c>
      <c r="AI911" t="s">
        <v>116</v>
      </c>
      <c r="AJ911" t="s">
        <v>117</v>
      </c>
      <c r="AK911" t="s">
        <v>118</v>
      </c>
      <c r="AL911" t="s">
        <v>119</v>
      </c>
      <c r="AM911" t="s">
        <v>120</v>
      </c>
      <c r="AN911" t="s">
        <v>121</v>
      </c>
      <c r="AO911" t="s">
        <v>122</v>
      </c>
      <c r="AP911" t="s">
        <v>123</v>
      </c>
      <c r="AQ911" t="s">
        <v>124</v>
      </c>
      <c r="AR911" t="s">
        <v>125</v>
      </c>
      <c r="AS911">
        <v>2</v>
      </c>
      <c r="AT911" t="s">
        <v>126</v>
      </c>
      <c r="AU911" t="s">
        <v>127</v>
      </c>
      <c r="AV911" t="s">
        <v>128</v>
      </c>
      <c r="AW911">
        <v>1</v>
      </c>
      <c r="AX911" t="s">
        <v>129</v>
      </c>
      <c r="AY911">
        <v>47934.84</v>
      </c>
      <c r="AZ911">
        <v>3688893</v>
      </c>
      <c r="BA911">
        <v>56088.76</v>
      </c>
      <c r="BB911">
        <v>76.956400000000002</v>
      </c>
      <c r="BC911" t="s">
        <v>130</v>
      </c>
      <c r="BD911" t="s">
        <v>131</v>
      </c>
      <c r="BE911" t="s">
        <v>132</v>
      </c>
      <c r="BF911" t="s">
        <v>133</v>
      </c>
      <c r="BG911" t="s">
        <v>134</v>
      </c>
      <c r="BH911" t="s">
        <v>112</v>
      </c>
      <c r="BI911" t="s">
        <v>135</v>
      </c>
      <c r="BJ911" t="s">
        <v>112</v>
      </c>
      <c r="BK911" t="s">
        <v>136</v>
      </c>
      <c r="BL911" t="s">
        <v>137</v>
      </c>
      <c r="BM911" t="s">
        <v>138</v>
      </c>
      <c r="BN911" t="s">
        <v>139</v>
      </c>
      <c r="BO911">
        <v>1</v>
      </c>
      <c r="BP911" t="s">
        <v>425</v>
      </c>
      <c r="BR911" t="s">
        <v>141</v>
      </c>
      <c r="BS911">
        <v>33</v>
      </c>
      <c r="BT911">
        <v>0</v>
      </c>
      <c r="BU911">
        <v>0</v>
      </c>
      <c r="BW911">
        <v>0</v>
      </c>
      <c r="BY911" t="s">
        <v>106</v>
      </c>
      <c r="BZ911" t="s">
        <v>142</v>
      </c>
      <c r="CA911" t="s">
        <v>112</v>
      </c>
      <c r="CB911" t="s">
        <v>112</v>
      </c>
      <c r="CC911" t="s">
        <v>143</v>
      </c>
      <c r="CD911">
        <v>15797.84</v>
      </c>
      <c r="CE911" t="s">
        <v>144</v>
      </c>
      <c r="CF911">
        <v>4000000</v>
      </c>
      <c r="CG911">
        <v>15713.36</v>
      </c>
      <c r="CH911">
        <v>0</v>
      </c>
      <c r="CI911" t="s">
        <v>112</v>
      </c>
      <c r="CJ911" t="s">
        <v>112</v>
      </c>
      <c r="CK911">
        <v>47934.84</v>
      </c>
      <c r="CL911">
        <v>3688893</v>
      </c>
      <c r="CM911">
        <v>0</v>
      </c>
      <c r="CN911">
        <v>1</v>
      </c>
      <c r="CO911">
        <v>3928534.95</v>
      </c>
      <c r="CP911">
        <v>56088.76</v>
      </c>
      <c r="CQ911" t="s">
        <v>145</v>
      </c>
      <c r="CR911">
        <v>56088.838520000005</v>
      </c>
      <c r="CS911">
        <v>3.5695000000000001</v>
      </c>
      <c r="CT911">
        <v>941</v>
      </c>
      <c r="CU911" t="s">
        <v>146</v>
      </c>
      <c r="CV911" t="s">
        <v>147</v>
      </c>
      <c r="CW911">
        <v>571</v>
      </c>
    </row>
    <row r="912" spans="1:101" x14ac:dyDescent="0.2">
      <c r="A912" t="s">
        <v>106</v>
      </c>
      <c r="B912" s="46">
        <v>45072</v>
      </c>
      <c r="C912" t="s">
        <v>187</v>
      </c>
      <c r="D912" t="s">
        <v>108</v>
      </c>
      <c r="E912" t="s">
        <v>188</v>
      </c>
      <c r="F912" t="s">
        <v>110</v>
      </c>
      <c r="G912" t="s">
        <v>111</v>
      </c>
      <c r="H912" t="s">
        <v>112</v>
      </c>
      <c r="I912" t="s">
        <v>112</v>
      </c>
      <c r="J912" t="s">
        <v>112</v>
      </c>
      <c r="K912" t="s">
        <v>175</v>
      </c>
      <c r="L912" t="s">
        <v>176</v>
      </c>
      <c r="M912" t="s">
        <v>112</v>
      </c>
      <c r="N912" t="s">
        <v>112</v>
      </c>
      <c r="O912">
        <v>1</v>
      </c>
      <c r="P912">
        <v>0</v>
      </c>
      <c r="Q912">
        <v>1</v>
      </c>
      <c r="R912">
        <v>33</v>
      </c>
      <c r="S912" t="s">
        <v>166</v>
      </c>
      <c r="T912" t="s">
        <v>152</v>
      </c>
      <c r="U912" t="s">
        <v>153</v>
      </c>
      <c r="V912" t="s">
        <v>177</v>
      </c>
      <c r="W912" t="s">
        <v>119</v>
      </c>
      <c r="X912" t="s">
        <v>112</v>
      </c>
      <c r="Y912" t="s">
        <v>166</v>
      </c>
      <c r="Z912" t="s">
        <v>152</v>
      </c>
      <c r="AA912" t="s">
        <v>153</v>
      </c>
      <c r="AB912" t="s">
        <v>177</v>
      </c>
      <c r="AC912" t="s">
        <v>119</v>
      </c>
      <c r="AD912" t="s">
        <v>112</v>
      </c>
      <c r="AE912" t="s">
        <v>121</v>
      </c>
      <c r="AF912" t="s">
        <v>122</v>
      </c>
      <c r="AG912">
        <v>3485891.32</v>
      </c>
      <c r="AH912" t="s">
        <v>166</v>
      </c>
      <c r="AI912" t="s">
        <v>152</v>
      </c>
      <c r="AJ912" t="s">
        <v>153</v>
      </c>
      <c r="AK912" t="s">
        <v>177</v>
      </c>
      <c r="AL912" t="s">
        <v>119</v>
      </c>
      <c r="AM912" t="s">
        <v>112</v>
      </c>
      <c r="AN912" t="s">
        <v>121</v>
      </c>
      <c r="AO912" t="s">
        <v>122</v>
      </c>
      <c r="AP912" t="s">
        <v>122</v>
      </c>
      <c r="AQ912" t="s">
        <v>124</v>
      </c>
      <c r="AR912" t="s">
        <v>125</v>
      </c>
      <c r="AS912">
        <v>2</v>
      </c>
      <c r="AT912" t="s">
        <v>106</v>
      </c>
      <c r="AU912" t="s">
        <v>155</v>
      </c>
      <c r="AV912" t="s">
        <v>156</v>
      </c>
      <c r="AW912">
        <v>1</v>
      </c>
      <c r="AX912" t="s">
        <v>129</v>
      </c>
      <c r="AY912">
        <v>43180.86</v>
      </c>
      <c r="AZ912">
        <v>3266861</v>
      </c>
      <c r="BA912">
        <v>49559.5</v>
      </c>
      <c r="BB912">
        <v>75.655299999999997</v>
      </c>
      <c r="BC912" t="s">
        <v>130</v>
      </c>
      <c r="BD912" t="s">
        <v>112</v>
      </c>
      <c r="BE912" t="s">
        <v>157</v>
      </c>
      <c r="BF912" t="s">
        <v>133</v>
      </c>
      <c r="BG912" t="s">
        <v>134</v>
      </c>
      <c r="BH912" t="s">
        <v>112</v>
      </c>
      <c r="BI912" t="s">
        <v>178</v>
      </c>
      <c r="BJ912" t="s">
        <v>112</v>
      </c>
      <c r="BK912" t="s">
        <v>125</v>
      </c>
      <c r="BL912" t="s">
        <v>179</v>
      </c>
      <c r="BM912" t="s">
        <v>180</v>
      </c>
      <c r="BN912" t="s">
        <v>181</v>
      </c>
      <c r="BO912">
        <v>1</v>
      </c>
      <c r="BP912" t="s">
        <v>189</v>
      </c>
      <c r="BR912" t="s">
        <v>150</v>
      </c>
      <c r="BS912">
        <v>33</v>
      </c>
      <c r="BT912">
        <v>1</v>
      </c>
      <c r="BU912">
        <v>0</v>
      </c>
      <c r="BW912">
        <v>0</v>
      </c>
      <c r="BY912" t="s">
        <v>106</v>
      </c>
      <c r="BZ912" t="s">
        <v>142</v>
      </c>
      <c r="CA912" t="s">
        <v>112</v>
      </c>
      <c r="CB912" t="s">
        <v>112</v>
      </c>
      <c r="CC912" t="s">
        <v>121</v>
      </c>
      <c r="CD912">
        <v>16897.400000000001</v>
      </c>
      <c r="CE912" t="s">
        <v>144</v>
      </c>
      <c r="CF912">
        <v>4000000</v>
      </c>
      <c r="CG912">
        <v>16861.400000000001</v>
      </c>
      <c r="CH912">
        <v>0</v>
      </c>
      <c r="CI912" t="s">
        <v>112</v>
      </c>
      <c r="CJ912" t="s">
        <v>112</v>
      </c>
      <c r="CK912">
        <v>43180.86</v>
      </c>
      <c r="CL912">
        <v>3266861</v>
      </c>
      <c r="CM912">
        <v>0</v>
      </c>
      <c r="CN912">
        <v>1</v>
      </c>
      <c r="CO912">
        <v>3485891.32</v>
      </c>
      <c r="CP912">
        <v>49559.5</v>
      </c>
      <c r="CQ912" t="s">
        <v>145</v>
      </c>
      <c r="CR912">
        <v>49559.026880000005</v>
      </c>
      <c r="CS912">
        <v>2.9392</v>
      </c>
      <c r="CT912">
        <v>941</v>
      </c>
      <c r="CU912" t="s">
        <v>183</v>
      </c>
      <c r="CV912" t="s">
        <v>190</v>
      </c>
      <c r="CW912">
        <v>284</v>
      </c>
    </row>
    <row r="913" spans="1:101" x14ac:dyDescent="0.2">
      <c r="A913" t="s">
        <v>106</v>
      </c>
      <c r="B913" s="46">
        <v>45285</v>
      </c>
      <c r="C913" t="s">
        <v>173</v>
      </c>
      <c r="D913" t="s">
        <v>108</v>
      </c>
      <c r="E913" t="s">
        <v>174</v>
      </c>
      <c r="F913" t="s">
        <v>110</v>
      </c>
      <c r="G913" t="s">
        <v>111</v>
      </c>
      <c r="H913" t="s">
        <v>112</v>
      </c>
      <c r="I913" t="s">
        <v>112</v>
      </c>
      <c r="J913" t="s">
        <v>112</v>
      </c>
      <c r="K913" t="s">
        <v>175</v>
      </c>
      <c r="L913" t="s">
        <v>176</v>
      </c>
      <c r="M913" t="s">
        <v>112</v>
      </c>
      <c r="N913" t="s">
        <v>112</v>
      </c>
      <c r="O913">
        <v>1</v>
      </c>
      <c r="P913">
        <v>0</v>
      </c>
      <c r="Q913">
        <v>1</v>
      </c>
      <c r="R913">
        <v>33</v>
      </c>
      <c r="S913" t="s">
        <v>166</v>
      </c>
      <c r="T913" t="s">
        <v>152</v>
      </c>
      <c r="U913" t="s">
        <v>153</v>
      </c>
      <c r="V913" t="s">
        <v>177</v>
      </c>
      <c r="W913" t="s">
        <v>119</v>
      </c>
      <c r="X913" t="s">
        <v>112</v>
      </c>
      <c r="Y913" t="s">
        <v>166</v>
      </c>
      <c r="Z913" t="s">
        <v>152</v>
      </c>
      <c r="AA913" t="s">
        <v>153</v>
      </c>
      <c r="AB913" t="s">
        <v>177</v>
      </c>
      <c r="AC913" t="s">
        <v>119</v>
      </c>
      <c r="AD913" t="s">
        <v>112</v>
      </c>
      <c r="AE913" t="s">
        <v>121</v>
      </c>
      <c r="AF913" t="s">
        <v>122</v>
      </c>
      <c r="AG913">
        <v>3412955.07</v>
      </c>
      <c r="AH913" t="s">
        <v>166</v>
      </c>
      <c r="AI913" t="s">
        <v>152</v>
      </c>
      <c r="AJ913" t="s">
        <v>153</v>
      </c>
      <c r="AK913" t="s">
        <v>177</v>
      </c>
      <c r="AL913" t="s">
        <v>119</v>
      </c>
      <c r="AM913" t="s">
        <v>112</v>
      </c>
      <c r="AN913" t="s">
        <v>121</v>
      </c>
      <c r="AO913" t="s">
        <v>122</v>
      </c>
      <c r="AP913" t="s">
        <v>122</v>
      </c>
      <c r="AQ913" t="s">
        <v>124</v>
      </c>
      <c r="AR913" t="s">
        <v>125</v>
      </c>
      <c r="AS913">
        <v>2</v>
      </c>
      <c r="AT913" t="s">
        <v>106</v>
      </c>
      <c r="AU913" t="s">
        <v>155</v>
      </c>
      <c r="AV913" t="s">
        <v>156</v>
      </c>
      <c r="AW913">
        <v>1</v>
      </c>
      <c r="AX913" t="s">
        <v>129</v>
      </c>
      <c r="AY913">
        <v>42216.800000000003</v>
      </c>
      <c r="AZ913">
        <v>3193925</v>
      </c>
      <c r="BA913">
        <v>48522.55</v>
      </c>
      <c r="BB913">
        <v>75.655299999999997</v>
      </c>
      <c r="BC913" t="s">
        <v>130</v>
      </c>
      <c r="BD913" t="s">
        <v>112</v>
      </c>
      <c r="BE913" t="s">
        <v>157</v>
      </c>
      <c r="BF913" t="s">
        <v>133</v>
      </c>
      <c r="BG913" t="s">
        <v>134</v>
      </c>
      <c r="BH913" t="s">
        <v>112</v>
      </c>
      <c r="BI913" t="s">
        <v>178</v>
      </c>
      <c r="BJ913" t="s">
        <v>112</v>
      </c>
      <c r="BK913" t="s">
        <v>125</v>
      </c>
      <c r="BL913" t="s">
        <v>179</v>
      </c>
      <c r="BM913" t="s">
        <v>180</v>
      </c>
      <c r="BN913" t="s">
        <v>181</v>
      </c>
      <c r="BO913">
        <v>1</v>
      </c>
      <c r="BP913" t="s">
        <v>182</v>
      </c>
      <c r="BR913" t="s">
        <v>150</v>
      </c>
      <c r="BS913">
        <v>33</v>
      </c>
      <c r="BT913">
        <v>1</v>
      </c>
      <c r="BU913">
        <v>0</v>
      </c>
      <c r="BW913">
        <v>0</v>
      </c>
      <c r="BY913" t="s">
        <v>106</v>
      </c>
      <c r="BZ913" t="s">
        <v>142</v>
      </c>
      <c r="CA913" t="s">
        <v>112</v>
      </c>
      <c r="CB913" t="s">
        <v>112</v>
      </c>
      <c r="CC913" t="s">
        <v>121</v>
      </c>
      <c r="CD913">
        <v>15954.14</v>
      </c>
      <c r="CE913" t="s">
        <v>144</v>
      </c>
      <c r="CF913">
        <v>4000000</v>
      </c>
      <c r="CG913">
        <v>15802.94</v>
      </c>
      <c r="CH913">
        <v>0</v>
      </c>
      <c r="CI913" t="s">
        <v>112</v>
      </c>
      <c r="CJ913" t="s">
        <v>112</v>
      </c>
      <c r="CK913">
        <v>42216.800000000003</v>
      </c>
      <c r="CL913">
        <v>3193925</v>
      </c>
      <c r="CM913">
        <v>0</v>
      </c>
      <c r="CN913">
        <v>1</v>
      </c>
      <c r="CO913">
        <v>3412955.07</v>
      </c>
      <c r="CP913">
        <v>48522.55</v>
      </c>
      <c r="CQ913" t="s">
        <v>145</v>
      </c>
      <c r="CR913">
        <v>48522.92727</v>
      </c>
      <c r="CS913">
        <v>3.0705</v>
      </c>
      <c r="CT913">
        <v>941</v>
      </c>
      <c r="CU913" t="s">
        <v>183</v>
      </c>
      <c r="CV913" t="s">
        <v>147</v>
      </c>
      <c r="CW913">
        <v>32</v>
      </c>
    </row>
    <row r="914" spans="1:101" x14ac:dyDescent="0.2">
      <c r="A914" t="s">
        <v>106</v>
      </c>
      <c r="B914" s="46">
        <v>45101</v>
      </c>
      <c r="C914" t="s">
        <v>191</v>
      </c>
      <c r="D914" t="s">
        <v>108</v>
      </c>
      <c r="E914" t="s">
        <v>192</v>
      </c>
      <c r="F914" t="s">
        <v>110</v>
      </c>
      <c r="G914" t="s">
        <v>111</v>
      </c>
      <c r="H914" t="s">
        <v>112</v>
      </c>
      <c r="I914" t="s">
        <v>112</v>
      </c>
      <c r="J914" t="s">
        <v>112</v>
      </c>
      <c r="K914" t="s">
        <v>175</v>
      </c>
      <c r="L914" t="s">
        <v>176</v>
      </c>
      <c r="M914" t="s">
        <v>112</v>
      </c>
      <c r="N914" t="s">
        <v>112</v>
      </c>
      <c r="O914">
        <v>1</v>
      </c>
      <c r="P914">
        <v>0</v>
      </c>
      <c r="Q914">
        <v>1</v>
      </c>
      <c r="R914">
        <v>33</v>
      </c>
      <c r="S914" t="s">
        <v>166</v>
      </c>
      <c r="T914" t="s">
        <v>152</v>
      </c>
      <c r="U914" t="s">
        <v>153</v>
      </c>
      <c r="V914" t="s">
        <v>177</v>
      </c>
      <c r="W914" t="s">
        <v>119</v>
      </c>
      <c r="X914" t="s">
        <v>112</v>
      </c>
      <c r="Y914" t="s">
        <v>166</v>
      </c>
      <c r="Z914" t="s">
        <v>152</v>
      </c>
      <c r="AA914" t="s">
        <v>153</v>
      </c>
      <c r="AB914" t="s">
        <v>177</v>
      </c>
      <c r="AC914" t="s">
        <v>119</v>
      </c>
      <c r="AD914" t="s">
        <v>112</v>
      </c>
      <c r="AE914" t="s">
        <v>121</v>
      </c>
      <c r="AF914" t="s">
        <v>122</v>
      </c>
      <c r="AG914">
        <v>3382925.97</v>
      </c>
      <c r="AH914" t="s">
        <v>166</v>
      </c>
      <c r="AI914" t="s">
        <v>152</v>
      </c>
      <c r="AJ914" t="s">
        <v>153</v>
      </c>
      <c r="AK914" t="s">
        <v>177</v>
      </c>
      <c r="AL914" t="s">
        <v>119</v>
      </c>
      <c r="AM914" t="s">
        <v>112</v>
      </c>
      <c r="AN914" t="s">
        <v>121</v>
      </c>
      <c r="AO914" t="s">
        <v>122</v>
      </c>
      <c r="AP914" t="s">
        <v>122</v>
      </c>
      <c r="AQ914" t="s">
        <v>124</v>
      </c>
      <c r="AR914" t="s">
        <v>125</v>
      </c>
      <c r="AS914">
        <v>2</v>
      </c>
      <c r="AT914" t="s">
        <v>106</v>
      </c>
      <c r="AU914" t="s">
        <v>155</v>
      </c>
      <c r="AV914" t="s">
        <v>156</v>
      </c>
      <c r="AW914">
        <v>1</v>
      </c>
      <c r="AX914" t="s">
        <v>129</v>
      </c>
      <c r="AY914">
        <v>41819.879999999997</v>
      </c>
      <c r="AZ914">
        <v>3163896</v>
      </c>
      <c r="BA914">
        <v>48095.62</v>
      </c>
      <c r="BB914">
        <v>75.655299999999997</v>
      </c>
      <c r="BC914" t="s">
        <v>130</v>
      </c>
      <c r="BD914" t="s">
        <v>112</v>
      </c>
      <c r="BE914" t="s">
        <v>157</v>
      </c>
      <c r="BF914" t="s">
        <v>133</v>
      </c>
      <c r="BG914" t="s">
        <v>134</v>
      </c>
      <c r="BH914" t="s">
        <v>112</v>
      </c>
      <c r="BI914" t="s">
        <v>178</v>
      </c>
      <c r="BJ914" t="s">
        <v>112</v>
      </c>
      <c r="BK914" t="s">
        <v>125</v>
      </c>
      <c r="BL914" t="s">
        <v>179</v>
      </c>
      <c r="BM914" t="s">
        <v>180</v>
      </c>
      <c r="BN914" t="s">
        <v>181</v>
      </c>
      <c r="BO914">
        <v>1</v>
      </c>
      <c r="BP914" t="s">
        <v>193</v>
      </c>
      <c r="BR914" t="s">
        <v>150</v>
      </c>
      <c r="BS914">
        <v>33</v>
      </c>
      <c r="BT914">
        <v>1</v>
      </c>
      <c r="BU914">
        <v>0</v>
      </c>
      <c r="BW914">
        <v>0</v>
      </c>
      <c r="BY914" t="s">
        <v>106</v>
      </c>
      <c r="BZ914" t="s">
        <v>142</v>
      </c>
      <c r="CA914" t="s">
        <v>112</v>
      </c>
      <c r="CB914" t="s">
        <v>112</v>
      </c>
      <c r="CC914" t="s">
        <v>121</v>
      </c>
      <c r="CD914">
        <v>15140.42</v>
      </c>
      <c r="CE914" t="s">
        <v>144</v>
      </c>
      <c r="CF914">
        <v>4000000</v>
      </c>
      <c r="CG914">
        <v>15034.02</v>
      </c>
      <c r="CH914">
        <v>0</v>
      </c>
      <c r="CI914" t="s">
        <v>112</v>
      </c>
      <c r="CJ914" t="s">
        <v>112</v>
      </c>
      <c r="CK914">
        <v>41819.879999999997</v>
      </c>
      <c r="CL914">
        <v>3163896</v>
      </c>
      <c r="CM914">
        <v>0</v>
      </c>
      <c r="CN914">
        <v>1</v>
      </c>
      <c r="CO914">
        <v>3382925.97</v>
      </c>
      <c r="CP914">
        <v>48095.62</v>
      </c>
      <c r="CQ914" t="s">
        <v>145</v>
      </c>
      <c r="CR914">
        <v>48095.333382000004</v>
      </c>
      <c r="CS914">
        <v>3.1991000000000001</v>
      </c>
      <c r="CT914">
        <v>941</v>
      </c>
      <c r="CU914" t="s">
        <v>183</v>
      </c>
      <c r="CV914" t="s">
        <v>147</v>
      </c>
      <c r="CW914">
        <v>300</v>
      </c>
    </row>
    <row r="915" spans="1:101" x14ac:dyDescent="0.2">
      <c r="A915" t="s">
        <v>106</v>
      </c>
      <c r="B915" s="46">
        <v>45087</v>
      </c>
      <c r="C915" t="s">
        <v>184</v>
      </c>
      <c r="D915" t="s">
        <v>108</v>
      </c>
      <c r="E915" t="s">
        <v>185</v>
      </c>
      <c r="F915" t="s">
        <v>110</v>
      </c>
      <c r="G915" t="s">
        <v>111</v>
      </c>
      <c r="H915" t="s">
        <v>112</v>
      </c>
      <c r="I915" t="s">
        <v>112</v>
      </c>
      <c r="J915" t="s">
        <v>112</v>
      </c>
      <c r="K915" t="s">
        <v>175</v>
      </c>
      <c r="L915" t="s">
        <v>176</v>
      </c>
      <c r="M915" t="s">
        <v>112</v>
      </c>
      <c r="N915" t="s">
        <v>112</v>
      </c>
      <c r="O915">
        <v>1</v>
      </c>
      <c r="P915">
        <v>0</v>
      </c>
      <c r="Q915">
        <v>1</v>
      </c>
      <c r="R915">
        <v>33</v>
      </c>
      <c r="S915" t="s">
        <v>166</v>
      </c>
      <c r="T915" t="s">
        <v>152</v>
      </c>
      <c r="U915" t="s">
        <v>153</v>
      </c>
      <c r="V915" t="s">
        <v>177</v>
      </c>
      <c r="W915" t="s">
        <v>119</v>
      </c>
      <c r="X915" t="s">
        <v>112</v>
      </c>
      <c r="Y915" t="s">
        <v>166</v>
      </c>
      <c r="Z915" t="s">
        <v>152</v>
      </c>
      <c r="AA915" t="s">
        <v>153</v>
      </c>
      <c r="AB915" t="s">
        <v>177</v>
      </c>
      <c r="AC915" t="s">
        <v>119</v>
      </c>
      <c r="AD915" t="s">
        <v>112</v>
      </c>
      <c r="AE915" t="s">
        <v>121</v>
      </c>
      <c r="AF915" t="s">
        <v>122</v>
      </c>
      <c r="AG915">
        <v>3799780.62</v>
      </c>
      <c r="AH915" t="s">
        <v>166</v>
      </c>
      <c r="AI915" t="s">
        <v>152</v>
      </c>
      <c r="AJ915" t="s">
        <v>153</v>
      </c>
      <c r="AK915" t="s">
        <v>177</v>
      </c>
      <c r="AL915" t="s">
        <v>119</v>
      </c>
      <c r="AM915" t="s">
        <v>112</v>
      </c>
      <c r="AN915" t="s">
        <v>121</v>
      </c>
      <c r="AO915" t="s">
        <v>122</v>
      </c>
      <c r="AP915" t="s">
        <v>122</v>
      </c>
      <c r="AQ915" t="s">
        <v>124</v>
      </c>
      <c r="AR915" t="s">
        <v>125</v>
      </c>
      <c r="AS915">
        <v>2</v>
      </c>
      <c r="AT915" t="s">
        <v>106</v>
      </c>
      <c r="AU915" t="s">
        <v>155</v>
      </c>
      <c r="AV915" t="s">
        <v>156</v>
      </c>
      <c r="AW915">
        <v>1</v>
      </c>
      <c r="AX915" t="s">
        <v>129</v>
      </c>
      <c r="AY915">
        <v>47329.8</v>
      </c>
      <c r="AZ915">
        <v>3580750</v>
      </c>
      <c r="BA915">
        <v>54022.12</v>
      </c>
      <c r="BB915">
        <v>75.655299999999997</v>
      </c>
      <c r="BC915" t="s">
        <v>130</v>
      </c>
      <c r="BD915" t="s">
        <v>112</v>
      </c>
      <c r="BE915" t="s">
        <v>157</v>
      </c>
      <c r="BF915" t="s">
        <v>133</v>
      </c>
      <c r="BG915" t="s">
        <v>134</v>
      </c>
      <c r="BH915" t="s">
        <v>112</v>
      </c>
      <c r="BI915" t="s">
        <v>178</v>
      </c>
      <c r="BJ915" t="s">
        <v>112</v>
      </c>
      <c r="BK915" t="s">
        <v>125</v>
      </c>
      <c r="BL915" t="s">
        <v>179</v>
      </c>
      <c r="BM915" t="s">
        <v>180</v>
      </c>
      <c r="BN915" t="s">
        <v>181</v>
      </c>
      <c r="BO915">
        <v>1</v>
      </c>
      <c r="BP915" t="s">
        <v>186</v>
      </c>
      <c r="BR915" t="s">
        <v>150</v>
      </c>
      <c r="BS915">
        <v>33</v>
      </c>
      <c r="BT915">
        <v>1</v>
      </c>
      <c r="BU915">
        <v>0</v>
      </c>
      <c r="BW915">
        <v>0</v>
      </c>
      <c r="BY915" t="s">
        <v>106</v>
      </c>
      <c r="BZ915" t="s">
        <v>142</v>
      </c>
      <c r="CA915" t="s">
        <v>112</v>
      </c>
      <c r="CB915" t="s">
        <v>112</v>
      </c>
      <c r="CC915" t="s">
        <v>121</v>
      </c>
      <c r="CD915">
        <v>17575.919999999998</v>
      </c>
      <c r="CE915" t="s">
        <v>144</v>
      </c>
      <c r="CF915">
        <v>4000000</v>
      </c>
      <c r="CG915">
        <v>17575.919999999998</v>
      </c>
      <c r="CH915">
        <v>0</v>
      </c>
      <c r="CI915" t="s">
        <v>112</v>
      </c>
      <c r="CJ915" t="s">
        <v>112</v>
      </c>
      <c r="CK915">
        <v>47329.8</v>
      </c>
      <c r="CL915">
        <v>3580750</v>
      </c>
      <c r="CM915">
        <v>0</v>
      </c>
      <c r="CN915">
        <v>1</v>
      </c>
      <c r="CO915">
        <v>3799780.62</v>
      </c>
      <c r="CP915">
        <v>54022.12</v>
      </c>
      <c r="CQ915" t="s">
        <v>145</v>
      </c>
      <c r="CR915">
        <v>54021.347711999995</v>
      </c>
      <c r="CS915">
        <v>3.0735999999999999</v>
      </c>
      <c r="CT915">
        <v>941</v>
      </c>
      <c r="CU915" t="s">
        <v>183</v>
      </c>
      <c r="CV915" t="s">
        <v>147</v>
      </c>
      <c r="CW915">
        <v>546</v>
      </c>
    </row>
    <row r="916" spans="1:101" x14ac:dyDescent="0.2">
      <c r="A916" t="s">
        <v>106</v>
      </c>
      <c r="B916" s="46">
        <v>45250</v>
      </c>
      <c r="C916" t="s">
        <v>1729</v>
      </c>
      <c r="D916" t="s">
        <v>108</v>
      </c>
      <c r="E916" t="s">
        <v>1730</v>
      </c>
      <c r="F916" t="s">
        <v>110</v>
      </c>
      <c r="G916" t="s">
        <v>111</v>
      </c>
      <c r="H916" t="s">
        <v>112</v>
      </c>
      <c r="I916" t="s">
        <v>112</v>
      </c>
      <c r="J916" t="s">
        <v>112</v>
      </c>
      <c r="K916" t="s">
        <v>150</v>
      </c>
      <c r="L916" t="s">
        <v>151</v>
      </c>
      <c r="M916" t="s">
        <v>112</v>
      </c>
      <c r="N916" t="s">
        <v>112</v>
      </c>
      <c r="O916">
        <v>1</v>
      </c>
      <c r="Q916">
        <v>1</v>
      </c>
      <c r="R916">
        <v>33</v>
      </c>
      <c r="S916" t="s">
        <v>112</v>
      </c>
      <c r="T916" t="s">
        <v>152</v>
      </c>
      <c r="U916" t="s">
        <v>153</v>
      </c>
      <c r="V916" t="s">
        <v>154</v>
      </c>
      <c r="W916" t="s">
        <v>119</v>
      </c>
      <c r="X916" t="s">
        <v>112</v>
      </c>
      <c r="Y916" t="s">
        <v>112</v>
      </c>
      <c r="Z916" t="s">
        <v>152</v>
      </c>
      <c r="AA916" t="s">
        <v>153</v>
      </c>
      <c r="AB916" t="s">
        <v>154</v>
      </c>
      <c r="AC916" t="s">
        <v>119</v>
      </c>
      <c r="AD916" t="s">
        <v>112</v>
      </c>
      <c r="AE916" t="s">
        <v>121</v>
      </c>
      <c r="AF916" t="s">
        <v>122</v>
      </c>
      <c r="AG916">
        <v>4184611.42</v>
      </c>
      <c r="AH916" t="s">
        <v>112</v>
      </c>
      <c r="AI916" t="s">
        <v>152</v>
      </c>
      <c r="AJ916" t="s">
        <v>153</v>
      </c>
      <c r="AK916" t="s">
        <v>154</v>
      </c>
      <c r="AL916" t="s">
        <v>119</v>
      </c>
      <c r="AM916" t="s">
        <v>112</v>
      </c>
      <c r="AN916" t="s">
        <v>121</v>
      </c>
      <c r="AO916" t="s">
        <v>122</v>
      </c>
      <c r="AP916" t="s">
        <v>122</v>
      </c>
      <c r="AQ916" t="s">
        <v>124</v>
      </c>
      <c r="AR916" t="s">
        <v>125</v>
      </c>
      <c r="AS916">
        <v>2</v>
      </c>
      <c r="AT916" t="s">
        <v>126</v>
      </c>
      <c r="AU916" t="s">
        <v>155</v>
      </c>
      <c r="AV916" t="s">
        <v>156</v>
      </c>
      <c r="AX916" t="s">
        <v>129</v>
      </c>
      <c r="AY916">
        <v>38520.769999999997</v>
      </c>
      <c r="BB916">
        <v>98.436499999999995</v>
      </c>
      <c r="BC916" t="s">
        <v>112</v>
      </c>
      <c r="BD916" t="s">
        <v>112</v>
      </c>
      <c r="BE916" t="s">
        <v>157</v>
      </c>
      <c r="BF916" t="s">
        <v>133</v>
      </c>
      <c r="BG916" t="s">
        <v>134</v>
      </c>
      <c r="BH916" t="s">
        <v>112</v>
      </c>
      <c r="BI916" t="s">
        <v>112</v>
      </c>
      <c r="BJ916" t="s">
        <v>112</v>
      </c>
      <c r="BK916" t="s">
        <v>158</v>
      </c>
      <c r="BL916" t="s">
        <v>159</v>
      </c>
      <c r="BM916" t="s">
        <v>212</v>
      </c>
      <c r="BN916" t="s">
        <v>161</v>
      </c>
      <c r="BP916" t="s">
        <v>162</v>
      </c>
      <c r="BR916" t="s">
        <v>150</v>
      </c>
      <c r="BS916">
        <v>33</v>
      </c>
      <c r="BT916">
        <v>0</v>
      </c>
      <c r="BU916">
        <v>0</v>
      </c>
      <c r="BW916">
        <v>0</v>
      </c>
      <c r="BY916" t="s">
        <v>106</v>
      </c>
      <c r="BZ916" t="s">
        <v>142</v>
      </c>
      <c r="CA916" t="s">
        <v>112</v>
      </c>
      <c r="CB916" t="s">
        <v>112</v>
      </c>
      <c r="CC916" t="s">
        <v>121</v>
      </c>
      <c r="CD916">
        <v>16608.84</v>
      </c>
      <c r="CE916" t="s">
        <v>144</v>
      </c>
      <c r="CF916">
        <v>4000000</v>
      </c>
      <c r="CG916">
        <v>16518.84</v>
      </c>
      <c r="CH916">
        <v>0</v>
      </c>
      <c r="CI916" t="s">
        <v>112</v>
      </c>
      <c r="CJ916" t="s">
        <v>112</v>
      </c>
      <c r="CK916">
        <v>38520.769999999997</v>
      </c>
      <c r="CM916">
        <v>0</v>
      </c>
      <c r="CN916">
        <v>1</v>
      </c>
      <c r="CO916">
        <v>4184611.42</v>
      </c>
      <c r="CP916">
        <v>44860.71</v>
      </c>
      <c r="CQ916" t="s">
        <v>145</v>
      </c>
      <c r="CR916">
        <v>44931.2448</v>
      </c>
      <c r="CS916">
        <v>2.72</v>
      </c>
      <c r="CT916">
        <v>45</v>
      </c>
      <c r="CV916" t="s">
        <v>1140</v>
      </c>
      <c r="CW916">
        <v>301</v>
      </c>
    </row>
    <row r="917" spans="1:101" x14ac:dyDescent="0.2">
      <c r="A917" t="s">
        <v>106</v>
      </c>
      <c r="B917" s="46">
        <v>44592</v>
      </c>
      <c r="C917" t="s">
        <v>1709</v>
      </c>
      <c r="D917" t="s">
        <v>108</v>
      </c>
      <c r="E917" t="s">
        <v>1710</v>
      </c>
      <c r="F917" t="s">
        <v>110</v>
      </c>
      <c r="G917" t="s">
        <v>111</v>
      </c>
      <c r="H917" t="s">
        <v>112</v>
      </c>
      <c r="I917" t="s">
        <v>112</v>
      </c>
      <c r="J917" t="s">
        <v>112</v>
      </c>
      <c r="K917" t="s">
        <v>150</v>
      </c>
      <c r="L917" t="s">
        <v>151</v>
      </c>
      <c r="M917" t="s">
        <v>112</v>
      </c>
      <c r="N917" t="s">
        <v>112</v>
      </c>
      <c r="O917">
        <v>1</v>
      </c>
      <c r="Q917">
        <v>1</v>
      </c>
      <c r="R917">
        <v>33</v>
      </c>
      <c r="S917" t="s">
        <v>112</v>
      </c>
      <c r="T917" t="s">
        <v>152</v>
      </c>
      <c r="U917" t="s">
        <v>153</v>
      </c>
      <c r="V917" t="s">
        <v>154</v>
      </c>
      <c r="W917" t="s">
        <v>119</v>
      </c>
      <c r="X917" t="s">
        <v>112</v>
      </c>
      <c r="Y917" t="s">
        <v>112</v>
      </c>
      <c r="Z917" t="s">
        <v>152</v>
      </c>
      <c r="AA917" t="s">
        <v>153</v>
      </c>
      <c r="AB917" t="s">
        <v>154</v>
      </c>
      <c r="AC917" t="s">
        <v>119</v>
      </c>
      <c r="AD917" t="s">
        <v>112</v>
      </c>
      <c r="AE917" t="s">
        <v>121</v>
      </c>
      <c r="AF917" t="s">
        <v>122</v>
      </c>
      <c r="AG917">
        <v>5009020.0599999996</v>
      </c>
      <c r="AH917" t="s">
        <v>112</v>
      </c>
      <c r="AI917" t="s">
        <v>152</v>
      </c>
      <c r="AJ917" t="s">
        <v>153</v>
      </c>
      <c r="AK917" t="s">
        <v>154</v>
      </c>
      <c r="AL917" t="s">
        <v>119</v>
      </c>
      <c r="AM917" t="s">
        <v>112</v>
      </c>
      <c r="AN917" t="s">
        <v>121</v>
      </c>
      <c r="AO917" t="s">
        <v>122</v>
      </c>
      <c r="AP917" t="s">
        <v>122</v>
      </c>
      <c r="AQ917" t="s">
        <v>124</v>
      </c>
      <c r="AR917" t="s">
        <v>125</v>
      </c>
      <c r="AS917">
        <v>2</v>
      </c>
      <c r="AT917" t="s">
        <v>126</v>
      </c>
      <c r="AU917" t="s">
        <v>155</v>
      </c>
      <c r="AV917" t="s">
        <v>156</v>
      </c>
      <c r="AX917" t="s">
        <v>129</v>
      </c>
      <c r="AY917">
        <v>46895.8</v>
      </c>
      <c r="BB917">
        <v>98.436499999999995</v>
      </c>
      <c r="BC917" t="s">
        <v>112</v>
      </c>
      <c r="BD917" t="s">
        <v>112</v>
      </c>
      <c r="BE917" t="s">
        <v>157</v>
      </c>
      <c r="BF917" t="s">
        <v>133</v>
      </c>
      <c r="BG917" t="s">
        <v>134</v>
      </c>
      <c r="BH917" t="s">
        <v>112</v>
      </c>
      <c r="BI917" t="s">
        <v>112</v>
      </c>
      <c r="BJ917" t="s">
        <v>112</v>
      </c>
      <c r="BK917" t="s">
        <v>158</v>
      </c>
      <c r="BL917" t="s">
        <v>159</v>
      </c>
      <c r="BM917" t="s">
        <v>212</v>
      </c>
      <c r="BN917" t="s">
        <v>161</v>
      </c>
      <c r="BP917" t="s">
        <v>466</v>
      </c>
      <c r="BR917" t="s">
        <v>150</v>
      </c>
      <c r="BS917">
        <v>33</v>
      </c>
      <c r="BT917">
        <v>0</v>
      </c>
      <c r="BU917">
        <v>0</v>
      </c>
      <c r="BW917">
        <v>0</v>
      </c>
      <c r="BY917" t="s">
        <v>106</v>
      </c>
      <c r="BZ917" t="s">
        <v>142</v>
      </c>
      <c r="CA917" t="s">
        <v>112</v>
      </c>
      <c r="CB917" t="s">
        <v>112</v>
      </c>
      <c r="CC917" t="s">
        <v>121</v>
      </c>
      <c r="CD917">
        <v>16525.080000000002</v>
      </c>
      <c r="CE917" t="s">
        <v>144</v>
      </c>
      <c r="CF917">
        <v>4000000</v>
      </c>
      <c r="CG917">
        <v>16525.080000000002</v>
      </c>
      <c r="CH917">
        <v>0</v>
      </c>
      <c r="CI917" t="s">
        <v>112</v>
      </c>
      <c r="CJ917" t="s">
        <v>112</v>
      </c>
      <c r="CK917">
        <v>46895.8</v>
      </c>
      <c r="CM917">
        <v>0</v>
      </c>
      <c r="CN917">
        <v>1</v>
      </c>
      <c r="CO917">
        <v>5009020.0599999996</v>
      </c>
      <c r="CP917">
        <v>53698.7</v>
      </c>
      <c r="CQ917" t="s">
        <v>145</v>
      </c>
      <c r="CR917">
        <v>53706.510000000009</v>
      </c>
      <c r="CS917">
        <v>3.25</v>
      </c>
      <c r="CT917">
        <v>45</v>
      </c>
      <c r="CV917" t="s">
        <v>729</v>
      </c>
      <c r="CW917">
        <v>219</v>
      </c>
    </row>
    <row r="918" spans="1:101" x14ac:dyDescent="0.2">
      <c r="A918" t="s">
        <v>106</v>
      </c>
      <c r="B918" s="46">
        <v>45017</v>
      </c>
      <c r="C918" t="s">
        <v>1652</v>
      </c>
      <c r="D918" t="s">
        <v>108</v>
      </c>
      <c r="E918" t="s">
        <v>1653</v>
      </c>
      <c r="F918" t="s">
        <v>110</v>
      </c>
      <c r="G918" t="s">
        <v>111</v>
      </c>
      <c r="H918" t="s">
        <v>112</v>
      </c>
      <c r="I918" t="s">
        <v>112</v>
      </c>
      <c r="J918" t="s">
        <v>112</v>
      </c>
      <c r="K918" t="s">
        <v>150</v>
      </c>
      <c r="L918" t="s">
        <v>151</v>
      </c>
      <c r="M918" t="s">
        <v>112</v>
      </c>
      <c r="N918" t="s">
        <v>112</v>
      </c>
      <c r="O918">
        <v>1</v>
      </c>
      <c r="Q918">
        <v>1</v>
      </c>
      <c r="R918">
        <v>33</v>
      </c>
      <c r="S918" t="s">
        <v>112</v>
      </c>
      <c r="T918" t="s">
        <v>152</v>
      </c>
      <c r="U918" t="s">
        <v>153</v>
      </c>
      <c r="V918" t="s">
        <v>154</v>
      </c>
      <c r="W918" t="s">
        <v>119</v>
      </c>
      <c r="X918" t="s">
        <v>112</v>
      </c>
      <c r="Y918" t="s">
        <v>112</v>
      </c>
      <c r="Z918" t="s">
        <v>152</v>
      </c>
      <c r="AA918" t="s">
        <v>153</v>
      </c>
      <c r="AB918" t="s">
        <v>154</v>
      </c>
      <c r="AC918" t="s">
        <v>119</v>
      </c>
      <c r="AD918" t="s">
        <v>112</v>
      </c>
      <c r="AE918" t="s">
        <v>121</v>
      </c>
      <c r="AF918" t="s">
        <v>122</v>
      </c>
      <c r="AG918">
        <v>4813722.04</v>
      </c>
      <c r="AH918" t="s">
        <v>112</v>
      </c>
      <c r="AI918" t="s">
        <v>152</v>
      </c>
      <c r="AJ918" t="s">
        <v>153</v>
      </c>
      <c r="AK918" t="s">
        <v>154</v>
      </c>
      <c r="AL918" t="s">
        <v>119</v>
      </c>
      <c r="AM918" t="s">
        <v>112</v>
      </c>
      <c r="AN918" t="s">
        <v>121</v>
      </c>
      <c r="AO918" t="s">
        <v>122</v>
      </c>
      <c r="AP918" t="s">
        <v>122</v>
      </c>
      <c r="AQ918" t="s">
        <v>124</v>
      </c>
      <c r="AR918" t="s">
        <v>125</v>
      </c>
      <c r="AS918">
        <v>2</v>
      </c>
      <c r="AT918" t="s">
        <v>126</v>
      </c>
      <c r="AU918" t="s">
        <v>155</v>
      </c>
      <c r="AV918" t="s">
        <v>156</v>
      </c>
      <c r="AX918" t="s">
        <v>129</v>
      </c>
      <c r="AY918">
        <v>44381.8</v>
      </c>
      <c r="BB918">
        <v>98.436499999999995</v>
      </c>
      <c r="BC918" t="s">
        <v>112</v>
      </c>
      <c r="BD918" t="s">
        <v>112</v>
      </c>
      <c r="BE918" t="s">
        <v>157</v>
      </c>
      <c r="BF918" t="s">
        <v>133</v>
      </c>
      <c r="BG918" t="s">
        <v>134</v>
      </c>
      <c r="BH918" t="s">
        <v>112</v>
      </c>
      <c r="BI918" t="s">
        <v>112</v>
      </c>
      <c r="BJ918" t="s">
        <v>112</v>
      </c>
      <c r="BK918" t="s">
        <v>158</v>
      </c>
      <c r="BL918" t="s">
        <v>159</v>
      </c>
      <c r="BM918" t="s">
        <v>212</v>
      </c>
      <c r="BN918" t="s">
        <v>161</v>
      </c>
      <c r="BP918" t="s">
        <v>232</v>
      </c>
      <c r="BR918" t="s">
        <v>150</v>
      </c>
      <c r="BS918">
        <v>33</v>
      </c>
      <c r="BT918">
        <v>0</v>
      </c>
      <c r="BU918">
        <v>0</v>
      </c>
      <c r="BW918">
        <v>0</v>
      </c>
      <c r="BY918" t="s">
        <v>106</v>
      </c>
      <c r="BZ918" t="s">
        <v>142</v>
      </c>
      <c r="CA918" t="s">
        <v>112</v>
      </c>
      <c r="CB918" t="s">
        <v>112</v>
      </c>
      <c r="CC918" t="s">
        <v>121</v>
      </c>
      <c r="CD918">
        <v>17100.150000000001</v>
      </c>
      <c r="CE918" t="s">
        <v>144</v>
      </c>
      <c r="CF918">
        <v>4000000</v>
      </c>
      <c r="CG918">
        <v>17100.150000000001</v>
      </c>
      <c r="CH918">
        <v>0</v>
      </c>
      <c r="CI918" t="s">
        <v>112</v>
      </c>
      <c r="CJ918" t="s">
        <v>112</v>
      </c>
      <c r="CK918">
        <v>44381.8</v>
      </c>
      <c r="CM918">
        <v>0</v>
      </c>
      <c r="CN918">
        <v>1</v>
      </c>
      <c r="CO918">
        <v>4813722.04</v>
      </c>
      <c r="CP918">
        <v>51605.03</v>
      </c>
      <c r="CQ918" t="s">
        <v>145</v>
      </c>
      <c r="CR918">
        <v>51642.453000000001</v>
      </c>
      <c r="CS918">
        <v>3.02</v>
      </c>
      <c r="CT918">
        <v>45</v>
      </c>
      <c r="CV918" t="s">
        <v>233</v>
      </c>
      <c r="CW918">
        <v>299</v>
      </c>
    </row>
    <row r="919" spans="1:101" x14ac:dyDescent="0.2">
      <c r="A919" t="s">
        <v>106</v>
      </c>
      <c r="B919" s="46">
        <v>45024</v>
      </c>
      <c r="C919" t="s">
        <v>1698</v>
      </c>
      <c r="D919" t="s">
        <v>108</v>
      </c>
      <c r="E919" t="s">
        <v>1699</v>
      </c>
      <c r="F919" t="s">
        <v>110</v>
      </c>
      <c r="G919" t="s">
        <v>111</v>
      </c>
      <c r="H919" t="s">
        <v>112</v>
      </c>
      <c r="I919" t="s">
        <v>112</v>
      </c>
      <c r="J919" t="s">
        <v>112</v>
      </c>
      <c r="K919" t="s">
        <v>150</v>
      </c>
      <c r="L919" t="s">
        <v>151</v>
      </c>
      <c r="M919" t="s">
        <v>112</v>
      </c>
      <c r="N919" t="s">
        <v>112</v>
      </c>
      <c r="O919">
        <v>1</v>
      </c>
      <c r="Q919">
        <v>1</v>
      </c>
      <c r="R919">
        <v>33</v>
      </c>
      <c r="S919" t="s">
        <v>112</v>
      </c>
      <c r="T919" t="s">
        <v>152</v>
      </c>
      <c r="U919" t="s">
        <v>153</v>
      </c>
      <c r="V919" t="s">
        <v>154</v>
      </c>
      <c r="W919" t="s">
        <v>119</v>
      </c>
      <c r="X919" t="s">
        <v>112</v>
      </c>
      <c r="Y919" t="s">
        <v>112</v>
      </c>
      <c r="Z919" t="s">
        <v>152</v>
      </c>
      <c r="AA919" t="s">
        <v>153</v>
      </c>
      <c r="AB919" t="s">
        <v>154</v>
      </c>
      <c r="AC919" t="s">
        <v>119</v>
      </c>
      <c r="AD919" t="s">
        <v>112</v>
      </c>
      <c r="AE919" t="s">
        <v>121</v>
      </c>
      <c r="AF919" t="s">
        <v>122</v>
      </c>
      <c r="AG919">
        <v>4831161.05</v>
      </c>
      <c r="AH919" t="s">
        <v>112</v>
      </c>
      <c r="AI919" t="s">
        <v>152</v>
      </c>
      <c r="AJ919" t="s">
        <v>153</v>
      </c>
      <c r="AK919" t="s">
        <v>154</v>
      </c>
      <c r="AL919" t="s">
        <v>119</v>
      </c>
      <c r="AM919" t="s">
        <v>112</v>
      </c>
      <c r="AN919" t="s">
        <v>121</v>
      </c>
      <c r="AO919" t="s">
        <v>122</v>
      </c>
      <c r="AP919" t="s">
        <v>122</v>
      </c>
      <c r="AQ919" t="s">
        <v>124</v>
      </c>
      <c r="AR919" t="s">
        <v>125</v>
      </c>
      <c r="AS919">
        <v>2</v>
      </c>
      <c r="AT919" t="s">
        <v>126</v>
      </c>
      <c r="AU919" t="s">
        <v>155</v>
      </c>
      <c r="AV919" t="s">
        <v>156</v>
      </c>
      <c r="AX919" t="s">
        <v>129</v>
      </c>
      <c r="AY919">
        <v>44388.959999999999</v>
      </c>
      <c r="BB919">
        <v>98.436499999999995</v>
      </c>
      <c r="BC919" t="s">
        <v>112</v>
      </c>
      <c r="BD919" t="s">
        <v>112</v>
      </c>
      <c r="BE919" t="s">
        <v>157</v>
      </c>
      <c r="BF919" t="s">
        <v>133</v>
      </c>
      <c r="BG919" t="s">
        <v>134</v>
      </c>
      <c r="BH919" t="s">
        <v>112</v>
      </c>
      <c r="BI919" t="s">
        <v>112</v>
      </c>
      <c r="BJ919" t="s">
        <v>112</v>
      </c>
      <c r="BK919" t="s">
        <v>158</v>
      </c>
      <c r="BL919" t="s">
        <v>159</v>
      </c>
      <c r="BM919" t="s">
        <v>212</v>
      </c>
      <c r="BN919" t="s">
        <v>161</v>
      </c>
      <c r="BP919" t="s">
        <v>232</v>
      </c>
      <c r="BR919" t="s">
        <v>150</v>
      </c>
      <c r="BS919">
        <v>33</v>
      </c>
      <c r="BT919">
        <v>0</v>
      </c>
      <c r="BU919">
        <v>0</v>
      </c>
      <c r="BW919">
        <v>0</v>
      </c>
      <c r="BY919" t="s">
        <v>106</v>
      </c>
      <c r="BZ919" t="s">
        <v>142</v>
      </c>
      <c r="CA919" t="s">
        <v>112</v>
      </c>
      <c r="CB919" t="s">
        <v>112</v>
      </c>
      <c r="CC919" t="s">
        <v>121</v>
      </c>
      <c r="CD919">
        <v>16147.77</v>
      </c>
      <c r="CE919" t="s">
        <v>144</v>
      </c>
      <c r="CF919">
        <v>4000000</v>
      </c>
      <c r="CG919">
        <v>16050.57</v>
      </c>
      <c r="CH919">
        <v>0</v>
      </c>
      <c r="CI919" t="s">
        <v>112</v>
      </c>
      <c r="CJ919" t="s">
        <v>112</v>
      </c>
      <c r="CK919">
        <v>44388.959999999999</v>
      </c>
      <c r="CM919">
        <v>0</v>
      </c>
      <c r="CN919">
        <v>1</v>
      </c>
      <c r="CO919">
        <v>4831161.05</v>
      </c>
      <c r="CP919">
        <v>51791.98</v>
      </c>
      <c r="CQ919" t="s">
        <v>145</v>
      </c>
      <c r="CR919">
        <v>51843.341099999998</v>
      </c>
      <c r="CS919">
        <v>3.23</v>
      </c>
      <c r="CT919">
        <v>45</v>
      </c>
      <c r="CV919" t="s">
        <v>206</v>
      </c>
      <c r="CW919">
        <v>163</v>
      </c>
    </row>
    <row r="920" spans="1:101" x14ac:dyDescent="0.2">
      <c r="A920" t="s">
        <v>106</v>
      </c>
      <c r="B920" s="46">
        <v>45133</v>
      </c>
      <c r="C920" t="s">
        <v>2085</v>
      </c>
      <c r="D920" t="s">
        <v>108</v>
      </c>
      <c r="E920" t="s">
        <v>2086</v>
      </c>
      <c r="F920" t="s">
        <v>110</v>
      </c>
      <c r="G920" t="s">
        <v>111</v>
      </c>
      <c r="H920" t="s">
        <v>112</v>
      </c>
      <c r="I920" t="s">
        <v>112</v>
      </c>
      <c r="J920" t="s">
        <v>112</v>
      </c>
      <c r="K920" t="s">
        <v>150</v>
      </c>
      <c r="L920" t="s">
        <v>151</v>
      </c>
      <c r="M920" t="s">
        <v>112</v>
      </c>
      <c r="N920" t="s">
        <v>112</v>
      </c>
      <c r="O920">
        <v>1</v>
      </c>
      <c r="Q920">
        <v>1</v>
      </c>
      <c r="R920">
        <v>33</v>
      </c>
      <c r="S920" t="s">
        <v>112</v>
      </c>
      <c r="T920" t="s">
        <v>152</v>
      </c>
      <c r="U920" t="s">
        <v>153</v>
      </c>
      <c r="V920" t="s">
        <v>154</v>
      </c>
      <c r="W920" t="s">
        <v>119</v>
      </c>
      <c r="X920" t="s">
        <v>112</v>
      </c>
      <c r="Y920" t="s">
        <v>112</v>
      </c>
      <c r="Z920" t="s">
        <v>152</v>
      </c>
      <c r="AA920" t="s">
        <v>153</v>
      </c>
      <c r="AB920" t="s">
        <v>154</v>
      </c>
      <c r="AC920" t="s">
        <v>119</v>
      </c>
      <c r="AD920" t="s">
        <v>112</v>
      </c>
      <c r="AE920" t="s">
        <v>121</v>
      </c>
      <c r="AF920" t="s">
        <v>122</v>
      </c>
      <c r="AG920">
        <v>4657632.4000000004</v>
      </c>
      <c r="AH920" t="s">
        <v>112</v>
      </c>
      <c r="AI920" t="s">
        <v>152</v>
      </c>
      <c r="AJ920" t="s">
        <v>153</v>
      </c>
      <c r="AK920" t="s">
        <v>154</v>
      </c>
      <c r="AL920" t="s">
        <v>119</v>
      </c>
      <c r="AM920" t="s">
        <v>112</v>
      </c>
      <c r="AN920" t="s">
        <v>121</v>
      </c>
      <c r="AO920" t="s">
        <v>122</v>
      </c>
      <c r="AP920" t="s">
        <v>122</v>
      </c>
      <c r="AQ920" t="s">
        <v>124</v>
      </c>
      <c r="AR920" t="s">
        <v>125</v>
      </c>
      <c r="AS920">
        <v>2</v>
      </c>
      <c r="AT920" t="s">
        <v>126</v>
      </c>
      <c r="AU920" t="s">
        <v>155</v>
      </c>
      <c r="AV920" t="s">
        <v>156</v>
      </c>
      <c r="AX920" t="s">
        <v>129</v>
      </c>
      <c r="AY920">
        <v>41158.239999999998</v>
      </c>
      <c r="BB920">
        <v>103.1631</v>
      </c>
      <c r="BC920" t="s">
        <v>112</v>
      </c>
      <c r="BD920" t="s">
        <v>112</v>
      </c>
      <c r="BE920" t="s">
        <v>157</v>
      </c>
      <c r="BF920" t="s">
        <v>133</v>
      </c>
      <c r="BG920" t="s">
        <v>167</v>
      </c>
      <c r="BH920" t="s">
        <v>112</v>
      </c>
      <c r="BI920" t="s">
        <v>112</v>
      </c>
      <c r="BJ920" t="s">
        <v>112</v>
      </c>
      <c r="BK920" t="s">
        <v>158</v>
      </c>
      <c r="BL920" t="s">
        <v>159</v>
      </c>
      <c r="BM920" t="s">
        <v>160</v>
      </c>
      <c r="BN920" t="s">
        <v>161</v>
      </c>
      <c r="BP920" t="s">
        <v>205</v>
      </c>
      <c r="BR920" t="s">
        <v>150</v>
      </c>
      <c r="BS920">
        <v>33</v>
      </c>
      <c r="BT920">
        <v>0</v>
      </c>
      <c r="BU920">
        <v>0</v>
      </c>
      <c r="BW920">
        <v>0</v>
      </c>
      <c r="BY920" t="s">
        <v>106</v>
      </c>
      <c r="BZ920" t="s">
        <v>142</v>
      </c>
      <c r="CA920" t="s">
        <v>112</v>
      </c>
      <c r="CB920" t="s">
        <v>112</v>
      </c>
      <c r="CC920" t="s">
        <v>121</v>
      </c>
      <c r="CD920">
        <v>17438.5</v>
      </c>
      <c r="CE920" t="s">
        <v>144</v>
      </c>
      <c r="CF920">
        <v>4000000</v>
      </c>
      <c r="CG920">
        <v>17276.099999999999</v>
      </c>
      <c r="CH920">
        <v>0</v>
      </c>
      <c r="CI920" t="s">
        <v>112</v>
      </c>
      <c r="CJ920" t="s">
        <v>112</v>
      </c>
      <c r="CK920">
        <v>41158.239999999998</v>
      </c>
      <c r="CM920">
        <v>0</v>
      </c>
      <c r="CN920">
        <v>1</v>
      </c>
      <c r="CO920">
        <v>4657632.4000000004</v>
      </c>
      <c r="CP920">
        <v>47812.42</v>
      </c>
      <c r="CQ920" t="s">
        <v>145</v>
      </c>
      <c r="CR920">
        <v>47854.796999999999</v>
      </c>
      <c r="CS920">
        <v>2.77</v>
      </c>
      <c r="CT920">
        <v>45</v>
      </c>
      <c r="CV920" t="s">
        <v>729</v>
      </c>
      <c r="CW920">
        <v>180</v>
      </c>
    </row>
    <row r="921" spans="1:101" x14ac:dyDescent="0.2">
      <c r="A921" t="s">
        <v>106</v>
      </c>
      <c r="B921" s="46">
        <v>44952</v>
      </c>
      <c r="C921" t="s">
        <v>2085</v>
      </c>
      <c r="D921" t="s">
        <v>108</v>
      </c>
      <c r="E921" t="s">
        <v>2086</v>
      </c>
      <c r="F921" t="s">
        <v>110</v>
      </c>
      <c r="G921" t="s">
        <v>111</v>
      </c>
      <c r="H921" t="s">
        <v>112</v>
      </c>
      <c r="I921" t="s">
        <v>112</v>
      </c>
      <c r="J921" t="s">
        <v>112</v>
      </c>
      <c r="K921" t="s">
        <v>150</v>
      </c>
      <c r="L921" t="s">
        <v>151</v>
      </c>
      <c r="M921" t="s">
        <v>112</v>
      </c>
      <c r="N921" t="s">
        <v>112</v>
      </c>
      <c r="O921">
        <v>1</v>
      </c>
      <c r="Q921">
        <v>1</v>
      </c>
      <c r="R921">
        <v>33</v>
      </c>
      <c r="S921" t="s">
        <v>112</v>
      </c>
      <c r="T921" t="s">
        <v>152</v>
      </c>
      <c r="U921" t="s">
        <v>153</v>
      </c>
      <c r="V921" t="s">
        <v>154</v>
      </c>
      <c r="W921" t="s">
        <v>119</v>
      </c>
      <c r="X921" t="s">
        <v>112</v>
      </c>
      <c r="Y921" t="s">
        <v>112</v>
      </c>
      <c r="Z921" t="s">
        <v>152</v>
      </c>
      <c r="AA921" t="s">
        <v>153</v>
      </c>
      <c r="AB921" t="s">
        <v>154</v>
      </c>
      <c r="AC921" t="s">
        <v>119</v>
      </c>
      <c r="AD921" t="s">
        <v>112</v>
      </c>
      <c r="AE921" t="s">
        <v>121</v>
      </c>
      <c r="AF921" t="s">
        <v>122</v>
      </c>
      <c r="AG921">
        <v>4657632.4000000004</v>
      </c>
      <c r="AH921" t="s">
        <v>112</v>
      </c>
      <c r="AI921" t="s">
        <v>152</v>
      </c>
      <c r="AJ921" t="s">
        <v>153</v>
      </c>
      <c r="AK921" t="s">
        <v>154</v>
      </c>
      <c r="AL921" t="s">
        <v>119</v>
      </c>
      <c r="AM921" t="s">
        <v>112</v>
      </c>
      <c r="AN921" t="s">
        <v>121</v>
      </c>
      <c r="AO921" t="s">
        <v>122</v>
      </c>
      <c r="AP921" t="s">
        <v>122</v>
      </c>
      <c r="AQ921" t="s">
        <v>124</v>
      </c>
      <c r="AR921" t="s">
        <v>125</v>
      </c>
      <c r="AS921">
        <v>2</v>
      </c>
      <c r="AT921" t="s">
        <v>126</v>
      </c>
      <c r="AU921" t="s">
        <v>155</v>
      </c>
      <c r="AV921" t="s">
        <v>156</v>
      </c>
      <c r="AX921" t="s">
        <v>129</v>
      </c>
      <c r="AY921">
        <v>41158.239999999998</v>
      </c>
      <c r="BB921">
        <v>103.1631</v>
      </c>
      <c r="BC921" t="s">
        <v>112</v>
      </c>
      <c r="BD921" t="s">
        <v>112</v>
      </c>
      <c r="BE921" t="s">
        <v>157</v>
      </c>
      <c r="BF921" t="s">
        <v>133</v>
      </c>
      <c r="BG921" t="s">
        <v>167</v>
      </c>
      <c r="BH921" t="s">
        <v>112</v>
      </c>
      <c r="BI921" t="s">
        <v>112</v>
      </c>
      <c r="BJ921" t="s">
        <v>112</v>
      </c>
      <c r="BK921" t="s">
        <v>158</v>
      </c>
      <c r="BL921" t="s">
        <v>159</v>
      </c>
      <c r="BM921" t="s">
        <v>160</v>
      </c>
      <c r="BN921" t="s">
        <v>161</v>
      </c>
      <c r="BP921" t="s">
        <v>205</v>
      </c>
      <c r="BR921" t="s">
        <v>150</v>
      </c>
      <c r="BS921">
        <v>33</v>
      </c>
      <c r="BT921">
        <v>0</v>
      </c>
      <c r="BU921">
        <v>0</v>
      </c>
      <c r="BW921">
        <v>0</v>
      </c>
      <c r="BY921" t="s">
        <v>106</v>
      </c>
      <c r="BZ921" t="s">
        <v>142</v>
      </c>
      <c r="CA921" t="s">
        <v>112</v>
      </c>
      <c r="CB921" t="s">
        <v>112</v>
      </c>
      <c r="CC921" t="s">
        <v>121</v>
      </c>
      <c r="CD921">
        <v>17438.5</v>
      </c>
      <c r="CE921" t="s">
        <v>144</v>
      </c>
      <c r="CF921">
        <v>4000000</v>
      </c>
      <c r="CG921">
        <v>17276.099999999999</v>
      </c>
      <c r="CH921">
        <v>0</v>
      </c>
      <c r="CI921" t="s">
        <v>112</v>
      </c>
      <c r="CJ921" t="s">
        <v>112</v>
      </c>
      <c r="CK921">
        <v>41158.239999999998</v>
      </c>
      <c r="CM921">
        <v>0</v>
      </c>
      <c r="CN921">
        <v>1</v>
      </c>
      <c r="CO921">
        <v>4657632.4000000004</v>
      </c>
      <c r="CP921">
        <v>47812.42</v>
      </c>
      <c r="CQ921" t="s">
        <v>145</v>
      </c>
      <c r="CR921">
        <v>47854.796999999999</v>
      </c>
      <c r="CS921">
        <v>2.77</v>
      </c>
      <c r="CT921">
        <v>45</v>
      </c>
      <c r="CV921" t="s">
        <v>729</v>
      </c>
      <c r="CW921">
        <v>180</v>
      </c>
    </row>
    <row r="922" spans="1:101" x14ac:dyDescent="0.2">
      <c r="A922" t="s">
        <v>106</v>
      </c>
      <c r="B922" s="46">
        <v>44981</v>
      </c>
      <c r="C922" t="s">
        <v>2069</v>
      </c>
      <c r="D922" t="s">
        <v>108</v>
      </c>
      <c r="E922" t="s">
        <v>2070</v>
      </c>
      <c r="F922" t="s">
        <v>110</v>
      </c>
      <c r="G922" t="s">
        <v>111</v>
      </c>
      <c r="H922" t="s">
        <v>112</v>
      </c>
      <c r="I922" t="s">
        <v>112</v>
      </c>
      <c r="J922" t="s">
        <v>112</v>
      </c>
      <c r="K922" t="s">
        <v>150</v>
      </c>
      <c r="L922" t="s">
        <v>151</v>
      </c>
      <c r="M922" t="s">
        <v>112</v>
      </c>
      <c r="N922" t="s">
        <v>112</v>
      </c>
      <c r="O922">
        <v>1</v>
      </c>
      <c r="Q922">
        <v>1</v>
      </c>
      <c r="R922">
        <v>33</v>
      </c>
      <c r="S922" t="s">
        <v>112</v>
      </c>
      <c r="T922" t="s">
        <v>152</v>
      </c>
      <c r="U922" t="s">
        <v>153</v>
      </c>
      <c r="V922" t="s">
        <v>154</v>
      </c>
      <c r="W922" t="s">
        <v>119</v>
      </c>
      <c r="X922" t="s">
        <v>112</v>
      </c>
      <c r="Y922" t="s">
        <v>112</v>
      </c>
      <c r="Z922" t="s">
        <v>152</v>
      </c>
      <c r="AA922" t="s">
        <v>153</v>
      </c>
      <c r="AB922" t="s">
        <v>154</v>
      </c>
      <c r="AC922" t="s">
        <v>119</v>
      </c>
      <c r="AD922" t="s">
        <v>112</v>
      </c>
      <c r="AE922" t="s">
        <v>121</v>
      </c>
      <c r="AF922" t="s">
        <v>122</v>
      </c>
      <c r="AG922">
        <v>4887516.92</v>
      </c>
      <c r="AH922" t="s">
        <v>112</v>
      </c>
      <c r="AI922" t="s">
        <v>152</v>
      </c>
      <c r="AJ922" t="s">
        <v>153</v>
      </c>
      <c r="AK922" t="s">
        <v>154</v>
      </c>
      <c r="AL922" t="s">
        <v>119</v>
      </c>
      <c r="AM922" t="s">
        <v>112</v>
      </c>
      <c r="AN922" t="s">
        <v>121</v>
      </c>
      <c r="AO922" t="s">
        <v>122</v>
      </c>
      <c r="AP922" t="s">
        <v>122</v>
      </c>
      <c r="AQ922" t="s">
        <v>124</v>
      </c>
      <c r="AR922" t="s">
        <v>125</v>
      </c>
      <c r="AS922">
        <v>2</v>
      </c>
      <c r="AT922" t="s">
        <v>126</v>
      </c>
      <c r="AU922" t="s">
        <v>155</v>
      </c>
      <c r="AV922" t="s">
        <v>156</v>
      </c>
      <c r="AX922" t="s">
        <v>129</v>
      </c>
      <c r="AY922">
        <v>43386.6</v>
      </c>
      <c r="BB922">
        <v>103.1631</v>
      </c>
      <c r="BC922" t="s">
        <v>112</v>
      </c>
      <c r="BD922" t="s">
        <v>112</v>
      </c>
      <c r="BE922" t="s">
        <v>157</v>
      </c>
      <c r="BF922" t="s">
        <v>133</v>
      </c>
      <c r="BG922" t="s">
        <v>134</v>
      </c>
      <c r="BH922" t="s">
        <v>112</v>
      </c>
      <c r="BI922" t="s">
        <v>112</v>
      </c>
      <c r="BJ922" t="s">
        <v>112</v>
      </c>
      <c r="BK922" t="s">
        <v>158</v>
      </c>
      <c r="BL922" t="s">
        <v>159</v>
      </c>
      <c r="BM922" t="s">
        <v>212</v>
      </c>
      <c r="BN922" t="s">
        <v>161</v>
      </c>
      <c r="BP922" t="s">
        <v>162</v>
      </c>
      <c r="BR922" t="s">
        <v>150</v>
      </c>
      <c r="BS922">
        <v>33</v>
      </c>
      <c r="BT922">
        <v>0</v>
      </c>
      <c r="BU922">
        <v>0</v>
      </c>
      <c r="BW922">
        <v>0</v>
      </c>
      <c r="BY922" t="s">
        <v>106</v>
      </c>
      <c r="BZ922" t="s">
        <v>142</v>
      </c>
      <c r="CA922" t="s">
        <v>112</v>
      </c>
      <c r="CB922" t="s">
        <v>112</v>
      </c>
      <c r="CC922" t="s">
        <v>121</v>
      </c>
      <c r="CD922">
        <v>15065.04</v>
      </c>
      <c r="CE922" t="s">
        <v>144</v>
      </c>
      <c r="CF922">
        <v>4000000</v>
      </c>
      <c r="CG922">
        <v>14745.84</v>
      </c>
      <c r="CH922">
        <v>0</v>
      </c>
      <c r="CI922" t="s">
        <v>112</v>
      </c>
      <c r="CJ922" t="s">
        <v>112</v>
      </c>
      <c r="CK922">
        <v>43386.6</v>
      </c>
      <c r="CM922">
        <v>0</v>
      </c>
      <c r="CN922">
        <v>1</v>
      </c>
      <c r="CO922">
        <v>4887516.92</v>
      </c>
      <c r="CP922">
        <v>50172.27</v>
      </c>
      <c r="CQ922" t="s">
        <v>145</v>
      </c>
      <c r="CR922">
        <v>50135.856</v>
      </c>
      <c r="CS922">
        <v>3.4</v>
      </c>
      <c r="CT922">
        <v>45</v>
      </c>
      <c r="CV922" t="s">
        <v>1140</v>
      </c>
      <c r="CW922">
        <v>366</v>
      </c>
    </row>
    <row r="923" spans="1:101" x14ac:dyDescent="0.2">
      <c r="A923" t="s">
        <v>106</v>
      </c>
      <c r="B923" s="46">
        <v>45276</v>
      </c>
      <c r="C923" t="s">
        <v>1634</v>
      </c>
      <c r="D923" t="s">
        <v>108</v>
      </c>
      <c r="E923" t="s">
        <v>1635</v>
      </c>
      <c r="F923" t="s">
        <v>110</v>
      </c>
      <c r="G923" t="s">
        <v>111</v>
      </c>
      <c r="H923" t="s">
        <v>112</v>
      </c>
      <c r="I923" t="s">
        <v>112</v>
      </c>
      <c r="J923" t="s">
        <v>112</v>
      </c>
      <c r="K923" t="s">
        <v>150</v>
      </c>
      <c r="L923" t="s">
        <v>151</v>
      </c>
      <c r="M923" t="s">
        <v>112</v>
      </c>
      <c r="N923" t="s">
        <v>112</v>
      </c>
      <c r="Q923">
        <v>1</v>
      </c>
      <c r="R923">
        <v>33</v>
      </c>
      <c r="S923" t="s">
        <v>166</v>
      </c>
      <c r="T923" t="s">
        <v>152</v>
      </c>
      <c r="U923" t="s">
        <v>153</v>
      </c>
      <c r="V923" t="s">
        <v>154</v>
      </c>
      <c r="W923" t="s">
        <v>119</v>
      </c>
      <c r="X923" t="s">
        <v>112</v>
      </c>
      <c r="Y923" t="s">
        <v>166</v>
      </c>
      <c r="Z923" t="s">
        <v>152</v>
      </c>
      <c r="AA923" t="s">
        <v>153</v>
      </c>
      <c r="AB923" t="s">
        <v>154</v>
      </c>
      <c r="AC923" t="s">
        <v>119</v>
      </c>
      <c r="AD923" t="s">
        <v>112</v>
      </c>
      <c r="AE923" t="s">
        <v>121</v>
      </c>
      <c r="AF923" t="s">
        <v>122</v>
      </c>
      <c r="AG923">
        <v>4580846.8099999996</v>
      </c>
      <c r="AH923" t="s">
        <v>166</v>
      </c>
      <c r="AI923" t="s">
        <v>152</v>
      </c>
      <c r="AJ923" t="s">
        <v>153</v>
      </c>
      <c r="AK923" t="s">
        <v>154</v>
      </c>
      <c r="AL923" t="s">
        <v>119</v>
      </c>
      <c r="AM923" t="s">
        <v>112</v>
      </c>
      <c r="AN923" t="s">
        <v>121</v>
      </c>
      <c r="AO923" t="s">
        <v>122</v>
      </c>
      <c r="AP923" t="s">
        <v>122</v>
      </c>
      <c r="AQ923" t="s">
        <v>124</v>
      </c>
      <c r="AR923" t="s">
        <v>125</v>
      </c>
      <c r="AT923" t="s">
        <v>126</v>
      </c>
      <c r="AU923" t="s">
        <v>155</v>
      </c>
      <c r="AV923" t="s">
        <v>156</v>
      </c>
      <c r="AX923" t="s">
        <v>129</v>
      </c>
      <c r="AY923">
        <v>41360.58</v>
      </c>
      <c r="BB923">
        <v>100.69880000000001</v>
      </c>
      <c r="BC923" t="s">
        <v>112</v>
      </c>
      <c r="BD923" t="s">
        <v>112</v>
      </c>
      <c r="BE923" t="s">
        <v>112</v>
      </c>
      <c r="BF923" t="s">
        <v>133</v>
      </c>
      <c r="BG923" t="s">
        <v>1624</v>
      </c>
      <c r="BH923" t="s">
        <v>112</v>
      </c>
      <c r="BI923" t="s">
        <v>112</v>
      </c>
      <c r="BJ923" t="s">
        <v>112</v>
      </c>
      <c r="BK923" t="s">
        <v>112</v>
      </c>
      <c r="BL923" t="s">
        <v>112</v>
      </c>
      <c r="BM923" t="s">
        <v>112</v>
      </c>
      <c r="BN923" t="s">
        <v>161</v>
      </c>
      <c r="BP923" t="s">
        <v>205</v>
      </c>
      <c r="BR923" t="s">
        <v>150</v>
      </c>
      <c r="BS923">
        <v>33</v>
      </c>
      <c r="BU923">
        <v>0</v>
      </c>
      <c r="BY923" t="s">
        <v>106</v>
      </c>
      <c r="BZ923" t="s">
        <v>142</v>
      </c>
      <c r="CA923" t="s">
        <v>112</v>
      </c>
      <c r="CB923" t="s">
        <v>112</v>
      </c>
      <c r="CC923" t="s">
        <v>121</v>
      </c>
      <c r="CD923">
        <v>16336.92</v>
      </c>
      <c r="CE923" t="s">
        <v>144</v>
      </c>
      <c r="CF923">
        <v>4000000</v>
      </c>
      <c r="CG923">
        <v>16246.92</v>
      </c>
      <c r="CH923">
        <v>0</v>
      </c>
      <c r="CI923" t="s">
        <v>112</v>
      </c>
      <c r="CJ923" t="s">
        <v>112</v>
      </c>
      <c r="CK923">
        <v>41360.58</v>
      </c>
      <c r="CO923">
        <v>4580846.8099999996</v>
      </c>
      <c r="CP923">
        <v>49913.61</v>
      </c>
      <c r="CQ923" t="s">
        <v>145</v>
      </c>
      <c r="CR923">
        <v>49878.044399999999</v>
      </c>
      <c r="CS923">
        <v>3.07</v>
      </c>
      <c r="CW923">
        <v>556</v>
      </c>
    </row>
    <row r="924" spans="1:101" x14ac:dyDescent="0.2">
      <c r="A924" t="s">
        <v>106</v>
      </c>
      <c r="B924" s="46">
        <v>44938</v>
      </c>
      <c r="C924" t="s">
        <v>1632</v>
      </c>
      <c r="D924" t="s">
        <v>108</v>
      </c>
      <c r="E924" t="s">
        <v>1633</v>
      </c>
      <c r="F924" t="s">
        <v>110</v>
      </c>
      <c r="G924" t="s">
        <v>111</v>
      </c>
      <c r="H924" t="s">
        <v>112</v>
      </c>
      <c r="I924" t="s">
        <v>112</v>
      </c>
      <c r="J924" t="s">
        <v>112</v>
      </c>
      <c r="K924" t="s">
        <v>150</v>
      </c>
      <c r="L924" t="s">
        <v>151</v>
      </c>
      <c r="M924" t="s">
        <v>112</v>
      </c>
      <c r="N924" t="s">
        <v>112</v>
      </c>
      <c r="Q924">
        <v>1</v>
      </c>
      <c r="R924">
        <v>33</v>
      </c>
      <c r="S924" t="s">
        <v>166</v>
      </c>
      <c r="T924" t="s">
        <v>152</v>
      </c>
      <c r="U924" t="s">
        <v>153</v>
      </c>
      <c r="V924" t="s">
        <v>154</v>
      </c>
      <c r="W924" t="s">
        <v>119</v>
      </c>
      <c r="X924" t="s">
        <v>112</v>
      </c>
      <c r="Y924" t="s">
        <v>166</v>
      </c>
      <c r="Z924" t="s">
        <v>152</v>
      </c>
      <c r="AA924" t="s">
        <v>153</v>
      </c>
      <c r="AB924" t="s">
        <v>154</v>
      </c>
      <c r="AC924" t="s">
        <v>119</v>
      </c>
      <c r="AD924" t="s">
        <v>112</v>
      </c>
      <c r="AE924" t="s">
        <v>121</v>
      </c>
      <c r="AF924" t="s">
        <v>122</v>
      </c>
      <c r="AG924">
        <v>4558932.74</v>
      </c>
      <c r="AH924" t="s">
        <v>166</v>
      </c>
      <c r="AI924" t="s">
        <v>152</v>
      </c>
      <c r="AJ924" t="s">
        <v>153</v>
      </c>
      <c r="AK924" t="s">
        <v>154</v>
      </c>
      <c r="AL924" t="s">
        <v>119</v>
      </c>
      <c r="AM924" t="s">
        <v>112</v>
      </c>
      <c r="AN924" t="s">
        <v>121</v>
      </c>
      <c r="AO924" t="s">
        <v>122</v>
      </c>
      <c r="AP924" t="s">
        <v>122</v>
      </c>
      <c r="AQ924" t="s">
        <v>124</v>
      </c>
      <c r="AR924" t="s">
        <v>125</v>
      </c>
      <c r="AT924" t="s">
        <v>126</v>
      </c>
      <c r="AU924" t="s">
        <v>155</v>
      </c>
      <c r="AV924" t="s">
        <v>156</v>
      </c>
      <c r="AX924" t="s">
        <v>129</v>
      </c>
      <c r="AY924">
        <v>40442.959999999999</v>
      </c>
      <c r="BB924">
        <v>100.69880000000001</v>
      </c>
      <c r="BC924" t="s">
        <v>112</v>
      </c>
      <c r="BD924" t="s">
        <v>112</v>
      </c>
      <c r="BE924" t="s">
        <v>112</v>
      </c>
      <c r="BF924" t="s">
        <v>133</v>
      </c>
      <c r="BG924" t="s">
        <v>1624</v>
      </c>
      <c r="BH924" t="s">
        <v>112</v>
      </c>
      <c r="BI924" t="s">
        <v>112</v>
      </c>
      <c r="BJ924" t="s">
        <v>112</v>
      </c>
      <c r="BK924" t="s">
        <v>112</v>
      </c>
      <c r="BL924" t="s">
        <v>112</v>
      </c>
      <c r="BM924" t="s">
        <v>112</v>
      </c>
      <c r="BN924" t="s">
        <v>161</v>
      </c>
      <c r="BP924" t="s">
        <v>162</v>
      </c>
      <c r="BR924" t="s">
        <v>150</v>
      </c>
      <c r="BS924">
        <v>33</v>
      </c>
      <c r="BU924">
        <v>0</v>
      </c>
      <c r="BY924" t="s">
        <v>106</v>
      </c>
      <c r="BZ924" t="s">
        <v>142</v>
      </c>
      <c r="CA924" t="s">
        <v>112</v>
      </c>
      <c r="CB924" t="s">
        <v>112</v>
      </c>
      <c r="CC924" t="s">
        <v>121</v>
      </c>
      <c r="CD924">
        <v>16797.45</v>
      </c>
      <c r="CE924" t="s">
        <v>144</v>
      </c>
      <c r="CF924">
        <v>4000000</v>
      </c>
      <c r="CG924">
        <v>16711.05</v>
      </c>
      <c r="CH924">
        <v>0</v>
      </c>
      <c r="CI924" t="s">
        <v>112</v>
      </c>
      <c r="CJ924" t="s">
        <v>112</v>
      </c>
      <c r="CK924">
        <v>40442.959999999999</v>
      </c>
      <c r="CO924">
        <v>4558932.74</v>
      </c>
      <c r="CP924">
        <v>49674.83</v>
      </c>
      <c r="CQ924" t="s">
        <v>145</v>
      </c>
      <c r="CR924">
        <v>49631.818500000001</v>
      </c>
      <c r="CS924">
        <v>2.97</v>
      </c>
      <c r="CW924">
        <v>166</v>
      </c>
    </row>
    <row r="925" spans="1:101" x14ac:dyDescent="0.2">
      <c r="A925" t="s">
        <v>106</v>
      </c>
      <c r="B925" s="46">
        <v>45013</v>
      </c>
      <c r="C925" t="s">
        <v>1286</v>
      </c>
      <c r="D925" t="s">
        <v>108</v>
      </c>
      <c r="E925" t="s">
        <v>1287</v>
      </c>
      <c r="F925" t="s">
        <v>110</v>
      </c>
      <c r="G925" t="s">
        <v>111</v>
      </c>
      <c r="H925" t="s">
        <v>112</v>
      </c>
      <c r="I925" t="s">
        <v>112</v>
      </c>
      <c r="J925" t="s">
        <v>112</v>
      </c>
      <c r="K925" t="s">
        <v>150</v>
      </c>
      <c r="L925" t="s">
        <v>1060</v>
      </c>
      <c r="M925" t="s">
        <v>112</v>
      </c>
      <c r="N925" t="s">
        <v>112</v>
      </c>
      <c r="O925">
        <v>1</v>
      </c>
      <c r="P925">
        <v>0</v>
      </c>
      <c r="Q925">
        <v>1</v>
      </c>
      <c r="R925">
        <v>33</v>
      </c>
      <c r="S925" t="s">
        <v>166</v>
      </c>
      <c r="T925" t="s">
        <v>152</v>
      </c>
      <c r="U925" t="s">
        <v>153</v>
      </c>
      <c r="V925" t="s">
        <v>154</v>
      </c>
      <c r="W925" t="s">
        <v>119</v>
      </c>
      <c r="X925" t="s">
        <v>112</v>
      </c>
      <c r="Y925" t="s">
        <v>166</v>
      </c>
      <c r="Z925" t="s">
        <v>152</v>
      </c>
      <c r="AA925" t="s">
        <v>153</v>
      </c>
      <c r="AB925" t="s">
        <v>154</v>
      </c>
      <c r="AC925" t="s">
        <v>119</v>
      </c>
      <c r="AD925" t="s">
        <v>112</v>
      </c>
      <c r="AE925" t="s">
        <v>121</v>
      </c>
      <c r="AF925" t="s">
        <v>122</v>
      </c>
      <c r="AG925">
        <v>4239480.08</v>
      </c>
      <c r="AH925" t="s">
        <v>166</v>
      </c>
      <c r="AI925" t="s">
        <v>152</v>
      </c>
      <c r="AJ925" t="s">
        <v>153</v>
      </c>
      <c r="AK925" t="s">
        <v>154</v>
      </c>
      <c r="AL925" t="s">
        <v>119</v>
      </c>
      <c r="AM925" t="s">
        <v>112</v>
      </c>
      <c r="AN925" t="s">
        <v>121</v>
      </c>
      <c r="AO925" t="s">
        <v>122</v>
      </c>
      <c r="AP925" t="s">
        <v>122</v>
      </c>
      <c r="AQ925" t="s">
        <v>124</v>
      </c>
      <c r="AR925" t="s">
        <v>125</v>
      </c>
      <c r="AS925">
        <v>2</v>
      </c>
      <c r="AT925" t="s">
        <v>126</v>
      </c>
      <c r="AU925" t="s">
        <v>155</v>
      </c>
      <c r="AV925" t="s">
        <v>156</v>
      </c>
      <c r="AW925">
        <v>1</v>
      </c>
      <c r="AX925" t="s">
        <v>129</v>
      </c>
      <c r="AY925">
        <v>44138.080000000002</v>
      </c>
      <c r="AZ925">
        <v>3821316</v>
      </c>
      <c r="BA925">
        <v>52361.43</v>
      </c>
      <c r="BB925">
        <v>86.576400000000007</v>
      </c>
      <c r="BC925" t="s">
        <v>130</v>
      </c>
      <c r="BD925" t="s">
        <v>112</v>
      </c>
      <c r="BE925" t="s">
        <v>157</v>
      </c>
      <c r="BF925" t="s">
        <v>133</v>
      </c>
      <c r="BG925" t="s">
        <v>134</v>
      </c>
      <c r="BH925" t="s">
        <v>112</v>
      </c>
      <c r="BI925" t="s">
        <v>112</v>
      </c>
      <c r="BJ925" t="s">
        <v>112</v>
      </c>
      <c r="BK925" t="s">
        <v>169</v>
      </c>
      <c r="BL925" t="s">
        <v>159</v>
      </c>
      <c r="BM925" t="s">
        <v>722</v>
      </c>
      <c r="BN925" t="s">
        <v>161</v>
      </c>
      <c r="BO925">
        <v>1</v>
      </c>
      <c r="BP925" t="s">
        <v>205</v>
      </c>
      <c r="BR925" t="s">
        <v>150</v>
      </c>
      <c r="BS925">
        <v>33</v>
      </c>
      <c r="BT925">
        <v>0</v>
      </c>
      <c r="BU925">
        <v>0</v>
      </c>
      <c r="BW925">
        <v>0</v>
      </c>
      <c r="BY925" t="s">
        <v>106</v>
      </c>
      <c r="BZ925" t="s">
        <v>142</v>
      </c>
      <c r="CA925" t="s">
        <v>112</v>
      </c>
      <c r="CB925" t="s">
        <v>112</v>
      </c>
      <c r="CC925" t="s">
        <v>121</v>
      </c>
      <c r="CD925">
        <v>16715.78</v>
      </c>
      <c r="CE925" t="s">
        <v>144</v>
      </c>
      <c r="CF925">
        <v>4000000</v>
      </c>
      <c r="CG925">
        <v>16715.78</v>
      </c>
      <c r="CH925">
        <v>0</v>
      </c>
      <c r="CI925" t="s">
        <v>112</v>
      </c>
      <c r="CJ925" t="s">
        <v>112</v>
      </c>
      <c r="CK925">
        <v>44138.080000000002</v>
      </c>
      <c r="CL925">
        <v>3821316</v>
      </c>
      <c r="CM925">
        <v>0</v>
      </c>
      <c r="CN925">
        <v>1</v>
      </c>
      <c r="CO925">
        <v>4239480.08</v>
      </c>
      <c r="CP925">
        <v>52361.43</v>
      </c>
      <c r="CQ925" t="s">
        <v>145</v>
      </c>
      <c r="CR925">
        <v>52320.391399999993</v>
      </c>
      <c r="CS925">
        <v>3.13</v>
      </c>
      <c r="CT925">
        <v>45</v>
      </c>
      <c r="CU925" t="s">
        <v>171</v>
      </c>
      <c r="CV925" t="s">
        <v>463</v>
      </c>
      <c r="CW925">
        <v>146</v>
      </c>
    </row>
    <row r="926" spans="1:101" x14ac:dyDescent="0.2">
      <c r="A926" t="s">
        <v>106</v>
      </c>
      <c r="B926" s="46">
        <v>45251</v>
      </c>
      <c r="C926" t="s">
        <v>1115</v>
      </c>
      <c r="D926" t="s">
        <v>108</v>
      </c>
      <c r="E926" t="s">
        <v>1116</v>
      </c>
      <c r="F926" t="s">
        <v>110</v>
      </c>
      <c r="G926" t="s">
        <v>111</v>
      </c>
      <c r="H926" t="s">
        <v>112</v>
      </c>
      <c r="I926" t="s">
        <v>112</v>
      </c>
      <c r="J926" t="s">
        <v>112</v>
      </c>
      <c r="K926" t="s">
        <v>150</v>
      </c>
      <c r="L926" t="s">
        <v>1103</v>
      </c>
      <c r="M926" t="s">
        <v>112</v>
      </c>
      <c r="N926" t="s">
        <v>112</v>
      </c>
      <c r="O926">
        <v>1</v>
      </c>
      <c r="P926">
        <v>0</v>
      </c>
      <c r="Q926">
        <v>1</v>
      </c>
      <c r="R926">
        <v>33</v>
      </c>
      <c r="S926" t="s">
        <v>166</v>
      </c>
      <c r="T926" t="s">
        <v>152</v>
      </c>
      <c r="U926" t="s">
        <v>153</v>
      </c>
      <c r="V926" t="s">
        <v>154</v>
      </c>
      <c r="W926" t="s">
        <v>119</v>
      </c>
      <c r="X926" t="s">
        <v>112</v>
      </c>
      <c r="Y926" t="s">
        <v>166</v>
      </c>
      <c r="Z926" t="s">
        <v>152</v>
      </c>
      <c r="AA926" t="s">
        <v>153</v>
      </c>
      <c r="AB926" t="s">
        <v>154</v>
      </c>
      <c r="AC926" t="s">
        <v>119</v>
      </c>
      <c r="AD926" t="s">
        <v>112</v>
      </c>
      <c r="AE926" t="s">
        <v>121</v>
      </c>
      <c r="AF926" t="s">
        <v>122</v>
      </c>
      <c r="AG926">
        <v>4017614.56</v>
      </c>
      <c r="AH926" t="s">
        <v>166</v>
      </c>
      <c r="AI926" t="s">
        <v>152</v>
      </c>
      <c r="AJ926" t="s">
        <v>153</v>
      </c>
      <c r="AK926" t="s">
        <v>154</v>
      </c>
      <c r="AL926" t="s">
        <v>119</v>
      </c>
      <c r="AM926" t="s">
        <v>112</v>
      </c>
      <c r="AN926" t="s">
        <v>121</v>
      </c>
      <c r="AO926" t="s">
        <v>122</v>
      </c>
      <c r="AP926" t="s">
        <v>122</v>
      </c>
      <c r="AQ926" t="s">
        <v>124</v>
      </c>
      <c r="AR926" t="s">
        <v>125</v>
      </c>
      <c r="AS926">
        <v>2</v>
      </c>
      <c r="AT926" t="s">
        <v>126</v>
      </c>
      <c r="AU926" t="s">
        <v>155</v>
      </c>
      <c r="AV926" t="s">
        <v>156</v>
      </c>
      <c r="AW926">
        <v>1</v>
      </c>
      <c r="AX926" t="s">
        <v>129</v>
      </c>
      <c r="AY926">
        <v>40412.94</v>
      </c>
      <c r="AZ926">
        <v>3571340</v>
      </c>
      <c r="BA926">
        <v>49902.49</v>
      </c>
      <c r="BB926">
        <v>88.371200000000002</v>
      </c>
      <c r="BC926" t="s">
        <v>130</v>
      </c>
      <c r="BD926" t="s">
        <v>112</v>
      </c>
      <c r="BE926" t="s">
        <v>157</v>
      </c>
      <c r="BF926" t="s">
        <v>133</v>
      </c>
      <c r="BG926" t="s">
        <v>134</v>
      </c>
      <c r="BH926" t="s">
        <v>112</v>
      </c>
      <c r="BI926" t="s">
        <v>112</v>
      </c>
      <c r="BJ926" t="s">
        <v>112</v>
      </c>
      <c r="BK926" t="s">
        <v>169</v>
      </c>
      <c r="BL926" t="s">
        <v>159</v>
      </c>
      <c r="BM926" t="s">
        <v>722</v>
      </c>
      <c r="BN926" t="s">
        <v>161</v>
      </c>
      <c r="BO926">
        <v>1</v>
      </c>
      <c r="BP926" t="s">
        <v>205</v>
      </c>
      <c r="BR926" t="s">
        <v>150</v>
      </c>
      <c r="BS926">
        <v>33</v>
      </c>
      <c r="BT926">
        <v>0</v>
      </c>
      <c r="BU926">
        <v>0</v>
      </c>
      <c r="BW926">
        <v>0</v>
      </c>
      <c r="BY926" t="s">
        <v>106</v>
      </c>
      <c r="BZ926" t="s">
        <v>142</v>
      </c>
      <c r="CA926" t="s">
        <v>112</v>
      </c>
      <c r="CB926" t="s">
        <v>112</v>
      </c>
      <c r="CC926" t="s">
        <v>121</v>
      </c>
      <c r="CD926">
        <v>16789.759999999998</v>
      </c>
      <c r="CE926" t="s">
        <v>144</v>
      </c>
      <c r="CF926">
        <v>4000000</v>
      </c>
      <c r="CG926">
        <v>16789.759999999998</v>
      </c>
      <c r="CH926">
        <v>0</v>
      </c>
      <c r="CI926" t="s">
        <v>112</v>
      </c>
      <c r="CJ926" t="s">
        <v>112</v>
      </c>
      <c r="CK926">
        <v>40412.94</v>
      </c>
      <c r="CL926">
        <v>3571340</v>
      </c>
      <c r="CM926">
        <v>0</v>
      </c>
      <c r="CN926">
        <v>1</v>
      </c>
      <c r="CO926">
        <v>4017614.56</v>
      </c>
      <c r="CP926">
        <v>49902.49</v>
      </c>
      <c r="CQ926" t="s">
        <v>145</v>
      </c>
      <c r="CR926">
        <v>49902.524671999992</v>
      </c>
      <c r="CS926">
        <v>2.9722</v>
      </c>
      <c r="CT926">
        <v>45</v>
      </c>
      <c r="CU926" t="s">
        <v>171</v>
      </c>
      <c r="CV926" t="s">
        <v>463</v>
      </c>
      <c r="CW926">
        <v>271</v>
      </c>
    </row>
    <row r="927" spans="1:101" x14ac:dyDescent="0.2">
      <c r="A927" t="s">
        <v>106</v>
      </c>
      <c r="B927" s="46">
        <v>45211</v>
      </c>
      <c r="C927" t="s">
        <v>1101</v>
      </c>
      <c r="D927" t="s">
        <v>108</v>
      </c>
      <c r="E927" t="s">
        <v>1102</v>
      </c>
      <c r="F927" t="s">
        <v>110</v>
      </c>
      <c r="G927" t="s">
        <v>111</v>
      </c>
      <c r="H927" t="s">
        <v>112</v>
      </c>
      <c r="I927" t="s">
        <v>112</v>
      </c>
      <c r="J927" t="s">
        <v>112</v>
      </c>
      <c r="K927" t="s">
        <v>150</v>
      </c>
      <c r="L927" t="s">
        <v>1103</v>
      </c>
      <c r="M927" t="s">
        <v>112</v>
      </c>
      <c r="N927" t="s">
        <v>112</v>
      </c>
      <c r="O927">
        <v>1</v>
      </c>
      <c r="P927">
        <v>0</v>
      </c>
      <c r="Q927">
        <v>1</v>
      </c>
      <c r="R927">
        <v>33</v>
      </c>
      <c r="S927" t="s">
        <v>166</v>
      </c>
      <c r="T927" t="s">
        <v>152</v>
      </c>
      <c r="U927" t="s">
        <v>153</v>
      </c>
      <c r="V927" t="s">
        <v>154</v>
      </c>
      <c r="W927" t="s">
        <v>119</v>
      </c>
      <c r="X927" t="s">
        <v>112</v>
      </c>
      <c r="Y927" t="s">
        <v>166</v>
      </c>
      <c r="Z927" t="s">
        <v>152</v>
      </c>
      <c r="AA927" t="s">
        <v>153</v>
      </c>
      <c r="AB927" t="s">
        <v>154</v>
      </c>
      <c r="AC927" t="s">
        <v>119</v>
      </c>
      <c r="AD927" t="s">
        <v>112</v>
      </c>
      <c r="AE927" t="s">
        <v>121</v>
      </c>
      <c r="AF927" t="s">
        <v>122</v>
      </c>
      <c r="AG927">
        <v>4039733.87</v>
      </c>
      <c r="AH927" t="s">
        <v>166</v>
      </c>
      <c r="AI927" t="s">
        <v>152</v>
      </c>
      <c r="AJ927" t="s">
        <v>153</v>
      </c>
      <c r="AK927" t="s">
        <v>154</v>
      </c>
      <c r="AL927" t="s">
        <v>119</v>
      </c>
      <c r="AM927" t="s">
        <v>112</v>
      </c>
      <c r="AN927" t="s">
        <v>121</v>
      </c>
      <c r="AO927" t="s">
        <v>122</v>
      </c>
      <c r="AP927" t="s">
        <v>122</v>
      </c>
      <c r="AQ927" t="s">
        <v>124</v>
      </c>
      <c r="AR927" t="s">
        <v>125</v>
      </c>
      <c r="AS927">
        <v>2</v>
      </c>
      <c r="AT927" t="s">
        <v>126</v>
      </c>
      <c r="AU927" t="s">
        <v>155</v>
      </c>
      <c r="AV927" t="s">
        <v>156</v>
      </c>
      <c r="AW927">
        <v>1</v>
      </c>
      <c r="AX927" t="s">
        <v>129</v>
      </c>
      <c r="AY927">
        <v>41363.24</v>
      </c>
      <c r="AZ927">
        <v>3655319</v>
      </c>
      <c r="BA927">
        <v>50177.23</v>
      </c>
      <c r="BB927">
        <v>88.371200000000002</v>
      </c>
      <c r="BC927" t="s">
        <v>130</v>
      </c>
      <c r="BD927" t="s">
        <v>112</v>
      </c>
      <c r="BE927" t="s">
        <v>157</v>
      </c>
      <c r="BF927" t="s">
        <v>133</v>
      </c>
      <c r="BG927" t="s">
        <v>167</v>
      </c>
      <c r="BH927" t="s">
        <v>168</v>
      </c>
      <c r="BI927" t="s">
        <v>112</v>
      </c>
      <c r="BJ927" t="s">
        <v>112</v>
      </c>
      <c r="BK927" t="s">
        <v>169</v>
      </c>
      <c r="BL927" t="s">
        <v>159</v>
      </c>
      <c r="BM927" t="s">
        <v>726</v>
      </c>
      <c r="BN927" t="s">
        <v>161</v>
      </c>
      <c r="BO927">
        <v>1</v>
      </c>
      <c r="BP927" t="s">
        <v>162</v>
      </c>
      <c r="BR927" t="s">
        <v>150</v>
      </c>
      <c r="BS927">
        <v>33</v>
      </c>
      <c r="BT927">
        <v>0</v>
      </c>
      <c r="BU927">
        <v>0</v>
      </c>
      <c r="BW927">
        <v>0</v>
      </c>
      <c r="BY927" t="s">
        <v>106</v>
      </c>
      <c r="BZ927" t="s">
        <v>142</v>
      </c>
      <c r="CA927" t="s">
        <v>112</v>
      </c>
      <c r="CB927" t="s">
        <v>112</v>
      </c>
      <c r="CC927" t="s">
        <v>121</v>
      </c>
      <c r="CD927">
        <v>17372.349999999999</v>
      </c>
      <c r="CE927" t="s">
        <v>144</v>
      </c>
      <c r="CF927">
        <v>4000000</v>
      </c>
      <c r="CG927">
        <v>17210.349999999999</v>
      </c>
      <c r="CH927">
        <v>0</v>
      </c>
      <c r="CI927" t="s">
        <v>112</v>
      </c>
      <c r="CJ927" t="s">
        <v>112</v>
      </c>
      <c r="CK927">
        <v>41363.24</v>
      </c>
      <c r="CL927">
        <v>3655319</v>
      </c>
      <c r="CM927">
        <v>0</v>
      </c>
      <c r="CN927">
        <v>1</v>
      </c>
      <c r="CO927">
        <v>4039733.87</v>
      </c>
      <c r="CP927">
        <v>50177.23</v>
      </c>
      <c r="CQ927" t="s">
        <v>145</v>
      </c>
      <c r="CR927">
        <v>50176.775425</v>
      </c>
      <c r="CS927">
        <v>2.9155000000000002</v>
      </c>
      <c r="CT927">
        <v>45</v>
      </c>
      <c r="CU927" t="s">
        <v>171</v>
      </c>
      <c r="CV927" t="s">
        <v>372</v>
      </c>
      <c r="CW927">
        <v>166</v>
      </c>
    </row>
    <row r="928" spans="1:101" x14ac:dyDescent="0.2">
      <c r="A928" t="s">
        <v>106</v>
      </c>
      <c r="B928" s="46">
        <v>45130</v>
      </c>
      <c r="C928" t="s">
        <v>1111</v>
      </c>
      <c r="D928" t="s">
        <v>108</v>
      </c>
      <c r="E928" t="s">
        <v>1112</v>
      </c>
      <c r="F928" t="s">
        <v>110</v>
      </c>
      <c r="G928" t="s">
        <v>111</v>
      </c>
      <c r="H928" t="s">
        <v>112</v>
      </c>
      <c r="I928" t="s">
        <v>112</v>
      </c>
      <c r="J928" t="s">
        <v>112</v>
      </c>
      <c r="K928" t="s">
        <v>150</v>
      </c>
      <c r="L928" t="s">
        <v>1103</v>
      </c>
      <c r="M928" t="s">
        <v>112</v>
      </c>
      <c r="N928" t="s">
        <v>112</v>
      </c>
      <c r="O928">
        <v>1</v>
      </c>
      <c r="P928">
        <v>0</v>
      </c>
      <c r="Q928">
        <v>1</v>
      </c>
      <c r="R928">
        <v>33</v>
      </c>
      <c r="S928" t="s">
        <v>166</v>
      </c>
      <c r="T928" t="s">
        <v>152</v>
      </c>
      <c r="U928" t="s">
        <v>153</v>
      </c>
      <c r="V928" t="s">
        <v>154</v>
      </c>
      <c r="W928" t="s">
        <v>119</v>
      </c>
      <c r="X928" t="s">
        <v>112</v>
      </c>
      <c r="Y928" t="s">
        <v>166</v>
      </c>
      <c r="Z928" t="s">
        <v>152</v>
      </c>
      <c r="AA928" t="s">
        <v>153</v>
      </c>
      <c r="AB928" t="s">
        <v>154</v>
      </c>
      <c r="AC928" t="s">
        <v>119</v>
      </c>
      <c r="AD928" t="s">
        <v>112</v>
      </c>
      <c r="AE928" t="s">
        <v>121</v>
      </c>
      <c r="AF928" t="s">
        <v>122</v>
      </c>
      <c r="AG928">
        <v>4219552.4800000004</v>
      </c>
      <c r="AH928" t="s">
        <v>166</v>
      </c>
      <c r="AI928" t="s">
        <v>152</v>
      </c>
      <c r="AJ928" t="s">
        <v>153</v>
      </c>
      <c r="AK928" t="s">
        <v>154</v>
      </c>
      <c r="AL928" t="s">
        <v>119</v>
      </c>
      <c r="AM928" t="s">
        <v>112</v>
      </c>
      <c r="AN928" t="s">
        <v>121</v>
      </c>
      <c r="AO928" t="s">
        <v>122</v>
      </c>
      <c r="AP928" t="s">
        <v>122</v>
      </c>
      <c r="AQ928" t="s">
        <v>124</v>
      </c>
      <c r="AR928" t="s">
        <v>125</v>
      </c>
      <c r="AS928">
        <v>2</v>
      </c>
      <c r="AT928" t="s">
        <v>126</v>
      </c>
      <c r="AU928" t="s">
        <v>155</v>
      </c>
      <c r="AV928" t="s">
        <v>156</v>
      </c>
      <c r="AW928">
        <v>1</v>
      </c>
      <c r="AX928" t="s">
        <v>129</v>
      </c>
      <c r="AY928">
        <v>42898.05</v>
      </c>
      <c r="AZ928">
        <v>3790952</v>
      </c>
      <c r="BA928">
        <v>52410.75</v>
      </c>
      <c r="BB928">
        <v>88.371200000000002</v>
      </c>
      <c r="BC928" t="s">
        <v>130</v>
      </c>
      <c r="BD928" t="s">
        <v>112</v>
      </c>
      <c r="BE928" t="s">
        <v>157</v>
      </c>
      <c r="BF928" t="s">
        <v>133</v>
      </c>
      <c r="BG928" t="s">
        <v>134</v>
      </c>
      <c r="BH928" t="s">
        <v>112</v>
      </c>
      <c r="BI928" t="s">
        <v>112</v>
      </c>
      <c r="BJ928" t="s">
        <v>112</v>
      </c>
      <c r="BK928" t="s">
        <v>169</v>
      </c>
      <c r="BL928" t="s">
        <v>159</v>
      </c>
      <c r="BM928" t="s">
        <v>722</v>
      </c>
      <c r="BN928" t="s">
        <v>161</v>
      </c>
      <c r="BO928">
        <v>1</v>
      </c>
      <c r="BP928" t="s">
        <v>281</v>
      </c>
      <c r="BR928" t="s">
        <v>150</v>
      </c>
      <c r="BS928">
        <v>33</v>
      </c>
      <c r="BT928">
        <v>0</v>
      </c>
      <c r="BU928">
        <v>0</v>
      </c>
      <c r="BW928">
        <v>0</v>
      </c>
      <c r="BY928" t="s">
        <v>106</v>
      </c>
      <c r="BZ928" t="s">
        <v>142</v>
      </c>
      <c r="CA928" t="s">
        <v>112</v>
      </c>
      <c r="CB928" t="s">
        <v>112</v>
      </c>
      <c r="CC928" t="s">
        <v>121</v>
      </c>
      <c r="CD928">
        <v>17497.47</v>
      </c>
      <c r="CE928" t="s">
        <v>144</v>
      </c>
      <c r="CF928">
        <v>4000000</v>
      </c>
      <c r="CG928">
        <v>17497.47</v>
      </c>
      <c r="CH928">
        <v>0</v>
      </c>
      <c r="CI928" t="s">
        <v>112</v>
      </c>
      <c r="CJ928" t="s">
        <v>112</v>
      </c>
      <c r="CK928">
        <v>42898.05</v>
      </c>
      <c r="CL928">
        <v>3790952</v>
      </c>
      <c r="CM928">
        <v>0</v>
      </c>
      <c r="CN928">
        <v>1</v>
      </c>
      <c r="CO928">
        <v>4219552.4800000004</v>
      </c>
      <c r="CP928">
        <v>52410.75</v>
      </c>
      <c r="CQ928" t="s">
        <v>145</v>
      </c>
      <c r="CR928">
        <v>52410.171890999998</v>
      </c>
      <c r="CS928">
        <v>2.9952999999999999</v>
      </c>
      <c r="CT928">
        <v>45</v>
      </c>
      <c r="CU928" t="s">
        <v>171</v>
      </c>
      <c r="CV928" t="s">
        <v>172</v>
      </c>
      <c r="CW928">
        <v>166</v>
      </c>
    </row>
    <row r="929" spans="1:101" x14ac:dyDescent="0.2">
      <c r="A929" t="s">
        <v>106</v>
      </c>
      <c r="B929" s="46">
        <v>45281</v>
      </c>
      <c r="C929" t="s">
        <v>1104</v>
      </c>
      <c r="D929" t="s">
        <v>108</v>
      </c>
      <c r="E929" t="s">
        <v>1105</v>
      </c>
      <c r="F929" t="s">
        <v>110</v>
      </c>
      <c r="G929" t="s">
        <v>111</v>
      </c>
      <c r="H929" t="s">
        <v>112</v>
      </c>
      <c r="I929" t="s">
        <v>112</v>
      </c>
      <c r="J929" t="s">
        <v>112</v>
      </c>
      <c r="K929" t="s">
        <v>150</v>
      </c>
      <c r="L929" t="s">
        <v>1103</v>
      </c>
      <c r="M929" t="s">
        <v>112</v>
      </c>
      <c r="N929" t="s">
        <v>112</v>
      </c>
      <c r="O929">
        <v>1</v>
      </c>
      <c r="P929">
        <v>0</v>
      </c>
      <c r="Q929">
        <v>1</v>
      </c>
      <c r="R929">
        <v>33</v>
      </c>
      <c r="S929" t="s">
        <v>166</v>
      </c>
      <c r="T929" t="s">
        <v>152</v>
      </c>
      <c r="U929" t="s">
        <v>153</v>
      </c>
      <c r="V929" t="s">
        <v>154</v>
      </c>
      <c r="W929" t="s">
        <v>119</v>
      </c>
      <c r="X929" t="s">
        <v>112</v>
      </c>
      <c r="Y929" t="s">
        <v>166</v>
      </c>
      <c r="Z929" t="s">
        <v>152</v>
      </c>
      <c r="AA929" t="s">
        <v>153</v>
      </c>
      <c r="AB929" t="s">
        <v>154</v>
      </c>
      <c r="AC929" t="s">
        <v>119</v>
      </c>
      <c r="AD929" t="s">
        <v>112</v>
      </c>
      <c r="AE929" t="s">
        <v>121</v>
      </c>
      <c r="AF929" t="s">
        <v>122</v>
      </c>
      <c r="AG929">
        <v>3821054.04</v>
      </c>
      <c r="AH929" t="s">
        <v>166</v>
      </c>
      <c r="AI929" t="s">
        <v>152</v>
      </c>
      <c r="AJ929" t="s">
        <v>153</v>
      </c>
      <c r="AK929" t="s">
        <v>154</v>
      </c>
      <c r="AL929" t="s">
        <v>119</v>
      </c>
      <c r="AM929" t="s">
        <v>112</v>
      </c>
      <c r="AN929" t="s">
        <v>121</v>
      </c>
      <c r="AO929" t="s">
        <v>122</v>
      </c>
      <c r="AP929" t="s">
        <v>122</v>
      </c>
      <c r="AQ929" t="s">
        <v>124</v>
      </c>
      <c r="AR929" t="s">
        <v>125</v>
      </c>
      <c r="AS929">
        <v>2</v>
      </c>
      <c r="AT929" t="s">
        <v>126</v>
      </c>
      <c r="AU929" t="s">
        <v>155</v>
      </c>
      <c r="AV929" t="s">
        <v>156</v>
      </c>
      <c r="AW929">
        <v>1</v>
      </c>
      <c r="AX929" t="s">
        <v>129</v>
      </c>
      <c r="AY929">
        <v>38888.68</v>
      </c>
      <c r="AZ929">
        <v>3436639</v>
      </c>
      <c r="BA929">
        <v>47461.03</v>
      </c>
      <c r="BB929">
        <v>88.371200000000002</v>
      </c>
      <c r="BC929" t="s">
        <v>130</v>
      </c>
      <c r="BD929" t="s">
        <v>112</v>
      </c>
      <c r="BE929" t="s">
        <v>157</v>
      </c>
      <c r="BF929" t="s">
        <v>133</v>
      </c>
      <c r="BG929" t="s">
        <v>167</v>
      </c>
      <c r="BH929" t="s">
        <v>168</v>
      </c>
      <c r="BI929" t="s">
        <v>112</v>
      </c>
      <c r="BJ929" t="s">
        <v>112</v>
      </c>
      <c r="BK929" t="s">
        <v>169</v>
      </c>
      <c r="BL929" t="s">
        <v>159</v>
      </c>
      <c r="BM929" t="s">
        <v>726</v>
      </c>
      <c r="BN929" t="s">
        <v>161</v>
      </c>
      <c r="BO929">
        <v>1</v>
      </c>
      <c r="BP929" t="s">
        <v>1106</v>
      </c>
      <c r="BR929" t="s">
        <v>150</v>
      </c>
      <c r="BS929">
        <v>33</v>
      </c>
      <c r="BT929">
        <v>0</v>
      </c>
      <c r="BU929">
        <v>0</v>
      </c>
      <c r="BW929">
        <v>0</v>
      </c>
      <c r="BY929" t="s">
        <v>106</v>
      </c>
      <c r="BZ929" t="s">
        <v>142</v>
      </c>
      <c r="CA929" t="s">
        <v>112</v>
      </c>
      <c r="CB929" t="s">
        <v>112</v>
      </c>
      <c r="CC929" t="s">
        <v>121</v>
      </c>
      <c r="CD929">
        <v>16459.64</v>
      </c>
      <c r="CE929" t="s">
        <v>144</v>
      </c>
      <c r="CF929">
        <v>4000000</v>
      </c>
      <c r="CG929">
        <v>16316.84</v>
      </c>
      <c r="CH929">
        <v>0</v>
      </c>
      <c r="CI929" t="s">
        <v>112</v>
      </c>
      <c r="CJ929" t="s">
        <v>112</v>
      </c>
      <c r="CK929">
        <v>38888.68</v>
      </c>
      <c r="CL929">
        <v>3436639</v>
      </c>
      <c r="CM929">
        <v>0</v>
      </c>
      <c r="CN929">
        <v>1</v>
      </c>
      <c r="CO929">
        <v>3821054.04</v>
      </c>
      <c r="CP929">
        <v>47461.03</v>
      </c>
      <c r="CQ929" t="s">
        <v>145</v>
      </c>
      <c r="CR929">
        <v>47460.792507999999</v>
      </c>
      <c r="CS929">
        <v>2.9087000000000001</v>
      </c>
      <c r="CT929">
        <v>45</v>
      </c>
      <c r="CU929" t="s">
        <v>171</v>
      </c>
      <c r="CV929" t="s">
        <v>369</v>
      </c>
      <c r="CW929">
        <v>564</v>
      </c>
    </row>
    <row r="930" spans="1:101" x14ac:dyDescent="0.2">
      <c r="A930" t="s">
        <v>106</v>
      </c>
      <c r="B930" s="46">
        <v>45168</v>
      </c>
      <c r="C930" t="s">
        <v>1109</v>
      </c>
      <c r="D930" t="s">
        <v>108</v>
      </c>
      <c r="E930" t="s">
        <v>1110</v>
      </c>
      <c r="F930" t="s">
        <v>110</v>
      </c>
      <c r="G930" t="s">
        <v>111</v>
      </c>
      <c r="H930" t="s">
        <v>112</v>
      </c>
      <c r="I930" t="s">
        <v>112</v>
      </c>
      <c r="J930" t="s">
        <v>112</v>
      </c>
      <c r="K930" t="s">
        <v>150</v>
      </c>
      <c r="L930" t="s">
        <v>1103</v>
      </c>
      <c r="M930" t="s">
        <v>112</v>
      </c>
      <c r="N930" t="s">
        <v>112</v>
      </c>
      <c r="O930">
        <v>1</v>
      </c>
      <c r="P930">
        <v>0</v>
      </c>
      <c r="Q930">
        <v>1</v>
      </c>
      <c r="R930">
        <v>33</v>
      </c>
      <c r="S930" t="s">
        <v>166</v>
      </c>
      <c r="T930" t="s">
        <v>152</v>
      </c>
      <c r="U930" t="s">
        <v>153</v>
      </c>
      <c r="V930" t="s">
        <v>154</v>
      </c>
      <c r="W930" t="s">
        <v>119</v>
      </c>
      <c r="X930" t="s">
        <v>112</v>
      </c>
      <c r="Y930" t="s">
        <v>166</v>
      </c>
      <c r="Z930" t="s">
        <v>152</v>
      </c>
      <c r="AA930" t="s">
        <v>153</v>
      </c>
      <c r="AB930" t="s">
        <v>154</v>
      </c>
      <c r="AC930" t="s">
        <v>119</v>
      </c>
      <c r="AD930" t="s">
        <v>112</v>
      </c>
      <c r="AE930" t="s">
        <v>121</v>
      </c>
      <c r="AF930" t="s">
        <v>122</v>
      </c>
      <c r="AG930">
        <v>3930100.56</v>
      </c>
      <c r="AH930" t="s">
        <v>166</v>
      </c>
      <c r="AI930" t="s">
        <v>152</v>
      </c>
      <c r="AJ930" t="s">
        <v>153</v>
      </c>
      <c r="AK930" t="s">
        <v>154</v>
      </c>
      <c r="AL930" t="s">
        <v>119</v>
      </c>
      <c r="AM930" t="s">
        <v>112</v>
      </c>
      <c r="AN930" t="s">
        <v>121</v>
      </c>
      <c r="AO930" t="s">
        <v>122</v>
      </c>
      <c r="AP930" t="s">
        <v>122</v>
      </c>
      <c r="AQ930" t="s">
        <v>124</v>
      </c>
      <c r="AR930" t="s">
        <v>125</v>
      </c>
      <c r="AS930">
        <v>2</v>
      </c>
      <c r="AT930" t="s">
        <v>126</v>
      </c>
      <c r="AU930" t="s">
        <v>155</v>
      </c>
      <c r="AV930" t="s">
        <v>156</v>
      </c>
      <c r="AW930">
        <v>1</v>
      </c>
      <c r="AX930" t="s">
        <v>129</v>
      </c>
      <c r="AY930">
        <v>40122.639999999999</v>
      </c>
      <c r="AZ930">
        <v>3545686</v>
      </c>
      <c r="BA930">
        <v>48815.49</v>
      </c>
      <c r="BB930">
        <v>88.371200000000002</v>
      </c>
      <c r="BC930" t="s">
        <v>130</v>
      </c>
      <c r="BD930" t="s">
        <v>112</v>
      </c>
      <c r="BE930" t="s">
        <v>157</v>
      </c>
      <c r="BF930" t="s">
        <v>133</v>
      </c>
      <c r="BG930" t="s">
        <v>167</v>
      </c>
      <c r="BH930" t="s">
        <v>168</v>
      </c>
      <c r="BI930" t="s">
        <v>112</v>
      </c>
      <c r="BJ930" t="s">
        <v>112</v>
      </c>
      <c r="BK930" t="s">
        <v>169</v>
      </c>
      <c r="BL930" t="s">
        <v>159</v>
      </c>
      <c r="BM930" t="s">
        <v>726</v>
      </c>
      <c r="BN930" t="s">
        <v>161</v>
      </c>
      <c r="BO930">
        <v>1</v>
      </c>
      <c r="BP930" t="s">
        <v>653</v>
      </c>
      <c r="BR930" t="s">
        <v>150</v>
      </c>
      <c r="BS930">
        <v>33</v>
      </c>
      <c r="BT930">
        <v>0</v>
      </c>
      <c r="BU930">
        <v>0</v>
      </c>
      <c r="BW930">
        <v>0</v>
      </c>
      <c r="BY930" t="s">
        <v>106</v>
      </c>
      <c r="BZ930" t="s">
        <v>142</v>
      </c>
      <c r="CA930" t="s">
        <v>112</v>
      </c>
      <c r="CB930" t="s">
        <v>112</v>
      </c>
      <c r="CC930" t="s">
        <v>121</v>
      </c>
      <c r="CD930">
        <v>16872.21</v>
      </c>
      <c r="CE930" t="s">
        <v>144</v>
      </c>
      <c r="CF930">
        <v>4000000</v>
      </c>
      <c r="CG930">
        <v>16872.21</v>
      </c>
      <c r="CH930">
        <v>0</v>
      </c>
      <c r="CI930" t="s">
        <v>112</v>
      </c>
      <c r="CJ930" t="s">
        <v>112</v>
      </c>
      <c r="CK930">
        <v>40122.639999999999</v>
      </c>
      <c r="CL930">
        <v>3545686</v>
      </c>
      <c r="CM930">
        <v>0</v>
      </c>
      <c r="CN930">
        <v>1</v>
      </c>
      <c r="CO930">
        <v>3930100.56</v>
      </c>
      <c r="CP930">
        <v>48815.49</v>
      </c>
      <c r="CQ930" t="s">
        <v>145</v>
      </c>
      <c r="CR930">
        <v>48814.677971999998</v>
      </c>
      <c r="CS930">
        <v>2.8932000000000002</v>
      </c>
      <c r="CT930">
        <v>45</v>
      </c>
      <c r="CU930" t="s">
        <v>171</v>
      </c>
      <c r="CV930" t="s">
        <v>172</v>
      </c>
      <c r="CW930">
        <v>146</v>
      </c>
    </row>
    <row r="931" spans="1:101" x14ac:dyDescent="0.2">
      <c r="A931" t="s">
        <v>106</v>
      </c>
      <c r="B931" s="46">
        <v>45098</v>
      </c>
      <c r="C931" t="s">
        <v>796</v>
      </c>
      <c r="D931" t="s">
        <v>108</v>
      </c>
      <c r="E931" t="s">
        <v>797</v>
      </c>
      <c r="F931" t="s">
        <v>110</v>
      </c>
      <c r="G931" t="s">
        <v>111</v>
      </c>
      <c r="H931" t="s">
        <v>112</v>
      </c>
      <c r="I931" t="s">
        <v>112</v>
      </c>
      <c r="J931" t="s">
        <v>112</v>
      </c>
      <c r="K931" t="s">
        <v>150</v>
      </c>
      <c r="L931" t="s">
        <v>151</v>
      </c>
      <c r="M931" t="s">
        <v>112</v>
      </c>
      <c r="N931" t="s">
        <v>112</v>
      </c>
      <c r="O931">
        <v>1</v>
      </c>
      <c r="P931">
        <v>0</v>
      </c>
      <c r="Q931">
        <v>1</v>
      </c>
      <c r="R931">
        <v>33</v>
      </c>
      <c r="S931" t="s">
        <v>166</v>
      </c>
      <c r="T931" t="s">
        <v>152</v>
      </c>
      <c r="U931" t="s">
        <v>153</v>
      </c>
      <c r="V931" t="s">
        <v>154</v>
      </c>
      <c r="W931" t="s">
        <v>119</v>
      </c>
      <c r="X931" t="s">
        <v>112</v>
      </c>
      <c r="Y931" t="s">
        <v>166</v>
      </c>
      <c r="Z931" t="s">
        <v>152</v>
      </c>
      <c r="AA931" t="s">
        <v>153</v>
      </c>
      <c r="AB931" t="s">
        <v>154</v>
      </c>
      <c r="AC931" t="s">
        <v>119</v>
      </c>
      <c r="AD931" t="s">
        <v>112</v>
      </c>
      <c r="AE931" t="s">
        <v>121</v>
      </c>
      <c r="AF931" t="s">
        <v>122</v>
      </c>
      <c r="AG931">
        <v>3394095.18</v>
      </c>
      <c r="AH931" t="s">
        <v>166</v>
      </c>
      <c r="AI931" t="s">
        <v>152</v>
      </c>
      <c r="AJ931" t="s">
        <v>153</v>
      </c>
      <c r="AK931" t="s">
        <v>154</v>
      </c>
      <c r="AL931" t="s">
        <v>119</v>
      </c>
      <c r="AM931" t="s">
        <v>112</v>
      </c>
      <c r="AN931" t="s">
        <v>121</v>
      </c>
      <c r="AO931" t="s">
        <v>122</v>
      </c>
      <c r="AP931" t="s">
        <v>122</v>
      </c>
      <c r="AQ931" t="s">
        <v>124</v>
      </c>
      <c r="AR931" t="s">
        <v>125</v>
      </c>
      <c r="AS931">
        <v>2</v>
      </c>
      <c r="AT931" t="s">
        <v>126</v>
      </c>
      <c r="AU931" t="s">
        <v>155</v>
      </c>
      <c r="AV931" t="s">
        <v>156</v>
      </c>
      <c r="AW931">
        <v>1</v>
      </c>
      <c r="AX931" t="s">
        <v>129</v>
      </c>
      <c r="AY931">
        <v>38022.800000000003</v>
      </c>
      <c r="AZ931">
        <v>3045657</v>
      </c>
      <c r="BA931">
        <v>45103.48</v>
      </c>
      <c r="BB931">
        <v>80.100800000000007</v>
      </c>
      <c r="BC931" t="s">
        <v>130</v>
      </c>
      <c r="BD931" t="s">
        <v>112</v>
      </c>
      <c r="BE931" t="s">
        <v>157</v>
      </c>
      <c r="BF931" t="s">
        <v>133</v>
      </c>
      <c r="BG931" t="s">
        <v>134</v>
      </c>
      <c r="BH931" t="s">
        <v>112</v>
      </c>
      <c r="BI931" t="s">
        <v>112</v>
      </c>
      <c r="BJ931" t="s">
        <v>112</v>
      </c>
      <c r="BK931" t="s">
        <v>169</v>
      </c>
      <c r="BL931" t="s">
        <v>159</v>
      </c>
      <c r="BM931" t="s">
        <v>212</v>
      </c>
      <c r="BN931" t="s">
        <v>161</v>
      </c>
      <c r="BO931">
        <v>1</v>
      </c>
      <c r="BP931" t="s">
        <v>798</v>
      </c>
      <c r="BR931" t="s">
        <v>150</v>
      </c>
      <c r="BS931">
        <v>33</v>
      </c>
      <c r="BT931">
        <v>0</v>
      </c>
      <c r="BU931">
        <v>0</v>
      </c>
      <c r="BW931">
        <v>0</v>
      </c>
      <c r="BY931" t="s">
        <v>106</v>
      </c>
      <c r="BZ931" t="s">
        <v>142</v>
      </c>
      <c r="CA931" t="s">
        <v>112</v>
      </c>
      <c r="CB931" t="s">
        <v>112</v>
      </c>
      <c r="CC931" t="s">
        <v>121</v>
      </c>
      <c r="CD931">
        <v>16744.62</v>
      </c>
      <c r="CE931" t="s">
        <v>144</v>
      </c>
      <c r="CF931">
        <v>4000000</v>
      </c>
      <c r="CG931">
        <v>16615.02</v>
      </c>
      <c r="CH931">
        <v>0</v>
      </c>
      <c r="CI931" t="s">
        <v>112</v>
      </c>
      <c r="CJ931" t="s">
        <v>112</v>
      </c>
      <c r="CK931">
        <v>38022.800000000003</v>
      </c>
      <c r="CL931">
        <v>3045657</v>
      </c>
      <c r="CM931">
        <v>0</v>
      </c>
      <c r="CN931">
        <v>1</v>
      </c>
      <c r="CO931">
        <v>3394095.18</v>
      </c>
      <c r="CP931">
        <v>45103.48</v>
      </c>
      <c r="CQ931" t="s">
        <v>145</v>
      </c>
      <c r="CR931">
        <v>45103.133291999999</v>
      </c>
      <c r="CS931">
        <v>2.7145999999999999</v>
      </c>
      <c r="CT931">
        <v>45</v>
      </c>
      <c r="CU931" t="s">
        <v>171</v>
      </c>
      <c r="CV931" t="s">
        <v>372</v>
      </c>
      <c r="CW931">
        <v>21</v>
      </c>
    </row>
    <row r="932" spans="1:101" x14ac:dyDescent="0.2">
      <c r="A932" t="s">
        <v>106</v>
      </c>
      <c r="B932" s="46">
        <v>45040</v>
      </c>
      <c r="C932" t="s">
        <v>794</v>
      </c>
      <c r="D932" t="s">
        <v>108</v>
      </c>
      <c r="E932" t="s">
        <v>795</v>
      </c>
      <c r="F932" t="s">
        <v>110</v>
      </c>
      <c r="G932" t="s">
        <v>111</v>
      </c>
      <c r="H932" t="s">
        <v>112</v>
      </c>
      <c r="I932" t="s">
        <v>112</v>
      </c>
      <c r="J932" t="s">
        <v>112</v>
      </c>
      <c r="K932" t="s">
        <v>150</v>
      </c>
      <c r="L932" t="s">
        <v>151</v>
      </c>
      <c r="M932" t="s">
        <v>112</v>
      </c>
      <c r="N932" t="s">
        <v>112</v>
      </c>
      <c r="O932">
        <v>1</v>
      </c>
      <c r="P932">
        <v>0</v>
      </c>
      <c r="Q932">
        <v>1</v>
      </c>
      <c r="R932">
        <v>33</v>
      </c>
      <c r="S932" t="s">
        <v>166</v>
      </c>
      <c r="T932" t="s">
        <v>152</v>
      </c>
      <c r="U932" t="s">
        <v>153</v>
      </c>
      <c r="V932" t="s">
        <v>154</v>
      </c>
      <c r="W932" t="s">
        <v>119</v>
      </c>
      <c r="X932" t="s">
        <v>112</v>
      </c>
      <c r="Y932" t="s">
        <v>166</v>
      </c>
      <c r="Z932" t="s">
        <v>152</v>
      </c>
      <c r="AA932" t="s">
        <v>153</v>
      </c>
      <c r="AB932" t="s">
        <v>154</v>
      </c>
      <c r="AC932" t="s">
        <v>119</v>
      </c>
      <c r="AD932" t="s">
        <v>112</v>
      </c>
      <c r="AE932" t="s">
        <v>121</v>
      </c>
      <c r="AF932" t="s">
        <v>122</v>
      </c>
      <c r="AG932">
        <v>3413401.07</v>
      </c>
      <c r="AH932" t="s">
        <v>166</v>
      </c>
      <c r="AI932" t="s">
        <v>152</v>
      </c>
      <c r="AJ932" t="s">
        <v>153</v>
      </c>
      <c r="AK932" t="s">
        <v>154</v>
      </c>
      <c r="AL932" t="s">
        <v>119</v>
      </c>
      <c r="AM932" t="s">
        <v>112</v>
      </c>
      <c r="AN932" t="s">
        <v>121</v>
      </c>
      <c r="AO932" t="s">
        <v>122</v>
      </c>
      <c r="AP932" t="s">
        <v>122</v>
      </c>
      <c r="AQ932" t="s">
        <v>124</v>
      </c>
      <c r="AR932" t="s">
        <v>125</v>
      </c>
      <c r="AS932">
        <v>2</v>
      </c>
      <c r="AT932" t="s">
        <v>126</v>
      </c>
      <c r="AU932" t="s">
        <v>155</v>
      </c>
      <c r="AV932" t="s">
        <v>156</v>
      </c>
      <c r="AW932">
        <v>1</v>
      </c>
      <c r="AX932" t="s">
        <v>129</v>
      </c>
      <c r="AY932">
        <v>38263.82</v>
      </c>
      <c r="AZ932">
        <v>3064963</v>
      </c>
      <c r="BA932">
        <v>45360.03</v>
      </c>
      <c r="BB932">
        <v>80.100800000000007</v>
      </c>
      <c r="BC932" t="s">
        <v>130</v>
      </c>
      <c r="BD932" t="s">
        <v>112</v>
      </c>
      <c r="BE932" t="s">
        <v>157</v>
      </c>
      <c r="BF932" t="s">
        <v>133</v>
      </c>
      <c r="BG932" t="s">
        <v>134</v>
      </c>
      <c r="BH932" t="s">
        <v>112</v>
      </c>
      <c r="BI932" t="s">
        <v>112</v>
      </c>
      <c r="BJ932" t="s">
        <v>112</v>
      </c>
      <c r="BK932" t="s">
        <v>169</v>
      </c>
      <c r="BL932" t="s">
        <v>159</v>
      </c>
      <c r="BM932" t="s">
        <v>212</v>
      </c>
      <c r="BN932" t="s">
        <v>161</v>
      </c>
      <c r="BO932">
        <v>1</v>
      </c>
      <c r="BP932" t="s">
        <v>232</v>
      </c>
      <c r="BR932" t="s">
        <v>150</v>
      </c>
      <c r="BS932">
        <v>33</v>
      </c>
      <c r="BT932">
        <v>0</v>
      </c>
      <c r="BU932">
        <v>0</v>
      </c>
      <c r="BW932">
        <v>0</v>
      </c>
      <c r="BY932" t="s">
        <v>106</v>
      </c>
      <c r="BZ932" t="s">
        <v>142</v>
      </c>
      <c r="CA932" t="s">
        <v>112</v>
      </c>
      <c r="CB932" t="s">
        <v>112</v>
      </c>
      <c r="CC932" t="s">
        <v>121</v>
      </c>
      <c r="CD932">
        <v>16506.13</v>
      </c>
      <c r="CE932" t="s">
        <v>144</v>
      </c>
      <c r="CF932">
        <v>4000000</v>
      </c>
      <c r="CG932">
        <v>16361.53</v>
      </c>
      <c r="CH932">
        <v>0</v>
      </c>
      <c r="CI932" t="s">
        <v>112</v>
      </c>
      <c r="CJ932" t="s">
        <v>112</v>
      </c>
      <c r="CK932">
        <v>38263.82</v>
      </c>
      <c r="CL932">
        <v>3064963</v>
      </c>
      <c r="CM932">
        <v>0</v>
      </c>
      <c r="CN932">
        <v>1</v>
      </c>
      <c r="CO932">
        <v>3413401.07</v>
      </c>
      <c r="CP932">
        <v>45360.03</v>
      </c>
      <c r="CQ932" t="s">
        <v>145</v>
      </c>
      <c r="CR932">
        <v>45360.705772000008</v>
      </c>
      <c r="CS932">
        <v>2.7724000000000002</v>
      </c>
      <c r="CT932">
        <v>45</v>
      </c>
      <c r="CU932" t="s">
        <v>171</v>
      </c>
      <c r="CV932" t="s">
        <v>350</v>
      </c>
      <c r="CW932">
        <v>146</v>
      </c>
    </row>
    <row r="933" spans="1:101" x14ac:dyDescent="0.2">
      <c r="A933" t="s">
        <v>106</v>
      </c>
      <c r="B933" s="46">
        <v>44736</v>
      </c>
      <c r="C933" t="s">
        <v>509</v>
      </c>
      <c r="D933" t="s">
        <v>108</v>
      </c>
      <c r="E933" t="s">
        <v>510</v>
      </c>
      <c r="F933" t="s">
        <v>110</v>
      </c>
      <c r="G933" t="s">
        <v>111</v>
      </c>
      <c r="H933" t="s">
        <v>112</v>
      </c>
      <c r="I933" t="s">
        <v>112</v>
      </c>
      <c r="J933" t="s">
        <v>112</v>
      </c>
      <c r="K933" t="s">
        <v>150</v>
      </c>
      <c r="L933" t="s">
        <v>151</v>
      </c>
      <c r="M933" t="s">
        <v>112</v>
      </c>
      <c r="N933" t="s">
        <v>112</v>
      </c>
      <c r="O933">
        <v>1</v>
      </c>
      <c r="P933">
        <v>0</v>
      </c>
      <c r="Q933">
        <v>1</v>
      </c>
      <c r="R933">
        <v>33</v>
      </c>
      <c r="S933" t="s">
        <v>166</v>
      </c>
      <c r="T933" t="s">
        <v>152</v>
      </c>
      <c r="U933" t="s">
        <v>153</v>
      </c>
      <c r="V933" t="s">
        <v>154</v>
      </c>
      <c r="W933" t="s">
        <v>119</v>
      </c>
      <c r="X933" t="s">
        <v>112</v>
      </c>
      <c r="Y933" t="s">
        <v>166</v>
      </c>
      <c r="Z933" t="s">
        <v>152</v>
      </c>
      <c r="AA933" t="s">
        <v>153</v>
      </c>
      <c r="AB933" t="s">
        <v>154</v>
      </c>
      <c r="AC933" t="s">
        <v>119</v>
      </c>
      <c r="AD933" t="s">
        <v>112</v>
      </c>
      <c r="AE933" t="s">
        <v>121</v>
      </c>
      <c r="AF933" t="s">
        <v>122</v>
      </c>
      <c r="AG933">
        <v>3474547.49</v>
      </c>
      <c r="AH933" t="s">
        <v>166</v>
      </c>
      <c r="AI933" t="s">
        <v>152</v>
      </c>
      <c r="AJ933" t="s">
        <v>153</v>
      </c>
      <c r="AK933" t="s">
        <v>154</v>
      </c>
      <c r="AL933" t="s">
        <v>119</v>
      </c>
      <c r="AM933" t="s">
        <v>112</v>
      </c>
      <c r="AN933" t="s">
        <v>121</v>
      </c>
      <c r="AO933" t="s">
        <v>122</v>
      </c>
      <c r="AP933" t="s">
        <v>122</v>
      </c>
      <c r="AQ933" t="s">
        <v>124</v>
      </c>
      <c r="AR933" t="s">
        <v>125</v>
      </c>
      <c r="AS933">
        <v>2</v>
      </c>
      <c r="AT933" t="s">
        <v>126</v>
      </c>
      <c r="AU933" t="s">
        <v>155</v>
      </c>
      <c r="AV933" t="s">
        <v>156</v>
      </c>
      <c r="AW933">
        <v>1</v>
      </c>
      <c r="AX933" t="s">
        <v>129</v>
      </c>
      <c r="AY933">
        <v>41233.08</v>
      </c>
      <c r="AZ933">
        <v>3142971</v>
      </c>
      <c r="BA933">
        <v>49550.25</v>
      </c>
      <c r="BB933">
        <v>76.224500000000006</v>
      </c>
      <c r="BC933" t="s">
        <v>130</v>
      </c>
      <c r="BD933" t="s">
        <v>112</v>
      </c>
      <c r="BE933" t="s">
        <v>157</v>
      </c>
      <c r="BF933" t="s">
        <v>133</v>
      </c>
      <c r="BG933" t="s">
        <v>134</v>
      </c>
      <c r="BH933" t="s">
        <v>112</v>
      </c>
      <c r="BI933" t="s">
        <v>112</v>
      </c>
      <c r="BJ933" t="s">
        <v>112</v>
      </c>
      <c r="BK933" t="s">
        <v>169</v>
      </c>
      <c r="BL933" t="s">
        <v>159</v>
      </c>
      <c r="BM933" t="s">
        <v>212</v>
      </c>
      <c r="BN933" t="s">
        <v>161</v>
      </c>
      <c r="BO933">
        <v>1</v>
      </c>
      <c r="BP933" t="s">
        <v>511</v>
      </c>
      <c r="BR933" t="s">
        <v>150</v>
      </c>
      <c r="BS933">
        <v>33</v>
      </c>
      <c r="BT933">
        <v>0</v>
      </c>
      <c r="BU933">
        <v>0</v>
      </c>
      <c r="BW933">
        <v>0</v>
      </c>
      <c r="BY933" t="s">
        <v>106</v>
      </c>
      <c r="BZ933" t="s">
        <v>142</v>
      </c>
      <c r="CA933" t="s">
        <v>112</v>
      </c>
      <c r="CB933" t="s">
        <v>112</v>
      </c>
      <c r="CC933" t="s">
        <v>121</v>
      </c>
      <c r="CD933">
        <v>16379.85</v>
      </c>
      <c r="CE933" t="s">
        <v>144</v>
      </c>
      <c r="CF933">
        <v>4000000</v>
      </c>
      <c r="CG933">
        <v>16153.05</v>
      </c>
      <c r="CH933">
        <v>0</v>
      </c>
      <c r="CI933" t="s">
        <v>112</v>
      </c>
      <c r="CJ933" t="s">
        <v>112</v>
      </c>
      <c r="CK933">
        <v>41233.08</v>
      </c>
      <c r="CL933">
        <v>3142971</v>
      </c>
      <c r="CM933">
        <v>0</v>
      </c>
      <c r="CN933">
        <v>1</v>
      </c>
      <c r="CO933">
        <v>3474547.49</v>
      </c>
      <c r="CP933">
        <v>49550.25</v>
      </c>
      <c r="CQ933" t="s">
        <v>145</v>
      </c>
      <c r="CR933">
        <v>49549.480874999994</v>
      </c>
      <c r="CS933">
        <v>3.0674999999999999</v>
      </c>
      <c r="CT933">
        <v>45</v>
      </c>
      <c r="CU933" t="s">
        <v>171</v>
      </c>
      <c r="CV933" t="s">
        <v>463</v>
      </c>
      <c r="CW933">
        <v>152</v>
      </c>
    </row>
    <row r="934" spans="1:101" x14ac:dyDescent="0.2">
      <c r="A934" t="s">
        <v>106</v>
      </c>
      <c r="B934" s="46">
        <v>44677</v>
      </c>
      <c r="C934" t="s">
        <v>519</v>
      </c>
      <c r="D934" t="s">
        <v>108</v>
      </c>
      <c r="E934" t="s">
        <v>520</v>
      </c>
      <c r="F934" t="s">
        <v>110</v>
      </c>
      <c r="G934" t="s">
        <v>111</v>
      </c>
      <c r="H934" t="s">
        <v>112</v>
      </c>
      <c r="I934" t="s">
        <v>112</v>
      </c>
      <c r="J934" t="s">
        <v>112</v>
      </c>
      <c r="K934" t="s">
        <v>150</v>
      </c>
      <c r="L934" t="s">
        <v>151</v>
      </c>
      <c r="M934" t="s">
        <v>112</v>
      </c>
      <c r="N934" t="s">
        <v>112</v>
      </c>
      <c r="O934">
        <v>1</v>
      </c>
      <c r="P934">
        <v>0</v>
      </c>
      <c r="Q934">
        <v>1</v>
      </c>
      <c r="R934">
        <v>38</v>
      </c>
      <c r="S934" t="s">
        <v>166</v>
      </c>
      <c r="T934" t="s">
        <v>152</v>
      </c>
      <c r="U934" t="s">
        <v>153</v>
      </c>
      <c r="V934" t="s">
        <v>154</v>
      </c>
      <c r="W934" t="s">
        <v>119</v>
      </c>
      <c r="X934" t="s">
        <v>112</v>
      </c>
      <c r="Y934" t="s">
        <v>166</v>
      </c>
      <c r="Z934" t="s">
        <v>152</v>
      </c>
      <c r="AA934" t="s">
        <v>153</v>
      </c>
      <c r="AB934" t="s">
        <v>154</v>
      </c>
      <c r="AC934" t="s">
        <v>119</v>
      </c>
      <c r="AD934" t="s">
        <v>112</v>
      </c>
      <c r="AE934" t="s">
        <v>121</v>
      </c>
      <c r="AF934" t="s">
        <v>122</v>
      </c>
      <c r="AG934">
        <v>4050777.27</v>
      </c>
      <c r="AH934" t="s">
        <v>166</v>
      </c>
      <c r="AI934" t="s">
        <v>152</v>
      </c>
      <c r="AJ934" t="s">
        <v>153</v>
      </c>
      <c r="AK934" t="s">
        <v>154</v>
      </c>
      <c r="AL934" t="s">
        <v>119</v>
      </c>
      <c r="AM934" t="s">
        <v>112</v>
      </c>
      <c r="AN934" t="s">
        <v>121</v>
      </c>
      <c r="AO934" t="s">
        <v>122</v>
      </c>
      <c r="AP934" t="s">
        <v>122</v>
      </c>
      <c r="AQ934" t="s">
        <v>124</v>
      </c>
      <c r="AR934" t="s">
        <v>125</v>
      </c>
      <c r="AS934">
        <v>2</v>
      </c>
      <c r="AT934" t="s">
        <v>126</v>
      </c>
      <c r="AU934" t="s">
        <v>155</v>
      </c>
      <c r="AV934" t="s">
        <v>156</v>
      </c>
      <c r="AW934">
        <v>1</v>
      </c>
      <c r="AX934" t="s">
        <v>129</v>
      </c>
      <c r="AY934">
        <v>48792.72</v>
      </c>
      <c r="AZ934">
        <v>3719201</v>
      </c>
      <c r="BA934">
        <v>57767.81</v>
      </c>
      <c r="BB934">
        <v>76.224500000000006</v>
      </c>
      <c r="BC934" t="s">
        <v>130</v>
      </c>
      <c r="BD934" t="s">
        <v>112</v>
      </c>
      <c r="BE934" t="s">
        <v>157</v>
      </c>
      <c r="BF934" t="s">
        <v>133</v>
      </c>
      <c r="BG934" t="s">
        <v>134</v>
      </c>
      <c r="BH934" t="s">
        <v>112</v>
      </c>
      <c r="BI934" t="s">
        <v>112</v>
      </c>
      <c r="BJ934" t="s">
        <v>112</v>
      </c>
      <c r="BK934" t="s">
        <v>169</v>
      </c>
      <c r="BL934" t="s">
        <v>159</v>
      </c>
      <c r="BM934" t="s">
        <v>212</v>
      </c>
      <c r="BN934" t="s">
        <v>161</v>
      </c>
      <c r="BO934">
        <v>1</v>
      </c>
      <c r="BP934" t="s">
        <v>205</v>
      </c>
      <c r="BR934" t="s">
        <v>150</v>
      </c>
      <c r="BS934">
        <v>38</v>
      </c>
      <c r="BT934">
        <v>0</v>
      </c>
      <c r="BU934">
        <v>0</v>
      </c>
      <c r="BW934">
        <v>0</v>
      </c>
      <c r="BY934" t="s">
        <v>106</v>
      </c>
      <c r="BZ934" t="s">
        <v>142</v>
      </c>
      <c r="CA934" t="s">
        <v>112</v>
      </c>
      <c r="CB934" t="s">
        <v>112</v>
      </c>
      <c r="CC934" t="s">
        <v>121</v>
      </c>
      <c r="CD934">
        <v>18834.060000000001</v>
      </c>
      <c r="CE934" t="s">
        <v>144</v>
      </c>
      <c r="CF934">
        <v>4000000</v>
      </c>
      <c r="CG934">
        <v>18654.060000000001</v>
      </c>
      <c r="CH934">
        <v>0</v>
      </c>
      <c r="CI934" t="s">
        <v>112</v>
      </c>
      <c r="CJ934" t="s">
        <v>112</v>
      </c>
      <c r="CK934">
        <v>48792.72</v>
      </c>
      <c r="CL934">
        <v>3719201</v>
      </c>
      <c r="CM934">
        <v>0</v>
      </c>
      <c r="CN934">
        <v>1</v>
      </c>
      <c r="CO934">
        <v>4050777.27</v>
      </c>
      <c r="CP934">
        <v>57767.81</v>
      </c>
      <c r="CQ934" t="s">
        <v>145</v>
      </c>
      <c r="CR934">
        <v>57767.893008000006</v>
      </c>
      <c r="CS934">
        <v>3.0968</v>
      </c>
      <c r="CT934">
        <v>45</v>
      </c>
      <c r="CU934" t="s">
        <v>171</v>
      </c>
      <c r="CV934" t="s">
        <v>350</v>
      </c>
      <c r="CW934">
        <v>124</v>
      </c>
    </row>
    <row r="935" spans="1:101" x14ac:dyDescent="0.2">
      <c r="A935" t="s">
        <v>106</v>
      </c>
      <c r="B935" s="46">
        <v>44733</v>
      </c>
      <c r="C935" t="s">
        <v>517</v>
      </c>
      <c r="D935" t="s">
        <v>108</v>
      </c>
      <c r="E935" t="s">
        <v>518</v>
      </c>
      <c r="F935" t="s">
        <v>110</v>
      </c>
      <c r="G935" t="s">
        <v>111</v>
      </c>
      <c r="H935" t="s">
        <v>112</v>
      </c>
      <c r="I935" t="s">
        <v>112</v>
      </c>
      <c r="J935" t="s">
        <v>112</v>
      </c>
      <c r="K935" t="s">
        <v>150</v>
      </c>
      <c r="L935" t="s">
        <v>151</v>
      </c>
      <c r="M935" t="s">
        <v>112</v>
      </c>
      <c r="N935" t="s">
        <v>112</v>
      </c>
      <c r="O935">
        <v>1</v>
      </c>
      <c r="P935">
        <v>0</v>
      </c>
      <c r="Q935">
        <v>1</v>
      </c>
      <c r="R935">
        <v>33</v>
      </c>
      <c r="S935" t="s">
        <v>166</v>
      </c>
      <c r="T935" t="s">
        <v>152</v>
      </c>
      <c r="U935" t="s">
        <v>153</v>
      </c>
      <c r="V935" t="s">
        <v>154</v>
      </c>
      <c r="W935" t="s">
        <v>119</v>
      </c>
      <c r="X935" t="s">
        <v>112</v>
      </c>
      <c r="Y935" t="s">
        <v>166</v>
      </c>
      <c r="Z935" t="s">
        <v>152</v>
      </c>
      <c r="AA935" t="s">
        <v>153</v>
      </c>
      <c r="AB935" t="s">
        <v>154</v>
      </c>
      <c r="AC935" t="s">
        <v>119</v>
      </c>
      <c r="AD935" t="s">
        <v>112</v>
      </c>
      <c r="AE935" t="s">
        <v>121</v>
      </c>
      <c r="AF935" t="s">
        <v>122</v>
      </c>
      <c r="AG935">
        <v>3161423.34</v>
      </c>
      <c r="AH935" t="s">
        <v>166</v>
      </c>
      <c r="AI935" t="s">
        <v>152</v>
      </c>
      <c r="AJ935" t="s">
        <v>153</v>
      </c>
      <c r="AK935" t="s">
        <v>154</v>
      </c>
      <c r="AL935" t="s">
        <v>119</v>
      </c>
      <c r="AM935" t="s">
        <v>112</v>
      </c>
      <c r="AN935" t="s">
        <v>121</v>
      </c>
      <c r="AO935" t="s">
        <v>122</v>
      </c>
      <c r="AP935" t="s">
        <v>122</v>
      </c>
      <c r="AQ935" t="s">
        <v>124</v>
      </c>
      <c r="AR935" t="s">
        <v>125</v>
      </c>
      <c r="AS935">
        <v>2</v>
      </c>
      <c r="AT935" t="s">
        <v>126</v>
      </c>
      <c r="AU935" t="s">
        <v>155</v>
      </c>
      <c r="AV935" t="s">
        <v>156</v>
      </c>
      <c r="AW935">
        <v>1</v>
      </c>
      <c r="AX935" t="s">
        <v>129</v>
      </c>
      <c r="AY935">
        <v>37125.160000000003</v>
      </c>
      <c r="AZ935">
        <v>2829847</v>
      </c>
      <c r="BA935">
        <v>45084.81</v>
      </c>
      <c r="BB935">
        <v>76.224500000000006</v>
      </c>
      <c r="BC935" t="s">
        <v>130</v>
      </c>
      <c r="BD935" t="s">
        <v>112</v>
      </c>
      <c r="BE935" t="s">
        <v>157</v>
      </c>
      <c r="BF935" t="s">
        <v>133</v>
      </c>
      <c r="BG935" t="s">
        <v>167</v>
      </c>
      <c r="BH935" t="s">
        <v>168</v>
      </c>
      <c r="BI935" t="s">
        <v>112</v>
      </c>
      <c r="BJ935" t="s">
        <v>112</v>
      </c>
      <c r="BK935" t="s">
        <v>169</v>
      </c>
      <c r="BL935" t="s">
        <v>159</v>
      </c>
      <c r="BM935" t="s">
        <v>160</v>
      </c>
      <c r="BN935" t="s">
        <v>161</v>
      </c>
      <c r="BO935">
        <v>1</v>
      </c>
      <c r="BP935" t="s">
        <v>1967</v>
      </c>
      <c r="BR935" t="s">
        <v>150</v>
      </c>
      <c r="BS935">
        <v>33</v>
      </c>
      <c r="BT935">
        <v>0</v>
      </c>
      <c r="BU935">
        <v>0</v>
      </c>
      <c r="BW935">
        <v>0</v>
      </c>
      <c r="BY935" t="s">
        <v>106</v>
      </c>
      <c r="BZ935" t="s">
        <v>142</v>
      </c>
      <c r="CA935" t="s">
        <v>112</v>
      </c>
      <c r="CB935" t="s">
        <v>112</v>
      </c>
      <c r="CC935" t="s">
        <v>121</v>
      </c>
      <c r="CD935">
        <v>15756.48</v>
      </c>
      <c r="CE935" t="s">
        <v>144</v>
      </c>
      <c r="CF935">
        <v>4000000</v>
      </c>
      <c r="CG935">
        <v>15473.28</v>
      </c>
      <c r="CH935">
        <v>0</v>
      </c>
      <c r="CI935" t="s">
        <v>112</v>
      </c>
      <c r="CJ935" t="s">
        <v>112</v>
      </c>
      <c r="CK935">
        <v>37125.160000000003</v>
      </c>
      <c r="CL935">
        <v>2829847</v>
      </c>
      <c r="CM935">
        <v>0</v>
      </c>
      <c r="CN935">
        <v>1</v>
      </c>
      <c r="CO935">
        <v>3161423.34</v>
      </c>
      <c r="CP935">
        <v>45084.81</v>
      </c>
      <c r="CQ935" t="s">
        <v>145</v>
      </c>
      <c r="CR935">
        <v>45084.495935999999</v>
      </c>
      <c r="CS935">
        <v>2.9137</v>
      </c>
      <c r="CT935">
        <v>45</v>
      </c>
      <c r="CU935" t="s">
        <v>171</v>
      </c>
      <c r="CV935" t="s">
        <v>350</v>
      </c>
      <c r="CW935">
        <v>554</v>
      </c>
    </row>
    <row r="936" spans="1:101" x14ac:dyDescent="0.2">
      <c r="A936" t="s">
        <v>106</v>
      </c>
      <c r="B936" s="46">
        <v>44655</v>
      </c>
      <c r="C936" t="s">
        <v>514</v>
      </c>
      <c r="D936" t="s">
        <v>108</v>
      </c>
      <c r="E936" t="s">
        <v>515</v>
      </c>
      <c r="F936" t="s">
        <v>110</v>
      </c>
      <c r="G936" t="s">
        <v>111</v>
      </c>
      <c r="H936" t="s">
        <v>112</v>
      </c>
      <c r="I936" t="s">
        <v>112</v>
      </c>
      <c r="J936" t="s">
        <v>112</v>
      </c>
      <c r="K936" t="s">
        <v>150</v>
      </c>
      <c r="L936" t="s">
        <v>151</v>
      </c>
      <c r="M936" t="s">
        <v>112</v>
      </c>
      <c r="N936" t="s">
        <v>112</v>
      </c>
      <c r="O936">
        <v>1</v>
      </c>
      <c r="P936">
        <v>0</v>
      </c>
      <c r="Q936">
        <v>1</v>
      </c>
      <c r="R936">
        <v>33</v>
      </c>
      <c r="S936" t="s">
        <v>166</v>
      </c>
      <c r="T936" t="s">
        <v>152</v>
      </c>
      <c r="U936" t="s">
        <v>153</v>
      </c>
      <c r="V936" t="s">
        <v>154</v>
      </c>
      <c r="W936" t="s">
        <v>119</v>
      </c>
      <c r="X936" t="s">
        <v>112</v>
      </c>
      <c r="Y936" t="s">
        <v>166</v>
      </c>
      <c r="Z936" t="s">
        <v>152</v>
      </c>
      <c r="AA936" t="s">
        <v>153</v>
      </c>
      <c r="AB936" t="s">
        <v>154</v>
      </c>
      <c r="AC936" t="s">
        <v>119</v>
      </c>
      <c r="AD936" t="s">
        <v>112</v>
      </c>
      <c r="AE936" t="s">
        <v>121</v>
      </c>
      <c r="AF936" t="s">
        <v>122</v>
      </c>
      <c r="AG936">
        <v>3923927.5</v>
      </c>
      <c r="AH936" t="s">
        <v>166</v>
      </c>
      <c r="AI936" t="s">
        <v>152</v>
      </c>
      <c r="AJ936" t="s">
        <v>153</v>
      </c>
      <c r="AK936" t="s">
        <v>154</v>
      </c>
      <c r="AL936" t="s">
        <v>119</v>
      </c>
      <c r="AM936" t="s">
        <v>112</v>
      </c>
      <c r="AN936" t="s">
        <v>121</v>
      </c>
      <c r="AO936" t="s">
        <v>122</v>
      </c>
      <c r="AP936" t="s">
        <v>122</v>
      </c>
      <c r="AQ936" t="s">
        <v>124</v>
      </c>
      <c r="AR936" t="s">
        <v>125</v>
      </c>
      <c r="AS936">
        <v>2</v>
      </c>
      <c r="AT936" t="s">
        <v>126</v>
      </c>
      <c r="AU936" t="s">
        <v>155</v>
      </c>
      <c r="AV936" t="s">
        <v>156</v>
      </c>
      <c r="AW936">
        <v>1</v>
      </c>
      <c r="AX936" t="s">
        <v>129</v>
      </c>
      <c r="AY936">
        <v>47128.56</v>
      </c>
      <c r="AZ936">
        <v>3592351</v>
      </c>
      <c r="BA936">
        <v>55958.82</v>
      </c>
      <c r="BB936">
        <v>76.224500000000006</v>
      </c>
      <c r="BC936" t="s">
        <v>130</v>
      </c>
      <c r="BD936" t="s">
        <v>112</v>
      </c>
      <c r="BE936" t="s">
        <v>157</v>
      </c>
      <c r="BF936" t="s">
        <v>133</v>
      </c>
      <c r="BG936" t="s">
        <v>167</v>
      </c>
      <c r="BH936" t="s">
        <v>168</v>
      </c>
      <c r="BI936" t="s">
        <v>112</v>
      </c>
      <c r="BJ936" t="s">
        <v>112</v>
      </c>
      <c r="BK936" t="s">
        <v>169</v>
      </c>
      <c r="BL936" t="s">
        <v>159</v>
      </c>
      <c r="BM936" t="s">
        <v>160</v>
      </c>
      <c r="BN936" t="s">
        <v>161</v>
      </c>
      <c r="BO936">
        <v>1</v>
      </c>
      <c r="BP936" t="s">
        <v>516</v>
      </c>
      <c r="BR936" t="s">
        <v>150</v>
      </c>
      <c r="BS936">
        <v>33</v>
      </c>
      <c r="BT936">
        <v>0</v>
      </c>
      <c r="BU936">
        <v>0</v>
      </c>
      <c r="BW936">
        <v>0</v>
      </c>
      <c r="BY936" t="s">
        <v>106</v>
      </c>
      <c r="BZ936" t="s">
        <v>142</v>
      </c>
      <c r="CA936" t="s">
        <v>112</v>
      </c>
      <c r="CB936" t="s">
        <v>112</v>
      </c>
      <c r="CC936" t="s">
        <v>121</v>
      </c>
      <c r="CD936">
        <v>17636.23</v>
      </c>
      <c r="CE936" t="s">
        <v>144</v>
      </c>
      <c r="CF936">
        <v>4000000</v>
      </c>
      <c r="CG936">
        <v>17636.23</v>
      </c>
      <c r="CH936">
        <v>0</v>
      </c>
      <c r="CI936" t="s">
        <v>112</v>
      </c>
      <c r="CJ936" t="s">
        <v>112</v>
      </c>
      <c r="CK936">
        <v>47128.56</v>
      </c>
      <c r="CL936">
        <v>3592351</v>
      </c>
      <c r="CM936">
        <v>0</v>
      </c>
      <c r="CN936">
        <v>1</v>
      </c>
      <c r="CO936">
        <v>3923927.5</v>
      </c>
      <c r="CP936">
        <v>55958.82</v>
      </c>
      <c r="CQ936" t="s">
        <v>145</v>
      </c>
      <c r="CR936">
        <v>55957.994166999997</v>
      </c>
      <c r="CS936">
        <v>3.1728999999999998</v>
      </c>
      <c r="CT936">
        <v>45</v>
      </c>
      <c r="CU936" t="s">
        <v>171</v>
      </c>
      <c r="CV936" t="s">
        <v>372</v>
      </c>
      <c r="CW936">
        <v>1</v>
      </c>
    </row>
    <row r="937" spans="1:101" x14ac:dyDescent="0.2">
      <c r="A937" t="s">
        <v>106</v>
      </c>
      <c r="B937" s="46">
        <v>44898</v>
      </c>
      <c r="C937" t="s">
        <v>512</v>
      </c>
      <c r="D937" t="s">
        <v>108</v>
      </c>
      <c r="E937" t="s">
        <v>513</v>
      </c>
      <c r="F937" t="s">
        <v>110</v>
      </c>
      <c r="G937" t="s">
        <v>111</v>
      </c>
      <c r="H937" t="s">
        <v>112</v>
      </c>
      <c r="I937" t="s">
        <v>112</v>
      </c>
      <c r="J937" t="s">
        <v>112</v>
      </c>
      <c r="K937" t="s">
        <v>150</v>
      </c>
      <c r="L937" t="s">
        <v>151</v>
      </c>
      <c r="M937" t="s">
        <v>112</v>
      </c>
      <c r="N937" t="s">
        <v>112</v>
      </c>
      <c r="O937">
        <v>1</v>
      </c>
      <c r="P937">
        <v>0</v>
      </c>
      <c r="Q937">
        <v>1</v>
      </c>
      <c r="R937">
        <v>33</v>
      </c>
      <c r="S937" t="s">
        <v>166</v>
      </c>
      <c r="T937" t="s">
        <v>152</v>
      </c>
      <c r="U937" t="s">
        <v>153</v>
      </c>
      <c r="V937" t="s">
        <v>154</v>
      </c>
      <c r="W937" t="s">
        <v>119</v>
      </c>
      <c r="X937" t="s">
        <v>112</v>
      </c>
      <c r="Y937" t="s">
        <v>166</v>
      </c>
      <c r="Z937" t="s">
        <v>152</v>
      </c>
      <c r="AA937" t="s">
        <v>153</v>
      </c>
      <c r="AB937" t="s">
        <v>154</v>
      </c>
      <c r="AC937" t="s">
        <v>119</v>
      </c>
      <c r="AD937" t="s">
        <v>112</v>
      </c>
      <c r="AE937" t="s">
        <v>121</v>
      </c>
      <c r="AF937" t="s">
        <v>122</v>
      </c>
      <c r="AG937">
        <v>3383318.96</v>
      </c>
      <c r="AH937" t="s">
        <v>166</v>
      </c>
      <c r="AI937" t="s">
        <v>152</v>
      </c>
      <c r="AJ937" t="s">
        <v>153</v>
      </c>
      <c r="AK937" t="s">
        <v>154</v>
      </c>
      <c r="AL937" t="s">
        <v>119</v>
      </c>
      <c r="AM937" t="s">
        <v>112</v>
      </c>
      <c r="AN937" t="s">
        <v>121</v>
      </c>
      <c r="AO937" t="s">
        <v>122</v>
      </c>
      <c r="AP937" t="s">
        <v>122</v>
      </c>
      <c r="AQ937" t="s">
        <v>124</v>
      </c>
      <c r="AR937" t="s">
        <v>125</v>
      </c>
      <c r="AS937">
        <v>2</v>
      </c>
      <c r="AT937" t="s">
        <v>126</v>
      </c>
      <c r="AU937" t="s">
        <v>155</v>
      </c>
      <c r="AV937" t="s">
        <v>156</v>
      </c>
      <c r="AW937">
        <v>1</v>
      </c>
      <c r="AX937" t="s">
        <v>129</v>
      </c>
      <c r="AY937">
        <v>39336.239999999998</v>
      </c>
      <c r="AZ937">
        <v>2998385</v>
      </c>
      <c r="BA937">
        <v>48249.24</v>
      </c>
      <c r="BB937">
        <v>76.224500000000006</v>
      </c>
      <c r="BC937" t="s">
        <v>130</v>
      </c>
      <c r="BD937" t="s">
        <v>112</v>
      </c>
      <c r="BE937" t="s">
        <v>157</v>
      </c>
      <c r="BF937" t="s">
        <v>133</v>
      </c>
      <c r="BG937" t="s">
        <v>167</v>
      </c>
      <c r="BH937" t="s">
        <v>168</v>
      </c>
      <c r="BI937" t="s">
        <v>112</v>
      </c>
      <c r="BJ937" t="s">
        <v>112</v>
      </c>
      <c r="BK937" t="s">
        <v>169</v>
      </c>
      <c r="BL937" t="s">
        <v>159</v>
      </c>
      <c r="BM937" t="s">
        <v>160</v>
      </c>
      <c r="BN937" t="s">
        <v>161</v>
      </c>
      <c r="BO937">
        <v>1</v>
      </c>
      <c r="BP937" t="s">
        <v>205</v>
      </c>
      <c r="BR937" t="s">
        <v>150</v>
      </c>
      <c r="BS937">
        <v>33</v>
      </c>
      <c r="BT937">
        <v>0</v>
      </c>
      <c r="BU937">
        <v>0</v>
      </c>
      <c r="BW937">
        <v>0</v>
      </c>
      <c r="BY937" t="s">
        <v>106</v>
      </c>
      <c r="BZ937" t="s">
        <v>142</v>
      </c>
      <c r="CA937" t="s">
        <v>112</v>
      </c>
      <c r="CB937" t="s">
        <v>112</v>
      </c>
      <c r="CC937" t="s">
        <v>121</v>
      </c>
      <c r="CD937">
        <v>16858.849999999999</v>
      </c>
      <c r="CE937" t="s">
        <v>144</v>
      </c>
      <c r="CF937">
        <v>4000000</v>
      </c>
      <c r="CG937">
        <v>16844.45</v>
      </c>
      <c r="CH937">
        <v>0</v>
      </c>
      <c r="CI937" t="s">
        <v>112</v>
      </c>
      <c r="CJ937" t="s">
        <v>112</v>
      </c>
      <c r="CK937">
        <v>39336.239999999998</v>
      </c>
      <c r="CL937">
        <v>2998385</v>
      </c>
      <c r="CM937">
        <v>0</v>
      </c>
      <c r="CN937">
        <v>1</v>
      </c>
      <c r="CO937">
        <v>3383318.96</v>
      </c>
      <c r="CP937">
        <v>48249.24</v>
      </c>
      <c r="CQ937" t="s">
        <v>145</v>
      </c>
      <c r="CR937">
        <v>48249.242579999998</v>
      </c>
      <c r="CS937">
        <v>2.8643999999999998</v>
      </c>
      <c r="CT937">
        <v>45</v>
      </c>
      <c r="CU937" t="s">
        <v>171</v>
      </c>
      <c r="CV937" t="s">
        <v>369</v>
      </c>
      <c r="CW937">
        <v>78</v>
      </c>
    </row>
    <row r="938" spans="1:101" x14ac:dyDescent="0.2">
      <c r="A938" t="s">
        <v>106</v>
      </c>
      <c r="B938" s="46">
        <v>45020</v>
      </c>
      <c r="C938" t="s">
        <v>1736</v>
      </c>
      <c r="D938" t="s">
        <v>108</v>
      </c>
      <c r="E938" t="s">
        <v>1737</v>
      </c>
      <c r="F938" t="s">
        <v>110</v>
      </c>
      <c r="G938" t="s">
        <v>111</v>
      </c>
      <c r="H938" t="s">
        <v>112</v>
      </c>
      <c r="I938" t="s">
        <v>112</v>
      </c>
      <c r="J938" t="s">
        <v>112</v>
      </c>
      <c r="K938" t="s">
        <v>150</v>
      </c>
      <c r="L938" t="s">
        <v>151</v>
      </c>
      <c r="M938" t="s">
        <v>112</v>
      </c>
      <c r="N938" t="s">
        <v>112</v>
      </c>
      <c r="O938">
        <v>1</v>
      </c>
      <c r="Q938">
        <v>1</v>
      </c>
      <c r="R938">
        <v>33</v>
      </c>
      <c r="S938" t="s">
        <v>112</v>
      </c>
      <c r="T938" t="s">
        <v>152</v>
      </c>
      <c r="U938" t="s">
        <v>153</v>
      </c>
      <c r="V938" t="s">
        <v>154</v>
      </c>
      <c r="W938" t="s">
        <v>119</v>
      </c>
      <c r="X938" t="s">
        <v>112</v>
      </c>
      <c r="Y938" t="s">
        <v>112</v>
      </c>
      <c r="Z938" t="s">
        <v>152</v>
      </c>
      <c r="AA938" t="s">
        <v>153</v>
      </c>
      <c r="AB938" t="s">
        <v>154</v>
      </c>
      <c r="AC938" t="s">
        <v>119</v>
      </c>
      <c r="AD938" t="s">
        <v>112</v>
      </c>
      <c r="AE938" t="s">
        <v>121</v>
      </c>
      <c r="AF938" t="s">
        <v>122</v>
      </c>
      <c r="AG938">
        <v>4772406.95</v>
      </c>
      <c r="AH938" t="s">
        <v>112</v>
      </c>
      <c r="AI938" t="s">
        <v>152</v>
      </c>
      <c r="AJ938" t="s">
        <v>153</v>
      </c>
      <c r="AK938" t="s">
        <v>154</v>
      </c>
      <c r="AL938" t="s">
        <v>119</v>
      </c>
      <c r="AM938" t="s">
        <v>112</v>
      </c>
      <c r="AN938" t="s">
        <v>121</v>
      </c>
      <c r="AO938" t="s">
        <v>122</v>
      </c>
      <c r="AP938" t="s">
        <v>122</v>
      </c>
      <c r="AQ938" t="s">
        <v>124</v>
      </c>
      <c r="AR938" t="s">
        <v>125</v>
      </c>
      <c r="AS938">
        <v>2</v>
      </c>
      <c r="AT938" t="s">
        <v>126</v>
      </c>
      <c r="AU938" t="s">
        <v>155</v>
      </c>
      <c r="AV938" t="s">
        <v>156</v>
      </c>
      <c r="AX938" t="s">
        <v>129</v>
      </c>
      <c r="AY938">
        <v>44740.6</v>
      </c>
      <c r="BB938">
        <v>97.9345</v>
      </c>
      <c r="BC938" t="s">
        <v>112</v>
      </c>
      <c r="BD938" t="s">
        <v>112</v>
      </c>
      <c r="BE938" t="s">
        <v>157</v>
      </c>
      <c r="BF938" t="s">
        <v>133</v>
      </c>
      <c r="BG938" t="s">
        <v>134</v>
      </c>
      <c r="BH938" t="s">
        <v>112</v>
      </c>
      <c r="BI938" t="s">
        <v>112</v>
      </c>
      <c r="BJ938" t="s">
        <v>112</v>
      </c>
      <c r="BK938" t="s">
        <v>158</v>
      </c>
      <c r="BL938" t="s">
        <v>159</v>
      </c>
      <c r="BM938" t="s">
        <v>212</v>
      </c>
      <c r="BN938" t="s">
        <v>161</v>
      </c>
      <c r="BP938" t="s">
        <v>205</v>
      </c>
      <c r="BR938" t="s">
        <v>150</v>
      </c>
      <c r="BS938">
        <v>33</v>
      </c>
      <c r="BT938">
        <v>0</v>
      </c>
      <c r="BU938">
        <v>0</v>
      </c>
      <c r="BW938">
        <v>0</v>
      </c>
      <c r="BY938" t="s">
        <v>106</v>
      </c>
      <c r="BZ938" t="s">
        <v>142</v>
      </c>
      <c r="CA938" t="s">
        <v>112</v>
      </c>
      <c r="CB938" t="s">
        <v>112</v>
      </c>
      <c r="CC938" t="s">
        <v>121</v>
      </c>
      <c r="CD938">
        <v>15894.06</v>
      </c>
      <c r="CE938" t="s">
        <v>144</v>
      </c>
      <c r="CF938">
        <v>4000000</v>
      </c>
      <c r="CG938">
        <v>15638.46</v>
      </c>
      <c r="CH938">
        <v>0</v>
      </c>
      <c r="CI938" t="s">
        <v>112</v>
      </c>
      <c r="CJ938" t="s">
        <v>112</v>
      </c>
      <c r="CK938">
        <v>44740.6</v>
      </c>
      <c r="CM938">
        <v>0</v>
      </c>
      <c r="CN938">
        <v>1</v>
      </c>
      <c r="CO938">
        <v>4772406.95</v>
      </c>
      <c r="CP938">
        <v>51861.25</v>
      </c>
      <c r="CQ938" t="s">
        <v>145</v>
      </c>
      <c r="CR938">
        <v>51919.687199999993</v>
      </c>
      <c r="CS938">
        <v>3.32</v>
      </c>
      <c r="CT938">
        <v>45</v>
      </c>
      <c r="CV938" t="s">
        <v>729</v>
      </c>
      <c r="CW938">
        <v>140</v>
      </c>
    </row>
    <row r="939" spans="1:101" x14ac:dyDescent="0.2">
      <c r="A939" t="s">
        <v>106</v>
      </c>
      <c r="B939" s="46">
        <v>44945</v>
      </c>
      <c r="C939" t="s">
        <v>1638</v>
      </c>
      <c r="D939" t="s">
        <v>108</v>
      </c>
      <c r="E939" t="s">
        <v>1639</v>
      </c>
      <c r="F939" t="s">
        <v>110</v>
      </c>
      <c r="G939" t="s">
        <v>111</v>
      </c>
      <c r="H939" t="s">
        <v>112</v>
      </c>
      <c r="I939" t="s">
        <v>112</v>
      </c>
      <c r="J939" t="s">
        <v>112</v>
      </c>
      <c r="K939" t="s">
        <v>150</v>
      </c>
      <c r="L939" t="s">
        <v>151</v>
      </c>
      <c r="M939" t="s">
        <v>112</v>
      </c>
      <c r="N939" t="s">
        <v>112</v>
      </c>
      <c r="O939">
        <v>1</v>
      </c>
      <c r="Q939">
        <v>1</v>
      </c>
      <c r="R939">
        <v>33</v>
      </c>
      <c r="S939" t="s">
        <v>112</v>
      </c>
      <c r="T939" t="s">
        <v>152</v>
      </c>
      <c r="U939" t="s">
        <v>153</v>
      </c>
      <c r="V939" t="s">
        <v>154</v>
      </c>
      <c r="W939" t="s">
        <v>119</v>
      </c>
      <c r="X939" t="s">
        <v>112</v>
      </c>
      <c r="Y939" t="s">
        <v>112</v>
      </c>
      <c r="Z939" t="s">
        <v>152</v>
      </c>
      <c r="AA939" t="s">
        <v>153</v>
      </c>
      <c r="AB939" t="s">
        <v>154</v>
      </c>
      <c r="AC939" t="s">
        <v>119</v>
      </c>
      <c r="AD939" t="s">
        <v>112</v>
      </c>
      <c r="AE939" t="s">
        <v>121</v>
      </c>
      <c r="AF939" t="s">
        <v>122</v>
      </c>
      <c r="AG939">
        <v>4704990.8</v>
      </c>
      <c r="AH939" t="s">
        <v>112</v>
      </c>
      <c r="AI939" t="s">
        <v>152</v>
      </c>
      <c r="AJ939" t="s">
        <v>153</v>
      </c>
      <c r="AK939" t="s">
        <v>154</v>
      </c>
      <c r="AL939" t="s">
        <v>119</v>
      </c>
      <c r="AM939" t="s">
        <v>112</v>
      </c>
      <c r="AN939" t="s">
        <v>121</v>
      </c>
      <c r="AO939" t="s">
        <v>122</v>
      </c>
      <c r="AP939" t="s">
        <v>122</v>
      </c>
      <c r="AQ939" t="s">
        <v>124</v>
      </c>
      <c r="AR939" t="s">
        <v>125</v>
      </c>
      <c r="AS939">
        <v>2</v>
      </c>
      <c r="AT939" t="s">
        <v>126</v>
      </c>
      <c r="AU939" t="s">
        <v>155</v>
      </c>
      <c r="AV939" t="s">
        <v>156</v>
      </c>
      <c r="AX939" t="s">
        <v>129</v>
      </c>
      <c r="AY939">
        <v>44052.22</v>
      </c>
      <c r="BB939">
        <v>97.9345</v>
      </c>
      <c r="BC939" t="s">
        <v>112</v>
      </c>
      <c r="BD939" t="s">
        <v>112</v>
      </c>
      <c r="BE939" t="s">
        <v>157</v>
      </c>
      <c r="BF939" t="s">
        <v>133</v>
      </c>
      <c r="BG939" t="s">
        <v>134</v>
      </c>
      <c r="BH939" t="s">
        <v>112</v>
      </c>
      <c r="BI939" t="s">
        <v>112</v>
      </c>
      <c r="BJ939" t="s">
        <v>112</v>
      </c>
      <c r="BK939" t="s">
        <v>158</v>
      </c>
      <c r="BL939" t="s">
        <v>159</v>
      </c>
      <c r="BM939" t="s">
        <v>212</v>
      </c>
      <c r="BN939" t="s">
        <v>161</v>
      </c>
      <c r="BP939" t="s">
        <v>232</v>
      </c>
      <c r="BR939" t="s">
        <v>150</v>
      </c>
      <c r="BS939">
        <v>33</v>
      </c>
      <c r="BT939">
        <v>0</v>
      </c>
      <c r="BU939">
        <v>0</v>
      </c>
      <c r="BW939">
        <v>0</v>
      </c>
      <c r="BY939" t="s">
        <v>106</v>
      </c>
      <c r="BZ939" t="s">
        <v>142</v>
      </c>
      <c r="CA939" t="s">
        <v>112</v>
      </c>
      <c r="CB939" t="s">
        <v>112</v>
      </c>
      <c r="CC939" t="s">
        <v>121</v>
      </c>
      <c r="CD939">
        <v>16842.82</v>
      </c>
      <c r="CE939" t="s">
        <v>144</v>
      </c>
      <c r="CF939">
        <v>4000000</v>
      </c>
      <c r="CG939">
        <v>16788.830000000002</v>
      </c>
      <c r="CH939">
        <v>0</v>
      </c>
      <c r="CI939" t="s">
        <v>112</v>
      </c>
      <c r="CJ939" t="s">
        <v>112</v>
      </c>
      <c r="CK939">
        <v>44052.22</v>
      </c>
      <c r="CM939">
        <v>0</v>
      </c>
      <c r="CN939">
        <v>1</v>
      </c>
      <c r="CO939">
        <v>4704990.8</v>
      </c>
      <c r="CP939">
        <v>51128.639999999999</v>
      </c>
      <c r="CQ939" t="s">
        <v>145</v>
      </c>
      <c r="CR939">
        <v>51205.931499999999</v>
      </c>
      <c r="CS939">
        <v>3.05</v>
      </c>
      <c r="CT939">
        <v>45</v>
      </c>
      <c r="CV939" t="s">
        <v>163</v>
      </c>
      <c r="CW939">
        <v>140</v>
      </c>
    </row>
    <row r="940" spans="1:101" x14ac:dyDescent="0.2">
      <c r="A940" t="s">
        <v>106</v>
      </c>
      <c r="B940" s="46">
        <v>45117</v>
      </c>
      <c r="C940" t="s">
        <v>1646</v>
      </c>
      <c r="D940" t="s">
        <v>108</v>
      </c>
      <c r="E940" t="s">
        <v>1647</v>
      </c>
      <c r="F940" t="s">
        <v>110</v>
      </c>
      <c r="G940" t="s">
        <v>111</v>
      </c>
      <c r="H940" t="s">
        <v>112</v>
      </c>
      <c r="I940" t="s">
        <v>112</v>
      </c>
      <c r="J940" t="s">
        <v>112</v>
      </c>
      <c r="K940" t="s">
        <v>150</v>
      </c>
      <c r="L940" t="s">
        <v>151</v>
      </c>
      <c r="M940" t="s">
        <v>112</v>
      </c>
      <c r="N940" t="s">
        <v>112</v>
      </c>
      <c r="O940">
        <v>1</v>
      </c>
      <c r="Q940">
        <v>1</v>
      </c>
      <c r="R940">
        <v>33</v>
      </c>
      <c r="S940" t="s">
        <v>112</v>
      </c>
      <c r="T940" t="s">
        <v>152</v>
      </c>
      <c r="U940" t="s">
        <v>153</v>
      </c>
      <c r="V940" t="s">
        <v>154</v>
      </c>
      <c r="W940" t="s">
        <v>119</v>
      </c>
      <c r="X940" t="s">
        <v>112</v>
      </c>
      <c r="Y940" t="s">
        <v>112</v>
      </c>
      <c r="Z940" t="s">
        <v>152</v>
      </c>
      <c r="AA940" t="s">
        <v>153</v>
      </c>
      <c r="AB940" t="s">
        <v>154</v>
      </c>
      <c r="AC940" t="s">
        <v>119</v>
      </c>
      <c r="AD940" t="s">
        <v>112</v>
      </c>
      <c r="AE940" t="s">
        <v>121</v>
      </c>
      <c r="AF940" t="s">
        <v>122</v>
      </c>
      <c r="AG940">
        <v>3995077.32</v>
      </c>
      <c r="AH940" t="s">
        <v>112</v>
      </c>
      <c r="AI940" t="s">
        <v>152</v>
      </c>
      <c r="AJ940" t="s">
        <v>153</v>
      </c>
      <c r="AK940" t="s">
        <v>154</v>
      </c>
      <c r="AL940" t="s">
        <v>119</v>
      </c>
      <c r="AM940" t="s">
        <v>112</v>
      </c>
      <c r="AN940" t="s">
        <v>121</v>
      </c>
      <c r="AO940" t="s">
        <v>122</v>
      </c>
      <c r="AP940" t="s">
        <v>122</v>
      </c>
      <c r="AQ940" t="s">
        <v>124</v>
      </c>
      <c r="AR940" t="s">
        <v>125</v>
      </c>
      <c r="AS940">
        <v>2</v>
      </c>
      <c r="AT940" t="s">
        <v>126</v>
      </c>
      <c r="AU940" t="s">
        <v>155</v>
      </c>
      <c r="AV940" t="s">
        <v>156</v>
      </c>
      <c r="AX940" t="s">
        <v>129</v>
      </c>
      <c r="AY940">
        <v>36803.360000000001</v>
      </c>
      <c r="BB940">
        <v>97.9345</v>
      </c>
      <c r="BC940" t="s">
        <v>112</v>
      </c>
      <c r="BD940" t="s">
        <v>112</v>
      </c>
      <c r="BE940" t="s">
        <v>157</v>
      </c>
      <c r="BF940" t="s">
        <v>133</v>
      </c>
      <c r="BG940" t="s">
        <v>134</v>
      </c>
      <c r="BH940" t="s">
        <v>112</v>
      </c>
      <c r="BI940" t="s">
        <v>112</v>
      </c>
      <c r="BJ940" t="s">
        <v>112</v>
      </c>
      <c r="BK940" t="s">
        <v>158</v>
      </c>
      <c r="BL940" t="s">
        <v>159</v>
      </c>
      <c r="BM940" t="s">
        <v>212</v>
      </c>
      <c r="BN940" t="s">
        <v>161</v>
      </c>
      <c r="BP940" t="s">
        <v>213</v>
      </c>
      <c r="BR940" t="s">
        <v>150</v>
      </c>
      <c r="BS940">
        <v>33</v>
      </c>
      <c r="BT940">
        <v>0</v>
      </c>
      <c r="BU940">
        <v>0</v>
      </c>
      <c r="BW940">
        <v>0</v>
      </c>
      <c r="BY940" t="s">
        <v>106</v>
      </c>
      <c r="BZ940" t="s">
        <v>142</v>
      </c>
      <c r="CA940" t="s">
        <v>112</v>
      </c>
      <c r="CB940" t="s">
        <v>112</v>
      </c>
      <c r="CC940" t="s">
        <v>121</v>
      </c>
      <c r="CD940">
        <v>17353.91</v>
      </c>
      <c r="CE940" t="s">
        <v>144</v>
      </c>
      <c r="CF940">
        <v>4000000</v>
      </c>
      <c r="CG940">
        <v>17353.91</v>
      </c>
      <c r="CH940">
        <v>0</v>
      </c>
      <c r="CI940" t="s">
        <v>112</v>
      </c>
      <c r="CJ940" t="s">
        <v>112</v>
      </c>
      <c r="CK940">
        <v>36803.360000000001</v>
      </c>
      <c r="CM940">
        <v>0</v>
      </c>
      <c r="CN940">
        <v>1</v>
      </c>
      <c r="CO940">
        <v>3995077.32</v>
      </c>
      <c r="CP940">
        <v>43414.09</v>
      </c>
      <c r="CQ940" t="s">
        <v>145</v>
      </c>
      <c r="CR940">
        <v>43384.775000000001</v>
      </c>
      <c r="CS940">
        <v>2.5</v>
      </c>
      <c r="CT940">
        <v>45</v>
      </c>
      <c r="CV940" t="s">
        <v>233</v>
      </c>
      <c r="CW940">
        <v>70</v>
      </c>
    </row>
    <row r="941" spans="1:101" x14ac:dyDescent="0.2">
      <c r="A941" t="s">
        <v>106</v>
      </c>
      <c r="B941" s="46">
        <v>45272</v>
      </c>
      <c r="C941" t="s">
        <v>1842</v>
      </c>
      <c r="D941" t="s">
        <v>108</v>
      </c>
      <c r="E941" t="s">
        <v>1843</v>
      </c>
      <c r="F941" t="s">
        <v>110</v>
      </c>
      <c r="G941" t="s">
        <v>111</v>
      </c>
      <c r="H941" t="s">
        <v>112</v>
      </c>
      <c r="I941" t="s">
        <v>112</v>
      </c>
      <c r="J941" t="s">
        <v>112</v>
      </c>
      <c r="K941" t="s">
        <v>150</v>
      </c>
      <c r="L941" t="s">
        <v>151</v>
      </c>
      <c r="M941" t="s">
        <v>112</v>
      </c>
      <c r="N941" t="s">
        <v>112</v>
      </c>
      <c r="O941">
        <v>1</v>
      </c>
      <c r="Q941">
        <v>1</v>
      </c>
      <c r="R941">
        <v>33</v>
      </c>
      <c r="S941" t="s">
        <v>112</v>
      </c>
      <c r="T941" t="s">
        <v>152</v>
      </c>
      <c r="U941" t="s">
        <v>153</v>
      </c>
      <c r="V941" t="s">
        <v>154</v>
      </c>
      <c r="W941" t="s">
        <v>119</v>
      </c>
      <c r="X941" t="s">
        <v>112</v>
      </c>
      <c r="Y941" t="s">
        <v>112</v>
      </c>
      <c r="Z941" t="s">
        <v>152</v>
      </c>
      <c r="AA941" t="s">
        <v>153</v>
      </c>
      <c r="AB941" t="s">
        <v>154</v>
      </c>
      <c r="AC941" t="s">
        <v>119</v>
      </c>
      <c r="AD941" t="s">
        <v>112</v>
      </c>
      <c r="AE941" t="s">
        <v>121</v>
      </c>
      <c r="AF941" t="s">
        <v>122</v>
      </c>
      <c r="AG941">
        <v>4550610.74</v>
      </c>
      <c r="AH941" t="s">
        <v>112</v>
      </c>
      <c r="AI941" t="s">
        <v>152</v>
      </c>
      <c r="AJ941" t="s">
        <v>153</v>
      </c>
      <c r="AK941" t="s">
        <v>154</v>
      </c>
      <c r="AL941" t="s">
        <v>119</v>
      </c>
      <c r="AM941" t="s">
        <v>112</v>
      </c>
      <c r="AN941" t="s">
        <v>121</v>
      </c>
      <c r="AO941" t="s">
        <v>122</v>
      </c>
      <c r="AP941" t="s">
        <v>122</v>
      </c>
      <c r="AQ941" t="s">
        <v>124</v>
      </c>
      <c r="AR941" t="s">
        <v>125</v>
      </c>
      <c r="AS941">
        <v>2</v>
      </c>
      <c r="AT941" t="s">
        <v>126</v>
      </c>
      <c r="AU941" t="s">
        <v>155</v>
      </c>
      <c r="AV941" t="s">
        <v>156</v>
      </c>
      <c r="AX941" t="s">
        <v>129</v>
      </c>
      <c r="AY941">
        <v>39233.64</v>
      </c>
      <c r="BB941">
        <v>104.94070000000001</v>
      </c>
      <c r="BC941" t="s">
        <v>112</v>
      </c>
      <c r="BD941" t="s">
        <v>112</v>
      </c>
      <c r="BE941" t="s">
        <v>157</v>
      </c>
      <c r="BF941" t="s">
        <v>133</v>
      </c>
      <c r="BG941" t="s">
        <v>134</v>
      </c>
      <c r="BH941" t="s">
        <v>112</v>
      </c>
      <c r="BI941" t="s">
        <v>112</v>
      </c>
      <c r="BJ941" t="s">
        <v>112</v>
      </c>
      <c r="BK941" t="s">
        <v>169</v>
      </c>
      <c r="BL941" t="s">
        <v>159</v>
      </c>
      <c r="BM941" t="s">
        <v>212</v>
      </c>
      <c r="BN941" t="s">
        <v>161</v>
      </c>
      <c r="BP941" t="s">
        <v>232</v>
      </c>
      <c r="BR941" t="s">
        <v>150</v>
      </c>
      <c r="BS941">
        <v>33</v>
      </c>
      <c r="BY941" t="s">
        <v>106</v>
      </c>
      <c r="BZ941" t="s">
        <v>142</v>
      </c>
      <c r="CA941" t="s">
        <v>112</v>
      </c>
      <c r="CB941" t="s">
        <v>112</v>
      </c>
      <c r="CC941" t="s">
        <v>121</v>
      </c>
      <c r="CD941">
        <v>16861.57</v>
      </c>
      <c r="CE941" t="s">
        <v>144</v>
      </c>
      <c r="CF941">
        <v>4000000</v>
      </c>
      <c r="CG941">
        <v>16796.77</v>
      </c>
      <c r="CI941" t="s">
        <v>112</v>
      </c>
      <c r="CJ941" t="s">
        <v>112</v>
      </c>
      <c r="CK941">
        <v>39233.64</v>
      </c>
      <c r="CM941">
        <v>0</v>
      </c>
      <c r="CN941">
        <v>1</v>
      </c>
      <c r="CO941">
        <v>4550610.74</v>
      </c>
      <c r="CP941">
        <v>47237.65</v>
      </c>
      <c r="CQ941" t="s">
        <v>145</v>
      </c>
      <c r="CR941">
        <v>47198.923699999999</v>
      </c>
      <c r="CS941">
        <v>2.81</v>
      </c>
      <c r="CT941">
        <v>45</v>
      </c>
      <c r="CV941" t="s">
        <v>163</v>
      </c>
      <c r="CW941">
        <v>155</v>
      </c>
    </row>
    <row r="942" spans="1:101" x14ac:dyDescent="0.2">
      <c r="A942" t="s">
        <v>106</v>
      </c>
      <c r="B942" s="46">
        <v>44966</v>
      </c>
      <c r="C942" t="s">
        <v>1630</v>
      </c>
      <c r="D942" t="s">
        <v>108</v>
      </c>
      <c r="E942" t="s">
        <v>1631</v>
      </c>
      <c r="F942" t="s">
        <v>110</v>
      </c>
      <c r="G942" t="s">
        <v>111</v>
      </c>
      <c r="H942" t="s">
        <v>112</v>
      </c>
      <c r="I942" t="s">
        <v>112</v>
      </c>
      <c r="J942" t="s">
        <v>112</v>
      </c>
      <c r="K942" t="s">
        <v>150</v>
      </c>
      <c r="L942" t="s">
        <v>151</v>
      </c>
      <c r="M942" t="s">
        <v>112</v>
      </c>
      <c r="N942" t="s">
        <v>112</v>
      </c>
      <c r="Q942">
        <v>1</v>
      </c>
      <c r="R942">
        <v>33</v>
      </c>
      <c r="S942" t="s">
        <v>166</v>
      </c>
      <c r="T942" t="s">
        <v>152</v>
      </c>
      <c r="U942" t="s">
        <v>153</v>
      </c>
      <c r="V942" t="s">
        <v>154</v>
      </c>
      <c r="W942" t="s">
        <v>119</v>
      </c>
      <c r="X942" t="s">
        <v>112</v>
      </c>
      <c r="Y942" t="s">
        <v>166</v>
      </c>
      <c r="Z942" t="s">
        <v>152</v>
      </c>
      <c r="AA942" t="s">
        <v>153</v>
      </c>
      <c r="AB942" t="s">
        <v>154</v>
      </c>
      <c r="AC942" t="s">
        <v>119</v>
      </c>
      <c r="AD942" t="s">
        <v>112</v>
      </c>
      <c r="AE942" t="s">
        <v>121</v>
      </c>
      <c r="AF942" t="s">
        <v>122</v>
      </c>
      <c r="AG942">
        <v>4686277.5599999996</v>
      </c>
      <c r="AH942" t="s">
        <v>166</v>
      </c>
      <c r="AI942" t="s">
        <v>152</v>
      </c>
      <c r="AJ942" t="s">
        <v>153</v>
      </c>
      <c r="AK942" t="s">
        <v>154</v>
      </c>
      <c r="AL942" t="s">
        <v>119</v>
      </c>
      <c r="AM942" t="s">
        <v>112</v>
      </c>
      <c r="AN942" t="s">
        <v>121</v>
      </c>
      <c r="AO942" t="s">
        <v>122</v>
      </c>
      <c r="AP942" t="s">
        <v>122</v>
      </c>
      <c r="AQ942" t="s">
        <v>124</v>
      </c>
      <c r="AR942" t="s">
        <v>125</v>
      </c>
      <c r="AT942" t="s">
        <v>126</v>
      </c>
      <c r="AU942" t="s">
        <v>155</v>
      </c>
      <c r="AV942" t="s">
        <v>156</v>
      </c>
      <c r="AX942" t="s">
        <v>129</v>
      </c>
      <c r="AY942">
        <v>42295.08</v>
      </c>
      <c r="BB942">
        <v>100.94280000000001</v>
      </c>
      <c r="BC942" t="s">
        <v>112</v>
      </c>
      <c r="BD942" t="s">
        <v>112</v>
      </c>
      <c r="BE942" t="s">
        <v>112</v>
      </c>
      <c r="BF942" t="s">
        <v>133</v>
      </c>
      <c r="BG942" t="s">
        <v>1627</v>
      </c>
      <c r="BH942" t="s">
        <v>112</v>
      </c>
      <c r="BI942" t="s">
        <v>112</v>
      </c>
      <c r="BJ942" t="s">
        <v>112</v>
      </c>
      <c r="BK942" t="s">
        <v>112</v>
      </c>
      <c r="BL942" t="s">
        <v>112</v>
      </c>
      <c r="BM942" t="s">
        <v>112</v>
      </c>
      <c r="BN942" t="s">
        <v>161</v>
      </c>
      <c r="BP942" t="s">
        <v>205</v>
      </c>
      <c r="BR942" t="s">
        <v>150</v>
      </c>
      <c r="BS942">
        <v>33</v>
      </c>
      <c r="BU942">
        <v>0</v>
      </c>
      <c r="BY942" t="s">
        <v>106</v>
      </c>
      <c r="BZ942" t="s">
        <v>142</v>
      </c>
      <c r="CA942" t="s">
        <v>112</v>
      </c>
      <c r="CB942" t="s">
        <v>112</v>
      </c>
      <c r="CC942" t="s">
        <v>121</v>
      </c>
      <c r="CD942">
        <v>16553.98</v>
      </c>
      <c r="CE942" t="s">
        <v>144</v>
      </c>
      <c r="CF942">
        <v>4000000</v>
      </c>
      <c r="CG942">
        <v>16438.78</v>
      </c>
      <c r="CH942">
        <v>0</v>
      </c>
      <c r="CI942" t="s">
        <v>112</v>
      </c>
      <c r="CJ942" t="s">
        <v>112</v>
      </c>
      <c r="CK942">
        <v>42295.08</v>
      </c>
      <c r="CO942">
        <v>4686277.5599999996</v>
      </c>
      <c r="CP942">
        <v>51164.54</v>
      </c>
      <c r="CQ942" t="s">
        <v>145</v>
      </c>
      <c r="CR942">
        <v>51124.605799999998</v>
      </c>
      <c r="CS942">
        <v>3.11</v>
      </c>
      <c r="CW942">
        <v>212</v>
      </c>
    </row>
    <row r="943" spans="1:101" x14ac:dyDescent="0.2">
      <c r="A943" t="s">
        <v>106</v>
      </c>
      <c r="B943" s="46">
        <v>44944</v>
      </c>
      <c r="C943" t="s">
        <v>1628</v>
      </c>
      <c r="D943" t="s">
        <v>108</v>
      </c>
      <c r="E943" t="s">
        <v>1629</v>
      </c>
      <c r="F943" t="s">
        <v>110</v>
      </c>
      <c r="G943" t="s">
        <v>111</v>
      </c>
      <c r="H943" t="s">
        <v>112</v>
      </c>
      <c r="I943" t="s">
        <v>112</v>
      </c>
      <c r="J943" t="s">
        <v>112</v>
      </c>
      <c r="K943" t="s">
        <v>150</v>
      </c>
      <c r="L943" t="s">
        <v>151</v>
      </c>
      <c r="M943" t="s">
        <v>112</v>
      </c>
      <c r="N943" t="s">
        <v>112</v>
      </c>
      <c r="Q943">
        <v>1</v>
      </c>
      <c r="R943">
        <v>33</v>
      </c>
      <c r="S943" t="s">
        <v>166</v>
      </c>
      <c r="T943" t="s">
        <v>152</v>
      </c>
      <c r="U943" t="s">
        <v>153</v>
      </c>
      <c r="V943" t="s">
        <v>154</v>
      </c>
      <c r="W943" t="s">
        <v>119</v>
      </c>
      <c r="X943" t="s">
        <v>112</v>
      </c>
      <c r="Y943" t="s">
        <v>166</v>
      </c>
      <c r="Z943" t="s">
        <v>152</v>
      </c>
      <c r="AA943" t="s">
        <v>153</v>
      </c>
      <c r="AB943" t="s">
        <v>154</v>
      </c>
      <c r="AC943" t="s">
        <v>119</v>
      </c>
      <c r="AD943" t="s">
        <v>112</v>
      </c>
      <c r="AE943" t="s">
        <v>121</v>
      </c>
      <c r="AF943" t="s">
        <v>122</v>
      </c>
      <c r="AG943">
        <v>4569981.3600000003</v>
      </c>
      <c r="AH943" t="s">
        <v>166</v>
      </c>
      <c r="AI943" t="s">
        <v>152</v>
      </c>
      <c r="AJ943" t="s">
        <v>153</v>
      </c>
      <c r="AK943" t="s">
        <v>154</v>
      </c>
      <c r="AL943" t="s">
        <v>119</v>
      </c>
      <c r="AM943" t="s">
        <v>112</v>
      </c>
      <c r="AN943" t="s">
        <v>121</v>
      </c>
      <c r="AO943" t="s">
        <v>122</v>
      </c>
      <c r="AP943" t="s">
        <v>122</v>
      </c>
      <c r="AQ943" t="s">
        <v>124</v>
      </c>
      <c r="AR943" t="s">
        <v>125</v>
      </c>
      <c r="AT943" t="s">
        <v>126</v>
      </c>
      <c r="AU943" t="s">
        <v>155</v>
      </c>
      <c r="AV943" t="s">
        <v>156</v>
      </c>
      <c r="AX943" t="s">
        <v>129</v>
      </c>
      <c r="AY943">
        <v>41142.980000000003</v>
      </c>
      <c r="BB943">
        <v>100.94280000000001</v>
      </c>
      <c r="BC943" t="s">
        <v>112</v>
      </c>
      <c r="BD943" t="s">
        <v>112</v>
      </c>
      <c r="BE943" t="s">
        <v>112</v>
      </c>
      <c r="BF943" t="s">
        <v>133</v>
      </c>
      <c r="BG943" t="s">
        <v>1624</v>
      </c>
      <c r="BH943" t="s">
        <v>112</v>
      </c>
      <c r="BI943" t="s">
        <v>112</v>
      </c>
      <c r="BJ943" t="s">
        <v>112</v>
      </c>
      <c r="BK943" t="s">
        <v>112</v>
      </c>
      <c r="BL943" t="s">
        <v>112</v>
      </c>
      <c r="BM943" t="s">
        <v>112</v>
      </c>
      <c r="BN943" t="s">
        <v>161</v>
      </c>
      <c r="BP943" t="s">
        <v>162</v>
      </c>
      <c r="BR943" t="s">
        <v>150</v>
      </c>
      <c r="BS943">
        <v>33</v>
      </c>
      <c r="BU943">
        <v>0</v>
      </c>
      <c r="BY943" t="s">
        <v>106</v>
      </c>
      <c r="BZ943" t="s">
        <v>142</v>
      </c>
      <c r="CA943" t="s">
        <v>112</v>
      </c>
      <c r="CB943" t="s">
        <v>112</v>
      </c>
      <c r="CC943" t="s">
        <v>121</v>
      </c>
      <c r="CD943">
        <v>16104.12</v>
      </c>
      <c r="CE943" t="s">
        <v>144</v>
      </c>
      <c r="CF943">
        <v>4000000</v>
      </c>
      <c r="CG943">
        <v>15952.92</v>
      </c>
      <c r="CH943">
        <v>0</v>
      </c>
      <c r="CI943" t="s">
        <v>112</v>
      </c>
      <c r="CJ943" t="s">
        <v>112</v>
      </c>
      <c r="CK943">
        <v>41142.980000000003</v>
      </c>
      <c r="CO943">
        <v>4569981.3600000003</v>
      </c>
      <c r="CP943">
        <v>49894.82</v>
      </c>
      <c r="CQ943" t="s">
        <v>145</v>
      </c>
      <c r="CR943">
        <v>49932.639599999995</v>
      </c>
      <c r="CS943">
        <v>3.13</v>
      </c>
      <c r="CW943">
        <v>271</v>
      </c>
    </row>
    <row r="944" spans="1:101" x14ac:dyDescent="0.2">
      <c r="A944" t="s">
        <v>106</v>
      </c>
      <c r="B944" s="46">
        <v>45285</v>
      </c>
      <c r="C944" t="s">
        <v>1625</v>
      </c>
      <c r="D944" t="s">
        <v>108</v>
      </c>
      <c r="E944" t="s">
        <v>1626</v>
      </c>
      <c r="F944" t="s">
        <v>3244</v>
      </c>
      <c r="G944" t="s">
        <v>111</v>
      </c>
      <c r="H944" t="s">
        <v>112</v>
      </c>
      <c r="I944" t="s">
        <v>112</v>
      </c>
      <c r="J944" t="s">
        <v>112</v>
      </c>
      <c r="K944" t="s">
        <v>150</v>
      </c>
      <c r="L944" t="s">
        <v>151</v>
      </c>
      <c r="M944" t="s">
        <v>112</v>
      </c>
      <c r="N944" t="s">
        <v>112</v>
      </c>
      <c r="Q944">
        <v>1</v>
      </c>
      <c r="R944">
        <v>33</v>
      </c>
      <c r="S944" t="s">
        <v>166</v>
      </c>
      <c r="T944" t="s">
        <v>152</v>
      </c>
      <c r="U944" t="s">
        <v>153</v>
      </c>
      <c r="V944" t="s">
        <v>154</v>
      </c>
      <c r="W944" t="s">
        <v>119</v>
      </c>
      <c r="X944" t="s">
        <v>112</v>
      </c>
      <c r="Y944" t="s">
        <v>166</v>
      </c>
      <c r="Z944" t="s">
        <v>152</v>
      </c>
      <c r="AA944" t="s">
        <v>153</v>
      </c>
      <c r="AB944" t="s">
        <v>154</v>
      </c>
      <c r="AC944" t="s">
        <v>119</v>
      </c>
      <c r="AD944" t="s">
        <v>112</v>
      </c>
      <c r="AE944" t="s">
        <v>121</v>
      </c>
      <c r="AF944" t="s">
        <v>122</v>
      </c>
      <c r="AG944">
        <v>3948668.33</v>
      </c>
      <c r="AH944" t="s">
        <v>166</v>
      </c>
      <c r="AI944" t="s">
        <v>152</v>
      </c>
      <c r="AJ944" t="s">
        <v>153</v>
      </c>
      <c r="AK944" t="s">
        <v>154</v>
      </c>
      <c r="AL944" t="s">
        <v>119</v>
      </c>
      <c r="AM944" t="s">
        <v>112</v>
      </c>
      <c r="AN944" t="s">
        <v>121</v>
      </c>
      <c r="AO944" t="s">
        <v>122</v>
      </c>
      <c r="AP944" t="s">
        <v>122</v>
      </c>
      <c r="AQ944" t="s">
        <v>124</v>
      </c>
      <c r="AR944" t="s">
        <v>125</v>
      </c>
      <c r="AT944" t="s">
        <v>126</v>
      </c>
      <c r="AU944" t="s">
        <v>155</v>
      </c>
      <c r="AV944" t="s">
        <v>156</v>
      </c>
      <c r="AX944" t="s">
        <v>129</v>
      </c>
      <c r="AY944">
        <v>34987.879999999997</v>
      </c>
      <c r="BB944">
        <v>100.94280000000001</v>
      </c>
      <c r="BC944" t="s">
        <v>112</v>
      </c>
      <c r="BD944" t="s">
        <v>112</v>
      </c>
      <c r="BE944" t="s">
        <v>112</v>
      </c>
      <c r="BF944" t="s">
        <v>133</v>
      </c>
      <c r="BG944" t="s">
        <v>1627</v>
      </c>
      <c r="BH944" t="s">
        <v>112</v>
      </c>
      <c r="BI944" t="s">
        <v>112</v>
      </c>
      <c r="BJ944" t="s">
        <v>112</v>
      </c>
      <c r="BK944" t="s">
        <v>112</v>
      </c>
      <c r="BL944" t="s">
        <v>112</v>
      </c>
      <c r="BM944" t="s">
        <v>112</v>
      </c>
      <c r="BN944" t="s">
        <v>161</v>
      </c>
      <c r="BP944" t="s">
        <v>281</v>
      </c>
      <c r="BR944" t="s">
        <v>150</v>
      </c>
      <c r="BS944">
        <v>33</v>
      </c>
      <c r="BU944">
        <v>0</v>
      </c>
      <c r="BY944" t="s">
        <v>106</v>
      </c>
      <c r="BZ944" t="s">
        <v>142</v>
      </c>
      <c r="CA944" t="s">
        <v>112</v>
      </c>
      <c r="CB944" t="s">
        <v>112</v>
      </c>
      <c r="CC944" t="s">
        <v>121</v>
      </c>
      <c r="CD944">
        <v>16303.57</v>
      </c>
      <c r="CE944" t="s">
        <v>144</v>
      </c>
      <c r="CF944">
        <v>4000000</v>
      </c>
      <c r="CG944">
        <v>16204.57</v>
      </c>
      <c r="CH944">
        <v>0</v>
      </c>
      <c r="CI944" t="s">
        <v>112</v>
      </c>
      <c r="CJ944" t="s">
        <v>112</v>
      </c>
      <c r="CK944">
        <v>34987.879999999997</v>
      </c>
      <c r="CO944">
        <v>3948668.33</v>
      </c>
      <c r="CP944">
        <v>43111.360000000001</v>
      </c>
      <c r="CQ944" t="s">
        <v>145</v>
      </c>
      <c r="CR944">
        <v>43104.156200000005</v>
      </c>
      <c r="CS944">
        <v>2.66</v>
      </c>
      <c r="CW944">
        <v>20</v>
      </c>
    </row>
    <row r="945" spans="1:101" x14ac:dyDescent="0.2">
      <c r="A945" t="s">
        <v>106</v>
      </c>
      <c r="B945" s="46">
        <v>45110</v>
      </c>
      <c r="C945" t="s">
        <v>1622</v>
      </c>
      <c r="D945" t="s">
        <v>108</v>
      </c>
      <c r="E945" t="s">
        <v>1623</v>
      </c>
      <c r="F945" t="s">
        <v>3244</v>
      </c>
      <c r="G945" t="s">
        <v>111</v>
      </c>
      <c r="H945" t="s">
        <v>112</v>
      </c>
      <c r="I945" t="s">
        <v>112</v>
      </c>
      <c r="J945" t="s">
        <v>112</v>
      </c>
      <c r="K945" t="s">
        <v>150</v>
      </c>
      <c r="L945" t="s">
        <v>151</v>
      </c>
      <c r="M945" t="s">
        <v>112</v>
      </c>
      <c r="N945" t="s">
        <v>112</v>
      </c>
      <c r="Q945">
        <v>1</v>
      </c>
      <c r="R945">
        <v>33</v>
      </c>
      <c r="S945" t="s">
        <v>166</v>
      </c>
      <c r="T945" t="s">
        <v>152</v>
      </c>
      <c r="U945" t="s">
        <v>153</v>
      </c>
      <c r="V945" t="s">
        <v>154</v>
      </c>
      <c r="W945" t="s">
        <v>119</v>
      </c>
      <c r="X945" t="s">
        <v>112</v>
      </c>
      <c r="Y945" t="s">
        <v>166</v>
      </c>
      <c r="Z945" t="s">
        <v>152</v>
      </c>
      <c r="AA945" t="s">
        <v>153</v>
      </c>
      <c r="AB945" t="s">
        <v>154</v>
      </c>
      <c r="AC945" t="s">
        <v>119</v>
      </c>
      <c r="AD945" t="s">
        <v>112</v>
      </c>
      <c r="AE945" t="s">
        <v>121</v>
      </c>
      <c r="AF945" t="s">
        <v>122</v>
      </c>
      <c r="AG945">
        <v>4638517.49</v>
      </c>
      <c r="AH945" t="s">
        <v>166</v>
      </c>
      <c r="AI945" t="s">
        <v>152</v>
      </c>
      <c r="AJ945" t="s">
        <v>153</v>
      </c>
      <c r="AK945" t="s">
        <v>154</v>
      </c>
      <c r="AL945" t="s">
        <v>119</v>
      </c>
      <c r="AM945" t="s">
        <v>112</v>
      </c>
      <c r="AN945" t="s">
        <v>121</v>
      </c>
      <c r="AO945" t="s">
        <v>122</v>
      </c>
      <c r="AP945" t="s">
        <v>122</v>
      </c>
      <c r="AQ945" t="s">
        <v>124</v>
      </c>
      <c r="AR945" t="s">
        <v>125</v>
      </c>
      <c r="AT945" t="s">
        <v>126</v>
      </c>
      <c r="AU945" t="s">
        <v>155</v>
      </c>
      <c r="AV945" t="s">
        <v>156</v>
      </c>
      <c r="AX945" t="s">
        <v>129</v>
      </c>
      <c r="AY945">
        <v>41821.94</v>
      </c>
      <c r="BB945">
        <v>100.94280000000001</v>
      </c>
      <c r="BC945" t="s">
        <v>112</v>
      </c>
      <c r="BD945" t="s">
        <v>112</v>
      </c>
      <c r="BE945" t="s">
        <v>112</v>
      </c>
      <c r="BF945" t="s">
        <v>133</v>
      </c>
      <c r="BG945" t="s">
        <v>1624</v>
      </c>
      <c r="BH945" t="s">
        <v>112</v>
      </c>
      <c r="BI945" t="s">
        <v>112</v>
      </c>
      <c r="BJ945" t="s">
        <v>112</v>
      </c>
      <c r="BK945" t="s">
        <v>112</v>
      </c>
      <c r="BL945" t="s">
        <v>112</v>
      </c>
      <c r="BM945" t="s">
        <v>112</v>
      </c>
      <c r="BN945" t="s">
        <v>161</v>
      </c>
      <c r="BP945" t="s">
        <v>232</v>
      </c>
      <c r="BR945" t="s">
        <v>150</v>
      </c>
      <c r="BS945">
        <v>33</v>
      </c>
      <c r="BU945">
        <v>0</v>
      </c>
      <c r="BY945" t="s">
        <v>106</v>
      </c>
      <c r="BZ945" t="s">
        <v>142</v>
      </c>
      <c r="CA945" t="s">
        <v>112</v>
      </c>
      <c r="CB945" t="s">
        <v>112</v>
      </c>
      <c r="CC945" t="s">
        <v>121</v>
      </c>
      <c r="CD945">
        <v>16370.21</v>
      </c>
      <c r="CE945" t="s">
        <v>144</v>
      </c>
      <c r="CF945">
        <v>4000000</v>
      </c>
      <c r="CG945">
        <v>16247.81</v>
      </c>
      <c r="CH945">
        <v>0</v>
      </c>
      <c r="CI945" t="s">
        <v>112</v>
      </c>
      <c r="CJ945" t="s">
        <v>112</v>
      </c>
      <c r="CK945">
        <v>41821.94</v>
      </c>
      <c r="CO945">
        <v>4638517.49</v>
      </c>
      <c r="CP945">
        <v>50643.09</v>
      </c>
      <c r="CQ945" t="s">
        <v>145</v>
      </c>
      <c r="CR945">
        <v>50693.167200000004</v>
      </c>
      <c r="CS945">
        <v>3.12</v>
      </c>
      <c r="CW945">
        <v>163</v>
      </c>
    </row>
    <row r="946" spans="1:101" x14ac:dyDescent="0.2">
      <c r="A946" t="s">
        <v>106</v>
      </c>
      <c r="B946" s="46">
        <v>45091</v>
      </c>
      <c r="C946" t="s">
        <v>1282</v>
      </c>
      <c r="D946" t="s">
        <v>108</v>
      </c>
      <c r="E946" t="s">
        <v>1283</v>
      </c>
      <c r="F946" t="s">
        <v>3244</v>
      </c>
      <c r="G946" t="s">
        <v>111</v>
      </c>
      <c r="H946" t="s">
        <v>112</v>
      </c>
      <c r="I946" t="s">
        <v>112</v>
      </c>
      <c r="J946" t="s">
        <v>112</v>
      </c>
      <c r="K946" t="s">
        <v>150</v>
      </c>
      <c r="L946" t="s">
        <v>1060</v>
      </c>
      <c r="M946" t="s">
        <v>112</v>
      </c>
      <c r="N946" t="s">
        <v>112</v>
      </c>
      <c r="O946">
        <v>1</v>
      </c>
      <c r="P946">
        <v>0</v>
      </c>
      <c r="Q946">
        <v>1</v>
      </c>
      <c r="R946">
        <v>33</v>
      </c>
      <c r="S946" t="s">
        <v>166</v>
      </c>
      <c r="T946" t="s">
        <v>152</v>
      </c>
      <c r="U946" t="s">
        <v>153</v>
      </c>
      <c r="V946" t="s">
        <v>154</v>
      </c>
      <c r="W946" t="s">
        <v>119</v>
      </c>
      <c r="X946" t="s">
        <v>112</v>
      </c>
      <c r="Y946" t="s">
        <v>166</v>
      </c>
      <c r="Z946" t="s">
        <v>152</v>
      </c>
      <c r="AA946" t="s">
        <v>153</v>
      </c>
      <c r="AB946" t="s">
        <v>154</v>
      </c>
      <c r="AC946" t="s">
        <v>119</v>
      </c>
      <c r="AD946" t="s">
        <v>112</v>
      </c>
      <c r="AE946" t="s">
        <v>121</v>
      </c>
      <c r="AF946" t="s">
        <v>122</v>
      </c>
      <c r="AG946">
        <v>4492853.29</v>
      </c>
      <c r="AH946" t="s">
        <v>166</v>
      </c>
      <c r="AI946" t="s">
        <v>152</v>
      </c>
      <c r="AJ946" t="s">
        <v>153</v>
      </c>
      <c r="AK946" t="s">
        <v>154</v>
      </c>
      <c r="AL946" t="s">
        <v>119</v>
      </c>
      <c r="AM946" t="s">
        <v>112</v>
      </c>
      <c r="AN946" t="s">
        <v>121</v>
      </c>
      <c r="AO946" t="s">
        <v>122</v>
      </c>
      <c r="AP946" t="s">
        <v>122</v>
      </c>
      <c r="AQ946" t="s">
        <v>124</v>
      </c>
      <c r="AR946" t="s">
        <v>125</v>
      </c>
      <c r="AS946">
        <v>2</v>
      </c>
      <c r="AT946" t="s">
        <v>126</v>
      </c>
      <c r="AU946" t="s">
        <v>155</v>
      </c>
      <c r="AV946" t="s">
        <v>156</v>
      </c>
      <c r="AW946">
        <v>1</v>
      </c>
      <c r="AX946" t="s">
        <v>129</v>
      </c>
      <c r="AY946">
        <v>47809.96</v>
      </c>
      <c r="AZ946">
        <v>4135605</v>
      </c>
      <c r="BA946">
        <v>55471.3</v>
      </c>
      <c r="BB946">
        <v>86.500900000000001</v>
      </c>
      <c r="BC946" t="s">
        <v>130</v>
      </c>
      <c r="BD946" t="s">
        <v>112</v>
      </c>
      <c r="BE946" t="s">
        <v>157</v>
      </c>
      <c r="BF946" t="s">
        <v>133</v>
      </c>
      <c r="BG946" t="s">
        <v>134</v>
      </c>
      <c r="BH946" t="s">
        <v>112</v>
      </c>
      <c r="BI946" t="s">
        <v>112</v>
      </c>
      <c r="BJ946" t="s">
        <v>112</v>
      </c>
      <c r="BK946" t="s">
        <v>169</v>
      </c>
      <c r="BL946" t="s">
        <v>159</v>
      </c>
      <c r="BM946" t="s">
        <v>722</v>
      </c>
      <c r="BN946" t="s">
        <v>161</v>
      </c>
      <c r="BO946">
        <v>1</v>
      </c>
      <c r="BP946" t="s">
        <v>232</v>
      </c>
      <c r="BR946" t="s">
        <v>150</v>
      </c>
      <c r="BS946">
        <v>33</v>
      </c>
      <c r="BT946">
        <v>0</v>
      </c>
      <c r="BU946">
        <v>0</v>
      </c>
      <c r="BW946">
        <v>0</v>
      </c>
      <c r="BY946" t="s">
        <v>106</v>
      </c>
      <c r="BZ946" t="s">
        <v>142</v>
      </c>
      <c r="CA946" t="s">
        <v>112</v>
      </c>
      <c r="CB946" t="s">
        <v>112</v>
      </c>
      <c r="CC946" t="s">
        <v>121</v>
      </c>
      <c r="CD946">
        <v>17389.3</v>
      </c>
      <c r="CE946" t="s">
        <v>144</v>
      </c>
      <c r="CF946">
        <v>4000000</v>
      </c>
      <c r="CG946">
        <v>17112.5</v>
      </c>
      <c r="CH946">
        <v>0</v>
      </c>
      <c r="CI946" t="s">
        <v>112</v>
      </c>
      <c r="CJ946" t="s">
        <v>112</v>
      </c>
      <c r="CK946">
        <v>47809.96</v>
      </c>
      <c r="CL946">
        <v>4135605</v>
      </c>
      <c r="CM946">
        <v>0</v>
      </c>
      <c r="CN946">
        <v>1</v>
      </c>
      <c r="CO946">
        <v>4492853.29</v>
      </c>
      <c r="CP946">
        <v>55471.3</v>
      </c>
      <c r="CQ946" t="s">
        <v>145</v>
      </c>
      <c r="CR946">
        <v>55444.500000000007</v>
      </c>
      <c r="CS946">
        <v>3.24</v>
      </c>
      <c r="CT946">
        <v>45</v>
      </c>
      <c r="CU946" t="s">
        <v>171</v>
      </c>
      <c r="CV946" t="s">
        <v>350</v>
      </c>
      <c r="CW946">
        <v>88</v>
      </c>
    </row>
    <row r="947" spans="1:101" x14ac:dyDescent="0.2">
      <c r="A947" t="s">
        <v>106</v>
      </c>
      <c r="B947" s="46">
        <v>45278</v>
      </c>
      <c r="C947" t="s">
        <v>782</v>
      </c>
      <c r="D947" t="s">
        <v>108</v>
      </c>
      <c r="E947" t="s">
        <v>783</v>
      </c>
      <c r="F947" t="s">
        <v>3244</v>
      </c>
      <c r="G947" t="s">
        <v>111</v>
      </c>
      <c r="H947" t="s">
        <v>112</v>
      </c>
      <c r="I947" t="s">
        <v>112</v>
      </c>
      <c r="J947" t="s">
        <v>112</v>
      </c>
      <c r="K947" t="s">
        <v>150</v>
      </c>
      <c r="L947" t="s">
        <v>151</v>
      </c>
      <c r="M947" t="s">
        <v>112</v>
      </c>
      <c r="N947" t="s">
        <v>112</v>
      </c>
      <c r="O947">
        <v>1</v>
      </c>
      <c r="P947">
        <v>0</v>
      </c>
      <c r="Q947">
        <v>1</v>
      </c>
      <c r="R947">
        <v>33</v>
      </c>
      <c r="S947" t="s">
        <v>166</v>
      </c>
      <c r="T947" t="s">
        <v>152</v>
      </c>
      <c r="U947" t="s">
        <v>153</v>
      </c>
      <c r="V947" t="s">
        <v>154</v>
      </c>
      <c r="W947" t="s">
        <v>119</v>
      </c>
      <c r="X947" t="s">
        <v>112</v>
      </c>
      <c r="Y947" t="s">
        <v>166</v>
      </c>
      <c r="Z947" t="s">
        <v>152</v>
      </c>
      <c r="AA947" t="s">
        <v>153</v>
      </c>
      <c r="AB947" t="s">
        <v>154</v>
      </c>
      <c r="AC947" t="s">
        <v>119</v>
      </c>
      <c r="AD947" t="s">
        <v>112</v>
      </c>
      <c r="AE947" t="s">
        <v>121</v>
      </c>
      <c r="AF947" t="s">
        <v>122</v>
      </c>
      <c r="AG947">
        <v>3611901.76</v>
      </c>
      <c r="AH947" t="s">
        <v>166</v>
      </c>
      <c r="AI947" t="s">
        <v>152</v>
      </c>
      <c r="AJ947" t="s">
        <v>153</v>
      </c>
      <c r="AK947" t="s">
        <v>154</v>
      </c>
      <c r="AL947" t="s">
        <v>119</v>
      </c>
      <c r="AM947" t="s">
        <v>112</v>
      </c>
      <c r="AN947" t="s">
        <v>121</v>
      </c>
      <c r="AO947" t="s">
        <v>122</v>
      </c>
      <c r="AP947" t="s">
        <v>122</v>
      </c>
      <c r="AQ947" t="s">
        <v>124</v>
      </c>
      <c r="AR947" t="s">
        <v>125</v>
      </c>
      <c r="AS947">
        <v>2</v>
      </c>
      <c r="AT947" t="s">
        <v>126</v>
      </c>
      <c r="AU947" t="s">
        <v>155</v>
      </c>
      <c r="AV947" t="s">
        <v>156</v>
      </c>
      <c r="AW947">
        <v>1</v>
      </c>
      <c r="AX947" t="s">
        <v>129</v>
      </c>
      <c r="AY947">
        <v>41075.07</v>
      </c>
      <c r="AZ947">
        <v>3266018</v>
      </c>
      <c r="BA947">
        <v>48227.37</v>
      </c>
      <c r="BB947">
        <v>79.513400000000004</v>
      </c>
      <c r="BC947" t="s">
        <v>130</v>
      </c>
      <c r="BD947" t="s">
        <v>112</v>
      </c>
      <c r="BE947" t="s">
        <v>157</v>
      </c>
      <c r="BF947" t="s">
        <v>133</v>
      </c>
      <c r="BG947" t="s">
        <v>134</v>
      </c>
      <c r="BH947" t="s">
        <v>112</v>
      </c>
      <c r="BI947" t="s">
        <v>112</v>
      </c>
      <c r="BJ947" t="s">
        <v>112</v>
      </c>
      <c r="BK947" t="s">
        <v>169</v>
      </c>
      <c r="BL947" t="s">
        <v>159</v>
      </c>
      <c r="BM947" t="s">
        <v>212</v>
      </c>
      <c r="BN947" t="s">
        <v>161</v>
      </c>
      <c r="BO947">
        <v>1</v>
      </c>
      <c r="BP947" t="s">
        <v>162</v>
      </c>
      <c r="BR947" t="s">
        <v>150</v>
      </c>
      <c r="BS947">
        <v>33</v>
      </c>
      <c r="BT947">
        <v>0</v>
      </c>
      <c r="BU947">
        <v>0</v>
      </c>
      <c r="BW947">
        <v>0</v>
      </c>
      <c r="BY947" t="s">
        <v>106</v>
      </c>
      <c r="BZ947" t="s">
        <v>142</v>
      </c>
      <c r="CA947" t="s">
        <v>112</v>
      </c>
      <c r="CB947" t="s">
        <v>112</v>
      </c>
      <c r="CC947" t="s">
        <v>121</v>
      </c>
      <c r="CD947">
        <v>16796.66</v>
      </c>
      <c r="CE947" t="s">
        <v>144</v>
      </c>
      <c r="CF947">
        <v>4000000</v>
      </c>
      <c r="CG947">
        <v>16706.66</v>
      </c>
      <c r="CH947">
        <v>0</v>
      </c>
      <c r="CI947" t="s">
        <v>112</v>
      </c>
      <c r="CJ947" t="s">
        <v>112</v>
      </c>
      <c r="CK947">
        <v>41075.07</v>
      </c>
      <c r="CL947">
        <v>3266018</v>
      </c>
      <c r="CM947">
        <v>0</v>
      </c>
      <c r="CN947">
        <v>1</v>
      </c>
      <c r="CO947">
        <v>3611901.76</v>
      </c>
      <c r="CP947">
        <v>48227.37</v>
      </c>
      <c r="CQ947" t="s">
        <v>145</v>
      </c>
      <c r="CR947">
        <v>48227.115421999995</v>
      </c>
      <c r="CS947">
        <v>2.8866999999999998</v>
      </c>
      <c r="CT947">
        <v>45</v>
      </c>
      <c r="CU947" t="s">
        <v>171</v>
      </c>
      <c r="CV947" t="s">
        <v>350</v>
      </c>
      <c r="CW947">
        <v>151</v>
      </c>
    </row>
    <row r="948" spans="1:101" x14ac:dyDescent="0.2">
      <c r="A948" t="s">
        <v>106</v>
      </c>
      <c r="B948" s="46">
        <v>45001</v>
      </c>
      <c r="C948" t="s">
        <v>780</v>
      </c>
      <c r="D948" t="s">
        <v>108</v>
      </c>
      <c r="E948" t="s">
        <v>781</v>
      </c>
      <c r="F948" t="s">
        <v>3244</v>
      </c>
      <c r="G948" t="s">
        <v>111</v>
      </c>
      <c r="H948" t="s">
        <v>112</v>
      </c>
      <c r="I948" t="s">
        <v>112</v>
      </c>
      <c r="J948" t="s">
        <v>112</v>
      </c>
      <c r="K948" t="s">
        <v>150</v>
      </c>
      <c r="L948" t="s">
        <v>151</v>
      </c>
      <c r="M948" t="s">
        <v>112</v>
      </c>
      <c r="N948" t="s">
        <v>112</v>
      </c>
      <c r="O948">
        <v>1</v>
      </c>
      <c r="P948">
        <v>0</v>
      </c>
      <c r="Q948">
        <v>1</v>
      </c>
      <c r="R948">
        <v>33</v>
      </c>
      <c r="S948" t="s">
        <v>166</v>
      </c>
      <c r="T948" t="s">
        <v>152</v>
      </c>
      <c r="U948" t="s">
        <v>153</v>
      </c>
      <c r="V948" t="s">
        <v>154</v>
      </c>
      <c r="W948" t="s">
        <v>119</v>
      </c>
      <c r="X948" t="s">
        <v>112</v>
      </c>
      <c r="Y948" t="s">
        <v>166</v>
      </c>
      <c r="Z948" t="s">
        <v>152</v>
      </c>
      <c r="AA948" t="s">
        <v>153</v>
      </c>
      <c r="AB948" t="s">
        <v>154</v>
      </c>
      <c r="AC948" t="s">
        <v>119</v>
      </c>
      <c r="AD948" t="s">
        <v>112</v>
      </c>
      <c r="AE948" t="s">
        <v>121</v>
      </c>
      <c r="AF948" t="s">
        <v>122</v>
      </c>
      <c r="AG948">
        <v>3313833.06</v>
      </c>
      <c r="AH948" t="s">
        <v>166</v>
      </c>
      <c r="AI948" t="s">
        <v>152</v>
      </c>
      <c r="AJ948" t="s">
        <v>153</v>
      </c>
      <c r="AK948" t="s">
        <v>154</v>
      </c>
      <c r="AL948" t="s">
        <v>119</v>
      </c>
      <c r="AM948" t="s">
        <v>112</v>
      </c>
      <c r="AN948" t="s">
        <v>121</v>
      </c>
      <c r="AO948" t="s">
        <v>122</v>
      </c>
      <c r="AP948" t="s">
        <v>122</v>
      </c>
      <c r="AQ948" t="s">
        <v>124</v>
      </c>
      <c r="AR948" t="s">
        <v>125</v>
      </c>
      <c r="AS948">
        <v>2</v>
      </c>
      <c r="AT948" t="s">
        <v>126</v>
      </c>
      <c r="AU948" t="s">
        <v>155</v>
      </c>
      <c r="AV948" t="s">
        <v>156</v>
      </c>
      <c r="AW948">
        <v>1</v>
      </c>
      <c r="AX948" t="s">
        <v>129</v>
      </c>
      <c r="AY948">
        <v>37326.410000000003</v>
      </c>
      <c r="AZ948">
        <v>2967950</v>
      </c>
      <c r="BA948">
        <v>44247.45</v>
      </c>
      <c r="BB948">
        <v>79.513400000000004</v>
      </c>
      <c r="BC948" t="s">
        <v>130</v>
      </c>
      <c r="BD948" t="s">
        <v>112</v>
      </c>
      <c r="BE948" t="s">
        <v>157</v>
      </c>
      <c r="BF948" t="s">
        <v>133</v>
      </c>
      <c r="BG948" t="s">
        <v>134</v>
      </c>
      <c r="BH948" t="s">
        <v>112</v>
      </c>
      <c r="BI948" t="s">
        <v>112</v>
      </c>
      <c r="BJ948" t="s">
        <v>112</v>
      </c>
      <c r="BK948" t="s">
        <v>169</v>
      </c>
      <c r="BL948" t="s">
        <v>159</v>
      </c>
      <c r="BM948" t="s">
        <v>212</v>
      </c>
      <c r="BN948" t="s">
        <v>161</v>
      </c>
      <c r="BO948">
        <v>1</v>
      </c>
      <c r="BP948" t="s">
        <v>466</v>
      </c>
      <c r="BR948" t="s">
        <v>150</v>
      </c>
      <c r="BS948">
        <v>33</v>
      </c>
      <c r="BT948">
        <v>0</v>
      </c>
      <c r="BU948">
        <v>0</v>
      </c>
      <c r="BW948">
        <v>0</v>
      </c>
      <c r="BY948" t="s">
        <v>106</v>
      </c>
      <c r="BZ948" t="s">
        <v>142</v>
      </c>
      <c r="CA948" t="s">
        <v>112</v>
      </c>
      <c r="CB948" t="s">
        <v>112</v>
      </c>
      <c r="CC948" t="s">
        <v>121</v>
      </c>
      <c r="CD948">
        <v>16141.48</v>
      </c>
      <c r="CE948" t="s">
        <v>144</v>
      </c>
      <c r="CF948">
        <v>4000000</v>
      </c>
      <c r="CG948">
        <v>16088.08</v>
      </c>
      <c r="CH948">
        <v>0</v>
      </c>
      <c r="CI948" t="s">
        <v>112</v>
      </c>
      <c r="CJ948" t="s">
        <v>112</v>
      </c>
      <c r="CK948">
        <v>37326.410000000003</v>
      </c>
      <c r="CL948">
        <v>2967950</v>
      </c>
      <c r="CM948">
        <v>0</v>
      </c>
      <c r="CN948">
        <v>1</v>
      </c>
      <c r="CO948">
        <v>3313833.06</v>
      </c>
      <c r="CP948">
        <v>44247.45</v>
      </c>
      <c r="CQ948" t="s">
        <v>145</v>
      </c>
      <c r="CR948">
        <v>44247.046424</v>
      </c>
      <c r="CS948">
        <v>2.7503000000000002</v>
      </c>
      <c r="CT948">
        <v>45</v>
      </c>
      <c r="CU948" t="s">
        <v>171</v>
      </c>
      <c r="CV948" t="s">
        <v>369</v>
      </c>
      <c r="CW948">
        <v>153</v>
      </c>
    </row>
    <row r="949" spans="1:101" x14ac:dyDescent="0.2">
      <c r="A949" t="s">
        <v>106</v>
      </c>
      <c r="B949" s="46">
        <v>44994</v>
      </c>
      <c r="C949" t="s">
        <v>788</v>
      </c>
      <c r="D949" t="s">
        <v>108</v>
      </c>
      <c r="E949" t="s">
        <v>789</v>
      </c>
      <c r="F949" t="s">
        <v>3244</v>
      </c>
      <c r="G949" t="s">
        <v>111</v>
      </c>
      <c r="H949" t="s">
        <v>112</v>
      </c>
      <c r="I949" t="s">
        <v>112</v>
      </c>
      <c r="J949" t="s">
        <v>112</v>
      </c>
      <c r="K949" t="s">
        <v>150</v>
      </c>
      <c r="L949" t="s">
        <v>151</v>
      </c>
      <c r="M949" t="s">
        <v>112</v>
      </c>
      <c r="N949" t="s">
        <v>112</v>
      </c>
      <c r="O949">
        <v>1</v>
      </c>
      <c r="P949">
        <v>0</v>
      </c>
      <c r="Q949">
        <v>1</v>
      </c>
      <c r="R949">
        <v>33</v>
      </c>
      <c r="S949" t="s">
        <v>166</v>
      </c>
      <c r="T949" t="s">
        <v>152</v>
      </c>
      <c r="U949" t="s">
        <v>153</v>
      </c>
      <c r="V949" t="s">
        <v>154</v>
      </c>
      <c r="W949" t="s">
        <v>119</v>
      </c>
      <c r="X949" t="s">
        <v>112</v>
      </c>
      <c r="Y949" t="s">
        <v>166</v>
      </c>
      <c r="Z949" t="s">
        <v>152</v>
      </c>
      <c r="AA949" t="s">
        <v>153</v>
      </c>
      <c r="AB949" t="s">
        <v>154</v>
      </c>
      <c r="AC949" t="s">
        <v>119</v>
      </c>
      <c r="AD949" t="s">
        <v>112</v>
      </c>
      <c r="AE949" t="s">
        <v>121</v>
      </c>
      <c r="AF949" t="s">
        <v>122</v>
      </c>
      <c r="AG949">
        <v>3512125.96</v>
      </c>
      <c r="AH949" t="s">
        <v>166</v>
      </c>
      <c r="AI949" t="s">
        <v>152</v>
      </c>
      <c r="AJ949" t="s">
        <v>153</v>
      </c>
      <c r="AK949" t="s">
        <v>154</v>
      </c>
      <c r="AL949" t="s">
        <v>119</v>
      </c>
      <c r="AM949" t="s">
        <v>112</v>
      </c>
      <c r="AN949" t="s">
        <v>121</v>
      </c>
      <c r="AO949" t="s">
        <v>122</v>
      </c>
      <c r="AP949" t="s">
        <v>122</v>
      </c>
      <c r="AQ949" t="s">
        <v>124</v>
      </c>
      <c r="AR949" t="s">
        <v>125</v>
      </c>
      <c r="AS949">
        <v>2</v>
      </c>
      <c r="AT949" t="s">
        <v>126</v>
      </c>
      <c r="AU949" t="s">
        <v>155</v>
      </c>
      <c r="AV949" t="s">
        <v>156</v>
      </c>
      <c r="AW949">
        <v>1</v>
      </c>
      <c r="AX949" t="s">
        <v>129</v>
      </c>
      <c r="AY949">
        <v>39820.239999999998</v>
      </c>
      <c r="AZ949">
        <v>3166243</v>
      </c>
      <c r="BA949">
        <v>46895.12</v>
      </c>
      <c r="BB949">
        <v>79.513400000000004</v>
      </c>
      <c r="BC949" t="s">
        <v>130</v>
      </c>
      <c r="BD949" t="s">
        <v>112</v>
      </c>
      <c r="BE949" t="s">
        <v>157</v>
      </c>
      <c r="BF949" t="s">
        <v>133</v>
      </c>
      <c r="BG949" t="s">
        <v>134</v>
      </c>
      <c r="BH949" t="s">
        <v>112</v>
      </c>
      <c r="BI949" t="s">
        <v>112</v>
      </c>
      <c r="BJ949" t="s">
        <v>112</v>
      </c>
      <c r="BK949" t="s">
        <v>169</v>
      </c>
      <c r="BL949" t="s">
        <v>159</v>
      </c>
      <c r="BM949" t="s">
        <v>212</v>
      </c>
      <c r="BN949" t="s">
        <v>161</v>
      </c>
      <c r="BO949">
        <v>1</v>
      </c>
      <c r="BP949" t="s">
        <v>205</v>
      </c>
      <c r="BR949" t="s">
        <v>150</v>
      </c>
      <c r="BS949">
        <v>33</v>
      </c>
      <c r="BT949">
        <v>0</v>
      </c>
      <c r="BU949">
        <v>0</v>
      </c>
      <c r="BW949">
        <v>0</v>
      </c>
      <c r="BY949" t="s">
        <v>106</v>
      </c>
      <c r="BZ949" t="s">
        <v>142</v>
      </c>
      <c r="CA949" t="s">
        <v>112</v>
      </c>
      <c r="CB949" t="s">
        <v>112</v>
      </c>
      <c r="CC949" t="s">
        <v>121</v>
      </c>
      <c r="CD949">
        <v>16602.8</v>
      </c>
      <c r="CE949" t="s">
        <v>144</v>
      </c>
      <c r="CF949">
        <v>4000000</v>
      </c>
      <c r="CG949">
        <v>16462.46</v>
      </c>
      <c r="CH949">
        <v>0</v>
      </c>
      <c r="CI949" t="s">
        <v>112</v>
      </c>
      <c r="CJ949" t="s">
        <v>112</v>
      </c>
      <c r="CK949">
        <v>39820.239999999998</v>
      </c>
      <c r="CL949">
        <v>3166243</v>
      </c>
      <c r="CM949">
        <v>0</v>
      </c>
      <c r="CN949">
        <v>1</v>
      </c>
      <c r="CO949">
        <v>3512125.96</v>
      </c>
      <c r="CP949">
        <v>46895.12</v>
      </c>
      <c r="CQ949" t="s">
        <v>145</v>
      </c>
      <c r="CR949">
        <v>46894.963555999995</v>
      </c>
      <c r="CS949">
        <v>2.8485999999999998</v>
      </c>
      <c r="CT949">
        <v>45</v>
      </c>
      <c r="CU949" t="s">
        <v>171</v>
      </c>
      <c r="CV949" t="s">
        <v>463</v>
      </c>
      <c r="CW949">
        <v>551</v>
      </c>
    </row>
    <row r="950" spans="1:101" x14ac:dyDescent="0.2">
      <c r="A950" t="s">
        <v>106</v>
      </c>
      <c r="B950" s="46">
        <v>45138</v>
      </c>
      <c r="C950" t="s">
        <v>764</v>
      </c>
      <c r="D950" t="s">
        <v>108</v>
      </c>
      <c r="E950" t="s">
        <v>765</v>
      </c>
      <c r="F950" t="s">
        <v>3244</v>
      </c>
      <c r="G950" t="s">
        <v>111</v>
      </c>
      <c r="H950" t="s">
        <v>112</v>
      </c>
      <c r="I950" t="s">
        <v>112</v>
      </c>
      <c r="J950" t="s">
        <v>112</v>
      </c>
      <c r="K950" t="s">
        <v>150</v>
      </c>
      <c r="L950" t="s">
        <v>151</v>
      </c>
      <c r="M950" t="s">
        <v>112</v>
      </c>
      <c r="N950" t="s">
        <v>112</v>
      </c>
      <c r="O950">
        <v>1</v>
      </c>
      <c r="P950">
        <v>0</v>
      </c>
      <c r="Q950">
        <v>1</v>
      </c>
      <c r="R950">
        <v>33</v>
      </c>
      <c r="S950" t="s">
        <v>166</v>
      </c>
      <c r="T950" t="s">
        <v>152</v>
      </c>
      <c r="U950" t="s">
        <v>153</v>
      </c>
      <c r="V950" t="s">
        <v>154</v>
      </c>
      <c r="W950" t="s">
        <v>119</v>
      </c>
      <c r="X950" t="s">
        <v>112</v>
      </c>
      <c r="Y950" t="s">
        <v>166</v>
      </c>
      <c r="Z950" t="s">
        <v>152</v>
      </c>
      <c r="AA950" t="s">
        <v>153</v>
      </c>
      <c r="AB950" t="s">
        <v>154</v>
      </c>
      <c r="AC950" t="s">
        <v>119</v>
      </c>
      <c r="AD950" t="s">
        <v>112</v>
      </c>
      <c r="AE950" t="s">
        <v>121</v>
      </c>
      <c r="AF950" t="s">
        <v>122</v>
      </c>
      <c r="AG950">
        <v>3787865.71</v>
      </c>
      <c r="AH950" t="s">
        <v>166</v>
      </c>
      <c r="AI950" t="s">
        <v>152</v>
      </c>
      <c r="AJ950" t="s">
        <v>153</v>
      </c>
      <c r="AK950" t="s">
        <v>154</v>
      </c>
      <c r="AL950" t="s">
        <v>119</v>
      </c>
      <c r="AM950" t="s">
        <v>112</v>
      </c>
      <c r="AN950" t="s">
        <v>121</v>
      </c>
      <c r="AO950" t="s">
        <v>122</v>
      </c>
      <c r="AP950" t="s">
        <v>122</v>
      </c>
      <c r="AQ950" t="s">
        <v>124</v>
      </c>
      <c r="AR950" t="s">
        <v>125</v>
      </c>
      <c r="AS950">
        <v>2</v>
      </c>
      <c r="AT950" t="s">
        <v>126</v>
      </c>
      <c r="AU950" t="s">
        <v>155</v>
      </c>
      <c r="AV950" t="s">
        <v>156</v>
      </c>
      <c r="AW950">
        <v>1</v>
      </c>
      <c r="AX950" t="s">
        <v>129</v>
      </c>
      <c r="AY950">
        <v>43288.08</v>
      </c>
      <c r="AZ950">
        <v>3441982</v>
      </c>
      <c r="BA950">
        <v>50576.9</v>
      </c>
      <c r="BB950">
        <v>79.513400000000004</v>
      </c>
      <c r="BC950" t="s">
        <v>130</v>
      </c>
      <c r="BD950" t="s">
        <v>112</v>
      </c>
      <c r="BE950" t="s">
        <v>157</v>
      </c>
      <c r="BF950" t="s">
        <v>133</v>
      </c>
      <c r="BG950" t="s">
        <v>134</v>
      </c>
      <c r="BH950" t="s">
        <v>112</v>
      </c>
      <c r="BI950" t="s">
        <v>112</v>
      </c>
      <c r="BJ950" t="s">
        <v>112</v>
      </c>
      <c r="BK950" t="s">
        <v>169</v>
      </c>
      <c r="BL950" t="s">
        <v>159</v>
      </c>
      <c r="BM950" t="s">
        <v>212</v>
      </c>
      <c r="BN950" t="s">
        <v>161</v>
      </c>
      <c r="BO950">
        <v>1</v>
      </c>
      <c r="BP950" t="s">
        <v>162</v>
      </c>
      <c r="BR950" t="s">
        <v>150</v>
      </c>
      <c r="BS950">
        <v>33</v>
      </c>
      <c r="BT950">
        <v>0</v>
      </c>
      <c r="BU950">
        <v>0</v>
      </c>
      <c r="BW950">
        <v>0</v>
      </c>
      <c r="BY950" t="s">
        <v>106</v>
      </c>
      <c r="BZ950" t="s">
        <v>142</v>
      </c>
      <c r="CA950" t="s">
        <v>112</v>
      </c>
      <c r="CB950" t="s">
        <v>112</v>
      </c>
      <c r="CC950" t="s">
        <v>121</v>
      </c>
      <c r="CD950">
        <v>16606.64</v>
      </c>
      <c r="CE950" t="s">
        <v>144</v>
      </c>
      <c r="CF950">
        <v>4000000</v>
      </c>
      <c r="CG950">
        <v>16480.64</v>
      </c>
      <c r="CH950">
        <v>0</v>
      </c>
      <c r="CI950" t="s">
        <v>112</v>
      </c>
      <c r="CJ950" t="s">
        <v>112</v>
      </c>
      <c r="CK950">
        <v>43288.08</v>
      </c>
      <c r="CL950">
        <v>3441982</v>
      </c>
      <c r="CM950">
        <v>0</v>
      </c>
      <c r="CN950">
        <v>1</v>
      </c>
      <c r="CO950">
        <v>3787865.71</v>
      </c>
      <c r="CP950">
        <v>50576.9</v>
      </c>
      <c r="CQ950" t="s">
        <v>145</v>
      </c>
      <c r="CR950">
        <v>50577.436095999998</v>
      </c>
      <c r="CS950">
        <v>3.0689000000000002</v>
      </c>
      <c r="CT950">
        <v>45</v>
      </c>
      <c r="CU950" t="s">
        <v>171</v>
      </c>
      <c r="CV950" t="s">
        <v>350</v>
      </c>
      <c r="CW950">
        <v>236</v>
      </c>
    </row>
    <row r="951" spans="1:101" x14ac:dyDescent="0.2">
      <c r="A951" t="s">
        <v>106</v>
      </c>
      <c r="B951" s="46">
        <v>45087</v>
      </c>
      <c r="C951" t="s">
        <v>773</v>
      </c>
      <c r="D951" t="s">
        <v>108</v>
      </c>
      <c r="E951" t="s">
        <v>774</v>
      </c>
      <c r="F951" t="s">
        <v>3244</v>
      </c>
      <c r="G951" t="s">
        <v>111</v>
      </c>
      <c r="H951" t="s">
        <v>112</v>
      </c>
      <c r="I951" t="s">
        <v>112</v>
      </c>
      <c r="J951" t="s">
        <v>112</v>
      </c>
      <c r="K951" t="s">
        <v>150</v>
      </c>
      <c r="L951" t="s">
        <v>151</v>
      </c>
      <c r="M951" t="s">
        <v>112</v>
      </c>
      <c r="N951" t="s">
        <v>112</v>
      </c>
      <c r="O951">
        <v>1</v>
      </c>
      <c r="P951">
        <v>0</v>
      </c>
      <c r="Q951">
        <v>1</v>
      </c>
      <c r="R951">
        <v>33</v>
      </c>
      <c r="S951" t="s">
        <v>166</v>
      </c>
      <c r="T951" t="s">
        <v>152</v>
      </c>
      <c r="U951" t="s">
        <v>153</v>
      </c>
      <c r="V951" t="s">
        <v>154</v>
      </c>
      <c r="W951" t="s">
        <v>119</v>
      </c>
      <c r="X951" t="s">
        <v>112</v>
      </c>
      <c r="Y951" t="s">
        <v>166</v>
      </c>
      <c r="Z951" t="s">
        <v>152</v>
      </c>
      <c r="AA951" t="s">
        <v>153</v>
      </c>
      <c r="AB951" t="s">
        <v>154</v>
      </c>
      <c r="AC951" t="s">
        <v>119</v>
      </c>
      <c r="AD951" t="s">
        <v>112</v>
      </c>
      <c r="AE951" t="s">
        <v>121</v>
      </c>
      <c r="AF951" t="s">
        <v>122</v>
      </c>
      <c r="AG951">
        <v>3633708.31</v>
      </c>
      <c r="AH951" t="s">
        <v>166</v>
      </c>
      <c r="AI951" t="s">
        <v>152</v>
      </c>
      <c r="AJ951" t="s">
        <v>153</v>
      </c>
      <c r="AK951" t="s">
        <v>154</v>
      </c>
      <c r="AL951" t="s">
        <v>119</v>
      </c>
      <c r="AM951" t="s">
        <v>112</v>
      </c>
      <c r="AN951" t="s">
        <v>121</v>
      </c>
      <c r="AO951" t="s">
        <v>122</v>
      </c>
      <c r="AP951" t="s">
        <v>122</v>
      </c>
      <c r="AQ951" t="s">
        <v>124</v>
      </c>
      <c r="AR951" t="s">
        <v>125</v>
      </c>
      <c r="AS951">
        <v>2</v>
      </c>
      <c r="AT951" t="s">
        <v>126</v>
      </c>
      <c r="AU951" t="s">
        <v>155</v>
      </c>
      <c r="AV951" t="s">
        <v>156</v>
      </c>
      <c r="AW951">
        <v>1</v>
      </c>
      <c r="AX951" t="s">
        <v>129</v>
      </c>
      <c r="AY951">
        <v>41349.32</v>
      </c>
      <c r="AZ951">
        <v>3287825</v>
      </c>
      <c r="BA951">
        <v>48518.53</v>
      </c>
      <c r="BB951">
        <v>79.513400000000004</v>
      </c>
      <c r="BC951" t="s">
        <v>130</v>
      </c>
      <c r="BD951" t="s">
        <v>112</v>
      </c>
      <c r="BE951" t="s">
        <v>157</v>
      </c>
      <c r="BF951" t="s">
        <v>133</v>
      </c>
      <c r="BG951" t="s">
        <v>167</v>
      </c>
      <c r="BH951" t="s">
        <v>168</v>
      </c>
      <c r="BI951" t="s">
        <v>112</v>
      </c>
      <c r="BJ951" t="s">
        <v>112</v>
      </c>
      <c r="BK951" t="s">
        <v>169</v>
      </c>
      <c r="BL951" t="s">
        <v>159</v>
      </c>
      <c r="BM951" t="s">
        <v>160</v>
      </c>
      <c r="BN951" t="s">
        <v>161</v>
      </c>
      <c r="BO951">
        <v>1</v>
      </c>
      <c r="BP951" t="s">
        <v>775</v>
      </c>
      <c r="BR951" t="s">
        <v>150</v>
      </c>
      <c r="BS951">
        <v>33</v>
      </c>
      <c r="BT951">
        <v>0</v>
      </c>
      <c r="BU951">
        <v>0</v>
      </c>
      <c r="BW951">
        <v>0</v>
      </c>
      <c r="BY951" t="s">
        <v>106</v>
      </c>
      <c r="BZ951" t="s">
        <v>142</v>
      </c>
      <c r="CA951" t="s">
        <v>112</v>
      </c>
      <c r="CB951" t="s">
        <v>112</v>
      </c>
      <c r="CC951" t="s">
        <v>121</v>
      </c>
      <c r="CD951">
        <v>16964.77</v>
      </c>
      <c r="CE951" t="s">
        <v>144</v>
      </c>
      <c r="CF951">
        <v>4000000</v>
      </c>
      <c r="CG951">
        <v>16929.38</v>
      </c>
      <c r="CH951">
        <v>0</v>
      </c>
      <c r="CI951" t="s">
        <v>112</v>
      </c>
      <c r="CJ951" t="s">
        <v>112</v>
      </c>
      <c r="CK951">
        <v>41349.32</v>
      </c>
      <c r="CL951">
        <v>3287825</v>
      </c>
      <c r="CM951">
        <v>0</v>
      </c>
      <c r="CN951">
        <v>1</v>
      </c>
      <c r="CO951">
        <v>3633708.31</v>
      </c>
      <c r="CP951">
        <v>48518.53</v>
      </c>
      <c r="CQ951" t="s">
        <v>145</v>
      </c>
      <c r="CR951">
        <v>48517.910142000001</v>
      </c>
      <c r="CS951">
        <v>2.8658999999999999</v>
      </c>
      <c r="CT951">
        <v>45</v>
      </c>
      <c r="CU951" t="s">
        <v>171</v>
      </c>
      <c r="CV951" t="s">
        <v>369</v>
      </c>
      <c r="CW951">
        <v>238</v>
      </c>
    </row>
    <row r="952" spans="1:101" x14ac:dyDescent="0.2">
      <c r="A952" t="s">
        <v>106</v>
      </c>
      <c r="B952" s="46">
        <v>45092</v>
      </c>
      <c r="C952" t="s">
        <v>786</v>
      </c>
      <c r="D952" t="s">
        <v>108</v>
      </c>
      <c r="E952" t="s">
        <v>787</v>
      </c>
      <c r="F952" t="s">
        <v>3244</v>
      </c>
      <c r="G952" t="s">
        <v>111</v>
      </c>
      <c r="H952" t="s">
        <v>112</v>
      </c>
      <c r="I952" t="s">
        <v>112</v>
      </c>
      <c r="J952" t="s">
        <v>112</v>
      </c>
      <c r="K952" t="s">
        <v>150</v>
      </c>
      <c r="L952" t="s">
        <v>151</v>
      </c>
      <c r="M952" t="s">
        <v>112</v>
      </c>
      <c r="N952" t="s">
        <v>112</v>
      </c>
      <c r="O952">
        <v>1</v>
      </c>
      <c r="P952">
        <v>0</v>
      </c>
      <c r="Q952">
        <v>1</v>
      </c>
      <c r="R952">
        <v>33</v>
      </c>
      <c r="S952" t="s">
        <v>166</v>
      </c>
      <c r="T952" t="s">
        <v>152</v>
      </c>
      <c r="U952" t="s">
        <v>153</v>
      </c>
      <c r="V952" t="s">
        <v>154</v>
      </c>
      <c r="W952" t="s">
        <v>119</v>
      </c>
      <c r="X952" t="s">
        <v>112</v>
      </c>
      <c r="Y952" t="s">
        <v>166</v>
      </c>
      <c r="Z952" t="s">
        <v>152</v>
      </c>
      <c r="AA952" t="s">
        <v>153</v>
      </c>
      <c r="AB952" t="s">
        <v>154</v>
      </c>
      <c r="AC952" t="s">
        <v>119</v>
      </c>
      <c r="AD952" t="s">
        <v>112</v>
      </c>
      <c r="AE952" t="s">
        <v>121</v>
      </c>
      <c r="AF952" t="s">
        <v>122</v>
      </c>
      <c r="AG952">
        <v>3416420.45</v>
      </c>
      <c r="AH952" t="s">
        <v>166</v>
      </c>
      <c r="AI952" t="s">
        <v>152</v>
      </c>
      <c r="AJ952" t="s">
        <v>153</v>
      </c>
      <c r="AK952" t="s">
        <v>154</v>
      </c>
      <c r="AL952" t="s">
        <v>119</v>
      </c>
      <c r="AM952" t="s">
        <v>112</v>
      </c>
      <c r="AN952" t="s">
        <v>121</v>
      </c>
      <c r="AO952" t="s">
        <v>122</v>
      </c>
      <c r="AP952" t="s">
        <v>122</v>
      </c>
      <c r="AQ952" t="s">
        <v>124</v>
      </c>
      <c r="AR952" t="s">
        <v>125</v>
      </c>
      <c r="AS952">
        <v>2</v>
      </c>
      <c r="AT952" t="s">
        <v>126</v>
      </c>
      <c r="AU952" t="s">
        <v>155</v>
      </c>
      <c r="AV952" t="s">
        <v>156</v>
      </c>
      <c r="AW952">
        <v>1</v>
      </c>
      <c r="AX952" t="s">
        <v>129</v>
      </c>
      <c r="AY952">
        <v>38616.6</v>
      </c>
      <c r="AZ952">
        <v>3070537</v>
      </c>
      <c r="BA952">
        <v>45617.23</v>
      </c>
      <c r="BB952">
        <v>79.513400000000004</v>
      </c>
      <c r="BC952" t="s">
        <v>130</v>
      </c>
      <c r="BD952" t="s">
        <v>112</v>
      </c>
      <c r="BE952" t="s">
        <v>157</v>
      </c>
      <c r="BF952" t="s">
        <v>133</v>
      </c>
      <c r="BG952" t="s">
        <v>167</v>
      </c>
      <c r="BH952" t="s">
        <v>168</v>
      </c>
      <c r="BI952" t="s">
        <v>112</v>
      </c>
      <c r="BJ952" t="s">
        <v>112</v>
      </c>
      <c r="BK952" t="s">
        <v>169</v>
      </c>
      <c r="BL952" t="s">
        <v>159</v>
      </c>
      <c r="BM952" t="s">
        <v>160</v>
      </c>
      <c r="BN952" t="s">
        <v>161</v>
      </c>
      <c r="BO952">
        <v>1</v>
      </c>
      <c r="BP952" t="s">
        <v>232</v>
      </c>
      <c r="BR952" t="s">
        <v>150</v>
      </c>
      <c r="BS952">
        <v>33</v>
      </c>
      <c r="BT952">
        <v>0</v>
      </c>
      <c r="BU952">
        <v>0</v>
      </c>
      <c r="BW952">
        <v>0</v>
      </c>
      <c r="BY952" t="s">
        <v>106</v>
      </c>
      <c r="BZ952" t="s">
        <v>142</v>
      </c>
      <c r="CA952" t="s">
        <v>112</v>
      </c>
      <c r="CB952" t="s">
        <v>112</v>
      </c>
      <c r="CC952" t="s">
        <v>121</v>
      </c>
      <c r="CD952">
        <v>16885.439999999999</v>
      </c>
      <c r="CE952" t="s">
        <v>144</v>
      </c>
      <c r="CF952">
        <v>4000000</v>
      </c>
      <c r="CG952">
        <v>16885.439999999999</v>
      </c>
      <c r="CH952">
        <v>0</v>
      </c>
      <c r="CI952" t="s">
        <v>112</v>
      </c>
      <c r="CJ952" t="s">
        <v>112</v>
      </c>
      <c r="CK952">
        <v>38616.6</v>
      </c>
      <c r="CL952">
        <v>3070537</v>
      </c>
      <c r="CM952">
        <v>0</v>
      </c>
      <c r="CN952">
        <v>1</v>
      </c>
      <c r="CO952">
        <v>3416420.45</v>
      </c>
      <c r="CP952">
        <v>45617.23</v>
      </c>
      <c r="CQ952" t="s">
        <v>145</v>
      </c>
      <c r="CR952">
        <v>45617.704703999996</v>
      </c>
      <c r="CS952">
        <v>2.7016</v>
      </c>
      <c r="CT952">
        <v>45</v>
      </c>
      <c r="CU952" t="s">
        <v>171</v>
      </c>
      <c r="CV952" t="s">
        <v>463</v>
      </c>
      <c r="CW952">
        <v>69</v>
      </c>
    </row>
    <row r="953" spans="1:101" x14ac:dyDescent="0.2">
      <c r="A953" t="s">
        <v>106</v>
      </c>
      <c r="B953" s="46">
        <v>45191</v>
      </c>
      <c r="C953" t="s">
        <v>766</v>
      </c>
      <c r="D953" t="s">
        <v>108</v>
      </c>
      <c r="E953" t="s">
        <v>767</v>
      </c>
      <c r="F953" t="s">
        <v>3244</v>
      </c>
      <c r="G953" t="s">
        <v>111</v>
      </c>
      <c r="H953" t="s">
        <v>112</v>
      </c>
      <c r="I953" t="s">
        <v>112</v>
      </c>
      <c r="J953" t="s">
        <v>112</v>
      </c>
      <c r="K953" t="s">
        <v>150</v>
      </c>
      <c r="L953" t="s">
        <v>151</v>
      </c>
      <c r="M953" t="s">
        <v>112</v>
      </c>
      <c r="N953" t="s">
        <v>112</v>
      </c>
      <c r="O953">
        <v>1</v>
      </c>
      <c r="P953">
        <v>0</v>
      </c>
      <c r="Q953">
        <v>1</v>
      </c>
      <c r="R953">
        <v>33</v>
      </c>
      <c r="S953" t="s">
        <v>166</v>
      </c>
      <c r="T953" t="s">
        <v>152</v>
      </c>
      <c r="U953" t="s">
        <v>153</v>
      </c>
      <c r="V953" t="s">
        <v>154</v>
      </c>
      <c r="W953" t="s">
        <v>119</v>
      </c>
      <c r="X953" t="s">
        <v>112</v>
      </c>
      <c r="Y953" t="s">
        <v>166</v>
      </c>
      <c r="Z953" t="s">
        <v>152</v>
      </c>
      <c r="AA953" t="s">
        <v>153</v>
      </c>
      <c r="AB953" t="s">
        <v>154</v>
      </c>
      <c r="AC953" t="s">
        <v>119</v>
      </c>
      <c r="AD953" t="s">
        <v>112</v>
      </c>
      <c r="AE953" t="s">
        <v>121</v>
      </c>
      <c r="AF953" t="s">
        <v>122</v>
      </c>
      <c r="AG953">
        <v>3925525.67</v>
      </c>
      <c r="AH953" t="s">
        <v>166</v>
      </c>
      <c r="AI953" t="s">
        <v>152</v>
      </c>
      <c r="AJ953" t="s">
        <v>153</v>
      </c>
      <c r="AK953" t="s">
        <v>154</v>
      </c>
      <c r="AL953" t="s">
        <v>119</v>
      </c>
      <c r="AM953" t="s">
        <v>112</v>
      </c>
      <c r="AN953" t="s">
        <v>121</v>
      </c>
      <c r="AO953" t="s">
        <v>122</v>
      </c>
      <c r="AP953" t="s">
        <v>122</v>
      </c>
      <c r="AQ953" t="s">
        <v>124</v>
      </c>
      <c r="AR953" t="s">
        <v>125</v>
      </c>
      <c r="AS953">
        <v>2</v>
      </c>
      <c r="AT953" t="s">
        <v>126</v>
      </c>
      <c r="AU953" t="s">
        <v>155</v>
      </c>
      <c r="AV953" t="s">
        <v>156</v>
      </c>
      <c r="AW953">
        <v>1</v>
      </c>
      <c r="AX953" t="s">
        <v>129</v>
      </c>
      <c r="AY953">
        <v>45019.360000000001</v>
      </c>
      <c r="AZ953">
        <v>3579642</v>
      </c>
      <c r="BA953">
        <v>52414.98</v>
      </c>
      <c r="BB953">
        <v>79.513400000000004</v>
      </c>
      <c r="BC953" t="s">
        <v>130</v>
      </c>
      <c r="BD953" t="s">
        <v>112</v>
      </c>
      <c r="BE953" t="s">
        <v>157</v>
      </c>
      <c r="BF953" t="s">
        <v>133</v>
      </c>
      <c r="BG953" t="s">
        <v>167</v>
      </c>
      <c r="BH953" t="s">
        <v>168</v>
      </c>
      <c r="BI953" t="s">
        <v>112</v>
      </c>
      <c r="BJ953" t="s">
        <v>112</v>
      </c>
      <c r="BK953" t="s">
        <v>169</v>
      </c>
      <c r="BL953" t="s">
        <v>159</v>
      </c>
      <c r="BM953" t="s">
        <v>160</v>
      </c>
      <c r="BN953" t="s">
        <v>161</v>
      </c>
      <c r="BO953">
        <v>1</v>
      </c>
      <c r="BP953" t="s">
        <v>466</v>
      </c>
      <c r="BR953" t="s">
        <v>150</v>
      </c>
      <c r="BS953">
        <v>33</v>
      </c>
      <c r="BT953">
        <v>0</v>
      </c>
      <c r="BU953">
        <v>0</v>
      </c>
      <c r="BW953">
        <v>0</v>
      </c>
      <c r="BY953" t="s">
        <v>106</v>
      </c>
      <c r="BZ953" t="s">
        <v>142</v>
      </c>
      <c r="CA953" t="s">
        <v>112</v>
      </c>
      <c r="CB953" t="s">
        <v>112</v>
      </c>
      <c r="CC953" t="s">
        <v>121</v>
      </c>
      <c r="CD953">
        <v>15687.93</v>
      </c>
      <c r="CE953" t="s">
        <v>144</v>
      </c>
      <c r="CF953">
        <v>4000000</v>
      </c>
      <c r="CG953">
        <v>15525.93</v>
      </c>
      <c r="CH953">
        <v>0</v>
      </c>
      <c r="CI953" t="s">
        <v>112</v>
      </c>
      <c r="CJ953" t="s">
        <v>112</v>
      </c>
      <c r="CK953">
        <v>45019.360000000001</v>
      </c>
      <c r="CL953">
        <v>3579642</v>
      </c>
      <c r="CM953">
        <v>0</v>
      </c>
      <c r="CN953">
        <v>1</v>
      </c>
      <c r="CO953">
        <v>3925525.67</v>
      </c>
      <c r="CP953">
        <v>52414.98</v>
      </c>
      <c r="CQ953" t="s">
        <v>145</v>
      </c>
      <c r="CR953">
        <v>52415.539680000002</v>
      </c>
      <c r="CS953">
        <v>3.3759999999999999</v>
      </c>
      <c r="CT953">
        <v>45</v>
      </c>
      <c r="CU953" t="s">
        <v>171</v>
      </c>
      <c r="CV953" t="s">
        <v>369</v>
      </c>
      <c r="CW953">
        <v>153</v>
      </c>
    </row>
    <row r="954" spans="1:101" x14ac:dyDescent="0.2">
      <c r="A954" t="s">
        <v>106</v>
      </c>
      <c r="B954" s="46">
        <v>44609</v>
      </c>
      <c r="C954" t="s">
        <v>505</v>
      </c>
      <c r="D954" t="s">
        <v>108</v>
      </c>
      <c r="E954" t="s">
        <v>506</v>
      </c>
      <c r="F954" t="s">
        <v>3244</v>
      </c>
      <c r="G954" t="s">
        <v>111</v>
      </c>
      <c r="H954" t="s">
        <v>112</v>
      </c>
      <c r="I954" t="s">
        <v>112</v>
      </c>
      <c r="J954" t="s">
        <v>112</v>
      </c>
      <c r="K954" t="s">
        <v>113</v>
      </c>
      <c r="L954" t="s">
        <v>507</v>
      </c>
      <c r="M954" t="s">
        <v>112</v>
      </c>
      <c r="N954" t="s">
        <v>112</v>
      </c>
      <c r="O954">
        <v>1</v>
      </c>
      <c r="P954">
        <v>0</v>
      </c>
      <c r="Q954">
        <v>1</v>
      </c>
      <c r="R954">
        <v>33</v>
      </c>
      <c r="S954" t="s">
        <v>115</v>
      </c>
      <c r="T954" t="s">
        <v>116</v>
      </c>
      <c r="U954" t="s">
        <v>117</v>
      </c>
      <c r="V954" t="s">
        <v>118</v>
      </c>
      <c r="W954" t="s">
        <v>119</v>
      </c>
      <c r="X954" t="s">
        <v>120</v>
      </c>
      <c r="Y954" t="s">
        <v>115</v>
      </c>
      <c r="Z954" t="s">
        <v>116</v>
      </c>
      <c r="AA954" t="s">
        <v>117</v>
      </c>
      <c r="AB954" t="s">
        <v>118</v>
      </c>
      <c r="AC954" t="s">
        <v>119</v>
      </c>
      <c r="AD954" t="s">
        <v>120</v>
      </c>
      <c r="AE954" t="s">
        <v>121</v>
      </c>
      <c r="AF954" t="s">
        <v>122</v>
      </c>
      <c r="AG954">
        <v>3576822.36</v>
      </c>
      <c r="AH954" t="s">
        <v>115</v>
      </c>
      <c r="AI954" t="s">
        <v>116</v>
      </c>
      <c r="AJ954" t="s">
        <v>117</v>
      </c>
      <c r="AK954" t="s">
        <v>118</v>
      </c>
      <c r="AL954" t="s">
        <v>119</v>
      </c>
      <c r="AM954" t="s">
        <v>120</v>
      </c>
      <c r="AN954" t="s">
        <v>121</v>
      </c>
      <c r="AO954" t="s">
        <v>122</v>
      </c>
      <c r="AP954" t="s">
        <v>123</v>
      </c>
      <c r="AQ954" t="s">
        <v>124</v>
      </c>
      <c r="AR954" t="s">
        <v>125</v>
      </c>
      <c r="AS954">
        <v>2</v>
      </c>
      <c r="AT954" t="s">
        <v>126</v>
      </c>
      <c r="AU954" t="s">
        <v>127</v>
      </c>
      <c r="AV954" t="s">
        <v>128</v>
      </c>
      <c r="AW954">
        <v>1</v>
      </c>
      <c r="AX954" t="s">
        <v>129</v>
      </c>
      <c r="AY954">
        <v>43862.16</v>
      </c>
      <c r="AZ954">
        <v>3346700</v>
      </c>
      <c r="BA954">
        <v>50722.55</v>
      </c>
      <c r="BB954">
        <v>76.300399999999996</v>
      </c>
      <c r="BC954" t="s">
        <v>130</v>
      </c>
      <c r="BD954" t="s">
        <v>131</v>
      </c>
      <c r="BE954" t="s">
        <v>132</v>
      </c>
      <c r="BF954" t="s">
        <v>133</v>
      </c>
      <c r="BG954" t="s">
        <v>134</v>
      </c>
      <c r="BH954" t="s">
        <v>112</v>
      </c>
      <c r="BI954" t="s">
        <v>135</v>
      </c>
      <c r="BJ954" t="s">
        <v>112</v>
      </c>
      <c r="BK954" t="s">
        <v>136</v>
      </c>
      <c r="BL954" t="s">
        <v>137</v>
      </c>
      <c r="BM954" t="s">
        <v>138</v>
      </c>
      <c r="BN954" t="s">
        <v>139</v>
      </c>
      <c r="BO954">
        <v>1</v>
      </c>
      <c r="BP954" t="s">
        <v>508</v>
      </c>
      <c r="BR954" t="s">
        <v>141</v>
      </c>
      <c r="BS954">
        <v>33</v>
      </c>
      <c r="BT954">
        <v>0</v>
      </c>
      <c r="BU954">
        <v>0</v>
      </c>
      <c r="BW954">
        <v>0</v>
      </c>
      <c r="BY954" t="s">
        <v>106</v>
      </c>
      <c r="BZ954" t="s">
        <v>142</v>
      </c>
      <c r="CA954" t="s">
        <v>112</v>
      </c>
      <c r="CB954" t="s">
        <v>112</v>
      </c>
      <c r="CC954" t="s">
        <v>143</v>
      </c>
      <c r="CD954">
        <v>15670.8</v>
      </c>
      <c r="CE954" t="s">
        <v>144</v>
      </c>
      <c r="CF954">
        <v>4000000</v>
      </c>
      <c r="CG954">
        <v>15612.24</v>
      </c>
      <c r="CH954">
        <v>0</v>
      </c>
      <c r="CI954" t="s">
        <v>112</v>
      </c>
      <c r="CJ954" t="s">
        <v>112</v>
      </c>
      <c r="CK954">
        <v>43862.16</v>
      </c>
      <c r="CL954">
        <v>3346700</v>
      </c>
      <c r="CM954">
        <v>0</v>
      </c>
      <c r="CN954">
        <v>1</v>
      </c>
      <c r="CO954">
        <v>3576822.36</v>
      </c>
      <c r="CP954">
        <v>50722.55</v>
      </c>
      <c r="CQ954" t="s">
        <v>145</v>
      </c>
      <c r="CR954">
        <v>50722.606535999999</v>
      </c>
      <c r="CS954">
        <v>3.2488999999999999</v>
      </c>
      <c r="CT954">
        <v>941</v>
      </c>
      <c r="CU954" t="s">
        <v>146</v>
      </c>
      <c r="CV954" t="s">
        <v>147</v>
      </c>
      <c r="CW954">
        <v>547</v>
      </c>
    </row>
    <row r="955" spans="1:101" x14ac:dyDescent="0.2">
      <c r="A955" t="s">
        <v>106</v>
      </c>
      <c r="B955" s="46">
        <v>44647</v>
      </c>
      <c r="C955" t="s">
        <v>488</v>
      </c>
      <c r="D955" t="s">
        <v>108</v>
      </c>
      <c r="E955" t="s">
        <v>489</v>
      </c>
      <c r="F955" t="s">
        <v>3244</v>
      </c>
      <c r="G955" t="s">
        <v>111</v>
      </c>
      <c r="H955" t="s">
        <v>112</v>
      </c>
      <c r="I955" t="s">
        <v>112</v>
      </c>
      <c r="J955" t="s">
        <v>112</v>
      </c>
      <c r="K955" t="s">
        <v>150</v>
      </c>
      <c r="L955" t="s">
        <v>151</v>
      </c>
      <c r="M955" t="s">
        <v>112</v>
      </c>
      <c r="N955" t="s">
        <v>112</v>
      </c>
      <c r="O955">
        <v>1</v>
      </c>
      <c r="P955">
        <v>0</v>
      </c>
      <c r="Q955">
        <v>1</v>
      </c>
      <c r="R955">
        <v>33</v>
      </c>
      <c r="S955" t="s">
        <v>166</v>
      </c>
      <c r="T955" t="s">
        <v>152</v>
      </c>
      <c r="U955" t="s">
        <v>153</v>
      </c>
      <c r="V955" t="s">
        <v>154</v>
      </c>
      <c r="W955" t="s">
        <v>119</v>
      </c>
      <c r="X955" t="s">
        <v>112</v>
      </c>
      <c r="Y955" t="s">
        <v>166</v>
      </c>
      <c r="Z955" t="s">
        <v>152</v>
      </c>
      <c r="AA955" t="s">
        <v>153</v>
      </c>
      <c r="AB955" t="s">
        <v>154</v>
      </c>
      <c r="AC955" t="s">
        <v>119</v>
      </c>
      <c r="AD955" t="s">
        <v>112</v>
      </c>
      <c r="AE955" t="s">
        <v>121</v>
      </c>
      <c r="AF955" t="s">
        <v>122</v>
      </c>
      <c r="AG955">
        <v>3549949.36</v>
      </c>
      <c r="AH955" t="s">
        <v>166</v>
      </c>
      <c r="AI955" t="s">
        <v>152</v>
      </c>
      <c r="AJ955" t="s">
        <v>153</v>
      </c>
      <c r="AK955" t="s">
        <v>154</v>
      </c>
      <c r="AL955" t="s">
        <v>119</v>
      </c>
      <c r="AM955" t="s">
        <v>112</v>
      </c>
      <c r="AN955" t="s">
        <v>121</v>
      </c>
      <c r="AO955" t="s">
        <v>122</v>
      </c>
      <c r="AP955" t="s">
        <v>122</v>
      </c>
      <c r="AQ955" t="s">
        <v>124</v>
      </c>
      <c r="AR955" t="s">
        <v>125</v>
      </c>
      <c r="AS955">
        <v>2</v>
      </c>
      <c r="AT955" t="s">
        <v>126</v>
      </c>
      <c r="AU955" t="s">
        <v>155</v>
      </c>
      <c r="AV955" t="s">
        <v>156</v>
      </c>
      <c r="AW955">
        <v>1</v>
      </c>
      <c r="AX955" t="s">
        <v>129</v>
      </c>
      <c r="AY955">
        <v>42175.96</v>
      </c>
      <c r="AZ955">
        <v>3218043</v>
      </c>
      <c r="BA955">
        <v>50341.47</v>
      </c>
      <c r="BB955">
        <v>76.300399999999996</v>
      </c>
      <c r="BC955" t="s">
        <v>130</v>
      </c>
      <c r="BD955" t="s">
        <v>112</v>
      </c>
      <c r="BE955" t="s">
        <v>157</v>
      </c>
      <c r="BF955" t="s">
        <v>133</v>
      </c>
      <c r="BG955" t="s">
        <v>134</v>
      </c>
      <c r="BH955" t="s">
        <v>112</v>
      </c>
      <c r="BI955" t="s">
        <v>112</v>
      </c>
      <c r="BJ955" t="s">
        <v>112</v>
      </c>
      <c r="BK955" t="s">
        <v>169</v>
      </c>
      <c r="BL955" t="s">
        <v>159</v>
      </c>
      <c r="BM955" t="s">
        <v>212</v>
      </c>
      <c r="BN955" t="s">
        <v>161</v>
      </c>
      <c r="BO955">
        <v>1</v>
      </c>
      <c r="BP955" t="s">
        <v>490</v>
      </c>
      <c r="BR955" t="s">
        <v>150</v>
      </c>
      <c r="BS955">
        <v>33</v>
      </c>
      <c r="BT955">
        <v>0</v>
      </c>
      <c r="BU955">
        <v>0</v>
      </c>
      <c r="BW955">
        <v>0</v>
      </c>
      <c r="BY955" t="s">
        <v>106</v>
      </c>
      <c r="BZ955" t="s">
        <v>142</v>
      </c>
      <c r="CA955" t="s">
        <v>112</v>
      </c>
      <c r="CB955" t="s">
        <v>112</v>
      </c>
      <c r="CC955" t="s">
        <v>121</v>
      </c>
      <c r="CD955">
        <v>17117.27</v>
      </c>
      <c r="CE955" t="s">
        <v>144</v>
      </c>
      <c r="CF955">
        <v>4000000</v>
      </c>
      <c r="CG955">
        <v>17117.27</v>
      </c>
      <c r="CH955">
        <v>0</v>
      </c>
      <c r="CI955" t="s">
        <v>112</v>
      </c>
      <c r="CJ955" t="s">
        <v>112</v>
      </c>
      <c r="CK955">
        <v>42175.96</v>
      </c>
      <c r="CL955">
        <v>3218043</v>
      </c>
      <c r="CM955">
        <v>0</v>
      </c>
      <c r="CN955">
        <v>1</v>
      </c>
      <c r="CO955">
        <v>3549949.36</v>
      </c>
      <c r="CP955">
        <v>50341.47</v>
      </c>
      <c r="CQ955" t="s">
        <v>145</v>
      </c>
      <c r="CR955">
        <v>50341.891069999998</v>
      </c>
      <c r="CS955">
        <v>2.9409999999999998</v>
      </c>
      <c r="CT955">
        <v>45</v>
      </c>
      <c r="CU955" t="s">
        <v>171</v>
      </c>
      <c r="CV955" t="s">
        <v>372</v>
      </c>
      <c r="CW955">
        <v>9</v>
      </c>
    </row>
    <row r="956" spans="1:101" x14ac:dyDescent="0.2">
      <c r="A956" t="s">
        <v>106</v>
      </c>
      <c r="B956" s="46">
        <v>44726</v>
      </c>
      <c r="C956" t="s">
        <v>485</v>
      </c>
      <c r="D956" t="s">
        <v>108</v>
      </c>
      <c r="E956" t="s">
        <v>486</v>
      </c>
      <c r="F956" t="s">
        <v>3244</v>
      </c>
      <c r="G956" t="s">
        <v>111</v>
      </c>
      <c r="H956" t="s">
        <v>112</v>
      </c>
      <c r="I956" t="s">
        <v>112</v>
      </c>
      <c r="J956" t="s">
        <v>112</v>
      </c>
      <c r="K956" t="s">
        <v>150</v>
      </c>
      <c r="L956" t="s">
        <v>151</v>
      </c>
      <c r="M956" t="s">
        <v>112</v>
      </c>
      <c r="N956" t="s">
        <v>112</v>
      </c>
      <c r="O956">
        <v>1</v>
      </c>
      <c r="P956">
        <v>0</v>
      </c>
      <c r="Q956">
        <v>1</v>
      </c>
      <c r="R956">
        <v>33</v>
      </c>
      <c r="S956" t="s">
        <v>166</v>
      </c>
      <c r="T956" t="s">
        <v>152</v>
      </c>
      <c r="U956" t="s">
        <v>153</v>
      </c>
      <c r="V956" t="s">
        <v>154</v>
      </c>
      <c r="W956" t="s">
        <v>119</v>
      </c>
      <c r="X956" t="s">
        <v>112</v>
      </c>
      <c r="Y956" t="s">
        <v>166</v>
      </c>
      <c r="Z956" t="s">
        <v>152</v>
      </c>
      <c r="AA956" t="s">
        <v>153</v>
      </c>
      <c r="AB956" t="s">
        <v>154</v>
      </c>
      <c r="AC956" t="s">
        <v>119</v>
      </c>
      <c r="AD956" t="s">
        <v>112</v>
      </c>
      <c r="AE956" t="s">
        <v>121</v>
      </c>
      <c r="AF956" t="s">
        <v>122</v>
      </c>
      <c r="AG956">
        <v>3410679.76</v>
      </c>
      <c r="AH956" t="s">
        <v>166</v>
      </c>
      <c r="AI956" t="s">
        <v>152</v>
      </c>
      <c r="AJ956" t="s">
        <v>153</v>
      </c>
      <c r="AK956" t="s">
        <v>154</v>
      </c>
      <c r="AL956" t="s">
        <v>119</v>
      </c>
      <c r="AM956" t="s">
        <v>112</v>
      </c>
      <c r="AN956" t="s">
        <v>121</v>
      </c>
      <c r="AO956" t="s">
        <v>122</v>
      </c>
      <c r="AP956" t="s">
        <v>122</v>
      </c>
      <c r="AQ956" t="s">
        <v>124</v>
      </c>
      <c r="AR956" t="s">
        <v>125</v>
      </c>
      <c r="AS956">
        <v>2</v>
      </c>
      <c r="AT956" t="s">
        <v>126</v>
      </c>
      <c r="AU956" t="s">
        <v>155</v>
      </c>
      <c r="AV956" t="s">
        <v>156</v>
      </c>
      <c r="AW956">
        <v>1</v>
      </c>
      <c r="AX956" t="s">
        <v>129</v>
      </c>
      <c r="AY956">
        <v>40350.68</v>
      </c>
      <c r="AZ956">
        <v>3078773</v>
      </c>
      <c r="BA956">
        <v>48366.5</v>
      </c>
      <c r="BB956">
        <v>76.300399999999996</v>
      </c>
      <c r="BC956" t="s">
        <v>130</v>
      </c>
      <c r="BD956" t="s">
        <v>112</v>
      </c>
      <c r="BE956" t="s">
        <v>157</v>
      </c>
      <c r="BF956" t="s">
        <v>133</v>
      </c>
      <c r="BG956" t="s">
        <v>134</v>
      </c>
      <c r="BH956" t="s">
        <v>112</v>
      </c>
      <c r="BI956" t="s">
        <v>112</v>
      </c>
      <c r="BJ956" t="s">
        <v>112</v>
      </c>
      <c r="BK956" t="s">
        <v>169</v>
      </c>
      <c r="BL956" t="s">
        <v>159</v>
      </c>
      <c r="BM956" t="s">
        <v>212</v>
      </c>
      <c r="BN956" t="s">
        <v>161</v>
      </c>
      <c r="BO956">
        <v>1</v>
      </c>
      <c r="BP956" t="s">
        <v>487</v>
      </c>
      <c r="BR956" t="s">
        <v>150</v>
      </c>
      <c r="BS956">
        <v>33</v>
      </c>
      <c r="BT956">
        <v>0</v>
      </c>
      <c r="BU956">
        <v>0</v>
      </c>
      <c r="BW956">
        <v>0</v>
      </c>
      <c r="BY956" t="s">
        <v>106</v>
      </c>
      <c r="BZ956" t="s">
        <v>142</v>
      </c>
      <c r="CA956" t="s">
        <v>112</v>
      </c>
      <c r="CB956" t="s">
        <v>112</v>
      </c>
      <c r="CC956" t="s">
        <v>121</v>
      </c>
      <c r="CD956">
        <v>18086.95</v>
      </c>
      <c r="CE956" t="s">
        <v>144</v>
      </c>
      <c r="CF956">
        <v>4000000</v>
      </c>
      <c r="CG956">
        <v>18086.95</v>
      </c>
      <c r="CH956">
        <v>0</v>
      </c>
      <c r="CI956" t="s">
        <v>112</v>
      </c>
      <c r="CJ956" t="s">
        <v>112</v>
      </c>
      <c r="CK956">
        <v>40350.68</v>
      </c>
      <c r="CL956">
        <v>3078773</v>
      </c>
      <c r="CM956">
        <v>0</v>
      </c>
      <c r="CN956">
        <v>1</v>
      </c>
      <c r="CO956">
        <v>3410679.76</v>
      </c>
      <c r="CP956">
        <v>48366.5</v>
      </c>
      <c r="CQ956" t="s">
        <v>145</v>
      </c>
      <c r="CR956">
        <v>48366.312995000008</v>
      </c>
      <c r="CS956">
        <v>2.6741000000000001</v>
      </c>
      <c r="CT956">
        <v>45</v>
      </c>
      <c r="CU956" t="s">
        <v>171</v>
      </c>
      <c r="CV956" t="s">
        <v>369</v>
      </c>
      <c r="CW956">
        <v>252</v>
      </c>
    </row>
    <row r="957" spans="1:101" x14ac:dyDescent="0.2">
      <c r="A957" t="s">
        <v>106</v>
      </c>
      <c r="B957" s="46">
        <v>44803</v>
      </c>
      <c r="C957" t="s">
        <v>491</v>
      </c>
      <c r="D957" t="s">
        <v>108</v>
      </c>
      <c r="E957" t="s">
        <v>492</v>
      </c>
      <c r="F957" t="s">
        <v>3244</v>
      </c>
      <c r="G957" t="s">
        <v>111</v>
      </c>
      <c r="H957" t="s">
        <v>112</v>
      </c>
      <c r="I957" t="s">
        <v>112</v>
      </c>
      <c r="J957" t="s">
        <v>112</v>
      </c>
      <c r="K957" t="s">
        <v>150</v>
      </c>
      <c r="L957" t="s">
        <v>151</v>
      </c>
      <c r="M957" t="s">
        <v>112</v>
      </c>
      <c r="N957" t="s">
        <v>112</v>
      </c>
      <c r="O957">
        <v>1</v>
      </c>
      <c r="P957">
        <v>0</v>
      </c>
      <c r="Q957">
        <v>1</v>
      </c>
      <c r="R957">
        <v>33</v>
      </c>
      <c r="S957" t="s">
        <v>166</v>
      </c>
      <c r="T957" t="s">
        <v>152</v>
      </c>
      <c r="U957" t="s">
        <v>153</v>
      </c>
      <c r="V957" t="s">
        <v>154</v>
      </c>
      <c r="W957" t="s">
        <v>119</v>
      </c>
      <c r="X957" t="s">
        <v>112</v>
      </c>
      <c r="Y957" t="s">
        <v>166</v>
      </c>
      <c r="Z957" t="s">
        <v>152</v>
      </c>
      <c r="AA957" t="s">
        <v>153</v>
      </c>
      <c r="AB957" t="s">
        <v>154</v>
      </c>
      <c r="AC957" t="s">
        <v>119</v>
      </c>
      <c r="AD957" t="s">
        <v>112</v>
      </c>
      <c r="AE957" t="s">
        <v>121</v>
      </c>
      <c r="AF957" t="s">
        <v>122</v>
      </c>
      <c r="AG957">
        <v>3737050.15</v>
      </c>
      <c r="AH957" t="s">
        <v>166</v>
      </c>
      <c r="AI957" t="s">
        <v>152</v>
      </c>
      <c r="AJ957" t="s">
        <v>153</v>
      </c>
      <c r="AK957" t="s">
        <v>154</v>
      </c>
      <c r="AL957" t="s">
        <v>119</v>
      </c>
      <c r="AM957" t="s">
        <v>112</v>
      </c>
      <c r="AN957" t="s">
        <v>121</v>
      </c>
      <c r="AO957" t="s">
        <v>122</v>
      </c>
      <c r="AP957" t="s">
        <v>122</v>
      </c>
      <c r="AQ957" t="s">
        <v>124</v>
      </c>
      <c r="AR957" t="s">
        <v>125</v>
      </c>
      <c r="AS957">
        <v>2</v>
      </c>
      <c r="AT957" t="s">
        <v>126</v>
      </c>
      <c r="AU957" t="s">
        <v>155</v>
      </c>
      <c r="AV957" t="s">
        <v>156</v>
      </c>
      <c r="AW957">
        <v>1</v>
      </c>
      <c r="AX957" t="s">
        <v>129</v>
      </c>
      <c r="AY957">
        <v>44128.12</v>
      </c>
      <c r="AZ957">
        <v>3366993</v>
      </c>
      <c r="BA957">
        <v>52994.720000000001</v>
      </c>
      <c r="BB957">
        <v>76.300399999999996</v>
      </c>
      <c r="BC957" t="s">
        <v>130</v>
      </c>
      <c r="BD957" t="s">
        <v>112</v>
      </c>
      <c r="BE957" t="s">
        <v>157</v>
      </c>
      <c r="BF957" t="s">
        <v>133</v>
      </c>
      <c r="BG957" t="s">
        <v>134</v>
      </c>
      <c r="BH957" t="s">
        <v>112</v>
      </c>
      <c r="BI957" t="s">
        <v>112</v>
      </c>
      <c r="BJ957" t="s">
        <v>112</v>
      </c>
      <c r="BK957" t="s">
        <v>169</v>
      </c>
      <c r="BL957" t="s">
        <v>159</v>
      </c>
      <c r="BM957" t="s">
        <v>212</v>
      </c>
      <c r="BN957" t="s">
        <v>161</v>
      </c>
      <c r="BO957">
        <v>1</v>
      </c>
      <c r="BP957" t="s">
        <v>493</v>
      </c>
      <c r="BR957" t="s">
        <v>150</v>
      </c>
      <c r="BS957">
        <v>33</v>
      </c>
      <c r="BT957">
        <v>0</v>
      </c>
      <c r="BU957">
        <v>0</v>
      </c>
      <c r="BW957">
        <v>0</v>
      </c>
      <c r="BY957" t="s">
        <v>106</v>
      </c>
      <c r="BZ957" t="s">
        <v>142</v>
      </c>
      <c r="CA957" t="s">
        <v>112</v>
      </c>
      <c r="CB957" t="s">
        <v>112</v>
      </c>
      <c r="CC957" t="s">
        <v>121</v>
      </c>
      <c r="CD957">
        <v>16120.37</v>
      </c>
      <c r="CE957" t="s">
        <v>144</v>
      </c>
      <c r="CF957">
        <v>4000000</v>
      </c>
      <c r="CG957">
        <v>16084.37</v>
      </c>
      <c r="CH957">
        <v>0</v>
      </c>
      <c r="CI957" t="s">
        <v>112</v>
      </c>
      <c r="CJ957" t="s">
        <v>112</v>
      </c>
      <c r="CK957">
        <v>44128.12</v>
      </c>
      <c r="CL957">
        <v>3366993</v>
      </c>
      <c r="CM957">
        <v>0</v>
      </c>
      <c r="CN957">
        <v>1</v>
      </c>
      <c r="CO957">
        <v>3737050.15</v>
      </c>
      <c r="CP957">
        <v>52994.720000000001</v>
      </c>
      <c r="CQ957" t="s">
        <v>145</v>
      </c>
      <c r="CR957">
        <v>52994.782276000005</v>
      </c>
      <c r="CS957">
        <v>3.2948</v>
      </c>
      <c r="CT957">
        <v>45</v>
      </c>
      <c r="CU957" t="s">
        <v>171</v>
      </c>
      <c r="CV957" t="s">
        <v>463</v>
      </c>
      <c r="CW957">
        <v>9</v>
      </c>
    </row>
    <row r="958" spans="1:101" x14ac:dyDescent="0.2">
      <c r="A958" t="s">
        <v>106</v>
      </c>
      <c r="B958" s="46">
        <v>44746</v>
      </c>
      <c r="C958" t="s">
        <v>498</v>
      </c>
      <c r="D958" t="s">
        <v>108</v>
      </c>
      <c r="E958" t="s">
        <v>499</v>
      </c>
      <c r="F958" t="s">
        <v>3244</v>
      </c>
      <c r="G958" t="s">
        <v>111</v>
      </c>
      <c r="H958" t="s">
        <v>112</v>
      </c>
      <c r="I958" t="s">
        <v>112</v>
      </c>
      <c r="J958" t="s">
        <v>112</v>
      </c>
      <c r="K958" t="s">
        <v>150</v>
      </c>
      <c r="L958" t="s">
        <v>151</v>
      </c>
      <c r="M958" t="s">
        <v>112</v>
      </c>
      <c r="N958" t="s">
        <v>112</v>
      </c>
      <c r="O958">
        <v>1</v>
      </c>
      <c r="P958">
        <v>0</v>
      </c>
      <c r="Q958">
        <v>1</v>
      </c>
      <c r="R958">
        <v>33</v>
      </c>
      <c r="S958" t="s">
        <v>166</v>
      </c>
      <c r="T958" t="s">
        <v>152</v>
      </c>
      <c r="U958" t="s">
        <v>153</v>
      </c>
      <c r="V958" t="s">
        <v>154</v>
      </c>
      <c r="W958" t="s">
        <v>119</v>
      </c>
      <c r="X958" t="s">
        <v>112</v>
      </c>
      <c r="Y958" t="s">
        <v>166</v>
      </c>
      <c r="Z958" t="s">
        <v>152</v>
      </c>
      <c r="AA958" t="s">
        <v>153</v>
      </c>
      <c r="AB958" t="s">
        <v>154</v>
      </c>
      <c r="AC958" t="s">
        <v>119</v>
      </c>
      <c r="AD958" t="s">
        <v>112</v>
      </c>
      <c r="AE958" t="s">
        <v>121</v>
      </c>
      <c r="AF958" t="s">
        <v>122</v>
      </c>
      <c r="AG958">
        <v>3726343.68</v>
      </c>
      <c r="AH958" t="s">
        <v>166</v>
      </c>
      <c r="AI958" t="s">
        <v>152</v>
      </c>
      <c r="AJ958" t="s">
        <v>153</v>
      </c>
      <c r="AK958" t="s">
        <v>154</v>
      </c>
      <c r="AL958" t="s">
        <v>119</v>
      </c>
      <c r="AM958" t="s">
        <v>112</v>
      </c>
      <c r="AN958" t="s">
        <v>121</v>
      </c>
      <c r="AO958" t="s">
        <v>122</v>
      </c>
      <c r="AP958" t="s">
        <v>122</v>
      </c>
      <c r="AQ958" t="s">
        <v>124</v>
      </c>
      <c r="AR958" t="s">
        <v>125</v>
      </c>
      <c r="AS958">
        <v>2</v>
      </c>
      <c r="AT958" t="s">
        <v>126</v>
      </c>
      <c r="AU958" t="s">
        <v>155</v>
      </c>
      <c r="AV958" t="s">
        <v>156</v>
      </c>
      <c r="AW958">
        <v>1</v>
      </c>
      <c r="AX958" t="s">
        <v>129</v>
      </c>
      <c r="AY958">
        <v>43987.8</v>
      </c>
      <c r="AZ958">
        <v>3356287</v>
      </c>
      <c r="BA958">
        <v>52842.9</v>
      </c>
      <c r="BB958">
        <v>76.300399999999996</v>
      </c>
      <c r="BC958" t="s">
        <v>130</v>
      </c>
      <c r="BD958" t="s">
        <v>112</v>
      </c>
      <c r="BE958" t="s">
        <v>157</v>
      </c>
      <c r="BF958" t="s">
        <v>133</v>
      </c>
      <c r="BG958" t="s">
        <v>134</v>
      </c>
      <c r="BH958" t="s">
        <v>112</v>
      </c>
      <c r="BI958" t="s">
        <v>112</v>
      </c>
      <c r="BJ958" t="s">
        <v>112</v>
      </c>
      <c r="BK958" t="s">
        <v>169</v>
      </c>
      <c r="BL958" t="s">
        <v>159</v>
      </c>
      <c r="BM958" t="s">
        <v>212</v>
      </c>
      <c r="BN958" t="s">
        <v>161</v>
      </c>
      <c r="BO958">
        <v>1</v>
      </c>
      <c r="BP958" t="s">
        <v>232</v>
      </c>
      <c r="BR958" t="s">
        <v>150</v>
      </c>
      <c r="BS958">
        <v>33</v>
      </c>
      <c r="BT958">
        <v>0</v>
      </c>
      <c r="BU958">
        <v>0</v>
      </c>
      <c r="BW958">
        <v>0</v>
      </c>
      <c r="BY958" t="s">
        <v>106</v>
      </c>
      <c r="BZ958" t="s">
        <v>142</v>
      </c>
      <c r="CA958" t="s">
        <v>112</v>
      </c>
      <c r="CB958" t="s">
        <v>112</v>
      </c>
      <c r="CC958" t="s">
        <v>121</v>
      </c>
      <c r="CD958">
        <v>16525.080000000002</v>
      </c>
      <c r="CE958" t="s">
        <v>144</v>
      </c>
      <c r="CF958">
        <v>4000000</v>
      </c>
      <c r="CG958">
        <v>16525.080000000002</v>
      </c>
      <c r="CH958">
        <v>0</v>
      </c>
      <c r="CI958" t="s">
        <v>112</v>
      </c>
      <c r="CJ958" t="s">
        <v>112</v>
      </c>
      <c r="CK958">
        <v>43987.8</v>
      </c>
      <c r="CL958">
        <v>3356287</v>
      </c>
      <c r="CM958">
        <v>0</v>
      </c>
      <c r="CN958">
        <v>1</v>
      </c>
      <c r="CO958">
        <v>3726343.68</v>
      </c>
      <c r="CP958">
        <v>52842.9</v>
      </c>
      <c r="CQ958" t="s">
        <v>145</v>
      </c>
      <c r="CR958">
        <v>52842.248316000012</v>
      </c>
      <c r="CS958">
        <v>3.1977000000000002</v>
      </c>
      <c r="CT958">
        <v>45</v>
      </c>
      <c r="CU958" t="s">
        <v>171</v>
      </c>
      <c r="CV958" t="s">
        <v>350</v>
      </c>
      <c r="CW958">
        <v>4</v>
      </c>
    </row>
    <row r="959" spans="1:101" x14ac:dyDescent="0.2">
      <c r="A959" t="s">
        <v>106</v>
      </c>
      <c r="B959" s="46">
        <v>44622</v>
      </c>
      <c r="C959" t="s">
        <v>483</v>
      </c>
      <c r="D959" t="s">
        <v>108</v>
      </c>
      <c r="E959" t="s">
        <v>484</v>
      </c>
      <c r="F959" t="s">
        <v>3244</v>
      </c>
      <c r="G959" t="s">
        <v>111</v>
      </c>
      <c r="H959" t="s">
        <v>112</v>
      </c>
      <c r="I959" t="s">
        <v>112</v>
      </c>
      <c r="J959" t="s">
        <v>112</v>
      </c>
      <c r="K959" t="s">
        <v>150</v>
      </c>
      <c r="L959" t="s">
        <v>151</v>
      </c>
      <c r="M959" t="s">
        <v>112</v>
      </c>
      <c r="N959" t="s">
        <v>112</v>
      </c>
      <c r="O959">
        <v>1</v>
      </c>
      <c r="P959">
        <v>0</v>
      </c>
      <c r="Q959">
        <v>1</v>
      </c>
      <c r="R959">
        <v>36</v>
      </c>
      <c r="S959" t="s">
        <v>166</v>
      </c>
      <c r="T959" t="s">
        <v>152</v>
      </c>
      <c r="U959" t="s">
        <v>153</v>
      </c>
      <c r="V959" t="s">
        <v>154</v>
      </c>
      <c r="W959" t="s">
        <v>119</v>
      </c>
      <c r="X959" t="s">
        <v>112</v>
      </c>
      <c r="Y959" t="s">
        <v>166</v>
      </c>
      <c r="Z959" t="s">
        <v>152</v>
      </c>
      <c r="AA959" t="s">
        <v>153</v>
      </c>
      <c r="AB959" t="s">
        <v>154</v>
      </c>
      <c r="AC959" t="s">
        <v>119</v>
      </c>
      <c r="AD959" t="s">
        <v>112</v>
      </c>
      <c r="AE959" t="s">
        <v>121</v>
      </c>
      <c r="AF959" t="s">
        <v>122</v>
      </c>
      <c r="AG959">
        <v>3788646</v>
      </c>
      <c r="AH959" t="s">
        <v>166</v>
      </c>
      <c r="AI959" t="s">
        <v>152</v>
      </c>
      <c r="AJ959" t="s">
        <v>153</v>
      </c>
      <c r="AK959" t="s">
        <v>154</v>
      </c>
      <c r="AL959" t="s">
        <v>119</v>
      </c>
      <c r="AM959" t="s">
        <v>112</v>
      </c>
      <c r="AN959" t="s">
        <v>121</v>
      </c>
      <c r="AO959" t="s">
        <v>122</v>
      </c>
      <c r="AP959" t="s">
        <v>122</v>
      </c>
      <c r="AQ959" t="s">
        <v>124</v>
      </c>
      <c r="AR959" t="s">
        <v>125</v>
      </c>
      <c r="AS959">
        <v>2</v>
      </c>
      <c r="AT959" t="s">
        <v>126</v>
      </c>
      <c r="AU959" t="s">
        <v>155</v>
      </c>
      <c r="AV959" t="s">
        <v>156</v>
      </c>
      <c r="AW959">
        <v>1</v>
      </c>
      <c r="AX959" t="s">
        <v>129</v>
      </c>
      <c r="AY959">
        <v>45304.34</v>
      </c>
      <c r="AZ959">
        <v>3456739</v>
      </c>
      <c r="BA959">
        <v>53726.400000000001</v>
      </c>
      <c r="BB959">
        <v>76.300399999999996</v>
      </c>
      <c r="BC959" t="s">
        <v>130</v>
      </c>
      <c r="BD959" t="s">
        <v>112</v>
      </c>
      <c r="BE959" t="s">
        <v>157</v>
      </c>
      <c r="BF959" t="s">
        <v>133</v>
      </c>
      <c r="BG959" t="s">
        <v>134</v>
      </c>
      <c r="BH959" t="s">
        <v>112</v>
      </c>
      <c r="BI959" t="s">
        <v>112</v>
      </c>
      <c r="BJ959" t="s">
        <v>112</v>
      </c>
      <c r="BK959" t="s">
        <v>169</v>
      </c>
      <c r="BL959" t="s">
        <v>159</v>
      </c>
      <c r="BM959" t="s">
        <v>212</v>
      </c>
      <c r="BN959" t="s">
        <v>161</v>
      </c>
      <c r="BO959">
        <v>1</v>
      </c>
      <c r="BP959" t="s">
        <v>1967</v>
      </c>
      <c r="BR959" t="s">
        <v>150</v>
      </c>
      <c r="BS959">
        <v>36</v>
      </c>
      <c r="BT959">
        <v>0</v>
      </c>
      <c r="BU959">
        <v>0</v>
      </c>
      <c r="BW959">
        <v>0</v>
      </c>
      <c r="BY959" t="s">
        <v>106</v>
      </c>
      <c r="BZ959" t="s">
        <v>142</v>
      </c>
      <c r="CA959" t="s">
        <v>112</v>
      </c>
      <c r="CB959" t="s">
        <v>112</v>
      </c>
      <c r="CC959" t="s">
        <v>121</v>
      </c>
      <c r="CD959">
        <v>18803.25</v>
      </c>
      <c r="CE959" t="s">
        <v>144</v>
      </c>
      <c r="CF959">
        <v>4000000</v>
      </c>
      <c r="CG959">
        <v>18803.25</v>
      </c>
      <c r="CH959">
        <v>0</v>
      </c>
      <c r="CI959" t="s">
        <v>112</v>
      </c>
      <c r="CJ959" t="s">
        <v>112</v>
      </c>
      <c r="CK959">
        <v>45304.34</v>
      </c>
      <c r="CL959">
        <v>3456739</v>
      </c>
      <c r="CM959">
        <v>0</v>
      </c>
      <c r="CN959">
        <v>1</v>
      </c>
      <c r="CO959">
        <v>3788646</v>
      </c>
      <c r="CP959">
        <v>53726.400000000001</v>
      </c>
      <c r="CQ959" t="s">
        <v>145</v>
      </c>
      <c r="CR959">
        <v>53726.526225000001</v>
      </c>
      <c r="CS959">
        <v>2.8573</v>
      </c>
      <c r="CT959">
        <v>45</v>
      </c>
      <c r="CU959" t="s">
        <v>171</v>
      </c>
      <c r="CV959" t="s">
        <v>350</v>
      </c>
      <c r="CW959">
        <v>134</v>
      </c>
    </row>
    <row r="960" spans="1:101" x14ac:dyDescent="0.2">
      <c r="A960" t="s">
        <v>106</v>
      </c>
      <c r="B960" s="46">
        <v>44690</v>
      </c>
      <c r="C960" t="s">
        <v>502</v>
      </c>
      <c r="D960" t="s">
        <v>108</v>
      </c>
      <c r="E960" t="s">
        <v>503</v>
      </c>
      <c r="F960" t="s">
        <v>3244</v>
      </c>
      <c r="G960" t="s">
        <v>111</v>
      </c>
      <c r="H960" t="s">
        <v>112</v>
      </c>
      <c r="I960" t="s">
        <v>112</v>
      </c>
      <c r="J960" t="s">
        <v>112</v>
      </c>
      <c r="K960" t="s">
        <v>150</v>
      </c>
      <c r="L960" t="s">
        <v>151</v>
      </c>
      <c r="M960" t="s">
        <v>112</v>
      </c>
      <c r="N960" t="s">
        <v>112</v>
      </c>
      <c r="O960">
        <v>1</v>
      </c>
      <c r="P960">
        <v>0</v>
      </c>
      <c r="Q960">
        <v>1</v>
      </c>
      <c r="R960">
        <v>33</v>
      </c>
      <c r="S960" t="s">
        <v>166</v>
      </c>
      <c r="T960" t="s">
        <v>152</v>
      </c>
      <c r="U960" t="s">
        <v>153</v>
      </c>
      <c r="V960" t="s">
        <v>154</v>
      </c>
      <c r="W960" t="s">
        <v>119</v>
      </c>
      <c r="X960" t="s">
        <v>112</v>
      </c>
      <c r="Y960" t="s">
        <v>166</v>
      </c>
      <c r="Z960" t="s">
        <v>152</v>
      </c>
      <c r="AA960" t="s">
        <v>153</v>
      </c>
      <c r="AB960" t="s">
        <v>154</v>
      </c>
      <c r="AC960" t="s">
        <v>119</v>
      </c>
      <c r="AD960" t="s">
        <v>112</v>
      </c>
      <c r="AE960" t="s">
        <v>121</v>
      </c>
      <c r="AF960" t="s">
        <v>122</v>
      </c>
      <c r="AG960">
        <v>3322983.9</v>
      </c>
      <c r="AH960" t="s">
        <v>166</v>
      </c>
      <c r="AI960" t="s">
        <v>152</v>
      </c>
      <c r="AJ960" t="s">
        <v>153</v>
      </c>
      <c r="AK960" t="s">
        <v>154</v>
      </c>
      <c r="AL960" t="s">
        <v>119</v>
      </c>
      <c r="AM960" t="s">
        <v>112</v>
      </c>
      <c r="AN960" t="s">
        <v>121</v>
      </c>
      <c r="AO960" t="s">
        <v>122</v>
      </c>
      <c r="AP960" t="s">
        <v>122</v>
      </c>
      <c r="AQ960" t="s">
        <v>124</v>
      </c>
      <c r="AR960" t="s">
        <v>125</v>
      </c>
      <c r="AS960">
        <v>2</v>
      </c>
      <c r="AT960" t="s">
        <v>126</v>
      </c>
      <c r="AU960" t="s">
        <v>155</v>
      </c>
      <c r="AV960" t="s">
        <v>156</v>
      </c>
      <c r="AW960">
        <v>1</v>
      </c>
      <c r="AX960" t="s">
        <v>129</v>
      </c>
      <c r="AY960">
        <v>39201.33</v>
      </c>
      <c r="AZ960">
        <v>2991077</v>
      </c>
      <c r="BA960">
        <v>47122.89</v>
      </c>
      <c r="BB960">
        <v>76.300399999999996</v>
      </c>
      <c r="BC960" t="s">
        <v>130</v>
      </c>
      <c r="BD960" t="s">
        <v>112</v>
      </c>
      <c r="BE960" t="s">
        <v>157</v>
      </c>
      <c r="BF960" t="s">
        <v>133</v>
      </c>
      <c r="BG960" t="s">
        <v>134</v>
      </c>
      <c r="BH960" t="s">
        <v>112</v>
      </c>
      <c r="BI960" t="s">
        <v>112</v>
      </c>
      <c r="BJ960" t="s">
        <v>112</v>
      </c>
      <c r="BK960" t="s">
        <v>169</v>
      </c>
      <c r="BL960" t="s">
        <v>159</v>
      </c>
      <c r="BM960" t="s">
        <v>212</v>
      </c>
      <c r="BN960" t="s">
        <v>161</v>
      </c>
      <c r="BO960">
        <v>1</v>
      </c>
      <c r="BP960" t="s">
        <v>504</v>
      </c>
      <c r="BR960" t="s">
        <v>150</v>
      </c>
      <c r="BS960">
        <v>33</v>
      </c>
      <c r="BT960">
        <v>0</v>
      </c>
      <c r="BU960">
        <v>0</v>
      </c>
      <c r="BW960">
        <v>0</v>
      </c>
      <c r="BY960" t="s">
        <v>106</v>
      </c>
      <c r="BZ960" t="s">
        <v>142</v>
      </c>
      <c r="CA960" t="s">
        <v>112</v>
      </c>
      <c r="CB960" t="s">
        <v>112</v>
      </c>
      <c r="CC960" t="s">
        <v>121</v>
      </c>
      <c r="CD960">
        <v>17763.77</v>
      </c>
      <c r="CE960" t="s">
        <v>144</v>
      </c>
      <c r="CF960">
        <v>4000000</v>
      </c>
      <c r="CG960">
        <v>17763.77</v>
      </c>
      <c r="CH960">
        <v>0</v>
      </c>
      <c r="CI960" t="s">
        <v>112</v>
      </c>
      <c r="CJ960" t="s">
        <v>112</v>
      </c>
      <c r="CK960">
        <v>39201.33</v>
      </c>
      <c r="CL960">
        <v>2991077</v>
      </c>
      <c r="CM960">
        <v>0</v>
      </c>
      <c r="CN960">
        <v>1</v>
      </c>
      <c r="CO960">
        <v>3322983.9</v>
      </c>
      <c r="CP960">
        <v>47122.89</v>
      </c>
      <c r="CQ960" t="s">
        <v>145</v>
      </c>
      <c r="CR960">
        <v>47123.729056000004</v>
      </c>
      <c r="CS960">
        <v>2.6528</v>
      </c>
      <c r="CT960">
        <v>45</v>
      </c>
      <c r="CU960" t="s">
        <v>171</v>
      </c>
      <c r="CV960" t="s">
        <v>372</v>
      </c>
      <c r="CW960">
        <v>153</v>
      </c>
    </row>
    <row r="961" spans="1:101" x14ac:dyDescent="0.2">
      <c r="A961" t="s">
        <v>106</v>
      </c>
      <c r="B961" s="46">
        <v>45104</v>
      </c>
      <c r="C961" t="s">
        <v>898</v>
      </c>
      <c r="D961" t="s">
        <v>583</v>
      </c>
      <c r="E961" t="s">
        <v>899</v>
      </c>
      <c r="F961" t="s">
        <v>3244</v>
      </c>
      <c r="G961" t="s">
        <v>111</v>
      </c>
      <c r="H961" t="s">
        <v>112</v>
      </c>
      <c r="I961" t="s">
        <v>112</v>
      </c>
      <c r="J961" t="s">
        <v>112</v>
      </c>
      <c r="K961" t="s">
        <v>113</v>
      </c>
      <c r="L961" t="s">
        <v>585</v>
      </c>
      <c r="M961" t="s">
        <v>112</v>
      </c>
      <c r="N961" t="s">
        <v>112</v>
      </c>
      <c r="O961">
        <v>2</v>
      </c>
      <c r="P961">
        <v>0</v>
      </c>
      <c r="Q961">
        <v>2</v>
      </c>
      <c r="R961">
        <v>33</v>
      </c>
      <c r="S961" t="s">
        <v>115</v>
      </c>
      <c r="T961" t="s">
        <v>116</v>
      </c>
      <c r="U961" t="s">
        <v>117</v>
      </c>
      <c r="V961" t="s">
        <v>586</v>
      </c>
      <c r="W961" t="s">
        <v>119</v>
      </c>
      <c r="X961" t="s">
        <v>120</v>
      </c>
      <c r="Y961" t="s">
        <v>115</v>
      </c>
      <c r="Z961" t="s">
        <v>116</v>
      </c>
      <c r="AA961" t="s">
        <v>117</v>
      </c>
      <c r="AB961" t="s">
        <v>586</v>
      </c>
      <c r="AC961" t="s">
        <v>119</v>
      </c>
      <c r="AD961" t="s">
        <v>120</v>
      </c>
      <c r="AE961" t="s">
        <v>121</v>
      </c>
      <c r="AF961" t="s">
        <v>122</v>
      </c>
      <c r="AG961">
        <v>4518050.54</v>
      </c>
      <c r="AH961" t="s">
        <v>115</v>
      </c>
      <c r="AI961" t="s">
        <v>116</v>
      </c>
      <c r="AJ961" t="s">
        <v>117</v>
      </c>
      <c r="AK961" t="s">
        <v>586</v>
      </c>
      <c r="AL961" t="s">
        <v>119</v>
      </c>
      <c r="AM961" t="s">
        <v>120</v>
      </c>
      <c r="AN961" t="s">
        <v>121</v>
      </c>
      <c r="AO961" t="s">
        <v>122</v>
      </c>
      <c r="AP961" t="s">
        <v>123</v>
      </c>
      <c r="AQ961" t="s">
        <v>124</v>
      </c>
      <c r="AR961" t="s">
        <v>125</v>
      </c>
      <c r="AS961">
        <v>2</v>
      </c>
      <c r="AT961" t="s">
        <v>126</v>
      </c>
      <c r="AU961" t="s">
        <v>127</v>
      </c>
      <c r="AV961" t="s">
        <v>128</v>
      </c>
      <c r="AW961">
        <v>1</v>
      </c>
      <c r="AX961" t="s">
        <v>129</v>
      </c>
      <c r="AY961">
        <v>51482.92</v>
      </c>
      <c r="AZ961">
        <v>4312410</v>
      </c>
      <c r="BA961">
        <v>58610.29</v>
      </c>
      <c r="BB961">
        <v>83.763900000000007</v>
      </c>
      <c r="BC961" t="s">
        <v>130</v>
      </c>
      <c r="BD961" t="s">
        <v>131</v>
      </c>
      <c r="BE961" t="s">
        <v>132</v>
      </c>
      <c r="BF961" t="s">
        <v>133</v>
      </c>
      <c r="BG961" t="s">
        <v>134</v>
      </c>
      <c r="BH961" t="s">
        <v>112</v>
      </c>
      <c r="BI961" t="s">
        <v>900</v>
      </c>
      <c r="BJ961" t="s">
        <v>112</v>
      </c>
      <c r="BK961" t="s">
        <v>588</v>
      </c>
      <c r="BL961" t="s">
        <v>901</v>
      </c>
      <c r="BM961" t="s">
        <v>902</v>
      </c>
      <c r="BN961" t="s">
        <v>591</v>
      </c>
      <c r="BO961">
        <v>1</v>
      </c>
      <c r="BP961" t="s">
        <v>903</v>
      </c>
      <c r="BR961" t="s">
        <v>141</v>
      </c>
      <c r="BS961">
        <v>33</v>
      </c>
      <c r="BT961">
        <v>0</v>
      </c>
      <c r="BU961">
        <v>0</v>
      </c>
      <c r="BW961">
        <v>0</v>
      </c>
      <c r="BY961" t="s">
        <v>106</v>
      </c>
      <c r="BZ961" t="s">
        <v>142</v>
      </c>
      <c r="CA961" t="s">
        <v>112</v>
      </c>
      <c r="CB961" t="s">
        <v>112</v>
      </c>
      <c r="CC961" t="s">
        <v>143</v>
      </c>
      <c r="CD961">
        <v>4245.6000000000004</v>
      </c>
      <c r="CE961" t="s">
        <v>144</v>
      </c>
      <c r="CF961">
        <v>4000000</v>
      </c>
      <c r="CG961">
        <v>3964.4</v>
      </c>
      <c r="CH961">
        <v>0</v>
      </c>
      <c r="CI961" t="s">
        <v>112</v>
      </c>
      <c r="CJ961" t="s">
        <v>112</v>
      </c>
      <c r="CK961">
        <v>14753.22</v>
      </c>
      <c r="CL961">
        <v>1235787</v>
      </c>
      <c r="CM961">
        <v>0</v>
      </c>
      <c r="CN961">
        <v>1</v>
      </c>
      <c r="CO961">
        <v>1294994.92</v>
      </c>
      <c r="CP961">
        <v>16799.29</v>
      </c>
      <c r="CQ961" t="s">
        <v>145</v>
      </c>
      <c r="CR961">
        <v>16799.145</v>
      </c>
      <c r="CS961">
        <v>4.2374999999999998</v>
      </c>
      <c r="CT961">
        <v>952</v>
      </c>
      <c r="CU961" t="s">
        <v>593</v>
      </c>
      <c r="CV961" t="s">
        <v>792</v>
      </c>
      <c r="CW961">
        <v>0</v>
      </c>
    </row>
    <row r="962" spans="1:101" x14ac:dyDescent="0.2">
      <c r="A962" t="s">
        <v>106</v>
      </c>
      <c r="B962" s="46">
        <v>44960</v>
      </c>
      <c r="C962" t="s">
        <v>898</v>
      </c>
      <c r="D962" t="s">
        <v>583</v>
      </c>
      <c r="E962" t="s">
        <v>899</v>
      </c>
      <c r="F962" t="s">
        <v>3244</v>
      </c>
      <c r="G962" t="s">
        <v>111</v>
      </c>
      <c r="H962" t="s">
        <v>112</v>
      </c>
      <c r="I962" t="s">
        <v>112</v>
      </c>
      <c r="J962" t="s">
        <v>112</v>
      </c>
      <c r="K962" t="s">
        <v>113</v>
      </c>
      <c r="L962" t="s">
        <v>585</v>
      </c>
      <c r="M962" t="s">
        <v>112</v>
      </c>
      <c r="N962" t="s">
        <v>112</v>
      </c>
      <c r="O962">
        <v>2</v>
      </c>
      <c r="P962">
        <v>0</v>
      </c>
      <c r="Q962">
        <v>2</v>
      </c>
      <c r="R962">
        <v>33</v>
      </c>
      <c r="S962" t="s">
        <v>115</v>
      </c>
      <c r="T962" t="s">
        <v>116</v>
      </c>
      <c r="U962" t="s">
        <v>117</v>
      </c>
      <c r="V962" t="s">
        <v>586</v>
      </c>
      <c r="W962" t="s">
        <v>119</v>
      </c>
      <c r="X962" t="s">
        <v>120</v>
      </c>
      <c r="Y962" t="s">
        <v>115</v>
      </c>
      <c r="Z962" t="s">
        <v>116</v>
      </c>
      <c r="AA962" t="s">
        <v>117</v>
      </c>
      <c r="AB962" t="s">
        <v>586</v>
      </c>
      <c r="AC962" t="s">
        <v>119</v>
      </c>
      <c r="AD962" t="s">
        <v>120</v>
      </c>
      <c r="AE962" t="s">
        <v>121</v>
      </c>
      <c r="AF962" t="s">
        <v>122</v>
      </c>
      <c r="AG962">
        <v>4518050.54</v>
      </c>
      <c r="AH962" t="s">
        <v>115</v>
      </c>
      <c r="AI962" t="s">
        <v>116</v>
      </c>
      <c r="AJ962" t="s">
        <v>117</v>
      </c>
      <c r="AK962" t="s">
        <v>586</v>
      </c>
      <c r="AL962" t="s">
        <v>119</v>
      </c>
      <c r="AM962" t="s">
        <v>120</v>
      </c>
      <c r="AN962" t="s">
        <v>121</v>
      </c>
      <c r="AO962" t="s">
        <v>122</v>
      </c>
      <c r="AP962" t="s">
        <v>123</v>
      </c>
      <c r="AQ962" t="s">
        <v>124</v>
      </c>
      <c r="AR962" t="s">
        <v>125</v>
      </c>
      <c r="AS962">
        <v>2</v>
      </c>
      <c r="AT962" t="s">
        <v>126</v>
      </c>
      <c r="AU962" t="s">
        <v>127</v>
      </c>
      <c r="AV962" t="s">
        <v>128</v>
      </c>
      <c r="AW962">
        <v>1</v>
      </c>
      <c r="AX962" t="s">
        <v>129</v>
      </c>
      <c r="AY962">
        <v>51482.92</v>
      </c>
      <c r="AZ962">
        <v>4312410</v>
      </c>
      <c r="BA962">
        <v>58610.29</v>
      </c>
      <c r="BB962">
        <v>83.763900000000007</v>
      </c>
      <c r="BC962" t="s">
        <v>130</v>
      </c>
      <c r="BD962" t="s">
        <v>131</v>
      </c>
      <c r="BE962" t="s">
        <v>132</v>
      </c>
      <c r="BF962" t="s">
        <v>133</v>
      </c>
      <c r="BG962" t="s">
        <v>134</v>
      </c>
      <c r="BH962" t="s">
        <v>112</v>
      </c>
      <c r="BI962" t="s">
        <v>900</v>
      </c>
      <c r="BJ962" t="s">
        <v>112</v>
      </c>
      <c r="BK962" t="s">
        <v>588</v>
      </c>
      <c r="BL962" t="s">
        <v>901</v>
      </c>
      <c r="BM962" t="s">
        <v>902</v>
      </c>
      <c r="BN962" t="s">
        <v>591</v>
      </c>
      <c r="BO962">
        <v>2</v>
      </c>
      <c r="BP962" t="s">
        <v>904</v>
      </c>
      <c r="BR962" t="s">
        <v>141</v>
      </c>
      <c r="BS962">
        <v>33</v>
      </c>
      <c r="BT962">
        <v>0</v>
      </c>
      <c r="BU962">
        <v>0</v>
      </c>
      <c r="BW962">
        <v>0</v>
      </c>
      <c r="BY962" t="s">
        <v>596</v>
      </c>
      <c r="BZ962" t="s">
        <v>597</v>
      </c>
      <c r="CA962" t="s">
        <v>112</v>
      </c>
      <c r="CB962" t="s">
        <v>112</v>
      </c>
      <c r="CC962" t="s">
        <v>143</v>
      </c>
      <c r="CD962">
        <v>10500.32</v>
      </c>
      <c r="CE962" t="s">
        <v>144</v>
      </c>
      <c r="CF962">
        <v>4000000</v>
      </c>
      <c r="CG962">
        <v>9836.4</v>
      </c>
      <c r="CH962">
        <v>0</v>
      </c>
      <c r="CI962" t="s">
        <v>112</v>
      </c>
      <c r="CJ962" t="s">
        <v>112</v>
      </c>
      <c r="CK962">
        <v>36729.699999999997</v>
      </c>
      <c r="CL962">
        <v>3076623</v>
      </c>
      <c r="CM962">
        <v>0</v>
      </c>
      <c r="CN962">
        <v>1</v>
      </c>
      <c r="CO962">
        <v>3223055.62</v>
      </c>
      <c r="CP962">
        <v>41811</v>
      </c>
      <c r="CQ962" t="s">
        <v>145</v>
      </c>
      <c r="CR962">
        <v>41810.601840000003</v>
      </c>
      <c r="CS962">
        <v>4.2506000000000004</v>
      </c>
      <c r="CT962">
        <v>952</v>
      </c>
      <c r="CU962" t="s">
        <v>593</v>
      </c>
      <c r="CV962" t="s">
        <v>792</v>
      </c>
      <c r="CW962">
        <v>0</v>
      </c>
    </row>
    <row r="963" spans="1:101" x14ac:dyDescent="0.2">
      <c r="A963" s="8" t="s">
        <v>106</v>
      </c>
      <c r="B963" s="46">
        <v>44955</v>
      </c>
      <c r="C963" s="8" t="s">
        <v>2347</v>
      </c>
      <c r="D963" s="8" t="s">
        <v>583</v>
      </c>
      <c r="E963" s="8" t="s">
        <v>2348</v>
      </c>
      <c r="F963" t="s">
        <v>3244</v>
      </c>
      <c r="G963" s="8" t="s">
        <v>111</v>
      </c>
      <c r="H963" s="8" t="s">
        <v>112</v>
      </c>
      <c r="I963" s="8" t="s">
        <v>112</v>
      </c>
      <c r="J963" s="8" t="s">
        <v>112</v>
      </c>
      <c r="K963" s="8" t="s">
        <v>2349</v>
      </c>
      <c r="L963" s="8" t="s">
        <v>2350</v>
      </c>
      <c r="M963" s="8" t="s">
        <v>112</v>
      </c>
      <c r="N963" s="8" t="s">
        <v>112</v>
      </c>
      <c r="O963">
        <v>1</v>
      </c>
      <c r="P963">
        <v>0</v>
      </c>
      <c r="Q963">
        <v>1</v>
      </c>
      <c r="R963">
        <v>30</v>
      </c>
      <c r="S963" s="8" t="s">
        <v>2351</v>
      </c>
      <c r="T963" s="8" t="s">
        <v>2352</v>
      </c>
      <c r="U963" s="8" t="s">
        <v>2353</v>
      </c>
      <c r="V963" s="8" t="s">
        <v>2354</v>
      </c>
      <c r="W963" s="8" t="s">
        <v>119</v>
      </c>
      <c r="X963" s="8" t="s">
        <v>2140</v>
      </c>
      <c r="Y963" s="8" t="s">
        <v>2351</v>
      </c>
      <c r="Z963" s="8" t="s">
        <v>2352</v>
      </c>
      <c r="AA963" s="8" t="s">
        <v>2353</v>
      </c>
      <c r="AB963" s="8" t="s">
        <v>2354</v>
      </c>
      <c r="AC963" s="8" t="s">
        <v>119</v>
      </c>
      <c r="AD963" s="8" t="s">
        <v>2140</v>
      </c>
      <c r="AE963" s="8" t="s">
        <v>2355</v>
      </c>
      <c r="AF963" s="8" t="s">
        <v>2356</v>
      </c>
      <c r="AG963">
        <v>10181566.199999901</v>
      </c>
      <c r="AH963" s="8" t="s">
        <v>2351</v>
      </c>
      <c r="AI963" s="8" t="s">
        <v>2352</v>
      </c>
      <c r="AJ963" s="8" t="s">
        <v>2353</v>
      </c>
      <c r="AK963" s="8" t="s">
        <v>2354</v>
      </c>
      <c r="AL963" s="8" t="s">
        <v>119</v>
      </c>
      <c r="AM963" s="8" t="s">
        <v>2140</v>
      </c>
      <c r="AN963" s="8" t="s">
        <v>2355</v>
      </c>
      <c r="AO963" s="8" t="s">
        <v>2356</v>
      </c>
      <c r="AP963" s="8" t="s">
        <v>2356</v>
      </c>
      <c r="AQ963" s="8" t="s">
        <v>124</v>
      </c>
      <c r="AR963" s="8" t="s">
        <v>125</v>
      </c>
      <c r="AS963">
        <v>2</v>
      </c>
      <c r="AT963" s="8" t="s">
        <v>126</v>
      </c>
      <c r="AU963" s="8" t="s">
        <v>127</v>
      </c>
      <c r="AV963" s="8" t="s">
        <v>2357</v>
      </c>
      <c r="AW963">
        <v>1</v>
      </c>
      <c r="AX963" s="8" t="s">
        <v>129</v>
      </c>
      <c r="AY963">
        <v>132770</v>
      </c>
      <c r="AZ963">
        <v>10045378</v>
      </c>
      <c r="BA963">
        <v>142746.71</v>
      </c>
      <c r="BB963">
        <v>75.66</v>
      </c>
      <c r="BC963" s="8" t="s">
        <v>130</v>
      </c>
      <c r="BD963" s="8" t="s">
        <v>131</v>
      </c>
      <c r="BE963" s="8" t="s">
        <v>2358</v>
      </c>
      <c r="BF963" s="8" t="s">
        <v>133</v>
      </c>
      <c r="BG963" s="8" t="s">
        <v>134</v>
      </c>
      <c r="BH963" s="8" t="s">
        <v>112</v>
      </c>
      <c r="BI963" s="8" t="s">
        <v>2359</v>
      </c>
      <c r="BJ963" s="8" t="s">
        <v>2360</v>
      </c>
      <c r="BK963" s="8" t="s">
        <v>2361</v>
      </c>
      <c r="BL963" s="8" t="s">
        <v>2362</v>
      </c>
      <c r="BM963" s="8" t="s">
        <v>2363</v>
      </c>
      <c r="BN963" s="8" t="s">
        <v>2364</v>
      </c>
      <c r="BO963">
        <v>1</v>
      </c>
      <c r="BP963" s="8" t="s">
        <v>2365</v>
      </c>
      <c r="BR963" s="8" t="s">
        <v>2349</v>
      </c>
      <c r="BS963">
        <v>30</v>
      </c>
      <c r="BT963">
        <v>0</v>
      </c>
      <c r="BU963">
        <v>462</v>
      </c>
      <c r="BV963" t="s">
        <v>2147</v>
      </c>
      <c r="BW963">
        <v>0</v>
      </c>
      <c r="BY963" s="8" t="s">
        <v>106</v>
      </c>
      <c r="BZ963" s="8" t="s">
        <v>2148</v>
      </c>
      <c r="CA963" s="8" t="s">
        <v>112</v>
      </c>
      <c r="CB963" s="8" t="s">
        <v>112</v>
      </c>
      <c r="CC963" s="8" t="s">
        <v>2355</v>
      </c>
      <c r="CD963">
        <v>15330.6</v>
      </c>
      <c r="CE963" t="s">
        <v>144</v>
      </c>
      <c r="CF963">
        <v>4000000</v>
      </c>
      <c r="CG963">
        <v>13637.2</v>
      </c>
      <c r="CH963">
        <v>0</v>
      </c>
      <c r="CI963" s="8" t="s">
        <v>112</v>
      </c>
      <c r="CJ963" s="8" t="s">
        <v>112</v>
      </c>
      <c r="CK963">
        <v>132770</v>
      </c>
      <c r="CL963">
        <v>10045378</v>
      </c>
      <c r="CM963">
        <v>0</v>
      </c>
      <c r="CN963">
        <v>1</v>
      </c>
      <c r="CO963">
        <v>10181566.199999901</v>
      </c>
      <c r="CP963">
        <v>142746.71</v>
      </c>
      <c r="CQ963" s="8" t="s">
        <v>145</v>
      </c>
      <c r="CR963">
        <v>10.467499999999999</v>
      </c>
      <c r="CS963">
        <v>1175</v>
      </c>
      <c r="CT963">
        <v>220714</v>
      </c>
      <c r="CV963" t="s">
        <v>2366</v>
      </c>
      <c r="CW963">
        <v>0</v>
      </c>
    </row>
    <row r="964" spans="1:101" x14ac:dyDescent="0.2">
      <c r="A964" s="8" t="s">
        <v>106</v>
      </c>
      <c r="B964" s="46">
        <v>44638</v>
      </c>
      <c r="C964" s="8" t="s">
        <v>2487</v>
      </c>
      <c r="D964" s="8" t="s">
        <v>583</v>
      </c>
      <c r="E964" s="8" t="s">
        <v>2488</v>
      </c>
      <c r="F964" t="s">
        <v>3244</v>
      </c>
      <c r="G964" s="8" t="s">
        <v>111</v>
      </c>
      <c r="H964" s="8" t="s">
        <v>112</v>
      </c>
      <c r="I964" s="8" t="s">
        <v>112</v>
      </c>
      <c r="J964" s="8" t="s">
        <v>112</v>
      </c>
      <c r="K964" s="8" t="s">
        <v>2458</v>
      </c>
      <c r="L964" s="8" t="s">
        <v>2459</v>
      </c>
      <c r="M964" s="8" t="s">
        <v>112</v>
      </c>
      <c r="N964" s="8" t="s">
        <v>112</v>
      </c>
      <c r="O964">
        <v>1</v>
      </c>
      <c r="P964">
        <v>0</v>
      </c>
      <c r="Q964">
        <v>1</v>
      </c>
      <c r="R964">
        <v>40</v>
      </c>
      <c r="S964" s="8" t="s">
        <v>2460</v>
      </c>
      <c r="T964" s="8" t="s">
        <v>2461</v>
      </c>
      <c r="U964" s="8" t="s">
        <v>2462</v>
      </c>
      <c r="V964" s="8" t="s">
        <v>2463</v>
      </c>
      <c r="W964" s="8" t="s">
        <v>119</v>
      </c>
      <c r="X964" s="8" t="s">
        <v>112</v>
      </c>
      <c r="Y964" s="8" t="s">
        <v>2460</v>
      </c>
      <c r="Z964" s="8" t="s">
        <v>2461</v>
      </c>
      <c r="AA964" s="8" t="s">
        <v>2462</v>
      </c>
      <c r="AB964" s="8" t="s">
        <v>2463</v>
      </c>
      <c r="AC964" s="8" t="s">
        <v>119</v>
      </c>
      <c r="AD964" s="8" t="s">
        <v>112</v>
      </c>
      <c r="AE964" s="8" t="s">
        <v>2163</v>
      </c>
      <c r="AF964" s="8" t="s">
        <v>2164</v>
      </c>
      <c r="AG964">
        <v>4939503.8499999903</v>
      </c>
      <c r="AH964" s="8" t="s">
        <v>2460</v>
      </c>
      <c r="AI964" s="8" t="s">
        <v>2461</v>
      </c>
      <c r="AJ964" s="8" t="s">
        <v>2462</v>
      </c>
      <c r="AK964" s="8" t="s">
        <v>2463</v>
      </c>
      <c r="AL964" s="8" t="s">
        <v>119</v>
      </c>
      <c r="AM964" s="8" t="s">
        <v>112</v>
      </c>
      <c r="AN964" s="8" t="s">
        <v>2163</v>
      </c>
      <c r="AO964" s="8" t="s">
        <v>2164</v>
      </c>
      <c r="AP964" s="8" t="s">
        <v>2164</v>
      </c>
      <c r="AQ964" s="8" t="s">
        <v>124</v>
      </c>
      <c r="AR964" s="8" t="s">
        <v>125</v>
      </c>
      <c r="AS964">
        <v>2</v>
      </c>
      <c r="AT964" s="8" t="s">
        <v>126</v>
      </c>
      <c r="AU964" s="8" t="s">
        <v>127</v>
      </c>
      <c r="AV964" s="8" t="s">
        <v>2464</v>
      </c>
      <c r="AW964">
        <v>1</v>
      </c>
      <c r="AX964" s="8" t="s">
        <v>129</v>
      </c>
      <c r="AY964">
        <v>61683.86</v>
      </c>
      <c r="AZ964">
        <v>4479642</v>
      </c>
      <c r="BA964">
        <v>72163.59</v>
      </c>
      <c r="BB964">
        <v>72.622600000000006</v>
      </c>
      <c r="BC964" s="8" t="s">
        <v>130</v>
      </c>
      <c r="BD964" s="8" t="s">
        <v>746</v>
      </c>
      <c r="BE964" s="8" t="s">
        <v>2465</v>
      </c>
      <c r="BF964" s="8" t="s">
        <v>133</v>
      </c>
      <c r="BG964" s="8" t="s">
        <v>167</v>
      </c>
      <c r="BH964" s="8" t="s">
        <v>587</v>
      </c>
      <c r="BI964" s="8" t="s">
        <v>112</v>
      </c>
      <c r="BJ964" s="8" t="s">
        <v>112</v>
      </c>
      <c r="BK964" s="8" t="s">
        <v>588</v>
      </c>
      <c r="BL964" s="8" t="s">
        <v>901</v>
      </c>
      <c r="BM964" s="8" t="s">
        <v>590</v>
      </c>
      <c r="BN964" s="8" t="s">
        <v>591</v>
      </c>
      <c r="BO964">
        <v>1</v>
      </c>
      <c r="BP964" s="8" t="s">
        <v>2466</v>
      </c>
      <c r="BR964" s="8" t="s">
        <v>2458</v>
      </c>
      <c r="BS964">
        <v>40</v>
      </c>
      <c r="BT964">
        <v>0</v>
      </c>
      <c r="BU964">
        <v>38</v>
      </c>
      <c r="BV964" t="s">
        <v>2147</v>
      </c>
      <c r="BW964">
        <v>0</v>
      </c>
      <c r="BY964" s="8" t="s">
        <v>106</v>
      </c>
      <c r="BZ964" s="8" t="s">
        <v>2467</v>
      </c>
      <c r="CA964" s="8" t="s">
        <v>112</v>
      </c>
      <c r="CB964" s="8" t="s">
        <v>112</v>
      </c>
      <c r="CC964" s="8" t="s">
        <v>2163</v>
      </c>
      <c r="CD964">
        <v>19543.5999999999</v>
      </c>
      <c r="CE964" t="s">
        <v>144</v>
      </c>
      <c r="CF964">
        <v>4000000</v>
      </c>
      <c r="CG964">
        <v>18741.5999999999</v>
      </c>
      <c r="CH964">
        <v>0</v>
      </c>
      <c r="CI964" s="8" t="s">
        <v>112</v>
      </c>
      <c r="CJ964" s="8" t="s">
        <v>112</v>
      </c>
      <c r="CK964">
        <v>61683.86</v>
      </c>
      <c r="CL964">
        <v>4479642</v>
      </c>
      <c r="CM964">
        <v>0</v>
      </c>
      <c r="CN964">
        <v>1</v>
      </c>
      <c r="CO964">
        <v>4939503.8499999903</v>
      </c>
      <c r="CP964">
        <v>72163.59</v>
      </c>
      <c r="CQ964" s="8" t="s">
        <v>145</v>
      </c>
      <c r="CR964">
        <v>3.8504</v>
      </c>
      <c r="CV964" t="s">
        <v>2468</v>
      </c>
      <c r="CW964">
        <v>1561</v>
      </c>
    </row>
    <row r="965" spans="1:101" x14ac:dyDescent="0.2">
      <c r="A965" s="8" t="s">
        <v>106</v>
      </c>
      <c r="B965" s="46">
        <v>44736</v>
      </c>
      <c r="C965" s="8" t="s">
        <v>2456</v>
      </c>
      <c r="D965" s="8" t="s">
        <v>583</v>
      </c>
      <c r="E965" s="8" t="s">
        <v>2457</v>
      </c>
      <c r="F965" t="s">
        <v>3244</v>
      </c>
      <c r="G965" s="8" t="s">
        <v>111</v>
      </c>
      <c r="H965" s="8" t="s">
        <v>112</v>
      </c>
      <c r="I965" s="8" t="s">
        <v>112</v>
      </c>
      <c r="J965" s="8" t="s">
        <v>112</v>
      </c>
      <c r="K965" s="8" t="s">
        <v>2458</v>
      </c>
      <c r="L965" s="8" t="s">
        <v>2459</v>
      </c>
      <c r="M965" s="8" t="s">
        <v>112</v>
      </c>
      <c r="N965" s="8" t="s">
        <v>112</v>
      </c>
      <c r="O965">
        <v>2</v>
      </c>
      <c r="P965">
        <v>0</v>
      </c>
      <c r="Q965">
        <v>2</v>
      </c>
      <c r="R965">
        <v>194</v>
      </c>
      <c r="S965" s="8" t="s">
        <v>2460</v>
      </c>
      <c r="T965" s="8" t="s">
        <v>2461</v>
      </c>
      <c r="U965" s="8" t="s">
        <v>2462</v>
      </c>
      <c r="V965" s="8" t="s">
        <v>2463</v>
      </c>
      <c r="W965" s="8" t="s">
        <v>119</v>
      </c>
      <c r="X965" s="8" t="s">
        <v>112</v>
      </c>
      <c r="Y965" s="8" t="s">
        <v>2460</v>
      </c>
      <c r="Z965" s="8" t="s">
        <v>2461</v>
      </c>
      <c r="AA965" s="8" t="s">
        <v>2462</v>
      </c>
      <c r="AB965" s="8" t="s">
        <v>2463</v>
      </c>
      <c r="AC965" s="8" t="s">
        <v>119</v>
      </c>
      <c r="AD965" s="8" t="s">
        <v>112</v>
      </c>
      <c r="AE965" s="8" t="s">
        <v>2163</v>
      </c>
      <c r="AF965" s="8" t="s">
        <v>2164</v>
      </c>
      <c r="AG965">
        <v>6984509.7800000003</v>
      </c>
      <c r="AH965" s="8" t="s">
        <v>2460</v>
      </c>
      <c r="AI965" s="8" t="s">
        <v>2461</v>
      </c>
      <c r="AJ965" s="8" t="s">
        <v>2462</v>
      </c>
      <c r="AK965" s="8" t="s">
        <v>2463</v>
      </c>
      <c r="AL965" s="8" t="s">
        <v>119</v>
      </c>
      <c r="AM965" s="8" t="s">
        <v>112</v>
      </c>
      <c r="AN965" s="8" t="s">
        <v>2163</v>
      </c>
      <c r="AO965" s="8" t="s">
        <v>2164</v>
      </c>
      <c r="AP965" s="8" t="s">
        <v>2164</v>
      </c>
      <c r="AQ965" s="8" t="s">
        <v>124</v>
      </c>
      <c r="AR965" s="8" t="s">
        <v>125</v>
      </c>
      <c r="AS965">
        <v>2</v>
      </c>
      <c r="AT965" s="8" t="s">
        <v>126</v>
      </c>
      <c r="AU965" s="8" t="s">
        <v>127</v>
      </c>
      <c r="AV965" s="8" t="s">
        <v>2464</v>
      </c>
      <c r="AW965">
        <v>1</v>
      </c>
      <c r="AX965" s="8" t="s">
        <v>129</v>
      </c>
      <c r="AY965">
        <v>89771</v>
      </c>
      <c r="AZ965">
        <v>6519403</v>
      </c>
      <c r="BA965">
        <v>102040.07</v>
      </c>
      <c r="BB965">
        <v>72.622600000000006</v>
      </c>
      <c r="BC965" s="8" t="s">
        <v>130</v>
      </c>
      <c r="BD965" s="8" t="s">
        <v>746</v>
      </c>
      <c r="BE965" s="8" t="s">
        <v>2465</v>
      </c>
      <c r="BF965" s="8" t="s">
        <v>133</v>
      </c>
      <c r="BG965" s="8" t="s">
        <v>167</v>
      </c>
      <c r="BH965" s="8" t="s">
        <v>587</v>
      </c>
      <c r="BI965" s="8" t="s">
        <v>112</v>
      </c>
      <c r="BJ965" s="8" t="s">
        <v>112</v>
      </c>
      <c r="BK965" s="8" t="s">
        <v>588</v>
      </c>
      <c r="BL965" s="8" t="s">
        <v>901</v>
      </c>
      <c r="BM965" s="8" t="s">
        <v>590</v>
      </c>
      <c r="BN965" s="8" t="s">
        <v>591</v>
      </c>
      <c r="BO965">
        <v>1</v>
      </c>
      <c r="BP965" s="8" t="s">
        <v>2466</v>
      </c>
      <c r="BR965" s="8" t="s">
        <v>2458</v>
      </c>
      <c r="BS965">
        <v>192</v>
      </c>
      <c r="BT965">
        <v>0</v>
      </c>
      <c r="BU965">
        <v>117</v>
      </c>
      <c r="BV965" t="s">
        <v>2147</v>
      </c>
      <c r="BW965">
        <v>0</v>
      </c>
      <c r="BY965" s="8" t="s">
        <v>106</v>
      </c>
      <c r="BZ965" s="8" t="s">
        <v>2467</v>
      </c>
      <c r="CA965" s="8" t="s">
        <v>112</v>
      </c>
      <c r="CB965" s="8" t="s">
        <v>112</v>
      </c>
      <c r="CC965" s="8" t="s">
        <v>2163</v>
      </c>
      <c r="CD965">
        <v>19735</v>
      </c>
      <c r="CE965" t="s">
        <v>144</v>
      </c>
      <c r="CF965">
        <v>4000000</v>
      </c>
      <c r="CG965">
        <v>18542.5</v>
      </c>
      <c r="CH965">
        <v>0</v>
      </c>
      <c r="CI965" s="8" t="s">
        <v>112</v>
      </c>
      <c r="CJ965" s="8" t="s">
        <v>112</v>
      </c>
      <c r="CK965">
        <v>87600.89</v>
      </c>
      <c r="CL965">
        <v>6361804</v>
      </c>
      <c r="CM965">
        <v>0</v>
      </c>
      <c r="CN965">
        <v>1</v>
      </c>
      <c r="CO965">
        <v>6826150.3899999904</v>
      </c>
      <c r="CP965">
        <v>99726.52</v>
      </c>
      <c r="CQ965" s="8" t="s">
        <v>145</v>
      </c>
      <c r="CR965">
        <v>5.3783000000000003</v>
      </c>
      <c r="CV965" t="s">
        <v>2468</v>
      </c>
      <c r="CW965">
        <v>1045</v>
      </c>
    </row>
    <row r="966" spans="1:101" x14ac:dyDescent="0.2">
      <c r="A966" t="s">
        <v>106</v>
      </c>
      <c r="B966" s="46">
        <v>45104</v>
      </c>
      <c r="C966" t="s">
        <v>676</v>
      </c>
      <c r="D966" t="s">
        <v>583</v>
      </c>
      <c r="E966" t="s">
        <v>677</v>
      </c>
      <c r="F966" t="s">
        <v>110</v>
      </c>
      <c r="G966" t="s">
        <v>111</v>
      </c>
      <c r="H966" t="s">
        <v>112</v>
      </c>
      <c r="I966" t="s">
        <v>112</v>
      </c>
      <c r="J966" t="s">
        <v>112</v>
      </c>
      <c r="K966" t="s">
        <v>113</v>
      </c>
      <c r="L966" t="s">
        <v>585</v>
      </c>
      <c r="M966" t="s">
        <v>112</v>
      </c>
      <c r="N966" t="s">
        <v>112</v>
      </c>
      <c r="O966">
        <v>2</v>
      </c>
      <c r="P966">
        <v>0</v>
      </c>
      <c r="Q966">
        <v>2</v>
      </c>
      <c r="R966">
        <v>33</v>
      </c>
      <c r="S966" t="s">
        <v>115</v>
      </c>
      <c r="T966" t="s">
        <v>116</v>
      </c>
      <c r="U966" t="s">
        <v>117</v>
      </c>
      <c r="V966" t="s">
        <v>586</v>
      </c>
      <c r="W966" t="s">
        <v>119</v>
      </c>
      <c r="X966" t="s">
        <v>120</v>
      </c>
      <c r="Y966" t="s">
        <v>115</v>
      </c>
      <c r="Z966" t="s">
        <v>116</v>
      </c>
      <c r="AA966" t="s">
        <v>117</v>
      </c>
      <c r="AB966" t="s">
        <v>586</v>
      </c>
      <c r="AC966" t="s">
        <v>119</v>
      </c>
      <c r="AD966" t="s">
        <v>120</v>
      </c>
      <c r="AE966" t="s">
        <v>121</v>
      </c>
      <c r="AF966" t="s">
        <v>122</v>
      </c>
      <c r="AG966">
        <v>4072946.35</v>
      </c>
      <c r="AH966" t="s">
        <v>115</v>
      </c>
      <c r="AI966" t="s">
        <v>116</v>
      </c>
      <c r="AJ966" t="s">
        <v>117</v>
      </c>
      <c r="AK966" t="s">
        <v>586</v>
      </c>
      <c r="AL966" t="s">
        <v>119</v>
      </c>
      <c r="AM966" t="s">
        <v>120</v>
      </c>
      <c r="AN966" t="s">
        <v>121</v>
      </c>
      <c r="AO966" t="s">
        <v>122</v>
      </c>
      <c r="AP966" t="s">
        <v>123</v>
      </c>
      <c r="AQ966" t="s">
        <v>124</v>
      </c>
      <c r="AR966" t="s">
        <v>125</v>
      </c>
      <c r="AS966">
        <v>2</v>
      </c>
      <c r="AT966" t="s">
        <v>126</v>
      </c>
      <c r="AU966" t="s">
        <v>127</v>
      </c>
      <c r="AV966" t="s">
        <v>128</v>
      </c>
      <c r="AW966">
        <v>1</v>
      </c>
      <c r="AX966" t="s">
        <v>129</v>
      </c>
      <c r="AY966">
        <v>48730.93</v>
      </c>
      <c r="AZ966">
        <v>3877598</v>
      </c>
      <c r="BA966">
        <v>54517.7</v>
      </c>
      <c r="BB966">
        <v>79.571600000000004</v>
      </c>
      <c r="BC966" t="s">
        <v>130</v>
      </c>
      <c r="BD966" t="s">
        <v>131</v>
      </c>
      <c r="BE966" t="s">
        <v>132</v>
      </c>
      <c r="BF966" t="s">
        <v>133</v>
      </c>
      <c r="BG966" t="s">
        <v>167</v>
      </c>
      <c r="BH966" t="s">
        <v>587</v>
      </c>
      <c r="BI966" t="s">
        <v>112</v>
      </c>
      <c r="BJ966" t="s">
        <v>112</v>
      </c>
      <c r="BK966" t="s">
        <v>588</v>
      </c>
      <c r="BL966" t="s">
        <v>589</v>
      </c>
      <c r="BM966" t="s">
        <v>590</v>
      </c>
      <c r="BN966" t="s">
        <v>591</v>
      </c>
      <c r="BO966">
        <v>1</v>
      </c>
      <c r="BP966" t="s">
        <v>678</v>
      </c>
      <c r="BR966" t="s">
        <v>141</v>
      </c>
      <c r="BS966">
        <v>18</v>
      </c>
      <c r="BT966">
        <v>0</v>
      </c>
      <c r="BU966">
        <v>0</v>
      </c>
      <c r="BW966">
        <v>0</v>
      </c>
      <c r="BY966" t="s">
        <v>106</v>
      </c>
      <c r="BZ966" t="s">
        <v>142</v>
      </c>
      <c r="CA966" t="s">
        <v>112</v>
      </c>
      <c r="CB966" t="s">
        <v>112</v>
      </c>
      <c r="CC966" t="s">
        <v>143</v>
      </c>
      <c r="CD966">
        <v>7752.72</v>
      </c>
      <c r="CE966" t="s">
        <v>144</v>
      </c>
      <c r="CF966">
        <v>4000000</v>
      </c>
      <c r="CG966">
        <v>7356.2</v>
      </c>
      <c r="CH966">
        <v>0</v>
      </c>
      <c r="CI966" t="s">
        <v>112</v>
      </c>
      <c r="CJ966" t="s">
        <v>112</v>
      </c>
      <c r="CK966">
        <v>26506.29</v>
      </c>
      <c r="CL966">
        <v>2109148</v>
      </c>
      <c r="CM966">
        <v>0</v>
      </c>
      <c r="CN966">
        <v>1</v>
      </c>
      <c r="CO966">
        <v>2212840.0499999998</v>
      </c>
      <c r="CP966">
        <v>29619.58</v>
      </c>
      <c r="CQ966" t="s">
        <v>145</v>
      </c>
      <c r="CR966">
        <v>29619.739300000001</v>
      </c>
      <c r="CS966">
        <v>4.0265000000000004</v>
      </c>
      <c r="CT966">
        <v>952</v>
      </c>
      <c r="CU966" t="s">
        <v>593</v>
      </c>
      <c r="CV966" t="s">
        <v>594</v>
      </c>
      <c r="CW966">
        <v>0</v>
      </c>
    </row>
    <row r="967" spans="1:101" x14ac:dyDescent="0.2">
      <c r="A967" t="s">
        <v>106</v>
      </c>
      <c r="B967" s="46">
        <v>45218</v>
      </c>
      <c r="C967" t="s">
        <v>676</v>
      </c>
      <c r="D967" t="s">
        <v>583</v>
      </c>
      <c r="E967" t="s">
        <v>677</v>
      </c>
      <c r="F967" t="s">
        <v>110</v>
      </c>
      <c r="G967" t="s">
        <v>111</v>
      </c>
      <c r="H967" t="s">
        <v>112</v>
      </c>
      <c r="I967" t="s">
        <v>112</v>
      </c>
      <c r="J967" t="s">
        <v>112</v>
      </c>
      <c r="K967" t="s">
        <v>113</v>
      </c>
      <c r="L967" t="s">
        <v>585</v>
      </c>
      <c r="M967" t="s">
        <v>112</v>
      </c>
      <c r="N967" t="s">
        <v>112</v>
      </c>
      <c r="O967">
        <v>2</v>
      </c>
      <c r="P967">
        <v>0</v>
      </c>
      <c r="Q967">
        <v>2</v>
      </c>
      <c r="R967">
        <v>33</v>
      </c>
      <c r="S967" t="s">
        <v>115</v>
      </c>
      <c r="T967" t="s">
        <v>116</v>
      </c>
      <c r="U967" t="s">
        <v>117</v>
      </c>
      <c r="V967" t="s">
        <v>586</v>
      </c>
      <c r="W967" t="s">
        <v>119</v>
      </c>
      <c r="X967" t="s">
        <v>120</v>
      </c>
      <c r="Y967" t="s">
        <v>115</v>
      </c>
      <c r="Z967" t="s">
        <v>116</v>
      </c>
      <c r="AA967" t="s">
        <v>117</v>
      </c>
      <c r="AB967" t="s">
        <v>586</v>
      </c>
      <c r="AC967" t="s">
        <v>119</v>
      </c>
      <c r="AD967" t="s">
        <v>120</v>
      </c>
      <c r="AE967" t="s">
        <v>121</v>
      </c>
      <c r="AF967" t="s">
        <v>122</v>
      </c>
      <c r="AG967">
        <v>4072946.35</v>
      </c>
      <c r="AH967" t="s">
        <v>115</v>
      </c>
      <c r="AI967" t="s">
        <v>116</v>
      </c>
      <c r="AJ967" t="s">
        <v>117</v>
      </c>
      <c r="AK967" t="s">
        <v>586</v>
      </c>
      <c r="AL967" t="s">
        <v>119</v>
      </c>
      <c r="AM967" t="s">
        <v>120</v>
      </c>
      <c r="AN967" t="s">
        <v>121</v>
      </c>
      <c r="AO967" t="s">
        <v>122</v>
      </c>
      <c r="AP967" t="s">
        <v>123</v>
      </c>
      <c r="AQ967" t="s">
        <v>124</v>
      </c>
      <c r="AR967" t="s">
        <v>125</v>
      </c>
      <c r="AS967">
        <v>2</v>
      </c>
      <c r="AT967" t="s">
        <v>126</v>
      </c>
      <c r="AU967" t="s">
        <v>127</v>
      </c>
      <c r="AV967" t="s">
        <v>128</v>
      </c>
      <c r="AW967">
        <v>1</v>
      </c>
      <c r="AX967" t="s">
        <v>129</v>
      </c>
      <c r="AY967">
        <v>48730.93</v>
      </c>
      <c r="AZ967">
        <v>3877598</v>
      </c>
      <c r="BA967">
        <v>54517.7</v>
      </c>
      <c r="BB967">
        <v>79.571600000000004</v>
      </c>
      <c r="BC967" t="s">
        <v>130</v>
      </c>
      <c r="BD967" t="s">
        <v>131</v>
      </c>
      <c r="BE967" t="s">
        <v>132</v>
      </c>
      <c r="BF967" t="s">
        <v>133</v>
      </c>
      <c r="BG967" t="s">
        <v>167</v>
      </c>
      <c r="BH967" t="s">
        <v>587</v>
      </c>
      <c r="BI967" t="s">
        <v>112</v>
      </c>
      <c r="BJ967" t="s">
        <v>112</v>
      </c>
      <c r="BK967" t="s">
        <v>588</v>
      </c>
      <c r="BL967" t="s">
        <v>589</v>
      </c>
      <c r="BM967" t="s">
        <v>590</v>
      </c>
      <c r="BN967" t="s">
        <v>591</v>
      </c>
      <c r="BO967">
        <v>2</v>
      </c>
      <c r="BP967" t="s">
        <v>595</v>
      </c>
      <c r="BR967" t="s">
        <v>141</v>
      </c>
      <c r="BS967">
        <v>15</v>
      </c>
      <c r="BT967">
        <v>0</v>
      </c>
      <c r="BU967">
        <v>0</v>
      </c>
      <c r="BW967">
        <v>0</v>
      </c>
      <c r="BY967" t="s">
        <v>596</v>
      </c>
      <c r="BZ967" t="s">
        <v>597</v>
      </c>
      <c r="CA967" t="s">
        <v>112</v>
      </c>
      <c r="CB967" t="s">
        <v>112</v>
      </c>
      <c r="CC967" t="s">
        <v>143</v>
      </c>
      <c r="CD967">
        <v>6852.8</v>
      </c>
      <c r="CE967" t="s">
        <v>144</v>
      </c>
      <c r="CF967">
        <v>4000000</v>
      </c>
      <c r="CG967">
        <v>6492.8</v>
      </c>
      <c r="CH967">
        <v>0</v>
      </c>
      <c r="CI967" t="s">
        <v>112</v>
      </c>
      <c r="CJ967" t="s">
        <v>112</v>
      </c>
      <c r="CK967">
        <v>22224.639999999999</v>
      </c>
      <c r="CL967">
        <v>1768450</v>
      </c>
      <c r="CM967">
        <v>0</v>
      </c>
      <c r="CN967">
        <v>1</v>
      </c>
      <c r="CO967">
        <v>1860106.3</v>
      </c>
      <c r="CP967">
        <v>24898.12</v>
      </c>
      <c r="CQ967" t="s">
        <v>145</v>
      </c>
      <c r="CR967">
        <v>24897.940160000002</v>
      </c>
      <c r="CS967">
        <v>3.8347000000000002</v>
      </c>
      <c r="CT967">
        <v>952</v>
      </c>
      <c r="CU967" t="s">
        <v>593</v>
      </c>
      <c r="CV967" t="s">
        <v>594</v>
      </c>
      <c r="CW967">
        <v>0</v>
      </c>
    </row>
    <row r="968" spans="1:101" x14ac:dyDescent="0.2">
      <c r="A968" s="8" t="s">
        <v>106</v>
      </c>
      <c r="B968" s="46">
        <v>45125</v>
      </c>
      <c r="C968" s="8" t="s">
        <v>2661</v>
      </c>
      <c r="D968" s="8" t="s">
        <v>583</v>
      </c>
      <c r="E968" s="8" t="s">
        <v>2662</v>
      </c>
      <c r="F968" t="s">
        <v>110</v>
      </c>
      <c r="G968" s="8" t="s">
        <v>111</v>
      </c>
      <c r="H968" s="8" t="s">
        <v>112</v>
      </c>
      <c r="I968" s="8" t="s">
        <v>112</v>
      </c>
      <c r="J968" s="8" t="s">
        <v>112</v>
      </c>
      <c r="K968" s="8" t="s">
        <v>2578</v>
      </c>
      <c r="L968" s="8" t="s">
        <v>2579</v>
      </c>
      <c r="M968" s="8" t="s">
        <v>112</v>
      </c>
      <c r="N968" s="8" t="s">
        <v>112</v>
      </c>
      <c r="O968">
        <v>1</v>
      </c>
      <c r="P968">
        <v>0</v>
      </c>
      <c r="Q968">
        <v>1</v>
      </c>
      <c r="R968">
        <v>10</v>
      </c>
      <c r="S968" s="8" t="s">
        <v>2580</v>
      </c>
      <c r="T968" s="8" t="s">
        <v>2581</v>
      </c>
      <c r="U968" s="8" t="s">
        <v>2582</v>
      </c>
      <c r="V968" s="8" t="s">
        <v>2583</v>
      </c>
      <c r="W968" s="8" t="s">
        <v>2552</v>
      </c>
      <c r="X968" s="8" t="s">
        <v>2584</v>
      </c>
      <c r="Y968" s="8" t="s">
        <v>2580</v>
      </c>
      <c r="Z968" s="8" t="s">
        <v>2581</v>
      </c>
      <c r="AA968" s="8" t="s">
        <v>2582</v>
      </c>
      <c r="AB968" s="8" t="s">
        <v>2583</v>
      </c>
      <c r="AC968" s="8" t="s">
        <v>2552</v>
      </c>
      <c r="AD968" s="8" t="s">
        <v>2584</v>
      </c>
      <c r="AE968" s="8" t="s">
        <v>2163</v>
      </c>
      <c r="AF968" s="8" t="s">
        <v>2164</v>
      </c>
      <c r="AG968">
        <v>2774012.75</v>
      </c>
      <c r="AH968" s="8" t="s">
        <v>2580</v>
      </c>
      <c r="AI968" s="8" t="s">
        <v>2581</v>
      </c>
      <c r="AJ968" s="8" t="s">
        <v>2582</v>
      </c>
      <c r="AK968" s="8" t="s">
        <v>2583</v>
      </c>
      <c r="AL968" s="8" t="s">
        <v>2552</v>
      </c>
      <c r="AM968" s="8" t="s">
        <v>2584</v>
      </c>
      <c r="AN968" s="8" t="s">
        <v>2163</v>
      </c>
      <c r="AO968" s="8" t="s">
        <v>2164</v>
      </c>
      <c r="AP968" s="8" t="s">
        <v>2164</v>
      </c>
      <c r="AQ968" s="8" t="s">
        <v>124</v>
      </c>
      <c r="AR968" s="8" t="s">
        <v>125</v>
      </c>
      <c r="AS968">
        <v>2</v>
      </c>
      <c r="AT968" s="8" t="s">
        <v>126</v>
      </c>
      <c r="AU968" s="8" t="s">
        <v>155</v>
      </c>
      <c r="AV968" s="8" t="s">
        <v>2609</v>
      </c>
      <c r="AW968">
        <v>1</v>
      </c>
      <c r="AX968" s="8" t="s">
        <v>129</v>
      </c>
      <c r="AY968">
        <v>32479</v>
      </c>
      <c r="AZ968">
        <v>2372289</v>
      </c>
      <c r="BA968">
        <v>40392.75</v>
      </c>
      <c r="BB968">
        <v>73.040700000000001</v>
      </c>
      <c r="BC968" s="8" t="s">
        <v>130</v>
      </c>
      <c r="BD968" s="8" t="s">
        <v>131</v>
      </c>
      <c r="BE968" s="8" t="s">
        <v>2586</v>
      </c>
      <c r="BF968" s="8" t="s">
        <v>133</v>
      </c>
      <c r="BG968" s="8" t="s">
        <v>134</v>
      </c>
      <c r="BH968" s="8" t="s">
        <v>112</v>
      </c>
      <c r="BI968" s="8" t="s">
        <v>112</v>
      </c>
      <c r="BJ968" s="8" t="s">
        <v>112</v>
      </c>
      <c r="BK968" s="8" t="s">
        <v>2587</v>
      </c>
      <c r="BL968" s="8" t="s">
        <v>2588</v>
      </c>
      <c r="BM968" s="8" t="s">
        <v>2589</v>
      </c>
      <c r="BN968" s="8" t="s">
        <v>2590</v>
      </c>
      <c r="BO968">
        <v>1</v>
      </c>
      <c r="BP968" s="8" t="s">
        <v>2591</v>
      </c>
      <c r="BR968" s="8" t="s">
        <v>2578</v>
      </c>
      <c r="BS968">
        <v>10</v>
      </c>
      <c r="BT968">
        <v>0</v>
      </c>
      <c r="BU968">
        <v>5</v>
      </c>
      <c r="BV968" t="s">
        <v>2147</v>
      </c>
      <c r="BW968">
        <v>0</v>
      </c>
      <c r="BY968" s="8" t="s">
        <v>106</v>
      </c>
      <c r="BZ968" s="8" t="s">
        <v>2148</v>
      </c>
      <c r="CA968" s="8" t="s">
        <v>112</v>
      </c>
      <c r="CB968" s="8" t="s">
        <v>112</v>
      </c>
      <c r="CC968" s="8" t="s">
        <v>2163</v>
      </c>
      <c r="CD968">
        <v>16262</v>
      </c>
      <c r="CE968" t="s">
        <v>144</v>
      </c>
      <c r="CF968">
        <v>4000000</v>
      </c>
      <c r="CG968">
        <v>16229</v>
      </c>
      <c r="CH968">
        <v>0</v>
      </c>
      <c r="CI968" s="8" t="s">
        <v>112</v>
      </c>
      <c r="CJ968" s="8" t="s">
        <v>112</v>
      </c>
      <c r="CK968">
        <v>32479</v>
      </c>
      <c r="CL968">
        <v>2372289</v>
      </c>
      <c r="CM968">
        <v>0</v>
      </c>
      <c r="CN968">
        <v>1</v>
      </c>
      <c r="CO968">
        <v>2774012.75</v>
      </c>
      <c r="CP968">
        <v>40392.75</v>
      </c>
      <c r="CQ968" s="8" t="s">
        <v>145</v>
      </c>
      <c r="CR968">
        <v>2.4889000000000001</v>
      </c>
      <c r="CS968">
        <v>1239</v>
      </c>
      <c r="CT968" t="s">
        <v>2592</v>
      </c>
      <c r="CV968" t="s">
        <v>2593</v>
      </c>
      <c r="CW968">
        <v>0</v>
      </c>
    </row>
    <row r="969" spans="1:101" x14ac:dyDescent="0.2">
      <c r="A969" s="8" t="s">
        <v>106</v>
      </c>
      <c r="B969" s="46">
        <v>45049</v>
      </c>
      <c r="C969" s="8" t="s">
        <v>2607</v>
      </c>
      <c r="D969" s="8" t="s">
        <v>583</v>
      </c>
      <c r="E969" s="8" t="s">
        <v>2608</v>
      </c>
      <c r="F969" t="s">
        <v>110</v>
      </c>
      <c r="G969" s="8" t="s">
        <v>111</v>
      </c>
      <c r="H969" s="8" t="s">
        <v>112</v>
      </c>
      <c r="I969" s="8" t="s">
        <v>112</v>
      </c>
      <c r="J969" s="8" t="s">
        <v>112</v>
      </c>
      <c r="K969" s="8" t="s">
        <v>2578</v>
      </c>
      <c r="L969" s="8" t="s">
        <v>2579</v>
      </c>
      <c r="M969" s="8" t="s">
        <v>112</v>
      </c>
      <c r="N969" s="8" t="s">
        <v>112</v>
      </c>
      <c r="O969">
        <v>1</v>
      </c>
      <c r="P969">
        <v>0</v>
      </c>
      <c r="Q969">
        <v>1</v>
      </c>
      <c r="R969">
        <v>5</v>
      </c>
      <c r="S969" s="8" t="s">
        <v>2580</v>
      </c>
      <c r="T969" s="8" t="s">
        <v>2581</v>
      </c>
      <c r="U969" s="8" t="s">
        <v>2582</v>
      </c>
      <c r="V969" s="8" t="s">
        <v>2583</v>
      </c>
      <c r="W969" s="8" t="s">
        <v>2552</v>
      </c>
      <c r="X969" s="8" t="s">
        <v>2584</v>
      </c>
      <c r="Y969" s="8" t="s">
        <v>2580</v>
      </c>
      <c r="Z969" s="8" t="s">
        <v>2581</v>
      </c>
      <c r="AA969" s="8" t="s">
        <v>2582</v>
      </c>
      <c r="AB969" s="8" t="s">
        <v>2583</v>
      </c>
      <c r="AC969" s="8" t="s">
        <v>2552</v>
      </c>
      <c r="AD969" s="8" t="s">
        <v>2584</v>
      </c>
      <c r="AE969" s="8" t="s">
        <v>2163</v>
      </c>
      <c r="AF969" s="8" t="s">
        <v>2164</v>
      </c>
      <c r="AG969">
        <v>2697977.38</v>
      </c>
      <c r="AH969" s="8" t="s">
        <v>2580</v>
      </c>
      <c r="AI969" s="8" t="s">
        <v>2581</v>
      </c>
      <c r="AJ969" s="8" t="s">
        <v>2582</v>
      </c>
      <c r="AK969" s="8" t="s">
        <v>2583</v>
      </c>
      <c r="AL969" s="8" t="s">
        <v>2552</v>
      </c>
      <c r="AM969" s="8" t="s">
        <v>2584</v>
      </c>
      <c r="AN969" s="8" t="s">
        <v>2163</v>
      </c>
      <c r="AO969" s="8" t="s">
        <v>2164</v>
      </c>
      <c r="AP969" s="8" t="s">
        <v>2164</v>
      </c>
      <c r="AQ969" s="8" t="s">
        <v>124</v>
      </c>
      <c r="AR969" s="8" t="s">
        <v>125</v>
      </c>
      <c r="AS969">
        <v>2</v>
      </c>
      <c r="AT969" s="8" t="s">
        <v>126</v>
      </c>
      <c r="AU969" s="8" t="s">
        <v>155</v>
      </c>
      <c r="AV969" s="8" t="s">
        <v>2609</v>
      </c>
      <c r="AW969">
        <v>1</v>
      </c>
      <c r="AX969" s="8" t="s">
        <v>129</v>
      </c>
      <c r="AY969">
        <v>31038</v>
      </c>
      <c r="AZ969">
        <v>2267037</v>
      </c>
      <c r="BA969">
        <v>39285.589999999902</v>
      </c>
      <c r="BB969">
        <v>73.040700000000001</v>
      </c>
      <c r="BC969" s="8" t="s">
        <v>130</v>
      </c>
      <c r="BD969" s="8" t="s">
        <v>131</v>
      </c>
      <c r="BE969" s="8" t="s">
        <v>2586</v>
      </c>
      <c r="BF969" s="8" t="s">
        <v>133</v>
      </c>
      <c r="BG969" s="8" t="s">
        <v>134</v>
      </c>
      <c r="BH969" s="8" t="s">
        <v>112</v>
      </c>
      <c r="BI969" s="8" t="s">
        <v>112</v>
      </c>
      <c r="BJ969" s="8" t="s">
        <v>112</v>
      </c>
      <c r="BK969" s="8" t="s">
        <v>2587</v>
      </c>
      <c r="BL969" s="8" t="s">
        <v>2588</v>
      </c>
      <c r="BM969" s="8" t="s">
        <v>2589</v>
      </c>
      <c r="BN969" s="8" t="s">
        <v>2590</v>
      </c>
      <c r="BO969">
        <v>1</v>
      </c>
      <c r="BP969" s="8" t="s">
        <v>2591</v>
      </c>
      <c r="BR969" s="8" t="s">
        <v>2578</v>
      </c>
      <c r="BS969">
        <v>5</v>
      </c>
      <c r="BT969">
        <v>0</v>
      </c>
      <c r="BU969">
        <v>3</v>
      </c>
      <c r="BV969" t="s">
        <v>2147</v>
      </c>
      <c r="BW969">
        <v>0</v>
      </c>
      <c r="BY969" s="8" t="s">
        <v>106</v>
      </c>
      <c r="BZ969" s="8" t="s">
        <v>2148</v>
      </c>
      <c r="CA969" s="8" t="s">
        <v>112</v>
      </c>
      <c r="CB969" s="8" t="s">
        <v>112</v>
      </c>
      <c r="CC969" s="8" t="s">
        <v>2163</v>
      </c>
      <c r="CD969">
        <v>15297</v>
      </c>
      <c r="CE969" t="s">
        <v>144</v>
      </c>
      <c r="CF969">
        <v>4000000</v>
      </c>
      <c r="CG969">
        <v>15267</v>
      </c>
      <c r="CH969">
        <v>0</v>
      </c>
      <c r="CI969" s="8" t="s">
        <v>112</v>
      </c>
      <c r="CJ969" s="8" t="s">
        <v>112</v>
      </c>
      <c r="CK969">
        <v>31038</v>
      </c>
      <c r="CL969">
        <v>2267037</v>
      </c>
      <c r="CM969">
        <v>0</v>
      </c>
      <c r="CN969">
        <v>1</v>
      </c>
      <c r="CO969">
        <v>2697977.38</v>
      </c>
      <c r="CP969">
        <v>39285.589999999902</v>
      </c>
      <c r="CQ969" s="8" t="s">
        <v>145</v>
      </c>
      <c r="CR969">
        <v>2.5731999999999999</v>
      </c>
      <c r="CS969">
        <v>1239</v>
      </c>
      <c r="CT969" t="s">
        <v>2592</v>
      </c>
      <c r="CV969" t="s">
        <v>2593</v>
      </c>
      <c r="CW969">
        <v>0</v>
      </c>
    </row>
    <row r="970" spans="1:101" x14ac:dyDescent="0.2">
      <c r="A970" s="8" t="s">
        <v>106</v>
      </c>
      <c r="B970" s="46">
        <v>45135</v>
      </c>
      <c r="C970" s="8" t="s">
        <v>2635</v>
      </c>
      <c r="D970" s="8" t="s">
        <v>583</v>
      </c>
      <c r="E970" s="8" t="s">
        <v>2636</v>
      </c>
      <c r="F970" t="s">
        <v>110</v>
      </c>
      <c r="G970" s="8" t="s">
        <v>111</v>
      </c>
      <c r="H970" s="8" t="s">
        <v>112</v>
      </c>
      <c r="I970" s="8" t="s">
        <v>112</v>
      </c>
      <c r="J970" s="8" t="s">
        <v>112</v>
      </c>
      <c r="K970" s="8" t="s">
        <v>2637</v>
      </c>
      <c r="L970" s="8" t="s">
        <v>2638</v>
      </c>
      <c r="M970" s="8" t="s">
        <v>112</v>
      </c>
      <c r="N970" s="8" t="s">
        <v>112</v>
      </c>
      <c r="O970">
        <v>4</v>
      </c>
      <c r="P970">
        <v>0</v>
      </c>
      <c r="Q970">
        <v>9</v>
      </c>
      <c r="R970">
        <v>40</v>
      </c>
      <c r="S970" s="8" t="s">
        <v>2639</v>
      </c>
      <c r="T970" s="8" t="s">
        <v>2640</v>
      </c>
      <c r="U970" s="8" t="s">
        <v>2641</v>
      </c>
      <c r="V970" s="8" t="s">
        <v>2642</v>
      </c>
      <c r="W970" s="8" t="s">
        <v>119</v>
      </c>
      <c r="X970" s="8" t="s">
        <v>2395</v>
      </c>
      <c r="Y970" s="8" t="s">
        <v>2639</v>
      </c>
      <c r="Z970" s="8" t="s">
        <v>2640</v>
      </c>
      <c r="AA970" s="8" t="s">
        <v>2641</v>
      </c>
      <c r="AB970" s="8" t="s">
        <v>2642</v>
      </c>
      <c r="AC970" s="8" t="s">
        <v>119</v>
      </c>
      <c r="AD970" s="8" t="s">
        <v>2395</v>
      </c>
      <c r="AE970" s="8" t="s">
        <v>2396</v>
      </c>
      <c r="AF970" s="8" t="s">
        <v>2397</v>
      </c>
      <c r="AG970">
        <v>12392108.050000001</v>
      </c>
      <c r="AH970" s="8" t="s">
        <v>2639</v>
      </c>
      <c r="AI970" s="8" t="s">
        <v>2640</v>
      </c>
      <c r="AJ970" s="8" t="s">
        <v>2641</v>
      </c>
      <c r="AK970" s="8" t="s">
        <v>2642</v>
      </c>
      <c r="AL970" s="8" t="s">
        <v>119</v>
      </c>
      <c r="AM970" s="8" t="s">
        <v>2395</v>
      </c>
      <c r="AN970" s="8" t="s">
        <v>2396</v>
      </c>
      <c r="AO970" s="8" t="s">
        <v>2397</v>
      </c>
      <c r="AP970" s="8" t="s">
        <v>2397</v>
      </c>
      <c r="AQ970" s="8" t="s">
        <v>124</v>
      </c>
      <c r="AR970" s="8" t="s">
        <v>125</v>
      </c>
      <c r="AS970">
        <v>2</v>
      </c>
      <c r="AT970" s="8" t="s">
        <v>126</v>
      </c>
      <c r="AU970" s="8" t="s">
        <v>2318</v>
      </c>
      <c r="AV970" s="8" t="s">
        <v>2401</v>
      </c>
      <c r="AW970">
        <v>1</v>
      </c>
      <c r="AX970" s="8" t="s">
        <v>2643</v>
      </c>
      <c r="AY970">
        <v>12392108.050000001</v>
      </c>
      <c r="AZ970">
        <v>12392108</v>
      </c>
      <c r="BA970">
        <v>180443.06</v>
      </c>
      <c r="BB970">
        <v>0</v>
      </c>
      <c r="BC970" s="8" t="s">
        <v>130</v>
      </c>
      <c r="BD970" s="8" t="s">
        <v>112</v>
      </c>
      <c r="BE970" s="8" t="s">
        <v>2644</v>
      </c>
      <c r="BF970" s="8" t="s">
        <v>133</v>
      </c>
      <c r="BG970" s="8" t="s">
        <v>134</v>
      </c>
      <c r="BH970" s="8" t="s">
        <v>112</v>
      </c>
      <c r="BI970" s="8" t="s">
        <v>112</v>
      </c>
      <c r="BJ970" s="8" t="s">
        <v>112</v>
      </c>
      <c r="BK970" s="8" t="s">
        <v>2645</v>
      </c>
      <c r="BL970" s="8" t="s">
        <v>2646</v>
      </c>
      <c r="BM970" s="8" t="s">
        <v>2647</v>
      </c>
      <c r="BN970" s="8" t="s">
        <v>2648</v>
      </c>
      <c r="BO970">
        <v>3</v>
      </c>
      <c r="BP970" s="8" t="s">
        <v>2649</v>
      </c>
      <c r="BR970" s="8" t="s">
        <v>2637</v>
      </c>
      <c r="BS970">
        <v>40</v>
      </c>
      <c r="BT970">
        <v>0</v>
      </c>
      <c r="BU970">
        <v>221</v>
      </c>
      <c r="BV970" t="s">
        <v>2147</v>
      </c>
      <c r="BW970">
        <v>0</v>
      </c>
      <c r="BY970" s="8" t="s">
        <v>2650</v>
      </c>
      <c r="BZ970" s="8" t="s">
        <v>2148</v>
      </c>
      <c r="CA970" s="8" t="s">
        <v>112</v>
      </c>
      <c r="CB970" s="8" t="s">
        <v>112</v>
      </c>
      <c r="CC970" s="8" t="s">
        <v>2396</v>
      </c>
      <c r="CD970">
        <v>9996.384</v>
      </c>
      <c r="CE970" t="s">
        <v>144</v>
      </c>
      <c r="CF970">
        <v>4000000</v>
      </c>
      <c r="CG970">
        <v>8942.384</v>
      </c>
      <c r="CH970">
        <v>0</v>
      </c>
      <c r="CI970" s="8" t="s">
        <v>112</v>
      </c>
      <c r="CJ970" s="8" t="s">
        <v>112</v>
      </c>
      <c r="CK970">
        <v>12220198.1199999</v>
      </c>
      <c r="CL970">
        <v>12220198</v>
      </c>
      <c r="CM970">
        <v>0</v>
      </c>
      <c r="CN970">
        <v>1</v>
      </c>
      <c r="CO970">
        <v>12220198.1199999</v>
      </c>
      <c r="CP970">
        <v>177939.86</v>
      </c>
      <c r="CQ970" s="8" t="s">
        <v>145</v>
      </c>
      <c r="CR970">
        <v>19.898499999999999</v>
      </c>
      <c r="CS970">
        <v>966</v>
      </c>
      <c r="CT970" t="s">
        <v>2651</v>
      </c>
      <c r="CV970" t="s">
        <v>2652</v>
      </c>
      <c r="CW970">
        <v>1366</v>
      </c>
    </row>
    <row r="971" spans="1:101" x14ac:dyDescent="0.2">
      <c r="A971" s="8" t="s">
        <v>106</v>
      </c>
      <c r="B971" s="46">
        <v>45116</v>
      </c>
      <c r="C971" s="8" t="s">
        <v>2576</v>
      </c>
      <c r="D971" s="8" t="s">
        <v>583</v>
      </c>
      <c r="E971" s="8" t="s">
        <v>2577</v>
      </c>
      <c r="F971" t="s">
        <v>110</v>
      </c>
      <c r="G971" s="8" t="s">
        <v>111</v>
      </c>
      <c r="H971" s="8" t="s">
        <v>112</v>
      </c>
      <c r="I971" s="8" t="s">
        <v>112</v>
      </c>
      <c r="J971" s="8" t="s">
        <v>112</v>
      </c>
      <c r="K971" s="8" t="s">
        <v>2578</v>
      </c>
      <c r="L971" s="8" t="s">
        <v>2579</v>
      </c>
      <c r="M971" s="8" t="s">
        <v>112</v>
      </c>
      <c r="N971" s="8" t="s">
        <v>112</v>
      </c>
      <c r="O971">
        <v>2</v>
      </c>
      <c r="P971">
        <v>0</v>
      </c>
      <c r="Q971">
        <v>2</v>
      </c>
      <c r="R971">
        <v>28</v>
      </c>
      <c r="S971" s="8" t="s">
        <v>2580</v>
      </c>
      <c r="T971" s="8" t="s">
        <v>2581</v>
      </c>
      <c r="U971" s="8" t="s">
        <v>2582</v>
      </c>
      <c r="V971" s="8" t="s">
        <v>2583</v>
      </c>
      <c r="W971" s="8" t="s">
        <v>2552</v>
      </c>
      <c r="X971" s="8" t="s">
        <v>2584</v>
      </c>
      <c r="Y971" s="8" t="s">
        <v>2580</v>
      </c>
      <c r="Z971" s="8" t="s">
        <v>2581</v>
      </c>
      <c r="AA971" s="8" t="s">
        <v>2582</v>
      </c>
      <c r="AB971" s="8" t="s">
        <v>2583</v>
      </c>
      <c r="AC971" s="8" t="s">
        <v>2552</v>
      </c>
      <c r="AD971" s="8" t="s">
        <v>2584</v>
      </c>
      <c r="AE971" s="8" t="s">
        <v>2163</v>
      </c>
      <c r="AF971" s="8" t="s">
        <v>2164</v>
      </c>
      <c r="AG971">
        <v>4895764.74</v>
      </c>
      <c r="AH971" s="8" t="s">
        <v>2580</v>
      </c>
      <c r="AI971" s="8" t="s">
        <v>2581</v>
      </c>
      <c r="AJ971" s="8" t="s">
        <v>2582</v>
      </c>
      <c r="AK971" s="8" t="s">
        <v>2583</v>
      </c>
      <c r="AL971" s="8" t="s">
        <v>2552</v>
      </c>
      <c r="AM971" s="8" t="s">
        <v>2584</v>
      </c>
      <c r="AN971" s="8" t="s">
        <v>2163</v>
      </c>
      <c r="AO971" s="8" t="s">
        <v>2164</v>
      </c>
      <c r="AP971" s="8" t="s">
        <v>2164</v>
      </c>
      <c r="AQ971" s="8" t="s">
        <v>124</v>
      </c>
      <c r="AR971" s="8" t="s">
        <v>125</v>
      </c>
      <c r="AS971">
        <v>2</v>
      </c>
      <c r="AT971" s="8" t="s">
        <v>126</v>
      </c>
      <c r="AU971" s="8" t="s">
        <v>112</v>
      </c>
      <c r="AV971" s="8" t="s">
        <v>2585</v>
      </c>
      <c r="AW971">
        <v>1</v>
      </c>
      <c r="AX971" s="8" t="s">
        <v>129</v>
      </c>
      <c r="AY971">
        <v>61127.9</v>
      </c>
      <c r="AZ971">
        <v>4464825</v>
      </c>
      <c r="BA971">
        <v>71287.86</v>
      </c>
      <c r="BB971">
        <v>73.040700000000001</v>
      </c>
      <c r="BC971" s="8" t="s">
        <v>130</v>
      </c>
      <c r="BD971" s="8" t="s">
        <v>112</v>
      </c>
      <c r="BE971" s="8" t="s">
        <v>2586</v>
      </c>
      <c r="BF971" s="8" t="s">
        <v>133</v>
      </c>
      <c r="BG971" s="8" t="s">
        <v>134</v>
      </c>
      <c r="BH971" s="8" t="s">
        <v>112</v>
      </c>
      <c r="BI971" s="8" t="s">
        <v>112</v>
      </c>
      <c r="BJ971" s="8" t="s">
        <v>112</v>
      </c>
      <c r="BK971" s="8" t="s">
        <v>2587</v>
      </c>
      <c r="BL971" s="8" t="s">
        <v>2588</v>
      </c>
      <c r="BM971" s="8" t="s">
        <v>2589</v>
      </c>
      <c r="BN971" s="8" t="s">
        <v>2590</v>
      </c>
      <c r="BO971">
        <v>1</v>
      </c>
      <c r="BP971" s="8" t="s">
        <v>2591</v>
      </c>
      <c r="BR971" s="8" t="s">
        <v>2578</v>
      </c>
      <c r="BS971">
        <v>17</v>
      </c>
      <c r="BT971">
        <v>0</v>
      </c>
      <c r="BU971">
        <v>31</v>
      </c>
      <c r="BV971" t="s">
        <v>2147</v>
      </c>
      <c r="BW971">
        <v>0</v>
      </c>
      <c r="BY971" s="8" t="s">
        <v>106</v>
      </c>
      <c r="BZ971" s="8" t="s">
        <v>2148</v>
      </c>
      <c r="CA971" s="8" t="s">
        <v>112</v>
      </c>
      <c r="CB971" s="8" t="s">
        <v>112</v>
      </c>
      <c r="CC971" s="8" t="s">
        <v>2163</v>
      </c>
      <c r="CD971">
        <v>9958.5</v>
      </c>
      <c r="CE971" t="s">
        <v>144</v>
      </c>
      <c r="CF971">
        <v>4000000</v>
      </c>
      <c r="CG971">
        <v>9623.5</v>
      </c>
      <c r="CH971">
        <v>0</v>
      </c>
      <c r="CI971" s="8" t="s">
        <v>112</v>
      </c>
      <c r="CJ971" s="8" t="s">
        <v>112</v>
      </c>
      <c r="CK971">
        <v>60436</v>
      </c>
      <c r="CL971">
        <v>4414288</v>
      </c>
      <c r="CM971">
        <v>0</v>
      </c>
      <c r="CN971">
        <v>1</v>
      </c>
      <c r="CO971">
        <v>4845108.82</v>
      </c>
      <c r="CP971">
        <v>70550.25</v>
      </c>
      <c r="CQ971" s="8" t="s">
        <v>145</v>
      </c>
      <c r="CR971">
        <v>7.3310000000000004</v>
      </c>
      <c r="CS971">
        <v>1239</v>
      </c>
      <c r="CT971" t="s">
        <v>2592</v>
      </c>
      <c r="CV971" t="s">
        <v>2593</v>
      </c>
      <c r="CW971">
        <v>1178</v>
      </c>
    </row>
    <row r="972" spans="1:101" x14ac:dyDescent="0.2">
      <c r="A972" s="8" t="s">
        <v>106</v>
      </c>
      <c r="B972" s="46">
        <v>45068</v>
      </c>
      <c r="C972" s="8" t="s">
        <v>2709</v>
      </c>
      <c r="D972" s="8" t="s">
        <v>583</v>
      </c>
      <c r="E972" s="8" t="s">
        <v>2710</v>
      </c>
      <c r="F972" t="s">
        <v>110</v>
      </c>
      <c r="G972" s="8" t="s">
        <v>111</v>
      </c>
      <c r="H972" s="8" t="s">
        <v>112</v>
      </c>
      <c r="I972" s="8" t="s">
        <v>112</v>
      </c>
      <c r="J972" s="8" t="s">
        <v>112</v>
      </c>
      <c r="K972" s="8" t="s">
        <v>2471</v>
      </c>
      <c r="L972" s="8" t="s">
        <v>2472</v>
      </c>
      <c r="M972" s="8" t="s">
        <v>112</v>
      </c>
      <c r="N972" s="8" t="s">
        <v>112</v>
      </c>
      <c r="O972">
        <v>4</v>
      </c>
      <c r="P972">
        <v>0</v>
      </c>
      <c r="Q972">
        <v>9</v>
      </c>
      <c r="R972">
        <v>449</v>
      </c>
      <c r="S972" s="8" t="s">
        <v>2473</v>
      </c>
      <c r="T972" s="8" t="s">
        <v>2474</v>
      </c>
      <c r="U972" s="8" t="s">
        <v>2475</v>
      </c>
      <c r="V972" s="8" t="s">
        <v>2476</v>
      </c>
      <c r="W972" s="8" t="s">
        <v>119</v>
      </c>
      <c r="X972" s="8" t="s">
        <v>2477</v>
      </c>
      <c r="Y972" s="8" t="s">
        <v>2473</v>
      </c>
      <c r="Z972" s="8" t="s">
        <v>2474</v>
      </c>
      <c r="AA972" s="8" t="s">
        <v>2475</v>
      </c>
      <c r="AB972" s="8" t="s">
        <v>2476</v>
      </c>
      <c r="AC972" s="8" t="s">
        <v>119</v>
      </c>
      <c r="AD972" s="8" t="s">
        <v>2477</v>
      </c>
      <c r="AE972" s="8" t="s">
        <v>2185</v>
      </c>
      <c r="AF972" s="8" t="s">
        <v>2186</v>
      </c>
      <c r="AG972">
        <v>8990505.6600000001</v>
      </c>
      <c r="AH972" s="8" t="s">
        <v>2473</v>
      </c>
      <c r="AI972" s="8" t="s">
        <v>2474</v>
      </c>
      <c r="AJ972" s="8" t="s">
        <v>2475</v>
      </c>
      <c r="AK972" s="8" t="s">
        <v>2476</v>
      </c>
      <c r="AL972" s="8" t="s">
        <v>119</v>
      </c>
      <c r="AM972" s="8" t="s">
        <v>2477</v>
      </c>
      <c r="AN972" s="8" t="s">
        <v>2185</v>
      </c>
      <c r="AO972" s="8" t="s">
        <v>2186</v>
      </c>
      <c r="AP972" s="8" t="s">
        <v>2186</v>
      </c>
      <c r="AQ972" s="8" t="s">
        <v>124</v>
      </c>
      <c r="AR972" s="8" t="s">
        <v>125</v>
      </c>
      <c r="AS972">
        <v>2</v>
      </c>
      <c r="AT972" s="8" t="s">
        <v>126</v>
      </c>
      <c r="AU972" s="8" t="s">
        <v>155</v>
      </c>
      <c r="AV972" s="8" t="s">
        <v>2478</v>
      </c>
      <c r="AW972">
        <v>1</v>
      </c>
      <c r="AX972" s="8" t="s">
        <v>2188</v>
      </c>
      <c r="AY972">
        <v>129366.92</v>
      </c>
      <c r="AZ972">
        <v>8884403</v>
      </c>
      <c r="BA972">
        <v>130911.92</v>
      </c>
      <c r="BB972">
        <v>68.676000000000002</v>
      </c>
      <c r="BC972" s="8" t="s">
        <v>130</v>
      </c>
      <c r="BD972" s="8" t="s">
        <v>112</v>
      </c>
      <c r="BE972" s="8" t="s">
        <v>2479</v>
      </c>
      <c r="BF972" s="8" t="s">
        <v>133</v>
      </c>
      <c r="BG972" s="8" t="s">
        <v>167</v>
      </c>
      <c r="BH972" s="8" t="s">
        <v>2711</v>
      </c>
      <c r="BI972" s="8" t="s">
        <v>112</v>
      </c>
      <c r="BJ972" s="8" t="s">
        <v>112</v>
      </c>
      <c r="BK972" s="8" t="s">
        <v>2587</v>
      </c>
      <c r="BL972" s="8" t="s">
        <v>2712</v>
      </c>
      <c r="BM972" s="8" t="s">
        <v>2713</v>
      </c>
      <c r="BN972" s="8" t="s">
        <v>2714</v>
      </c>
      <c r="BO972">
        <v>1</v>
      </c>
      <c r="BP972" s="8" t="s">
        <v>2484</v>
      </c>
      <c r="BR972" s="8" t="s">
        <v>2485</v>
      </c>
      <c r="BS972">
        <v>181</v>
      </c>
      <c r="BT972">
        <v>0</v>
      </c>
      <c r="BU972">
        <v>181</v>
      </c>
      <c r="BV972" t="s">
        <v>2147</v>
      </c>
      <c r="BW972">
        <v>0</v>
      </c>
      <c r="BY972" s="8" t="s">
        <v>106</v>
      </c>
      <c r="BZ972" s="8" t="s">
        <v>2148</v>
      </c>
      <c r="CA972" s="8" t="s">
        <v>112</v>
      </c>
      <c r="CB972" s="8" t="s">
        <v>112</v>
      </c>
      <c r="CC972" s="8" t="s">
        <v>2185</v>
      </c>
      <c r="CD972">
        <v>5948</v>
      </c>
      <c r="CE972" t="s">
        <v>144</v>
      </c>
      <c r="CF972">
        <v>4000000</v>
      </c>
      <c r="CG972">
        <v>5742</v>
      </c>
      <c r="CH972">
        <v>0</v>
      </c>
      <c r="CI972" s="8" t="s">
        <v>112</v>
      </c>
      <c r="CJ972" s="8" t="s">
        <v>112</v>
      </c>
      <c r="CK972">
        <v>75499.64</v>
      </c>
      <c r="CL972">
        <v>5185013</v>
      </c>
      <c r="CM972">
        <v>0</v>
      </c>
      <c r="CN972">
        <v>1</v>
      </c>
      <c r="CO972">
        <v>5258074.17</v>
      </c>
      <c r="CP972">
        <v>76563.490000000005</v>
      </c>
      <c r="CQ972" s="8" t="s">
        <v>145</v>
      </c>
      <c r="CR972">
        <v>13.3339</v>
      </c>
      <c r="CS972">
        <v>1405</v>
      </c>
      <c r="CT972">
        <v>140</v>
      </c>
      <c r="CV972" t="s">
        <v>2486</v>
      </c>
      <c r="CW972">
        <v>1628</v>
      </c>
    </row>
    <row r="973" spans="1:101" x14ac:dyDescent="0.2">
      <c r="A973" s="8" t="s">
        <v>106</v>
      </c>
      <c r="B973" s="46">
        <v>44855</v>
      </c>
      <c r="C973" s="8" t="s">
        <v>2544</v>
      </c>
      <c r="D973" s="8" t="s">
        <v>583</v>
      </c>
      <c r="E973" s="8" t="s">
        <v>2545</v>
      </c>
      <c r="F973" t="s">
        <v>110</v>
      </c>
      <c r="G973" s="8" t="s">
        <v>111</v>
      </c>
      <c r="H973" s="8" t="s">
        <v>112</v>
      </c>
      <c r="I973" s="8" t="s">
        <v>112</v>
      </c>
      <c r="J973" s="8" t="s">
        <v>112</v>
      </c>
      <c r="K973" s="8" t="s">
        <v>2546</v>
      </c>
      <c r="L973" s="8" t="s">
        <v>2547</v>
      </c>
      <c r="M973" s="8" t="s">
        <v>112</v>
      </c>
      <c r="N973" s="8" t="s">
        <v>112</v>
      </c>
      <c r="O973">
        <v>1</v>
      </c>
      <c r="P973">
        <v>0</v>
      </c>
      <c r="Q973">
        <v>1</v>
      </c>
      <c r="R973">
        <v>5</v>
      </c>
      <c r="S973" s="8" t="s">
        <v>2548</v>
      </c>
      <c r="T973" s="8" t="s">
        <v>2549</v>
      </c>
      <c r="U973" s="8" t="s">
        <v>2550</v>
      </c>
      <c r="V973" s="8" t="s">
        <v>2551</v>
      </c>
      <c r="W973" s="8" t="s">
        <v>2552</v>
      </c>
      <c r="X973" s="8" t="s">
        <v>2553</v>
      </c>
      <c r="Y973" s="8" t="s">
        <v>2548</v>
      </c>
      <c r="Z973" s="8" t="s">
        <v>2549</v>
      </c>
      <c r="AA973" s="8" t="s">
        <v>2550</v>
      </c>
      <c r="AB973" s="8" t="s">
        <v>2551</v>
      </c>
      <c r="AC973" s="8" t="s">
        <v>2552</v>
      </c>
      <c r="AD973" s="8" t="s">
        <v>2553</v>
      </c>
      <c r="AE973" s="8" t="s">
        <v>2163</v>
      </c>
      <c r="AF973" s="8" t="s">
        <v>2164</v>
      </c>
      <c r="AG973">
        <v>2828208.94</v>
      </c>
      <c r="AH973" s="8" t="s">
        <v>2548</v>
      </c>
      <c r="AI973" s="8" t="s">
        <v>2549</v>
      </c>
      <c r="AJ973" s="8" t="s">
        <v>2550</v>
      </c>
      <c r="AK973" s="8" t="s">
        <v>2551</v>
      </c>
      <c r="AL973" s="8" t="s">
        <v>2552</v>
      </c>
      <c r="AM973" s="8" t="s">
        <v>2553</v>
      </c>
      <c r="AN973" s="8" t="s">
        <v>2163</v>
      </c>
      <c r="AO973" s="8" t="s">
        <v>2164</v>
      </c>
      <c r="AP973" s="8" t="s">
        <v>2164</v>
      </c>
      <c r="AQ973" s="8" t="s">
        <v>124</v>
      </c>
      <c r="AR973" s="8" t="s">
        <v>125</v>
      </c>
      <c r="AS973">
        <v>2</v>
      </c>
      <c r="AT973" s="8" t="s">
        <v>126</v>
      </c>
      <c r="AU973" s="8" t="s">
        <v>155</v>
      </c>
      <c r="AV973" s="8" t="s">
        <v>2554</v>
      </c>
      <c r="AW973">
        <v>1</v>
      </c>
      <c r="AX973" s="8" t="s">
        <v>129</v>
      </c>
      <c r="AY973">
        <v>35221</v>
      </c>
      <c r="AZ973">
        <v>2572566</v>
      </c>
      <c r="BA973">
        <v>41181.910000000003</v>
      </c>
      <c r="BB973">
        <v>73.040700000000001</v>
      </c>
      <c r="BC973" s="8" t="s">
        <v>130</v>
      </c>
      <c r="BD973" s="8" t="s">
        <v>112</v>
      </c>
      <c r="BE973" s="8" t="s">
        <v>2555</v>
      </c>
      <c r="BF973" s="8" t="s">
        <v>133</v>
      </c>
      <c r="BG973" s="8" t="s">
        <v>134</v>
      </c>
      <c r="BH973" s="8" t="s">
        <v>112</v>
      </c>
      <c r="BI973" s="8" t="s">
        <v>112</v>
      </c>
      <c r="BJ973" s="8" t="s">
        <v>112</v>
      </c>
      <c r="BK973" s="8" t="s">
        <v>2556</v>
      </c>
      <c r="BL973" s="8" t="s">
        <v>2557</v>
      </c>
      <c r="BM973" s="8" t="s">
        <v>2558</v>
      </c>
      <c r="BN973" s="8" t="s">
        <v>2497</v>
      </c>
      <c r="BO973">
        <v>1</v>
      </c>
      <c r="BP973" s="8" t="s">
        <v>2559</v>
      </c>
      <c r="BR973" s="8" t="s">
        <v>2546</v>
      </c>
      <c r="BS973">
        <v>5</v>
      </c>
      <c r="BT973">
        <v>0</v>
      </c>
      <c r="BU973">
        <v>7</v>
      </c>
      <c r="BV973" t="s">
        <v>2147</v>
      </c>
      <c r="BW973">
        <v>0</v>
      </c>
      <c r="BY973" s="8" t="s">
        <v>106</v>
      </c>
      <c r="BZ973" s="8" t="s">
        <v>2148</v>
      </c>
      <c r="CA973" s="8" t="s">
        <v>112</v>
      </c>
      <c r="CB973" s="8" t="s">
        <v>112</v>
      </c>
      <c r="CC973" s="8" t="s">
        <v>2163</v>
      </c>
      <c r="CD973">
        <v>10880</v>
      </c>
      <c r="CE973" t="s">
        <v>144</v>
      </c>
      <c r="CF973">
        <v>4000000</v>
      </c>
      <c r="CG973">
        <v>10835</v>
      </c>
      <c r="CH973">
        <v>0</v>
      </c>
      <c r="CI973" s="8" t="s">
        <v>112</v>
      </c>
      <c r="CJ973" s="8" t="s">
        <v>112</v>
      </c>
      <c r="CK973">
        <v>35221</v>
      </c>
      <c r="CL973">
        <v>2572566</v>
      </c>
      <c r="CM973">
        <v>2</v>
      </c>
      <c r="CN973">
        <v>1</v>
      </c>
      <c r="CO973">
        <v>2828208.94</v>
      </c>
      <c r="CP973">
        <v>41181.910000000003</v>
      </c>
      <c r="CQ973" s="8" t="s">
        <v>2560</v>
      </c>
      <c r="CR973">
        <v>3.8008000000000002</v>
      </c>
      <c r="CV973" t="s">
        <v>2561</v>
      </c>
      <c r="CW973">
        <v>1615</v>
      </c>
    </row>
    <row r="974" spans="1:101" x14ac:dyDescent="0.2">
      <c r="A974" s="8" t="s">
        <v>106</v>
      </c>
      <c r="B974" s="46">
        <v>45203</v>
      </c>
      <c r="C974" s="8" t="s">
        <v>2736</v>
      </c>
      <c r="D974" s="8" t="s">
        <v>583</v>
      </c>
      <c r="E974" s="8" t="s">
        <v>2737</v>
      </c>
      <c r="F974" t="s">
        <v>110</v>
      </c>
      <c r="G974" s="8" t="s">
        <v>111</v>
      </c>
      <c r="H974" s="8" t="s">
        <v>112</v>
      </c>
      <c r="I974" s="8" t="s">
        <v>112</v>
      </c>
      <c r="J974" s="8" t="s">
        <v>112</v>
      </c>
      <c r="K974" s="8" t="s">
        <v>2738</v>
      </c>
      <c r="L974" s="8" t="s">
        <v>2739</v>
      </c>
      <c r="M974" s="8" t="s">
        <v>112</v>
      </c>
      <c r="N974" s="8" t="s">
        <v>112</v>
      </c>
      <c r="O974">
        <v>16</v>
      </c>
      <c r="P974">
        <v>0</v>
      </c>
      <c r="Q974">
        <v>45</v>
      </c>
      <c r="R974">
        <v>164</v>
      </c>
      <c r="S974" s="8" t="s">
        <v>2740</v>
      </c>
      <c r="T974" s="8" t="s">
        <v>2741</v>
      </c>
      <c r="U974" s="8" t="s">
        <v>2742</v>
      </c>
      <c r="V974" s="8" t="s">
        <v>2743</v>
      </c>
      <c r="W974" s="8" t="s">
        <v>2552</v>
      </c>
      <c r="X974" s="8" t="s">
        <v>2671</v>
      </c>
      <c r="Y974" s="8" t="s">
        <v>2740</v>
      </c>
      <c r="Z974" s="8" t="s">
        <v>2741</v>
      </c>
      <c r="AA974" s="8" t="s">
        <v>2742</v>
      </c>
      <c r="AB974" s="8" t="s">
        <v>2743</v>
      </c>
      <c r="AC974" s="8" t="s">
        <v>2552</v>
      </c>
      <c r="AD974" s="8" t="s">
        <v>2671</v>
      </c>
      <c r="AE974" s="8" t="s">
        <v>2398</v>
      </c>
      <c r="AF974" s="8" t="s">
        <v>2399</v>
      </c>
      <c r="AG974">
        <v>15480139.279999901</v>
      </c>
      <c r="AH974" s="8" t="s">
        <v>2740</v>
      </c>
      <c r="AI974" s="8" t="s">
        <v>2741</v>
      </c>
      <c r="AJ974" s="8" t="s">
        <v>2742</v>
      </c>
      <c r="AK974" s="8" t="s">
        <v>2743</v>
      </c>
      <c r="AL974" s="8" t="s">
        <v>2552</v>
      </c>
      <c r="AM974" s="8" t="s">
        <v>2671</v>
      </c>
      <c r="AN974" s="8" t="s">
        <v>2398</v>
      </c>
      <c r="AO974" s="8" t="s">
        <v>2399</v>
      </c>
      <c r="AP974" s="8" t="s">
        <v>2744</v>
      </c>
      <c r="AQ974" s="8" t="s">
        <v>124</v>
      </c>
      <c r="AR974" s="8" t="s">
        <v>125</v>
      </c>
      <c r="AS974">
        <v>2</v>
      </c>
      <c r="AT974" s="8" t="s">
        <v>126</v>
      </c>
      <c r="AU974" s="8" t="s">
        <v>155</v>
      </c>
      <c r="AV974" s="8" t="s">
        <v>2745</v>
      </c>
      <c r="AW974">
        <v>1</v>
      </c>
      <c r="AX974" s="8" t="s">
        <v>129</v>
      </c>
      <c r="AY974">
        <v>211188.58</v>
      </c>
      <c r="AZ974">
        <v>15425362</v>
      </c>
      <c r="BA974">
        <v>225408.29</v>
      </c>
      <c r="BB974">
        <v>73.040700000000001</v>
      </c>
      <c r="BC974" s="8" t="s">
        <v>130</v>
      </c>
      <c r="BD974" s="8" t="s">
        <v>112</v>
      </c>
      <c r="BE974" s="8" t="s">
        <v>2746</v>
      </c>
      <c r="BF974" s="8" t="s">
        <v>133</v>
      </c>
      <c r="BG974" s="8" t="s">
        <v>134</v>
      </c>
      <c r="BH974" s="8" t="s">
        <v>112</v>
      </c>
      <c r="BI974" s="8" t="s">
        <v>112</v>
      </c>
      <c r="BJ974" s="8" t="s">
        <v>112</v>
      </c>
      <c r="BK974" s="8" t="s">
        <v>2587</v>
      </c>
      <c r="BL974" s="8" t="s">
        <v>2747</v>
      </c>
      <c r="BM974" s="8" t="s">
        <v>2748</v>
      </c>
      <c r="BN974" s="8" t="s">
        <v>2749</v>
      </c>
      <c r="BO974">
        <v>1</v>
      </c>
      <c r="BP974" s="8" t="s">
        <v>2754</v>
      </c>
      <c r="BR974" s="8" t="s">
        <v>2751</v>
      </c>
      <c r="BS974">
        <v>2</v>
      </c>
      <c r="BT974">
        <v>0</v>
      </c>
      <c r="BU974">
        <v>2</v>
      </c>
      <c r="BV974" t="s">
        <v>2147</v>
      </c>
      <c r="BW974">
        <v>0</v>
      </c>
      <c r="BY974" s="8" t="s">
        <v>106</v>
      </c>
      <c r="BZ974" s="8" t="s">
        <v>2467</v>
      </c>
      <c r="CA974" s="8" t="s">
        <v>112</v>
      </c>
      <c r="CB974" s="8" t="s">
        <v>112</v>
      </c>
      <c r="CC974" s="8" t="s">
        <v>2752</v>
      </c>
      <c r="CD974">
        <v>322</v>
      </c>
      <c r="CE974" t="s">
        <v>144</v>
      </c>
      <c r="CF974">
        <v>4000000</v>
      </c>
      <c r="CG974">
        <v>300</v>
      </c>
      <c r="CH974">
        <v>0</v>
      </c>
      <c r="CI974" s="8" t="s">
        <v>112</v>
      </c>
      <c r="CJ974" s="8" t="s">
        <v>112</v>
      </c>
      <c r="CK974">
        <v>1192</v>
      </c>
      <c r="CL974">
        <v>87065</v>
      </c>
      <c r="CM974">
        <v>0</v>
      </c>
      <c r="CN974">
        <v>1</v>
      </c>
      <c r="CO974">
        <v>88631.23</v>
      </c>
      <c r="CP974">
        <v>1290.57</v>
      </c>
      <c r="CQ974" s="8" t="s">
        <v>145</v>
      </c>
      <c r="CR974">
        <v>4.3018999999999998</v>
      </c>
      <c r="CV974" t="s">
        <v>2753</v>
      </c>
      <c r="CW974">
        <v>1370</v>
      </c>
    </row>
    <row r="975" spans="1:101" x14ac:dyDescent="0.2">
      <c r="A975" s="8" t="s">
        <v>106</v>
      </c>
      <c r="B975" s="46">
        <v>45272</v>
      </c>
      <c r="C975" s="8" t="s">
        <v>2736</v>
      </c>
      <c r="D975" s="8" t="s">
        <v>583</v>
      </c>
      <c r="E975" s="8" t="s">
        <v>2737</v>
      </c>
      <c r="F975" t="s">
        <v>110</v>
      </c>
      <c r="G975" s="8" t="s">
        <v>111</v>
      </c>
      <c r="H975" s="8" t="s">
        <v>112</v>
      </c>
      <c r="I975" s="8" t="s">
        <v>112</v>
      </c>
      <c r="J975" s="8" t="s">
        <v>112</v>
      </c>
      <c r="K975" s="8" t="s">
        <v>2738</v>
      </c>
      <c r="L975" s="8" t="s">
        <v>2739</v>
      </c>
      <c r="M975" s="8" t="s">
        <v>112</v>
      </c>
      <c r="N975" s="8" t="s">
        <v>112</v>
      </c>
      <c r="O975">
        <v>16</v>
      </c>
      <c r="P975">
        <v>0</v>
      </c>
      <c r="Q975">
        <v>45</v>
      </c>
      <c r="R975">
        <v>164</v>
      </c>
      <c r="S975" s="8" t="s">
        <v>2740</v>
      </c>
      <c r="T975" s="8" t="s">
        <v>2741</v>
      </c>
      <c r="U975" s="8" t="s">
        <v>2742</v>
      </c>
      <c r="V975" s="8" t="s">
        <v>2743</v>
      </c>
      <c r="W975" s="8" t="s">
        <v>2552</v>
      </c>
      <c r="X975" s="8" t="s">
        <v>2671</v>
      </c>
      <c r="Y975" s="8" t="s">
        <v>2740</v>
      </c>
      <c r="Z975" s="8" t="s">
        <v>2741</v>
      </c>
      <c r="AA975" s="8" t="s">
        <v>2742</v>
      </c>
      <c r="AB975" s="8" t="s">
        <v>2743</v>
      </c>
      <c r="AC975" s="8" t="s">
        <v>2552</v>
      </c>
      <c r="AD975" s="8" t="s">
        <v>2671</v>
      </c>
      <c r="AE975" s="8" t="s">
        <v>2398</v>
      </c>
      <c r="AF975" s="8" t="s">
        <v>2399</v>
      </c>
      <c r="AG975">
        <v>15480139.279999901</v>
      </c>
      <c r="AH975" s="8" t="s">
        <v>2740</v>
      </c>
      <c r="AI975" s="8" t="s">
        <v>2741</v>
      </c>
      <c r="AJ975" s="8" t="s">
        <v>2742</v>
      </c>
      <c r="AK975" s="8" t="s">
        <v>2743</v>
      </c>
      <c r="AL975" s="8" t="s">
        <v>2552</v>
      </c>
      <c r="AM975" s="8" t="s">
        <v>2671</v>
      </c>
      <c r="AN975" s="8" t="s">
        <v>2398</v>
      </c>
      <c r="AO975" s="8" t="s">
        <v>2399</v>
      </c>
      <c r="AP975" s="8" t="s">
        <v>2744</v>
      </c>
      <c r="AQ975" s="8" t="s">
        <v>124</v>
      </c>
      <c r="AR975" s="8" t="s">
        <v>125</v>
      </c>
      <c r="AS975">
        <v>2</v>
      </c>
      <c r="AT975" s="8" t="s">
        <v>126</v>
      </c>
      <c r="AU975" s="8" t="s">
        <v>155</v>
      </c>
      <c r="AV975" s="8" t="s">
        <v>2745</v>
      </c>
      <c r="AW975">
        <v>1</v>
      </c>
      <c r="AX975" s="8" t="s">
        <v>129</v>
      </c>
      <c r="AY975">
        <v>211188.58</v>
      </c>
      <c r="AZ975">
        <v>15425362</v>
      </c>
      <c r="BA975">
        <v>225408.29</v>
      </c>
      <c r="BB975">
        <v>73.040700000000001</v>
      </c>
      <c r="BC975" s="8" t="s">
        <v>130</v>
      </c>
      <c r="BD975" s="8" t="s">
        <v>112</v>
      </c>
      <c r="BE975" s="8" t="s">
        <v>2746</v>
      </c>
      <c r="BF975" s="8" t="s">
        <v>133</v>
      </c>
      <c r="BG975" s="8" t="s">
        <v>134</v>
      </c>
      <c r="BH975" s="8" t="s">
        <v>112</v>
      </c>
      <c r="BI975" s="8" t="s">
        <v>112</v>
      </c>
      <c r="BJ975" s="8" t="s">
        <v>112</v>
      </c>
      <c r="BK975" s="8" t="s">
        <v>2587</v>
      </c>
      <c r="BL975" s="8" t="s">
        <v>2747</v>
      </c>
      <c r="BM975" s="8" t="s">
        <v>2748</v>
      </c>
      <c r="BN975" s="8" t="s">
        <v>2749</v>
      </c>
      <c r="BO975">
        <v>2</v>
      </c>
      <c r="BP975" s="8" t="s">
        <v>2750</v>
      </c>
      <c r="BR975" s="8" t="s">
        <v>2751</v>
      </c>
      <c r="BS975">
        <v>159</v>
      </c>
      <c r="BT975">
        <v>0</v>
      </c>
      <c r="BU975">
        <v>159</v>
      </c>
      <c r="BV975" t="s">
        <v>2147</v>
      </c>
      <c r="BW975">
        <v>0</v>
      </c>
      <c r="BY975" s="8" t="s">
        <v>596</v>
      </c>
      <c r="BZ975" s="8" t="s">
        <v>2148</v>
      </c>
      <c r="CA975" s="8" t="s">
        <v>112</v>
      </c>
      <c r="CB975" s="8" t="s">
        <v>112</v>
      </c>
      <c r="CC975" s="8" t="s">
        <v>2752</v>
      </c>
      <c r="CD975">
        <v>10106</v>
      </c>
      <c r="CE975" t="s">
        <v>144</v>
      </c>
      <c r="CF975">
        <v>4000000</v>
      </c>
      <c r="CG975">
        <v>9152</v>
      </c>
      <c r="CH975">
        <v>0</v>
      </c>
      <c r="CI975" s="8" t="s">
        <v>112</v>
      </c>
      <c r="CJ975" s="8" t="s">
        <v>112</v>
      </c>
      <c r="CK975">
        <v>166661</v>
      </c>
      <c r="CL975">
        <v>12173036</v>
      </c>
      <c r="CM975">
        <v>0</v>
      </c>
      <c r="CN975">
        <v>1</v>
      </c>
      <c r="CO975">
        <v>12222236.32</v>
      </c>
      <c r="CP975">
        <v>177969.54</v>
      </c>
      <c r="CQ975" s="8" t="s">
        <v>145</v>
      </c>
      <c r="CR975">
        <v>19.446000000000002</v>
      </c>
      <c r="CV975" t="s">
        <v>2753</v>
      </c>
      <c r="CW975">
        <v>1370</v>
      </c>
    </row>
    <row r="976" spans="1:101" x14ac:dyDescent="0.2">
      <c r="A976" s="8" t="s">
        <v>106</v>
      </c>
      <c r="B976" s="46">
        <v>45056</v>
      </c>
      <c r="C976" s="8" t="s">
        <v>2597</v>
      </c>
      <c r="D976" s="8" t="s">
        <v>583</v>
      </c>
      <c r="E976" s="8" t="s">
        <v>2598</v>
      </c>
      <c r="F976" t="s">
        <v>110</v>
      </c>
      <c r="G976" s="8" t="s">
        <v>111</v>
      </c>
      <c r="H976" s="8" t="s">
        <v>112</v>
      </c>
      <c r="I976" s="8" t="s">
        <v>112</v>
      </c>
      <c r="J976" s="8" t="s">
        <v>112</v>
      </c>
      <c r="K976" s="8" t="s">
        <v>2161</v>
      </c>
      <c r="L976" s="8" t="s">
        <v>2162</v>
      </c>
      <c r="M976" s="8" t="s">
        <v>112</v>
      </c>
      <c r="N976" s="8" t="s">
        <v>112</v>
      </c>
      <c r="O976">
        <v>1</v>
      </c>
      <c r="P976">
        <v>0</v>
      </c>
      <c r="Q976">
        <v>1</v>
      </c>
      <c r="R976">
        <v>91</v>
      </c>
      <c r="S976" s="8" t="s">
        <v>2136</v>
      </c>
      <c r="T976" s="8" t="s">
        <v>2137</v>
      </c>
      <c r="U976" s="8" t="s">
        <v>2141</v>
      </c>
      <c r="V976" s="8" t="s">
        <v>2139</v>
      </c>
      <c r="W976" s="8" t="s">
        <v>119</v>
      </c>
      <c r="X976" s="8" t="s">
        <v>2140</v>
      </c>
      <c r="Y976" s="8" t="s">
        <v>2136</v>
      </c>
      <c r="Z976" s="8" t="s">
        <v>2137</v>
      </c>
      <c r="AA976" s="8" t="s">
        <v>2141</v>
      </c>
      <c r="AB976" s="8" t="s">
        <v>2139</v>
      </c>
      <c r="AC976" s="8" t="s">
        <v>119</v>
      </c>
      <c r="AD976" s="8" t="s">
        <v>2140</v>
      </c>
      <c r="AE976" s="8" t="s">
        <v>2163</v>
      </c>
      <c r="AF976" s="8" t="s">
        <v>2164</v>
      </c>
      <c r="AG976">
        <v>10143171.5</v>
      </c>
      <c r="AH976" s="8" t="s">
        <v>2136</v>
      </c>
      <c r="AI976" s="8" t="s">
        <v>2137</v>
      </c>
      <c r="AJ976" s="8" t="s">
        <v>2141</v>
      </c>
      <c r="AK976" s="8" t="s">
        <v>2139</v>
      </c>
      <c r="AL976" s="8" t="s">
        <v>119</v>
      </c>
      <c r="AM976" s="8" t="s">
        <v>2140</v>
      </c>
      <c r="AN976" s="8" t="s">
        <v>2163</v>
      </c>
      <c r="AO976" s="8" t="s">
        <v>2164</v>
      </c>
      <c r="AP976" s="8" t="s">
        <v>2164</v>
      </c>
      <c r="AQ976" s="8" t="s">
        <v>124</v>
      </c>
      <c r="AR976" s="8" t="s">
        <v>125</v>
      </c>
      <c r="AS976">
        <v>2</v>
      </c>
      <c r="AT976" s="8" t="s">
        <v>126</v>
      </c>
      <c r="AU976" s="8" t="s">
        <v>127</v>
      </c>
      <c r="AV976" s="8" t="s">
        <v>2165</v>
      </c>
      <c r="AW976">
        <v>1</v>
      </c>
      <c r="AX976" s="8" t="s">
        <v>129</v>
      </c>
      <c r="AY976">
        <v>133110.13</v>
      </c>
      <c r="AZ976">
        <v>9722457</v>
      </c>
      <c r="BA976">
        <v>147696.01</v>
      </c>
      <c r="BB976">
        <v>73.040700000000001</v>
      </c>
      <c r="BC976" s="8" t="s">
        <v>130</v>
      </c>
      <c r="BD976" s="8" t="s">
        <v>131</v>
      </c>
      <c r="BE976" s="8" t="s">
        <v>2166</v>
      </c>
      <c r="BF976" s="8" t="s">
        <v>133</v>
      </c>
      <c r="BG976" s="8" t="s">
        <v>134</v>
      </c>
      <c r="BH976" s="8" t="s">
        <v>112</v>
      </c>
      <c r="BI976" s="8" t="s">
        <v>112</v>
      </c>
      <c r="BJ976" s="8" t="s">
        <v>112</v>
      </c>
      <c r="BK976" s="8" t="s">
        <v>588</v>
      </c>
      <c r="BL976" s="8" t="s">
        <v>901</v>
      </c>
      <c r="BM976" s="8" t="s">
        <v>590</v>
      </c>
      <c r="BN976" s="8" t="s">
        <v>591</v>
      </c>
      <c r="BO976">
        <v>1</v>
      </c>
      <c r="BP976" s="8" t="s">
        <v>2599</v>
      </c>
      <c r="BR976" s="8" t="s">
        <v>2161</v>
      </c>
      <c r="BS976">
        <v>91</v>
      </c>
      <c r="BT976">
        <v>0</v>
      </c>
      <c r="BU976">
        <v>341</v>
      </c>
      <c r="BV976" t="s">
        <v>2147</v>
      </c>
      <c r="BW976">
        <v>0</v>
      </c>
      <c r="BY976" s="8" t="s">
        <v>106</v>
      </c>
      <c r="BZ976" s="8" t="s">
        <v>2148</v>
      </c>
      <c r="CA976" s="8" t="s">
        <v>112</v>
      </c>
      <c r="CB976" s="8" t="s">
        <v>112</v>
      </c>
      <c r="CC976" s="8" t="s">
        <v>2163</v>
      </c>
      <c r="CD976">
        <v>17018.900000000001</v>
      </c>
      <c r="CE976" t="s">
        <v>144</v>
      </c>
      <c r="CF976">
        <v>4000000</v>
      </c>
      <c r="CG976">
        <v>16948.28</v>
      </c>
      <c r="CH976">
        <v>0</v>
      </c>
      <c r="CI976" s="8" t="s">
        <v>112</v>
      </c>
      <c r="CJ976" s="8" t="s">
        <v>112</v>
      </c>
      <c r="CK976">
        <v>133110.13</v>
      </c>
      <c r="CL976">
        <v>9722457</v>
      </c>
      <c r="CM976">
        <v>0</v>
      </c>
      <c r="CN976">
        <v>1</v>
      </c>
      <c r="CO976">
        <v>10143171.5</v>
      </c>
      <c r="CP976">
        <v>147696.01</v>
      </c>
      <c r="CQ976" s="8" t="s">
        <v>145</v>
      </c>
      <c r="CR976">
        <v>8.7144999999999992</v>
      </c>
      <c r="CS976">
        <v>1053</v>
      </c>
      <c r="CT976" t="s">
        <v>2149</v>
      </c>
      <c r="CV976" t="s">
        <v>2150</v>
      </c>
      <c r="CW976">
        <v>1213</v>
      </c>
    </row>
    <row r="977" spans="1:101" x14ac:dyDescent="0.2">
      <c r="A977" s="8" t="s">
        <v>106</v>
      </c>
      <c r="B977" s="46">
        <v>45199</v>
      </c>
      <c r="C977" s="8" t="s">
        <v>2663</v>
      </c>
      <c r="D977" s="8" t="s">
        <v>583</v>
      </c>
      <c r="E977" s="8" t="s">
        <v>2664</v>
      </c>
      <c r="F977" t="s">
        <v>110</v>
      </c>
      <c r="G977" s="8" t="s">
        <v>111</v>
      </c>
      <c r="H977" s="8" t="s">
        <v>112</v>
      </c>
      <c r="I977" s="8" t="s">
        <v>112</v>
      </c>
      <c r="J977" s="8" t="s">
        <v>112</v>
      </c>
      <c r="K977" s="8" t="s">
        <v>2665</v>
      </c>
      <c r="L977" s="8" t="s">
        <v>2666</v>
      </c>
      <c r="M977" s="8" t="s">
        <v>112</v>
      </c>
      <c r="N977" s="8" t="s">
        <v>112</v>
      </c>
      <c r="O977">
        <v>1</v>
      </c>
      <c r="P977">
        <v>0</v>
      </c>
      <c r="Q977">
        <v>1</v>
      </c>
      <c r="R977">
        <v>72</v>
      </c>
      <c r="S977" s="8" t="s">
        <v>2667</v>
      </c>
      <c r="T977" s="8" t="s">
        <v>2668</v>
      </c>
      <c r="U977" s="8" t="s">
        <v>2669</v>
      </c>
      <c r="V977" s="8" t="s">
        <v>2670</v>
      </c>
      <c r="W977" s="8" t="s">
        <v>2552</v>
      </c>
      <c r="X977" s="8" t="s">
        <v>2671</v>
      </c>
      <c r="Y977" s="8" t="s">
        <v>2667</v>
      </c>
      <c r="Z977" s="8" t="s">
        <v>2668</v>
      </c>
      <c r="AA977" s="8" t="s">
        <v>2669</v>
      </c>
      <c r="AB977" s="8" t="s">
        <v>2670</v>
      </c>
      <c r="AC977" s="8" t="s">
        <v>2552</v>
      </c>
      <c r="AD977" s="8" t="s">
        <v>2671</v>
      </c>
      <c r="AE977" s="8" t="s">
        <v>2672</v>
      </c>
      <c r="AF977" s="8" t="s">
        <v>2673</v>
      </c>
      <c r="AG977">
        <v>14238595.08</v>
      </c>
      <c r="AH977" s="8" t="s">
        <v>2667</v>
      </c>
      <c r="AI977" s="8" t="s">
        <v>2668</v>
      </c>
      <c r="AJ977" s="8" t="s">
        <v>2669</v>
      </c>
      <c r="AK977" s="8" t="s">
        <v>2670</v>
      </c>
      <c r="AL977" s="8" t="s">
        <v>2552</v>
      </c>
      <c r="AM977" s="8" t="s">
        <v>2671</v>
      </c>
      <c r="AN977" s="8" t="s">
        <v>2672</v>
      </c>
      <c r="AO977" s="8" t="s">
        <v>2673</v>
      </c>
      <c r="AP977" s="8" t="s">
        <v>2673</v>
      </c>
      <c r="AQ977" s="8" t="s">
        <v>124</v>
      </c>
      <c r="AR977" s="8" t="s">
        <v>125</v>
      </c>
      <c r="AS977">
        <v>2</v>
      </c>
      <c r="AT977" s="8" t="s">
        <v>126</v>
      </c>
      <c r="AU977" s="8" t="s">
        <v>2674</v>
      </c>
      <c r="AV977" s="8" t="s">
        <v>2675</v>
      </c>
      <c r="AW977">
        <v>1</v>
      </c>
      <c r="AX977" s="8" t="s">
        <v>2188</v>
      </c>
      <c r="AY977">
        <v>207330</v>
      </c>
      <c r="AZ977">
        <v>14238595</v>
      </c>
      <c r="BA977">
        <v>207330</v>
      </c>
      <c r="BB977">
        <v>68.676000000000002</v>
      </c>
      <c r="BC977" s="8" t="s">
        <v>130</v>
      </c>
      <c r="BD977" s="8" t="s">
        <v>131</v>
      </c>
      <c r="BE977" s="8" t="s">
        <v>2676</v>
      </c>
      <c r="BF977" s="8" t="s">
        <v>133</v>
      </c>
      <c r="BG977" s="8" t="s">
        <v>134</v>
      </c>
      <c r="BH977" s="8" t="s">
        <v>112</v>
      </c>
      <c r="BI977" s="8" t="s">
        <v>112</v>
      </c>
      <c r="BJ977" s="8" t="s">
        <v>112</v>
      </c>
      <c r="BK977" s="8" t="s">
        <v>2587</v>
      </c>
      <c r="BL977" s="8" t="s">
        <v>2677</v>
      </c>
      <c r="BM977" s="8" t="s">
        <v>2678</v>
      </c>
      <c r="BN977" s="8" t="s">
        <v>2679</v>
      </c>
      <c r="BO977">
        <v>1</v>
      </c>
      <c r="BP977" s="8" t="s">
        <v>2680</v>
      </c>
      <c r="BR977" s="8" t="s">
        <v>2681</v>
      </c>
      <c r="BS977">
        <v>72</v>
      </c>
      <c r="BT977">
        <v>0</v>
      </c>
      <c r="BU977">
        <v>432</v>
      </c>
      <c r="BV977" t="s">
        <v>2147</v>
      </c>
      <c r="BW977">
        <v>0</v>
      </c>
      <c r="BY977" s="8" t="s">
        <v>106</v>
      </c>
      <c r="BZ977" s="8" t="s">
        <v>2148</v>
      </c>
      <c r="CA977" s="8" t="s">
        <v>112</v>
      </c>
      <c r="CB977" s="8" t="s">
        <v>112</v>
      </c>
      <c r="CC977" s="8" t="s">
        <v>2672</v>
      </c>
      <c r="CD977">
        <v>17016</v>
      </c>
      <c r="CE977" t="s">
        <v>2682</v>
      </c>
      <c r="CF977">
        <v>4000000</v>
      </c>
      <c r="CG977">
        <v>14820</v>
      </c>
      <c r="CH977">
        <v>0</v>
      </c>
      <c r="CI977" s="8" t="s">
        <v>112</v>
      </c>
      <c r="CJ977" s="8" t="s">
        <v>112</v>
      </c>
      <c r="CK977">
        <v>207330</v>
      </c>
      <c r="CL977">
        <v>14238595</v>
      </c>
      <c r="CM977">
        <v>0</v>
      </c>
      <c r="CN977">
        <v>1</v>
      </c>
      <c r="CO977">
        <v>14238595.08</v>
      </c>
      <c r="CP977">
        <v>207330</v>
      </c>
      <c r="CQ977" s="8" t="s">
        <v>145</v>
      </c>
      <c r="CR977">
        <v>13.9899</v>
      </c>
      <c r="CS977">
        <v>1085</v>
      </c>
      <c r="CT977" t="s">
        <v>2683</v>
      </c>
      <c r="CV977" t="s">
        <v>2684</v>
      </c>
      <c r="CW977">
        <v>1442</v>
      </c>
    </row>
    <row r="978" spans="1:101" x14ac:dyDescent="0.2">
      <c r="A978" s="8" t="s">
        <v>106</v>
      </c>
      <c r="B978" s="46">
        <v>45200</v>
      </c>
      <c r="C978" s="8" t="s">
        <v>2818</v>
      </c>
      <c r="D978" s="8" t="s">
        <v>583</v>
      </c>
      <c r="E978" s="8" t="s">
        <v>2819</v>
      </c>
      <c r="F978" t="s">
        <v>110</v>
      </c>
      <c r="G978" s="8" t="s">
        <v>111</v>
      </c>
      <c r="H978" s="8" t="s">
        <v>112</v>
      </c>
      <c r="I978" s="8" t="s">
        <v>112</v>
      </c>
      <c r="J978" s="8" t="s">
        <v>112</v>
      </c>
      <c r="K978" s="8" t="s">
        <v>2349</v>
      </c>
      <c r="L978" s="8" t="s">
        <v>2350</v>
      </c>
      <c r="M978" s="8" t="s">
        <v>112</v>
      </c>
      <c r="N978" s="8" t="s">
        <v>112</v>
      </c>
      <c r="O978">
        <v>1</v>
      </c>
      <c r="P978">
        <v>0</v>
      </c>
      <c r="Q978">
        <v>1</v>
      </c>
      <c r="R978">
        <v>30</v>
      </c>
      <c r="S978" s="8" t="s">
        <v>2351</v>
      </c>
      <c r="T978" s="8" t="s">
        <v>2352</v>
      </c>
      <c r="U978" s="8" t="s">
        <v>2353</v>
      </c>
      <c r="V978" s="8" t="s">
        <v>2354</v>
      </c>
      <c r="W978" s="8" t="s">
        <v>119</v>
      </c>
      <c r="X978" s="8" t="s">
        <v>2140</v>
      </c>
      <c r="Y978" s="8" t="s">
        <v>2351</v>
      </c>
      <c r="Z978" s="8" t="s">
        <v>2352</v>
      </c>
      <c r="AA978" s="8" t="s">
        <v>2353</v>
      </c>
      <c r="AB978" s="8" t="s">
        <v>2354</v>
      </c>
      <c r="AC978" s="8" t="s">
        <v>119</v>
      </c>
      <c r="AD978" s="8" t="s">
        <v>2140</v>
      </c>
      <c r="AE978" s="8" t="s">
        <v>2355</v>
      </c>
      <c r="AF978" s="8" t="s">
        <v>2356</v>
      </c>
      <c r="AG978">
        <v>10130116.779999901</v>
      </c>
      <c r="AH978" s="8" t="s">
        <v>2351</v>
      </c>
      <c r="AI978" s="8" t="s">
        <v>2352</v>
      </c>
      <c r="AJ978" s="8" t="s">
        <v>2353</v>
      </c>
      <c r="AK978" s="8" t="s">
        <v>2354</v>
      </c>
      <c r="AL978" s="8" t="s">
        <v>119</v>
      </c>
      <c r="AM978" s="8" t="s">
        <v>2140</v>
      </c>
      <c r="AN978" s="8" t="s">
        <v>2355</v>
      </c>
      <c r="AO978" s="8" t="s">
        <v>2356</v>
      </c>
      <c r="AP978" s="8" t="s">
        <v>2356</v>
      </c>
      <c r="AQ978" s="8" t="s">
        <v>124</v>
      </c>
      <c r="AR978" s="8" t="s">
        <v>125</v>
      </c>
      <c r="AS978">
        <v>2</v>
      </c>
      <c r="AT978" s="8" t="s">
        <v>126</v>
      </c>
      <c r="AU978" s="8" t="s">
        <v>127</v>
      </c>
      <c r="AV978" s="8" t="s">
        <v>2357</v>
      </c>
      <c r="AW978">
        <v>1</v>
      </c>
      <c r="AX978" s="8" t="s">
        <v>129</v>
      </c>
      <c r="AY978">
        <v>130320</v>
      </c>
      <c r="AZ978">
        <v>9988324</v>
      </c>
      <c r="BA978">
        <v>140441.32</v>
      </c>
      <c r="BB978">
        <v>76.644599999999897</v>
      </c>
      <c r="BC978" s="8" t="s">
        <v>130</v>
      </c>
      <c r="BD978" s="8" t="s">
        <v>131</v>
      </c>
      <c r="BE978" s="8" t="s">
        <v>2358</v>
      </c>
      <c r="BF978" s="8" t="s">
        <v>133</v>
      </c>
      <c r="BG978" s="8" t="s">
        <v>134</v>
      </c>
      <c r="BH978" s="8" t="s">
        <v>112</v>
      </c>
      <c r="BI978" s="8" t="s">
        <v>2359</v>
      </c>
      <c r="BJ978" s="8" t="s">
        <v>2360</v>
      </c>
      <c r="BK978" s="8" t="s">
        <v>2361</v>
      </c>
      <c r="BL978" s="8" t="s">
        <v>2362</v>
      </c>
      <c r="BM978" s="8" t="s">
        <v>2363</v>
      </c>
      <c r="BN978" s="8" t="s">
        <v>2364</v>
      </c>
      <c r="BO978">
        <v>1</v>
      </c>
      <c r="BP978" s="8" t="s">
        <v>2365</v>
      </c>
      <c r="BR978" s="8" t="s">
        <v>2349</v>
      </c>
      <c r="BS978">
        <v>30</v>
      </c>
      <c r="BT978">
        <v>0</v>
      </c>
      <c r="BU978">
        <v>452</v>
      </c>
      <c r="BV978" t="s">
        <v>2147</v>
      </c>
      <c r="BW978">
        <v>0</v>
      </c>
      <c r="BY978" s="8" t="s">
        <v>106</v>
      </c>
      <c r="BZ978" s="8" t="s">
        <v>2148</v>
      </c>
      <c r="CA978" s="8" t="s">
        <v>112</v>
      </c>
      <c r="CB978" s="8" t="s">
        <v>112</v>
      </c>
      <c r="CC978" s="8" t="s">
        <v>2355</v>
      </c>
      <c r="CD978">
        <v>15619</v>
      </c>
      <c r="CE978" t="s">
        <v>144</v>
      </c>
      <c r="CF978">
        <v>4000000</v>
      </c>
      <c r="CG978">
        <v>13943</v>
      </c>
      <c r="CH978">
        <v>0</v>
      </c>
      <c r="CI978" s="8" t="s">
        <v>112</v>
      </c>
      <c r="CJ978" s="8" t="s">
        <v>112</v>
      </c>
      <c r="CK978">
        <v>130320</v>
      </c>
      <c r="CL978">
        <v>9988324</v>
      </c>
      <c r="CM978">
        <v>0</v>
      </c>
      <c r="CN978">
        <v>1</v>
      </c>
      <c r="CO978">
        <v>10130116.779999901</v>
      </c>
      <c r="CP978">
        <v>140441.32</v>
      </c>
      <c r="CQ978" s="8" t="s">
        <v>145</v>
      </c>
      <c r="CR978">
        <v>10.0725</v>
      </c>
      <c r="CS978">
        <v>1175</v>
      </c>
      <c r="CT978">
        <v>220714</v>
      </c>
      <c r="CV978" t="s">
        <v>2366</v>
      </c>
      <c r="CW978">
        <v>0</v>
      </c>
    </row>
    <row r="979" spans="1:101" x14ac:dyDescent="0.2">
      <c r="A979" s="8" t="s">
        <v>106</v>
      </c>
      <c r="B979" s="46">
        <v>45020</v>
      </c>
      <c r="C979" s="8" t="s">
        <v>2791</v>
      </c>
      <c r="D979" s="8" t="s">
        <v>583</v>
      </c>
      <c r="E979" s="8" t="s">
        <v>2792</v>
      </c>
      <c r="F979" t="s">
        <v>110</v>
      </c>
      <c r="G979" s="8" t="s">
        <v>111</v>
      </c>
      <c r="H979" s="8" t="s">
        <v>112</v>
      </c>
      <c r="I979" s="8" t="s">
        <v>112</v>
      </c>
      <c r="J979" s="8" t="s">
        <v>112</v>
      </c>
      <c r="K979" s="8" t="s">
        <v>2793</v>
      </c>
      <c r="L979" s="8" t="s">
        <v>2794</v>
      </c>
      <c r="M979" s="8" t="s">
        <v>112</v>
      </c>
      <c r="N979" s="8" t="s">
        <v>112</v>
      </c>
      <c r="O979">
        <v>4</v>
      </c>
      <c r="P979">
        <v>0</v>
      </c>
      <c r="Q979">
        <v>9</v>
      </c>
      <c r="R979">
        <v>30</v>
      </c>
      <c r="S979" s="8" t="s">
        <v>2795</v>
      </c>
      <c r="T979" s="8" t="s">
        <v>2796</v>
      </c>
      <c r="U979" s="8" t="s">
        <v>2797</v>
      </c>
      <c r="V979" s="8" t="s">
        <v>2798</v>
      </c>
      <c r="W979" s="8" t="s">
        <v>119</v>
      </c>
      <c r="X979" s="8" t="s">
        <v>2799</v>
      </c>
      <c r="Y979" s="8" t="s">
        <v>2795</v>
      </c>
      <c r="Z979" s="8" t="s">
        <v>2796</v>
      </c>
      <c r="AA979" s="8" t="s">
        <v>2797</v>
      </c>
      <c r="AB979" s="8" t="s">
        <v>2798</v>
      </c>
      <c r="AC979" s="8" t="s">
        <v>119</v>
      </c>
      <c r="AD979" s="8" t="s">
        <v>2799</v>
      </c>
      <c r="AE979" s="8" t="s">
        <v>2800</v>
      </c>
      <c r="AF979" s="8" t="s">
        <v>2801</v>
      </c>
      <c r="AG979">
        <v>25184743.399999902</v>
      </c>
      <c r="AH979" s="8" t="s">
        <v>2795</v>
      </c>
      <c r="AI979" s="8" t="s">
        <v>2796</v>
      </c>
      <c r="AJ979" s="8" t="s">
        <v>2797</v>
      </c>
      <c r="AK979" s="8" t="s">
        <v>2798</v>
      </c>
      <c r="AL979" s="8" t="s">
        <v>119</v>
      </c>
      <c r="AM979" s="8" t="s">
        <v>2799</v>
      </c>
      <c r="AN979" s="8" t="s">
        <v>2800</v>
      </c>
      <c r="AO979" s="8" t="s">
        <v>2801</v>
      </c>
      <c r="AP979" s="8" t="s">
        <v>2397</v>
      </c>
      <c r="AQ979" s="8" t="s">
        <v>124</v>
      </c>
      <c r="AR979" s="8" t="s">
        <v>125</v>
      </c>
      <c r="AS979">
        <v>2</v>
      </c>
      <c r="AT979" s="8" t="s">
        <v>126</v>
      </c>
      <c r="AU979" s="8" t="s">
        <v>155</v>
      </c>
      <c r="AV979" s="8" t="s">
        <v>2802</v>
      </c>
      <c r="AW979">
        <v>1</v>
      </c>
      <c r="AX979" s="8" t="s">
        <v>129</v>
      </c>
      <c r="AY979">
        <v>321791.23</v>
      </c>
      <c r="AZ979">
        <v>24663560</v>
      </c>
      <c r="BA979">
        <v>349154.78</v>
      </c>
      <c r="BB979">
        <v>76.644599999999897</v>
      </c>
      <c r="BC979" s="8" t="s">
        <v>130</v>
      </c>
      <c r="BD979" s="8" t="s">
        <v>131</v>
      </c>
      <c r="BE979" s="8" t="s">
        <v>2803</v>
      </c>
      <c r="BF979" s="8" t="s">
        <v>133</v>
      </c>
      <c r="BG979" s="8" t="s">
        <v>167</v>
      </c>
      <c r="BH979" s="8" t="s">
        <v>2804</v>
      </c>
      <c r="BI979" s="8" t="s">
        <v>112</v>
      </c>
      <c r="BJ979" s="8" t="s">
        <v>112</v>
      </c>
      <c r="BK979" s="8" t="s">
        <v>2645</v>
      </c>
      <c r="BL979" s="8" t="s">
        <v>2805</v>
      </c>
      <c r="BM979" s="8" t="s">
        <v>2647</v>
      </c>
      <c r="BN979" s="8" t="s">
        <v>2648</v>
      </c>
      <c r="BO979">
        <v>3</v>
      </c>
      <c r="BP979" s="8" t="s">
        <v>2806</v>
      </c>
      <c r="BR979" s="8" t="s">
        <v>2807</v>
      </c>
      <c r="BS979">
        <v>2</v>
      </c>
      <c r="BT979">
        <v>0</v>
      </c>
      <c r="BU979">
        <v>33</v>
      </c>
      <c r="BV979" t="s">
        <v>2147</v>
      </c>
      <c r="BW979">
        <v>0</v>
      </c>
      <c r="BY979" s="8" t="s">
        <v>2410</v>
      </c>
      <c r="BZ979" s="8" t="s">
        <v>2148</v>
      </c>
      <c r="CA979" s="8" t="s">
        <v>112</v>
      </c>
      <c r="CB979" s="8" t="s">
        <v>112</v>
      </c>
      <c r="CC979" s="8" t="s">
        <v>2396</v>
      </c>
      <c r="CD979">
        <v>1090.8</v>
      </c>
      <c r="CE979" t="s">
        <v>144</v>
      </c>
      <c r="CF979">
        <v>4000000</v>
      </c>
      <c r="CG979">
        <v>1010</v>
      </c>
      <c r="CH979">
        <v>0</v>
      </c>
      <c r="CI979" s="8" t="s">
        <v>112</v>
      </c>
      <c r="CJ979" s="8" t="s">
        <v>112</v>
      </c>
      <c r="CK979">
        <v>26905.13</v>
      </c>
      <c r="CL979">
        <v>2062133</v>
      </c>
      <c r="CM979">
        <v>0</v>
      </c>
      <c r="CN979">
        <v>1</v>
      </c>
      <c r="CO979">
        <v>2128517.1200000001</v>
      </c>
      <c r="CP979">
        <v>29509.21</v>
      </c>
      <c r="CQ979" s="8" t="s">
        <v>145</v>
      </c>
      <c r="CR979">
        <v>29.216999999999999</v>
      </c>
      <c r="CS979">
        <v>1150</v>
      </c>
      <c r="CT979" t="s">
        <v>2808</v>
      </c>
      <c r="CV979" t="s">
        <v>2809</v>
      </c>
      <c r="CW979">
        <v>1285</v>
      </c>
    </row>
    <row r="980" spans="1:101" x14ac:dyDescent="0.2">
      <c r="A980" s="8" t="s">
        <v>106</v>
      </c>
      <c r="B980" s="46">
        <v>45105</v>
      </c>
      <c r="C980" s="8" t="s">
        <v>2902</v>
      </c>
      <c r="D980" s="8" t="s">
        <v>583</v>
      </c>
      <c r="E980" s="8" t="s">
        <v>2903</v>
      </c>
      <c r="F980" t="s">
        <v>110</v>
      </c>
      <c r="G980" s="8" t="s">
        <v>111</v>
      </c>
      <c r="H980" s="8" t="s">
        <v>112</v>
      </c>
      <c r="I980" s="8" t="s">
        <v>112</v>
      </c>
      <c r="J980" s="8" t="s">
        <v>112</v>
      </c>
      <c r="K980" s="8" t="s">
        <v>2665</v>
      </c>
      <c r="L980" s="8" t="s">
        <v>2666</v>
      </c>
      <c r="M980" s="8" t="s">
        <v>112</v>
      </c>
      <c r="N980" s="8" t="s">
        <v>112</v>
      </c>
      <c r="O980">
        <v>1</v>
      </c>
      <c r="P980">
        <v>0</v>
      </c>
      <c r="Q980">
        <v>1</v>
      </c>
      <c r="R980">
        <v>67</v>
      </c>
      <c r="S980" s="8" t="s">
        <v>2667</v>
      </c>
      <c r="T980" s="8" t="s">
        <v>2668</v>
      </c>
      <c r="U980" s="8" t="s">
        <v>2669</v>
      </c>
      <c r="V980" s="8" t="s">
        <v>2670</v>
      </c>
      <c r="W980" s="8" t="s">
        <v>2552</v>
      </c>
      <c r="X980" s="8" t="s">
        <v>2671</v>
      </c>
      <c r="Y980" s="8" t="s">
        <v>2667</v>
      </c>
      <c r="Z980" s="8" t="s">
        <v>2668</v>
      </c>
      <c r="AA980" s="8" t="s">
        <v>2669</v>
      </c>
      <c r="AB980" s="8" t="s">
        <v>2670</v>
      </c>
      <c r="AC980" s="8" t="s">
        <v>2552</v>
      </c>
      <c r="AD980" s="8" t="s">
        <v>2671</v>
      </c>
      <c r="AE980" s="8" t="s">
        <v>2672</v>
      </c>
      <c r="AF980" s="8" t="s">
        <v>2673</v>
      </c>
      <c r="AG980">
        <v>13276444.199999901</v>
      </c>
      <c r="AH980" s="8" t="s">
        <v>2667</v>
      </c>
      <c r="AI980" s="8" t="s">
        <v>2668</v>
      </c>
      <c r="AJ980" s="8" t="s">
        <v>2669</v>
      </c>
      <c r="AK980" s="8" t="s">
        <v>2670</v>
      </c>
      <c r="AL980" s="8" t="s">
        <v>2552</v>
      </c>
      <c r="AM980" s="8" t="s">
        <v>2671</v>
      </c>
      <c r="AN980" s="8" t="s">
        <v>2672</v>
      </c>
      <c r="AO980" s="8" t="s">
        <v>2673</v>
      </c>
      <c r="AP980" s="8" t="s">
        <v>2673</v>
      </c>
      <c r="AQ980" s="8" t="s">
        <v>124</v>
      </c>
      <c r="AR980" s="8" t="s">
        <v>125</v>
      </c>
      <c r="AS980">
        <v>2</v>
      </c>
      <c r="AT980" s="8" t="s">
        <v>126</v>
      </c>
      <c r="AU980" s="8" t="s">
        <v>2904</v>
      </c>
      <c r="AV980" s="8" t="s">
        <v>2675</v>
      </c>
      <c r="AW980">
        <v>1</v>
      </c>
      <c r="AX980" s="8" t="s">
        <v>2188</v>
      </c>
      <c r="AY980">
        <v>188250</v>
      </c>
      <c r="AZ980">
        <v>13276444</v>
      </c>
      <c r="BA980">
        <v>188250</v>
      </c>
      <c r="BB980">
        <v>70.525599999999898</v>
      </c>
      <c r="BC980" s="8" t="s">
        <v>130</v>
      </c>
      <c r="BD980" s="8" t="s">
        <v>131</v>
      </c>
      <c r="BE980" s="8" t="s">
        <v>2676</v>
      </c>
      <c r="BF980" s="8" t="s">
        <v>133</v>
      </c>
      <c r="BG980" s="8" t="s">
        <v>134</v>
      </c>
      <c r="BH980" s="8" t="s">
        <v>112</v>
      </c>
      <c r="BI980" s="8" t="s">
        <v>112</v>
      </c>
      <c r="BJ980" s="8" t="s">
        <v>112</v>
      </c>
      <c r="BK980" s="8" t="s">
        <v>2587</v>
      </c>
      <c r="BL980" s="8" t="s">
        <v>2677</v>
      </c>
      <c r="BM980" s="8" t="s">
        <v>2678</v>
      </c>
      <c r="BN980" s="8" t="s">
        <v>2679</v>
      </c>
      <c r="BO980">
        <v>1</v>
      </c>
      <c r="BP980" s="8" t="s">
        <v>2680</v>
      </c>
      <c r="BR980" s="8" t="s">
        <v>2681</v>
      </c>
      <c r="BS980">
        <v>67</v>
      </c>
      <c r="BT980">
        <v>0</v>
      </c>
      <c r="BU980">
        <v>402</v>
      </c>
      <c r="BV980" t="s">
        <v>2147</v>
      </c>
      <c r="BW980">
        <v>0</v>
      </c>
      <c r="BY980" s="8" t="s">
        <v>106</v>
      </c>
      <c r="BZ980" s="8" t="s">
        <v>2148</v>
      </c>
      <c r="CA980" s="8" t="s">
        <v>112</v>
      </c>
      <c r="CB980" s="8" t="s">
        <v>112</v>
      </c>
      <c r="CC980" s="8" t="s">
        <v>2672</v>
      </c>
      <c r="CD980">
        <v>15360.5</v>
      </c>
      <c r="CE980" t="s">
        <v>2682</v>
      </c>
      <c r="CF980">
        <v>4000000</v>
      </c>
      <c r="CG980">
        <v>13317</v>
      </c>
      <c r="CH980">
        <v>0</v>
      </c>
      <c r="CI980" s="8" t="s">
        <v>112</v>
      </c>
      <c r="CJ980" s="8" t="s">
        <v>112</v>
      </c>
      <c r="CK980">
        <v>188250</v>
      </c>
      <c r="CL980">
        <v>13276444</v>
      </c>
      <c r="CM980">
        <v>0</v>
      </c>
      <c r="CN980">
        <v>1</v>
      </c>
      <c r="CO980">
        <v>13276444.199999901</v>
      </c>
      <c r="CP980">
        <v>188250</v>
      </c>
      <c r="CQ980" s="8" t="s">
        <v>145</v>
      </c>
      <c r="CR980">
        <v>14.136100000000001</v>
      </c>
      <c r="CS980">
        <v>1085</v>
      </c>
      <c r="CT980" t="s">
        <v>2683</v>
      </c>
      <c r="CV980" t="s">
        <v>2684</v>
      </c>
      <c r="CW980">
        <v>1629</v>
      </c>
    </row>
    <row r="981" spans="1:101" x14ac:dyDescent="0.2">
      <c r="A981" s="8" t="s">
        <v>106</v>
      </c>
      <c r="B981" s="46">
        <v>45197</v>
      </c>
      <c r="C981" s="8" t="s">
        <v>2914</v>
      </c>
      <c r="D981" s="8" t="s">
        <v>583</v>
      </c>
      <c r="E981" s="8" t="s">
        <v>2915</v>
      </c>
      <c r="F981" t="s">
        <v>110</v>
      </c>
      <c r="G981" s="8" t="s">
        <v>111</v>
      </c>
      <c r="H981" s="8" t="s">
        <v>112</v>
      </c>
      <c r="I981" s="8" t="s">
        <v>112</v>
      </c>
      <c r="J981" s="8" t="s">
        <v>112</v>
      </c>
      <c r="K981" s="8" t="s">
        <v>2916</v>
      </c>
      <c r="L981" s="8" t="s">
        <v>2917</v>
      </c>
      <c r="M981" s="8" t="s">
        <v>112</v>
      </c>
      <c r="N981" s="8" t="s">
        <v>112</v>
      </c>
      <c r="O981">
        <v>2</v>
      </c>
      <c r="P981">
        <v>0</v>
      </c>
      <c r="Q981">
        <v>3</v>
      </c>
      <c r="R981">
        <v>26</v>
      </c>
      <c r="S981" s="8" t="s">
        <v>2918</v>
      </c>
      <c r="T981" s="8" t="s">
        <v>2919</v>
      </c>
      <c r="U981" s="8" t="s">
        <v>2920</v>
      </c>
      <c r="V981" s="8" t="s">
        <v>2921</v>
      </c>
      <c r="W981" s="8" t="s">
        <v>2552</v>
      </c>
      <c r="X981" s="8" t="s">
        <v>2922</v>
      </c>
      <c r="Y981" s="8" t="s">
        <v>2918</v>
      </c>
      <c r="Z981" s="8" t="s">
        <v>2919</v>
      </c>
      <c r="AA981" s="8" t="s">
        <v>2920</v>
      </c>
      <c r="AB981" s="8" t="s">
        <v>2921</v>
      </c>
      <c r="AC981" s="8" t="s">
        <v>2552</v>
      </c>
      <c r="AD981" s="8" t="s">
        <v>2922</v>
      </c>
      <c r="AE981" s="8" t="s">
        <v>2752</v>
      </c>
      <c r="AF981" s="8" t="s">
        <v>2744</v>
      </c>
      <c r="AG981">
        <v>3768718.72</v>
      </c>
      <c r="AH981" s="8" t="s">
        <v>2918</v>
      </c>
      <c r="AI981" s="8" t="s">
        <v>2919</v>
      </c>
      <c r="AJ981" s="8" t="s">
        <v>2920</v>
      </c>
      <c r="AK981" s="8" t="s">
        <v>2921</v>
      </c>
      <c r="AL981" s="8" t="s">
        <v>2552</v>
      </c>
      <c r="AM981" s="8" t="s">
        <v>2922</v>
      </c>
      <c r="AN981" s="8" t="s">
        <v>2752</v>
      </c>
      <c r="AO981" s="8" t="s">
        <v>2744</v>
      </c>
      <c r="AP981" s="8" t="s">
        <v>2744</v>
      </c>
      <c r="AQ981" s="8" t="s">
        <v>124</v>
      </c>
      <c r="AR981" s="8" t="s">
        <v>125</v>
      </c>
      <c r="AS981">
        <v>2</v>
      </c>
      <c r="AT981" s="8" t="s">
        <v>126</v>
      </c>
      <c r="AU981" s="8" t="s">
        <v>155</v>
      </c>
      <c r="AV981" s="8" t="s">
        <v>2923</v>
      </c>
      <c r="AW981">
        <v>1</v>
      </c>
      <c r="AX981" s="8" t="s">
        <v>129</v>
      </c>
      <c r="AY981">
        <v>49088.42</v>
      </c>
      <c r="AZ981">
        <v>3686118</v>
      </c>
      <c r="BA981">
        <v>53437.599999999897</v>
      </c>
      <c r="BB981">
        <v>75.091399999999894</v>
      </c>
      <c r="BC981" s="8" t="s">
        <v>130</v>
      </c>
      <c r="BD981" s="8" t="s">
        <v>112</v>
      </c>
      <c r="BE981" s="8" t="s">
        <v>112</v>
      </c>
      <c r="BF981" s="8" t="s">
        <v>133</v>
      </c>
      <c r="BG981" s="8" t="s">
        <v>134</v>
      </c>
      <c r="BH981" s="8" t="s">
        <v>112</v>
      </c>
      <c r="BI981" s="8" t="s">
        <v>112</v>
      </c>
      <c r="BJ981" s="8" t="s">
        <v>2924</v>
      </c>
      <c r="BK981" s="8" t="s">
        <v>2587</v>
      </c>
      <c r="BL981" s="8" t="s">
        <v>2747</v>
      </c>
      <c r="BM981" s="8" t="s">
        <v>2925</v>
      </c>
      <c r="BN981" s="8" t="s">
        <v>2749</v>
      </c>
      <c r="BO981">
        <v>1</v>
      </c>
      <c r="BP981" s="8" t="s">
        <v>2926</v>
      </c>
      <c r="BR981" s="8" t="s">
        <v>2916</v>
      </c>
      <c r="BS981">
        <v>20</v>
      </c>
      <c r="BT981">
        <v>0</v>
      </c>
      <c r="BU981">
        <v>32</v>
      </c>
      <c r="BV981" t="s">
        <v>2147</v>
      </c>
      <c r="BW981">
        <v>0</v>
      </c>
      <c r="BY981" s="8" t="s">
        <v>106</v>
      </c>
      <c r="BZ981" s="8" t="s">
        <v>2467</v>
      </c>
      <c r="CA981" s="8" t="s">
        <v>112</v>
      </c>
      <c r="CB981" s="8" t="s">
        <v>112</v>
      </c>
      <c r="CC981" s="8" t="s">
        <v>2752</v>
      </c>
      <c r="CD981">
        <v>4737</v>
      </c>
      <c r="CE981" t="s">
        <v>144</v>
      </c>
      <c r="CF981">
        <v>4000000</v>
      </c>
      <c r="CG981">
        <v>4257</v>
      </c>
      <c r="CH981">
        <v>0</v>
      </c>
      <c r="CI981" s="8" t="s">
        <v>112</v>
      </c>
      <c r="CJ981" s="8" t="s">
        <v>112</v>
      </c>
      <c r="CK981">
        <v>29804.16</v>
      </c>
      <c r="CL981">
        <v>2238036</v>
      </c>
      <c r="CM981">
        <v>0</v>
      </c>
      <c r="CN981">
        <v>1</v>
      </c>
      <c r="CO981">
        <v>2302264.77999999</v>
      </c>
      <c r="CP981">
        <v>32644.38</v>
      </c>
      <c r="CQ981" s="8" t="s">
        <v>145</v>
      </c>
      <c r="CR981">
        <v>7.6684000000000001</v>
      </c>
      <c r="CV981" t="s">
        <v>2927</v>
      </c>
      <c r="CW981">
        <v>1293</v>
      </c>
    </row>
    <row r="982" spans="1:101" x14ac:dyDescent="0.2">
      <c r="A982" s="8" t="s">
        <v>106</v>
      </c>
      <c r="B982" s="46">
        <v>45091</v>
      </c>
      <c r="C982" s="8" t="s">
        <v>2914</v>
      </c>
      <c r="D982" s="8" t="s">
        <v>583</v>
      </c>
      <c r="E982" s="8" t="s">
        <v>2915</v>
      </c>
      <c r="F982" t="s">
        <v>110</v>
      </c>
      <c r="G982" s="8" t="s">
        <v>111</v>
      </c>
      <c r="H982" s="8" t="s">
        <v>112</v>
      </c>
      <c r="I982" s="8" t="s">
        <v>112</v>
      </c>
      <c r="J982" s="8" t="s">
        <v>112</v>
      </c>
      <c r="K982" s="8" t="s">
        <v>2916</v>
      </c>
      <c r="L982" s="8" t="s">
        <v>2917</v>
      </c>
      <c r="M982" s="8" t="s">
        <v>112</v>
      </c>
      <c r="N982" s="8" t="s">
        <v>112</v>
      </c>
      <c r="O982">
        <v>2</v>
      </c>
      <c r="P982">
        <v>0</v>
      </c>
      <c r="Q982">
        <v>3</v>
      </c>
      <c r="R982">
        <v>26</v>
      </c>
      <c r="S982" s="8" t="s">
        <v>2918</v>
      </c>
      <c r="T982" s="8" t="s">
        <v>2919</v>
      </c>
      <c r="U982" s="8" t="s">
        <v>2920</v>
      </c>
      <c r="V982" s="8" t="s">
        <v>2921</v>
      </c>
      <c r="W982" s="8" t="s">
        <v>2552</v>
      </c>
      <c r="X982" s="8" t="s">
        <v>2922</v>
      </c>
      <c r="Y982" s="8" t="s">
        <v>2918</v>
      </c>
      <c r="Z982" s="8" t="s">
        <v>2919</v>
      </c>
      <c r="AA982" s="8" t="s">
        <v>2920</v>
      </c>
      <c r="AB982" s="8" t="s">
        <v>2921</v>
      </c>
      <c r="AC982" s="8" t="s">
        <v>2552</v>
      </c>
      <c r="AD982" s="8" t="s">
        <v>2922</v>
      </c>
      <c r="AE982" s="8" t="s">
        <v>2752</v>
      </c>
      <c r="AF982" s="8" t="s">
        <v>2744</v>
      </c>
      <c r="AG982">
        <v>3768718.72</v>
      </c>
      <c r="AH982" s="8" t="s">
        <v>2918</v>
      </c>
      <c r="AI982" s="8" t="s">
        <v>2919</v>
      </c>
      <c r="AJ982" s="8" t="s">
        <v>2920</v>
      </c>
      <c r="AK982" s="8" t="s">
        <v>2921</v>
      </c>
      <c r="AL982" s="8" t="s">
        <v>2552</v>
      </c>
      <c r="AM982" s="8" t="s">
        <v>2922</v>
      </c>
      <c r="AN982" s="8" t="s">
        <v>2752</v>
      </c>
      <c r="AO982" s="8" t="s">
        <v>2744</v>
      </c>
      <c r="AP982" s="8" t="s">
        <v>2744</v>
      </c>
      <c r="AQ982" s="8" t="s">
        <v>124</v>
      </c>
      <c r="AR982" s="8" t="s">
        <v>125</v>
      </c>
      <c r="AS982">
        <v>2</v>
      </c>
      <c r="AT982" s="8" t="s">
        <v>126</v>
      </c>
      <c r="AU982" s="8" t="s">
        <v>155</v>
      </c>
      <c r="AV982" s="8" t="s">
        <v>2923</v>
      </c>
      <c r="AW982">
        <v>1</v>
      </c>
      <c r="AX982" s="8" t="s">
        <v>129</v>
      </c>
      <c r="AY982">
        <v>49088.42</v>
      </c>
      <c r="AZ982">
        <v>3686118</v>
      </c>
      <c r="BA982">
        <v>53437.599999999897</v>
      </c>
      <c r="BB982">
        <v>75.091399999999894</v>
      </c>
      <c r="BC982" s="8" t="s">
        <v>130</v>
      </c>
      <c r="BD982" s="8" t="s">
        <v>112</v>
      </c>
      <c r="BE982" s="8" t="s">
        <v>112</v>
      </c>
      <c r="BF982" s="8" t="s">
        <v>133</v>
      </c>
      <c r="BG982" s="8" t="s">
        <v>134</v>
      </c>
      <c r="BH982" s="8" t="s">
        <v>112</v>
      </c>
      <c r="BI982" s="8" t="s">
        <v>112</v>
      </c>
      <c r="BJ982" s="8" t="s">
        <v>2924</v>
      </c>
      <c r="BK982" s="8" t="s">
        <v>2587</v>
      </c>
      <c r="BL982" s="8" t="s">
        <v>2747</v>
      </c>
      <c r="BM982" s="8" t="s">
        <v>2925</v>
      </c>
      <c r="BN982" s="8" t="s">
        <v>2749</v>
      </c>
      <c r="BO982">
        <v>2</v>
      </c>
      <c r="BP982" s="8" t="s">
        <v>2928</v>
      </c>
      <c r="BR982" s="8" t="s">
        <v>2916</v>
      </c>
      <c r="BS982">
        <v>2</v>
      </c>
      <c r="BT982">
        <v>0</v>
      </c>
      <c r="BU982">
        <v>12</v>
      </c>
      <c r="BV982" t="s">
        <v>2147</v>
      </c>
      <c r="BW982">
        <v>0</v>
      </c>
      <c r="BY982" s="8" t="s">
        <v>2515</v>
      </c>
      <c r="BZ982" s="8" t="s">
        <v>2148</v>
      </c>
      <c r="CA982" s="8" t="s">
        <v>112</v>
      </c>
      <c r="CB982" s="8" t="s">
        <v>112</v>
      </c>
      <c r="CC982" s="8" t="s">
        <v>2752</v>
      </c>
      <c r="CD982">
        <v>480</v>
      </c>
      <c r="CE982" t="s">
        <v>144</v>
      </c>
      <c r="CF982">
        <v>4000000</v>
      </c>
      <c r="CG982">
        <v>450</v>
      </c>
      <c r="CH982">
        <v>0</v>
      </c>
      <c r="CI982" s="8" t="s">
        <v>112</v>
      </c>
      <c r="CJ982" s="8" t="s">
        <v>112</v>
      </c>
      <c r="CK982">
        <v>6340.56</v>
      </c>
      <c r="CL982">
        <v>476122</v>
      </c>
      <c r="CM982">
        <v>0</v>
      </c>
      <c r="CN982">
        <v>1</v>
      </c>
      <c r="CO982">
        <v>482629.7</v>
      </c>
      <c r="CP982">
        <v>6843.33</v>
      </c>
      <c r="CQ982" s="8" t="s">
        <v>145</v>
      </c>
      <c r="CR982">
        <v>15.2074</v>
      </c>
      <c r="CV982" t="s">
        <v>2927</v>
      </c>
      <c r="CW982">
        <v>1293</v>
      </c>
    </row>
    <row r="983" spans="1:101" x14ac:dyDescent="0.2">
      <c r="A983" s="8" t="s">
        <v>106</v>
      </c>
      <c r="B983" s="46">
        <v>45210</v>
      </c>
      <c r="C983" s="8" t="s">
        <v>2896</v>
      </c>
      <c r="D983" s="8" t="s">
        <v>583</v>
      </c>
      <c r="E983" s="8" t="s">
        <v>2897</v>
      </c>
      <c r="F983" t="s">
        <v>110</v>
      </c>
      <c r="G983" s="8" t="s">
        <v>111</v>
      </c>
      <c r="H983" s="8" t="s">
        <v>112</v>
      </c>
      <c r="I983" s="8" t="s">
        <v>112</v>
      </c>
      <c r="J983" s="8" t="s">
        <v>112</v>
      </c>
      <c r="K983" s="8" t="s">
        <v>2637</v>
      </c>
      <c r="L983" s="8" t="s">
        <v>2638</v>
      </c>
      <c r="M983" s="8" t="s">
        <v>112</v>
      </c>
      <c r="N983" s="8" t="s">
        <v>112</v>
      </c>
      <c r="O983">
        <v>7</v>
      </c>
      <c r="P983">
        <v>0</v>
      </c>
      <c r="Q983">
        <v>19</v>
      </c>
      <c r="R983">
        <v>29</v>
      </c>
      <c r="S983" s="8" t="s">
        <v>2639</v>
      </c>
      <c r="T983" s="8" t="s">
        <v>2640</v>
      </c>
      <c r="U983" s="8" t="s">
        <v>2641</v>
      </c>
      <c r="V983" s="8" t="s">
        <v>2642</v>
      </c>
      <c r="W983" s="8" t="s">
        <v>119</v>
      </c>
      <c r="X983" s="8" t="s">
        <v>2395</v>
      </c>
      <c r="Y983" s="8" t="s">
        <v>2639</v>
      </c>
      <c r="Z983" s="8" t="s">
        <v>2640</v>
      </c>
      <c r="AA983" s="8" t="s">
        <v>2641</v>
      </c>
      <c r="AB983" s="8" t="s">
        <v>2642</v>
      </c>
      <c r="AC983" s="8" t="s">
        <v>119</v>
      </c>
      <c r="AD983" s="8" t="s">
        <v>2395</v>
      </c>
      <c r="AE983" s="8" t="s">
        <v>2396</v>
      </c>
      <c r="AF983" s="8" t="s">
        <v>2397</v>
      </c>
      <c r="AG983">
        <v>8592695.9100000001</v>
      </c>
      <c r="AH983" s="8" t="s">
        <v>2639</v>
      </c>
      <c r="AI983" s="8" t="s">
        <v>2640</v>
      </c>
      <c r="AJ983" s="8" t="s">
        <v>2641</v>
      </c>
      <c r="AK983" s="8" t="s">
        <v>2642</v>
      </c>
      <c r="AL983" s="8" t="s">
        <v>119</v>
      </c>
      <c r="AM983" s="8" t="s">
        <v>2395</v>
      </c>
      <c r="AN983" s="8" t="s">
        <v>2396</v>
      </c>
      <c r="AO983" s="8" t="s">
        <v>2397</v>
      </c>
      <c r="AP983" s="8" t="s">
        <v>2397</v>
      </c>
      <c r="AQ983" s="8" t="s">
        <v>124</v>
      </c>
      <c r="AR983" s="8" t="s">
        <v>125</v>
      </c>
      <c r="AS983">
        <v>2</v>
      </c>
      <c r="AT983" s="8" t="s">
        <v>126</v>
      </c>
      <c r="AU983" s="8" t="s">
        <v>2318</v>
      </c>
      <c r="AV983" s="8" t="s">
        <v>2401</v>
      </c>
      <c r="AW983">
        <v>1</v>
      </c>
      <c r="AX983" s="8" t="s">
        <v>2643</v>
      </c>
      <c r="AY983">
        <v>8592695.9100000001</v>
      </c>
      <c r="AZ983">
        <v>8592696</v>
      </c>
      <c r="BA983">
        <v>121837.98</v>
      </c>
      <c r="BB983">
        <v>0</v>
      </c>
      <c r="BC983" s="8" t="s">
        <v>130</v>
      </c>
      <c r="BD983" s="8" t="s">
        <v>112</v>
      </c>
      <c r="BE983" s="8" t="s">
        <v>2644</v>
      </c>
      <c r="BF983" s="8" t="s">
        <v>133</v>
      </c>
      <c r="BG983" s="8" t="s">
        <v>134</v>
      </c>
      <c r="BH983" s="8" t="s">
        <v>112</v>
      </c>
      <c r="BI983" s="8" t="s">
        <v>112</v>
      </c>
      <c r="BJ983" s="8" t="s">
        <v>112</v>
      </c>
      <c r="BK983" s="8" t="s">
        <v>2645</v>
      </c>
      <c r="BL983" s="8" t="s">
        <v>2646</v>
      </c>
      <c r="BM983" s="8" t="s">
        <v>2647</v>
      </c>
      <c r="BN983" s="8" t="s">
        <v>2648</v>
      </c>
      <c r="BO983">
        <v>4</v>
      </c>
      <c r="BP983" s="8" t="s">
        <v>2898</v>
      </c>
      <c r="BR983" s="8" t="s">
        <v>2637</v>
      </c>
      <c r="BS983">
        <v>28</v>
      </c>
      <c r="BT983">
        <v>0</v>
      </c>
      <c r="BU983">
        <v>47</v>
      </c>
      <c r="BV983" t="s">
        <v>2147</v>
      </c>
      <c r="BW983">
        <v>0</v>
      </c>
      <c r="BY983" s="8" t="s">
        <v>2899</v>
      </c>
      <c r="BZ983" s="8" t="s">
        <v>2148</v>
      </c>
      <c r="CA983" s="8" t="s">
        <v>112</v>
      </c>
      <c r="CB983" s="8" t="s">
        <v>112</v>
      </c>
      <c r="CC983" s="8" t="s">
        <v>2396</v>
      </c>
      <c r="CD983">
        <v>6650.473</v>
      </c>
      <c r="CE983" t="s">
        <v>144</v>
      </c>
      <c r="CF983">
        <v>4000000</v>
      </c>
      <c r="CG983">
        <v>6170.473</v>
      </c>
      <c r="CH983">
        <v>0</v>
      </c>
      <c r="CI983" s="8" t="s">
        <v>112</v>
      </c>
      <c r="CJ983" s="8" t="s">
        <v>112</v>
      </c>
      <c r="CK983">
        <v>8100871.6600000001</v>
      </c>
      <c r="CL983">
        <v>8100872</v>
      </c>
      <c r="CM983">
        <v>0</v>
      </c>
      <c r="CN983">
        <v>1</v>
      </c>
      <c r="CO983">
        <v>8100871.6600000001</v>
      </c>
      <c r="CP983">
        <v>114864.27</v>
      </c>
      <c r="CQ983" s="8" t="s">
        <v>145</v>
      </c>
      <c r="CR983">
        <v>18.615100000000002</v>
      </c>
      <c r="CS983">
        <v>966</v>
      </c>
      <c r="CT983" t="s">
        <v>2651</v>
      </c>
      <c r="CV983" t="s">
        <v>2652</v>
      </c>
      <c r="CW983">
        <v>1434</v>
      </c>
    </row>
    <row r="984" spans="1:101" x14ac:dyDescent="0.2">
      <c r="A984" s="8" t="s">
        <v>106</v>
      </c>
      <c r="B984" s="46">
        <v>44994</v>
      </c>
      <c r="C984" s="8" t="s">
        <v>2936</v>
      </c>
      <c r="D984" s="8" t="s">
        <v>583</v>
      </c>
      <c r="E984" s="8" t="s">
        <v>2937</v>
      </c>
      <c r="F984" t="s">
        <v>110</v>
      </c>
      <c r="G984" s="8" t="s">
        <v>111</v>
      </c>
      <c r="H984" s="8" t="s">
        <v>112</v>
      </c>
      <c r="I984" s="8" t="s">
        <v>112</v>
      </c>
      <c r="J984" s="8" t="s">
        <v>112</v>
      </c>
      <c r="K984" s="8" t="s">
        <v>2578</v>
      </c>
      <c r="L984" s="8" t="s">
        <v>2579</v>
      </c>
      <c r="M984" s="8" t="s">
        <v>112</v>
      </c>
      <c r="N984" s="8" t="s">
        <v>112</v>
      </c>
      <c r="O984">
        <v>2</v>
      </c>
      <c r="P984">
        <v>0</v>
      </c>
      <c r="Q984">
        <v>2</v>
      </c>
      <c r="R984">
        <v>10</v>
      </c>
      <c r="S984" s="8" t="s">
        <v>2580</v>
      </c>
      <c r="T984" s="8" t="s">
        <v>2581</v>
      </c>
      <c r="U984" s="8" t="s">
        <v>2582</v>
      </c>
      <c r="V984" s="8" t="s">
        <v>2583</v>
      </c>
      <c r="W984" s="8" t="s">
        <v>2552</v>
      </c>
      <c r="X984" s="8" t="s">
        <v>2584</v>
      </c>
      <c r="Y984" s="8" t="s">
        <v>2580</v>
      </c>
      <c r="Z984" s="8" t="s">
        <v>2581</v>
      </c>
      <c r="AA984" s="8" t="s">
        <v>2582</v>
      </c>
      <c r="AB984" s="8" t="s">
        <v>2583</v>
      </c>
      <c r="AC984" s="8" t="s">
        <v>2552</v>
      </c>
      <c r="AD984" s="8" t="s">
        <v>2584</v>
      </c>
      <c r="AE984" s="8" t="s">
        <v>2163</v>
      </c>
      <c r="AF984" s="8" t="s">
        <v>2164</v>
      </c>
      <c r="AG984">
        <v>2854276.65</v>
      </c>
      <c r="AH984" s="8" t="s">
        <v>2580</v>
      </c>
      <c r="AI984" s="8" t="s">
        <v>2581</v>
      </c>
      <c r="AJ984" s="8" t="s">
        <v>2582</v>
      </c>
      <c r="AK984" s="8" t="s">
        <v>2583</v>
      </c>
      <c r="AL984" s="8" t="s">
        <v>2552</v>
      </c>
      <c r="AM984" s="8" t="s">
        <v>2584</v>
      </c>
      <c r="AN984" s="8" t="s">
        <v>2163</v>
      </c>
      <c r="AO984" s="8" t="s">
        <v>2164</v>
      </c>
      <c r="AP984" s="8" t="s">
        <v>2164</v>
      </c>
      <c r="AQ984" s="8" t="s">
        <v>124</v>
      </c>
      <c r="AR984" s="8" t="s">
        <v>125</v>
      </c>
      <c r="AS984">
        <v>2</v>
      </c>
      <c r="AT984" s="8" t="s">
        <v>126</v>
      </c>
      <c r="AU984" s="8" t="s">
        <v>155</v>
      </c>
      <c r="AV984" s="8" t="s">
        <v>2609</v>
      </c>
      <c r="AW984">
        <v>1</v>
      </c>
      <c r="AX984" s="8" t="s">
        <v>129</v>
      </c>
      <c r="AY984">
        <v>33019</v>
      </c>
      <c r="AZ984">
        <v>2421577</v>
      </c>
      <c r="BA984">
        <v>41364.11</v>
      </c>
      <c r="BB984">
        <v>73.338899999999896</v>
      </c>
      <c r="BC984" s="8" t="s">
        <v>130</v>
      </c>
      <c r="BD984" s="8" t="s">
        <v>131</v>
      </c>
      <c r="BE984" s="8" t="s">
        <v>2586</v>
      </c>
      <c r="BF984" s="8" t="s">
        <v>133</v>
      </c>
      <c r="BG984" s="8" t="s">
        <v>134</v>
      </c>
      <c r="BH984" s="8" t="s">
        <v>112</v>
      </c>
      <c r="BI984" s="8" t="s">
        <v>112</v>
      </c>
      <c r="BJ984" s="8" t="s">
        <v>112</v>
      </c>
      <c r="BK984" s="8" t="s">
        <v>2587</v>
      </c>
      <c r="BL984" s="8" t="s">
        <v>2588</v>
      </c>
      <c r="BM984" s="8" t="s">
        <v>2589</v>
      </c>
      <c r="BN984" s="8" t="s">
        <v>2590</v>
      </c>
      <c r="BO984">
        <v>2</v>
      </c>
      <c r="BP984" s="8" t="s">
        <v>2591</v>
      </c>
      <c r="BR984" s="8" t="s">
        <v>2578</v>
      </c>
      <c r="BS984">
        <v>8</v>
      </c>
      <c r="BT984">
        <v>0</v>
      </c>
      <c r="BU984">
        <v>5</v>
      </c>
      <c r="BV984" t="s">
        <v>2147</v>
      </c>
      <c r="BW984">
        <v>0</v>
      </c>
      <c r="BY984" s="8" t="s">
        <v>596</v>
      </c>
      <c r="BZ984" s="8" t="s">
        <v>2148</v>
      </c>
      <c r="CA984" s="8" t="s">
        <v>112</v>
      </c>
      <c r="CB984" s="8" t="s">
        <v>112</v>
      </c>
      <c r="CC984" s="8" t="s">
        <v>2163</v>
      </c>
      <c r="CD984">
        <v>13445</v>
      </c>
      <c r="CE984" t="s">
        <v>144</v>
      </c>
      <c r="CF984">
        <v>4000000</v>
      </c>
      <c r="CG984">
        <v>13400</v>
      </c>
      <c r="CH984">
        <v>0</v>
      </c>
      <c r="CI984" s="8" t="s">
        <v>112</v>
      </c>
      <c r="CJ984" s="8" t="s">
        <v>112</v>
      </c>
      <c r="CK984">
        <v>27019</v>
      </c>
      <c r="CL984">
        <v>1981544</v>
      </c>
      <c r="CM984">
        <v>0</v>
      </c>
      <c r="CN984">
        <v>1</v>
      </c>
      <c r="CO984">
        <v>2397832.94</v>
      </c>
      <c r="CP984">
        <v>34749.339999999902</v>
      </c>
      <c r="CQ984" s="8" t="s">
        <v>145</v>
      </c>
      <c r="CR984">
        <v>2.5931999999999999</v>
      </c>
      <c r="CS984">
        <v>1239</v>
      </c>
      <c r="CT984" t="s">
        <v>2592</v>
      </c>
      <c r="CV984" t="s">
        <v>2593</v>
      </c>
      <c r="CW984">
        <v>0</v>
      </c>
    </row>
    <row r="985" spans="1:101" x14ac:dyDescent="0.2">
      <c r="A985" s="8" t="s">
        <v>106</v>
      </c>
      <c r="B985" s="46">
        <v>45031</v>
      </c>
      <c r="C985" s="8" t="s">
        <v>2994</v>
      </c>
      <c r="D985" s="8" t="s">
        <v>583</v>
      </c>
      <c r="E985" s="8" t="s">
        <v>2995</v>
      </c>
      <c r="F985" t="s">
        <v>110</v>
      </c>
      <c r="G985" s="8" t="s">
        <v>111</v>
      </c>
      <c r="H985" s="8" t="s">
        <v>112</v>
      </c>
      <c r="I985" s="8" t="s">
        <v>112</v>
      </c>
      <c r="J985" s="8" t="s">
        <v>112</v>
      </c>
      <c r="K985" s="8" t="s">
        <v>2578</v>
      </c>
      <c r="L985" s="8" t="s">
        <v>2579</v>
      </c>
      <c r="M985" s="8" t="s">
        <v>112</v>
      </c>
      <c r="N985" s="8" t="s">
        <v>112</v>
      </c>
      <c r="O985">
        <v>3</v>
      </c>
      <c r="P985">
        <v>0</v>
      </c>
      <c r="Q985">
        <v>5</v>
      </c>
      <c r="R985">
        <v>13</v>
      </c>
      <c r="S985" s="8" t="s">
        <v>2580</v>
      </c>
      <c r="T985" s="8" t="s">
        <v>2581</v>
      </c>
      <c r="U985" s="8" t="s">
        <v>2582</v>
      </c>
      <c r="V985" s="8" t="s">
        <v>2583</v>
      </c>
      <c r="W985" s="8" t="s">
        <v>2552</v>
      </c>
      <c r="X985" s="8" t="s">
        <v>2584</v>
      </c>
      <c r="Y985" s="8" t="s">
        <v>2580</v>
      </c>
      <c r="Z985" s="8" t="s">
        <v>2581</v>
      </c>
      <c r="AA985" s="8" t="s">
        <v>2582</v>
      </c>
      <c r="AB985" s="8" t="s">
        <v>2583</v>
      </c>
      <c r="AC985" s="8" t="s">
        <v>2552</v>
      </c>
      <c r="AD985" s="8" t="s">
        <v>2584</v>
      </c>
      <c r="AE985" s="8" t="s">
        <v>2163</v>
      </c>
      <c r="AF985" s="8" t="s">
        <v>2164</v>
      </c>
      <c r="AG985">
        <v>11200426.810000001</v>
      </c>
      <c r="AH985" s="8" t="s">
        <v>2580</v>
      </c>
      <c r="AI985" s="8" t="s">
        <v>2581</v>
      </c>
      <c r="AJ985" s="8" t="s">
        <v>2582</v>
      </c>
      <c r="AK985" s="8" t="s">
        <v>2583</v>
      </c>
      <c r="AL985" s="8" t="s">
        <v>2552</v>
      </c>
      <c r="AM985" s="8" t="s">
        <v>2584</v>
      </c>
      <c r="AN985" s="8" t="s">
        <v>2163</v>
      </c>
      <c r="AO985" s="8" t="s">
        <v>2164</v>
      </c>
      <c r="AP985" s="8" t="s">
        <v>2164</v>
      </c>
      <c r="AQ985" s="8" t="s">
        <v>124</v>
      </c>
      <c r="AR985" s="8" t="s">
        <v>125</v>
      </c>
      <c r="AS985">
        <v>2</v>
      </c>
      <c r="AT985" s="8" t="s">
        <v>126</v>
      </c>
      <c r="AU985" s="8" t="s">
        <v>112</v>
      </c>
      <c r="AV985" s="8" t="s">
        <v>2585</v>
      </c>
      <c r="AW985">
        <v>1</v>
      </c>
      <c r="AX985" s="8" t="s">
        <v>129</v>
      </c>
      <c r="AY985">
        <v>146821.5</v>
      </c>
      <c r="AZ985">
        <v>10767727</v>
      </c>
      <c r="BA985">
        <v>162316.32</v>
      </c>
      <c r="BB985">
        <v>73.338899999999896</v>
      </c>
      <c r="BC985" s="8" t="s">
        <v>130</v>
      </c>
      <c r="BD985" s="8" t="s">
        <v>112</v>
      </c>
      <c r="BE985" s="8" t="s">
        <v>2586</v>
      </c>
      <c r="BF985" s="8" t="s">
        <v>133</v>
      </c>
      <c r="BG985" s="8" t="s">
        <v>134</v>
      </c>
      <c r="BH985" s="8" t="s">
        <v>112</v>
      </c>
      <c r="BI985" s="8" t="s">
        <v>112</v>
      </c>
      <c r="BJ985" s="8" t="s">
        <v>112</v>
      </c>
      <c r="BK985" s="8" t="s">
        <v>2587</v>
      </c>
      <c r="BL985" s="8" t="s">
        <v>2588</v>
      </c>
      <c r="BM985" s="8" t="s">
        <v>2589</v>
      </c>
      <c r="BN985" s="8" t="s">
        <v>2590</v>
      </c>
      <c r="BO985">
        <v>1</v>
      </c>
      <c r="BP985" s="8" t="s">
        <v>2591</v>
      </c>
      <c r="BR985" s="8" t="s">
        <v>2578</v>
      </c>
      <c r="BS985">
        <v>12</v>
      </c>
      <c r="BT985">
        <v>0</v>
      </c>
      <c r="BU985">
        <v>12</v>
      </c>
      <c r="BV985" t="s">
        <v>2147</v>
      </c>
      <c r="BW985">
        <v>0</v>
      </c>
      <c r="BY985" s="8" t="s">
        <v>106</v>
      </c>
      <c r="BZ985" s="8" t="s">
        <v>2148</v>
      </c>
      <c r="CA985" s="8" t="s">
        <v>112</v>
      </c>
      <c r="CB985" s="8" t="s">
        <v>112</v>
      </c>
      <c r="CC985" s="8" t="s">
        <v>2163</v>
      </c>
      <c r="CD985">
        <v>11648</v>
      </c>
      <c r="CE985" t="s">
        <v>144</v>
      </c>
      <c r="CF985">
        <v>4000000</v>
      </c>
      <c r="CG985">
        <v>10686</v>
      </c>
      <c r="CH985">
        <v>0</v>
      </c>
      <c r="CI985" s="8" t="s">
        <v>112</v>
      </c>
      <c r="CJ985" s="8" t="s">
        <v>112</v>
      </c>
      <c r="CK985">
        <v>145635</v>
      </c>
      <c r="CL985">
        <v>10680711</v>
      </c>
      <c r="CM985">
        <v>0</v>
      </c>
      <c r="CN985">
        <v>1</v>
      </c>
      <c r="CO985">
        <v>11113245.199999901</v>
      </c>
      <c r="CP985">
        <v>161052.89000000001</v>
      </c>
      <c r="CQ985" s="8" t="s">
        <v>145</v>
      </c>
      <c r="CR985">
        <v>15.071400000000001</v>
      </c>
      <c r="CS985">
        <v>1239</v>
      </c>
      <c r="CT985" t="s">
        <v>2592</v>
      </c>
      <c r="CV985" t="s">
        <v>2593</v>
      </c>
      <c r="CW985">
        <v>0</v>
      </c>
    </row>
    <row r="986" spans="1:101" x14ac:dyDescent="0.2">
      <c r="A986" t="s">
        <v>106</v>
      </c>
      <c r="B986" s="46">
        <v>44977</v>
      </c>
      <c r="C986" t="s">
        <v>970</v>
      </c>
      <c r="D986" t="s">
        <v>583</v>
      </c>
      <c r="E986" t="s">
        <v>971</v>
      </c>
      <c r="F986" t="s">
        <v>110</v>
      </c>
      <c r="G986" t="s">
        <v>111</v>
      </c>
      <c r="H986" t="s">
        <v>112</v>
      </c>
      <c r="I986" t="s">
        <v>112</v>
      </c>
      <c r="J986" t="s">
        <v>112</v>
      </c>
      <c r="K986" t="s">
        <v>113</v>
      </c>
      <c r="L986" t="s">
        <v>633</v>
      </c>
      <c r="M986" t="s">
        <v>112</v>
      </c>
      <c r="N986" t="s">
        <v>112</v>
      </c>
      <c r="O986">
        <v>2</v>
      </c>
      <c r="P986">
        <v>0</v>
      </c>
      <c r="Q986">
        <v>2</v>
      </c>
      <c r="R986">
        <v>33</v>
      </c>
      <c r="S986" t="s">
        <v>115</v>
      </c>
      <c r="T986" t="s">
        <v>116</v>
      </c>
      <c r="U986" t="s">
        <v>117</v>
      </c>
      <c r="V986" t="s">
        <v>586</v>
      </c>
      <c r="W986" t="s">
        <v>119</v>
      </c>
      <c r="X986" t="s">
        <v>120</v>
      </c>
      <c r="Y986" t="s">
        <v>115</v>
      </c>
      <c r="Z986" t="s">
        <v>116</v>
      </c>
      <c r="AA986" t="s">
        <v>117</v>
      </c>
      <c r="AB986" t="s">
        <v>586</v>
      </c>
      <c r="AC986" t="s">
        <v>119</v>
      </c>
      <c r="AD986" t="s">
        <v>120</v>
      </c>
      <c r="AE986" t="s">
        <v>121</v>
      </c>
      <c r="AF986" t="s">
        <v>122</v>
      </c>
      <c r="AG986">
        <v>4460481.0199999996</v>
      </c>
      <c r="AH986" t="s">
        <v>115</v>
      </c>
      <c r="AI986" t="s">
        <v>116</v>
      </c>
      <c r="AJ986" t="s">
        <v>117</v>
      </c>
      <c r="AK986" t="s">
        <v>586</v>
      </c>
      <c r="AL986" t="s">
        <v>119</v>
      </c>
      <c r="AM986" t="s">
        <v>120</v>
      </c>
      <c r="AN986" t="s">
        <v>121</v>
      </c>
      <c r="AO986" t="s">
        <v>122</v>
      </c>
      <c r="AP986" t="s">
        <v>123</v>
      </c>
      <c r="AQ986" t="s">
        <v>124</v>
      </c>
      <c r="AR986" t="s">
        <v>125</v>
      </c>
      <c r="AS986">
        <v>2</v>
      </c>
      <c r="AT986" t="s">
        <v>126</v>
      </c>
      <c r="AU986" t="s">
        <v>127</v>
      </c>
      <c r="AV986" t="s">
        <v>801</v>
      </c>
      <c r="AW986">
        <v>1</v>
      </c>
      <c r="AX986" t="s">
        <v>129</v>
      </c>
      <c r="AY986">
        <v>51771.4</v>
      </c>
      <c r="AZ986">
        <v>4264597</v>
      </c>
      <c r="BA986">
        <v>57746.69</v>
      </c>
      <c r="BB986">
        <v>82.373599999999996</v>
      </c>
      <c r="BC986" t="s">
        <v>130</v>
      </c>
      <c r="BD986" t="s">
        <v>112</v>
      </c>
      <c r="BE986" t="s">
        <v>132</v>
      </c>
      <c r="BF986" t="s">
        <v>133</v>
      </c>
      <c r="BG986" t="s">
        <v>167</v>
      </c>
      <c r="BH986" t="s">
        <v>900</v>
      </c>
      <c r="BI986" t="s">
        <v>112</v>
      </c>
      <c r="BJ986" t="s">
        <v>112</v>
      </c>
      <c r="BK986" t="s">
        <v>588</v>
      </c>
      <c r="BL986" t="s">
        <v>589</v>
      </c>
      <c r="BM986" t="s">
        <v>590</v>
      </c>
      <c r="BN986" t="s">
        <v>591</v>
      </c>
      <c r="BO986">
        <v>1</v>
      </c>
      <c r="BP986" t="s">
        <v>972</v>
      </c>
      <c r="BR986" t="s">
        <v>141</v>
      </c>
      <c r="BS986">
        <v>33</v>
      </c>
      <c r="BT986">
        <v>0</v>
      </c>
      <c r="BU986">
        <v>0</v>
      </c>
      <c r="BW986">
        <v>0</v>
      </c>
      <c r="BY986" t="s">
        <v>106</v>
      </c>
      <c r="BZ986" t="s">
        <v>142</v>
      </c>
      <c r="CA986" t="s">
        <v>112</v>
      </c>
      <c r="CB986" t="s">
        <v>112</v>
      </c>
      <c r="CC986" t="s">
        <v>143</v>
      </c>
      <c r="CD986">
        <v>4728.16</v>
      </c>
      <c r="CE986" t="s">
        <v>144</v>
      </c>
      <c r="CF986">
        <v>4000000</v>
      </c>
      <c r="CG986">
        <v>4412.3999999999996</v>
      </c>
      <c r="CH986">
        <v>0</v>
      </c>
      <c r="CI986" t="s">
        <v>112</v>
      </c>
      <c r="CJ986" t="s">
        <v>112</v>
      </c>
      <c r="CK986">
        <v>16699.78</v>
      </c>
      <c r="CL986">
        <v>1375621</v>
      </c>
      <c r="CM986">
        <v>0</v>
      </c>
      <c r="CN986">
        <v>1</v>
      </c>
      <c r="CO986">
        <v>1438610.44</v>
      </c>
      <c r="CP986">
        <v>18624.669999999998</v>
      </c>
      <c r="CQ986" t="s">
        <v>145</v>
      </c>
      <c r="CR986">
        <v>18624.740399999999</v>
      </c>
      <c r="CS986">
        <v>4.2210000000000001</v>
      </c>
      <c r="CT986">
        <v>952</v>
      </c>
      <c r="CU986" t="s">
        <v>593</v>
      </c>
      <c r="CV986" t="s">
        <v>635</v>
      </c>
      <c r="CW986">
        <v>0</v>
      </c>
    </row>
    <row r="987" spans="1:101" x14ac:dyDescent="0.2">
      <c r="A987" t="s">
        <v>106</v>
      </c>
      <c r="B987" s="46">
        <v>45085</v>
      </c>
      <c r="C987" t="s">
        <v>970</v>
      </c>
      <c r="D987" t="s">
        <v>583</v>
      </c>
      <c r="E987" t="s">
        <v>971</v>
      </c>
      <c r="F987" t="s">
        <v>110</v>
      </c>
      <c r="G987" t="s">
        <v>111</v>
      </c>
      <c r="H987" t="s">
        <v>112</v>
      </c>
      <c r="I987" t="s">
        <v>112</v>
      </c>
      <c r="J987" t="s">
        <v>112</v>
      </c>
      <c r="K987" t="s">
        <v>113</v>
      </c>
      <c r="L987" t="s">
        <v>633</v>
      </c>
      <c r="M987" t="s">
        <v>112</v>
      </c>
      <c r="N987" t="s">
        <v>112</v>
      </c>
      <c r="O987">
        <v>2</v>
      </c>
      <c r="P987">
        <v>0</v>
      </c>
      <c r="Q987">
        <v>2</v>
      </c>
      <c r="R987">
        <v>33</v>
      </c>
      <c r="S987" t="s">
        <v>115</v>
      </c>
      <c r="T987" t="s">
        <v>116</v>
      </c>
      <c r="U987" t="s">
        <v>117</v>
      </c>
      <c r="V987" t="s">
        <v>586</v>
      </c>
      <c r="W987" t="s">
        <v>119</v>
      </c>
      <c r="X987" t="s">
        <v>120</v>
      </c>
      <c r="Y987" t="s">
        <v>115</v>
      </c>
      <c r="Z987" t="s">
        <v>116</v>
      </c>
      <c r="AA987" t="s">
        <v>117</v>
      </c>
      <c r="AB987" t="s">
        <v>586</v>
      </c>
      <c r="AC987" t="s">
        <v>119</v>
      </c>
      <c r="AD987" t="s">
        <v>120</v>
      </c>
      <c r="AE987" t="s">
        <v>121</v>
      </c>
      <c r="AF987" t="s">
        <v>122</v>
      </c>
      <c r="AG987">
        <v>4460481.0199999996</v>
      </c>
      <c r="AH987" t="s">
        <v>115</v>
      </c>
      <c r="AI987" t="s">
        <v>116</v>
      </c>
      <c r="AJ987" t="s">
        <v>117</v>
      </c>
      <c r="AK987" t="s">
        <v>586</v>
      </c>
      <c r="AL987" t="s">
        <v>119</v>
      </c>
      <c r="AM987" t="s">
        <v>120</v>
      </c>
      <c r="AN987" t="s">
        <v>121</v>
      </c>
      <c r="AO987" t="s">
        <v>122</v>
      </c>
      <c r="AP987" t="s">
        <v>123</v>
      </c>
      <c r="AQ987" t="s">
        <v>124</v>
      </c>
      <c r="AR987" t="s">
        <v>125</v>
      </c>
      <c r="AS987">
        <v>2</v>
      </c>
      <c r="AT987" t="s">
        <v>126</v>
      </c>
      <c r="AU987" t="s">
        <v>127</v>
      </c>
      <c r="AV987" t="s">
        <v>801</v>
      </c>
      <c r="AW987">
        <v>1</v>
      </c>
      <c r="AX987" t="s">
        <v>129</v>
      </c>
      <c r="AY987">
        <v>51771.4</v>
      </c>
      <c r="AZ987">
        <v>4264597</v>
      </c>
      <c r="BA987">
        <v>57746.69</v>
      </c>
      <c r="BB987">
        <v>82.373599999999996</v>
      </c>
      <c r="BC987" t="s">
        <v>130</v>
      </c>
      <c r="BD987" t="s">
        <v>112</v>
      </c>
      <c r="BE987" t="s">
        <v>132</v>
      </c>
      <c r="BF987" t="s">
        <v>133</v>
      </c>
      <c r="BG987" t="s">
        <v>167</v>
      </c>
      <c r="BH987" t="s">
        <v>900</v>
      </c>
      <c r="BI987" t="s">
        <v>112</v>
      </c>
      <c r="BJ987" t="s">
        <v>112</v>
      </c>
      <c r="BK987" t="s">
        <v>588</v>
      </c>
      <c r="BL987" t="s">
        <v>589</v>
      </c>
      <c r="BM987" t="s">
        <v>590</v>
      </c>
      <c r="BN987" t="s">
        <v>591</v>
      </c>
      <c r="BO987">
        <v>2</v>
      </c>
      <c r="BP987" t="s">
        <v>973</v>
      </c>
      <c r="BR987" t="s">
        <v>141</v>
      </c>
      <c r="BS987">
        <v>33</v>
      </c>
      <c r="BT987">
        <v>0</v>
      </c>
      <c r="BU987">
        <v>0</v>
      </c>
      <c r="BW987">
        <v>0</v>
      </c>
      <c r="BY987" t="s">
        <v>596</v>
      </c>
      <c r="BZ987" t="s">
        <v>597</v>
      </c>
      <c r="CA987" t="s">
        <v>112</v>
      </c>
      <c r="CB987" t="s">
        <v>112</v>
      </c>
      <c r="CC987" t="s">
        <v>143</v>
      </c>
      <c r="CD987">
        <v>9975.52</v>
      </c>
      <c r="CE987" t="s">
        <v>144</v>
      </c>
      <c r="CF987">
        <v>4000000</v>
      </c>
      <c r="CG987">
        <v>9340.4</v>
      </c>
      <c r="CH987">
        <v>0</v>
      </c>
      <c r="CI987" t="s">
        <v>112</v>
      </c>
      <c r="CJ987" t="s">
        <v>112</v>
      </c>
      <c r="CK987">
        <v>35071.620000000003</v>
      </c>
      <c r="CL987">
        <v>2888976</v>
      </c>
      <c r="CM987">
        <v>0</v>
      </c>
      <c r="CN987">
        <v>1</v>
      </c>
      <c r="CO987">
        <v>3021870.58</v>
      </c>
      <c r="CP987">
        <v>39122.019999999997</v>
      </c>
      <c r="CQ987" t="s">
        <v>145</v>
      </c>
      <c r="CR987">
        <v>39122.265400000004</v>
      </c>
      <c r="CS987">
        <v>4.1885000000000003</v>
      </c>
      <c r="CT987">
        <v>952</v>
      </c>
      <c r="CU987" t="s">
        <v>593</v>
      </c>
      <c r="CV987" t="s">
        <v>635</v>
      </c>
      <c r="CW987">
        <v>0</v>
      </c>
    </row>
    <row r="988" spans="1:101" x14ac:dyDescent="0.2">
      <c r="A988" t="s">
        <v>106</v>
      </c>
      <c r="B988" s="46">
        <v>45009</v>
      </c>
      <c r="C988" t="s">
        <v>967</v>
      </c>
      <c r="D988" t="s">
        <v>583</v>
      </c>
      <c r="E988" t="s">
        <v>968</v>
      </c>
      <c r="F988" t="s">
        <v>110</v>
      </c>
      <c r="G988" t="s">
        <v>111</v>
      </c>
      <c r="H988" t="s">
        <v>112</v>
      </c>
      <c r="I988" t="s">
        <v>112</v>
      </c>
      <c r="J988" t="s">
        <v>112</v>
      </c>
      <c r="K988" t="s">
        <v>113</v>
      </c>
      <c r="L988" t="s">
        <v>585</v>
      </c>
      <c r="M988" t="s">
        <v>112</v>
      </c>
      <c r="N988" t="s">
        <v>112</v>
      </c>
      <c r="O988">
        <v>2</v>
      </c>
      <c r="P988">
        <v>0</v>
      </c>
      <c r="Q988">
        <v>2</v>
      </c>
      <c r="R988">
        <v>33</v>
      </c>
      <c r="S988" t="s">
        <v>115</v>
      </c>
      <c r="T988" t="s">
        <v>116</v>
      </c>
      <c r="U988" t="s">
        <v>117</v>
      </c>
      <c r="V988" t="s">
        <v>586</v>
      </c>
      <c r="W988" t="s">
        <v>119</v>
      </c>
      <c r="X988" t="s">
        <v>120</v>
      </c>
      <c r="Y988" t="s">
        <v>115</v>
      </c>
      <c r="Z988" t="s">
        <v>116</v>
      </c>
      <c r="AA988" t="s">
        <v>117</v>
      </c>
      <c r="AB988" t="s">
        <v>586</v>
      </c>
      <c r="AC988" t="s">
        <v>119</v>
      </c>
      <c r="AD988" t="s">
        <v>120</v>
      </c>
      <c r="AE988" t="s">
        <v>121</v>
      </c>
      <c r="AF988" t="s">
        <v>122</v>
      </c>
      <c r="AG988">
        <v>4440213.7</v>
      </c>
      <c r="AH988" t="s">
        <v>115</v>
      </c>
      <c r="AI988" t="s">
        <v>116</v>
      </c>
      <c r="AJ988" t="s">
        <v>117</v>
      </c>
      <c r="AK988" t="s">
        <v>586</v>
      </c>
      <c r="AL988" t="s">
        <v>119</v>
      </c>
      <c r="AM988" t="s">
        <v>120</v>
      </c>
      <c r="AN988" t="s">
        <v>121</v>
      </c>
      <c r="AO988" t="s">
        <v>122</v>
      </c>
      <c r="AP988" t="s">
        <v>123</v>
      </c>
      <c r="AQ988" t="s">
        <v>124</v>
      </c>
      <c r="AR988" t="s">
        <v>125</v>
      </c>
      <c r="AS988">
        <v>2</v>
      </c>
      <c r="AT988" t="s">
        <v>126</v>
      </c>
      <c r="AU988" t="s">
        <v>127</v>
      </c>
      <c r="AV988" t="s">
        <v>128</v>
      </c>
      <c r="AW988">
        <v>1</v>
      </c>
      <c r="AX988" t="s">
        <v>129</v>
      </c>
      <c r="AY988">
        <v>52127.56</v>
      </c>
      <c r="AZ988">
        <v>4246493</v>
      </c>
      <c r="BA988">
        <v>57962.91</v>
      </c>
      <c r="BB988">
        <v>81.463499999999996</v>
      </c>
      <c r="BC988" t="s">
        <v>130</v>
      </c>
      <c r="BD988" t="s">
        <v>131</v>
      </c>
      <c r="BE988" t="s">
        <v>132</v>
      </c>
      <c r="BF988" t="s">
        <v>133</v>
      </c>
      <c r="BG988" t="s">
        <v>167</v>
      </c>
      <c r="BH988" t="s">
        <v>900</v>
      </c>
      <c r="BI988" t="s">
        <v>112</v>
      </c>
      <c r="BJ988" t="s">
        <v>112</v>
      </c>
      <c r="BK988" t="s">
        <v>588</v>
      </c>
      <c r="BL988" t="s">
        <v>589</v>
      </c>
      <c r="BM988" t="s">
        <v>590</v>
      </c>
      <c r="BN988" t="s">
        <v>591</v>
      </c>
      <c r="BO988">
        <v>2</v>
      </c>
      <c r="BP988" t="s">
        <v>969</v>
      </c>
      <c r="BR988" t="s">
        <v>141</v>
      </c>
      <c r="BS988">
        <v>16</v>
      </c>
      <c r="BT988">
        <v>0</v>
      </c>
      <c r="BU988">
        <v>0</v>
      </c>
      <c r="BW988">
        <v>0</v>
      </c>
      <c r="BY988" t="s">
        <v>596</v>
      </c>
      <c r="BZ988" t="s">
        <v>142</v>
      </c>
      <c r="CA988" t="s">
        <v>112</v>
      </c>
      <c r="CB988" t="s">
        <v>112</v>
      </c>
      <c r="CC988" t="s">
        <v>143</v>
      </c>
      <c r="CD988">
        <v>4740.32</v>
      </c>
      <c r="CE988" t="s">
        <v>144</v>
      </c>
      <c r="CF988">
        <v>4000000</v>
      </c>
      <c r="CG988">
        <v>4412.3999999999996</v>
      </c>
      <c r="CH988">
        <v>0</v>
      </c>
      <c r="CI988" t="s">
        <v>112</v>
      </c>
      <c r="CJ988" t="s">
        <v>112</v>
      </c>
      <c r="CK988">
        <v>17055.939999999999</v>
      </c>
      <c r="CL988">
        <v>1389437</v>
      </c>
      <c r="CM988">
        <v>0</v>
      </c>
      <c r="CN988">
        <v>1</v>
      </c>
      <c r="CO988">
        <v>1451838.43</v>
      </c>
      <c r="CP988">
        <v>18952.419999999998</v>
      </c>
      <c r="CQ988" t="s">
        <v>145</v>
      </c>
      <c r="CR988">
        <v>18952.581719999998</v>
      </c>
      <c r="CS988">
        <v>4.2953000000000001</v>
      </c>
      <c r="CT988">
        <v>952</v>
      </c>
      <c r="CU988" t="s">
        <v>593</v>
      </c>
      <c r="CV988" t="s">
        <v>594</v>
      </c>
      <c r="CW988">
        <v>0</v>
      </c>
    </row>
    <row r="989" spans="1:101" x14ac:dyDescent="0.2">
      <c r="A989" t="s">
        <v>106</v>
      </c>
      <c r="B989" s="46">
        <v>45213</v>
      </c>
      <c r="C989" t="s">
        <v>967</v>
      </c>
      <c r="D989" t="s">
        <v>583</v>
      </c>
      <c r="E989" t="s">
        <v>968</v>
      </c>
      <c r="F989" t="s">
        <v>110</v>
      </c>
      <c r="G989" t="s">
        <v>111</v>
      </c>
      <c r="H989" t="s">
        <v>112</v>
      </c>
      <c r="I989" t="s">
        <v>112</v>
      </c>
      <c r="J989" t="s">
        <v>112</v>
      </c>
      <c r="K989" t="s">
        <v>113</v>
      </c>
      <c r="L989" t="s">
        <v>585</v>
      </c>
      <c r="M989" t="s">
        <v>112</v>
      </c>
      <c r="N989" t="s">
        <v>112</v>
      </c>
      <c r="O989">
        <v>2</v>
      </c>
      <c r="P989">
        <v>0</v>
      </c>
      <c r="Q989">
        <v>2</v>
      </c>
      <c r="R989">
        <v>33</v>
      </c>
      <c r="S989" t="s">
        <v>115</v>
      </c>
      <c r="T989" t="s">
        <v>116</v>
      </c>
      <c r="U989" t="s">
        <v>117</v>
      </c>
      <c r="V989" t="s">
        <v>586</v>
      </c>
      <c r="W989" t="s">
        <v>119</v>
      </c>
      <c r="X989" t="s">
        <v>120</v>
      </c>
      <c r="Y989" t="s">
        <v>115</v>
      </c>
      <c r="Z989" t="s">
        <v>116</v>
      </c>
      <c r="AA989" t="s">
        <v>117</v>
      </c>
      <c r="AB989" t="s">
        <v>586</v>
      </c>
      <c r="AC989" t="s">
        <v>119</v>
      </c>
      <c r="AD989" t="s">
        <v>120</v>
      </c>
      <c r="AE989" t="s">
        <v>121</v>
      </c>
      <c r="AF989" t="s">
        <v>122</v>
      </c>
      <c r="AG989">
        <v>4440213.7</v>
      </c>
      <c r="AH989" t="s">
        <v>115</v>
      </c>
      <c r="AI989" t="s">
        <v>116</v>
      </c>
      <c r="AJ989" t="s">
        <v>117</v>
      </c>
      <c r="AK989" t="s">
        <v>586</v>
      </c>
      <c r="AL989" t="s">
        <v>119</v>
      </c>
      <c r="AM989" t="s">
        <v>120</v>
      </c>
      <c r="AN989" t="s">
        <v>121</v>
      </c>
      <c r="AO989" t="s">
        <v>122</v>
      </c>
      <c r="AP989" t="s">
        <v>123</v>
      </c>
      <c r="AQ989" t="s">
        <v>124</v>
      </c>
      <c r="AR989" t="s">
        <v>125</v>
      </c>
      <c r="AS989">
        <v>2</v>
      </c>
      <c r="AT989" t="s">
        <v>126</v>
      </c>
      <c r="AU989" t="s">
        <v>127</v>
      </c>
      <c r="AV989" t="s">
        <v>128</v>
      </c>
      <c r="AW989">
        <v>1</v>
      </c>
      <c r="AX989" t="s">
        <v>129</v>
      </c>
      <c r="AY989">
        <v>52127.56</v>
      </c>
      <c r="AZ989">
        <v>4246493</v>
      </c>
      <c r="BA989">
        <v>57962.91</v>
      </c>
      <c r="BB989">
        <v>81.463499999999996</v>
      </c>
      <c r="BC989" t="s">
        <v>130</v>
      </c>
      <c r="BD989" t="s">
        <v>131</v>
      </c>
      <c r="BE989" t="s">
        <v>132</v>
      </c>
      <c r="BF989" t="s">
        <v>133</v>
      </c>
      <c r="BG989" t="s">
        <v>167</v>
      </c>
      <c r="BH989" t="s">
        <v>900</v>
      </c>
      <c r="BI989" t="s">
        <v>112</v>
      </c>
      <c r="BJ989" t="s">
        <v>112</v>
      </c>
      <c r="BK989" t="s">
        <v>588</v>
      </c>
      <c r="BL989" t="s">
        <v>589</v>
      </c>
      <c r="BM989" t="s">
        <v>590</v>
      </c>
      <c r="BN989" t="s">
        <v>591</v>
      </c>
      <c r="BO989">
        <v>1</v>
      </c>
      <c r="BP989" t="s">
        <v>904</v>
      </c>
      <c r="BR989" t="s">
        <v>141</v>
      </c>
      <c r="BS989">
        <v>17</v>
      </c>
      <c r="BT989">
        <v>0</v>
      </c>
      <c r="BU989">
        <v>0</v>
      </c>
      <c r="BW989">
        <v>0</v>
      </c>
      <c r="BY989" t="s">
        <v>106</v>
      </c>
      <c r="BZ989" t="s">
        <v>597</v>
      </c>
      <c r="CA989" t="s">
        <v>112</v>
      </c>
      <c r="CB989" t="s">
        <v>112</v>
      </c>
      <c r="CC989" t="s">
        <v>143</v>
      </c>
      <c r="CD989">
        <v>9975.52</v>
      </c>
      <c r="CE989" t="s">
        <v>144</v>
      </c>
      <c r="CF989">
        <v>4000000</v>
      </c>
      <c r="CG989">
        <v>9340.4</v>
      </c>
      <c r="CH989">
        <v>0</v>
      </c>
      <c r="CI989" t="s">
        <v>112</v>
      </c>
      <c r="CJ989" t="s">
        <v>112</v>
      </c>
      <c r="CK989">
        <v>35071.620000000003</v>
      </c>
      <c r="CL989">
        <v>2857057</v>
      </c>
      <c r="CM989">
        <v>0</v>
      </c>
      <c r="CN989">
        <v>1</v>
      </c>
      <c r="CO989">
        <v>2988375.27</v>
      </c>
      <c r="CP989">
        <v>39010.49</v>
      </c>
      <c r="CQ989" t="s">
        <v>145</v>
      </c>
      <c r="CR989">
        <v>39010.1806</v>
      </c>
      <c r="CS989">
        <v>4.1764999999999999</v>
      </c>
      <c r="CT989">
        <v>952</v>
      </c>
      <c r="CU989" t="s">
        <v>593</v>
      </c>
      <c r="CV989" t="s">
        <v>594</v>
      </c>
      <c r="CW989">
        <v>0</v>
      </c>
    </row>
    <row r="990" spans="1:101" x14ac:dyDescent="0.2">
      <c r="A990" t="s">
        <v>106</v>
      </c>
      <c r="B990" s="46">
        <v>45189</v>
      </c>
      <c r="C990" t="s">
        <v>958</v>
      </c>
      <c r="D990" t="s">
        <v>583</v>
      </c>
      <c r="E990" t="s">
        <v>959</v>
      </c>
      <c r="F990" t="s">
        <v>110</v>
      </c>
      <c r="G990" t="s">
        <v>111</v>
      </c>
      <c r="H990" t="s">
        <v>112</v>
      </c>
      <c r="I990" t="s">
        <v>112</v>
      </c>
      <c r="J990" t="s">
        <v>112</v>
      </c>
      <c r="K990" t="s">
        <v>113</v>
      </c>
      <c r="L990" t="s">
        <v>585</v>
      </c>
      <c r="M990" t="s">
        <v>112</v>
      </c>
      <c r="N990" t="s">
        <v>112</v>
      </c>
      <c r="O990">
        <v>2</v>
      </c>
      <c r="P990">
        <v>0</v>
      </c>
      <c r="Q990">
        <v>2</v>
      </c>
      <c r="R990">
        <v>33</v>
      </c>
      <c r="S990" t="s">
        <v>115</v>
      </c>
      <c r="T990" t="s">
        <v>116</v>
      </c>
      <c r="U990" t="s">
        <v>117</v>
      </c>
      <c r="V990" t="s">
        <v>586</v>
      </c>
      <c r="W990" t="s">
        <v>119</v>
      </c>
      <c r="X990" t="s">
        <v>120</v>
      </c>
      <c r="Y990" t="s">
        <v>115</v>
      </c>
      <c r="Z990" t="s">
        <v>116</v>
      </c>
      <c r="AA990" t="s">
        <v>117</v>
      </c>
      <c r="AB990" t="s">
        <v>586</v>
      </c>
      <c r="AC990" t="s">
        <v>119</v>
      </c>
      <c r="AD990" t="s">
        <v>120</v>
      </c>
      <c r="AE990" t="s">
        <v>121</v>
      </c>
      <c r="AF990" t="s">
        <v>122</v>
      </c>
      <c r="AG990">
        <v>4540142.51</v>
      </c>
      <c r="AH990" t="s">
        <v>115</v>
      </c>
      <c r="AI990" t="s">
        <v>116</v>
      </c>
      <c r="AJ990" t="s">
        <v>117</v>
      </c>
      <c r="AK990" t="s">
        <v>586</v>
      </c>
      <c r="AL990" t="s">
        <v>119</v>
      </c>
      <c r="AM990" t="s">
        <v>120</v>
      </c>
      <c r="AN990" t="s">
        <v>121</v>
      </c>
      <c r="AO990" t="s">
        <v>122</v>
      </c>
      <c r="AP990" t="s">
        <v>123</v>
      </c>
      <c r="AQ990" t="s">
        <v>124</v>
      </c>
      <c r="AR990" t="s">
        <v>125</v>
      </c>
      <c r="AS990">
        <v>2</v>
      </c>
      <c r="AT990" t="s">
        <v>126</v>
      </c>
      <c r="AU990" t="s">
        <v>127</v>
      </c>
      <c r="AV990" t="s">
        <v>128</v>
      </c>
      <c r="AW990">
        <v>1</v>
      </c>
      <c r="AX990" t="s">
        <v>129</v>
      </c>
      <c r="AY990">
        <v>53354.23</v>
      </c>
      <c r="AZ990">
        <v>4346422</v>
      </c>
      <c r="BA990">
        <v>59267.39</v>
      </c>
      <c r="BB990">
        <v>81.463499999999996</v>
      </c>
      <c r="BC990" t="s">
        <v>130</v>
      </c>
      <c r="BD990" t="s">
        <v>131</v>
      </c>
      <c r="BE990" t="s">
        <v>132</v>
      </c>
      <c r="BF990" t="s">
        <v>133</v>
      </c>
      <c r="BG990" t="s">
        <v>167</v>
      </c>
      <c r="BH990" t="s">
        <v>900</v>
      </c>
      <c r="BI990" t="s">
        <v>112</v>
      </c>
      <c r="BJ990" t="s">
        <v>112</v>
      </c>
      <c r="BK990" t="s">
        <v>588</v>
      </c>
      <c r="BL990" t="s">
        <v>589</v>
      </c>
      <c r="BM990" t="s">
        <v>590</v>
      </c>
      <c r="BN990" t="s">
        <v>591</v>
      </c>
      <c r="BO990">
        <v>2</v>
      </c>
      <c r="BP990" t="s">
        <v>903</v>
      </c>
      <c r="BR990" t="s">
        <v>141</v>
      </c>
      <c r="BS990">
        <v>15</v>
      </c>
      <c r="BT990">
        <v>0</v>
      </c>
      <c r="BU990">
        <v>0</v>
      </c>
      <c r="BW990">
        <v>0</v>
      </c>
      <c r="BY990" t="s">
        <v>596</v>
      </c>
      <c r="BZ990" t="s">
        <v>142</v>
      </c>
      <c r="CA990" t="s">
        <v>112</v>
      </c>
      <c r="CB990" t="s">
        <v>112</v>
      </c>
      <c r="CC990" t="s">
        <v>143</v>
      </c>
      <c r="CD990">
        <v>4502.32</v>
      </c>
      <c r="CE990" t="s">
        <v>144</v>
      </c>
      <c r="CF990">
        <v>4000000</v>
      </c>
      <c r="CG990">
        <v>4198.2</v>
      </c>
      <c r="CH990">
        <v>0</v>
      </c>
      <c r="CI990" t="s">
        <v>112</v>
      </c>
      <c r="CJ990" t="s">
        <v>112</v>
      </c>
      <c r="CK990">
        <v>15833.81</v>
      </c>
      <c r="CL990">
        <v>1289878</v>
      </c>
      <c r="CM990">
        <v>0</v>
      </c>
      <c r="CN990">
        <v>1</v>
      </c>
      <c r="CO990">
        <v>1347919.51</v>
      </c>
      <c r="CP990">
        <v>17595.849999999999</v>
      </c>
      <c r="CQ990" t="s">
        <v>145</v>
      </c>
      <c r="CR990">
        <v>17595.915659999999</v>
      </c>
      <c r="CS990">
        <v>4.1913</v>
      </c>
      <c r="CT990">
        <v>952</v>
      </c>
      <c r="CU990" t="s">
        <v>593</v>
      </c>
      <c r="CV990" t="s">
        <v>594</v>
      </c>
      <c r="CW990">
        <v>0</v>
      </c>
    </row>
    <row r="991" spans="1:101" x14ac:dyDescent="0.2">
      <c r="A991" t="s">
        <v>106</v>
      </c>
      <c r="B991" s="46">
        <v>44945</v>
      </c>
      <c r="C991" t="s">
        <v>958</v>
      </c>
      <c r="D991" t="s">
        <v>583</v>
      </c>
      <c r="E991" t="s">
        <v>959</v>
      </c>
      <c r="F991" t="s">
        <v>110</v>
      </c>
      <c r="G991" t="s">
        <v>111</v>
      </c>
      <c r="H991" t="s">
        <v>112</v>
      </c>
      <c r="I991" t="s">
        <v>112</v>
      </c>
      <c r="J991" t="s">
        <v>112</v>
      </c>
      <c r="K991" t="s">
        <v>113</v>
      </c>
      <c r="L991" t="s">
        <v>585</v>
      </c>
      <c r="M991" t="s">
        <v>112</v>
      </c>
      <c r="N991" t="s">
        <v>112</v>
      </c>
      <c r="O991">
        <v>2</v>
      </c>
      <c r="P991">
        <v>0</v>
      </c>
      <c r="Q991">
        <v>2</v>
      </c>
      <c r="R991">
        <v>33</v>
      </c>
      <c r="S991" t="s">
        <v>115</v>
      </c>
      <c r="T991" t="s">
        <v>116</v>
      </c>
      <c r="U991" t="s">
        <v>117</v>
      </c>
      <c r="V991" t="s">
        <v>586</v>
      </c>
      <c r="W991" t="s">
        <v>119</v>
      </c>
      <c r="X991" t="s">
        <v>120</v>
      </c>
      <c r="Y991" t="s">
        <v>115</v>
      </c>
      <c r="Z991" t="s">
        <v>116</v>
      </c>
      <c r="AA991" t="s">
        <v>117</v>
      </c>
      <c r="AB991" t="s">
        <v>586</v>
      </c>
      <c r="AC991" t="s">
        <v>119</v>
      </c>
      <c r="AD991" t="s">
        <v>120</v>
      </c>
      <c r="AE991" t="s">
        <v>121</v>
      </c>
      <c r="AF991" t="s">
        <v>122</v>
      </c>
      <c r="AG991">
        <v>4540142.51</v>
      </c>
      <c r="AH991" t="s">
        <v>115</v>
      </c>
      <c r="AI991" t="s">
        <v>116</v>
      </c>
      <c r="AJ991" t="s">
        <v>117</v>
      </c>
      <c r="AK991" t="s">
        <v>586</v>
      </c>
      <c r="AL991" t="s">
        <v>119</v>
      </c>
      <c r="AM991" t="s">
        <v>120</v>
      </c>
      <c r="AN991" t="s">
        <v>121</v>
      </c>
      <c r="AO991" t="s">
        <v>122</v>
      </c>
      <c r="AP991" t="s">
        <v>123</v>
      </c>
      <c r="AQ991" t="s">
        <v>124</v>
      </c>
      <c r="AR991" t="s">
        <v>125</v>
      </c>
      <c r="AS991">
        <v>2</v>
      </c>
      <c r="AT991" t="s">
        <v>126</v>
      </c>
      <c r="AU991" t="s">
        <v>127</v>
      </c>
      <c r="AV991" t="s">
        <v>128</v>
      </c>
      <c r="AW991">
        <v>1</v>
      </c>
      <c r="AX991" t="s">
        <v>129</v>
      </c>
      <c r="AY991">
        <v>53354.23</v>
      </c>
      <c r="AZ991">
        <v>4346422</v>
      </c>
      <c r="BA991">
        <v>59267.39</v>
      </c>
      <c r="BB991">
        <v>81.463499999999996</v>
      </c>
      <c r="BC991" t="s">
        <v>130</v>
      </c>
      <c r="BD991" t="s">
        <v>131</v>
      </c>
      <c r="BE991" t="s">
        <v>132</v>
      </c>
      <c r="BF991" t="s">
        <v>133</v>
      </c>
      <c r="BG991" t="s">
        <v>167</v>
      </c>
      <c r="BH991" t="s">
        <v>900</v>
      </c>
      <c r="BI991" t="s">
        <v>112</v>
      </c>
      <c r="BJ991" t="s">
        <v>112</v>
      </c>
      <c r="BK991" t="s">
        <v>588</v>
      </c>
      <c r="BL991" t="s">
        <v>589</v>
      </c>
      <c r="BM991" t="s">
        <v>590</v>
      </c>
      <c r="BN991" t="s">
        <v>591</v>
      </c>
      <c r="BO991">
        <v>1</v>
      </c>
      <c r="BP991" t="s">
        <v>960</v>
      </c>
      <c r="BR991" t="s">
        <v>141</v>
      </c>
      <c r="BS991">
        <v>18</v>
      </c>
      <c r="BT991">
        <v>0</v>
      </c>
      <c r="BU991">
        <v>0</v>
      </c>
      <c r="BW991">
        <v>0</v>
      </c>
      <c r="BY991" t="s">
        <v>106</v>
      </c>
      <c r="BZ991" t="s">
        <v>597</v>
      </c>
      <c r="CA991" t="s">
        <v>112</v>
      </c>
      <c r="CB991" t="s">
        <v>112</v>
      </c>
      <c r="CC991" t="s">
        <v>143</v>
      </c>
      <c r="CD991">
        <v>10524.64</v>
      </c>
      <c r="CE991" t="s">
        <v>144</v>
      </c>
      <c r="CF991">
        <v>4000000</v>
      </c>
      <c r="CG991">
        <v>9836.4</v>
      </c>
      <c r="CH991">
        <v>0</v>
      </c>
      <c r="CI991" t="s">
        <v>112</v>
      </c>
      <c r="CJ991" t="s">
        <v>112</v>
      </c>
      <c r="CK991">
        <v>37520.42</v>
      </c>
      <c r="CL991">
        <v>3056545</v>
      </c>
      <c r="CM991">
        <v>0</v>
      </c>
      <c r="CN991">
        <v>1</v>
      </c>
      <c r="CO991">
        <v>3192223</v>
      </c>
      <c r="CP991">
        <v>41671.54</v>
      </c>
      <c r="CQ991" t="s">
        <v>145</v>
      </c>
      <c r="CR991">
        <v>41671.908600000002</v>
      </c>
      <c r="CS991">
        <v>4.2365000000000004</v>
      </c>
      <c r="CT991">
        <v>952</v>
      </c>
      <c r="CU991" t="s">
        <v>593</v>
      </c>
      <c r="CV991" t="s">
        <v>594</v>
      </c>
      <c r="CW991">
        <v>0</v>
      </c>
    </row>
    <row r="992" spans="1:101" x14ac:dyDescent="0.2">
      <c r="A992" t="s">
        <v>106</v>
      </c>
      <c r="B992" s="46">
        <v>45106</v>
      </c>
      <c r="C992" t="s">
        <v>631</v>
      </c>
      <c r="D992" t="s">
        <v>583</v>
      </c>
      <c r="E992" t="s">
        <v>632</v>
      </c>
      <c r="F992" t="s">
        <v>110</v>
      </c>
      <c r="G992" t="s">
        <v>111</v>
      </c>
      <c r="H992" t="s">
        <v>112</v>
      </c>
      <c r="I992" t="s">
        <v>112</v>
      </c>
      <c r="J992" t="s">
        <v>112</v>
      </c>
      <c r="K992" t="s">
        <v>113</v>
      </c>
      <c r="L992" t="s">
        <v>633</v>
      </c>
      <c r="M992" t="s">
        <v>112</v>
      </c>
      <c r="N992" t="s">
        <v>112</v>
      </c>
      <c r="O992">
        <v>2</v>
      </c>
      <c r="P992">
        <v>0</v>
      </c>
      <c r="Q992">
        <v>2</v>
      </c>
      <c r="R992">
        <v>33</v>
      </c>
      <c r="S992" t="s">
        <v>115</v>
      </c>
      <c r="T992" t="s">
        <v>116</v>
      </c>
      <c r="U992" t="s">
        <v>117</v>
      </c>
      <c r="V992" t="s">
        <v>586</v>
      </c>
      <c r="W992" t="s">
        <v>119</v>
      </c>
      <c r="X992" t="s">
        <v>120</v>
      </c>
      <c r="Y992" t="s">
        <v>115</v>
      </c>
      <c r="Z992" t="s">
        <v>116</v>
      </c>
      <c r="AA992" t="s">
        <v>117</v>
      </c>
      <c r="AB992" t="s">
        <v>586</v>
      </c>
      <c r="AC992" t="s">
        <v>119</v>
      </c>
      <c r="AD992" t="s">
        <v>120</v>
      </c>
      <c r="AE992" t="s">
        <v>121</v>
      </c>
      <c r="AF992" t="s">
        <v>122</v>
      </c>
      <c r="AG992">
        <v>4163425.69</v>
      </c>
      <c r="AH992" t="s">
        <v>115</v>
      </c>
      <c r="AI992" t="s">
        <v>116</v>
      </c>
      <c r="AJ992" t="s">
        <v>117</v>
      </c>
      <c r="AK992" t="s">
        <v>586</v>
      </c>
      <c r="AL992" t="s">
        <v>119</v>
      </c>
      <c r="AM992" t="s">
        <v>120</v>
      </c>
      <c r="AN992" t="s">
        <v>121</v>
      </c>
      <c r="AO992" t="s">
        <v>122</v>
      </c>
      <c r="AP992" t="s">
        <v>123</v>
      </c>
      <c r="AQ992" t="s">
        <v>124</v>
      </c>
      <c r="AR992" t="s">
        <v>125</v>
      </c>
      <c r="AS992">
        <v>2</v>
      </c>
      <c r="AT992" t="s">
        <v>126</v>
      </c>
      <c r="AU992" t="s">
        <v>127</v>
      </c>
      <c r="AV992" t="s">
        <v>128</v>
      </c>
      <c r="AW992">
        <v>1</v>
      </c>
      <c r="AX992" t="s">
        <v>129</v>
      </c>
      <c r="AY992">
        <v>49948.51</v>
      </c>
      <c r="AZ992">
        <v>3976421</v>
      </c>
      <c r="BA992">
        <v>55691.45</v>
      </c>
      <c r="BB992">
        <v>79.610399999999998</v>
      </c>
      <c r="BC992" t="s">
        <v>130</v>
      </c>
      <c r="BD992" t="s">
        <v>131</v>
      </c>
      <c r="BE992" t="s">
        <v>132</v>
      </c>
      <c r="BF992" t="s">
        <v>133</v>
      </c>
      <c r="BG992" t="s">
        <v>167</v>
      </c>
      <c r="BH992" t="s">
        <v>587</v>
      </c>
      <c r="BI992" t="s">
        <v>112</v>
      </c>
      <c r="BJ992" t="s">
        <v>112</v>
      </c>
      <c r="BK992" t="s">
        <v>588</v>
      </c>
      <c r="BL992" t="s">
        <v>589</v>
      </c>
      <c r="BM992" t="s">
        <v>590</v>
      </c>
      <c r="BN992" t="s">
        <v>591</v>
      </c>
      <c r="BO992">
        <v>1</v>
      </c>
      <c r="BP992" t="s">
        <v>634</v>
      </c>
      <c r="BR992" t="s">
        <v>141</v>
      </c>
      <c r="BS992">
        <v>33</v>
      </c>
      <c r="BT992">
        <v>0</v>
      </c>
      <c r="BU992">
        <v>0</v>
      </c>
      <c r="BW992">
        <v>0</v>
      </c>
      <c r="BY992" t="s">
        <v>106</v>
      </c>
      <c r="BZ992" t="s">
        <v>142</v>
      </c>
      <c r="CA992" t="s">
        <v>112</v>
      </c>
      <c r="CB992" t="s">
        <v>112</v>
      </c>
      <c r="CC992" t="s">
        <v>143</v>
      </c>
      <c r="CD992">
        <v>6742.88</v>
      </c>
      <c r="CE992" t="s">
        <v>144</v>
      </c>
      <c r="CF992">
        <v>4000000</v>
      </c>
      <c r="CG992">
        <v>6406</v>
      </c>
      <c r="CH992">
        <v>0</v>
      </c>
      <c r="CI992" t="s">
        <v>112</v>
      </c>
      <c r="CJ992" t="s">
        <v>112</v>
      </c>
      <c r="CK992">
        <v>22660.94</v>
      </c>
      <c r="CL992">
        <v>1804046</v>
      </c>
      <c r="CM992">
        <v>0</v>
      </c>
      <c r="CN992">
        <v>1</v>
      </c>
      <c r="CO992">
        <v>1888365.06</v>
      </c>
      <c r="CP992">
        <v>25259.439999999999</v>
      </c>
      <c r="CQ992" t="s">
        <v>145</v>
      </c>
      <c r="CR992">
        <v>25259.498599999999</v>
      </c>
      <c r="CS992">
        <v>3.9430999999999998</v>
      </c>
      <c r="CT992">
        <v>952</v>
      </c>
      <c r="CU992" t="s">
        <v>593</v>
      </c>
      <c r="CV992" t="s">
        <v>635</v>
      </c>
      <c r="CW992">
        <v>0</v>
      </c>
    </row>
    <row r="993" spans="1:101" x14ac:dyDescent="0.2">
      <c r="A993" t="s">
        <v>106</v>
      </c>
      <c r="B993" s="46">
        <v>44938</v>
      </c>
      <c r="C993" t="s">
        <v>631</v>
      </c>
      <c r="D993" t="s">
        <v>583</v>
      </c>
      <c r="E993" t="s">
        <v>632</v>
      </c>
      <c r="F993" t="s">
        <v>110</v>
      </c>
      <c r="G993" t="s">
        <v>111</v>
      </c>
      <c r="H993" t="s">
        <v>112</v>
      </c>
      <c r="I993" t="s">
        <v>112</v>
      </c>
      <c r="J993" t="s">
        <v>112</v>
      </c>
      <c r="K993" t="s">
        <v>113</v>
      </c>
      <c r="L993" t="s">
        <v>633</v>
      </c>
      <c r="M993" t="s">
        <v>112</v>
      </c>
      <c r="N993" t="s">
        <v>112</v>
      </c>
      <c r="O993">
        <v>2</v>
      </c>
      <c r="P993">
        <v>0</v>
      </c>
      <c r="Q993">
        <v>2</v>
      </c>
      <c r="R993">
        <v>33</v>
      </c>
      <c r="S993" t="s">
        <v>115</v>
      </c>
      <c r="T993" t="s">
        <v>116</v>
      </c>
      <c r="U993" t="s">
        <v>117</v>
      </c>
      <c r="V993" t="s">
        <v>586</v>
      </c>
      <c r="W993" t="s">
        <v>119</v>
      </c>
      <c r="X993" t="s">
        <v>120</v>
      </c>
      <c r="Y993" t="s">
        <v>115</v>
      </c>
      <c r="Z993" t="s">
        <v>116</v>
      </c>
      <c r="AA993" t="s">
        <v>117</v>
      </c>
      <c r="AB993" t="s">
        <v>586</v>
      </c>
      <c r="AC993" t="s">
        <v>119</v>
      </c>
      <c r="AD993" t="s">
        <v>120</v>
      </c>
      <c r="AE993" t="s">
        <v>121</v>
      </c>
      <c r="AF993" t="s">
        <v>122</v>
      </c>
      <c r="AG993">
        <v>4163425.69</v>
      </c>
      <c r="AH993" t="s">
        <v>115</v>
      </c>
      <c r="AI993" t="s">
        <v>116</v>
      </c>
      <c r="AJ993" t="s">
        <v>117</v>
      </c>
      <c r="AK993" t="s">
        <v>586</v>
      </c>
      <c r="AL993" t="s">
        <v>119</v>
      </c>
      <c r="AM993" t="s">
        <v>120</v>
      </c>
      <c r="AN993" t="s">
        <v>121</v>
      </c>
      <c r="AO993" t="s">
        <v>122</v>
      </c>
      <c r="AP993" t="s">
        <v>123</v>
      </c>
      <c r="AQ993" t="s">
        <v>124</v>
      </c>
      <c r="AR993" t="s">
        <v>125</v>
      </c>
      <c r="AS993">
        <v>2</v>
      </c>
      <c r="AT993" t="s">
        <v>126</v>
      </c>
      <c r="AU993" t="s">
        <v>127</v>
      </c>
      <c r="AV993" t="s">
        <v>128</v>
      </c>
      <c r="AW993">
        <v>1</v>
      </c>
      <c r="AX993" t="s">
        <v>129</v>
      </c>
      <c r="AY993">
        <v>49948.51</v>
      </c>
      <c r="AZ993">
        <v>3976421</v>
      </c>
      <c r="BA993">
        <v>55691.45</v>
      </c>
      <c r="BB993">
        <v>79.610399999999998</v>
      </c>
      <c r="BC993" t="s">
        <v>130</v>
      </c>
      <c r="BD993" t="s">
        <v>131</v>
      </c>
      <c r="BE993" t="s">
        <v>132</v>
      </c>
      <c r="BF993" t="s">
        <v>133</v>
      </c>
      <c r="BG993" t="s">
        <v>167</v>
      </c>
      <c r="BH993" t="s">
        <v>587</v>
      </c>
      <c r="BI993" t="s">
        <v>112</v>
      </c>
      <c r="BJ993" t="s">
        <v>112</v>
      </c>
      <c r="BK993" t="s">
        <v>588</v>
      </c>
      <c r="BL993" t="s">
        <v>589</v>
      </c>
      <c r="BM993" t="s">
        <v>590</v>
      </c>
      <c r="BN993" t="s">
        <v>591</v>
      </c>
      <c r="BO993">
        <v>2</v>
      </c>
      <c r="BP993" t="s">
        <v>636</v>
      </c>
      <c r="BR993" t="s">
        <v>141</v>
      </c>
      <c r="BS993">
        <v>33</v>
      </c>
      <c r="BT993">
        <v>0</v>
      </c>
      <c r="BU993">
        <v>0</v>
      </c>
      <c r="BW993">
        <v>0</v>
      </c>
      <c r="BY993" t="s">
        <v>596</v>
      </c>
      <c r="BZ993" t="s">
        <v>597</v>
      </c>
      <c r="CA993" t="s">
        <v>112</v>
      </c>
      <c r="CB993" t="s">
        <v>112</v>
      </c>
      <c r="CC993" t="s">
        <v>143</v>
      </c>
      <c r="CD993">
        <v>8211.76</v>
      </c>
      <c r="CE993" t="s">
        <v>144</v>
      </c>
      <c r="CF993">
        <v>4000000</v>
      </c>
      <c r="CG993">
        <v>7759.8</v>
      </c>
      <c r="CH993">
        <v>0</v>
      </c>
      <c r="CI993" t="s">
        <v>112</v>
      </c>
      <c r="CJ993" t="s">
        <v>112</v>
      </c>
      <c r="CK993">
        <v>27287.57</v>
      </c>
      <c r="CL993">
        <v>2172374</v>
      </c>
      <c r="CM993">
        <v>0</v>
      </c>
      <c r="CN993">
        <v>1</v>
      </c>
      <c r="CO993">
        <v>2275060.63</v>
      </c>
      <c r="CP993">
        <v>30432.01</v>
      </c>
      <c r="CQ993" t="s">
        <v>145</v>
      </c>
      <c r="CR993">
        <v>30432.383640000004</v>
      </c>
      <c r="CS993">
        <v>3.9218000000000002</v>
      </c>
      <c r="CT993">
        <v>952</v>
      </c>
      <c r="CU993" t="s">
        <v>593</v>
      </c>
      <c r="CV993" t="s">
        <v>635</v>
      </c>
      <c r="CW993">
        <v>0</v>
      </c>
    </row>
    <row r="994" spans="1:101" x14ac:dyDescent="0.2">
      <c r="A994" s="8" t="s">
        <v>106</v>
      </c>
      <c r="B994" s="46">
        <v>44962</v>
      </c>
      <c r="C994" s="8" t="s">
        <v>3167</v>
      </c>
      <c r="D994" s="8" t="s">
        <v>583</v>
      </c>
      <c r="E994" s="8" t="s">
        <v>3168</v>
      </c>
      <c r="F994" t="s">
        <v>110</v>
      </c>
      <c r="G994" s="8" t="s">
        <v>111</v>
      </c>
      <c r="H994" s="8" t="s">
        <v>112</v>
      </c>
      <c r="I994" s="8" t="s">
        <v>112</v>
      </c>
      <c r="J994" s="8" t="s">
        <v>112</v>
      </c>
      <c r="K994" s="8" t="s">
        <v>2738</v>
      </c>
      <c r="L994" s="8" t="s">
        <v>2739</v>
      </c>
      <c r="M994" s="8" t="s">
        <v>112</v>
      </c>
      <c r="N994" s="8" t="s">
        <v>112</v>
      </c>
      <c r="O994">
        <v>2</v>
      </c>
      <c r="P994">
        <v>0</v>
      </c>
      <c r="Q994">
        <v>3</v>
      </c>
      <c r="R994">
        <v>177</v>
      </c>
      <c r="S994" s="8" t="s">
        <v>2740</v>
      </c>
      <c r="T994" s="8" t="s">
        <v>2741</v>
      </c>
      <c r="U994" s="8" t="s">
        <v>2742</v>
      </c>
      <c r="V994" s="8" t="s">
        <v>2743</v>
      </c>
      <c r="W994" s="8" t="s">
        <v>2552</v>
      </c>
      <c r="X994" s="8" t="s">
        <v>2671</v>
      </c>
      <c r="Y994" s="8" t="s">
        <v>2740</v>
      </c>
      <c r="Z994" s="8" t="s">
        <v>2741</v>
      </c>
      <c r="AA994" s="8" t="s">
        <v>2742</v>
      </c>
      <c r="AB994" s="8" t="s">
        <v>2743</v>
      </c>
      <c r="AC994" s="8" t="s">
        <v>2552</v>
      </c>
      <c r="AD994" s="8" t="s">
        <v>2671</v>
      </c>
      <c r="AE994" s="8" t="s">
        <v>2398</v>
      </c>
      <c r="AF994" s="8" t="s">
        <v>2399</v>
      </c>
      <c r="AG994">
        <v>14144565.8699999</v>
      </c>
      <c r="AH994" s="8" t="s">
        <v>2740</v>
      </c>
      <c r="AI994" s="8" t="s">
        <v>2741</v>
      </c>
      <c r="AJ994" s="8" t="s">
        <v>2742</v>
      </c>
      <c r="AK994" s="8" t="s">
        <v>2743</v>
      </c>
      <c r="AL994" s="8" t="s">
        <v>2552</v>
      </c>
      <c r="AM994" s="8" t="s">
        <v>2671</v>
      </c>
      <c r="AN994" s="8" t="s">
        <v>2398</v>
      </c>
      <c r="AO994" s="8" t="s">
        <v>2399</v>
      </c>
      <c r="AP994" s="8" t="s">
        <v>2744</v>
      </c>
      <c r="AQ994" s="8" t="s">
        <v>124</v>
      </c>
      <c r="AR994" s="8" t="s">
        <v>125</v>
      </c>
      <c r="AS994">
        <v>2</v>
      </c>
      <c r="AT994" s="8" t="s">
        <v>126</v>
      </c>
      <c r="AU994" s="8" t="s">
        <v>155</v>
      </c>
      <c r="AV994" s="8" t="s">
        <v>2745</v>
      </c>
      <c r="AW994">
        <v>1</v>
      </c>
      <c r="AX994" s="8" t="s">
        <v>129</v>
      </c>
      <c r="AY994">
        <v>204900</v>
      </c>
      <c r="AZ994">
        <v>14092981</v>
      </c>
      <c r="BA994">
        <v>218929.69</v>
      </c>
      <c r="BB994">
        <v>68.779799999999895</v>
      </c>
      <c r="BC994" s="8" t="s">
        <v>130</v>
      </c>
      <c r="BD994" s="8" t="s">
        <v>112</v>
      </c>
      <c r="BE994" s="8" t="s">
        <v>2746</v>
      </c>
      <c r="BF994" s="8" t="s">
        <v>133</v>
      </c>
      <c r="BG994" s="8" t="s">
        <v>134</v>
      </c>
      <c r="BH994" s="8" t="s">
        <v>112</v>
      </c>
      <c r="BI994" s="8" t="s">
        <v>112</v>
      </c>
      <c r="BJ994" s="8" t="s">
        <v>112</v>
      </c>
      <c r="BK994" s="8" t="s">
        <v>2587</v>
      </c>
      <c r="BL994" s="8" t="s">
        <v>2747</v>
      </c>
      <c r="BM994" s="8" t="s">
        <v>2748</v>
      </c>
      <c r="BN994" s="8" t="s">
        <v>2749</v>
      </c>
      <c r="BO994">
        <v>2</v>
      </c>
      <c r="BP994" s="8" t="s">
        <v>3169</v>
      </c>
      <c r="BR994" s="8" t="s">
        <v>2751</v>
      </c>
      <c r="BS994">
        <v>173</v>
      </c>
      <c r="BT994">
        <v>0</v>
      </c>
      <c r="BU994">
        <v>173</v>
      </c>
      <c r="BV994" t="s">
        <v>2147</v>
      </c>
      <c r="BW994">
        <v>0</v>
      </c>
      <c r="BY994" s="8" t="s">
        <v>596</v>
      </c>
      <c r="BZ994" s="8" t="s">
        <v>2148</v>
      </c>
      <c r="CA994" s="8" t="s">
        <v>112</v>
      </c>
      <c r="CB994" s="8" t="s">
        <v>112</v>
      </c>
      <c r="CC994" s="8" t="s">
        <v>2752</v>
      </c>
      <c r="CD994">
        <v>10282</v>
      </c>
      <c r="CE994" t="s">
        <v>144</v>
      </c>
      <c r="CF994">
        <v>4000000</v>
      </c>
      <c r="CG994">
        <v>9308</v>
      </c>
      <c r="CH994">
        <v>0</v>
      </c>
      <c r="CI994" s="8" t="s">
        <v>112</v>
      </c>
      <c r="CJ994" s="8" t="s">
        <v>112</v>
      </c>
      <c r="CK994">
        <v>163891</v>
      </c>
      <c r="CL994">
        <v>11272390</v>
      </c>
      <c r="CM994">
        <v>0</v>
      </c>
      <c r="CN994">
        <v>1</v>
      </c>
      <c r="CO994">
        <v>11318507.060000001</v>
      </c>
      <c r="CP994">
        <v>175187.93</v>
      </c>
      <c r="CQ994" s="8" t="s">
        <v>145</v>
      </c>
      <c r="CR994">
        <v>18.821200000000001</v>
      </c>
      <c r="CV994" t="s">
        <v>2753</v>
      </c>
      <c r="CW994">
        <v>0</v>
      </c>
    </row>
    <row r="995" spans="1:101" x14ac:dyDescent="0.2">
      <c r="A995" s="8" t="s">
        <v>106</v>
      </c>
      <c r="B995" s="46">
        <v>45038</v>
      </c>
      <c r="C995" s="8" t="s">
        <v>3167</v>
      </c>
      <c r="D995" s="8" t="s">
        <v>583</v>
      </c>
      <c r="E995" s="8" t="s">
        <v>3168</v>
      </c>
      <c r="F995" t="s">
        <v>110</v>
      </c>
      <c r="G995" s="8" t="s">
        <v>111</v>
      </c>
      <c r="H995" s="8" t="s">
        <v>112</v>
      </c>
      <c r="I995" s="8" t="s">
        <v>112</v>
      </c>
      <c r="J995" s="8" t="s">
        <v>112</v>
      </c>
      <c r="K995" s="8" t="s">
        <v>2738</v>
      </c>
      <c r="L995" s="8" t="s">
        <v>2739</v>
      </c>
      <c r="M995" s="8" t="s">
        <v>112</v>
      </c>
      <c r="N995" s="8" t="s">
        <v>112</v>
      </c>
      <c r="O995">
        <v>2</v>
      </c>
      <c r="P995">
        <v>0</v>
      </c>
      <c r="Q995">
        <v>3</v>
      </c>
      <c r="R995">
        <v>177</v>
      </c>
      <c r="S995" s="8" t="s">
        <v>2740</v>
      </c>
      <c r="T995" s="8" t="s">
        <v>2741</v>
      </c>
      <c r="U995" s="8" t="s">
        <v>2742</v>
      </c>
      <c r="V995" s="8" t="s">
        <v>2743</v>
      </c>
      <c r="W995" s="8" t="s">
        <v>2552</v>
      </c>
      <c r="X995" s="8" t="s">
        <v>2671</v>
      </c>
      <c r="Y995" s="8" t="s">
        <v>2740</v>
      </c>
      <c r="Z995" s="8" t="s">
        <v>2741</v>
      </c>
      <c r="AA995" s="8" t="s">
        <v>2742</v>
      </c>
      <c r="AB995" s="8" t="s">
        <v>2743</v>
      </c>
      <c r="AC995" s="8" t="s">
        <v>2552</v>
      </c>
      <c r="AD995" s="8" t="s">
        <v>2671</v>
      </c>
      <c r="AE995" s="8" t="s">
        <v>2398</v>
      </c>
      <c r="AF995" s="8" t="s">
        <v>2399</v>
      </c>
      <c r="AG995">
        <v>14144565.8699999</v>
      </c>
      <c r="AH995" s="8" t="s">
        <v>2740</v>
      </c>
      <c r="AI995" s="8" t="s">
        <v>2741</v>
      </c>
      <c r="AJ995" s="8" t="s">
        <v>2742</v>
      </c>
      <c r="AK995" s="8" t="s">
        <v>2743</v>
      </c>
      <c r="AL995" s="8" t="s">
        <v>2552</v>
      </c>
      <c r="AM995" s="8" t="s">
        <v>2671</v>
      </c>
      <c r="AN995" s="8" t="s">
        <v>2398</v>
      </c>
      <c r="AO995" s="8" t="s">
        <v>2399</v>
      </c>
      <c r="AP995" s="8" t="s">
        <v>2744</v>
      </c>
      <c r="AQ995" s="8" t="s">
        <v>124</v>
      </c>
      <c r="AR995" s="8" t="s">
        <v>125</v>
      </c>
      <c r="AS995">
        <v>2</v>
      </c>
      <c r="AT995" s="8" t="s">
        <v>126</v>
      </c>
      <c r="AU995" s="8" t="s">
        <v>155</v>
      </c>
      <c r="AV995" s="8" t="s">
        <v>2745</v>
      </c>
      <c r="AW995">
        <v>1</v>
      </c>
      <c r="AX995" s="8" t="s">
        <v>129</v>
      </c>
      <c r="AY995">
        <v>204900</v>
      </c>
      <c r="AZ995">
        <v>14092981</v>
      </c>
      <c r="BA995">
        <v>218929.69</v>
      </c>
      <c r="BB995">
        <v>68.779799999999895</v>
      </c>
      <c r="BC995" s="8" t="s">
        <v>130</v>
      </c>
      <c r="BD995" s="8" t="s">
        <v>112</v>
      </c>
      <c r="BE995" s="8" t="s">
        <v>2746</v>
      </c>
      <c r="BF995" s="8" t="s">
        <v>133</v>
      </c>
      <c r="BG995" s="8" t="s">
        <v>134</v>
      </c>
      <c r="BH995" s="8" t="s">
        <v>112</v>
      </c>
      <c r="BI995" s="8" t="s">
        <v>112</v>
      </c>
      <c r="BJ995" s="8" t="s">
        <v>112</v>
      </c>
      <c r="BK995" s="8" t="s">
        <v>2587</v>
      </c>
      <c r="BL995" s="8" t="s">
        <v>2747</v>
      </c>
      <c r="BM995" s="8" t="s">
        <v>2748</v>
      </c>
      <c r="BN995" s="8" t="s">
        <v>2749</v>
      </c>
      <c r="BO995">
        <v>1</v>
      </c>
      <c r="BP995" s="8" t="s">
        <v>3169</v>
      </c>
      <c r="BR995" s="8" t="s">
        <v>2751</v>
      </c>
      <c r="BS995">
        <v>2</v>
      </c>
      <c r="BT995">
        <v>0</v>
      </c>
      <c r="BU995">
        <v>2</v>
      </c>
      <c r="BV995" t="s">
        <v>2147</v>
      </c>
      <c r="BW995">
        <v>0</v>
      </c>
      <c r="BY995" s="8" t="s">
        <v>106</v>
      </c>
      <c r="BZ995" s="8" t="s">
        <v>2467</v>
      </c>
      <c r="CA995" s="8" t="s">
        <v>112</v>
      </c>
      <c r="CB995" s="8" t="s">
        <v>112</v>
      </c>
      <c r="CC995" s="8" t="s">
        <v>2752</v>
      </c>
      <c r="CD995">
        <v>314</v>
      </c>
      <c r="CE995" t="s">
        <v>144</v>
      </c>
      <c r="CF995">
        <v>4000000</v>
      </c>
      <c r="CG995">
        <v>276</v>
      </c>
      <c r="CH995">
        <v>0</v>
      </c>
      <c r="CI995" s="8" t="s">
        <v>112</v>
      </c>
      <c r="CJ995" s="8" t="s">
        <v>112</v>
      </c>
      <c r="CK995">
        <v>1073</v>
      </c>
      <c r="CL995">
        <v>73801</v>
      </c>
      <c r="CM995">
        <v>0</v>
      </c>
      <c r="CN995">
        <v>1</v>
      </c>
      <c r="CO995">
        <v>75208.649999999907</v>
      </c>
      <c r="CP995">
        <v>1164.08</v>
      </c>
      <c r="CQ995" s="8" t="s">
        <v>145</v>
      </c>
      <c r="CR995">
        <v>4.2176999999999998</v>
      </c>
      <c r="CV995" t="s">
        <v>2753</v>
      </c>
      <c r="CW995">
        <v>0</v>
      </c>
    </row>
    <row r="996" spans="1:101" x14ac:dyDescent="0.2">
      <c r="A996" s="8" t="s">
        <v>106</v>
      </c>
      <c r="B996" s="46">
        <v>45019</v>
      </c>
      <c r="C996" s="8" t="s">
        <v>3143</v>
      </c>
      <c r="D996" s="8" t="s">
        <v>583</v>
      </c>
      <c r="E996" s="8" t="s">
        <v>3144</v>
      </c>
      <c r="F996" t="s">
        <v>110</v>
      </c>
      <c r="G996" s="8" t="s">
        <v>111</v>
      </c>
      <c r="H996" s="8" t="s">
        <v>112</v>
      </c>
      <c r="I996" s="8" t="s">
        <v>112</v>
      </c>
      <c r="J996" s="8" t="s">
        <v>112</v>
      </c>
      <c r="K996" s="8" t="s">
        <v>2637</v>
      </c>
      <c r="L996" s="8" t="s">
        <v>2638</v>
      </c>
      <c r="M996" s="8" t="s">
        <v>112</v>
      </c>
      <c r="N996" s="8" t="s">
        <v>112</v>
      </c>
      <c r="O996">
        <v>7</v>
      </c>
      <c r="P996">
        <v>0</v>
      </c>
      <c r="Q996">
        <v>17</v>
      </c>
      <c r="R996">
        <v>52</v>
      </c>
      <c r="S996" s="8" t="s">
        <v>2639</v>
      </c>
      <c r="T996" s="8" t="s">
        <v>2640</v>
      </c>
      <c r="U996" s="8" t="s">
        <v>2641</v>
      </c>
      <c r="V996" s="8" t="s">
        <v>2642</v>
      </c>
      <c r="W996" s="8" t="s">
        <v>119</v>
      </c>
      <c r="X996" s="8" t="s">
        <v>2395</v>
      </c>
      <c r="Y996" s="8" t="s">
        <v>2639</v>
      </c>
      <c r="Z996" s="8" t="s">
        <v>2640</v>
      </c>
      <c r="AA996" s="8" t="s">
        <v>2641</v>
      </c>
      <c r="AB996" s="8" t="s">
        <v>2642</v>
      </c>
      <c r="AC996" s="8" t="s">
        <v>119</v>
      </c>
      <c r="AD996" s="8" t="s">
        <v>2395</v>
      </c>
      <c r="AE996" s="8" t="s">
        <v>2396</v>
      </c>
      <c r="AF996" s="8" t="s">
        <v>2397</v>
      </c>
      <c r="AG996">
        <v>10001975.49</v>
      </c>
      <c r="AH996" s="8" t="s">
        <v>2639</v>
      </c>
      <c r="AI996" s="8" t="s">
        <v>2640</v>
      </c>
      <c r="AJ996" s="8" t="s">
        <v>2641</v>
      </c>
      <c r="AK996" s="8" t="s">
        <v>2642</v>
      </c>
      <c r="AL996" s="8" t="s">
        <v>119</v>
      </c>
      <c r="AM996" s="8" t="s">
        <v>2395</v>
      </c>
      <c r="AN996" s="8" t="s">
        <v>2396</v>
      </c>
      <c r="AO996" s="8" t="s">
        <v>2397</v>
      </c>
      <c r="AP996" s="8" t="s">
        <v>2397</v>
      </c>
      <c r="AQ996" s="8" t="s">
        <v>124</v>
      </c>
      <c r="AR996" s="8" t="s">
        <v>125</v>
      </c>
      <c r="AS996">
        <v>2</v>
      </c>
      <c r="AT996" s="8" t="s">
        <v>126</v>
      </c>
      <c r="AU996" s="8" t="s">
        <v>2318</v>
      </c>
      <c r="AV996" s="8" t="s">
        <v>2401</v>
      </c>
      <c r="AW996">
        <v>1</v>
      </c>
      <c r="AX996" s="8" t="s">
        <v>2643</v>
      </c>
      <c r="AY996">
        <v>10001975.49</v>
      </c>
      <c r="AZ996">
        <v>10001975</v>
      </c>
      <c r="BA996">
        <v>154810.66</v>
      </c>
      <c r="BB996">
        <v>0</v>
      </c>
      <c r="BC996" s="8" t="s">
        <v>130</v>
      </c>
      <c r="BD996" s="8" t="s">
        <v>112</v>
      </c>
      <c r="BE996" s="8" t="s">
        <v>2644</v>
      </c>
      <c r="BF996" s="8" t="s">
        <v>133</v>
      </c>
      <c r="BG996" s="8" t="s">
        <v>134</v>
      </c>
      <c r="BH996" s="8" t="s">
        <v>112</v>
      </c>
      <c r="BI996" s="8" t="s">
        <v>112</v>
      </c>
      <c r="BJ996" s="8" t="s">
        <v>112</v>
      </c>
      <c r="BK996" s="8" t="s">
        <v>2645</v>
      </c>
      <c r="BL996" s="8" t="s">
        <v>2646</v>
      </c>
      <c r="BM996" s="8" t="s">
        <v>2647</v>
      </c>
      <c r="BN996" s="8" t="s">
        <v>2648</v>
      </c>
      <c r="BO996">
        <v>3</v>
      </c>
      <c r="BP996" s="8" t="s">
        <v>3145</v>
      </c>
      <c r="BR996" s="8" t="s">
        <v>2637</v>
      </c>
      <c r="BS996">
        <v>50</v>
      </c>
      <c r="BT996">
        <v>0</v>
      </c>
      <c r="BU996">
        <v>101</v>
      </c>
      <c r="BV996" t="s">
        <v>2147</v>
      </c>
      <c r="BW996">
        <v>0</v>
      </c>
      <c r="BY996" s="8" t="s">
        <v>2650</v>
      </c>
      <c r="BZ996" s="8" t="s">
        <v>2148</v>
      </c>
      <c r="CA996" s="8" t="s">
        <v>112</v>
      </c>
      <c r="CB996" s="8" t="s">
        <v>112</v>
      </c>
      <c r="CC996" s="8" t="s">
        <v>2396</v>
      </c>
      <c r="CD996">
        <v>7242.2830000000004</v>
      </c>
      <c r="CE996" t="s">
        <v>144</v>
      </c>
      <c r="CF996">
        <v>4000000</v>
      </c>
      <c r="CG996">
        <v>6462.2830000000004</v>
      </c>
      <c r="CH996">
        <v>0</v>
      </c>
      <c r="CI996" s="8" t="s">
        <v>112</v>
      </c>
      <c r="CJ996" s="8" t="s">
        <v>112</v>
      </c>
      <c r="CK996">
        <v>9512259.1099999901</v>
      </c>
      <c r="CL996">
        <v>9512259</v>
      </c>
      <c r="CM996">
        <v>0</v>
      </c>
      <c r="CN996">
        <v>1</v>
      </c>
      <c r="CO996">
        <v>9512259.1099999901</v>
      </c>
      <c r="CP996">
        <v>147230.82</v>
      </c>
      <c r="CQ996" s="8" t="s">
        <v>145</v>
      </c>
      <c r="CR996">
        <v>22.783100000000001</v>
      </c>
      <c r="CS996">
        <v>966</v>
      </c>
      <c r="CT996" t="s">
        <v>2651</v>
      </c>
      <c r="CV996" t="s">
        <v>2652</v>
      </c>
      <c r="CW996">
        <v>1287</v>
      </c>
    </row>
    <row r="997" spans="1:101" x14ac:dyDescent="0.2">
      <c r="A997" s="8" t="s">
        <v>106</v>
      </c>
      <c r="B997" s="46">
        <v>44932</v>
      </c>
      <c r="C997" s="8" t="s">
        <v>3128</v>
      </c>
      <c r="D997" s="8" t="s">
        <v>583</v>
      </c>
      <c r="E997" s="8" t="s">
        <v>3129</v>
      </c>
      <c r="F997" t="s">
        <v>110</v>
      </c>
      <c r="G997" s="8" t="s">
        <v>111</v>
      </c>
      <c r="H997" s="8" t="s">
        <v>112</v>
      </c>
      <c r="I997" s="8" t="s">
        <v>112</v>
      </c>
      <c r="J997" s="8" t="s">
        <v>112</v>
      </c>
      <c r="K997" s="8" t="s">
        <v>3130</v>
      </c>
      <c r="L997" s="8" t="s">
        <v>3131</v>
      </c>
      <c r="M997" s="8" t="s">
        <v>112</v>
      </c>
      <c r="N997" s="8" t="s">
        <v>112</v>
      </c>
      <c r="O997">
        <v>1</v>
      </c>
      <c r="P997">
        <v>0</v>
      </c>
      <c r="Q997">
        <v>1</v>
      </c>
      <c r="R997">
        <v>26</v>
      </c>
      <c r="S997" s="8" t="s">
        <v>3132</v>
      </c>
      <c r="T997" s="8" t="s">
        <v>3133</v>
      </c>
      <c r="U997" s="8" t="s">
        <v>3134</v>
      </c>
      <c r="V997" s="8" t="s">
        <v>3135</v>
      </c>
      <c r="W997" s="8" t="s">
        <v>119</v>
      </c>
      <c r="X997" s="8" t="s">
        <v>3136</v>
      </c>
      <c r="Y997" s="8" t="s">
        <v>3132</v>
      </c>
      <c r="Z997" s="8" t="s">
        <v>3133</v>
      </c>
      <c r="AA997" s="8" t="s">
        <v>3134</v>
      </c>
      <c r="AB997" s="8" t="s">
        <v>3135</v>
      </c>
      <c r="AC997" s="8" t="s">
        <v>119</v>
      </c>
      <c r="AD997" s="8" t="s">
        <v>3136</v>
      </c>
      <c r="AE997" s="8" t="s">
        <v>2974</v>
      </c>
      <c r="AF997" s="8" t="s">
        <v>2971</v>
      </c>
      <c r="AG997">
        <v>12580705.800000001</v>
      </c>
      <c r="AH997" s="8" t="s">
        <v>3132</v>
      </c>
      <c r="AI997" s="8" t="s">
        <v>3133</v>
      </c>
      <c r="AJ997" s="8" t="s">
        <v>3134</v>
      </c>
      <c r="AK997" s="8" t="s">
        <v>3135</v>
      </c>
      <c r="AL997" s="8" t="s">
        <v>119</v>
      </c>
      <c r="AM997" s="8" t="s">
        <v>3136</v>
      </c>
      <c r="AN997" s="8" t="s">
        <v>2974</v>
      </c>
      <c r="AO997" s="8" t="s">
        <v>2971</v>
      </c>
      <c r="AP997" s="8" t="s">
        <v>2971</v>
      </c>
      <c r="AQ997" s="8" t="s">
        <v>124</v>
      </c>
      <c r="AR997" s="8" t="s">
        <v>125</v>
      </c>
      <c r="AS997">
        <v>2</v>
      </c>
      <c r="AT997" s="8" t="s">
        <v>126</v>
      </c>
      <c r="AU997" s="8" t="s">
        <v>2318</v>
      </c>
      <c r="AV997" s="8" t="s">
        <v>3137</v>
      </c>
      <c r="AW997">
        <v>1</v>
      </c>
      <c r="AX997" s="8" t="s">
        <v>129</v>
      </c>
      <c r="AY997">
        <v>182912.8</v>
      </c>
      <c r="AZ997">
        <v>12580706</v>
      </c>
      <c r="BA997">
        <v>194724.26</v>
      </c>
      <c r="BB997">
        <v>68.779799999999895</v>
      </c>
      <c r="BC997" s="8" t="s">
        <v>130</v>
      </c>
      <c r="BD997" s="8" t="s">
        <v>112</v>
      </c>
      <c r="BE997" s="8" t="s">
        <v>3138</v>
      </c>
      <c r="BF997" s="8" t="s">
        <v>133</v>
      </c>
      <c r="BG997" s="8" t="s">
        <v>134</v>
      </c>
      <c r="BH997" s="8" t="s">
        <v>112</v>
      </c>
      <c r="BI997" s="8" t="s">
        <v>3139</v>
      </c>
      <c r="BJ997" s="8" t="s">
        <v>112</v>
      </c>
      <c r="BK997" s="8" t="s">
        <v>2587</v>
      </c>
      <c r="BL997" s="8" t="s">
        <v>2588</v>
      </c>
      <c r="BM997" s="8" t="s">
        <v>2589</v>
      </c>
      <c r="BN997" s="8" t="s">
        <v>2590</v>
      </c>
      <c r="BO997">
        <v>1</v>
      </c>
      <c r="BP997" s="8" t="s">
        <v>3140</v>
      </c>
      <c r="BR997" s="8" t="s">
        <v>3130</v>
      </c>
      <c r="BS997">
        <v>26</v>
      </c>
      <c r="BT997">
        <v>0</v>
      </c>
      <c r="BU997">
        <v>104</v>
      </c>
      <c r="BV997" t="s">
        <v>2147</v>
      </c>
      <c r="BW997">
        <v>0</v>
      </c>
      <c r="BY997" s="8" t="s">
        <v>106</v>
      </c>
      <c r="BZ997" s="8" t="s">
        <v>2148</v>
      </c>
      <c r="CA997" s="8" t="s">
        <v>112</v>
      </c>
      <c r="CB997" s="8" t="s">
        <v>112</v>
      </c>
      <c r="CC997" s="8" t="s">
        <v>2974</v>
      </c>
      <c r="CD997">
        <v>8221.2000000000007</v>
      </c>
      <c r="CE997" t="s">
        <v>144</v>
      </c>
      <c r="CF997">
        <v>4000000</v>
      </c>
      <c r="CG997">
        <v>7572.8</v>
      </c>
      <c r="CH997">
        <v>0</v>
      </c>
      <c r="CI997" s="8" t="s">
        <v>112</v>
      </c>
      <c r="CJ997" s="8" t="s">
        <v>112</v>
      </c>
      <c r="CK997">
        <v>182912.8</v>
      </c>
      <c r="CL997">
        <v>12580706</v>
      </c>
      <c r="CM997">
        <v>0</v>
      </c>
      <c r="CN997">
        <v>1</v>
      </c>
      <c r="CO997">
        <v>12580705.800000001</v>
      </c>
      <c r="CP997">
        <v>194724.26</v>
      </c>
      <c r="CQ997" s="8" t="s">
        <v>145</v>
      </c>
      <c r="CR997">
        <v>25.7136</v>
      </c>
      <c r="CS997">
        <v>35</v>
      </c>
      <c r="CT997" t="s">
        <v>3141</v>
      </c>
      <c r="CV997" t="s">
        <v>3142</v>
      </c>
      <c r="CW997">
        <v>1178</v>
      </c>
    </row>
    <row r="998" spans="1:101" x14ac:dyDescent="0.2">
      <c r="A998" s="8" t="s">
        <v>106</v>
      </c>
      <c r="B998" s="46">
        <v>45185</v>
      </c>
      <c r="C998" s="8" t="s">
        <v>3193</v>
      </c>
      <c r="D998" s="8" t="s">
        <v>583</v>
      </c>
      <c r="E998" s="8" t="s">
        <v>3194</v>
      </c>
      <c r="F998" t="s">
        <v>110</v>
      </c>
      <c r="G998" s="8" t="s">
        <v>111</v>
      </c>
      <c r="H998" s="8" t="s">
        <v>112</v>
      </c>
      <c r="I998" s="8" t="s">
        <v>112</v>
      </c>
      <c r="J998" s="8" t="s">
        <v>112</v>
      </c>
      <c r="K998" s="8" t="s">
        <v>2161</v>
      </c>
      <c r="L998" s="8" t="s">
        <v>2162</v>
      </c>
      <c r="M998" s="8" t="s">
        <v>112</v>
      </c>
      <c r="N998" s="8" t="s">
        <v>112</v>
      </c>
      <c r="O998">
        <v>2</v>
      </c>
      <c r="P998">
        <v>0</v>
      </c>
      <c r="Q998">
        <v>2</v>
      </c>
      <c r="R998">
        <v>197</v>
      </c>
      <c r="S998" s="8" t="s">
        <v>2136</v>
      </c>
      <c r="T998" s="8" t="s">
        <v>2137</v>
      </c>
      <c r="U998" s="8" t="s">
        <v>2141</v>
      </c>
      <c r="V998" s="8" t="s">
        <v>2139</v>
      </c>
      <c r="W998" s="8" t="s">
        <v>119</v>
      </c>
      <c r="X998" s="8" t="s">
        <v>2140</v>
      </c>
      <c r="Y998" s="8" t="s">
        <v>2136</v>
      </c>
      <c r="Z998" s="8" t="s">
        <v>2137</v>
      </c>
      <c r="AA998" s="8" t="s">
        <v>2141</v>
      </c>
      <c r="AB998" s="8" t="s">
        <v>2139</v>
      </c>
      <c r="AC998" s="8" t="s">
        <v>119</v>
      </c>
      <c r="AD998" s="8" t="s">
        <v>2140</v>
      </c>
      <c r="AE998" s="8" t="s">
        <v>2163</v>
      </c>
      <c r="AF998" s="8" t="s">
        <v>2164</v>
      </c>
      <c r="AG998">
        <v>9257349.0899999905</v>
      </c>
      <c r="AH998" s="8" t="s">
        <v>2136</v>
      </c>
      <c r="AI998" s="8" t="s">
        <v>2137</v>
      </c>
      <c r="AJ998" s="8" t="s">
        <v>2141</v>
      </c>
      <c r="AK998" s="8" t="s">
        <v>2139</v>
      </c>
      <c r="AL998" s="8" t="s">
        <v>119</v>
      </c>
      <c r="AM998" s="8" t="s">
        <v>2140</v>
      </c>
      <c r="AN998" s="8" t="s">
        <v>2163</v>
      </c>
      <c r="AO998" s="8" t="s">
        <v>2164</v>
      </c>
      <c r="AP998" s="8" t="s">
        <v>2164</v>
      </c>
      <c r="AQ998" s="8" t="s">
        <v>124</v>
      </c>
      <c r="AR998" s="8" t="s">
        <v>125</v>
      </c>
      <c r="AS998">
        <v>2</v>
      </c>
      <c r="AT998" s="8" t="s">
        <v>126</v>
      </c>
      <c r="AU998" s="8" t="s">
        <v>127</v>
      </c>
      <c r="AV998" s="8" t="s">
        <v>2165</v>
      </c>
      <c r="AW998">
        <v>1</v>
      </c>
      <c r="AX998" s="8" t="s">
        <v>129</v>
      </c>
      <c r="AY998">
        <v>128834.01</v>
      </c>
      <c r="AZ998">
        <v>8861177</v>
      </c>
      <c r="BA998">
        <v>143285.32</v>
      </c>
      <c r="BB998">
        <v>68.779799999999895</v>
      </c>
      <c r="BC998" s="8" t="s">
        <v>130</v>
      </c>
      <c r="BD998" s="8" t="s">
        <v>131</v>
      </c>
      <c r="BE998" s="8" t="s">
        <v>2166</v>
      </c>
      <c r="BF998" s="8" t="s">
        <v>133</v>
      </c>
      <c r="BG998" s="8" t="s">
        <v>134</v>
      </c>
      <c r="BH998" s="8" t="s">
        <v>112</v>
      </c>
      <c r="BI998" s="8" t="s">
        <v>112</v>
      </c>
      <c r="BJ998" s="8" t="s">
        <v>112</v>
      </c>
      <c r="BK998" s="8" t="s">
        <v>588</v>
      </c>
      <c r="BL998" s="8" t="s">
        <v>901</v>
      </c>
      <c r="BM998" s="8" t="s">
        <v>590</v>
      </c>
      <c r="BN998" s="8" t="s">
        <v>591</v>
      </c>
      <c r="BO998">
        <v>1</v>
      </c>
      <c r="BP998" s="8" t="s">
        <v>3195</v>
      </c>
      <c r="BR998" s="8" t="s">
        <v>2161</v>
      </c>
      <c r="BS998">
        <v>89</v>
      </c>
      <c r="BT998">
        <v>0</v>
      </c>
      <c r="BU998">
        <v>339</v>
      </c>
      <c r="BV998" t="s">
        <v>2147</v>
      </c>
      <c r="BW998">
        <v>0</v>
      </c>
      <c r="BY998" s="8" t="s">
        <v>106</v>
      </c>
      <c r="BZ998" s="8" t="s">
        <v>2148</v>
      </c>
      <c r="CA998" s="8" t="s">
        <v>112</v>
      </c>
      <c r="CB998" s="8" t="s">
        <v>112</v>
      </c>
      <c r="CC998" s="8" t="s">
        <v>2163</v>
      </c>
      <c r="CD998">
        <v>16124</v>
      </c>
      <c r="CE998" t="s">
        <v>144</v>
      </c>
      <c r="CF998">
        <v>4000000</v>
      </c>
      <c r="CG998">
        <v>15990</v>
      </c>
      <c r="CH998">
        <v>0</v>
      </c>
      <c r="CI998" s="8" t="s">
        <v>112</v>
      </c>
      <c r="CJ998" s="8" t="s">
        <v>112</v>
      </c>
      <c r="CK998">
        <v>124940.61</v>
      </c>
      <c r="CL998">
        <v>8593390</v>
      </c>
      <c r="CM998">
        <v>0</v>
      </c>
      <c r="CN998">
        <v>1</v>
      </c>
      <c r="CO998">
        <v>8980994.6099999901</v>
      </c>
      <c r="CP998">
        <v>139007.9</v>
      </c>
      <c r="CQ998" s="8" t="s">
        <v>145</v>
      </c>
      <c r="CR998">
        <v>8.6934000000000005</v>
      </c>
      <c r="CS998">
        <v>1053</v>
      </c>
      <c r="CT998" t="s">
        <v>2149</v>
      </c>
      <c r="CV998" t="s">
        <v>2150</v>
      </c>
      <c r="CW998">
        <v>0</v>
      </c>
    </row>
    <row r="999" spans="1:101" x14ac:dyDescent="0.2">
      <c r="A999" s="8" t="s">
        <v>106</v>
      </c>
      <c r="B999" s="46">
        <v>45261</v>
      </c>
      <c r="C999" s="8" t="s">
        <v>3222</v>
      </c>
      <c r="D999" s="8" t="s">
        <v>583</v>
      </c>
      <c r="E999" s="8" t="s">
        <v>3223</v>
      </c>
      <c r="F999" t="s">
        <v>110</v>
      </c>
      <c r="G999" s="8" t="s">
        <v>111</v>
      </c>
      <c r="H999" s="8" t="s">
        <v>112</v>
      </c>
      <c r="I999" s="8" t="s">
        <v>112</v>
      </c>
      <c r="J999" s="8" t="s">
        <v>112</v>
      </c>
      <c r="K999" s="8" t="s">
        <v>2161</v>
      </c>
      <c r="L999" s="8" t="s">
        <v>2162</v>
      </c>
      <c r="M999" s="8" t="s">
        <v>112</v>
      </c>
      <c r="N999" s="8" t="s">
        <v>112</v>
      </c>
      <c r="O999">
        <v>2</v>
      </c>
      <c r="P999">
        <v>0</v>
      </c>
      <c r="Q999">
        <v>2</v>
      </c>
      <c r="R999">
        <v>97</v>
      </c>
      <c r="S999" s="8" t="s">
        <v>2136</v>
      </c>
      <c r="T999" s="8" t="s">
        <v>2137</v>
      </c>
      <c r="U999" s="8" t="s">
        <v>2141</v>
      </c>
      <c r="V999" s="8" t="s">
        <v>2139</v>
      </c>
      <c r="W999" s="8" t="s">
        <v>119</v>
      </c>
      <c r="X999" s="8" t="s">
        <v>2140</v>
      </c>
      <c r="Y999" s="8" t="s">
        <v>2136</v>
      </c>
      <c r="Z999" s="8" t="s">
        <v>2137</v>
      </c>
      <c r="AA999" s="8" t="s">
        <v>2141</v>
      </c>
      <c r="AB999" s="8" t="s">
        <v>2139</v>
      </c>
      <c r="AC999" s="8" t="s">
        <v>119</v>
      </c>
      <c r="AD999" s="8" t="s">
        <v>2140</v>
      </c>
      <c r="AE999" s="8" t="s">
        <v>2163</v>
      </c>
      <c r="AF999" s="8" t="s">
        <v>2164</v>
      </c>
      <c r="AG999">
        <v>10407247.609999901</v>
      </c>
      <c r="AH999" s="8" t="s">
        <v>2136</v>
      </c>
      <c r="AI999" s="8" t="s">
        <v>2137</v>
      </c>
      <c r="AJ999" s="8" t="s">
        <v>2141</v>
      </c>
      <c r="AK999" s="8" t="s">
        <v>2139</v>
      </c>
      <c r="AL999" s="8" t="s">
        <v>119</v>
      </c>
      <c r="AM999" s="8" t="s">
        <v>2140</v>
      </c>
      <c r="AN999" s="8" t="s">
        <v>2163</v>
      </c>
      <c r="AO999" s="8" t="s">
        <v>2164</v>
      </c>
      <c r="AP999" s="8" t="s">
        <v>2164</v>
      </c>
      <c r="AQ999" s="8" t="s">
        <v>124</v>
      </c>
      <c r="AR999" s="8" t="s">
        <v>125</v>
      </c>
      <c r="AS999">
        <v>2</v>
      </c>
      <c r="AT999" s="8" t="s">
        <v>126</v>
      </c>
      <c r="AU999" s="8" t="s">
        <v>127</v>
      </c>
      <c r="AV999" s="8" t="s">
        <v>2165</v>
      </c>
      <c r="AW999">
        <v>1</v>
      </c>
      <c r="AX999" s="8" t="s">
        <v>129</v>
      </c>
      <c r="AY999">
        <v>145822.56</v>
      </c>
      <c r="AZ999">
        <v>10029647</v>
      </c>
      <c r="BA999">
        <v>161083.45000000001</v>
      </c>
      <c r="BB999">
        <v>68.779799999999895</v>
      </c>
      <c r="BC999" s="8" t="s">
        <v>130</v>
      </c>
      <c r="BD999" s="8" t="s">
        <v>131</v>
      </c>
      <c r="BE999" s="8" t="s">
        <v>2166</v>
      </c>
      <c r="BF999" s="8" t="s">
        <v>133</v>
      </c>
      <c r="BG999" s="8" t="s">
        <v>134</v>
      </c>
      <c r="BH999" s="8" t="s">
        <v>112</v>
      </c>
      <c r="BI999" s="8" t="s">
        <v>112</v>
      </c>
      <c r="BJ999" s="8" t="s">
        <v>112</v>
      </c>
      <c r="BK999" s="8" t="s">
        <v>588</v>
      </c>
      <c r="BL999" s="8" t="s">
        <v>901</v>
      </c>
      <c r="BM999" s="8" t="s">
        <v>590</v>
      </c>
      <c r="BN999" s="8" t="s">
        <v>591</v>
      </c>
      <c r="BO999">
        <v>1</v>
      </c>
      <c r="BP999" s="8" t="s">
        <v>3224</v>
      </c>
      <c r="BR999" s="8" t="s">
        <v>2161</v>
      </c>
      <c r="BS999">
        <v>69</v>
      </c>
      <c r="BT999">
        <v>0</v>
      </c>
      <c r="BU999">
        <v>309</v>
      </c>
      <c r="BV999" t="s">
        <v>2147</v>
      </c>
      <c r="BW999">
        <v>0</v>
      </c>
      <c r="BY999" s="8" t="s">
        <v>106</v>
      </c>
      <c r="BZ999" s="8" t="s">
        <v>2148</v>
      </c>
      <c r="CA999" s="8" t="s">
        <v>112</v>
      </c>
      <c r="CB999" s="8" t="s">
        <v>112</v>
      </c>
      <c r="CC999" s="8" t="s">
        <v>2163</v>
      </c>
      <c r="CD999">
        <v>14367</v>
      </c>
      <c r="CE999" t="s">
        <v>144</v>
      </c>
      <c r="CF999">
        <v>4000000</v>
      </c>
      <c r="CG999">
        <v>14232.18</v>
      </c>
      <c r="CH999">
        <v>0</v>
      </c>
      <c r="CI999" s="8" t="s">
        <v>112</v>
      </c>
      <c r="CJ999" s="8" t="s">
        <v>112</v>
      </c>
      <c r="CK999">
        <v>144411.359999999</v>
      </c>
      <c r="CL999">
        <v>9932584</v>
      </c>
      <c r="CM999">
        <v>0</v>
      </c>
      <c r="CN999">
        <v>1</v>
      </c>
      <c r="CO999">
        <v>10306974.92</v>
      </c>
      <c r="CP999">
        <v>159531.43</v>
      </c>
      <c r="CQ999" s="8" t="s">
        <v>145</v>
      </c>
      <c r="CR999">
        <v>11.209199999999999</v>
      </c>
      <c r="CS999">
        <v>1053</v>
      </c>
      <c r="CT999" t="s">
        <v>2149</v>
      </c>
      <c r="CV999" t="s">
        <v>2150</v>
      </c>
      <c r="CW999">
        <v>0</v>
      </c>
    </row>
    <row r="1000" spans="1:101" x14ac:dyDescent="0.2">
      <c r="A1000" t="s">
        <v>106</v>
      </c>
      <c r="B1000" s="46">
        <v>45066</v>
      </c>
      <c r="C1000" t="s">
        <v>610</v>
      </c>
      <c r="D1000" t="s">
        <v>583</v>
      </c>
      <c r="E1000" t="s">
        <v>611</v>
      </c>
      <c r="F1000" t="s">
        <v>110</v>
      </c>
      <c r="G1000" t="s">
        <v>111</v>
      </c>
      <c r="H1000" t="s">
        <v>112</v>
      </c>
      <c r="I1000" t="s">
        <v>112</v>
      </c>
      <c r="J1000" t="s">
        <v>112</v>
      </c>
      <c r="K1000" t="s">
        <v>113</v>
      </c>
      <c r="L1000" t="s">
        <v>585</v>
      </c>
      <c r="M1000" t="s">
        <v>112</v>
      </c>
      <c r="N1000" t="s">
        <v>112</v>
      </c>
      <c r="O1000">
        <v>2</v>
      </c>
      <c r="P1000">
        <v>0</v>
      </c>
      <c r="Q1000">
        <v>2</v>
      </c>
      <c r="R1000">
        <v>33</v>
      </c>
      <c r="S1000" t="s">
        <v>115</v>
      </c>
      <c r="T1000" t="s">
        <v>116</v>
      </c>
      <c r="U1000" t="s">
        <v>117</v>
      </c>
      <c r="V1000" t="s">
        <v>586</v>
      </c>
      <c r="W1000" t="s">
        <v>119</v>
      </c>
      <c r="X1000" t="s">
        <v>120</v>
      </c>
      <c r="Y1000" t="s">
        <v>115</v>
      </c>
      <c r="Z1000" t="s">
        <v>116</v>
      </c>
      <c r="AA1000" t="s">
        <v>117</v>
      </c>
      <c r="AB1000" t="s">
        <v>586</v>
      </c>
      <c r="AC1000" t="s">
        <v>119</v>
      </c>
      <c r="AD1000" t="s">
        <v>120</v>
      </c>
      <c r="AE1000" t="s">
        <v>121</v>
      </c>
      <c r="AF1000" t="s">
        <v>122</v>
      </c>
      <c r="AG1000">
        <v>4518435.47</v>
      </c>
      <c r="AH1000" t="s">
        <v>115</v>
      </c>
      <c r="AI1000" t="s">
        <v>116</v>
      </c>
      <c r="AJ1000" t="s">
        <v>117</v>
      </c>
      <c r="AK1000" t="s">
        <v>586</v>
      </c>
      <c r="AL1000" t="s">
        <v>119</v>
      </c>
      <c r="AM1000" t="s">
        <v>120</v>
      </c>
      <c r="AN1000" t="s">
        <v>121</v>
      </c>
      <c r="AO1000" t="s">
        <v>122</v>
      </c>
      <c r="AP1000" t="s">
        <v>123</v>
      </c>
      <c r="AQ1000" t="s">
        <v>124</v>
      </c>
      <c r="AR1000" t="s">
        <v>125</v>
      </c>
      <c r="AS1000">
        <v>2</v>
      </c>
      <c r="AT1000" t="s">
        <v>126</v>
      </c>
      <c r="AU1000" t="s">
        <v>127</v>
      </c>
      <c r="AV1000" t="s">
        <v>128</v>
      </c>
      <c r="AW1000">
        <v>1</v>
      </c>
      <c r="AX1000" t="s">
        <v>129</v>
      </c>
      <c r="AY1000">
        <v>54339.11</v>
      </c>
      <c r="AZ1000">
        <v>4345846</v>
      </c>
      <c r="BA1000">
        <v>60436.14</v>
      </c>
      <c r="BB1000">
        <v>79.976399999999998</v>
      </c>
      <c r="BC1000" t="s">
        <v>130</v>
      </c>
      <c r="BD1000" t="s">
        <v>131</v>
      </c>
      <c r="BE1000" t="s">
        <v>132</v>
      </c>
      <c r="BF1000" t="s">
        <v>133</v>
      </c>
      <c r="BG1000" t="s">
        <v>167</v>
      </c>
      <c r="BH1000" t="s">
        <v>587</v>
      </c>
      <c r="BI1000" t="s">
        <v>112</v>
      </c>
      <c r="BJ1000" t="s">
        <v>112</v>
      </c>
      <c r="BK1000" t="s">
        <v>588</v>
      </c>
      <c r="BL1000" t="s">
        <v>589</v>
      </c>
      <c r="BM1000" t="s">
        <v>590</v>
      </c>
      <c r="BN1000" t="s">
        <v>591</v>
      </c>
      <c r="BO1000">
        <v>2</v>
      </c>
      <c r="BP1000" t="s">
        <v>612</v>
      </c>
      <c r="BR1000" t="s">
        <v>141</v>
      </c>
      <c r="BS1000">
        <v>33</v>
      </c>
      <c r="BT1000">
        <v>0</v>
      </c>
      <c r="BU1000">
        <v>0</v>
      </c>
      <c r="BW1000">
        <v>0</v>
      </c>
      <c r="BY1000" t="s">
        <v>596</v>
      </c>
      <c r="BZ1000" t="s">
        <v>597</v>
      </c>
      <c r="CA1000" t="s">
        <v>112</v>
      </c>
      <c r="CB1000" t="s">
        <v>112</v>
      </c>
      <c r="CC1000" t="s">
        <v>143</v>
      </c>
      <c r="CD1000">
        <v>8920.64</v>
      </c>
      <c r="CE1000" t="s">
        <v>144</v>
      </c>
      <c r="CF1000">
        <v>4000000</v>
      </c>
      <c r="CG1000">
        <v>8464</v>
      </c>
      <c r="CH1000">
        <v>0</v>
      </c>
      <c r="CI1000" t="s">
        <v>112</v>
      </c>
      <c r="CJ1000" t="s">
        <v>112</v>
      </c>
      <c r="CK1000">
        <v>30521.279999999999</v>
      </c>
      <c r="CL1000">
        <v>2440982</v>
      </c>
      <c r="CM1000">
        <v>0</v>
      </c>
      <c r="CN1000">
        <v>1</v>
      </c>
      <c r="CO1000">
        <v>2540836.63</v>
      </c>
      <c r="CP1000">
        <v>33984.85</v>
      </c>
      <c r="CQ1000" t="s">
        <v>145</v>
      </c>
      <c r="CR1000">
        <v>33984.652800000003</v>
      </c>
      <c r="CS1000">
        <v>4.0152000000000001</v>
      </c>
      <c r="CT1000">
        <v>952</v>
      </c>
      <c r="CU1000" t="s">
        <v>593</v>
      </c>
      <c r="CV1000" t="s">
        <v>613</v>
      </c>
      <c r="CW1000">
        <v>1060</v>
      </c>
    </row>
    <row r="1001" spans="1:101" x14ac:dyDescent="0.2">
      <c r="A1001" t="s">
        <v>106</v>
      </c>
      <c r="B1001" s="46">
        <v>45175</v>
      </c>
      <c r="C1001" t="s">
        <v>610</v>
      </c>
      <c r="D1001" t="s">
        <v>583</v>
      </c>
      <c r="E1001" t="s">
        <v>611</v>
      </c>
      <c r="F1001" t="s">
        <v>110</v>
      </c>
      <c r="G1001" t="s">
        <v>111</v>
      </c>
      <c r="H1001" t="s">
        <v>112</v>
      </c>
      <c r="I1001" t="s">
        <v>112</v>
      </c>
      <c r="J1001" t="s">
        <v>112</v>
      </c>
      <c r="K1001" t="s">
        <v>113</v>
      </c>
      <c r="L1001" t="s">
        <v>585</v>
      </c>
      <c r="M1001" t="s">
        <v>112</v>
      </c>
      <c r="N1001" t="s">
        <v>112</v>
      </c>
      <c r="O1001">
        <v>2</v>
      </c>
      <c r="P1001">
        <v>0</v>
      </c>
      <c r="Q1001">
        <v>2</v>
      </c>
      <c r="R1001">
        <v>33</v>
      </c>
      <c r="S1001" t="s">
        <v>115</v>
      </c>
      <c r="T1001" t="s">
        <v>116</v>
      </c>
      <c r="U1001" t="s">
        <v>117</v>
      </c>
      <c r="V1001" t="s">
        <v>586</v>
      </c>
      <c r="W1001" t="s">
        <v>119</v>
      </c>
      <c r="X1001" t="s">
        <v>120</v>
      </c>
      <c r="Y1001" t="s">
        <v>115</v>
      </c>
      <c r="Z1001" t="s">
        <v>116</v>
      </c>
      <c r="AA1001" t="s">
        <v>117</v>
      </c>
      <c r="AB1001" t="s">
        <v>586</v>
      </c>
      <c r="AC1001" t="s">
        <v>119</v>
      </c>
      <c r="AD1001" t="s">
        <v>120</v>
      </c>
      <c r="AE1001" t="s">
        <v>121</v>
      </c>
      <c r="AF1001" t="s">
        <v>122</v>
      </c>
      <c r="AG1001">
        <v>4518435.47</v>
      </c>
      <c r="AH1001" t="s">
        <v>115</v>
      </c>
      <c r="AI1001" t="s">
        <v>116</v>
      </c>
      <c r="AJ1001" t="s">
        <v>117</v>
      </c>
      <c r="AK1001" t="s">
        <v>586</v>
      </c>
      <c r="AL1001" t="s">
        <v>119</v>
      </c>
      <c r="AM1001" t="s">
        <v>120</v>
      </c>
      <c r="AN1001" t="s">
        <v>121</v>
      </c>
      <c r="AO1001" t="s">
        <v>122</v>
      </c>
      <c r="AP1001" t="s">
        <v>123</v>
      </c>
      <c r="AQ1001" t="s">
        <v>124</v>
      </c>
      <c r="AR1001" t="s">
        <v>125</v>
      </c>
      <c r="AS1001">
        <v>2</v>
      </c>
      <c r="AT1001" t="s">
        <v>126</v>
      </c>
      <c r="AU1001" t="s">
        <v>127</v>
      </c>
      <c r="AV1001" t="s">
        <v>128</v>
      </c>
      <c r="AW1001">
        <v>1</v>
      </c>
      <c r="AX1001" t="s">
        <v>129</v>
      </c>
      <c r="AY1001">
        <v>54339.11</v>
      </c>
      <c r="AZ1001">
        <v>4345846</v>
      </c>
      <c r="BA1001">
        <v>60436.14</v>
      </c>
      <c r="BB1001">
        <v>79.976399999999998</v>
      </c>
      <c r="BC1001" t="s">
        <v>130</v>
      </c>
      <c r="BD1001" t="s">
        <v>131</v>
      </c>
      <c r="BE1001" t="s">
        <v>132</v>
      </c>
      <c r="BF1001" t="s">
        <v>133</v>
      </c>
      <c r="BG1001" t="s">
        <v>167</v>
      </c>
      <c r="BH1001" t="s">
        <v>587</v>
      </c>
      <c r="BI1001" t="s">
        <v>112</v>
      </c>
      <c r="BJ1001" t="s">
        <v>112</v>
      </c>
      <c r="BK1001" t="s">
        <v>588</v>
      </c>
      <c r="BL1001" t="s">
        <v>589</v>
      </c>
      <c r="BM1001" t="s">
        <v>590</v>
      </c>
      <c r="BN1001" t="s">
        <v>591</v>
      </c>
      <c r="BO1001">
        <v>1</v>
      </c>
      <c r="BP1001" t="s">
        <v>621</v>
      </c>
      <c r="BR1001" t="s">
        <v>141</v>
      </c>
      <c r="BS1001">
        <v>33</v>
      </c>
      <c r="BT1001">
        <v>0</v>
      </c>
      <c r="BU1001">
        <v>0</v>
      </c>
      <c r="BW1001">
        <v>0</v>
      </c>
      <c r="BY1001" t="s">
        <v>106</v>
      </c>
      <c r="BZ1001" t="s">
        <v>142</v>
      </c>
      <c r="CA1001" t="s">
        <v>112</v>
      </c>
      <c r="CB1001" t="s">
        <v>112</v>
      </c>
      <c r="CC1001" t="s">
        <v>143</v>
      </c>
      <c r="CD1001">
        <v>6497.84</v>
      </c>
      <c r="CE1001" t="s">
        <v>144</v>
      </c>
      <c r="CF1001">
        <v>4000000</v>
      </c>
      <c r="CG1001">
        <v>6121.4</v>
      </c>
      <c r="CH1001">
        <v>0</v>
      </c>
      <c r="CI1001" t="s">
        <v>112</v>
      </c>
      <c r="CJ1001" t="s">
        <v>112</v>
      </c>
      <c r="CK1001">
        <v>23817.83</v>
      </c>
      <c r="CL1001">
        <v>1904864</v>
      </c>
      <c r="CM1001">
        <v>0</v>
      </c>
      <c r="CN1001">
        <v>1</v>
      </c>
      <c r="CO1001">
        <v>1977598.84</v>
      </c>
      <c r="CP1001">
        <v>26451.29</v>
      </c>
      <c r="CQ1001" t="s">
        <v>145</v>
      </c>
      <c r="CR1001">
        <v>26451.181540000001</v>
      </c>
      <c r="CS1001">
        <v>4.3211000000000004</v>
      </c>
      <c r="CT1001">
        <v>952</v>
      </c>
      <c r="CU1001" t="s">
        <v>593</v>
      </c>
      <c r="CV1001" t="s">
        <v>613</v>
      </c>
      <c r="CW1001">
        <v>1060</v>
      </c>
    </row>
    <row r="1002" spans="1:101" x14ac:dyDescent="0.2">
      <c r="A1002" s="8" t="s">
        <v>106</v>
      </c>
      <c r="B1002" s="46">
        <v>44954</v>
      </c>
      <c r="C1002" s="8" t="s">
        <v>2173</v>
      </c>
      <c r="D1002" s="8" t="s">
        <v>583</v>
      </c>
      <c r="E1002" s="8" t="s">
        <v>2174</v>
      </c>
      <c r="F1002" t="s">
        <v>110</v>
      </c>
      <c r="G1002" s="8" t="s">
        <v>111</v>
      </c>
      <c r="H1002" s="8" t="s">
        <v>112</v>
      </c>
      <c r="I1002" s="8" t="s">
        <v>112</v>
      </c>
      <c r="J1002" s="8" t="s">
        <v>112</v>
      </c>
      <c r="K1002" s="8" t="s">
        <v>2161</v>
      </c>
      <c r="L1002" s="8" t="s">
        <v>2162</v>
      </c>
      <c r="M1002" s="8" t="s">
        <v>112</v>
      </c>
      <c r="N1002" s="8" t="s">
        <v>112</v>
      </c>
      <c r="O1002">
        <v>2</v>
      </c>
      <c r="Q1002">
        <v>2</v>
      </c>
      <c r="R1002">
        <v>102</v>
      </c>
      <c r="S1002" s="8" t="s">
        <v>2136</v>
      </c>
      <c r="T1002" s="8" t="s">
        <v>2137</v>
      </c>
      <c r="U1002" s="8" t="s">
        <v>2141</v>
      </c>
      <c r="V1002" s="8" t="s">
        <v>2139</v>
      </c>
      <c r="W1002" s="8" t="s">
        <v>119</v>
      </c>
      <c r="X1002" s="8" t="s">
        <v>2140</v>
      </c>
      <c r="Y1002" s="8" t="s">
        <v>2136</v>
      </c>
      <c r="Z1002" s="8" t="s">
        <v>2137</v>
      </c>
      <c r="AA1002" s="8" t="s">
        <v>2141</v>
      </c>
      <c r="AB1002" s="8" t="s">
        <v>2139</v>
      </c>
      <c r="AC1002" s="8" t="s">
        <v>119</v>
      </c>
      <c r="AD1002" s="8" t="s">
        <v>2140</v>
      </c>
      <c r="AE1002" s="8" t="s">
        <v>2163</v>
      </c>
      <c r="AF1002" s="8" t="s">
        <v>2164</v>
      </c>
      <c r="AG1002">
        <v>9356109.4100000001</v>
      </c>
      <c r="AH1002" s="8" t="s">
        <v>2136</v>
      </c>
      <c r="AI1002" s="8" t="s">
        <v>2137</v>
      </c>
      <c r="AJ1002" s="8" t="s">
        <v>2141</v>
      </c>
      <c r="AK1002" s="8" t="s">
        <v>2139</v>
      </c>
      <c r="AL1002" s="8" t="s">
        <v>119</v>
      </c>
      <c r="AM1002" s="8" t="s">
        <v>2140</v>
      </c>
      <c r="AN1002" s="8" t="s">
        <v>2163</v>
      </c>
      <c r="AO1002" s="8" t="s">
        <v>2164</v>
      </c>
      <c r="AP1002" s="8" t="s">
        <v>2164</v>
      </c>
      <c r="AQ1002" s="8" t="s">
        <v>124</v>
      </c>
      <c r="AR1002" s="8" t="s">
        <v>125</v>
      </c>
      <c r="AS1002">
        <v>2</v>
      </c>
      <c r="AT1002" s="8" t="s">
        <v>126</v>
      </c>
      <c r="AU1002" s="8" t="s">
        <v>127</v>
      </c>
      <c r="AV1002" s="8" t="s">
        <v>2165</v>
      </c>
      <c r="AW1002">
        <v>1</v>
      </c>
      <c r="AX1002" s="8" t="s">
        <v>129</v>
      </c>
      <c r="AY1002">
        <v>131591.299999999</v>
      </c>
      <c r="AZ1002">
        <v>9007030</v>
      </c>
      <c r="BA1002">
        <v>145503.75</v>
      </c>
      <c r="BB1002">
        <v>68.447000000000003</v>
      </c>
      <c r="BC1002" s="8" t="s">
        <v>130</v>
      </c>
      <c r="BD1002" s="8" t="s">
        <v>131</v>
      </c>
      <c r="BE1002" s="8" t="s">
        <v>2166</v>
      </c>
      <c r="BF1002" s="8" t="s">
        <v>133</v>
      </c>
      <c r="BG1002" s="8" t="s">
        <v>134</v>
      </c>
      <c r="BH1002" s="8" t="s">
        <v>112</v>
      </c>
      <c r="BI1002" s="8" t="s">
        <v>112</v>
      </c>
      <c r="BJ1002" s="8" t="s">
        <v>112</v>
      </c>
      <c r="BK1002" s="8" t="s">
        <v>588</v>
      </c>
      <c r="BL1002" s="8" t="s">
        <v>901</v>
      </c>
      <c r="BM1002" s="8" t="s">
        <v>590</v>
      </c>
      <c r="BN1002" s="8" t="s">
        <v>591</v>
      </c>
      <c r="BO1002">
        <v>1</v>
      </c>
      <c r="BP1002" s="8" t="s">
        <v>2175</v>
      </c>
      <c r="BR1002" s="8" t="s">
        <v>2161</v>
      </c>
      <c r="BS1002">
        <v>68</v>
      </c>
      <c r="BU1002">
        <v>273</v>
      </c>
      <c r="BV1002" t="s">
        <v>2147</v>
      </c>
      <c r="BY1002" s="8" t="s">
        <v>106</v>
      </c>
      <c r="BZ1002" s="8" t="s">
        <v>2148</v>
      </c>
      <c r="CA1002" s="8" t="s">
        <v>112</v>
      </c>
      <c r="CB1002" s="8" t="s">
        <v>112</v>
      </c>
      <c r="CC1002" s="8" t="s">
        <v>2163</v>
      </c>
      <c r="CD1002">
        <v>12802.7</v>
      </c>
      <c r="CE1002" t="s">
        <v>144</v>
      </c>
      <c r="CF1002">
        <v>4000000</v>
      </c>
      <c r="CG1002">
        <v>12698</v>
      </c>
      <c r="CI1002" s="8" t="s">
        <v>112</v>
      </c>
      <c r="CJ1002" s="8" t="s">
        <v>112</v>
      </c>
      <c r="CK1002">
        <v>129877.7</v>
      </c>
      <c r="CL1002">
        <v>8889739</v>
      </c>
      <c r="CM1002">
        <v>0</v>
      </c>
      <c r="CN1002">
        <v>1</v>
      </c>
      <c r="CO1002">
        <v>9234786.4199999906</v>
      </c>
      <c r="CP1002">
        <v>143616.97</v>
      </c>
      <c r="CQ1002" s="8" t="s">
        <v>145</v>
      </c>
      <c r="CR1002">
        <v>11.3102</v>
      </c>
      <c r="CS1002">
        <v>1053</v>
      </c>
      <c r="CT1002" t="s">
        <v>2149</v>
      </c>
      <c r="CV1002" t="s">
        <v>2150</v>
      </c>
      <c r="CW1002">
        <v>0</v>
      </c>
    </row>
    <row r="1003" spans="1:101" x14ac:dyDescent="0.2">
      <c r="A1003" s="8" t="s">
        <v>106</v>
      </c>
      <c r="B1003" s="46">
        <v>45133</v>
      </c>
      <c r="C1003" s="8" t="s">
        <v>2715</v>
      </c>
      <c r="D1003" s="8" t="s">
        <v>583</v>
      </c>
      <c r="E1003" s="8" t="s">
        <v>2716</v>
      </c>
      <c r="F1003" t="s">
        <v>110</v>
      </c>
      <c r="G1003" s="8" t="s">
        <v>111</v>
      </c>
      <c r="H1003" s="8" t="s">
        <v>2717</v>
      </c>
      <c r="I1003" s="8" t="s">
        <v>112</v>
      </c>
      <c r="J1003" s="8" t="s">
        <v>112</v>
      </c>
      <c r="K1003" s="8" t="s">
        <v>2718</v>
      </c>
      <c r="L1003" s="8" t="s">
        <v>2719</v>
      </c>
      <c r="M1003" s="8" t="s">
        <v>112</v>
      </c>
      <c r="N1003" s="8" t="s">
        <v>112</v>
      </c>
      <c r="O1003">
        <v>29</v>
      </c>
      <c r="P1003">
        <v>0</v>
      </c>
      <c r="Q1003">
        <v>85</v>
      </c>
      <c r="R1003">
        <v>175</v>
      </c>
      <c r="S1003" s="8" t="s">
        <v>2720</v>
      </c>
      <c r="T1003" s="8" t="s">
        <v>2721</v>
      </c>
      <c r="U1003" s="8" t="s">
        <v>2722</v>
      </c>
      <c r="V1003" s="8" t="s">
        <v>2723</v>
      </c>
      <c r="W1003" s="8" t="s">
        <v>119</v>
      </c>
      <c r="X1003" s="8" t="s">
        <v>2724</v>
      </c>
      <c r="Y1003" s="8" t="s">
        <v>2720</v>
      </c>
      <c r="Z1003" s="8" t="s">
        <v>2721</v>
      </c>
      <c r="AA1003" s="8" t="s">
        <v>2722</v>
      </c>
      <c r="AB1003" s="8" t="s">
        <v>2723</v>
      </c>
      <c r="AC1003" s="8" t="s">
        <v>119</v>
      </c>
      <c r="AD1003" s="8" t="s">
        <v>2724</v>
      </c>
      <c r="AE1003" s="8" t="s">
        <v>2185</v>
      </c>
      <c r="AF1003" s="8" t="s">
        <v>2186</v>
      </c>
      <c r="AG1003">
        <v>3504788.61</v>
      </c>
      <c r="AH1003" s="8" t="s">
        <v>2720</v>
      </c>
      <c r="AI1003" s="8" t="s">
        <v>2721</v>
      </c>
      <c r="AJ1003" s="8" t="s">
        <v>2722</v>
      </c>
      <c r="AK1003" s="8" t="s">
        <v>2723</v>
      </c>
      <c r="AL1003" s="8" t="s">
        <v>119</v>
      </c>
      <c r="AM1003" s="8" t="s">
        <v>2724</v>
      </c>
      <c r="AN1003" s="8" t="s">
        <v>2725</v>
      </c>
      <c r="AO1003" s="8" t="s">
        <v>2726</v>
      </c>
      <c r="AP1003" s="8" t="s">
        <v>2143</v>
      </c>
      <c r="AQ1003" s="8" t="s">
        <v>124</v>
      </c>
      <c r="AR1003" s="8" t="s">
        <v>125</v>
      </c>
      <c r="AS1003">
        <v>2</v>
      </c>
      <c r="AT1003" s="8" t="s">
        <v>126</v>
      </c>
      <c r="AU1003" s="8" t="s">
        <v>2674</v>
      </c>
      <c r="AV1003" s="8" t="s">
        <v>2401</v>
      </c>
      <c r="AW1003">
        <v>1</v>
      </c>
      <c r="AX1003" s="8" t="s">
        <v>129</v>
      </c>
      <c r="AY1003">
        <v>51204.38</v>
      </c>
      <c r="AZ1003">
        <v>3504786</v>
      </c>
      <c r="BA1003">
        <v>54505.55</v>
      </c>
      <c r="BB1003">
        <v>68.447000000000003</v>
      </c>
      <c r="BC1003" s="8" t="s">
        <v>130</v>
      </c>
      <c r="BD1003" s="8" t="s">
        <v>112</v>
      </c>
      <c r="BE1003" s="8" t="s">
        <v>2727</v>
      </c>
      <c r="BF1003" s="8" t="s">
        <v>133</v>
      </c>
      <c r="BG1003" s="8" t="s">
        <v>134</v>
      </c>
      <c r="BH1003" s="8" t="s">
        <v>112</v>
      </c>
      <c r="BI1003" s="8" t="s">
        <v>112</v>
      </c>
      <c r="BJ1003" s="8" t="s">
        <v>112</v>
      </c>
      <c r="BK1003" s="8" t="s">
        <v>2728</v>
      </c>
      <c r="BL1003" s="8" t="s">
        <v>2729</v>
      </c>
      <c r="BM1003" s="8" t="s">
        <v>2730</v>
      </c>
      <c r="BN1003" s="8" t="s">
        <v>2731</v>
      </c>
      <c r="BO1003">
        <v>15</v>
      </c>
      <c r="BP1003" s="8" t="s">
        <v>2732</v>
      </c>
      <c r="BR1003" s="8" t="s">
        <v>2733</v>
      </c>
      <c r="BS1003">
        <v>1</v>
      </c>
      <c r="BT1003">
        <v>0</v>
      </c>
      <c r="BU1003">
        <v>1</v>
      </c>
      <c r="BV1003" t="s">
        <v>2147</v>
      </c>
      <c r="BW1003">
        <v>0</v>
      </c>
      <c r="BY1003" s="8" t="s">
        <v>2734</v>
      </c>
      <c r="BZ1003" s="8" t="s">
        <v>2148</v>
      </c>
      <c r="CA1003" s="8" t="s">
        <v>112</v>
      </c>
      <c r="CB1003" s="8" t="s">
        <v>112</v>
      </c>
      <c r="CC1003" s="8" t="s">
        <v>2142</v>
      </c>
      <c r="CD1003">
        <v>70</v>
      </c>
      <c r="CE1003" t="s">
        <v>144</v>
      </c>
      <c r="CF1003">
        <v>4000000</v>
      </c>
      <c r="CG1003">
        <v>63.7</v>
      </c>
      <c r="CH1003">
        <v>0</v>
      </c>
      <c r="CI1003" s="8" t="s">
        <v>112</v>
      </c>
      <c r="CJ1003" s="8" t="s">
        <v>112</v>
      </c>
      <c r="CK1003">
        <v>371.02</v>
      </c>
      <c r="CL1003">
        <v>25395</v>
      </c>
      <c r="CM1003">
        <v>0</v>
      </c>
      <c r="CN1003">
        <v>1</v>
      </c>
      <c r="CO1003">
        <v>25395.23</v>
      </c>
      <c r="CP1003">
        <v>394.94</v>
      </c>
      <c r="CQ1003" s="8" t="s">
        <v>145</v>
      </c>
      <c r="CR1003">
        <v>6.2</v>
      </c>
      <c r="CV1003" t="s">
        <v>2735</v>
      </c>
      <c r="CW1003">
        <v>1163</v>
      </c>
    </row>
    <row r="1004" spans="1:101" x14ac:dyDescent="0.2">
      <c r="A1004" s="8" t="s">
        <v>106</v>
      </c>
      <c r="B1004" s="46">
        <v>45085</v>
      </c>
      <c r="C1004" s="8" t="s">
        <v>3242</v>
      </c>
      <c r="D1004" s="8" t="s">
        <v>583</v>
      </c>
      <c r="E1004" s="8" t="s">
        <v>3243</v>
      </c>
      <c r="F1004" t="s">
        <v>110</v>
      </c>
      <c r="G1004" s="8" t="s">
        <v>111</v>
      </c>
      <c r="H1004" s="8" t="s">
        <v>112</v>
      </c>
      <c r="I1004" s="8" t="s">
        <v>112</v>
      </c>
      <c r="J1004" s="8" t="s">
        <v>112</v>
      </c>
      <c r="K1004" s="8" t="s">
        <v>2578</v>
      </c>
      <c r="L1004" s="8" t="s">
        <v>2579</v>
      </c>
      <c r="M1004" s="8" t="s">
        <v>112</v>
      </c>
      <c r="N1004" s="8" t="s">
        <v>112</v>
      </c>
      <c r="O1004">
        <v>1</v>
      </c>
      <c r="P1004">
        <v>0</v>
      </c>
      <c r="Q1004">
        <v>1</v>
      </c>
      <c r="R1004">
        <v>13</v>
      </c>
      <c r="S1004" s="8" t="s">
        <v>2580</v>
      </c>
      <c r="T1004" s="8" t="s">
        <v>2581</v>
      </c>
      <c r="U1004" s="8" t="s">
        <v>2582</v>
      </c>
      <c r="V1004" s="8" t="s">
        <v>2583</v>
      </c>
      <c r="W1004" s="8" t="s">
        <v>2552</v>
      </c>
      <c r="X1004" s="8" t="s">
        <v>2584</v>
      </c>
      <c r="Y1004" s="8" t="s">
        <v>2580</v>
      </c>
      <c r="Z1004" s="8" t="s">
        <v>2581</v>
      </c>
      <c r="AA1004" s="8" t="s">
        <v>2582</v>
      </c>
      <c r="AB1004" s="8" t="s">
        <v>2583</v>
      </c>
      <c r="AC1004" s="8" t="s">
        <v>2552</v>
      </c>
      <c r="AD1004" s="8" t="s">
        <v>2584</v>
      </c>
      <c r="AE1004" s="8" t="s">
        <v>2163</v>
      </c>
      <c r="AF1004" s="8" t="s">
        <v>2164</v>
      </c>
      <c r="AG1004">
        <v>3053429.35</v>
      </c>
      <c r="AH1004" s="8" t="s">
        <v>2580</v>
      </c>
      <c r="AI1004" s="8" t="s">
        <v>2581</v>
      </c>
      <c r="AJ1004" s="8" t="s">
        <v>2582</v>
      </c>
      <c r="AK1004" s="8" t="s">
        <v>2583</v>
      </c>
      <c r="AL1004" s="8" t="s">
        <v>2552</v>
      </c>
      <c r="AM1004" s="8" t="s">
        <v>2584</v>
      </c>
      <c r="AN1004" s="8" t="s">
        <v>2163</v>
      </c>
      <c r="AO1004" s="8" t="s">
        <v>2164</v>
      </c>
      <c r="AP1004" s="8" t="s">
        <v>2164</v>
      </c>
      <c r="AQ1004" s="8" t="s">
        <v>124</v>
      </c>
      <c r="AR1004" s="8" t="s">
        <v>125</v>
      </c>
      <c r="AS1004">
        <v>2</v>
      </c>
      <c r="AT1004" s="8" t="s">
        <v>126</v>
      </c>
      <c r="AU1004" s="8" t="s">
        <v>155</v>
      </c>
      <c r="AV1004" s="8" t="s">
        <v>2609</v>
      </c>
      <c r="AW1004">
        <v>1</v>
      </c>
      <c r="AX1004" s="8" t="s">
        <v>129</v>
      </c>
      <c r="AY1004">
        <v>39171</v>
      </c>
      <c r="AZ1004">
        <v>2641998</v>
      </c>
      <c r="BA1004">
        <v>48192.51</v>
      </c>
      <c r="BB1004">
        <v>67.447800000000001</v>
      </c>
      <c r="BC1004" s="8" t="s">
        <v>130</v>
      </c>
      <c r="BD1004" s="8" t="s">
        <v>131</v>
      </c>
      <c r="BE1004" s="8" t="s">
        <v>2586</v>
      </c>
      <c r="BF1004" s="8" t="s">
        <v>133</v>
      </c>
      <c r="BG1004" s="8" t="s">
        <v>134</v>
      </c>
      <c r="BH1004" s="8" t="s">
        <v>112</v>
      </c>
      <c r="BI1004" s="8" t="s">
        <v>112</v>
      </c>
      <c r="BJ1004" s="8" t="s">
        <v>112</v>
      </c>
      <c r="BK1004" s="8" t="s">
        <v>2587</v>
      </c>
      <c r="BL1004" s="8" t="s">
        <v>2588</v>
      </c>
      <c r="BM1004" s="8" t="s">
        <v>2589</v>
      </c>
      <c r="BN1004" s="8" t="s">
        <v>2590</v>
      </c>
      <c r="BO1004">
        <v>1</v>
      </c>
      <c r="BP1004" s="8" t="s">
        <v>2591</v>
      </c>
      <c r="BR1004" s="8" t="s">
        <v>2578</v>
      </c>
      <c r="BS1004">
        <v>13</v>
      </c>
      <c r="BT1004">
        <v>0</v>
      </c>
      <c r="BU1004">
        <v>10</v>
      </c>
      <c r="BV1004" t="s">
        <v>2147</v>
      </c>
      <c r="BW1004">
        <v>0</v>
      </c>
      <c r="BY1004" s="8" t="s">
        <v>106</v>
      </c>
      <c r="BZ1004" s="8" t="s">
        <v>2148</v>
      </c>
      <c r="CA1004" s="8" t="s">
        <v>112</v>
      </c>
      <c r="CB1004" s="8" t="s">
        <v>112</v>
      </c>
      <c r="CC1004" s="8" t="s">
        <v>2163</v>
      </c>
      <c r="CD1004">
        <v>18226.5</v>
      </c>
      <c r="CE1004" t="s">
        <v>144</v>
      </c>
      <c r="CF1004">
        <v>4000000</v>
      </c>
      <c r="CG1004">
        <v>18021.5</v>
      </c>
      <c r="CH1004">
        <v>0</v>
      </c>
      <c r="CI1004" s="8" t="s">
        <v>112</v>
      </c>
      <c r="CJ1004" s="8" t="s">
        <v>112</v>
      </c>
      <c r="CK1004">
        <v>39171</v>
      </c>
      <c r="CL1004">
        <v>2641998</v>
      </c>
      <c r="CM1004">
        <v>0</v>
      </c>
      <c r="CN1004">
        <v>1</v>
      </c>
      <c r="CO1004">
        <v>3053429.35</v>
      </c>
      <c r="CP1004">
        <v>48192.51</v>
      </c>
      <c r="CQ1004" s="8" t="s">
        <v>145</v>
      </c>
      <c r="CR1004">
        <v>2.6741999999999999</v>
      </c>
      <c r="CS1004">
        <v>1239</v>
      </c>
      <c r="CT1004" t="s">
        <v>2592</v>
      </c>
      <c r="CV1004" t="s">
        <v>2593</v>
      </c>
      <c r="CW1004">
        <v>0</v>
      </c>
    </row>
    <row r="1005" spans="1:101" x14ac:dyDescent="0.2">
      <c r="A1005" t="s">
        <v>106</v>
      </c>
      <c r="B1005" s="46">
        <v>44925</v>
      </c>
      <c r="C1005" t="s">
        <v>582</v>
      </c>
      <c r="D1005" t="s">
        <v>583</v>
      </c>
      <c r="E1005" t="s">
        <v>584</v>
      </c>
      <c r="F1005" t="s">
        <v>110</v>
      </c>
      <c r="G1005" t="s">
        <v>111</v>
      </c>
      <c r="H1005" t="s">
        <v>112</v>
      </c>
      <c r="I1005" t="s">
        <v>112</v>
      </c>
      <c r="J1005" t="s">
        <v>112</v>
      </c>
      <c r="K1005" t="s">
        <v>113</v>
      </c>
      <c r="L1005" t="s">
        <v>585</v>
      </c>
      <c r="M1005" t="s">
        <v>112</v>
      </c>
      <c r="N1005" t="s">
        <v>112</v>
      </c>
      <c r="O1005">
        <v>2</v>
      </c>
      <c r="P1005">
        <v>0</v>
      </c>
      <c r="Q1005">
        <v>2</v>
      </c>
      <c r="R1005">
        <v>33</v>
      </c>
      <c r="S1005" t="s">
        <v>115</v>
      </c>
      <c r="T1005" t="s">
        <v>116</v>
      </c>
      <c r="U1005" t="s">
        <v>117</v>
      </c>
      <c r="V1005" t="s">
        <v>586</v>
      </c>
      <c r="W1005" t="s">
        <v>119</v>
      </c>
      <c r="X1005" t="s">
        <v>120</v>
      </c>
      <c r="Y1005" t="s">
        <v>115</v>
      </c>
      <c r="Z1005" t="s">
        <v>116</v>
      </c>
      <c r="AA1005" t="s">
        <v>117</v>
      </c>
      <c r="AB1005" t="s">
        <v>586</v>
      </c>
      <c r="AC1005" t="s">
        <v>119</v>
      </c>
      <c r="AD1005" t="s">
        <v>120</v>
      </c>
      <c r="AE1005" t="s">
        <v>121</v>
      </c>
      <c r="AF1005" t="s">
        <v>122</v>
      </c>
      <c r="AG1005">
        <v>4220416.9400000004</v>
      </c>
      <c r="AH1005" t="s">
        <v>115</v>
      </c>
      <c r="AI1005" t="s">
        <v>116</v>
      </c>
      <c r="AJ1005" t="s">
        <v>117</v>
      </c>
      <c r="AK1005" t="s">
        <v>586</v>
      </c>
      <c r="AL1005" t="s">
        <v>119</v>
      </c>
      <c r="AM1005" t="s">
        <v>120</v>
      </c>
      <c r="AN1005" t="s">
        <v>121</v>
      </c>
      <c r="AO1005" t="s">
        <v>122</v>
      </c>
      <c r="AP1005" t="s">
        <v>123</v>
      </c>
      <c r="AQ1005" t="s">
        <v>124</v>
      </c>
      <c r="AR1005" t="s">
        <v>125</v>
      </c>
      <c r="AS1005">
        <v>2</v>
      </c>
      <c r="AT1005" t="s">
        <v>126</v>
      </c>
      <c r="AU1005" t="s">
        <v>127</v>
      </c>
      <c r="AV1005" t="s">
        <v>128</v>
      </c>
      <c r="AW1005">
        <v>1</v>
      </c>
      <c r="AX1005" t="s">
        <v>129</v>
      </c>
      <c r="AY1005">
        <v>50696.08</v>
      </c>
      <c r="AZ1005">
        <v>4021999</v>
      </c>
      <c r="BA1005">
        <v>57137.279999999999</v>
      </c>
      <c r="BB1005">
        <v>79.335499999999996</v>
      </c>
      <c r="BC1005" t="s">
        <v>130</v>
      </c>
      <c r="BD1005" t="s">
        <v>131</v>
      </c>
      <c r="BE1005" t="s">
        <v>132</v>
      </c>
      <c r="BF1005" t="s">
        <v>133</v>
      </c>
      <c r="BG1005" t="s">
        <v>167</v>
      </c>
      <c r="BH1005" t="s">
        <v>587</v>
      </c>
      <c r="BI1005" t="s">
        <v>112</v>
      </c>
      <c r="BJ1005" t="s">
        <v>112</v>
      </c>
      <c r="BK1005" t="s">
        <v>588</v>
      </c>
      <c r="BL1005" t="s">
        <v>589</v>
      </c>
      <c r="BM1005" t="s">
        <v>590</v>
      </c>
      <c r="BN1005" t="s">
        <v>591</v>
      </c>
      <c r="BO1005">
        <v>1</v>
      </c>
      <c r="BP1005" t="s">
        <v>592</v>
      </c>
      <c r="BR1005" t="s">
        <v>141</v>
      </c>
      <c r="BS1005">
        <v>18</v>
      </c>
      <c r="BT1005">
        <v>0</v>
      </c>
      <c r="BU1005">
        <v>0</v>
      </c>
      <c r="BW1005">
        <v>0</v>
      </c>
      <c r="BY1005" t="s">
        <v>106</v>
      </c>
      <c r="BZ1005" t="s">
        <v>142</v>
      </c>
      <c r="CA1005" t="s">
        <v>112</v>
      </c>
      <c r="CB1005" t="s">
        <v>112</v>
      </c>
      <c r="CC1005" t="s">
        <v>143</v>
      </c>
      <c r="CD1005">
        <v>6726.4</v>
      </c>
      <c r="CE1005" t="s">
        <v>144</v>
      </c>
      <c r="CF1005">
        <v>4000000</v>
      </c>
      <c r="CG1005">
        <v>6380.4</v>
      </c>
      <c r="CH1005">
        <v>0</v>
      </c>
      <c r="CI1005" t="s">
        <v>112</v>
      </c>
      <c r="CJ1005" t="s">
        <v>112</v>
      </c>
      <c r="CK1005">
        <v>23101.24</v>
      </c>
      <c r="CL1005">
        <v>1832748</v>
      </c>
      <c r="CM1005">
        <v>0</v>
      </c>
      <c r="CN1005">
        <v>1</v>
      </c>
      <c r="CO1005">
        <v>1924082.63</v>
      </c>
      <c r="CP1005">
        <v>26048.81</v>
      </c>
      <c r="CQ1005" t="s">
        <v>145</v>
      </c>
      <c r="CR1005">
        <v>26048.621039999998</v>
      </c>
      <c r="CS1005">
        <v>4.0826000000000002</v>
      </c>
      <c r="CT1005">
        <v>952</v>
      </c>
      <c r="CU1005" t="s">
        <v>593</v>
      </c>
      <c r="CV1005" t="s">
        <v>594</v>
      </c>
      <c r="CW1005">
        <v>1139</v>
      </c>
    </row>
    <row r="1006" spans="1:101" x14ac:dyDescent="0.2">
      <c r="A1006" t="s">
        <v>106</v>
      </c>
      <c r="B1006" s="46">
        <v>44808</v>
      </c>
      <c r="C1006" t="s">
        <v>582</v>
      </c>
      <c r="D1006" t="s">
        <v>583</v>
      </c>
      <c r="E1006" t="s">
        <v>584</v>
      </c>
      <c r="F1006" t="s">
        <v>110</v>
      </c>
      <c r="G1006" t="s">
        <v>111</v>
      </c>
      <c r="H1006" t="s">
        <v>112</v>
      </c>
      <c r="I1006" t="s">
        <v>112</v>
      </c>
      <c r="J1006" t="s">
        <v>112</v>
      </c>
      <c r="K1006" t="s">
        <v>113</v>
      </c>
      <c r="L1006" t="s">
        <v>585</v>
      </c>
      <c r="M1006" t="s">
        <v>112</v>
      </c>
      <c r="N1006" t="s">
        <v>112</v>
      </c>
      <c r="O1006">
        <v>2</v>
      </c>
      <c r="P1006">
        <v>0</v>
      </c>
      <c r="Q1006">
        <v>2</v>
      </c>
      <c r="R1006">
        <v>33</v>
      </c>
      <c r="S1006" t="s">
        <v>115</v>
      </c>
      <c r="T1006" t="s">
        <v>116</v>
      </c>
      <c r="U1006" t="s">
        <v>117</v>
      </c>
      <c r="V1006" t="s">
        <v>586</v>
      </c>
      <c r="W1006" t="s">
        <v>119</v>
      </c>
      <c r="X1006" t="s">
        <v>120</v>
      </c>
      <c r="Y1006" t="s">
        <v>115</v>
      </c>
      <c r="Z1006" t="s">
        <v>116</v>
      </c>
      <c r="AA1006" t="s">
        <v>117</v>
      </c>
      <c r="AB1006" t="s">
        <v>586</v>
      </c>
      <c r="AC1006" t="s">
        <v>119</v>
      </c>
      <c r="AD1006" t="s">
        <v>120</v>
      </c>
      <c r="AE1006" t="s">
        <v>121</v>
      </c>
      <c r="AF1006" t="s">
        <v>122</v>
      </c>
      <c r="AG1006">
        <v>4220416.9400000004</v>
      </c>
      <c r="AH1006" t="s">
        <v>115</v>
      </c>
      <c r="AI1006" t="s">
        <v>116</v>
      </c>
      <c r="AJ1006" t="s">
        <v>117</v>
      </c>
      <c r="AK1006" t="s">
        <v>586</v>
      </c>
      <c r="AL1006" t="s">
        <v>119</v>
      </c>
      <c r="AM1006" t="s">
        <v>120</v>
      </c>
      <c r="AN1006" t="s">
        <v>121</v>
      </c>
      <c r="AO1006" t="s">
        <v>122</v>
      </c>
      <c r="AP1006" t="s">
        <v>123</v>
      </c>
      <c r="AQ1006" t="s">
        <v>124</v>
      </c>
      <c r="AR1006" t="s">
        <v>125</v>
      </c>
      <c r="AS1006">
        <v>2</v>
      </c>
      <c r="AT1006" t="s">
        <v>126</v>
      </c>
      <c r="AU1006" t="s">
        <v>127</v>
      </c>
      <c r="AV1006" t="s">
        <v>128</v>
      </c>
      <c r="AW1006">
        <v>1</v>
      </c>
      <c r="AX1006" t="s">
        <v>129</v>
      </c>
      <c r="AY1006">
        <v>50696.08</v>
      </c>
      <c r="AZ1006">
        <v>4021999</v>
      </c>
      <c r="BA1006">
        <v>57137.279999999999</v>
      </c>
      <c r="BB1006">
        <v>79.335499999999996</v>
      </c>
      <c r="BC1006" t="s">
        <v>130</v>
      </c>
      <c r="BD1006" t="s">
        <v>131</v>
      </c>
      <c r="BE1006" t="s">
        <v>132</v>
      </c>
      <c r="BF1006" t="s">
        <v>133</v>
      </c>
      <c r="BG1006" t="s">
        <v>167</v>
      </c>
      <c r="BH1006" t="s">
        <v>587</v>
      </c>
      <c r="BI1006" t="s">
        <v>112</v>
      </c>
      <c r="BJ1006" t="s">
        <v>112</v>
      </c>
      <c r="BK1006" t="s">
        <v>588</v>
      </c>
      <c r="BL1006" t="s">
        <v>589</v>
      </c>
      <c r="BM1006" t="s">
        <v>590</v>
      </c>
      <c r="BN1006" t="s">
        <v>591</v>
      </c>
      <c r="BO1006">
        <v>2</v>
      </c>
      <c r="BP1006" t="s">
        <v>595</v>
      </c>
      <c r="BR1006" t="s">
        <v>141</v>
      </c>
      <c r="BS1006">
        <v>15</v>
      </c>
      <c r="BT1006">
        <v>0</v>
      </c>
      <c r="BU1006">
        <v>0</v>
      </c>
      <c r="BW1006">
        <v>0</v>
      </c>
      <c r="BY1006" t="s">
        <v>596</v>
      </c>
      <c r="BZ1006" t="s">
        <v>597</v>
      </c>
      <c r="CA1006" t="s">
        <v>112</v>
      </c>
      <c r="CB1006" t="s">
        <v>112</v>
      </c>
      <c r="CC1006" t="s">
        <v>143</v>
      </c>
      <c r="CD1006">
        <v>7886.24</v>
      </c>
      <c r="CE1006" t="s">
        <v>144</v>
      </c>
      <c r="CF1006">
        <v>4000000</v>
      </c>
      <c r="CG1006">
        <v>7516.4</v>
      </c>
      <c r="CH1006">
        <v>0</v>
      </c>
      <c r="CI1006" t="s">
        <v>112</v>
      </c>
      <c r="CJ1006" t="s">
        <v>112</v>
      </c>
      <c r="CK1006">
        <v>27594.84</v>
      </c>
      <c r="CL1006">
        <v>2189250</v>
      </c>
      <c r="CM1006">
        <v>0</v>
      </c>
      <c r="CN1006">
        <v>1</v>
      </c>
      <c r="CO1006">
        <v>2296334.31</v>
      </c>
      <c r="CP1006">
        <v>31088.47</v>
      </c>
      <c r="CQ1006" t="s">
        <v>145</v>
      </c>
      <c r="CR1006">
        <v>31088.582039999998</v>
      </c>
      <c r="CS1006">
        <v>4.1360999999999999</v>
      </c>
      <c r="CT1006">
        <v>952</v>
      </c>
      <c r="CU1006" t="s">
        <v>593</v>
      </c>
      <c r="CV1006" t="s">
        <v>594</v>
      </c>
      <c r="CW1006">
        <v>1139</v>
      </c>
    </row>
    <row r="1007" spans="1:101" x14ac:dyDescent="0.2">
      <c r="A1007" t="s">
        <v>106</v>
      </c>
      <c r="B1007" s="46">
        <v>44928</v>
      </c>
      <c r="C1007" t="s">
        <v>1041</v>
      </c>
      <c r="D1007" t="s">
        <v>583</v>
      </c>
      <c r="E1007" t="s">
        <v>1042</v>
      </c>
      <c r="F1007" t="s">
        <v>110</v>
      </c>
      <c r="G1007" t="s">
        <v>111</v>
      </c>
      <c r="H1007" t="s">
        <v>112</v>
      </c>
      <c r="I1007" t="s">
        <v>112</v>
      </c>
      <c r="J1007" t="s">
        <v>112</v>
      </c>
      <c r="K1007" t="s">
        <v>113</v>
      </c>
      <c r="L1007" t="s">
        <v>1043</v>
      </c>
      <c r="M1007" t="s">
        <v>112</v>
      </c>
      <c r="N1007" t="s">
        <v>112</v>
      </c>
      <c r="O1007">
        <v>2</v>
      </c>
      <c r="P1007">
        <v>0</v>
      </c>
      <c r="Q1007">
        <v>2</v>
      </c>
      <c r="R1007">
        <v>29</v>
      </c>
      <c r="S1007" t="s">
        <v>115</v>
      </c>
      <c r="T1007" t="s">
        <v>116</v>
      </c>
      <c r="U1007" t="s">
        <v>117</v>
      </c>
      <c r="V1007" t="s">
        <v>586</v>
      </c>
      <c r="W1007" t="s">
        <v>119</v>
      </c>
      <c r="X1007" t="s">
        <v>120</v>
      </c>
      <c r="Y1007" t="s">
        <v>115</v>
      </c>
      <c r="Z1007" t="s">
        <v>116</v>
      </c>
      <c r="AA1007" t="s">
        <v>117</v>
      </c>
      <c r="AB1007" t="s">
        <v>586</v>
      </c>
      <c r="AC1007" t="s">
        <v>119</v>
      </c>
      <c r="AD1007" t="s">
        <v>120</v>
      </c>
      <c r="AE1007" t="s">
        <v>121</v>
      </c>
      <c r="AF1007" t="s">
        <v>122</v>
      </c>
      <c r="AG1007">
        <v>4183561.02</v>
      </c>
      <c r="AH1007" t="s">
        <v>115</v>
      </c>
      <c r="AI1007" t="s">
        <v>116</v>
      </c>
      <c r="AJ1007" t="s">
        <v>117</v>
      </c>
      <c r="AK1007" t="s">
        <v>586</v>
      </c>
      <c r="AL1007" t="s">
        <v>119</v>
      </c>
      <c r="AM1007" t="s">
        <v>120</v>
      </c>
      <c r="AN1007" t="s">
        <v>121</v>
      </c>
      <c r="AO1007" t="s">
        <v>122</v>
      </c>
      <c r="AP1007" t="s">
        <v>123</v>
      </c>
      <c r="AQ1007" t="s">
        <v>124</v>
      </c>
      <c r="AR1007" t="s">
        <v>125</v>
      </c>
      <c r="AS1007">
        <v>2</v>
      </c>
      <c r="AT1007" t="s">
        <v>126</v>
      </c>
      <c r="AU1007" t="s">
        <v>127</v>
      </c>
      <c r="AV1007" t="s">
        <v>128</v>
      </c>
      <c r="AW1007">
        <v>1</v>
      </c>
      <c r="AX1007" t="s">
        <v>129</v>
      </c>
      <c r="AY1007">
        <v>44131.39</v>
      </c>
      <c r="AZ1007">
        <v>3959782</v>
      </c>
      <c r="BA1007">
        <v>50907.35</v>
      </c>
      <c r="BB1007">
        <v>89.727099999999993</v>
      </c>
      <c r="BC1007" t="s">
        <v>130</v>
      </c>
      <c r="BD1007" t="s">
        <v>131</v>
      </c>
      <c r="BE1007" t="s">
        <v>132</v>
      </c>
      <c r="BF1007" t="s">
        <v>133</v>
      </c>
      <c r="BG1007" t="s">
        <v>134</v>
      </c>
      <c r="BH1007" t="s">
        <v>112</v>
      </c>
      <c r="BI1007" t="s">
        <v>900</v>
      </c>
      <c r="BJ1007" t="s">
        <v>112</v>
      </c>
      <c r="BK1007" t="s">
        <v>588</v>
      </c>
      <c r="BL1007" t="s">
        <v>901</v>
      </c>
      <c r="BM1007" t="s">
        <v>902</v>
      </c>
      <c r="BN1007" t="s">
        <v>591</v>
      </c>
      <c r="BO1007">
        <v>1</v>
      </c>
      <c r="BP1007" t="s">
        <v>903</v>
      </c>
      <c r="BR1007" t="s">
        <v>141</v>
      </c>
      <c r="BS1007">
        <v>29</v>
      </c>
      <c r="BT1007">
        <v>0</v>
      </c>
      <c r="BU1007">
        <v>0</v>
      </c>
      <c r="BW1007">
        <v>0</v>
      </c>
      <c r="BY1007" t="s">
        <v>106</v>
      </c>
      <c r="BZ1007" t="s">
        <v>142</v>
      </c>
      <c r="CA1007" t="s">
        <v>112</v>
      </c>
      <c r="CB1007" t="s">
        <v>112</v>
      </c>
      <c r="CC1007" t="s">
        <v>143</v>
      </c>
      <c r="CD1007">
        <v>7891.6</v>
      </c>
      <c r="CE1007" t="s">
        <v>144</v>
      </c>
      <c r="CF1007">
        <v>4000000</v>
      </c>
      <c r="CG1007">
        <v>7362.6</v>
      </c>
      <c r="CH1007">
        <v>0</v>
      </c>
      <c r="CI1007" t="s">
        <v>112</v>
      </c>
      <c r="CJ1007" t="s">
        <v>112</v>
      </c>
      <c r="CK1007">
        <v>27168.19</v>
      </c>
      <c r="CL1007">
        <v>2437723</v>
      </c>
      <c r="CM1007">
        <v>0</v>
      </c>
      <c r="CN1007">
        <v>1</v>
      </c>
      <c r="CO1007">
        <v>2571635.21</v>
      </c>
      <c r="CP1007">
        <v>31292.75</v>
      </c>
      <c r="CQ1007" t="s">
        <v>145</v>
      </c>
      <c r="CR1007">
        <v>31292.522520000006</v>
      </c>
      <c r="CS1007">
        <v>4.2502000000000004</v>
      </c>
      <c r="CT1007">
        <v>952</v>
      </c>
      <c r="CU1007" t="s">
        <v>593</v>
      </c>
      <c r="CV1007" t="s">
        <v>792</v>
      </c>
      <c r="CW1007">
        <v>1103</v>
      </c>
    </row>
    <row r="1008" spans="1:101" x14ac:dyDescent="0.2">
      <c r="A1008" t="s">
        <v>106</v>
      </c>
      <c r="B1008" s="46">
        <v>45150</v>
      </c>
      <c r="C1008" t="s">
        <v>1041</v>
      </c>
      <c r="D1008" t="s">
        <v>583</v>
      </c>
      <c r="E1008" t="s">
        <v>1042</v>
      </c>
      <c r="F1008" t="s">
        <v>110</v>
      </c>
      <c r="G1008" t="s">
        <v>111</v>
      </c>
      <c r="H1008" t="s">
        <v>112</v>
      </c>
      <c r="I1008" t="s">
        <v>112</v>
      </c>
      <c r="J1008" t="s">
        <v>112</v>
      </c>
      <c r="K1008" t="s">
        <v>113</v>
      </c>
      <c r="L1008" t="s">
        <v>1043</v>
      </c>
      <c r="M1008" t="s">
        <v>112</v>
      </c>
      <c r="N1008" t="s">
        <v>112</v>
      </c>
      <c r="O1008">
        <v>2</v>
      </c>
      <c r="P1008">
        <v>0</v>
      </c>
      <c r="Q1008">
        <v>2</v>
      </c>
      <c r="R1008">
        <v>29</v>
      </c>
      <c r="S1008" t="s">
        <v>115</v>
      </c>
      <c r="T1008" t="s">
        <v>116</v>
      </c>
      <c r="U1008" t="s">
        <v>117</v>
      </c>
      <c r="V1008" t="s">
        <v>586</v>
      </c>
      <c r="W1008" t="s">
        <v>119</v>
      </c>
      <c r="X1008" t="s">
        <v>120</v>
      </c>
      <c r="Y1008" t="s">
        <v>115</v>
      </c>
      <c r="Z1008" t="s">
        <v>116</v>
      </c>
      <c r="AA1008" t="s">
        <v>117</v>
      </c>
      <c r="AB1008" t="s">
        <v>586</v>
      </c>
      <c r="AC1008" t="s">
        <v>119</v>
      </c>
      <c r="AD1008" t="s">
        <v>120</v>
      </c>
      <c r="AE1008" t="s">
        <v>121</v>
      </c>
      <c r="AF1008" t="s">
        <v>122</v>
      </c>
      <c r="AG1008">
        <v>4183561.02</v>
      </c>
      <c r="AH1008" t="s">
        <v>115</v>
      </c>
      <c r="AI1008" t="s">
        <v>116</v>
      </c>
      <c r="AJ1008" t="s">
        <v>117</v>
      </c>
      <c r="AK1008" t="s">
        <v>586</v>
      </c>
      <c r="AL1008" t="s">
        <v>119</v>
      </c>
      <c r="AM1008" t="s">
        <v>120</v>
      </c>
      <c r="AN1008" t="s">
        <v>121</v>
      </c>
      <c r="AO1008" t="s">
        <v>122</v>
      </c>
      <c r="AP1008" t="s">
        <v>123</v>
      </c>
      <c r="AQ1008" t="s">
        <v>124</v>
      </c>
      <c r="AR1008" t="s">
        <v>125</v>
      </c>
      <c r="AS1008">
        <v>2</v>
      </c>
      <c r="AT1008" t="s">
        <v>126</v>
      </c>
      <c r="AU1008" t="s">
        <v>127</v>
      </c>
      <c r="AV1008" t="s">
        <v>128</v>
      </c>
      <c r="AW1008">
        <v>1</v>
      </c>
      <c r="AX1008" t="s">
        <v>129</v>
      </c>
      <c r="AY1008">
        <v>44131.39</v>
      </c>
      <c r="AZ1008">
        <v>3959782</v>
      </c>
      <c r="BA1008">
        <v>50907.35</v>
      </c>
      <c r="BB1008">
        <v>89.727099999999993</v>
      </c>
      <c r="BC1008" t="s">
        <v>130</v>
      </c>
      <c r="BD1008" t="s">
        <v>131</v>
      </c>
      <c r="BE1008" t="s">
        <v>132</v>
      </c>
      <c r="BF1008" t="s">
        <v>133</v>
      </c>
      <c r="BG1008" t="s">
        <v>134</v>
      </c>
      <c r="BH1008" t="s">
        <v>112</v>
      </c>
      <c r="BI1008" t="s">
        <v>900</v>
      </c>
      <c r="BJ1008" t="s">
        <v>112</v>
      </c>
      <c r="BK1008" t="s">
        <v>588</v>
      </c>
      <c r="BL1008" t="s">
        <v>901</v>
      </c>
      <c r="BM1008" t="s">
        <v>902</v>
      </c>
      <c r="BN1008" t="s">
        <v>591</v>
      </c>
      <c r="BO1008">
        <v>2</v>
      </c>
      <c r="BP1008" t="s">
        <v>904</v>
      </c>
      <c r="BR1008" t="s">
        <v>141</v>
      </c>
      <c r="BS1008">
        <v>29</v>
      </c>
      <c r="BT1008">
        <v>0</v>
      </c>
      <c r="BU1008">
        <v>0</v>
      </c>
      <c r="BW1008">
        <v>0</v>
      </c>
      <c r="BY1008" t="s">
        <v>596</v>
      </c>
      <c r="BZ1008" t="s">
        <v>597</v>
      </c>
      <c r="CA1008" t="s">
        <v>112</v>
      </c>
      <c r="CB1008" t="s">
        <v>112</v>
      </c>
      <c r="CC1008" t="s">
        <v>143</v>
      </c>
      <c r="CD1008">
        <v>5296</v>
      </c>
      <c r="CE1008" t="s">
        <v>144</v>
      </c>
      <c r="CF1008">
        <v>4000000</v>
      </c>
      <c r="CG1008">
        <v>4966.3999999999996</v>
      </c>
      <c r="CH1008">
        <v>0</v>
      </c>
      <c r="CI1008" t="s">
        <v>112</v>
      </c>
      <c r="CJ1008" t="s">
        <v>112</v>
      </c>
      <c r="CK1008">
        <v>16963.2</v>
      </c>
      <c r="CL1008">
        <v>1522059</v>
      </c>
      <c r="CM1008">
        <v>0</v>
      </c>
      <c r="CN1008">
        <v>1</v>
      </c>
      <c r="CO1008">
        <v>1611925.81</v>
      </c>
      <c r="CP1008">
        <v>19614.599999999999</v>
      </c>
      <c r="CQ1008" t="s">
        <v>145</v>
      </c>
      <c r="CR1008">
        <v>19614.7968</v>
      </c>
      <c r="CS1008">
        <v>3.9495</v>
      </c>
      <c r="CT1008">
        <v>952</v>
      </c>
      <c r="CU1008" t="s">
        <v>593</v>
      </c>
      <c r="CV1008" t="s">
        <v>792</v>
      </c>
      <c r="CW1008">
        <v>1103</v>
      </c>
    </row>
    <row r="1009" spans="1:101" x14ac:dyDescent="0.2">
      <c r="A1009" t="s">
        <v>106</v>
      </c>
      <c r="B1009" s="46">
        <v>44975</v>
      </c>
      <c r="C1009" t="s">
        <v>818</v>
      </c>
      <c r="D1009" t="s">
        <v>583</v>
      </c>
      <c r="E1009" t="s">
        <v>819</v>
      </c>
      <c r="F1009" t="s">
        <v>110</v>
      </c>
      <c r="G1009" t="s">
        <v>111</v>
      </c>
      <c r="H1009" t="s">
        <v>112</v>
      </c>
      <c r="I1009" t="s">
        <v>112</v>
      </c>
      <c r="J1009" t="s">
        <v>112</v>
      </c>
      <c r="K1009" t="s">
        <v>113</v>
      </c>
      <c r="L1009" t="s">
        <v>820</v>
      </c>
      <c r="M1009" t="s">
        <v>112</v>
      </c>
      <c r="N1009" t="s">
        <v>112</v>
      </c>
      <c r="O1009">
        <v>2</v>
      </c>
      <c r="P1009">
        <v>0</v>
      </c>
      <c r="Q1009">
        <v>2</v>
      </c>
      <c r="R1009">
        <v>33</v>
      </c>
      <c r="S1009" t="s">
        <v>115</v>
      </c>
      <c r="T1009" t="s">
        <v>116</v>
      </c>
      <c r="U1009" t="s">
        <v>117</v>
      </c>
      <c r="V1009" t="s">
        <v>586</v>
      </c>
      <c r="W1009" t="s">
        <v>119</v>
      </c>
      <c r="X1009" t="s">
        <v>120</v>
      </c>
      <c r="Y1009" t="s">
        <v>115</v>
      </c>
      <c r="Z1009" t="s">
        <v>116</v>
      </c>
      <c r="AA1009" t="s">
        <v>117</v>
      </c>
      <c r="AB1009" t="s">
        <v>586</v>
      </c>
      <c r="AC1009" t="s">
        <v>119</v>
      </c>
      <c r="AD1009" t="s">
        <v>120</v>
      </c>
      <c r="AE1009" t="s">
        <v>121</v>
      </c>
      <c r="AF1009" t="s">
        <v>122</v>
      </c>
      <c r="AG1009">
        <v>4147169.85</v>
      </c>
      <c r="AH1009" t="s">
        <v>115</v>
      </c>
      <c r="AI1009" t="s">
        <v>116</v>
      </c>
      <c r="AJ1009" t="s">
        <v>117</v>
      </c>
      <c r="AK1009" t="s">
        <v>586</v>
      </c>
      <c r="AL1009" t="s">
        <v>119</v>
      </c>
      <c r="AM1009" t="s">
        <v>120</v>
      </c>
      <c r="AN1009" t="s">
        <v>121</v>
      </c>
      <c r="AO1009" t="s">
        <v>122</v>
      </c>
      <c r="AP1009" t="s">
        <v>123</v>
      </c>
      <c r="AQ1009" t="s">
        <v>124</v>
      </c>
      <c r="AR1009" t="s">
        <v>125</v>
      </c>
      <c r="AS1009">
        <v>2</v>
      </c>
      <c r="AT1009" t="s">
        <v>126</v>
      </c>
      <c r="AU1009" t="s">
        <v>127</v>
      </c>
      <c r="AV1009" t="s">
        <v>128</v>
      </c>
      <c r="AW1009">
        <v>1</v>
      </c>
      <c r="AX1009" t="s">
        <v>129</v>
      </c>
      <c r="AY1009">
        <v>49431.25</v>
      </c>
      <c r="AZ1009">
        <v>3956818</v>
      </c>
      <c r="BA1009">
        <v>54959.1</v>
      </c>
      <c r="BB1009">
        <v>80.046899999999994</v>
      </c>
      <c r="BC1009" t="s">
        <v>130</v>
      </c>
      <c r="BD1009" t="s">
        <v>131</v>
      </c>
      <c r="BE1009" t="s">
        <v>132</v>
      </c>
      <c r="BF1009" t="s">
        <v>133</v>
      </c>
      <c r="BG1009" t="s">
        <v>134</v>
      </c>
      <c r="BH1009" t="s">
        <v>112</v>
      </c>
      <c r="BI1009" t="s">
        <v>587</v>
      </c>
      <c r="BJ1009" t="s">
        <v>112</v>
      </c>
      <c r="BK1009" t="s">
        <v>588</v>
      </c>
      <c r="BL1009" t="s">
        <v>589</v>
      </c>
      <c r="BM1009" t="s">
        <v>590</v>
      </c>
      <c r="BN1009" t="s">
        <v>591</v>
      </c>
      <c r="BO1009">
        <v>1</v>
      </c>
      <c r="BP1009" t="s">
        <v>821</v>
      </c>
      <c r="BR1009" t="s">
        <v>141</v>
      </c>
      <c r="BS1009">
        <v>33</v>
      </c>
      <c r="BT1009">
        <v>0</v>
      </c>
      <c r="BU1009">
        <v>0</v>
      </c>
      <c r="BW1009">
        <v>0</v>
      </c>
      <c r="BY1009" t="s">
        <v>106</v>
      </c>
      <c r="BZ1009" t="s">
        <v>597</v>
      </c>
      <c r="CA1009" t="s">
        <v>112</v>
      </c>
      <c r="CB1009" t="s">
        <v>112</v>
      </c>
      <c r="CC1009" t="s">
        <v>143</v>
      </c>
      <c r="CD1009">
        <v>10376.16</v>
      </c>
      <c r="CE1009" t="s">
        <v>144</v>
      </c>
      <c r="CF1009">
        <v>4000000</v>
      </c>
      <c r="CG1009">
        <v>9868.4</v>
      </c>
      <c r="CH1009">
        <v>0</v>
      </c>
      <c r="CI1009" t="s">
        <v>112</v>
      </c>
      <c r="CJ1009" t="s">
        <v>112</v>
      </c>
      <c r="CK1009">
        <v>34466.699999999997</v>
      </c>
      <c r="CL1009">
        <v>2758952</v>
      </c>
      <c r="CM1009">
        <v>0</v>
      </c>
      <c r="CN1009">
        <v>1</v>
      </c>
      <c r="CO1009">
        <v>2890447.13</v>
      </c>
      <c r="CP1009">
        <v>38304.769999999997</v>
      </c>
      <c r="CQ1009" t="s">
        <v>145</v>
      </c>
      <c r="CR1009">
        <v>38305.18144</v>
      </c>
      <c r="CS1009">
        <v>3.8816000000000002</v>
      </c>
      <c r="CT1009">
        <v>952</v>
      </c>
      <c r="CU1009" t="s">
        <v>593</v>
      </c>
      <c r="CV1009" t="s">
        <v>792</v>
      </c>
      <c r="CW1009">
        <v>0</v>
      </c>
    </row>
    <row r="1010" spans="1:101" x14ac:dyDescent="0.2">
      <c r="A1010" t="s">
        <v>106</v>
      </c>
      <c r="B1010" s="46">
        <v>45142</v>
      </c>
      <c r="C1010" t="s">
        <v>818</v>
      </c>
      <c r="D1010" t="s">
        <v>583</v>
      </c>
      <c r="E1010" t="s">
        <v>819</v>
      </c>
      <c r="F1010" t="s">
        <v>110</v>
      </c>
      <c r="G1010" t="s">
        <v>111</v>
      </c>
      <c r="H1010" t="s">
        <v>112</v>
      </c>
      <c r="I1010" t="s">
        <v>112</v>
      </c>
      <c r="J1010" t="s">
        <v>112</v>
      </c>
      <c r="K1010" t="s">
        <v>113</v>
      </c>
      <c r="L1010" t="s">
        <v>820</v>
      </c>
      <c r="M1010" t="s">
        <v>112</v>
      </c>
      <c r="N1010" t="s">
        <v>112</v>
      </c>
      <c r="O1010">
        <v>2</v>
      </c>
      <c r="P1010">
        <v>0</v>
      </c>
      <c r="Q1010">
        <v>2</v>
      </c>
      <c r="R1010">
        <v>33</v>
      </c>
      <c r="S1010" t="s">
        <v>115</v>
      </c>
      <c r="T1010" t="s">
        <v>116</v>
      </c>
      <c r="U1010" t="s">
        <v>117</v>
      </c>
      <c r="V1010" t="s">
        <v>586</v>
      </c>
      <c r="W1010" t="s">
        <v>119</v>
      </c>
      <c r="X1010" t="s">
        <v>120</v>
      </c>
      <c r="Y1010" t="s">
        <v>115</v>
      </c>
      <c r="Z1010" t="s">
        <v>116</v>
      </c>
      <c r="AA1010" t="s">
        <v>117</v>
      </c>
      <c r="AB1010" t="s">
        <v>586</v>
      </c>
      <c r="AC1010" t="s">
        <v>119</v>
      </c>
      <c r="AD1010" t="s">
        <v>120</v>
      </c>
      <c r="AE1010" t="s">
        <v>121</v>
      </c>
      <c r="AF1010" t="s">
        <v>122</v>
      </c>
      <c r="AG1010">
        <v>4147169.85</v>
      </c>
      <c r="AH1010" t="s">
        <v>115</v>
      </c>
      <c r="AI1010" t="s">
        <v>116</v>
      </c>
      <c r="AJ1010" t="s">
        <v>117</v>
      </c>
      <c r="AK1010" t="s">
        <v>586</v>
      </c>
      <c r="AL1010" t="s">
        <v>119</v>
      </c>
      <c r="AM1010" t="s">
        <v>120</v>
      </c>
      <c r="AN1010" t="s">
        <v>121</v>
      </c>
      <c r="AO1010" t="s">
        <v>122</v>
      </c>
      <c r="AP1010" t="s">
        <v>123</v>
      </c>
      <c r="AQ1010" t="s">
        <v>124</v>
      </c>
      <c r="AR1010" t="s">
        <v>125</v>
      </c>
      <c r="AS1010">
        <v>2</v>
      </c>
      <c r="AT1010" t="s">
        <v>126</v>
      </c>
      <c r="AU1010" t="s">
        <v>127</v>
      </c>
      <c r="AV1010" t="s">
        <v>128</v>
      </c>
      <c r="AW1010">
        <v>1</v>
      </c>
      <c r="AX1010" t="s">
        <v>129</v>
      </c>
      <c r="AY1010">
        <v>49431.25</v>
      </c>
      <c r="AZ1010">
        <v>3956818</v>
      </c>
      <c r="BA1010">
        <v>54959.1</v>
      </c>
      <c r="BB1010">
        <v>80.046899999999994</v>
      </c>
      <c r="BC1010" t="s">
        <v>130</v>
      </c>
      <c r="BD1010" t="s">
        <v>131</v>
      </c>
      <c r="BE1010" t="s">
        <v>132</v>
      </c>
      <c r="BF1010" t="s">
        <v>133</v>
      </c>
      <c r="BG1010" t="s">
        <v>134</v>
      </c>
      <c r="BH1010" t="s">
        <v>112</v>
      </c>
      <c r="BI1010" t="s">
        <v>587</v>
      </c>
      <c r="BJ1010" t="s">
        <v>112</v>
      </c>
      <c r="BK1010" t="s">
        <v>588</v>
      </c>
      <c r="BL1010" t="s">
        <v>589</v>
      </c>
      <c r="BM1010" t="s">
        <v>590</v>
      </c>
      <c r="BN1010" t="s">
        <v>591</v>
      </c>
      <c r="BO1010">
        <v>2</v>
      </c>
      <c r="BP1010" t="s">
        <v>822</v>
      </c>
      <c r="BR1010" t="s">
        <v>141</v>
      </c>
      <c r="BS1010">
        <v>33</v>
      </c>
      <c r="BT1010">
        <v>0</v>
      </c>
      <c r="BU1010">
        <v>0</v>
      </c>
      <c r="BW1010">
        <v>0</v>
      </c>
      <c r="BY1010" t="s">
        <v>596</v>
      </c>
      <c r="BZ1010" t="s">
        <v>142</v>
      </c>
      <c r="CA1010" t="s">
        <v>112</v>
      </c>
      <c r="CB1010" t="s">
        <v>112</v>
      </c>
      <c r="CC1010" t="s">
        <v>143</v>
      </c>
      <c r="CD1010">
        <v>4644.3999999999996</v>
      </c>
      <c r="CE1010" t="s">
        <v>144</v>
      </c>
      <c r="CF1010">
        <v>4000000</v>
      </c>
      <c r="CG1010">
        <v>4476.6000000000004</v>
      </c>
      <c r="CH1010">
        <v>0</v>
      </c>
      <c r="CI1010" t="s">
        <v>112</v>
      </c>
      <c r="CJ1010" t="s">
        <v>112</v>
      </c>
      <c r="CK1010">
        <v>14964.55</v>
      </c>
      <c r="CL1010">
        <v>1197866</v>
      </c>
      <c r="CM1010">
        <v>0</v>
      </c>
      <c r="CN1010">
        <v>1</v>
      </c>
      <c r="CO1010">
        <v>1256722.72</v>
      </c>
      <c r="CP1010">
        <v>16654.330000000002</v>
      </c>
      <c r="CQ1010" t="s">
        <v>145</v>
      </c>
      <c r="CR1010">
        <v>16654.294980000002</v>
      </c>
      <c r="CS1010">
        <v>3.7202999999999999</v>
      </c>
      <c r="CT1010">
        <v>952</v>
      </c>
      <c r="CU1010" t="s">
        <v>593</v>
      </c>
      <c r="CV1010" t="s">
        <v>792</v>
      </c>
      <c r="CW1010">
        <v>0</v>
      </c>
    </row>
    <row r="1011" spans="1:101" x14ac:dyDescent="0.2">
      <c r="A1011" t="s">
        <v>106</v>
      </c>
      <c r="B1011" s="46">
        <v>44950</v>
      </c>
      <c r="C1011" t="s">
        <v>1000</v>
      </c>
      <c r="D1011" t="s">
        <v>583</v>
      </c>
      <c r="E1011" t="s">
        <v>1001</v>
      </c>
      <c r="F1011" t="s">
        <v>110</v>
      </c>
      <c r="G1011" t="s">
        <v>111</v>
      </c>
      <c r="H1011" t="s">
        <v>112</v>
      </c>
      <c r="I1011" t="s">
        <v>112</v>
      </c>
      <c r="J1011" t="s">
        <v>112</v>
      </c>
      <c r="K1011" t="s">
        <v>113</v>
      </c>
      <c r="L1011" t="s">
        <v>585</v>
      </c>
      <c r="M1011" t="s">
        <v>112</v>
      </c>
      <c r="N1011" t="s">
        <v>112</v>
      </c>
      <c r="O1011">
        <v>2</v>
      </c>
      <c r="P1011">
        <v>0</v>
      </c>
      <c r="Q1011">
        <v>2</v>
      </c>
      <c r="R1011">
        <v>33</v>
      </c>
      <c r="S1011" t="s">
        <v>115</v>
      </c>
      <c r="T1011" t="s">
        <v>116</v>
      </c>
      <c r="U1011" t="s">
        <v>117</v>
      </c>
      <c r="V1011" t="s">
        <v>586</v>
      </c>
      <c r="W1011" t="s">
        <v>119</v>
      </c>
      <c r="X1011" t="s">
        <v>120</v>
      </c>
      <c r="Y1011" t="s">
        <v>115</v>
      </c>
      <c r="Z1011" t="s">
        <v>116</v>
      </c>
      <c r="AA1011" t="s">
        <v>117</v>
      </c>
      <c r="AB1011" t="s">
        <v>586</v>
      </c>
      <c r="AC1011" t="s">
        <v>119</v>
      </c>
      <c r="AD1011" t="s">
        <v>120</v>
      </c>
      <c r="AE1011" t="s">
        <v>121</v>
      </c>
      <c r="AF1011" t="s">
        <v>122</v>
      </c>
      <c r="AG1011">
        <v>4659468.62</v>
      </c>
      <c r="AH1011" t="s">
        <v>115</v>
      </c>
      <c r="AI1011" t="s">
        <v>116</v>
      </c>
      <c r="AJ1011" t="s">
        <v>117</v>
      </c>
      <c r="AK1011" t="s">
        <v>586</v>
      </c>
      <c r="AL1011" t="s">
        <v>119</v>
      </c>
      <c r="AM1011" t="s">
        <v>120</v>
      </c>
      <c r="AN1011" t="s">
        <v>121</v>
      </c>
      <c r="AO1011" t="s">
        <v>122</v>
      </c>
      <c r="AP1011" t="s">
        <v>123</v>
      </c>
      <c r="AQ1011" t="s">
        <v>124</v>
      </c>
      <c r="AR1011" t="s">
        <v>125</v>
      </c>
      <c r="AS1011">
        <v>2</v>
      </c>
      <c r="AT1011" t="s">
        <v>126</v>
      </c>
      <c r="AU1011" t="s">
        <v>127</v>
      </c>
      <c r="AV1011" t="s">
        <v>128</v>
      </c>
      <c r="AW1011">
        <v>1</v>
      </c>
      <c r="AX1011" t="s">
        <v>129</v>
      </c>
      <c r="AY1011">
        <v>52512.42</v>
      </c>
      <c r="AZ1011">
        <v>4443522</v>
      </c>
      <c r="BA1011">
        <v>59774.33</v>
      </c>
      <c r="BB1011">
        <v>84.618499999999997</v>
      </c>
      <c r="BC1011" t="s">
        <v>130</v>
      </c>
      <c r="BD1011" t="s">
        <v>131</v>
      </c>
      <c r="BE1011" t="s">
        <v>132</v>
      </c>
      <c r="BF1011" t="s">
        <v>133</v>
      </c>
      <c r="BG1011" t="s">
        <v>134</v>
      </c>
      <c r="BH1011" t="s">
        <v>112</v>
      </c>
      <c r="BI1011" t="s">
        <v>900</v>
      </c>
      <c r="BJ1011" t="s">
        <v>112</v>
      </c>
      <c r="BK1011" t="s">
        <v>588</v>
      </c>
      <c r="BL1011" t="s">
        <v>901</v>
      </c>
      <c r="BM1011" t="s">
        <v>902</v>
      </c>
      <c r="BN1011" t="s">
        <v>591</v>
      </c>
      <c r="BO1011">
        <v>1</v>
      </c>
      <c r="BP1011" t="s">
        <v>903</v>
      </c>
      <c r="BR1011" t="s">
        <v>141</v>
      </c>
      <c r="BS1011">
        <v>33</v>
      </c>
      <c r="BT1011">
        <v>0</v>
      </c>
      <c r="BU1011">
        <v>0</v>
      </c>
      <c r="BW1011">
        <v>0</v>
      </c>
      <c r="BY1011" t="s">
        <v>106</v>
      </c>
      <c r="BZ1011" t="s">
        <v>142</v>
      </c>
      <c r="CA1011" t="s">
        <v>112</v>
      </c>
      <c r="CB1011" t="s">
        <v>112</v>
      </c>
      <c r="CC1011" t="s">
        <v>143</v>
      </c>
      <c r="CD1011">
        <v>11613.28</v>
      </c>
      <c r="CE1011" t="s">
        <v>144</v>
      </c>
      <c r="CF1011">
        <v>4000000</v>
      </c>
      <c r="CG1011">
        <v>10847.6</v>
      </c>
      <c r="CH1011">
        <v>0</v>
      </c>
      <c r="CI1011" t="s">
        <v>112</v>
      </c>
      <c r="CJ1011" t="s">
        <v>112</v>
      </c>
      <c r="CK1011">
        <v>40389.54</v>
      </c>
      <c r="CL1011">
        <v>3417702</v>
      </c>
      <c r="CM1011">
        <v>0</v>
      </c>
      <c r="CN1011">
        <v>1</v>
      </c>
      <c r="CO1011">
        <v>3580284.04</v>
      </c>
      <c r="CP1011">
        <v>45929.93</v>
      </c>
      <c r="CQ1011" t="s">
        <v>145</v>
      </c>
      <c r="CR1011">
        <v>45929.82316</v>
      </c>
      <c r="CS1011">
        <v>4.2340999999999998</v>
      </c>
      <c r="CT1011">
        <v>952</v>
      </c>
      <c r="CU1011" t="s">
        <v>593</v>
      </c>
      <c r="CV1011" t="s">
        <v>792</v>
      </c>
      <c r="CW1011">
        <v>0</v>
      </c>
    </row>
    <row r="1012" spans="1:101" x14ac:dyDescent="0.2">
      <c r="A1012" t="s">
        <v>106</v>
      </c>
      <c r="B1012" s="46">
        <v>44969</v>
      </c>
      <c r="C1012" t="s">
        <v>1000</v>
      </c>
      <c r="D1012" t="s">
        <v>583</v>
      </c>
      <c r="E1012" t="s">
        <v>1001</v>
      </c>
      <c r="F1012" t="s">
        <v>110</v>
      </c>
      <c r="G1012" t="s">
        <v>111</v>
      </c>
      <c r="H1012" t="s">
        <v>112</v>
      </c>
      <c r="I1012" t="s">
        <v>112</v>
      </c>
      <c r="J1012" t="s">
        <v>112</v>
      </c>
      <c r="K1012" t="s">
        <v>113</v>
      </c>
      <c r="L1012" t="s">
        <v>585</v>
      </c>
      <c r="M1012" t="s">
        <v>112</v>
      </c>
      <c r="N1012" t="s">
        <v>112</v>
      </c>
      <c r="O1012">
        <v>2</v>
      </c>
      <c r="P1012">
        <v>0</v>
      </c>
      <c r="Q1012">
        <v>2</v>
      </c>
      <c r="R1012">
        <v>33</v>
      </c>
      <c r="S1012" t="s">
        <v>115</v>
      </c>
      <c r="T1012" t="s">
        <v>116</v>
      </c>
      <c r="U1012" t="s">
        <v>117</v>
      </c>
      <c r="V1012" t="s">
        <v>586</v>
      </c>
      <c r="W1012" t="s">
        <v>119</v>
      </c>
      <c r="X1012" t="s">
        <v>120</v>
      </c>
      <c r="Y1012" t="s">
        <v>115</v>
      </c>
      <c r="Z1012" t="s">
        <v>116</v>
      </c>
      <c r="AA1012" t="s">
        <v>117</v>
      </c>
      <c r="AB1012" t="s">
        <v>586</v>
      </c>
      <c r="AC1012" t="s">
        <v>119</v>
      </c>
      <c r="AD1012" t="s">
        <v>120</v>
      </c>
      <c r="AE1012" t="s">
        <v>121</v>
      </c>
      <c r="AF1012" t="s">
        <v>122</v>
      </c>
      <c r="AG1012">
        <v>4659468.62</v>
      </c>
      <c r="AH1012" t="s">
        <v>115</v>
      </c>
      <c r="AI1012" t="s">
        <v>116</v>
      </c>
      <c r="AJ1012" t="s">
        <v>117</v>
      </c>
      <c r="AK1012" t="s">
        <v>586</v>
      </c>
      <c r="AL1012" t="s">
        <v>119</v>
      </c>
      <c r="AM1012" t="s">
        <v>120</v>
      </c>
      <c r="AN1012" t="s">
        <v>121</v>
      </c>
      <c r="AO1012" t="s">
        <v>122</v>
      </c>
      <c r="AP1012" t="s">
        <v>123</v>
      </c>
      <c r="AQ1012" t="s">
        <v>124</v>
      </c>
      <c r="AR1012" t="s">
        <v>125</v>
      </c>
      <c r="AS1012">
        <v>2</v>
      </c>
      <c r="AT1012" t="s">
        <v>126</v>
      </c>
      <c r="AU1012" t="s">
        <v>127</v>
      </c>
      <c r="AV1012" t="s">
        <v>128</v>
      </c>
      <c r="AW1012">
        <v>1</v>
      </c>
      <c r="AX1012" t="s">
        <v>129</v>
      </c>
      <c r="AY1012">
        <v>52512.42</v>
      </c>
      <c r="AZ1012">
        <v>4443522</v>
      </c>
      <c r="BA1012">
        <v>59774.33</v>
      </c>
      <c r="BB1012">
        <v>84.618499999999997</v>
      </c>
      <c r="BC1012" t="s">
        <v>130</v>
      </c>
      <c r="BD1012" t="s">
        <v>131</v>
      </c>
      <c r="BE1012" t="s">
        <v>132</v>
      </c>
      <c r="BF1012" t="s">
        <v>133</v>
      </c>
      <c r="BG1012" t="s">
        <v>134</v>
      </c>
      <c r="BH1012" t="s">
        <v>112</v>
      </c>
      <c r="BI1012" t="s">
        <v>900</v>
      </c>
      <c r="BJ1012" t="s">
        <v>112</v>
      </c>
      <c r="BK1012" t="s">
        <v>588</v>
      </c>
      <c r="BL1012" t="s">
        <v>901</v>
      </c>
      <c r="BM1012" t="s">
        <v>902</v>
      </c>
      <c r="BN1012" t="s">
        <v>591</v>
      </c>
      <c r="BO1012">
        <v>2</v>
      </c>
      <c r="BP1012" t="s">
        <v>904</v>
      </c>
      <c r="BR1012" t="s">
        <v>141</v>
      </c>
      <c r="BS1012">
        <v>33</v>
      </c>
      <c r="BT1012">
        <v>0</v>
      </c>
      <c r="BU1012">
        <v>0</v>
      </c>
      <c r="BW1012">
        <v>0</v>
      </c>
      <c r="BY1012" t="s">
        <v>596</v>
      </c>
      <c r="BZ1012" t="s">
        <v>597</v>
      </c>
      <c r="CA1012" t="s">
        <v>112</v>
      </c>
      <c r="CB1012" t="s">
        <v>112</v>
      </c>
      <c r="CC1012" t="s">
        <v>143</v>
      </c>
      <c r="CD1012">
        <v>3811.84</v>
      </c>
      <c r="CE1012" t="s">
        <v>144</v>
      </c>
      <c r="CF1012">
        <v>4000000</v>
      </c>
      <c r="CG1012">
        <v>3584</v>
      </c>
      <c r="CH1012">
        <v>0</v>
      </c>
      <c r="CI1012" t="s">
        <v>112</v>
      </c>
      <c r="CJ1012" t="s">
        <v>112</v>
      </c>
      <c r="CK1012">
        <v>12122.88</v>
      </c>
      <c r="CL1012">
        <v>1025820</v>
      </c>
      <c r="CM1012">
        <v>0</v>
      </c>
      <c r="CN1012">
        <v>1</v>
      </c>
      <c r="CO1012">
        <v>1079184.58</v>
      </c>
      <c r="CP1012">
        <v>13844.4</v>
      </c>
      <c r="CQ1012" t="s">
        <v>145</v>
      </c>
      <c r="CR1012">
        <v>13844.2752</v>
      </c>
      <c r="CS1012">
        <v>3.8628</v>
      </c>
      <c r="CT1012">
        <v>952</v>
      </c>
      <c r="CU1012" t="s">
        <v>593</v>
      </c>
      <c r="CV1012" t="s">
        <v>792</v>
      </c>
      <c r="CW1012">
        <v>0</v>
      </c>
    </row>
    <row r="1013" spans="1:101" x14ac:dyDescent="0.2">
      <c r="A1013" t="s">
        <v>106</v>
      </c>
      <c r="B1013" s="46">
        <v>45144</v>
      </c>
      <c r="C1013" t="s">
        <v>799</v>
      </c>
      <c r="D1013" t="s">
        <v>583</v>
      </c>
      <c r="E1013" t="s">
        <v>800</v>
      </c>
      <c r="F1013" t="s">
        <v>110</v>
      </c>
      <c r="G1013" t="s">
        <v>111</v>
      </c>
      <c r="H1013" t="s">
        <v>112</v>
      </c>
      <c r="I1013" t="s">
        <v>112</v>
      </c>
      <c r="J1013" t="s">
        <v>112</v>
      </c>
      <c r="K1013" t="s">
        <v>113</v>
      </c>
      <c r="L1013" t="s">
        <v>633</v>
      </c>
      <c r="M1013" t="s">
        <v>112</v>
      </c>
      <c r="N1013" t="s">
        <v>112</v>
      </c>
      <c r="O1013">
        <v>2</v>
      </c>
      <c r="P1013">
        <v>0</v>
      </c>
      <c r="Q1013">
        <v>2</v>
      </c>
      <c r="R1013">
        <v>33</v>
      </c>
      <c r="S1013" t="s">
        <v>115</v>
      </c>
      <c r="T1013" t="s">
        <v>116</v>
      </c>
      <c r="U1013" t="s">
        <v>117</v>
      </c>
      <c r="V1013" t="s">
        <v>586</v>
      </c>
      <c r="W1013" t="s">
        <v>119</v>
      </c>
      <c r="X1013" t="s">
        <v>120</v>
      </c>
      <c r="Y1013" t="s">
        <v>115</v>
      </c>
      <c r="Z1013" t="s">
        <v>116</v>
      </c>
      <c r="AA1013" t="s">
        <v>117</v>
      </c>
      <c r="AB1013" t="s">
        <v>586</v>
      </c>
      <c r="AC1013" t="s">
        <v>119</v>
      </c>
      <c r="AD1013" t="s">
        <v>120</v>
      </c>
      <c r="AE1013" t="s">
        <v>121</v>
      </c>
      <c r="AF1013" t="s">
        <v>122</v>
      </c>
      <c r="AG1013">
        <v>4072948.73</v>
      </c>
      <c r="AH1013" t="s">
        <v>115</v>
      </c>
      <c r="AI1013" t="s">
        <v>116</v>
      </c>
      <c r="AJ1013" t="s">
        <v>117</v>
      </c>
      <c r="AK1013" t="s">
        <v>586</v>
      </c>
      <c r="AL1013" t="s">
        <v>119</v>
      </c>
      <c r="AM1013" t="s">
        <v>120</v>
      </c>
      <c r="AN1013" t="s">
        <v>121</v>
      </c>
      <c r="AO1013" t="s">
        <v>122</v>
      </c>
      <c r="AP1013" t="s">
        <v>123</v>
      </c>
      <c r="AQ1013" t="s">
        <v>124</v>
      </c>
      <c r="AR1013" t="s">
        <v>125</v>
      </c>
      <c r="AS1013">
        <v>2</v>
      </c>
      <c r="AT1013" t="s">
        <v>126</v>
      </c>
      <c r="AU1013" t="s">
        <v>127</v>
      </c>
      <c r="AV1013" t="s">
        <v>801</v>
      </c>
      <c r="AW1013">
        <v>1</v>
      </c>
      <c r="AX1013" t="s">
        <v>129</v>
      </c>
      <c r="AY1013">
        <v>48336.42</v>
      </c>
      <c r="AZ1013">
        <v>3876083</v>
      </c>
      <c r="BA1013">
        <v>53965.71</v>
      </c>
      <c r="BB1013">
        <v>80.189700000000002</v>
      </c>
      <c r="BC1013" t="s">
        <v>130</v>
      </c>
      <c r="BD1013" t="s">
        <v>112</v>
      </c>
      <c r="BE1013" t="s">
        <v>132</v>
      </c>
      <c r="BF1013" t="s">
        <v>133</v>
      </c>
      <c r="BG1013" t="s">
        <v>167</v>
      </c>
      <c r="BH1013" t="s">
        <v>587</v>
      </c>
      <c r="BI1013" t="s">
        <v>112</v>
      </c>
      <c r="BJ1013" t="s">
        <v>112</v>
      </c>
      <c r="BK1013" t="s">
        <v>588</v>
      </c>
      <c r="BL1013" t="s">
        <v>589</v>
      </c>
      <c r="BM1013" t="s">
        <v>590</v>
      </c>
      <c r="BN1013" t="s">
        <v>591</v>
      </c>
      <c r="BO1013">
        <v>2</v>
      </c>
      <c r="BP1013" t="s">
        <v>802</v>
      </c>
      <c r="BR1013" t="s">
        <v>141</v>
      </c>
      <c r="BS1013">
        <v>33</v>
      </c>
      <c r="BT1013">
        <v>0</v>
      </c>
      <c r="BU1013">
        <v>0</v>
      </c>
      <c r="BW1013">
        <v>0</v>
      </c>
      <c r="BY1013" t="s">
        <v>596</v>
      </c>
      <c r="BZ1013" t="s">
        <v>142</v>
      </c>
      <c r="CA1013" t="s">
        <v>112</v>
      </c>
      <c r="CB1013" t="s">
        <v>112</v>
      </c>
      <c r="CC1013" t="s">
        <v>143</v>
      </c>
      <c r="CD1013">
        <v>5095.6000000000004</v>
      </c>
      <c r="CE1013" t="s">
        <v>144</v>
      </c>
      <c r="CF1013">
        <v>4000000</v>
      </c>
      <c r="CG1013">
        <v>4911.8</v>
      </c>
      <c r="CH1013">
        <v>0</v>
      </c>
      <c r="CI1013" t="s">
        <v>112</v>
      </c>
      <c r="CJ1013" t="s">
        <v>112</v>
      </c>
      <c r="CK1013">
        <v>16389.189999999999</v>
      </c>
      <c r="CL1013">
        <v>1314244</v>
      </c>
      <c r="CM1013">
        <v>0</v>
      </c>
      <c r="CN1013">
        <v>1</v>
      </c>
      <c r="CO1013">
        <v>1382134.43</v>
      </c>
      <c r="CP1013">
        <v>18312.990000000002</v>
      </c>
      <c r="CQ1013" t="s">
        <v>145</v>
      </c>
      <c r="CR1013">
        <v>18313.155120000003</v>
      </c>
      <c r="CS1013">
        <v>3.7284000000000002</v>
      </c>
      <c r="CT1013">
        <v>952</v>
      </c>
      <c r="CU1013" t="s">
        <v>593</v>
      </c>
      <c r="CV1013" t="s">
        <v>635</v>
      </c>
      <c r="CW1013">
        <v>0</v>
      </c>
    </row>
    <row r="1014" spans="1:101" x14ac:dyDescent="0.2">
      <c r="A1014" t="s">
        <v>106</v>
      </c>
      <c r="B1014" s="46">
        <v>45192</v>
      </c>
      <c r="C1014" t="s">
        <v>799</v>
      </c>
      <c r="D1014" t="s">
        <v>583</v>
      </c>
      <c r="E1014" t="s">
        <v>800</v>
      </c>
      <c r="F1014" t="s">
        <v>110</v>
      </c>
      <c r="G1014" t="s">
        <v>111</v>
      </c>
      <c r="H1014" t="s">
        <v>112</v>
      </c>
      <c r="I1014" t="s">
        <v>112</v>
      </c>
      <c r="J1014" t="s">
        <v>112</v>
      </c>
      <c r="K1014" t="s">
        <v>113</v>
      </c>
      <c r="L1014" t="s">
        <v>633</v>
      </c>
      <c r="M1014" t="s">
        <v>112</v>
      </c>
      <c r="N1014" t="s">
        <v>112</v>
      </c>
      <c r="O1014">
        <v>2</v>
      </c>
      <c r="P1014">
        <v>0</v>
      </c>
      <c r="Q1014">
        <v>2</v>
      </c>
      <c r="R1014">
        <v>33</v>
      </c>
      <c r="S1014" t="s">
        <v>115</v>
      </c>
      <c r="T1014" t="s">
        <v>116</v>
      </c>
      <c r="U1014" t="s">
        <v>117</v>
      </c>
      <c r="V1014" t="s">
        <v>586</v>
      </c>
      <c r="W1014" t="s">
        <v>119</v>
      </c>
      <c r="X1014" t="s">
        <v>120</v>
      </c>
      <c r="Y1014" t="s">
        <v>115</v>
      </c>
      <c r="Z1014" t="s">
        <v>116</v>
      </c>
      <c r="AA1014" t="s">
        <v>117</v>
      </c>
      <c r="AB1014" t="s">
        <v>586</v>
      </c>
      <c r="AC1014" t="s">
        <v>119</v>
      </c>
      <c r="AD1014" t="s">
        <v>120</v>
      </c>
      <c r="AE1014" t="s">
        <v>121</v>
      </c>
      <c r="AF1014" t="s">
        <v>122</v>
      </c>
      <c r="AG1014">
        <v>4072948.73</v>
      </c>
      <c r="AH1014" t="s">
        <v>115</v>
      </c>
      <c r="AI1014" t="s">
        <v>116</v>
      </c>
      <c r="AJ1014" t="s">
        <v>117</v>
      </c>
      <c r="AK1014" t="s">
        <v>586</v>
      </c>
      <c r="AL1014" t="s">
        <v>119</v>
      </c>
      <c r="AM1014" t="s">
        <v>120</v>
      </c>
      <c r="AN1014" t="s">
        <v>121</v>
      </c>
      <c r="AO1014" t="s">
        <v>122</v>
      </c>
      <c r="AP1014" t="s">
        <v>123</v>
      </c>
      <c r="AQ1014" t="s">
        <v>124</v>
      </c>
      <c r="AR1014" t="s">
        <v>125</v>
      </c>
      <c r="AS1014">
        <v>2</v>
      </c>
      <c r="AT1014" t="s">
        <v>126</v>
      </c>
      <c r="AU1014" t="s">
        <v>127</v>
      </c>
      <c r="AV1014" t="s">
        <v>801</v>
      </c>
      <c r="AW1014">
        <v>1</v>
      </c>
      <c r="AX1014" t="s">
        <v>129</v>
      </c>
      <c r="AY1014">
        <v>48336.42</v>
      </c>
      <c r="AZ1014">
        <v>3876083</v>
      </c>
      <c r="BA1014">
        <v>53965.71</v>
      </c>
      <c r="BB1014">
        <v>80.189700000000002</v>
      </c>
      <c r="BC1014" t="s">
        <v>130</v>
      </c>
      <c r="BD1014" t="s">
        <v>112</v>
      </c>
      <c r="BE1014" t="s">
        <v>132</v>
      </c>
      <c r="BF1014" t="s">
        <v>133</v>
      </c>
      <c r="BG1014" t="s">
        <v>167</v>
      </c>
      <c r="BH1014" t="s">
        <v>587</v>
      </c>
      <c r="BI1014" t="s">
        <v>112</v>
      </c>
      <c r="BJ1014" t="s">
        <v>112</v>
      </c>
      <c r="BK1014" t="s">
        <v>588</v>
      </c>
      <c r="BL1014" t="s">
        <v>589</v>
      </c>
      <c r="BM1014" t="s">
        <v>590</v>
      </c>
      <c r="BN1014" t="s">
        <v>591</v>
      </c>
      <c r="BO1014">
        <v>1</v>
      </c>
      <c r="BP1014" t="s">
        <v>805</v>
      </c>
      <c r="BR1014" t="s">
        <v>141</v>
      </c>
      <c r="BS1014">
        <v>33</v>
      </c>
      <c r="BT1014">
        <v>0</v>
      </c>
      <c r="BU1014">
        <v>0</v>
      </c>
      <c r="BW1014">
        <v>0</v>
      </c>
      <c r="BY1014" t="s">
        <v>106</v>
      </c>
      <c r="BZ1014" t="s">
        <v>597</v>
      </c>
      <c r="CA1014" t="s">
        <v>112</v>
      </c>
      <c r="CB1014" t="s">
        <v>112</v>
      </c>
      <c r="CC1014" t="s">
        <v>143</v>
      </c>
      <c r="CD1014">
        <v>9680.4</v>
      </c>
      <c r="CE1014" t="s">
        <v>144</v>
      </c>
      <c r="CF1014">
        <v>4000000</v>
      </c>
      <c r="CG1014">
        <v>9218.6</v>
      </c>
      <c r="CH1014">
        <v>0</v>
      </c>
      <c r="CI1014" t="s">
        <v>112</v>
      </c>
      <c r="CJ1014" t="s">
        <v>112</v>
      </c>
      <c r="CK1014">
        <v>31947.23</v>
      </c>
      <c r="CL1014">
        <v>2561839</v>
      </c>
      <c r="CM1014">
        <v>0</v>
      </c>
      <c r="CN1014">
        <v>1</v>
      </c>
      <c r="CO1014">
        <v>2690814.3</v>
      </c>
      <c r="CP1014">
        <v>35652.720000000001</v>
      </c>
      <c r="CQ1014" t="s">
        <v>145</v>
      </c>
      <c r="CR1014">
        <v>35652.9355</v>
      </c>
      <c r="CS1014">
        <v>3.8675000000000002</v>
      </c>
      <c r="CT1014">
        <v>952</v>
      </c>
      <c r="CU1014" t="s">
        <v>593</v>
      </c>
      <c r="CV1014" t="s">
        <v>635</v>
      </c>
      <c r="CW1014">
        <v>0</v>
      </c>
    </row>
    <row r="1015" spans="1:101" x14ac:dyDescent="0.2">
      <c r="A1015" t="s">
        <v>106</v>
      </c>
      <c r="B1015" s="46">
        <v>45241</v>
      </c>
      <c r="C1015" t="s">
        <v>790</v>
      </c>
      <c r="D1015" t="s">
        <v>583</v>
      </c>
      <c r="E1015" t="s">
        <v>791</v>
      </c>
      <c r="F1015" t="s">
        <v>110</v>
      </c>
      <c r="G1015" t="s">
        <v>111</v>
      </c>
      <c r="H1015" t="s">
        <v>112</v>
      </c>
      <c r="I1015" t="s">
        <v>112</v>
      </c>
      <c r="J1015" t="s">
        <v>112</v>
      </c>
      <c r="K1015" t="s">
        <v>113</v>
      </c>
      <c r="L1015" t="s">
        <v>633</v>
      </c>
      <c r="M1015" t="s">
        <v>112</v>
      </c>
      <c r="N1015" t="s">
        <v>112</v>
      </c>
      <c r="O1015">
        <v>2</v>
      </c>
      <c r="P1015">
        <v>0</v>
      </c>
      <c r="Q1015">
        <v>2</v>
      </c>
      <c r="R1015">
        <v>33</v>
      </c>
      <c r="S1015" t="s">
        <v>115</v>
      </c>
      <c r="T1015" t="s">
        <v>116</v>
      </c>
      <c r="U1015" t="s">
        <v>117</v>
      </c>
      <c r="V1015" t="s">
        <v>586</v>
      </c>
      <c r="W1015" t="s">
        <v>119</v>
      </c>
      <c r="X1015" t="s">
        <v>120</v>
      </c>
      <c r="Y1015" t="s">
        <v>115</v>
      </c>
      <c r="Z1015" t="s">
        <v>116</v>
      </c>
      <c r="AA1015" t="s">
        <v>117</v>
      </c>
      <c r="AB1015" t="s">
        <v>586</v>
      </c>
      <c r="AC1015" t="s">
        <v>119</v>
      </c>
      <c r="AD1015" t="s">
        <v>120</v>
      </c>
      <c r="AE1015" t="s">
        <v>121</v>
      </c>
      <c r="AF1015" t="s">
        <v>122</v>
      </c>
      <c r="AG1015">
        <v>4233704.5599999996</v>
      </c>
      <c r="AH1015" t="s">
        <v>115</v>
      </c>
      <c r="AI1015" t="s">
        <v>116</v>
      </c>
      <c r="AJ1015" t="s">
        <v>117</v>
      </c>
      <c r="AK1015" t="s">
        <v>586</v>
      </c>
      <c r="AL1015" t="s">
        <v>119</v>
      </c>
      <c r="AM1015" t="s">
        <v>120</v>
      </c>
      <c r="AN1015" t="s">
        <v>121</v>
      </c>
      <c r="AO1015" t="s">
        <v>122</v>
      </c>
      <c r="AP1015" t="s">
        <v>123</v>
      </c>
      <c r="AQ1015" t="s">
        <v>124</v>
      </c>
      <c r="AR1015" t="s">
        <v>125</v>
      </c>
      <c r="AS1015">
        <v>2</v>
      </c>
      <c r="AT1015" t="s">
        <v>126</v>
      </c>
      <c r="AU1015" t="s">
        <v>127</v>
      </c>
      <c r="AV1015" t="s">
        <v>128</v>
      </c>
      <c r="AW1015">
        <v>1</v>
      </c>
      <c r="AX1015" t="s">
        <v>129</v>
      </c>
      <c r="AY1015">
        <v>50476.71</v>
      </c>
      <c r="AZ1015">
        <v>4043225</v>
      </c>
      <c r="BA1015">
        <v>56260.89</v>
      </c>
      <c r="BB1015">
        <v>80.100800000000007</v>
      </c>
      <c r="BC1015" t="s">
        <v>130</v>
      </c>
      <c r="BD1015" t="s">
        <v>131</v>
      </c>
      <c r="BE1015" t="s">
        <v>132</v>
      </c>
      <c r="BF1015" t="s">
        <v>133</v>
      </c>
      <c r="BG1015" t="s">
        <v>134</v>
      </c>
      <c r="BH1015" t="s">
        <v>112</v>
      </c>
      <c r="BI1015" t="s">
        <v>587</v>
      </c>
      <c r="BJ1015" t="s">
        <v>112</v>
      </c>
      <c r="BK1015" t="s">
        <v>588</v>
      </c>
      <c r="BL1015" t="s">
        <v>589</v>
      </c>
      <c r="BM1015" t="s">
        <v>590</v>
      </c>
      <c r="BN1015" t="s">
        <v>591</v>
      </c>
      <c r="BO1015">
        <v>2</v>
      </c>
      <c r="BP1015" t="s">
        <v>793</v>
      </c>
      <c r="BR1015" t="s">
        <v>141</v>
      </c>
      <c r="BS1015">
        <v>33</v>
      </c>
      <c r="BT1015">
        <v>0</v>
      </c>
      <c r="BU1015">
        <v>0</v>
      </c>
      <c r="BW1015">
        <v>0</v>
      </c>
      <c r="BY1015" t="s">
        <v>596</v>
      </c>
      <c r="BZ1015" t="s">
        <v>142</v>
      </c>
      <c r="CA1015" t="s">
        <v>112</v>
      </c>
      <c r="CB1015" t="s">
        <v>112</v>
      </c>
      <c r="CC1015" t="s">
        <v>143</v>
      </c>
      <c r="CD1015">
        <v>5134</v>
      </c>
      <c r="CE1015" t="s">
        <v>144</v>
      </c>
      <c r="CF1015">
        <v>4000000</v>
      </c>
      <c r="CG1015">
        <v>4956.6000000000004</v>
      </c>
      <c r="CH1015">
        <v>0</v>
      </c>
      <c r="CI1015" t="s">
        <v>112</v>
      </c>
      <c r="CJ1015" t="s">
        <v>112</v>
      </c>
      <c r="CK1015">
        <v>16386.79</v>
      </c>
      <c r="CL1015">
        <v>1312595</v>
      </c>
      <c r="CM1015">
        <v>0</v>
      </c>
      <c r="CN1015">
        <v>1</v>
      </c>
      <c r="CO1015">
        <v>1375321.13</v>
      </c>
      <c r="CP1015">
        <v>18276.38</v>
      </c>
      <c r="CQ1015" t="s">
        <v>145</v>
      </c>
      <c r="CR1015">
        <v>18276.47118</v>
      </c>
      <c r="CS1015">
        <v>3.6873</v>
      </c>
      <c r="CT1015">
        <v>952</v>
      </c>
      <c r="CU1015" t="s">
        <v>593</v>
      </c>
      <c r="CV1015" t="s">
        <v>792</v>
      </c>
      <c r="CW1015">
        <v>0</v>
      </c>
    </row>
    <row r="1016" spans="1:101" x14ac:dyDescent="0.2">
      <c r="A1016" t="s">
        <v>106</v>
      </c>
      <c r="B1016" s="46">
        <v>45164</v>
      </c>
      <c r="C1016" t="s">
        <v>790</v>
      </c>
      <c r="D1016" t="s">
        <v>583</v>
      </c>
      <c r="E1016" t="s">
        <v>791</v>
      </c>
      <c r="F1016" t="s">
        <v>110</v>
      </c>
      <c r="G1016" t="s">
        <v>111</v>
      </c>
      <c r="H1016" t="s">
        <v>112</v>
      </c>
      <c r="I1016" t="s">
        <v>112</v>
      </c>
      <c r="J1016" t="s">
        <v>112</v>
      </c>
      <c r="K1016" t="s">
        <v>113</v>
      </c>
      <c r="L1016" t="s">
        <v>633</v>
      </c>
      <c r="M1016" t="s">
        <v>112</v>
      </c>
      <c r="N1016" t="s">
        <v>112</v>
      </c>
      <c r="O1016">
        <v>2</v>
      </c>
      <c r="P1016">
        <v>0</v>
      </c>
      <c r="Q1016">
        <v>2</v>
      </c>
      <c r="R1016">
        <v>33</v>
      </c>
      <c r="S1016" t="s">
        <v>115</v>
      </c>
      <c r="T1016" t="s">
        <v>116</v>
      </c>
      <c r="U1016" t="s">
        <v>117</v>
      </c>
      <c r="V1016" t="s">
        <v>586</v>
      </c>
      <c r="W1016" t="s">
        <v>119</v>
      </c>
      <c r="X1016" t="s">
        <v>120</v>
      </c>
      <c r="Y1016" t="s">
        <v>115</v>
      </c>
      <c r="Z1016" t="s">
        <v>116</v>
      </c>
      <c r="AA1016" t="s">
        <v>117</v>
      </c>
      <c r="AB1016" t="s">
        <v>586</v>
      </c>
      <c r="AC1016" t="s">
        <v>119</v>
      </c>
      <c r="AD1016" t="s">
        <v>120</v>
      </c>
      <c r="AE1016" t="s">
        <v>121</v>
      </c>
      <c r="AF1016" t="s">
        <v>122</v>
      </c>
      <c r="AG1016">
        <v>4233704.5599999996</v>
      </c>
      <c r="AH1016" t="s">
        <v>115</v>
      </c>
      <c r="AI1016" t="s">
        <v>116</v>
      </c>
      <c r="AJ1016" t="s">
        <v>117</v>
      </c>
      <c r="AK1016" t="s">
        <v>586</v>
      </c>
      <c r="AL1016" t="s">
        <v>119</v>
      </c>
      <c r="AM1016" t="s">
        <v>120</v>
      </c>
      <c r="AN1016" t="s">
        <v>121</v>
      </c>
      <c r="AO1016" t="s">
        <v>122</v>
      </c>
      <c r="AP1016" t="s">
        <v>123</v>
      </c>
      <c r="AQ1016" t="s">
        <v>124</v>
      </c>
      <c r="AR1016" t="s">
        <v>125</v>
      </c>
      <c r="AS1016">
        <v>2</v>
      </c>
      <c r="AT1016" t="s">
        <v>126</v>
      </c>
      <c r="AU1016" t="s">
        <v>127</v>
      </c>
      <c r="AV1016" t="s">
        <v>128</v>
      </c>
      <c r="AW1016">
        <v>1</v>
      </c>
      <c r="AX1016" t="s">
        <v>129</v>
      </c>
      <c r="AY1016">
        <v>50476.71</v>
      </c>
      <c r="AZ1016">
        <v>4043225</v>
      </c>
      <c r="BA1016">
        <v>56260.89</v>
      </c>
      <c r="BB1016">
        <v>80.100800000000007</v>
      </c>
      <c r="BC1016" t="s">
        <v>130</v>
      </c>
      <c r="BD1016" t="s">
        <v>131</v>
      </c>
      <c r="BE1016" t="s">
        <v>132</v>
      </c>
      <c r="BF1016" t="s">
        <v>133</v>
      </c>
      <c r="BG1016" t="s">
        <v>134</v>
      </c>
      <c r="BH1016" t="s">
        <v>112</v>
      </c>
      <c r="BI1016" t="s">
        <v>587</v>
      </c>
      <c r="BJ1016" t="s">
        <v>112</v>
      </c>
      <c r="BK1016" t="s">
        <v>588</v>
      </c>
      <c r="BL1016" t="s">
        <v>589</v>
      </c>
      <c r="BM1016" t="s">
        <v>590</v>
      </c>
      <c r="BN1016" t="s">
        <v>591</v>
      </c>
      <c r="BO1016">
        <v>1</v>
      </c>
      <c r="BP1016" t="s">
        <v>595</v>
      </c>
      <c r="BR1016" t="s">
        <v>141</v>
      </c>
      <c r="BS1016">
        <v>33</v>
      </c>
      <c r="BT1016">
        <v>0</v>
      </c>
      <c r="BU1016">
        <v>0</v>
      </c>
      <c r="BW1016">
        <v>0</v>
      </c>
      <c r="BY1016" t="s">
        <v>106</v>
      </c>
      <c r="BZ1016" t="s">
        <v>597</v>
      </c>
      <c r="CA1016" t="s">
        <v>112</v>
      </c>
      <c r="CB1016" t="s">
        <v>112</v>
      </c>
      <c r="CC1016" t="s">
        <v>143</v>
      </c>
      <c r="CD1016">
        <v>10456.32</v>
      </c>
      <c r="CE1016" t="s">
        <v>144</v>
      </c>
      <c r="CF1016">
        <v>4000000</v>
      </c>
      <c r="CG1016">
        <v>9968</v>
      </c>
      <c r="CH1016">
        <v>0</v>
      </c>
      <c r="CI1016" t="s">
        <v>112</v>
      </c>
      <c r="CJ1016" t="s">
        <v>112</v>
      </c>
      <c r="CK1016">
        <v>34089.919999999998</v>
      </c>
      <c r="CL1016">
        <v>2730630</v>
      </c>
      <c r="CM1016">
        <v>0</v>
      </c>
      <c r="CN1016">
        <v>1</v>
      </c>
      <c r="CO1016">
        <v>2858383.43</v>
      </c>
      <c r="CP1016">
        <v>37984.51</v>
      </c>
      <c r="CQ1016" t="s">
        <v>145</v>
      </c>
      <c r="CR1016">
        <v>37984.060799999999</v>
      </c>
      <c r="CS1016">
        <v>3.8106</v>
      </c>
      <c r="CT1016">
        <v>952</v>
      </c>
      <c r="CU1016" t="s">
        <v>593</v>
      </c>
      <c r="CV1016" t="s">
        <v>792</v>
      </c>
      <c r="CW1016">
        <v>0</v>
      </c>
    </row>
    <row r="1017" spans="1:101" x14ac:dyDescent="0.2">
      <c r="A1017" s="8" t="s">
        <v>106</v>
      </c>
      <c r="B1017" s="46">
        <v>45216</v>
      </c>
      <c r="C1017" s="8" t="s">
        <v>2345</v>
      </c>
      <c r="D1017" s="8" t="s">
        <v>731</v>
      </c>
      <c r="E1017" s="8" t="s">
        <v>2346</v>
      </c>
      <c r="F1017" t="s">
        <v>110</v>
      </c>
      <c r="G1017" s="8" t="s">
        <v>2284</v>
      </c>
      <c r="H1017" s="8" t="s">
        <v>112</v>
      </c>
      <c r="I1017" s="8" t="s">
        <v>112</v>
      </c>
      <c r="J1017" s="8" t="s">
        <v>112</v>
      </c>
      <c r="K1017" s="8" t="s">
        <v>2285</v>
      </c>
      <c r="L1017" s="8" t="s">
        <v>2286</v>
      </c>
      <c r="M1017" s="8" t="s">
        <v>112</v>
      </c>
      <c r="N1017" s="8" t="s">
        <v>112</v>
      </c>
      <c r="O1017">
        <v>1</v>
      </c>
      <c r="Q1017">
        <v>1</v>
      </c>
      <c r="R1017">
        <v>26</v>
      </c>
      <c r="S1017" s="8" t="s">
        <v>2287</v>
      </c>
      <c r="T1017" s="8" t="s">
        <v>2288</v>
      </c>
      <c r="U1017" s="8" t="s">
        <v>2289</v>
      </c>
      <c r="V1017" s="8" t="s">
        <v>2290</v>
      </c>
      <c r="W1017" s="8" t="s">
        <v>742</v>
      </c>
      <c r="X1017" s="8" t="s">
        <v>743</v>
      </c>
      <c r="Y1017" s="8" t="s">
        <v>2287</v>
      </c>
      <c r="Z1017" s="8" t="s">
        <v>2288</v>
      </c>
      <c r="AA1017" s="8" t="s">
        <v>2289</v>
      </c>
      <c r="AB1017" s="8" t="s">
        <v>2290</v>
      </c>
      <c r="AC1017" s="8" t="s">
        <v>742</v>
      </c>
      <c r="AD1017" s="8" t="s">
        <v>743</v>
      </c>
      <c r="AE1017" s="8" t="s">
        <v>2142</v>
      </c>
      <c r="AF1017" s="8" t="s">
        <v>2143</v>
      </c>
      <c r="AG1017">
        <v>6005419.6799999904</v>
      </c>
      <c r="AH1017" s="8" t="s">
        <v>2287</v>
      </c>
      <c r="AI1017" s="8" t="s">
        <v>2288</v>
      </c>
      <c r="AJ1017" s="8" t="s">
        <v>2289</v>
      </c>
      <c r="AK1017" s="8" t="s">
        <v>2290</v>
      </c>
      <c r="AL1017" s="8" t="s">
        <v>742</v>
      </c>
      <c r="AM1017" s="8" t="s">
        <v>743</v>
      </c>
      <c r="AN1017" s="8" t="s">
        <v>2142</v>
      </c>
      <c r="AO1017" s="8" t="s">
        <v>2143</v>
      </c>
      <c r="AP1017" s="8" t="s">
        <v>2143</v>
      </c>
      <c r="AQ1017" s="8" t="s">
        <v>124</v>
      </c>
      <c r="AR1017" s="8" t="s">
        <v>125</v>
      </c>
      <c r="AS1017">
        <v>1</v>
      </c>
      <c r="AT1017" s="8" t="s">
        <v>106</v>
      </c>
      <c r="AU1017" s="8" t="s">
        <v>2291</v>
      </c>
      <c r="AV1017" s="8" t="s">
        <v>2292</v>
      </c>
      <c r="AW1017">
        <v>1</v>
      </c>
      <c r="AX1017" s="8" t="s">
        <v>2253</v>
      </c>
      <c r="AY1017">
        <v>592800</v>
      </c>
      <c r="AZ1017">
        <v>6005420</v>
      </c>
      <c r="BA1017">
        <v>83434.33</v>
      </c>
      <c r="BB1017">
        <v>10.1305999999999</v>
      </c>
      <c r="BC1017" s="8" t="s">
        <v>130</v>
      </c>
      <c r="BD1017" s="8" t="s">
        <v>112</v>
      </c>
      <c r="BE1017" s="8" t="s">
        <v>2293</v>
      </c>
      <c r="BF1017" s="8" t="s">
        <v>133</v>
      </c>
      <c r="BG1017" s="8" t="s">
        <v>2294</v>
      </c>
      <c r="BH1017" s="8" t="s">
        <v>112</v>
      </c>
      <c r="BI1017" s="8" t="s">
        <v>2295</v>
      </c>
      <c r="BJ1017" s="8" t="s">
        <v>112</v>
      </c>
      <c r="BK1017" s="8" t="s">
        <v>2296</v>
      </c>
      <c r="BL1017" s="8" t="s">
        <v>2297</v>
      </c>
      <c r="BM1017" s="8" t="s">
        <v>2298</v>
      </c>
      <c r="BN1017" s="8" t="s">
        <v>2299</v>
      </c>
      <c r="BO1017">
        <v>1</v>
      </c>
      <c r="BP1017" s="8" t="s">
        <v>2300</v>
      </c>
      <c r="BR1017" s="8" t="s">
        <v>2301</v>
      </c>
      <c r="BS1017">
        <v>26</v>
      </c>
      <c r="BT1017">
        <v>1</v>
      </c>
      <c r="BU1017">
        <v>312</v>
      </c>
      <c r="BV1017" t="s">
        <v>2147</v>
      </c>
      <c r="BY1017" s="8" t="s">
        <v>106</v>
      </c>
      <c r="BZ1017" s="8" t="s">
        <v>2148</v>
      </c>
      <c r="CA1017" s="8" t="s">
        <v>112</v>
      </c>
      <c r="CB1017" s="8" t="s">
        <v>112</v>
      </c>
      <c r="CC1017" s="8" t="s">
        <v>2142</v>
      </c>
      <c r="CD1017">
        <v>10751</v>
      </c>
      <c r="CE1017" t="s">
        <v>2302</v>
      </c>
      <c r="CF1017">
        <v>7800000</v>
      </c>
      <c r="CG1017">
        <v>9672</v>
      </c>
      <c r="CI1017" s="8" t="s">
        <v>112</v>
      </c>
      <c r="CJ1017" s="8" t="s">
        <v>112</v>
      </c>
      <c r="CK1017">
        <v>592800</v>
      </c>
      <c r="CL1017">
        <v>6005420</v>
      </c>
      <c r="CM1017">
        <v>0</v>
      </c>
      <c r="CN1017">
        <v>1</v>
      </c>
      <c r="CO1017">
        <v>6005419.6799999904</v>
      </c>
      <c r="CP1017">
        <v>83434.33</v>
      </c>
      <c r="CQ1017" s="8" t="s">
        <v>145</v>
      </c>
      <c r="CR1017">
        <v>8.6264000000000003</v>
      </c>
      <c r="CV1017" t="s">
        <v>2303</v>
      </c>
      <c r="CW1017">
        <v>158</v>
      </c>
    </row>
    <row r="1018" spans="1:101" x14ac:dyDescent="0.2">
      <c r="A1018" s="8" t="s">
        <v>106</v>
      </c>
      <c r="B1018" s="46">
        <v>45268</v>
      </c>
      <c r="C1018" s="8" t="s">
        <v>2282</v>
      </c>
      <c r="D1018" s="8" t="s">
        <v>731</v>
      </c>
      <c r="E1018" s="8" t="s">
        <v>2283</v>
      </c>
      <c r="F1018" t="s">
        <v>110</v>
      </c>
      <c r="G1018" s="8" t="s">
        <v>2284</v>
      </c>
      <c r="H1018" s="8" t="s">
        <v>112</v>
      </c>
      <c r="I1018" s="8" t="s">
        <v>112</v>
      </c>
      <c r="J1018" s="8" t="s">
        <v>112</v>
      </c>
      <c r="K1018" s="8" t="s">
        <v>2285</v>
      </c>
      <c r="L1018" s="8" t="s">
        <v>2286</v>
      </c>
      <c r="M1018" s="8" t="s">
        <v>112</v>
      </c>
      <c r="N1018" s="8" t="s">
        <v>112</v>
      </c>
      <c r="O1018">
        <v>1</v>
      </c>
      <c r="P1018">
        <v>0</v>
      </c>
      <c r="Q1018">
        <v>1</v>
      </c>
      <c r="R1018">
        <v>26</v>
      </c>
      <c r="S1018" s="8" t="s">
        <v>2287</v>
      </c>
      <c r="T1018" s="8" t="s">
        <v>2288</v>
      </c>
      <c r="U1018" s="8" t="s">
        <v>2289</v>
      </c>
      <c r="V1018" s="8" t="s">
        <v>2290</v>
      </c>
      <c r="W1018" s="8" t="s">
        <v>742</v>
      </c>
      <c r="X1018" s="8" t="s">
        <v>743</v>
      </c>
      <c r="Y1018" s="8" t="s">
        <v>2287</v>
      </c>
      <c r="Z1018" s="8" t="s">
        <v>2288</v>
      </c>
      <c r="AA1018" s="8" t="s">
        <v>2289</v>
      </c>
      <c r="AB1018" s="8" t="s">
        <v>2290</v>
      </c>
      <c r="AC1018" s="8" t="s">
        <v>742</v>
      </c>
      <c r="AD1018" s="8" t="s">
        <v>743</v>
      </c>
      <c r="AE1018" s="8" t="s">
        <v>2142</v>
      </c>
      <c r="AF1018" s="8" t="s">
        <v>2143</v>
      </c>
      <c r="AG1018">
        <v>6005419.6799999904</v>
      </c>
      <c r="AH1018" s="8" t="s">
        <v>2287</v>
      </c>
      <c r="AI1018" s="8" t="s">
        <v>2288</v>
      </c>
      <c r="AJ1018" s="8" t="s">
        <v>2289</v>
      </c>
      <c r="AK1018" s="8" t="s">
        <v>2290</v>
      </c>
      <c r="AL1018" s="8" t="s">
        <v>742</v>
      </c>
      <c r="AM1018" s="8" t="s">
        <v>743</v>
      </c>
      <c r="AN1018" s="8" t="s">
        <v>2142</v>
      </c>
      <c r="AO1018" s="8" t="s">
        <v>2143</v>
      </c>
      <c r="AP1018" s="8" t="s">
        <v>2143</v>
      </c>
      <c r="AQ1018" s="8" t="s">
        <v>124</v>
      </c>
      <c r="AR1018" s="8" t="s">
        <v>125</v>
      </c>
      <c r="AS1018">
        <v>1</v>
      </c>
      <c r="AT1018" s="8" t="s">
        <v>106</v>
      </c>
      <c r="AU1018" s="8" t="s">
        <v>2291</v>
      </c>
      <c r="AV1018" s="8" t="s">
        <v>2292</v>
      </c>
      <c r="AW1018">
        <v>1</v>
      </c>
      <c r="AX1018" s="8" t="s">
        <v>2253</v>
      </c>
      <c r="AY1018">
        <v>592800</v>
      </c>
      <c r="AZ1018">
        <v>6005420</v>
      </c>
      <c r="BA1018">
        <v>83434.33</v>
      </c>
      <c r="BB1018">
        <v>10.1305999999999</v>
      </c>
      <c r="BC1018" s="8" t="s">
        <v>130</v>
      </c>
      <c r="BD1018" s="8" t="s">
        <v>112</v>
      </c>
      <c r="BE1018" s="8" t="s">
        <v>2293</v>
      </c>
      <c r="BF1018" s="8" t="s">
        <v>133</v>
      </c>
      <c r="BG1018" s="8" t="s">
        <v>2294</v>
      </c>
      <c r="BH1018" s="8" t="s">
        <v>112</v>
      </c>
      <c r="BI1018" s="8" t="s">
        <v>2295</v>
      </c>
      <c r="BJ1018" s="8" t="s">
        <v>112</v>
      </c>
      <c r="BK1018" s="8" t="s">
        <v>2296</v>
      </c>
      <c r="BL1018" s="8" t="s">
        <v>2297</v>
      </c>
      <c r="BM1018" s="8" t="s">
        <v>2298</v>
      </c>
      <c r="BN1018" s="8" t="s">
        <v>2299</v>
      </c>
      <c r="BO1018">
        <v>1</v>
      </c>
      <c r="BP1018" s="8" t="s">
        <v>2300</v>
      </c>
      <c r="BR1018" s="8" t="s">
        <v>2301</v>
      </c>
      <c r="BS1018">
        <v>26</v>
      </c>
      <c r="BT1018">
        <v>1</v>
      </c>
      <c r="BU1018">
        <v>312</v>
      </c>
      <c r="BV1018" t="s">
        <v>2147</v>
      </c>
      <c r="BW1018">
        <v>0</v>
      </c>
      <c r="BY1018" s="8" t="s">
        <v>106</v>
      </c>
      <c r="BZ1018" s="8" t="s">
        <v>2148</v>
      </c>
      <c r="CA1018" s="8" t="s">
        <v>112</v>
      </c>
      <c r="CB1018" s="8" t="s">
        <v>112</v>
      </c>
      <c r="CC1018" s="8" t="s">
        <v>2142</v>
      </c>
      <c r="CD1018">
        <v>10751</v>
      </c>
      <c r="CE1018" t="s">
        <v>2302</v>
      </c>
      <c r="CF1018">
        <v>7800000</v>
      </c>
      <c r="CG1018">
        <v>9672</v>
      </c>
      <c r="CH1018">
        <v>0</v>
      </c>
      <c r="CI1018" s="8" t="s">
        <v>112</v>
      </c>
      <c r="CJ1018" s="8" t="s">
        <v>112</v>
      </c>
      <c r="CK1018">
        <v>592800</v>
      </c>
      <c r="CL1018">
        <v>6005420</v>
      </c>
      <c r="CM1018">
        <v>0</v>
      </c>
      <c r="CN1018">
        <v>1</v>
      </c>
      <c r="CO1018">
        <v>6005419.6799999904</v>
      </c>
      <c r="CP1018">
        <v>83434.33</v>
      </c>
      <c r="CQ1018" s="8" t="s">
        <v>145</v>
      </c>
      <c r="CR1018">
        <v>8.6264000000000003</v>
      </c>
      <c r="CV1018" t="s">
        <v>2303</v>
      </c>
      <c r="CW1018">
        <v>88</v>
      </c>
    </row>
    <row r="1019" spans="1:101" x14ac:dyDescent="0.2">
      <c r="A1019" s="8" t="s">
        <v>106</v>
      </c>
      <c r="B1019" s="46">
        <v>45017</v>
      </c>
      <c r="C1019" s="8" t="s">
        <v>2329</v>
      </c>
      <c r="D1019" s="8" t="s">
        <v>731</v>
      </c>
      <c r="E1019" s="8" t="s">
        <v>2330</v>
      </c>
      <c r="F1019" t="s">
        <v>110</v>
      </c>
      <c r="G1019" s="8" t="s">
        <v>2284</v>
      </c>
      <c r="H1019" s="8" t="s">
        <v>112</v>
      </c>
      <c r="I1019" s="8" t="s">
        <v>112</v>
      </c>
      <c r="J1019" s="8" t="s">
        <v>112</v>
      </c>
      <c r="K1019" s="8" t="s">
        <v>2331</v>
      </c>
      <c r="L1019" s="8" t="s">
        <v>2332</v>
      </c>
      <c r="M1019" s="8" t="s">
        <v>112</v>
      </c>
      <c r="N1019" s="8" t="s">
        <v>112</v>
      </c>
      <c r="O1019">
        <v>2</v>
      </c>
      <c r="P1019">
        <v>0</v>
      </c>
      <c r="Q1019">
        <v>4</v>
      </c>
      <c r="R1019">
        <v>4</v>
      </c>
      <c r="S1019" s="8" t="s">
        <v>2333</v>
      </c>
      <c r="T1019" s="8" t="s">
        <v>2334</v>
      </c>
      <c r="U1019" s="8" t="s">
        <v>2335</v>
      </c>
      <c r="V1019" s="8" t="s">
        <v>2336</v>
      </c>
      <c r="W1019" s="8" t="s">
        <v>742</v>
      </c>
      <c r="X1019" s="8" t="s">
        <v>743</v>
      </c>
      <c r="Y1019" s="8" t="s">
        <v>2333</v>
      </c>
      <c r="Z1019" s="8" t="s">
        <v>2334</v>
      </c>
      <c r="AA1019" s="8" t="s">
        <v>2335</v>
      </c>
      <c r="AB1019" s="8" t="s">
        <v>2336</v>
      </c>
      <c r="AC1019" s="8" t="s">
        <v>742</v>
      </c>
      <c r="AD1019" s="8" t="s">
        <v>743</v>
      </c>
      <c r="AE1019" s="8" t="s">
        <v>2163</v>
      </c>
      <c r="AF1019" s="8" t="s">
        <v>2164</v>
      </c>
      <c r="AG1019">
        <v>1283302.67</v>
      </c>
      <c r="AH1019" s="8" t="s">
        <v>2333</v>
      </c>
      <c r="AI1019" s="8" t="s">
        <v>2334</v>
      </c>
      <c r="AJ1019" s="8" t="s">
        <v>2335</v>
      </c>
      <c r="AK1019" s="8" t="s">
        <v>2336</v>
      </c>
      <c r="AL1019" s="8" t="s">
        <v>742</v>
      </c>
      <c r="AM1019" s="8" t="s">
        <v>743</v>
      </c>
      <c r="AN1019" s="8" t="s">
        <v>2163</v>
      </c>
      <c r="AO1019" s="8" t="s">
        <v>2164</v>
      </c>
      <c r="AP1019" s="8" t="s">
        <v>2164</v>
      </c>
      <c r="AQ1019" s="8" t="s">
        <v>124</v>
      </c>
      <c r="AR1019" s="8" t="s">
        <v>125</v>
      </c>
      <c r="AS1019">
        <v>2</v>
      </c>
      <c r="AT1019" s="8" t="s">
        <v>126</v>
      </c>
      <c r="AU1019" s="8" t="s">
        <v>155</v>
      </c>
      <c r="AV1019" s="8" t="s">
        <v>2337</v>
      </c>
      <c r="AW1019">
        <v>1</v>
      </c>
      <c r="AX1019" s="8" t="s">
        <v>129</v>
      </c>
      <c r="AY1019">
        <v>15147</v>
      </c>
      <c r="AZ1019">
        <v>1152331</v>
      </c>
      <c r="BA1019">
        <v>17829.14</v>
      </c>
      <c r="BB1019">
        <v>76.076499999999896</v>
      </c>
      <c r="BC1019" s="8" t="s">
        <v>130</v>
      </c>
      <c r="BD1019" s="8" t="s">
        <v>112</v>
      </c>
      <c r="BE1019" s="8" t="s">
        <v>2338</v>
      </c>
      <c r="BF1019" s="8" t="s">
        <v>133</v>
      </c>
      <c r="BG1019" s="8" t="s">
        <v>167</v>
      </c>
      <c r="BH1019" s="8" t="s">
        <v>2339</v>
      </c>
      <c r="BI1019" s="8" t="s">
        <v>112</v>
      </c>
      <c r="BJ1019" s="8" t="s">
        <v>112</v>
      </c>
      <c r="BK1019" s="8" t="s">
        <v>749</v>
      </c>
      <c r="BL1019" s="8" t="s">
        <v>2340</v>
      </c>
      <c r="BM1019" s="8" t="s">
        <v>2341</v>
      </c>
      <c r="BN1019" s="8" t="s">
        <v>2299</v>
      </c>
      <c r="BO1019">
        <v>1</v>
      </c>
      <c r="BP1019" s="8" t="s">
        <v>2342</v>
      </c>
      <c r="BR1019" s="8" t="s">
        <v>2343</v>
      </c>
      <c r="BS1019">
        <v>4</v>
      </c>
      <c r="BT1019">
        <v>0</v>
      </c>
      <c r="BU1019">
        <v>45</v>
      </c>
      <c r="BV1019" t="s">
        <v>2147</v>
      </c>
      <c r="BW1019">
        <v>0</v>
      </c>
      <c r="BY1019" s="8" t="s">
        <v>106</v>
      </c>
      <c r="BZ1019" s="8" t="s">
        <v>2148</v>
      </c>
      <c r="CA1019" s="8" t="s">
        <v>112</v>
      </c>
      <c r="CB1019" s="8" t="s">
        <v>112</v>
      </c>
      <c r="CC1019" s="8" t="s">
        <v>2163</v>
      </c>
      <c r="CD1019">
        <v>1261.2139999999899</v>
      </c>
      <c r="CE1019" t="s">
        <v>2302</v>
      </c>
      <c r="CF1019">
        <v>7800000</v>
      </c>
      <c r="CG1019">
        <v>1244.7</v>
      </c>
      <c r="CH1019">
        <v>0</v>
      </c>
      <c r="CI1019" s="8" t="s">
        <v>112</v>
      </c>
      <c r="CJ1019" s="8" t="s">
        <v>112</v>
      </c>
      <c r="CK1019">
        <v>14850</v>
      </c>
      <c r="CL1019">
        <v>1129736</v>
      </c>
      <c r="CM1019">
        <v>0</v>
      </c>
      <c r="CN1019">
        <v>1</v>
      </c>
      <c r="CO1019">
        <v>1260255.08</v>
      </c>
      <c r="CP1019">
        <v>17508.9399999999</v>
      </c>
      <c r="CQ1019" s="8" t="s">
        <v>145</v>
      </c>
      <c r="CR1019">
        <v>14.066800000000001</v>
      </c>
      <c r="CV1019" t="s">
        <v>2344</v>
      </c>
      <c r="CW1019">
        <v>157</v>
      </c>
    </row>
    <row r="1020" spans="1:101" x14ac:dyDescent="0.2">
      <c r="A1020" t="s">
        <v>106</v>
      </c>
      <c r="B1020" s="46">
        <v>45036</v>
      </c>
      <c r="C1020" t="s">
        <v>730</v>
      </c>
      <c r="D1020" t="s">
        <v>731</v>
      </c>
      <c r="E1020" t="s">
        <v>732</v>
      </c>
      <c r="F1020" t="s">
        <v>110</v>
      </c>
      <c r="G1020" t="s">
        <v>733</v>
      </c>
      <c r="H1020" t="s">
        <v>112</v>
      </c>
      <c r="I1020" t="s">
        <v>112</v>
      </c>
      <c r="J1020" t="s">
        <v>112</v>
      </c>
      <c r="K1020" t="s">
        <v>734</v>
      </c>
      <c r="L1020" t="s">
        <v>735</v>
      </c>
      <c r="M1020" t="s">
        <v>112</v>
      </c>
      <c r="N1020" t="s">
        <v>112</v>
      </c>
      <c r="O1020">
        <v>2</v>
      </c>
      <c r="P1020">
        <v>0</v>
      </c>
      <c r="Q1020">
        <v>2</v>
      </c>
      <c r="R1020">
        <v>33</v>
      </c>
      <c r="S1020" t="s">
        <v>112</v>
      </c>
      <c r="T1020" t="s">
        <v>112</v>
      </c>
      <c r="U1020" t="s">
        <v>736</v>
      </c>
      <c r="V1020" t="s">
        <v>737</v>
      </c>
      <c r="W1020" t="s">
        <v>112</v>
      </c>
      <c r="X1020" t="s">
        <v>112</v>
      </c>
      <c r="Y1020" t="s">
        <v>738</v>
      </c>
      <c r="Z1020" t="s">
        <v>739</v>
      </c>
      <c r="AA1020" t="s">
        <v>740</v>
      </c>
      <c r="AB1020" t="s">
        <v>741</v>
      </c>
      <c r="AC1020" t="s">
        <v>742</v>
      </c>
      <c r="AD1020" t="s">
        <v>743</v>
      </c>
      <c r="AE1020" t="s">
        <v>121</v>
      </c>
      <c r="AF1020" t="s">
        <v>122</v>
      </c>
      <c r="AG1020">
        <v>0</v>
      </c>
      <c r="AH1020" t="s">
        <v>738</v>
      </c>
      <c r="AI1020" t="s">
        <v>739</v>
      </c>
      <c r="AJ1020" t="s">
        <v>740</v>
      </c>
      <c r="AK1020" t="s">
        <v>741</v>
      </c>
      <c r="AL1020" t="s">
        <v>742</v>
      </c>
      <c r="AM1020" t="s">
        <v>743</v>
      </c>
      <c r="AN1020" t="s">
        <v>121</v>
      </c>
      <c r="AO1020" t="s">
        <v>122</v>
      </c>
      <c r="AP1020" t="s">
        <v>122</v>
      </c>
      <c r="AQ1020" t="s">
        <v>124</v>
      </c>
      <c r="AR1020" t="s">
        <v>125</v>
      </c>
      <c r="AS1020">
        <v>2</v>
      </c>
      <c r="AT1020" t="s">
        <v>126</v>
      </c>
      <c r="AU1020" t="s">
        <v>127</v>
      </c>
      <c r="AV1020" t="s">
        <v>744</v>
      </c>
      <c r="AW1020">
        <v>1</v>
      </c>
      <c r="AX1020" t="s">
        <v>129</v>
      </c>
      <c r="AY1020">
        <v>22054.240000000002</v>
      </c>
      <c r="AZ1020">
        <v>1817100</v>
      </c>
      <c r="BA1020">
        <v>27432.67</v>
      </c>
      <c r="BB1020">
        <v>82.392300000000006</v>
      </c>
      <c r="BC1020" t="s">
        <v>745</v>
      </c>
      <c r="BD1020" t="s">
        <v>746</v>
      </c>
      <c r="BE1020" t="s">
        <v>747</v>
      </c>
      <c r="BF1020" t="s">
        <v>133</v>
      </c>
      <c r="BG1020" t="s">
        <v>167</v>
      </c>
      <c r="BH1020" t="s">
        <v>748</v>
      </c>
      <c r="BI1020" t="s">
        <v>112</v>
      </c>
      <c r="BJ1020" t="s">
        <v>112</v>
      </c>
      <c r="BK1020" t="s">
        <v>749</v>
      </c>
      <c r="BL1020" t="s">
        <v>750</v>
      </c>
      <c r="BM1020" t="s">
        <v>751</v>
      </c>
      <c r="BN1020" t="s">
        <v>752</v>
      </c>
      <c r="BO1020">
        <v>1</v>
      </c>
      <c r="BP1020" t="s">
        <v>466</v>
      </c>
      <c r="BR1020" t="s">
        <v>734</v>
      </c>
      <c r="BS1020">
        <v>9</v>
      </c>
      <c r="BT1020">
        <v>0</v>
      </c>
      <c r="BU1020">
        <v>0</v>
      </c>
      <c r="BW1020">
        <v>0</v>
      </c>
      <c r="BY1020" t="s">
        <v>106</v>
      </c>
      <c r="BZ1020" t="s">
        <v>597</v>
      </c>
      <c r="CA1020" t="s">
        <v>112</v>
      </c>
      <c r="CB1020" t="s">
        <v>112</v>
      </c>
      <c r="CC1020" t="s">
        <v>121</v>
      </c>
      <c r="CD1020">
        <v>4409.1719999999996</v>
      </c>
      <c r="CE1020" t="s">
        <v>753</v>
      </c>
      <c r="CF1020">
        <v>7000000</v>
      </c>
      <c r="CG1020">
        <v>4404.6719999999996</v>
      </c>
      <c r="CH1020">
        <v>0</v>
      </c>
      <c r="CI1020" t="s">
        <v>112</v>
      </c>
      <c r="CJ1020" t="s">
        <v>112</v>
      </c>
      <c r="CK1020">
        <v>5949.21</v>
      </c>
      <c r="CL1020">
        <v>490169</v>
      </c>
      <c r="CO1020">
        <v>0</v>
      </c>
      <c r="CP1020">
        <v>7241.88</v>
      </c>
      <c r="CQ1020" t="s">
        <v>145</v>
      </c>
      <c r="CR1020">
        <v>7241.7212351999988</v>
      </c>
      <c r="CS1020">
        <v>1.6440999999999999</v>
      </c>
      <c r="CT1020">
        <v>1446</v>
      </c>
      <c r="CU1020" t="s">
        <v>754</v>
      </c>
      <c r="CV1020" t="s">
        <v>755</v>
      </c>
      <c r="CW1020">
        <v>368</v>
      </c>
    </row>
    <row r="1021" spans="1:101" x14ac:dyDescent="0.2">
      <c r="A1021" t="s">
        <v>106</v>
      </c>
      <c r="B1021" s="46">
        <v>44965</v>
      </c>
      <c r="C1021" t="s">
        <v>730</v>
      </c>
      <c r="D1021" t="s">
        <v>731</v>
      </c>
      <c r="E1021" t="s">
        <v>732</v>
      </c>
      <c r="F1021" t="s">
        <v>110</v>
      </c>
      <c r="G1021" t="s">
        <v>733</v>
      </c>
      <c r="H1021" t="s">
        <v>112</v>
      </c>
      <c r="I1021" t="s">
        <v>112</v>
      </c>
      <c r="J1021" t="s">
        <v>112</v>
      </c>
      <c r="K1021" t="s">
        <v>734</v>
      </c>
      <c r="L1021" t="s">
        <v>735</v>
      </c>
      <c r="M1021" t="s">
        <v>112</v>
      </c>
      <c r="N1021" t="s">
        <v>112</v>
      </c>
      <c r="O1021">
        <v>2</v>
      </c>
      <c r="P1021">
        <v>0</v>
      </c>
      <c r="Q1021">
        <v>2</v>
      </c>
      <c r="R1021">
        <v>33</v>
      </c>
      <c r="S1021" t="s">
        <v>112</v>
      </c>
      <c r="T1021" t="s">
        <v>112</v>
      </c>
      <c r="U1021" t="s">
        <v>736</v>
      </c>
      <c r="V1021" t="s">
        <v>737</v>
      </c>
      <c r="W1021" t="s">
        <v>112</v>
      </c>
      <c r="X1021" t="s">
        <v>112</v>
      </c>
      <c r="Y1021" t="s">
        <v>738</v>
      </c>
      <c r="Z1021" t="s">
        <v>739</v>
      </c>
      <c r="AA1021" t="s">
        <v>740</v>
      </c>
      <c r="AB1021" t="s">
        <v>741</v>
      </c>
      <c r="AC1021" t="s">
        <v>742</v>
      </c>
      <c r="AD1021" t="s">
        <v>743</v>
      </c>
      <c r="AE1021" t="s">
        <v>121</v>
      </c>
      <c r="AF1021" t="s">
        <v>122</v>
      </c>
      <c r="AG1021">
        <v>0</v>
      </c>
      <c r="AH1021" t="s">
        <v>738</v>
      </c>
      <c r="AI1021" t="s">
        <v>739</v>
      </c>
      <c r="AJ1021" t="s">
        <v>740</v>
      </c>
      <c r="AK1021" t="s">
        <v>741</v>
      </c>
      <c r="AL1021" t="s">
        <v>742</v>
      </c>
      <c r="AM1021" t="s">
        <v>743</v>
      </c>
      <c r="AN1021" t="s">
        <v>121</v>
      </c>
      <c r="AO1021" t="s">
        <v>122</v>
      </c>
      <c r="AP1021" t="s">
        <v>122</v>
      </c>
      <c r="AQ1021" t="s">
        <v>124</v>
      </c>
      <c r="AR1021" t="s">
        <v>125</v>
      </c>
      <c r="AS1021">
        <v>2</v>
      </c>
      <c r="AT1021" t="s">
        <v>126</v>
      </c>
      <c r="AU1021" t="s">
        <v>127</v>
      </c>
      <c r="AV1021" t="s">
        <v>744</v>
      </c>
      <c r="AW1021">
        <v>1</v>
      </c>
      <c r="AX1021" t="s">
        <v>129</v>
      </c>
      <c r="AY1021">
        <v>22054.240000000002</v>
      </c>
      <c r="AZ1021">
        <v>1817100</v>
      </c>
      <c r="BA1021">
        <v>27432.67</v>
      </c>
      <c r="BB1021">
        <v>82.392300000000006</v>
      </c>
      <c r="BC1021" t="s">
        <v>745</v>
      </c>
      <c r="BD1021" t="s">
        <v>746</v>
      </c>
      <c r="BE1021" t="s">
        <v>747</v>
      </c>
      <c r="BF1021" t="s">
        <v>133</v>
      </c>
      <c r="BG1021" t="s">
        <v>167</v>
      </c>
      <c r="BH1021" t="s">
        <v>748</v>
      </c>
      <c r="BI1021" t="s">
        <v>112</v>
      </c>
      <c r="BJ1021" t="s">
        <v>112</v>
      </c>
      <c r="BK1021" t="s">
        <v>749</v>
      </c>
      <c r="BL1021" t="s">
        <v>750</v>
      </c>
      <c r="BM1021" t="s">
        <v>751</v>
      </c>
      <c r="BN1021" t="s">
        <v>752</v>
      </c>
      <c r="BO1021">
        <v>2</v>
      </c>
      <c r="BP1021" t="s">
        <v>466</v>
      </c>
      <c r="BR1021" t="s">
        <v>734</v>
      </c>
      <c r="BS1021">
        <v>24</v>
      </c>
      <c r="BT1021">
        <v>0</v>
      </c>
      <c r="BU1021">
        <v>0</v>
      </c>
      <c r="BW1021">
        <v>0</v>
      </c>
      <c r="BY1021" t="s">
        <v>596</v>
      </c>
      <c r="BZ1021" t="s">
        <v>758</v>
      </c>
      <c r="CA1021" t="s">
        <v>112</v>
      </c>
      <c r="CB1021" t="s">
        <v>112</v>
      </c>
      <c r="CC1021" t="s">
        <v>121</v>
      </c>
      <c r="CD1021">
        <v>15050.828</v>
      </c>
      <c r="CE1021" t="s">
        <v>753</v>
      </c>
      <c r="CF1021">
        <v>7000000</v>
      </c>
      <c r="CG1021">
        <v>15038.825999999999</v>
      </c>
      <c r="CH1021">
        <v>0</v>
      </c>
      <c r="CI1021" t="s">
        <v>112</v>
      </c>
      <c r="CJ1021" t="s">
        <v>112</v>
      </c>
      <c r="CK1021">
        <v>16105.03</v>
      </c>
      <c r="CL1021">
        <v>1326930</v>
      </c>
      <c r="CO1021">
        <v>0</v>
      </c>
      <c r="CP1021">
        <v>20190.79</v>
      </c>
      <c r="CQ1021" t="s">
        <v>145</v>
      </c>
      <c r="CR1021">
        <v>20191.127787599999</v>
      </c>
      <c r="CS1021">
        <v>1.3426</v>
      </c>
      <c r="CT1021">
        <v>1446</v>
      </c>
      <c r="CU1021" t="s">
        <v>754</v>
      </c>
      <c r="CV1021" t="s">
        <v>755</v>
      </c>
      <c r="CW1021">
        <v>368</v>
      </c>
    </row>
    <row r="1022" spans="1:101" x14ac:dyDescent="0.2">
      <c r="A1022" s="8" t="s">
        <v>106</v>
      </c>
      <c r="B1022" s="46">
        <v>44976</v>
      </c>
      <c r="C1022" s="8" t="s">
        <v>2616</v>
      </c>
      <c r="D1022" s="8" t="s">
        <v>731</v>
      </c>
      <c r="E1022" s="8" t="s">
        <v>2617</v>
      </c>
      <c r="F1022" t="s">
        <v>110</v>
      </c>
      <c r="G1022" s="8" t="s">
        <v>2284</v>
      </c>
      <c r="H1022" s="8" t="s">
        <v>112</v>
      </c>
      <c r="I1022" s="8" t="s">
        <v>112</v>
      </c>
      <c r="J1022" s="8" t="s">
        <v>112</v>
      </c>
      <c r="K1022" s="8" t="s">
        <v>2564</v>
      </c>
      <c r="L1022" s="8" t="s">
        <v>2565</v>
      </c>
      <c r="M1022" s="8" t="s">
        <v>112</v>
      </c>
      <c r="N1022" s="8" t="s">
        <v>112</v>
      </c>
      <c r="O1022">
        <v>1</v>
      </c>
      <c r="Q1022">
        <v>1</v>
      </c>
      <c r="R1022">
        <v>23</v>
      </c>
      <c r="S1022" s="8" t="s">
        <v>2287</v>
      </c>
      <c r="T1022" s="8" t="s">
        <v>2288</v>
      </c>
      <c r="U1022" s="8" t="s">
        <v>2289</v>
      </c>
      <c r="V1022" s="8" t="s">
        <v>2290</v>
      </c>
      <c r="W1022" s="8" t="s">
        <v>742</v>
      </c>
      <c r="X1022" s="8" t="s">
        <v>743</v>
      </c>
      <c r="Y1022" s="8" t="s">
        <v>2287</v>
      </c>
      <c r="Z1022" s="8" t="s">
        <v>2288</v>
      </c>
      <c r="AA1022" s="8" t="s">
        <v>2289</v>
      </c>
      <c r="AB1022" s="8" t="s">
        <v>2290</v>
      </c>
      <c r="AC1022" s="8" t="s">
        <v>742</v>
      </c>
      <c r="AD1022" s="8" t="s">
        <v>743</v>
      </c>
      <c r="AE1022" s="8" t="s">
        <v>2569</v>
      </c>
      <c r="AF1022" s="8" t="s">
        <v>2570</v>
      </c>
      <c r="AG1022">
        <v>8256520.7300000004</v>
      </c>
      <c r="AH1022" s="8" t="s">
        <v>2287</v>
      </c>
      <c r="AI1022" s="8" t="s">
        <v>2288</v>
      </c>
      <c r="AJ1022" s="8" t="s">
        <v>2289</v>
      </c>
      <c r="AK1022" s="8" t="s">
        <v>2290</v>
      </c>
      <c r="AL1022" s="8" t="s">
        <v>742</v>
      </c>
      <c r="AM1022" s="8" t="s">
        <v>743</v>
      </c>
      <c r="AN1022" s="8" t="s">
        <v>2569</v>
      </c>
      <c r="AO1022" s="8" t="s">
        <v>2570</v>
      </c>
      <c r="AP1022" s="8" t="s">
        <v>2570</v>
      </c>
      <c r="AQ1022" s="8" t="s">
        <v>124</v>
      </c>
      <c r="AR1022" s="8" t="s">
        <v>125</v>
      </c>
      <c r="AS1022">
        <v>1</v>
      </c>
      <c r="AT1022" s="8" t="s">
        <v>106</v>
      </c>
      <c r="AU1022" s="8" t="s">
        <v>2291</v>
      </c>
      <c r="AV1022" s="8" t="s">
        <v>2292</v>
      </c>
      <c r="AW1022">
        <v>1</v>
      </c>
      <c r="AX1022" s="8" t="s">
        <v>129</v>
      </c>
      <c r="AY1022">
        <v>113040</v>
      </c>
      <c r="AZ1022">
        <v>8256521</v>
      </c>
      <c r="BA1022">
        <v>120224.25</v>
      </c>
      <c r="BB1022">
        <v>73.040700000000001</v>
      </c>
      <c r="BC1022" s="8" t="s">
        <v>130</v>
      </c>
      <c r="BD1022" s="8" t="s">
        <v>145</v>
      </c>
      <c r="BE1022" s="8" t="s">
        <v>2618</v>
      </c>
      <c r="BF1022" s="8" t="s">
        <v>133</v>
      </c>
      <c r="BG1022" s="8" t="s">
        <v>2294</v>
      </c>
      <c r="BH1022" s="8" t="s">
        <v>112</v>
      </c>
      <c r="BI1022" s="8" t="s">
        <v>2295</v>
      </c>
      <c r="BJ1022" s="8" t="s">
        <v>112</v>
      </c>
      <c r="BK1022" s="8" t="s">
        <v>2296</v>
      </c>
      <c r="BL1022" s="8" t="s">
        <v>2297</v>
      </c>
      <c r="BM1022" s="8" t="s">
        <v>2298</v>
      </c>
      <c r="BN1022" s="8" t="s">
        <v>2299</v>
      </c>
      <c r="BO1022">
        <v>1</v>
      </c>
      <c r="BP1022" s="8" t="s">
        <v>2300</v>
      </c>
      <c r="BR1022" s="8" t="s">
        <v>2572</v>
      </c>
      <c r="BS1022">
        <v>23</v>
      </c>
      <c r="BT1022">
        <v>1</v>
      </c>
      <c r="BU1022">
        <v>270</v>
      </c>
      <c r="BV1022" t="s">
        <v>2147</v>
      </c>
      <c r="BY1022" s="8" t="s">
        <v>106</v>
      </c>
      <c r="BZ1022" s="8" t="s">
        <v>2148</v>
      </c>
      <c r="CA1022" s="8" t="s">
        <v>112</v>
      </c>
      <c r="CB1022" s="8" t="s">
        <v>112</v>
      </c>
      <c r="CC1022" s="8" t="s">
        <v>2569</v>
      </c>
      <c r="CD1022">
        <v>11130</v>
      </c>
      <c r="CE1022" t="s">
        <v>2302</v>
      </c>
      <c r="CF1022">
        <v>7800000</v>
      </c>
      <c r="CG1022">
        <v>10353.9</v>
      </c>
      <c r="CI1022" s="8" t="s">
        <v>112</v>
      </c>
      <c r="CJ1022" s="8" t="s">
        <v>112</v>
      </c>
      <c r="CK1022">
        <v>113040</v>
      </c>
      <c r="CL1022">
        <v>8256521</v>
      </c>
      <c r="CM1022">
        <v>0</v>
      </c>
      <c r="CN1022">
        <v>1</v>
      </c>
      <c r="CO1022">
        <v>8256520.7300000004</v>
      </c>
      <c r="CP1022">
        <v>120224.25</v>
      </c>
      <c r="CQ1022" s="8" t="s">
        <v>145</v>
      </c>
      <c r="CR1022">
        <v>11.611499999999999</v>
      </c>
      <c r="CV1022" t="s">
        <v>2303</v>
      </c>
      <c r="CW1022">
        <v>107</v>
      </c>
    </row>
    <row r="1023" spans="1:101" x14ac:dyDescent="0.2">
      <c r="A1023" s="8" t="s">
        <v>106</v>
      </c>
      <c r="B1023" s="46">
        <v>45225</v>
      </c>
      <c r="C1023" s="8" t="s">
        <v>2562</v>
      </c>
      <c r="D1023" s="8" t="s">
        <v>731</v>
      </c>
      <c r="E1023" s="8" t="s">
        <v>2563</v>
      </c>
      <c r="F1023" t="s">
        <v>110</v>
      </c>
      <c r="G1023" s="8" t="s">
        <v>2284</v>
      </c>
      <c r="H1023" s="8" t="s">
        <v>112</v>
      </c>
      <c r="I1023" s="8" t="s">
        <v>112</v>
      </c>
      <c r="J1023" s="8" t="s">
        <v>112</v>
      </c>
      <c r="K1023" s="8" t="s">
        <v>2564</v>
      </c>
      <c r="L1023" s="8" t="s">
        <v>2565</v>
      </c>
      <c r="M1023" s="8" t="s">
        <v>112</v>
      </c>
      <c r="N1023" s="8" t="s">
        <v>112</v>
      </c>
      <c r="O1023">
        <v>1</v>
      </c>
      <c r="P1023">
        <v>0</v>
      </c>
      <c r="Q1023">
        <v>1</v>
      </c>
      <c r="R1023">
        <v>23</v>
      </c>
      <c r="S1023" s="8" t="s">
        <v>2566</v>
      </c>
      <c r="T1023" s="8" t="s">
        <v>2567</v>
      </c>
      <c r="U1023" s="8" t="s">
        <v>2568</v>
      </c>
      <c r="V1023" s="8" t="s">
        <v>2290</v>
      </c>
      <c r="W1023" s="8" t="s">
        <v>742</v>
      </c>
      <c r="X1023" s="8" t="s">
        <v>743</v>
      </c>
      <c r="Y1023" s="8" t="s">
        <v>2566</v>
      </c>
      <c r="Z1023" s="8" t="s">
        <v>2567</v>
      </c>
      <c r="AA1023" s="8" t="s">
        <v>2568</v>
      </c>
      <c r="AB1023" s="8" t="s">
        <v>2290</v>
      </c>
      <c r="AC1023" s="8" t="s">
        <v>742</v>
      </c>
      <c r="AD1023" s="8" t="s">
        <v>743</v>
      </c>
      <c r="AE1023" s="8" t="s">
        <v>2569</v>
      </c>
      <c r="AF1023" s="8" t="s">
        <v>2570</v>
      </c>
      <c r="AG1023">
        <v>8493172.5999999903</v>
      </c>
      <c r="AH1023" s="8" t="s">
        <v>2566</v>
      </c>
      <c r="AI1023" s="8" t="s">
        <v>2567</v>
      </c>
      <c r="AJ1023" s="8" t="s">
        <v>2568</v>
      </c>
      <c r="AK1023" s="8" t="s">
        <v>2290</v>
      </c>
      <c r="AL1023" s="8" t="s">
        <v>742</v>
      </c>
      <c r="AM1023" s="8" t="s">
        <v>743</v>
      </c>
      <c r="AN1023" s="8" t="s">
        <v>2569</v>
      </c>
      <c r="AO1023" s="8" t="s">
        <v>2570</v>
      </c>
      <c r="AP1023" s="8" t="s">
        <v>2570</v>
      </c>
      <c r="AQ1023" s="8" t="s">
        <v>124</v>
      </c>
      <c r="AR1023" s="8" t="s">
        <v>125</v>
      </c>
      <c r="AS1023">
        <v>1</v>
      </c>
      <c r="AT1023" s="8" t="s">
        <v>106</v>
      </c>
      <c r="AU1023" s="8" t="s">
        <v>2291</v>
      </c>
      <c r="AV1023" s="8" t="s">
        <v>2292</v>
      </c>
      <c r="AW1023">
        <v>1</v>
      </c>
      <c r="AX1023" s="8" t="s">
        <v>129</v>
      </c>
      <c r="AY1023">
        <v>116280</v>
      </c>
      <c r="AZ1023">
        <v>8493173</v>
      </c>
      <c r="BA1023">
        <v>123670.17</v>
      </c>
      <c r="BB1023">
        <v>73.040700000000001</v>
      </c>
      <c r="BC1023" s="8" t="s">
        <v>130</v>
      </c>
      <c r="BD1023" s="8" t="s">
        <v>145</v>
      </c>
      <c r="BE1023" s="8" t="s">
        <v>2571</v>
      </c>
      <c r="BF1023" s="8" t="s">
        <v>133</v>
      </c>
      <c r="BG1023" s="8" t="s">
        <v>2294</v>
      </c>
      <c r="BH1023" s="8" t="s">
        <v>112</v>
      </c>
      <c r="BI1023" s="8" t="s">
        <v>2295</v>
      </c>
      <c r="BJ1023" s="8" t="s">
        <v>112</v>
      </c>
      <c r="BK1023" s="8" t="s">
        <v>2296</v>
      </c>
      <c r="BL1023" s="8" t="s">
        <v>2297</v>
      </c>
      <c r="BM1023" s="8" t="s">
        <v>2298</v>
      </c>
      <c r="BN1023" s="8" t="s">
        <v>2299</v>
      </c>
      <c r="BO1023">
        <v>1</v>
      </c>
      <c r="BP1023" s="8" t="s">
        <v>2300</v>
      </c>
      <c r="BR1023" s="8" t="s">
        <v>2572</v>
      </c>
      <c r="BS1023">
        <v>23</v>
      </c>
      <c r="BT1023">
        <v>1</v>
      </c>
      <c r="BU1023">
        <v>282</v>
      </c>
      <c r="BV1023" t="s">
        <v>2147</v>
      </c>
      <c r="BW1023">
        <v>0</v>
      </c>
      <c r="BY1023" s="8" t="s">
        <v>106</v>
      </c>
      <c r="BZ1023" s="8" t="s">
        <v>2148</v>
      </c>
      <c r="CA1023" s="8" t="s">
        <v>112</v>
      </c>
      <c r="CB1023" s="8" t="s">
        <v>112</v>
      </c>
      <c r="CC1023" s="8" t="s">
        <v>2569</v>
      </c>
      <c r="CD1023">
        <v>11300</v>
      </c>
      <c r="CE1023" t="s">
        <v>2302</v>
      </c>
      <c r="CF1023">
        <v>7800000</v>
      </c>
      <c r="CG1023">
        <v>10605.48</v>
      </c>
      <c r="CH1023">
        <v>0</v>
      </c>
      <c r="CI1023" s="8" t="s">
        <v>112</v>
      </c>
      <c r="CJ1023" s="8" t="s">
        <v>112</v>
      </c>
      <c r="CK1023">
        <v>116280</v>
      </c>
      <c r="CL1023">
        <v>8493173</v>
      </c>
      <c r="CM1023">
        <v>0</v>
      </c>
      <c r="CN1023">
        <v>1</v>
      </c>
      <c r="CO1023">
        <v>8493172.5999999903</v>
      </c>
      <c r="CP1023">
        <v>123670.17</v>
      </c>
      <c r="CQ1023" s="8" t="s">
        <v>145</v>
      </c>
      <c r="CR1023">
        <v>11.661</v>
      </c>
      <c r="CV1023" t="s">
        <v>2303</v>
      </c>
      <c r="CW1023">
        <v>264</v>
      </c>
    </row>
    <row r="1024" spans="1:101" x14ac:dyDescent="0.2">
      <c r="A1024" t="s">
        <v>106</v>
      </c>
      <c r="B1024" s="46">
        <v>45260</v>
      </c>
      <c r="C1024" t="s">
        <v>2024</v>
      </c>
      <c r="D1024" t="s">
        <v>731</v>
      </c>
      <c r="E1024" t="s">
        <v>2025</v>
      </c>
      <c r="F1024" t="s">
        <v>110</v>
      </c>
      <c r="G1024" t="s">
        <v>733</v>
      </c>
      <c r="H1024" t="s">
        <v>112</v>
      </c>
      <c r="I1024" t="s">
        <v>112</v>
      </c>
      <c r="J1024" t="s">
        <v>112</v>
      </c>
      <c r="K1024" t="s">
        <v>734</v>
      </c>
      <c r="L1024" t="s">
        <v>2026</v>
      </c>
      <c r="M1024" t="s">
        <v>112</v>
      </c>
      <c r="N1024" t="s">
        <v>112</v>
      </c>
      <c r="O1024">
        <v>2</v>
      </c>
      <c r="Q1024">
        <v>2</v>
      </c>
      <c r="R1024">
        <v>31</v>
      </c>
      <c r="S1024" t="s">
        <v>112</v>
      </c>
      <c r="T1024" t="s">
        <v>112</v>
      </c>
      <c r="U1024" t="s">
        <v>736</v>
      </c>
      <c r="V1024" t="s">
        <v>737</v>
      </c>
      <c r="W1024" t="s">
        <v>742</v>
      </c>
      <c r="X1024" t="s">
        <v>112</v>
      </c>
      <c r="Y1024" t="s">
        <v>112</v>
      </c>
      <c r="Z1024" t="s">
        <v>739</v>
      </c>
      <c r="AA1024" t="s">
        <v>740</v>
      </c>
      <c r="AB1024" t="s">
        <v>741</v>
      </c>
      <c r="AC1024" t="s">
        <v>742</v>
      </c>
      <c r="AD1024" t="s">
        <v>112</v>
      </c>
      <c r="AE1024" t="s">
        <v>121</v>
      </c>
      <c r="AF1024" t="s">
        <v>122</v>
      </c>
      <c r="AG1024">
        <v>0</v>
      </c>
      <c r="AH1024" t="s">
        <v>112</v>
      </c>
      <c r="AI1024" t="s">
        <v>739</v>
      </c>
      <c r="AJ1024" t="s">
        <v>740</v>
      </c>
      <c r="AK1024" t="s">
        <v>741</v>
      </c>
      <c r="AL1024" t="s">
        <v>742</v>
      </c>
      <c r="AM1024" t="s">
        <v>112</v>
      </c>
      <c r="AN1024" t="s">
        <v>121</v>
      </c>
      <c r="AO1024" t="s">
        <v>122</v>
      </c>
      <c r="AP1024" t="s">
        <v>122</v>
      </c>
      <c r="AQ1024" t="s">
        <v>124</v>
      </c>
      <c r="AR1024" t="s">
        <v>125</v>
      </c>
      <c r="AS1024">
        <v>2</v>
      </c>
      <c r="AT1024" t="s">
        <v>126</v>
      </c>
      <c r="AU1024" t="s">
        <v>127</v>
      </c>
      <c r="AV1024" t="s">
        <v>744</v>
      </c>
      <c r="AX1024" t="s">
        <v>129</v>
      </c>
      <c r="AY1024">
        <v>16322.67</v>
      </c>
      <c r="BB1024">
        <v>99.553399999999996</v>
      </c>
      <c r="BC1024" t="s">
        <v>112</v>
      </c>
      <c r="BD1024" t="s">
        <v>746</v>
      </c>
      <c r="BE1024" t="s">
        <v>747</v>
      </c>
      <c r="BF1024" t="s">
        <v>133</v>
      </c>
      <c r="BG1024" t="s">
        <v>167</v>
      </c>
      <c r="BH1024" t="s">
        <v>112</v>
      </c>
      <c r="BI1024" t="s">
        <v>112</v>
      </c>
      <c r="BJ1024" t="s">
        <v>112</v>
      </c>
      <c r="BK1024" t="s">
        <v>749</v>
      </c>
      <c r="BL1024" t="s">
        <v>750</v>
      </c>
      <c r="BM1024" t="s">
        <v>2027</v>
      </c>
      <c r="BN1024" t="s">
        <v>752</v>
      </c>
      <c r="BP1024" t="s">
        <v>466</v>
      </c>
      <c r="BR1024" t="s">
        <v>734</v>
      </c>
      <c r="BS1024">
        <v>12</v>
      </c>
      <c r="BT1024">
        <v>0</v>
      </c>
      <c r="BU1024">
        <v>0</v>
      </c>
      <c r="BW1024">
        <v>0</v>
      </c>
      <c r="BY1024" t="s">
        <v>106</v>
      </c>
      <c r="BZ1024" t="s">
        <v>597</v>
      </c>
      <c r="CA1024" t="s">
        <v>112</v>
      </c>
      <c r="CB1024" t="s">
        <v>112</v>
      </c>
      <c r="CC1024" t="s">
        <v>121</v>
      </c>
      <c r="CD1024">
        <v>6321.37</v>
      </c>
      <c r="CE1024" t="s">
        <v>753</v>
      </c>
      <c r="CF1024">
        <v>7000000</v>
      </c>
      <c r="CG1024">
        <v>6284.6279999999997</v>
      </c>
      <c r="CH1024">
        <v>0</v>
      </c>
      <c r="CI1024" t="s">
        <v>112</v>
      </c>
      <c r="CJ1024" t="s">
        <v>112</v>
      </c>
      <c r="CK1024">
        <v>7238.82</v>
      </c>
      <c r="CO1024">
        <v>0</v>
      </c>
      <c r="CP1024">
        <v>9188.06</v>
      </c>
      <c r="CQ1024" t="s">
        <v>145</v>
      </c>
      <c r="CR1024">
        <v>9175.5568800000001</v>
      </c>
      <c r="CS1024">
        <v>1.46</v>
      </c>
      <c r="CT1024">
        <v>1507</v>
      </c>
      <c r="CV1024" t="s">
        <v>2028</v>
      </c>
      <c r="CW1024">
        <v>548</v>
      </c>
    </row>
    <row r="1025" spans="1:101" x14ac:dyDescent="0.2">
      <c r="A1025" t="s">
        <v>106</v>
      </c>
      <c r="B1025" s="46">
        <v>45139</v>
      </c>
      <c r="C1025" t="s">
        <v>2024</v>
      </c>
      <c r="D1025" t="s">
        <v>731</v>
      </c>
      <c r="E1025" t="s">
        <v>2025</v>
      </c>
      <c r="F1025" t="s">
        <v>110</v>
      </c>
      <c r="G1025" t="s">
        <v>733</v>
      </c>
      <c r="H1025" t="s">
        <v>112</v>
      </c>
      <c r="I1025" t="s">
        <v>112</v>
      </c>
      <c r="J1025" t="s">
        <v>112</v>
      </c>
      <c r="K1025" t="s">
        <v>734</v>
      </c>
      <c r="L1025" t="s">
        <v>2026</v>
      </c>
      <c r="M1025" t="s">
        <v>112</v>
      </c>
      <c r="N1025" t="s">
        <v>112</v>
      </c>
      <c r="O1025">
        <v>2</v>
      </c>
      <c r="Q1025">
        <v>2</v>
      </c>
      <c r="R1025">
        <v>31</v>
      </c>
      <c r="S1025" t="s">
        <v>112</v>
      </c>
      <c r="T1025" t="s">
        <v>112</v>
      </c>
      <c r="U1025" t="s">
        <v>736</v>
      </c>
      <c r="V1025" t="s">
        <v>737</v>
      </c>
      <c r="W1025" t="s">
        <v>742</v>
      </c>
      <c r="X1025" t="s">
        <v>112</v>
      </c>
      <c r="Y1025" t="s">
        <v>112</v>
      </c>
      <c r="Z1025" t="s">
        <v>739</v>
      </c>
      <c r="AA1025" t="s">
        <v>740</v>
      </c>
      <c r="AB1025" t="s">
        <v>741</v>
      </c>
      <c r="AC1025" t="s">
        <v>742</v>
      </c>
      <c r="AD1025" t="s">
        <v>112</v>
      </c>
      <c r="AE1025" t="s">
        <v>121</v>
      </c>
      <c r="AF1025" t="s">
        <v>122</v>
      </c>
      <c r="AG1025">
        <v>0</v>
      </c>
      <c r="AH1025" t="s">
        <v>112</v>
      </c>
      <c r="AI1025" t="s">
        <v>739</v>
      </c>
      <c r="AJ1025" t="s">
        <v>740</v>
      </c>
      <c r="AK1025" t="s">
        <v>741</v>
      </c>
      <c r="AL1025" t="s">
        <v>742</v>
      </c>
      <c r="AM1025" t="s">
        <v>112</v>
      </c>
      <c r="AN1025" t="s">
        <v>121</v>
      </c>
      <c r="AO1025" t="s">
        <v>122</v>
      </c>
      <c r="AP1025" t="s">
        <v>122</v>
      </c>
      <c r="AQ1025" t="s">
        <v>124</v>
      </c>
      <c r="AR1025" t="s">
        <v>125</v>
      </c>
      <c r="AS1025">
        <v>2</v>
      </c>
      <c r="AT1025" t="s">
        <v>126</v>
      </c>
      <c r="AU1025" t="s">
        <v>127</v>
      </c>
      <c r="AV1025" t="s">
        <v>744</v>
      </c>
      <c r="AX1025" t="s">
        <v>129</v>
      </c>
      <c r="AY1025">
        <v>16322.67</v>
      </c>
      <c r="BB1025">
        <v>99.553399999999996</v>
      </c>
      <c r="BC1025" t="s">
        <v>112</v>
      </c>
      <c r="BD1025" t="s">
        <v>746</v>
      </c>
      <c r="BE1025" t="s">
        <v>747</v>
      </c>
      <c r="BF1025" t="s">
        <v>133</v>
      </c>
      <c r="BG1025" t="s">
        <v>167</v>
      </c>
      <c r="BH1025" t="s">
        <v>112</v>
      </c>
      <c r="BI1025" t="s">
        <v>112</v>
      </c>
      <c r="BJ1025" t="s">
        <v>112</v>
      </c>
      <c r="BK1025" t="s">
        <v>749</v>
      </c>
      <c r="BL1025" t="s">
        <v>750</v>
      </c>
      <c r="BM1025" t="s">
        <v>2027</v>
      </c>
      <c r="BN1025" t="s">
        <v>752</v>
      </c>
      <c r="BP1025" t="s">
        <v>466</v>
      </c>
      <c r="BR1025" t="s">
        <v>734</v>
      </c>
      <c r="BS1025">
        <v>19</v>
      </c>
      <c r="BT1025">
        <v>0</v>
      </c>
      <c r="BU1025">
        <v>0</v>
      </c>
      <c r="BW1025">
        <v>0</v>
      </c>
      <c r="BY1025" t="s">
        <v>596</v>
      </c>
      <c r="BZ1025" t="s">
        <v>758</v>
      </c>
      <c r="CA1025" t="s">
        <v>112</v>
      </c>
      <c r="CB1025" t="s">
        <v>112</v>
      </c>
      <c r="CC1025" t="s">
        <v>121</v>
      </c>
      <c r="CD1025">
        <v>13111.63</v>
      </c>
      <c r="CE1025" t="s">
        <v>753</v>
      </c>
      <c r="CF1025">
        <v>7000000</v>
      </c>
      <c r="CG1025">
        <v>13092.63</v>
      </c>
      <c r="CH1025">
        <v>0</v>
      </c>
      <c r="CI1025" t="s">
        <v>112</v>
      </c>
      <c r="CJ1025" t="s">
        <v>112</v>
      </c>
      <c r="CK1025">
        <v>9083.85</v>
      </c>
      <c r="CO1025">
        <v>0</v>
      </c>
      <c r="CP1025">
        <v>12365.67</v>
      </c>
      <c r="CQ1025" t="s">
        <v>145</v>
      </c>
      <c r="CR1025">
        <v>12307.072199999999</v>
      </c>
      <c r="CS1025">
        <v>0.94</v>
      </c>
      <c r="CT1025">
        <v>1507</v>
      </c>
      <c r="CV1025" t="s">
        <v>2028</v>
      </c>
      <c r="CW1025">
        <v>548</v>
      </c>
    </row>
    <row r="1026" spans="1:101" x14ac:dyDescent="0.2">
      <c r="A1026" s="8" t="s">
        <v>106</v>
      </c>
      <c r="B1026" s="46">
        <v>44960</v>
      </c>
      <c r="C1026" s="8" t="s">
        <v>2766</v>
      </c>
      <c r="D1026" s="8" t="s">
        <v>731</v>
      </c>
      <c r="E1026" s="8" t="s">
        <v>2767</v>
      </c>
      <c r="F1026" t="s">
        <v>110</v>
      </c>
      <c r="G1026" s="8" t="s">
        <v>2284</v>
      </c>
      <c r="H1026" s="8" t="s">
        <v>112</v>
      </c>
      <c r="I1026" s="8" t="s">
        <v>112</v>
      </c>
      <c r="J1026" s="8" t="s">
        <v>112</v>
      </c>
      <c r="K1026" s="8" t="s">
        <v>2768</v>
      </c>
      <c r="L1026" s="8" t="s">
        <v>2769</v>
      </c>
      <c r="M1026" s="8" t="s">
        <v>112</v>
      </c>
      <c r="N1026" s="8" t="s">
        <v>112</v>
      </c>
      <c r="O1026">
        <v>8</v>
      </c>
      <c r="Q1026">
        <v>22</v>
      </c>
      <c r="R1026">
        <v>8</v>
      </c>
      <c r="S1026" s="8" t="s">
        <v>2770</v>
      </c>
      <c r="T1026" s="8" t="s">
        <v>2771</v>
      </c>
      <c r="U1026" s="8" t="s">
        <v>2772</v>
      </c>
      <c r="V1026" s="8" t="s">
        <v>2773</v>
      </c>
      <c r="W1026" s="8" t="s">
        <v>742</v>
      </c>
      <c r="X1026" s="8" t="s">
        <v>2774</v>
      </c>
      <c r="Y1026" s="8" t="s">
        <v>2770</v>
      </c>
      <c r="Z1026" s="8" t="s">
        <v>2771</v>
      </c>
      <c r="AA1026" s="8" t="s">
        <v>2772</v>
      </c>
      <c r="AB1026" s="8" t="s">
        <v>2773</v>
      </c>
      <c r="AC1026" s="8" t="s">
        <v>742</v>
      </c>
      <c r="AD1026" s="8" t="s">
        <v>2774</v>
      </c>
      <c r="AE1026" s="8" t="s">
        <v>2775</v>
      </c>
      <c r="AF1026" s="8" t="s">
        <v>2776</v>
      </c>
      <c r="AG1026">
        <v>3566977.64</v>
      </c>
      <c r="AH1026" s="8" t="s">
        <v>2770</v>
      </c>
      <c r="AI1026" s="8" t="s">
        <v>2771</v>
      </c>
      <c r="AJ1026" s="8" t="s">
        <v>2772</v>
      </c>
      <c r="AK1026" s="8" t="s">
        <v>2773</v>
      </c>
      <c r="AL1026" s="8" t="s">
        <v>742</v>
      </c>
      <c r="AM1026" s="8" t="s">
        <v>2774</v>
      </c>
      <c r="AN1026" s="8" t="s">
        <v>2777</v>
      </c>
      <c r="AO1026" s="8" t="s">
        <v>2778</v>
      </c>
      <c r="AP1026" s="8" t="s">
        <v>2164</v>
      </c>
      <c r="AQ1026" s="8" t="s">
        <v>124</v>
      </c>
      <c r="AR1026" s="8" t="s">
        <v>125</v>
      </c>
      <c r="AS1026">
        <v>2</v>
      </c>
      <c r="AT1026" s="8" t="s">
        <v>126</v>
      </c>
      <c r="AU1026" s="8" t="s">
        <v>2318</v>
      </c>
      <c r="AV1026" s="8" t="s">
        <v>2292</v>
      </c>
      <c r="AW1026">
        <v>1</v>
      </c>
      <c r="AX1026" s="8" t="s">
        <v>129</v>
      </c>
      <c r="AY1026">
        <v>48835.48</v>
      </c>
      <c r="AZ1026">
        <v>3566978</v>
      </c>
      <c r="BA1026">
        <v>51939.21</v>
      </c>
      <c r="BB1026">
        <v>73.040700000000001</v>
      </c>
      <c r="BC1026" s="8" t="s">
        <v>745</v>
      </c>
      <c r="BD1026" s="8" t="s">
        <v>112</v>
      </c>
      <c r="BE1026" s="8" t="s">
        <v>2779</v>
      </c>
      <c r="BF1026" s="8" t="s">
        <v>133</v>
      </c>
      <c r="BG1026" s="8" t="s">
        <v>167</v>
      </c>
      <c r="BH1026" s="8" t="s">
        <v>2339</v>
      </c>
      <c r="BI1026" s="8" t="s">
        <v>112</v>
      </c>
      <c r="BJ1026" s="8" t="s">
        <v>112</v>
      </c>
      <c r="BK1026" s="8" t="s">
        <v>2780</v>
      </c>
      <c r="BL1026" s="8" t="s">
        <v>2781</v>
      </c>
      <c r="BM1026" s="8" t="s">
        <v>2782</v>
      </c>
      <c r="BN1026" s="8" t="s">
        <v>2299</v>
      </c>
      <c r="BO1026">
        <v>2</v>
      </c>
      <c r="BP1026" s="8" t="s">
        <v>2783</v>
      </c>
      <c r="BR1026" s="8" t="s">
        <v>2784</v>
      </c>
      <c r="BS1026">
        <v>2</v>
      </c>
      <c r="BU1026">
        <v>16</v>
      </c>
      <c r="BV1026" t="s">
        <v>2147</v>
      </c>
      <c r="BY1026" s="8" t="s">
        <v>596</v>
      </c>
      <c r="BZ1026" s="8" t="s">
        <v>2148</v>
      </c>
      <c r="CA1026" s="8" t="s">
        <v>112</v>
      </c>
      <c r="CB1026" s="8" t="s">
        <v>112</v>
      </c>
      <c r="CC1026" s="8" t="s">
        <v>2163</v>
      </c>
      <c r="CD1026">
        <v>648</v>
      </c>
      <c r="CE1026" t="s">
        <v>2302</v>
      </c>
      <c r="CF1026">
        <v>7800000</v>
      </c>
      <c r="CG1026">
        <v>648</v>
      </c>
      <c r="CI1026" s="8" t="s">
        <v>112</v>
      </c>
      <c r="CJ1026" s="8" t="s">
        <v>112</v>
      </c>
      <c r="CK1026">
        <v>9543.43</v>
      </c>
      <c r="CL1026">
        <v>697059</v>
      </c>
      <c r="CM1026">
        <v>0</v>
      </c>
      <c r="CN1026">
        <v>1</v>
      </c>
      <c r="CO1026">
        <v>697058.81</v>
      </c>
      <c r="CP1026">
        <v>10149.959999999901</v>
      </c>
      <c r="CQ1026" s="8" t="s">
        <v>145</v>
      </c>
      <c r="CR1026">
        <v>15.663500000000001</v>
      </c>
      <c r="CV1026" t="s">
        <v>2785</v>
      </c>
      <c r="CW1026">
        <v>722</v>
      </c>
    </row>
    <row r="1027" spans="1:101" x14ac:dyDescent="0.2">
      <c r="A1027" s="8" t="s">
        <v>106</v>
      </c>
      <c r="B1027" s="46">
        <v>45037</v>
      </c>
      <c r="C1027" s="8" t="s">
        <v>2766</v>
      </c>
      <c r="D1027" s="8" t="s">
        <v>731</v>
      </c>
      <c r="E1027" s="8" t="s">
        <v>2767</v>
      </c>
      <c r="F1027" t="s">
        <v>110</v>
      </c>
      <c r="G1027" s="8" t="s">
        <v>2284</v>
      </c>
      <c r="H1027" s="8" t="s">
        <v>112</v>
      </c>
      <c r="I1027" s="8" t="s">
        <v>112</v>
      </c>
      <c r="J1027" s="8" t="s">
        <v>112</v>
      </c>
      <c r="K1027" s="8" t="s">
        <v>2768</v>
      </c>
      <c r="L1027" s="8" t="s">
        <v>2769</v>
      </c>
      <c r="M1027" s="8" t="s">
        <v>112</v>
      </c>
      <c r="N1027" s="8" t="s">
        <v>112</v>
      </c>
      <c r="O1027">
        <v>8</v>
      </c>
      <c r="Q1027">
        <v>22</v>
      </c>
      <c r="R1027">
        <v>8</v>
      </c>
      <c r="S1027" s="8" t="s">
        <v>2770</v>
      </c>
      <c r="T1027" s="8" t="s">
        <v>2771</v>
      </c>
      <c r="U1027" s="8" t="s">
        <v>2772</v>
      </c>
      <c r="V1027" s="8" t="s">
        <v>2773</v>
      </c>
      <c r="W1027" s="8" t="s">
        <v>742</v>
      </c>
      <c r="X1027" s="8" t="s">
        <v>2774</v>
      </c>
      <c r="Y1027" s="8" t="s">
        <v>2770</v>
      </c>
      <c r="Z1027" s="8" t="s">
        <v>2771</v>
      </c>
      <c r="AA1027" s="8" t="s">
        <v>2772</v>
      </c>
      <c r="AB1027" s="8" t="s">
        <v>2773</v>
      </c>
      <c r="AC1027" s="8" t="s">
        <v>742</v>
      </c>
      <c r="AD1027" s="8" t="s">
        <v>2774</v>
      </c>
      <c r="AE1027" s="8" t="s">
        <v>2775</v>
      </c>
      <c r="AF1027" s="8" t="s">
        <v>2776</v>
      </c>
      <c r="AG1027">
        <v>3566977.64</v>
      </c>
      <c r="AH1027" s="8" t="s">
        <v>2770</v>
      </c>
      <c r="AI1027" s="8" t="s">
        <v>2771</v>
      </c>
      <c r="AJ1027" s="8" t="s">
        <v>2772</v>
      </c>
      <c r="AK1027" s="8" t="s">
        <v>2773</v>
      </c>
      <c r="AL1027" s="8" t="s">
        <v>742</v>
      </c>
      <c r="AM1027" s="8" t="s">
        <v>2774</v>
      </c>
      <c r="AN1027" s="8" t="s">
        <v>2777</v>
      </c>
      <c r="AO1027" s="8" t="s">
        <v>2778</v>
      </c>
      <c r="AP1027" s="8" t="s">
        <v>2164</v>
      </c>
      <c r="AQ1027" s="8" t="s">
        <v>124</v>
      </c>
      <c r="AR1027" s="8" t="s">
        <v>125</v>
      </c>
      <c r="AS1027">
        <v>2</v>
      </c>
      <c r="AT1027" s="8" t="s">
        <v>126</v>
      </c>
      <c r="AU1027" s="8" t="s">
        <v>2318</v>
      </c>
      <c r="AV1027" s="8" t="s">
        <v>2292</v>
      </c>
      <c r="AW1027">
        <v>1</v>
      </c>
      <c r="AX1027" s="8" t="s">
        <v>129</v>
      </c>
      <c r="AY1027">
        <v>48835.48</v>
      </c>
      <c r="AZ1027">
        <v>3566978</v>
      </c>
      <c r="BA1027">
        <v>51939.21</v>
      </c>
      <c r="BB1027">
        <v>73.040700000000001</v>
      </c>
      <c r="BC1027" s="8" t="s">
        <v>745</v>
      </c>
      <c r="BD1027" s="8" t="s">
        <v>112</v>
      </c>
      <c r="BE1027" s="8" t="s">
        <v>2779</v>
      </c>
      <c r="BF1027" s="8" t="s">
        <v>133</v>
      </c>
      <c r="BG1027" s="8" t="s">
        <v>167</v>
      </c>
      <c r="BH1027" s="8" t="s">
        <v>2339</v>
      </c>
      <c r="BI1027" s="8" t="s">
        <v>112</v>
      </c>
      <c r="BJ1027" s="8" t="s">
        <v>112</v>
      </c>
      <c r="BK1027" s="8" t="s">
        <v>2780</v>
      </c>
      <c r="BL1027" s="8" t="s">
        <v>2781</v>
      </c>
      <c r="BM1027" s="8" t="s">
        <v>2782</v>
      </c>
      <c r="BN1027" s="8" t="s">
        <v>2299</v>
      </c>
      <c r="BO1027">
        <v>1</v>
      </c>
      <c r="BP1027" s="8" t="s">
        <v>2786</v>
      </c>
      <c r="BR1027" s="8" t="s">
        <v>2784</v>
      </c>
      <c r="BS1027">
        <v>4</v>
      </c>
      <c r="BU1027">
        <v>18</v>
      </c>
      <c r="BV1027" t="s">
        <v>2147</v>
      </c>
      <c r="BY1027" s="8" t="s">
        <v>106</v>
      </c>
      <c r="BZ1027" s="8" t="s">
        <v>2148</v>
      </c>
      <c r="CA1027" s="8" t="s">
        <v>112</v>
      </c>
      <c r="CB1027" s="8" t="s">
        <v>112</v>
      </c>
      <c r="CC1027" s="8" t="s">
        <v>2163</v>
      </c>
      <c r="CD1027">
        <v>941</v>
      </c>
      <c r="CE1027" t="s">
        <v>2302</v>
      </c>
      <c r="CF1027">
        <v>7800000</v>
      </c>
      <c r="CG1027">
        <v>941</v>
      </c>
      <c r="CI1027" s="8" t="s">
        <v>112</v>
      </c>
      <c r="CJ1027" s="8" t="s">
        <v>112</v>
      </c>
      <c r="CK1027">
        <v>27921.69</v>
      </c>
      <c r="CL1027">
        <v>2039420</v>
      </c>
      <c r="CM1027">
        <v>0</v>
      </c>
      <c r="CN1027">
        <v>1</v>
      </c>
      <c r="CO1027">
        <v>2039419.78</v>
      </c>
      <c r="CP1027">
        <v>29696.25</v>
      </c>
      <c r="CQ1027" s="8" t="s">
        <v>145</v>
      </c>
      <c r="CR1027">
        <v>31.558199999999999</v>
      </c>
      <c r="CV1027" t="s">
        <v>2785</v>
      </c>
      <c r="CW1027">
        <v>722</v>
      </c>
    </row>
    <row r="1028" spans="1:101" x14ac:dyDescent="0.2">
      <c r="A1028" s="8" t="s">
        <v>126</v>
      </c>
      <c r="B1028" s="46">
        <v>45158</v>
      </c>
      <c r="C1028" s="8" t="s">
        <v>2787</v>
      </c>
      <c r="D1028" s="8" t="s">
        <v>731</v>
      </c>
      <c r="E1028" s="8" t="s">
        <v>2788</v>
      </c>
      <c r="F1028" t="s">
        <v>110</v>
      </c>
      <c r="G1028" s="8" t="s">
        <v>111</v>
      </c>
      <c r="H1028" s="8" t="s">
        <v>112</v>
      </c>
      <c r="I1028" s="8" t="s">
        <v>112</v>
      </c>
      <c r="J1028" s="8" t="s">
        <v>112</v>
      </c>
      <c r="K1028" s="8" t="s">
        <v>2768</v>
      </c>
      <c r="L1028" s="8" t="s">
        <v>2789</v>
      </c>
      <c r="M1028" s="8" t="s">
        <v>112</v>
      </c>
      <c r="N1028" s="8" t="s">
        <v>112</v>
      </c>
      <c r="O1028">
        <v>1</v>
      </c>
      <c r="P1028">
        <v>0</v>
      </c>
      <c r="Q1028">
        <v>1</v>
      </c>
      <c r="R1028">
        <v>1</v>
      </c>
      <c r="S1028" s="8" t="s">
        <v>2770</v>
      </c>
      <c r="T1028" s="8" t="s">
        <v>2771</v>
      </c>
      <c r="U1028" s="8" t="s">
        <v>2772</v>
      </c>
      <c r="V1028" s="8" t="s">
        <v>2773</v>
      </c>
      <c r="W1028" s="8" t="s">
        <v>742</v>
      </c>
      <c r="X1028" s="8" t="s">
        <v>2774</v>
      </c>
      <c r="Y1028" s="8" t="s">
        <v>2770</v>
      </c>
      <c r="Z1028" s="8" t="s">
        <v>2771</v>
      </c>
      <c r="AA1028" s="8" t="s">
        <v>2772</v>
      </c>
      <c r="AB1028" s="8" t="s">
        <v>2773</v>
      </c>
      <c r="AC1028" s="8" t="s">
        <v>742</v>
      </c>
      <c r="AD1028" s="8" t="s">
        <v>2774</v>
      </c>
      <c r="AE1028" s="8" t="s">
        <v>2775</v>
      </c>
      <c r="AF1028" s="8" t="s">
        <v>2776</v>
      </c>
      <c r="AG1028">
        <v>140317.1</v>
      </c>
      <c r="AH1028" s="8" t="s">
        <v>2770</v>
      </c>
      <c r="AI1028" s="8" t="s">
        <v>2771</v>
      </c>
      <c r="AJ1028" s="8" t="s">
        <v>2772</v>
      </c>
      <c r="AK1028" s="8" t="s">
        <v>2773</v>
      </c>
      <c r="AL1028" s="8" t="s">
        <v>742</v>
      </c>
      <c r="AM1028" s="8" t="s">
        <v>2774</v>
      </c>
      <c r="AN1028" s="8" t="s">
        <v>2777</v>
      </c>
      <c r="AO1028" s="8" t="s">
        <v>2778</v>
      </c>
      <c r="AP1028" s="8" t="s">
        <v>2164</v>
      </c>
      <c r="AQ1028" s="8" t="s">
        <v>124</v>
      </c>
      <c r="AR1028" s="8" t="s">
        <v>125</v>
      </c>
      <c r="AS1028">
        <v>2</v>
      </c>
      <c r="AT1028" s="8" t="s">
        <v>126</v>
      </c>
      <c r="AU1028" s="8" t="s">
        <v>2318</v>
      </c>
      <c r="AV1028" s="8" t="s">
        <v>2292</v>
      </c>
      <c r="AW1028">
        <v>1</v>
      </c>
      <c r="AX1028" s="8" t="s">
        <v>129</v>
      </c>
      <c r="AY1028">
        <v>1830.75</v>
      </c>
      <c r="AZ1028">
        <v>140317</v>
      </c>
      <c r="BA1028">
        <v>1945.32</v>
      </c>
      <c r="BB1028">
        <v>76.644599999999897</v>
      </c>
      <c r="BC1028" s="8" t="s">
        <v>745</v>
      </c>
      <c r="BD1028" s="8" t="s">
        <v>112</v>
      </c>
      <c r="BE1028" s="8" t="s">
        <v>2779</v>
      </c>
      <c r="BF1028" s="8" t="s">
        <v>133</v>
      </c>
      <c r="BG1028" s="8" t="s">
        <v>167</v>
      </c>
      <c r="BH1028" s="8" t="s">
        <v>2339</v>
      </c>
      <c r="BI1028" s="8" t="s">
        <v>112</v>
      </c>
      <c r="BJ1028" s="8" t="s">
        <v>112</v>
      </c>
      <c r="BK1028" s="8" t="s">
        <v>2780</v>
      </c>
      <c r="BL1028" s="8" t="s">
        <v>2781</v>
      </c>
      <c r="BM1028" s="8" t="s">
        <v>2782</v>
      </c>
      <c r="BN1028" s="8" t="s">
        <v>2299</v>
      </c>
      <c r="BO1028">
        <v>1</v>
      </c>
      <c r="BP1028" s="8" t="s">
        <v>2790</v>
      </c>
      <c r="BR1028" s="8" t="s">
        <v>2784</v>
      </c>
      <c r="BS1028">
        <v>1</v>
      </c>
      <c r="BT1028">
        <v>0</v>
      </c>
      <c r="BU1028">
        <v>1</v>
      </c>
      <c r="BV1028" t="s">
        <v>2147</v>
      </c>
      <c r="BW1028">
        <v>0</v>
      </c>
      <c r="BY1028" s="8" t="s">
        <v>106</v>
      </c>
      <c r="BZ1028" s="8" t="s">
        <v>2148</v>
      </c>
      <c r="CA1028" s="8" t="s">
        <v>112</v>
      </c>
      <c r="CB1028" s="8" t="s">
        <v>112</v>
      </c>
      <c r="CC1028" s="8" t="s">
        <v>2163</v>
      </c>
      <c r="CD1028">
        <v>70</v>
      </c>
      <c r="CE1028" t="s">
        <v>144</v>
      </c>
      <c r="CF1028">
        <v>4000064</v>
      </c>
      <c r="CG1028">
        <v>70</v>
      </c>
      <c r="CH1028">
        <v>0</v>
      </c>
      <c r="CI1028" s="8" t="s">
        <v>112</v>
      </c>
      <c r="CJ1028" s="8" t="s">
        <v>112</v>
      </c>
      <c r="CK1028">
        <v>1830.75</v>
      </c>
      <c r="CL1028">
        <v>140317</v>
      </c>
      <c r="CM1028">
        <v>0</v>
      </c>
      <c r="CN1028">
        <v>1</v>
      </c>
      <c r="CO1028">
        <v>140317.1</v>
      </c>
      <c r="CP1028">
        <v>1945.32</v>
      </c>
      <c r="CQ1028" s="8" t="s">
        <v>145</v>
      </c>
      <c r="CR1028">
        <v>27.790299999999998</v>
      </c>
      <c r="CV1028" t="s">
        <v>2785</v>
      </c>
      <c r="CW1028">
        <v>11</v>
      </c>
    </row>
    <row r="1029" spans="1:101" x14ac:dyDescent="0.2">
      <c r="A1029" s="8" t="s">
        <v>106</v>
      </c>
      <c r="B1029" s="46">
        <v>45117</v>
      </c>
      <c r="C1029" s="8" t="s">
        <v>2822</v>
      </c>
      <c r="D1029" s="8" t="s">
        <v>731</v>
      </c>
      <c r="E1029" s="8" t="s">
        <v>2823</v>
      </c>
      <c r="F1029" t="s">
        <v>110</v>
      </c>
      <c r="G1029" s="8" t="s">
        <v>2284</v>
      </c>
      <c r="H1029" s="8" t="s">
        <v>112</v>
      </c>
      <c r="I1029" s="8" t="s">
        <v>112</v>
      </c>
      <c r="J1029" s="8" t="s">
        <v>112</v>
      </c>
      <c r="K1029" s="8" t="s">
        <v>2824</v>
      </c>
      <c r="L1029" s="8" t="s">
        <v>2789</v>
      </c>
      <c r="M1029" s="8" t="s">
        <v>112</v>
      </c>
      <c r="N1029" s="8" t="s">
        <v>112</v>
      </c>
      <c r="O1029">
        <v>3</v>
      </c>
      <c r="P1029">
        <v>0</v>
      </c>
      <c r="Q1029">
        <v>6</v>
      </c>
      <c r="R1029">
        <v>7</v>
      </c>
      <c r="S1029" s="8" t="s">
        <v>2770</v>
      </c>
      <c r="T1029" s="8" t="s">
        <v>2771</v>
      </c>
      <c r="U1029" s="8" t="s">
        <v>2772</v>
      </c>
      <c r="V1029" s="8" t="s">
        <v>2773</v>
      </c>
      <c r="W1029" s="8" t="s">
        <v>742</v>
      </c>
      <c r="X1029" s="8" t="s">
        <v>2774</v>
      </c>
      <c r="Y1029" s="8" t="s">
        <v>2770</v>
      </c>
      <c r="Z1029" s="8" t="s">
        <v>2771</v>
      </c>
      <c r="AA1029" s="8" t="s">
        <v>2772</v>
      </c>
      <c r="AB1029" s="8" t="s">
        <v>2773</v>
      </c>
      <c r="AC1029" s="8" t="s">
        <v>742</v>
      </c>
      <c r="AD1029" s="8" t="s">
        <v>2774</v>
      </c>
      <c r="AE1029" s="8" t="s">
        <v>2775</v>
      </c>
      <c r="AF1029" s="8" t="s">
        <v>2776</v>
      </c>
      <c r="AG1029">
        <v>2592513.54999999</v>
      </c>
      <c r="AH1029" s="8" t="s">
        <v>2770</v>
      </c>
      <c r="AI1029" s="8" t="s">
        <v>2771</v>
      </c>
      <c r="AJ1029" s="8" t="s">
        <v>2772</v>
      </c>
      <c r="AK1029" s="8" t="s">
        <v>2773</v>
      </c>
      <c r="AL1029" s="8" t="s">
        <v>742</v>
      </c>
      <c r="AM1029" s="8" t="s">
        <v>2774</v>
      </c>
      <c r="AN1029" s="8" t="s">
        <v>2777</v>
      </c>
      <c r="AO1029" s="8" t="s">
        <v>2778</v>
      </c>
      <c r="AP1029" s="8" t="s">
        <v>2164</v>
      </c>
      <c r="AQ1029" s="8" t="s">
        <v>124</v>
      </c>
      <c r="AR1029" s="8" t="s">
        <v>125</v>
      </c>
      <c r="AS1029">
        <v>2</v>
      </c>
      <c r="AT1029" s="8" t="s">
        <v>126</v>
      </c>
      <c r="AU1029" s="8" t="s">
        <v>2318</v>
      </c>
      <c r="AV1029" s="8" t="s">
        <v>2292</v>
      </c>
      <c r="AW1029">
        <v>1</v>
      </c>
      <c r="AX1029" s="8" t="s">
        <v>129</v>
      </c>
      <c r="AY1029">
        <v>33825.129999999903</v>
      </c>
      <c r="AZ1029">
        <v>2592514</v>
      </c>
      <c r="BA1029">
        <v>35941.93</v>
      </c>
      <c r="BB1029">
        <v>76.644599999999897</v>
      </c>
      <c r="BC1029" s="8" t="s">
        <v>745</v>
      </c>
      <c r="BD1029" s="8" t="s">
        <v>112</v>
      </c>
      <c r="BE1029" s="8" t="s">
        <v>2779</v>
      </c>
      <c r="BF1029" s="8" t="s">
        <v>133</v>
      </c>
      <c r="BG1029" s="8" t="s">
        <v>167</v>
      </c>
      <c r="BH1029" s="8" t="s">
        <v>2339</v>
      </c>
      <c r="BI1029" s="8" t="s">
        <v>112</v>
      </c>
      <c r="BJ1029" s="8" t="s">
        <v>112</v>
      </c>
      <c r="BK1029" s="8" t="s">
        <v>749</v>
      </c>
      <c r="BL1029" s="8" t="s">
        <v>2781</v>
      </c>
      <c r="BM1029" s="8" t="s">
        <v>2782</v>
      </c>
      <c r="BN1029" s="8" t="s">
        <v>2299</v>
      </c>
      <c r="BO1029">
        <v>2</v>
      </c>
      <c r="BP1029" s="8" t="s">
        <v>2825</v>
      </c>
      <c r="BR1029" s="8" t="s">
        <v>2826</v>
      </c>
      <c r="BS1029">
        <v>3</v>
      </c>
      <c r="BT1029">
        <v>0</v>
      </c>
      <c r="BU1029">
        <v>3</v>
      </c>
      <c r="BV1029" t="s">
        <v>2147</v>
      </c>
      <c r="BW1029">
        <v>0</v>
      </c>
      <c r="BY1029" s="8" t="s">
        <v>596</v>
      </c>
      <c r="BZ1029" s="8" t="s">
        <v>2467</v>
      </c>
      <c r="CA1029" s="8" t="s">
        <v>112</v>
      </c>
      <c r="CB1029" s="8" t="s">
        <v>112</v>
      </c>
      <c r="CC1029" s="8" t="s">
        <v>2163</v>
      </c>
      <c r="CD1029">
        <v>435</v>
      </c>
      <c r="CE1029" t="s">
        <v>2302</v>
      </c>
      <c r="CF1029">
        <v>7800000</v>
      </c>
      <c r="CG1029">
        <v>405</v>
      </c>
      <c r="CH1029">
        <v>0</v>
      </c>
      <c r="CI1029" s="8" t="s">
        <v>112</v>
      </c>
      <c r="CJ1029" s="8" t="s">
        <v>112</v>
      </c>
      <c r="CK1029">
        <v>3869.8</v>
      </c>
      <c r="CL1029">
        <v>296599</v>
      </c>
      <c r="CM1029">
        <v>0</v>
      </c>
      <c r="CN1029">
        <v>1</v>
      </c>
      <c r="CO1029">
        <v>296599.27</v>
      </c>
      <c r="CP1029">
        <v>4111.9799999999896</v>
      </c>
      <c r="CQ1029" s="8" t="s">
        <v>145</v>
      </c>
      <c r="CR1029">
        <v>10.153</v>
      </c>
      <c r="CV1029" t="s">
        <v>2785</v>
      </c>
      <c r="CW1029">
        <v>367</v>
      </c>
    </row>
    <row r="1030" spans="1:101" x14ac:dyDescent="0.2">
      <c r="A1030" s="8" t="s">
        <v>106</v>
      </c>
      <c r="B1030" s="46">
        <v>45210</v>
      </c>
      <c r="C1030" s="8" t="s">
        <v>2929</v>
      </c>
      <c r="D1030" s="8" t="s">
        <v>731</v>
      </c>
      <c r="E1030" s="8" t="s">
        <v>2930</v>
      </c>
      <c r="F1030" t="s">
        <v>110</v>
      </c>
      <c r="G1030" s="8" t="s">
        <v>2284</v>
      </c>
      <c r="H1030" s="8" t="s">
        <v>112</v>
      </c>
      <c r="I1030" s="8" t="s">
        <v>112</v>
      </c>
      <c r="J1030" s="8" t="s">
        <v>112</v>
      </c>
      <c r="K1030" s="8" t="s">
        <v>2285</v>
      </c>
      <c r="L1030" s="8" t="s">
        <v>2286</v>
      </c>
      <c r="M1030" s="8" t="s">
        <v>112</v>
      </c>
      <c r="N1030" s="8" t="s">
        <v>112</v>
      </c>
      <c r="O1030">
        <v>1</v>
      </c>
      <c r="Q1030">
        <v>1</v>
      </c>
      <c r="R1030">
        <v>26</v>
      </c>
      <c r="S1030" s="8" t="s">
        <v>2287</v>
      </c>
      <c r="T1030" s="8" t="s">
        <v>2288</v>
      </c>
      <c r="U1030" s="8" t="s">
        <v>2289</v>
      </c>
      <c r="V1030" s="8" t="s">
        <v>2290</v>
      </c>
      <c r="W1030" s="8" t="s">
        <v>742</v>
      </c>
      <c r="X1030" s="8" t="s">
        <v>743</v>
      </c>
      <c r="Y1030" s="8" t="s">
        <v>2287</v>
      </c>
      <c r="Z1030" s="8" t="s">
        <v>2288</v>
      </c>
      <c r="AA1030" s="8" t="s">
        <v>2289</v>
      </c>
      <c r="AB1030" s="8" t="s">
        <v>2290</v>
      </c>
      <c r="AC1030" s="8" t="s">
        <v>742</v>
      </c>
      <c r="AD1030" s="8" t="s">
        <v>743</v>
      </c>
      <c r="AE1030" s="8" t="s">
        <v>2142</v>
      </c>
      <c r="AF1030" s="8" t="s">
        <v>2143</v>
      </c>
      <c r="AG1030">
        <v>5977558.0800000001</v>
      </c>
      <c r="AH1030" s="8" t="s">
        <v>2287</v>
      </c>
      <c r="AI1030" s="8" t="s">
        <v>2288</v>
      </c>
      <c r="AJ1030" s="8" t="s">
        <v>2289</v>
      </c>
      <c r="AK1030" s="8" t="s">
        <v>2290</v>
      </c>
      <c r="AL1030" s="8" t="s">
        <v>742</v>
      </c>
      <c r="AM1030" s="8" t="s">
        <v>743</v>
      </c>
      <c r="AN1030" s="8" t="s">
        <v>2142</v>
      </c>
      <c r="AO1030" s="8" t="s">
        <v>2143</v>
      </c>
      <c r="AP1030" s="8" t="s">
        <v>2143</v>
      </c>
      <c r="AQ1030" s="8" t="s">
        <v>124</v>
      </c>
      <c r="AR1030" s="8" t="s">
        <v>125</v>
      </c>
      <c r="AS1030">
        <v>1</v>
      </c>
      <c r="AT1030" s="8" t="s">
        <v>106</v>
      </c>
      <c r="AU1030" s="8" t="s">
        <v>2291</v>
      </c>
      <c r="AV1030" s="8" t="s">
        <v>2292</v>
      </c>
      <c r="AW1030">
        <v>1</v>
      </c>
      <c r="AX1030" s="8" t="s">
        <v>2253</v>
      </c>
      <c r="AY1030">
        <v>592800</v>
      </c>
      <c r="AZ1030">
        <v>5977558</v>
      </c>
      <c r="BA1030">
        <v>84757.28</v>
      </c>
      <c r="BB1030">
        <v>10.083600000000001</v>
      </c>
      <c r="BC1030" s="8" t="s">
        <v>130</v>
      </c>
      <c r="BD1030" s="8" t="s">
        <v>112</v>
      </c>
      <c r="BE1030" s="8" t="s">
        <v>2293</v>
      </c>
      <c r="BF1030" s="8" t="s">
        <v>133</v>
      </c>
      <c r="BG1030" s="8" t="s">
        <v>2294</v>
      </c>
      <c r="BH1030" s="8" t="s">
        <v>112</v>
      </c>
      <c r="BI1030" s="8" t="s">
        <v>2295</v>
      </c>
      <c r="BJ1030" s="8" t="s">
        <v>112</v>
      </c>
      <c r="BK1030" s="8" t="s">
        <v>2296</v>
      </c>
      <c r="BL1030" s="8" t="s">
        <v>2297</v>
      </c>
      <c r="BM1030" s="8" t="s">
        <v>2298</v>
      </c>
      <c r="BN1030" s="8" t="s">
        <v>2299</v>
      </c>
      <c r="BO1030">
        <v>1</v>
      </c>
      <c r="BP1030" s="8" t="s">
        <v>2300</v>
      </c>
      <c r="BR1030" s="8" t="s">
        <v>2301</v>
      </c>
      <c r="BS1030">
        <v>26</v>
      </c>
      <c r="BT1030">
        <v>1</v>
      </c>
      <c r="BU1030">
        <v>312</v>
      </c>
      <c r="BV1030" t="s">
        <v>2147</v>
      </c>
      <c r="BY1030" s="8" t="s">
        <v>106</v>
      </c>
      <c r="BZ1030" s="8" t="s">
        <v>2148</v>
      </c>
      <c r="CA1030" s="8" t="s">
        <v>112</v>
      </c>
      <c r="CB1030" s="8" t="s">
        <v>112</v>
      </c>
      <c r="CC1030" s="8" t="s">
        <v>2142</v>
      </c>
      <c r="CD1030">
        <v>10751</v>
      </c>
      <c r="CE1030" t="s">
        <v>2302</v>
      </c>
      <c r="CF1030">
        <v>7800000</v>
      </c>
      <c r="CG1030">
        <v>9672</v>
      </c>
      <c r="CI1030" s="8" t="s">
        <v>112</v>
      </c>
      <c r="CJ1030" s="8" t="s">
        <v>112</v>
      </c>
      <c r="CK1030">
        <v>592800</v>
      </c>
      <c r="CL1030">
        <v>5977558</v>
      </c>
      <c r="CM1030">
        <v>0</v>
      </c>
      <c r="CN1030">
        <v>1</v>
      </c>
      <c r="CO1030">
        <v>5977558.0800000001</v>
      </c>
      <c r="CP1030">
        <v>84757.28</v>
      </c>
      <c r="CQ1030" s="8" t="s">
        <v>145</v>
      </c>
      <c r="CR1030">
        <v>8.7631999999999994</v>
      </c>
      <c r="CV1030" t="s">
        <v>2303</v>
      </c>
      <c r="CW1030">
        <v>260</v>
      </c>
    </row>
    <row r="1031" spans="1:101" x14ac:dyDescent="0.2">
      <c r="A1031" s="8" t="s">
        <v>106</v>
      </c>
      <c r="B1031" s="46">
        <v>45199</v>
      </c>
      <c r="C1031" s="8" t="s">
        <v>3196</v>
      </c>
      <c r="D1031" s="8" t="s">
        <v>731</v>
      </c>
      <c r="E1031" s="8" t="s">
        <v>3197</v>
      </c>
      <c r="F1031" t="s">
        <v>110</v>
      </c>
      <c r="G1031" s="8" t="s">
        <v>2284</v>
      </c>
      <c r="H1031" s="8" t="s">
        <v>112</v>
      </c>
      <c r="I1031" s="8" t="s">
        <v>112</v>
      </c>
      <c r="J1031" s="8" t="s">
        <v>112</v>
      </c>
      <c r="K1031" s="8" t="s">
        <v>3198</v>
      </c>
      <c r="L1031" s="8" t="s">
        <v>3199</v>
      </c>
      <c r="M1031" s="8" t="s">
        <v>112</v>
      </c>
      <c r="N1031" s="8" t="s">
        <v>112</v>
      </c>
      <c r="O1031">
        <v>4</v>
      </c>
      <c r="P1031">
        <v>0</v>
      </c>
      <c r="Q1031">
        <v>10</v>
      </c>
      <c r="R1031">
        <v>286</v>
      </c>
      <c r="S1031" s="8" t="s">
        <v>3200</v>
      </c>
      <c r="T1031" s="8" t="s">
        <v>3201</v>
      </c>
      <c r="U1031" s="8" t="s">
        <v>3202</v>
      </c>
      <c r="V1031" s="8" t="s">
        <v>3203</v>
      </c>
      <c r="W1031" s="8" t="s">
        <v>742</v>
      </c>
      <c r="X1031" s="8" t="s">
        <v>2774</v>
      </c>
      <c r="Y1031" s="8" t="s">
        <v>3200</v>
      </c>
      <c r="Z1031" s="8" t="s">
        <v>3201</v>
      </c>
      <c r="AA1031" s="8" t="s">
        <v>3202</v>
      </c>
      <c r="AB1031" s="8" t="s">
        <v>3203</v>
      </c>
      <c r="AC1031" s="8" t="s">
        <v>742</v>
      </c>
      <c r="AD1031" s="8" t="s">
        <v>2774</v>
      </c>
      <c r="AE1031" s="8" t="s">
        <v>2163</v>
      </c>
      <c r="AF1031" s="8" t="s">
        <v>2164</v>
      </c>
      <c r="AG1031">
        <v>4144251.87</v>
      </c>
      <c r="AH1031" s="8" t="s">
        <v>3200</v>
      </c>
      <c r="AI1031" s="8" t="s">
        <v>3201</v>
      </c>
      <c r="AJ1031" s="8" t="s">
        <v>3202</v>
      </c>
      <c r="AK1031" s="8" t="s">
        <v>3203</v>
      </c>
      <c r="AL1031" s="8" t="s">
        <v>742</v>
      </c>
      <c r="AM1031" s="8" t="s">
        <v>2774</v>
      </c>
      <c r="AN1031" s="8" t="s">
        <v>2777</v>
      </c>
      <c r="AO1031" s="8" t="s">
        <v>2778</v>
      </c>
      <c r="AP1031" s="8" t="s">
        <v>2164</v>
      </c>
      <c r="AQ1031" s="8" t="s">
        <v>124</v>
      </c>
      <c r="AR1031" s="8" t="s">
        <v>125</v>
      </c>
      <c r="AS1031">
        <v>2</v>
      </c>
      <c r="AT1031" s="8" t="s">
        <v>126</v>
      </c>
      <c r="AU1031" s="8" t="s">
        <v>127</v>
      </c>
      <c r="AV1031" s="8" t="s">
        <v>3204</v>
      </c>
      <c r="AW1031">
        <v>2</v>
      </c>
      <c r="AX1031" s="8" t="s">
        <v>129</v>
      </c>
      <c r="AY1031">
        <v>53553.91</v>
      </c>
      <c r="AZ1031">
        <v>3683427</v>
      </c>
      <c r="BA1031">
        <v>64144.76</v>
      </c>
      <c r="BB1031">
        <v>68.779799999999895</v>
      </c>
      <c r="BC1031" s="8" t="s">
        <v>130</v>
      </c>
      <c r="BD1031" s="8" t="s">
        <v>746</v>
      </c>
      <c r="BE1031" s="8" t="s">
        <v>3205</v>
      </c>
      <c r="BF1031" s="8" t="s">
        <v>133</v>
      </c>
      <c r="BG1031" s="8" t="s">
        <v>167</v>
      </c>
      <c r="BH1031" s="8" t="s">
        <v>3206</v>
      </c>
      <c r="BI1031" s="8" t="s">
        <v>112</v>
      </c>
      <c r="BJ1031" s="8" t="s">
        <v>112</v>
      </c>
      <c r="BK1031" s="8" t="s">
        <v>3207</v>
      </c>
      <c r="BL1031" s="8" t="s">
        <v>3208</v>
      </c>
      <c r="BM1031" s="8" t="s">
        <v>3209</v>
      </c>
      <c r="BN1031" s="8" t="s">
        <v>3210</v>
      </c>
      <c r="BO1031">
        <v>1</v>
      </c>
      <c r="BP1031" s="8" t="s">
        <v>3211</v>
      </c>
      <c r="BR1031" s="8" t="s">
        <v>2161</v>
      </c>
      <c r="BS1031">
        <v>141</v>
      </c>
      <c r="BT1031">
        <v>0</v>
      </c>
      <c r="BU1031">
        <v>141</v>
      </c>
      <c r="BV1031" t="s">
        <v>2147</v>
      </c>
      <c r="BW1031">
        <v>0</v>
      </c>
      <c r="BY1031" s="8" t="s">
        <v>106</v>
      </c>
      <c r="BZ1031" s="8" t="s">
        <v>2148</v>
      </c>
      <c r="CA1031" s="8" t="s">
        <v>112</v>
      </c>
      <c r="CB1031" s="8" t="s">
        <v>112</v>
      </c>
      <c r="CC1031" s="8" t="s">
        <v>2163</v>
      </c>
      <c r="CD1031">
        <v>4414.5</v>
      </c>
      <c r="CE1031" t="s">
        <v>2302</v>
      </c>
      <c r="CF1031">
        <v>7800000</v>
      </c>
      <c r="CG1031">
        <v>4236.5</v>
      </c>
      <c r="CH1031">
        <v>0</v>
      </c>
      <c r="CI1031" s="8" t="s">
        <v>112</v>
      </c>
      <c r="CJ1031" s="8" t="s">
        <v>112</v>
      </c>
      <c r="CK1031">
        <v>43245.66</v>
      </c>
      <c r="CL1031">
        <v>2974428</v>
      </c>
      <c r="CM1031">
        <v>0</v>
      </c>
      <c r="CN1031">
        <v>1</v>
      </c>
      <c r="CO1031">
        <v>3254081.23</v>
      </c>
      <c r="CP1031">
        <v>50366.69</v>
      </c>
      <c r="CQ1031" s="8" t="s">
        <v>145</v>
      </c>
      <c r="CR1031">
        <v>11.8888</v>
      </c>
      <c r="CV1031" t="s">
        <v>3212</v>
      </c>
      <c r="CW1031">
        <v>302</v>
      </c>
    </row>
    <row r="1032" spans="1:101" x14ac:dyDescent="0.2">
      <c r="A1032" s="8" t="s">
        <v>126</v>
      </c>
      <c r="B1032" s="46">
        <v>45060</v>
      </c>
      <c r="C1032" s="8" t="s">
        <v>2999</v>
      </c>
      <c r="D1032" s="8" t="s">
        <v>2839</v>
      </c>
      <c r="E1032" s="8" t="s">
        <v>3000</v>
      </c>
      <c r="F1032" t="s">
        <v>110</v>
      </c>
      <c r="G1032" s="8" t="s">
        <v>111</v>
      </c>
      <c r="H1032" s="8" t="s">
        <v>112</v>
      </c>
      <c r="I1032" s="8" t="s">
        <v>112</v>
      </c>
      <c r="J1032" s="8" t="s">
        <v>112</v>
      </c>
      <c r="K1032" s="8" t="s">
        <v>3001</v>
      </c>
      <c r="L1032" s="8" t="s">
        <v>3002</v>
      </c>
      <c r="M1032" s="8" t="s">
        <v>112</v>
      </c>
      <c r="N1032" s="8" t="s">
        <v>112</v>
      </c>
      <c r="O1032">
        <v>2</v>
      </c>
      <c r="P1032">
        <v>0</v>
      </c>
      <c r="Q1032">
        <v>2</v>
      </c>
      <c r="R1032">
        <v>3</v>
      </c>
      <c r="S1032" s="8" t="s">
        <v>3003</v>
      </c>
      <c r="T1032" s="8" t="s">
        <v>3004</v>
      </c>
      <c r="U1032" s="8" t="s">
        <v>3005</v>
      </c>
      <c r="V1032" s="8" t="s">
        <v>3006</v>
      </c>
      <c r="W1032" s="8" t="s">
        <v>119</v>
      </c>
      <c r="X1032" s="8" t="s">
        <v>3007</v>
      </c>
      <c r="Y1032" s="8" t="s">
        <v>3003</v>
      </c>
      <c r="Z1032" s="8" t="s">
        <v>3004</v>
      </c>
      <c r="AA1032" s="8" t="s">
        <v>3005</v>
      </c>
      <c r="AB1032" s="8" t="s">
        <v>3006</v>
      </c>
      <c r="AC1032" s="8" t="s">
        <v>119</v>
      </c>
      <c r="AD1032" s="8" t="s">
        <v>3007</v>
      </c>
      <c r="AE1032" s="8" t="s">
        <v>2142</v>
      </c>
      <c r="AF1032" s="8" t="s">
        <v>2143</v>
      </c>
      <c r="AG1032">
        <v>159342.43</v>
      </c>
      <c r="AH1032" s="8" t="s">
        <v>3003</v>
      </c>
      <c r="AI1032" s="8" t="s">
        <v>3004</v>
      </c>
      <c r="AJ1032" s="8" t="s">
        <v>3005</v>
      </c>
      <c r="AK1032" s="8" t="s">
        <v>3006</v>
      </c>
      <c r="AL1032" s="8" t="s">
        <v>119</v>
      </c>
      <c r="AM1032" s="8" t="s">
        <v>3007</v>
      </c>
      <c r="AN1032" s="8" t="s">
        <v>2142</v>
      </c>
      <c r="AO1032" s="8" t="s">
        <v>2143</v>
      </c>
      <c r="AP1032" s="8" t="s">
        <v>2143</v>
      </c>
      <c r="AQ1032" s="8" t="s">
        <v>124</v>
      </c>
      <c r="AR1032" s="8" t="s">
        <v>125</v>
      </c>
      <c r="AS1032">
        <v>0</v>
      </c>
      <c r="AT1032" s="8" t="s">
        <v>126</v>
      </c>
      <c r="AU1032" s="8" t="s">
        <v>2251</v>
      </c>
      <c r="AV1032" s="8" t="s">
        <v>3008</v>
      </c>
      <c r="AW1032">
        <v>1</v>
      </c>
      <c r="AX1032" s="8" t="s">
        <v>2188</v>
      </c>
      <c r="AY1032">
        <v>1642</v>
      </c>
      <c r="AZ1032">
        <v>108942</v>
      </c>
      <c r="BA1032">
        <v>2401.64</v>
      </c>
      <c r="BB1032">
        <v>66.347399999999894</v>
      </c>
      <c r="BC1032" s="8" t="s">
        <v>130</v>
      </c>
      <c r="BD1032" s="8" t="s">
        <v>111</v>
      </c>
      <c r="BE1032" s="8" t="s">
        <v>112</v>
      </c>
      <c r="BF1032" s="8" t="s">
        <v>133</v>
      </c>
      <c r="BG1032" s="8" t="s">
        <v>167</v>
      </c>
      <c r="BH1032" s="8" t="s">
        <v>3009</v>
      </c>
      <c r="BI1032" s="8" t="s">
        <v>112</v>
      </c>
      <c r="BJ1032" s="8" t="s">
        <v>112</v>
      </c>
      <c r="BK1032" s="8" t="s">
        <v>2587</v>
      </c>
      <c r="BL1032" s="8" t="s">
        <v>2588</v>
      </c>
      <c r="BM1032" s="8" t="s">
        <v>3010</v>
      </c>
      <c r="BN1032" s="8" t="s">
        <v>2859</v>
      </c>
      <c r="BO1032">
        <v>1</v>
      </c>
      <c r="BP1032" s="8" t="s">
        <v>3011</v>
      </c>
      <c r="BR1032" s="8" t="s">
        <v>3012</v>
      </c>
      <c r="BS1032">
        <v>2</v>
      </c>
      <c r="BT1032">
        <v>0</v>
      </c>
      <c r="BU1032">
        <v>1</v>
      </c>
      <c r="BV1032" t="s">
        <v>2147</v>
      </c>
      <c r="BW1032">
        <v>0</v>
      </c>
      <c r="BY1032" s="8" t="s">
        <v>106</v>
      </c>
      <c r="BZ1032" s="8" t="s">
        <v>2148</v>
      </c>
      <c r="CA1032" s="8" t="s">
        <v>2232</v>
      </c>
      <c r="CB1032" s="8" t="s">
        <v>112</v>
      </c>
      <c r="CC1032" s="8" t="s">
        <v>2142</v>
      </c>
      <c r="CD1032">
        <v>50</v>
      </c>
      <c r="CE1032" t="s">
        <v>144</v>
      </c>
      <c r="CF1032">
        <v>4000066</v>
      </c>
      <c r="CG1032">
        <v>35</v>
      </c>
      <c r="CH1032">
        <v>0</v>
      </c>
      <c r="CI1032" s="8" t="s">
        <v>112</v>
      </c>
      <c r="CJ1032" s="8" t="s">
        <v>112</v>
      </c>
      <c r="CK1032">
        <v>402</v>
      </c>
      <c r="CL1032">
        <v>26672</v>
      </c>
      <c r="CM1032">
        <v>0</v>
      </c>
      <c r="CN1032">
        <v>1</v>
      </c>
      <c r="CO1032">
        <v>68671.649999999907</v>
      </c>
      <c r="CP1032">
        <v>1035.03</v>
      </c>
      <c r="CQ1032" s="8" t="s">
        <v>145</v>
      </c>
      <c r="CR1032">
        <v>29.572299999999998</v>
      </c>
      <c r="CS1032">
        <v>1372</v>
      </c>
      <c r="CT1032" t="s">
        <v>3013</v>
      </c>
      <c r="CV1032" t="s">
        <v>3014</v>
      </c>
      <c r="CW1032">
        <v>0</v>
      </c>
    </row>
    <row r="1033" spans="1:101" x14ac:dyDescent="0.2">
      <c r="A1033" s="8" t="s">
        <v>126</v>
      </c>
      <c r="B1033" s="46">
        <v>45127</v>
      </c>
      <c r="C1033" s="8" t="s">
        <v>2838</v>
      </c>
      <c r="D1033" s="8" t="s">
        <v>2839</v>
      </c>
      <c r="E1033" s="8" t="s">
        <v>2840</v>
      </c>
      <c r="F1033" t="s">
        <v>110</v>
      </c>
      <c r="G1033" s="8" t="s">
        <v>111</v>
      </c>
      <c r="H1033" s="8" t="s">
        <v>112</v>
      </c>
      <c r="I1033" s="8" t="s">
        <v>112</v>
      </c>
      <c r="J1033" s="8" t="s">
        <v>112</v>
      </c>
      <c r="K1033" s="8" t="s">
        <v>2841</v>
      </c>
      <c r="L1033" s="8" t="s">
        <v>2842</v>
      </c>
      <c r="M1033" s="8" t="s">
        <v>112</v>
      </c>
      <c r="N1033" s="8" t="s">
        <v>112</v>
      </c>
      <c r="O1033">
        <v>1</v>
      </c>
      <c r="P1033">
        <v>0</v>
      </c>
      <c r="Q1033">
        <v>1</v>
      </c>
      <c r="R1033">
        <v>3</v>
      </c>
      <c r="S1033" s="8" t="s">
        <v>2843</v>
      </c>
      <c r="T1033" s="8" t="s">
        <v>2844</v>
      </c>
      <c r="U1033" s="8" t="s">
        <v>2845</v>
      </c>
      <c r="V1033" s="8" t="s">
        <v>2846</v>
      </c>
      <c r="W1033" s="8" t="s">
        <v>2847</v>
      </c>
      <c r="X1033" s="8" t="s">
        <v>2848</v>
      </c>
      <c r="Y1033" s="8" t="s">
        <v>2849</v>
      </c>
      <c r="Z1033" s="8" t="s">
        <v>2850</v>
      </c>
      <c r="AA1033" s="8" t="s">
        <v>2851</v>
      </c>
      <c r="AB1033" s="8" t="s">
        <v>2852</v>
      </c>
      <c r="AC1033" s="8" t="s">
        <v>2847</v>
      </c>
      <c r="AD1033" s="8" t="s">
        <v>2853</v>
      </c>
      <c r="AE1033" s="8" t="s">
        <v>2142</v>
      </c>
      <c r="AF1033" s="8" t="s">
        <v>2143</v>
      </c>
      <c r="AG1033">
        <v>190197.54</v>
      </c>
      <c r="AH1033" s="8" t="s">
        <v>2849</v>
      </c>
      <c r="AI1033" s="8" t="s">
        <v>2850</v>
      </c>
      <c r="AJ1033" s="8" t="s">
        <v>2851</v>
      </c>
      <c r="AK1033" s="8" t="s">
        <v>2852</v>
      </c>
      <c r="AL1033" s="8" t="s">
        <v>2847</v>
      </c>
      <c r="AM1033" s="8" t="s">
        <v>2853</v>
      </c>
      <c r="AN1033" s="8" t="s">
        <v>2142</v>
      </c>
      <c r="AO1033" s="8" t="s">
        <v>2143</v>
      </c>
      <c r="AP1033" s="8" t="s">
        <v>2143</v>
      </c>
      <c r="AQ1033" s="8" t="s">
        <v>124</v>
      </c>
      <c r="AR1033" s="8" t="s">
        <v>125</v>
      </c>
      <c r="AS1033">
        <v>0</v>
      </c>
      <c r="AT1033" s="8" t="s">
        <v>126</v>
      </c>
      <c r="AU1033" s="8" t="s">
        <v>155</v>
      </c>
      <c r="AV1033" s="8" t="s">
        <v>2854</v>
      </c>
      <c r="AW1033">
        <v>1</v>
      </c>
      <c r="AX1033" s="8" t="s">
        <v>2253</v>
      </c>
      <c r="AY1033">
        <v>0</v>
      </c>
      <c r="AZ1033">
        <v>0</v>
      </c>
      <c r="BA1033">
        <v>2943.88</v>
      </c>
      <c r="BB1033">
        <v>92.438199999999895</v>
      </c>
      <c r="BC1033" s="8" t="s">
        <v>2855</v>
      </c>
      <c r="BD1033" s="8" t="s">
        <v>111</v>
      </c>
      <c r="BE1033" s="8" t="s">
        <v>112</v>
      </c>
      <c r="BF1033" s="8" t="s">
        <v>133</v>
      </c>
      <c r="BG1033" s="8" t="s">
        <v>167</v>
      </c>
      <c r="BH1033" s="8" t="s">
        <v>2856</v>
      </c>
      <c r="BI1033" s="8" t="s">
        <v>112</v>
      </c>
      <c r="BJ1033" s="8" t="s">
        <v>112</v>
      </c>
      <c r="BK1033" s="8" t="s">
        <v>2587</v>
      </c>
      <c r="BL1033" s="8" t="s">
        <v>2857</v>
      </c>
      <c r="BM1033" s="8" t="s">
        <v>2858</v>
      </c>
      <c r="BN1033" s="8" t="s">
        <v>2859</v>
      </c>
      <c r="BO1033">
        <v>1</v>
      </c>
      <c r="BP1033" s="8" t="s">
        <v>2860</v>
      </c>
      <c r="BR1033" s="8" t="s">
        <v>2861</v>
      </c>
      <c r="BS1033">
        <v>3</v>
      </c>
      <c r="BT1033">
        <v>0</v>
      </c>
      <c r="BU1033">
        <v>3</v>
      </c>
      <c r="BV1033" t="s">
        <v>2147</v>
      </c>
      <c r="BW1033">
        <v>0</v>
      </c>
      <c r="BY1033" s="8" t="s">
        <v>106</v>
      </c>
      <c r="BZ1033" s="8" t="s">
        <v>2148</v>
      </c>
      <c r="CA1033" s="8" t="s">
        <v>112</v>
      </c>
      <c r="CB1033" s="8" t="s">
        <v>112</v>
      </c>
      <c r="CC1033" s="8" t="s">
        <v>2142</v>
      </c>
      <c r="CD1033">
        <v>92</v>
      </c>
      <c r="CE1033" t="s">
        <v>144</v>
      </c>
      <c r="CF1033">
        <v>4000061</v>
      </c>
      <c r="CG1033">
        <v>87</v>
      </c>
      <c r="CH1033">
        <v>0</v>
      </c>
      <c r="CI1033" s="8" t="s">
        <v>112</v>
      </c>
      <c r="CJ1033" s="8" t="s">
        <v>112</v>
      </c>
      <c r="CK1033">
        <v>0</v>
      </c>
      <c r="CL1033">
        <v>0</v>
      </c>
      <c r="CM1033">
        <v>0</v>
      </c>
      <c r="CN1033">
        <v>6</v>
      </c>
      <c r="CO1033">
        <v>190197.54</v>
      </c>
      <c r="CP1033">
        <v>2943.88</v>
      </c>
      <c r="CQ1033" s="8" t="s">
        <v>145</v>
      </c>
      <c r="CR1033">
        <v>33.837699999999998</v>
      </c>
      <c r="CV1033" t="s">
        <v>2862</v>
      </c>
      <c r="CW1033">
        <v>1077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3"/>
  <sheetViews>
    <sheetView workbookViewId="0">
      <selection activeCell="B5" sqref="B5"/>
    </sheetView>
  </sheetViews>
  <sheetFormatPr defaultRowHeight="12.75" x14ac:dyDescent="0.2"/>
  <cols>
    <col min="1" max="1" width="76" style="9" customWidth="1"/>
    <col min="2" max="2" width="60.796875" style="9" customWidth="1"/>
    <col min="3" max="14" width="8" style="9" customWidth="1"/>
    <col min="15" max="256" width="8.796875" style="9"/>
    <col min="257" max="257" width="76" style="9" customWidth="1"/>
    <col min="258" max="258" width="60.796875" style="9" customWidth="1"/>
    <col min="259" max="270" width="8" style="9" customWidth="1"/>
    <col min="271" max="512" width="8.796875" style="9"/>
    <col min="513" max="513" width="76" style="9" customWidth="1"/>
    <col min="514" max="514" width="60.796875" style="9" customWidth="1"/>
    <col min="515" max="526" width="8" style="9" customWidth="1"/>
    <col min="527" max="768" width="8.796875" style="9"/>
    <col min="769" max="769" width="76" style="9" customWidth="1"/>
    <col min="770" max="770" width="60.796875" style="9" customWidth="1"/>
    <col min="771" max="782" width="8" style="9" customWidth="1"/>
    <col min="783" max="1024" width="8.796875" style="9"/>
    <col min="1025" max="1025" width="76" style="9" customWidth="1"/>
    <col min="1026" max="1026" width="60.796875" style="9" customWidth="1"/>
    <col min="1027" max="1038" width="8" style="9" customWidth="1"/>
    <col min="1039" max="1280" width="8.796875" style="9"/>
    <col min="1281" max="1281" width="76" style="9" customWidth="1"/>
    <col min="1282" max="1282" width="60.796875" style="9" customWidth="1"/>
    <col min="1283" max="1294" width="8" style="9" customWidth="1"/>
    <col min="1295" max="1536" width="8.796875" style="9"/>
    <col min="1537" max="1537" width="76" style="9" customWidth="1"/>
    <col min="1538" max="1538" width="60.796875" style="9" customWidth="1"/>
    <col min="1539" max="1550" width="8" style="9" customWidth="1"/>
    <col min="1551" max="1792" width="8.796875" style="9"/>
    <col min="1793" max="1793" width="76" style="9" customWidth="1"/>
    <col min="1794" max="1794" width="60.796875" style="9" customWidth="1"/>
    <col min="1795" max="1806" width="8" style="9" customWidth="1"/>
    <col min="1807" max="2048" width="8.796875" style="9"/>
    <col min="2049" max="2049" width="76" style="9" customWidth="1"/>
    <col min="2050" max="2050" width="60.796875" style="9" customWidth="1"/>
    <col min="2051" max="2062" width="8" style="9" customWidth="1"/>
    <col min="2063" max="2304" width="8.796875" style="9"/>
    <col min="2305" max="2305" width="76" style="9" customWidth="1"/>
    <col min="2306" max="2306" width="60.796875" style="9" customWidth="1"/>
    <col min="2307" max="2318" width="8" style="9" customWidth="1"/>
    <col min="2319" max="2560" width="8.796875" style="9"/>
    <col min="2561" max="2561" width="76" style="9" customWidth="1"/>
    <col min="2562" max="2562" width="60.796875" style="9" customWidth="1"/>
    <col min="2563" max="2574" width="8" style="9" customWidth="1"/>
    <col min="2575" max="2816" width="8.796875" style="9"/>
    <col min="2817" max="2817" width="76" style="9" customWidth="1"/>
    <col min="2818" max="2818" width="60.796875" style="9" customWidth="1"/>
    <col min="2819" max="2830" width="8" style="9" customWidth="1"/>
    <col min="2831" max="3072" width="8.796875" style="9"/>
    <col min="3073" max="3073" width="76" style="9" customWidth="1"/>
    <col min="3074" max="3074" width="60.796875" style="9" customWidth="1"/>
    <col min="3075" max="3086" width="8" style="9" customWidth="1"/>
    <col min="3087" max="3328" width="8.796875" style="9"/>
    <col min="3329" max="3329" width="76" style="9" customWidth="1"/>
    <col min="3330" max="3330" width="60.796875" style="9" customWidth="1"/>
    <col min="3331" max="3342" width="8" style="9" customWidth="1"/>
    <col min="3343" max="3584" width="8.796875" style="9"/>
    <col min="3585" max="3585" width="76" style="9" customWidth="1"/>
    <col min="3586" max="3586" width="60.796875" style="9" customWidth="1"/>
    <col min="3587" max="3598" width="8" style="9" customWidth="1"/>
    <col min="3599" max="3840" width="8.796875" style="9"/>
    <col min="3841" max="3841" width="76" style="9" customWidth="1"/>
    <col min="3842" max="3842" width="60.796875" style="9" customWidth="1"/>
    <col min="3843" max="3854" width="8" style="9" customWidth="1"/>
    <col min="3855" max="4096" width="8.796875" style="9"/>
    <col min="4097" max="4097" width="76" style="9" customWidth="1"/>
    <col min="4098" max="4098" width="60.796875" style="9" customWidth="1"/>
    <col min="4099" max="4110" width="8" style="9" customWidth="1"/>
    <col min="4111" max="4352" width="8.796875" style="9"/>
    <col min="4353" max="4353" width="76" style="9" customWidth="1"/>
    <col min="4354" max="4354" width="60.796875" style="9" customWidth="1"/>
    <col min="4355" max="4366" width="8" style="9" customWidth="1"/>
    <col min="4367" max="4608" width="8.796875" style="9"/>
    <col min="4609" max="4609" width="76" style="9" customWidth="1"/>
    <col min="4610" max="4610" width="60.796875" style="9" customWidth="1"/>
    <col min="4611" max="4622" width="8" style="9" customWidth="1"/>
    <col min="4623" max="4864" width="8.796875" style="9"/>
    <col min="4865" max="4865" width="76" style="9" customWidth="1"/>
    <col min="4866" max="4866" width="60.796875" style="9" customWidth="1"/>
    <col min="4867" max="4878" width="8" style="9" customWidth="1"/>
    <col min="4879" max="5120" width="8.796875" style="9"/>
    <col min="5121" max="5121" width="76" style="9" customWidth="1"/>
    <col min="5122" max="5122" width="60.796875" style="9" customWidth="1"/>
    <col min="5123" max="5134" width="8" style="9" customWidth="1"/>
    <col min="5135" max="5376" width="8.796875" style="9"/>
    <col min="5377" max="5377" width="76" style="9" customWidth="1"/>
    <col min="5378" max="5378" width="60.796875" style="9" customWidth="1"/>
    <col min="5379" max="5390" width="8" style="9" customWidth="1"/>
    <col min="5391" max="5632" width="8.796875" style="9"/>
    <col min="5633" max="5633" width="76" style="9" customWidth="1"/>
    <col min="5634" max="5634" width="60.796875" style="9" customWidth="1"/>
    <col min="5635" max="5646" width="8" style="9" customWidth="1"/>
    <col min="5647" max="5888" width="8.796875" style="9"/>
    <col min="5889" max="5889" width="76" style="9" customWidth="1"/>
    <col min="5890" max="5890" width="60.796875" style="9" customWidth="1"/>
    <col min="5891" max="5902" width="8" style="9" customWidth="1"/>
    <col min="5903" max="6144" width="8.796875" style="9"/>
    <col min="6145" max="6145" width="76" style="9" customWidth="1"/>
    <col min="6146" max="6146" width="60.796875" style="9" customWidth="1"/>
    <col min="6147" max="6158" width="8" style="9" customWidth="1"/>
    <col min="6159" max="6400" width="8.796875" style="9"/>
    <col min="6401" max="6401" width="76" style="9" customWidth="1"/>
    <col min="6402" max="6402" width="60.796875" style="9" customWidth="1"/>
    <col min="6403" max="6414" width="8" style="9" customWidth="1"/>
    <col min="6415" max="6656" width="8.796875" style="9"/>
    <col min="6657" max="6657" width="76" style="9" customWidth="1"/>
    <col min="6658" max="6658" width="60.796875" style="9" customWidth="1"/>
    <col min="6659" max="6670" width="8" style="9" customWidth="1"/>
    <col min="6671" max="6912" width="8.796875" style="9"/>
    <col min="6913" max="6913" width="76" style="9" customWidth="1"/>
    <col min="6914" max="6914" width="60.796875" style="9" customWidth="1"/>
    <col min="6915" max="6926" width="8" style="9" customWidth="1"/>
    <col min="6927" max="7168" width="8.796875" style="9"/>
    <col min="7169" max="7169" width="76" style="9" customWidth="1"/>
    <col min="7170" max="7170" width="60.796875" style="9" customWidth="1"/>
    <col min="7171" max="7182" width="8" style="9" customWidth="1"/>
    <col min="7183" max="7424" width="8.796875" style="9"/>
    <col min="7425" max="7425" width="76" style="9" customWidth="1"/>
    <col min="7426" max="7426" width="60.796875" style="9" customWidth="1"/>
    <col min="7427" max="7438" width="8" style="9" customWidth="1"/>
    <col min="7439" max="7680" width="8.796875" style="9"/>
    <col min="7681" max="7681" width="76" style="9" customWidth="1"/>
    <col min="7682" max="7682" width="60.796875" style="9" customWidth="1"/>
    <col min="7683" max="7694" width="8" style="9" customWidth="1"/>
    <col min="7695" max="7936" width="8.796875" style="9"/>
    <col min="7937" max="7937" width="76" style="9" customWidth="1"/>
    <col min="7938" max="7938" width="60.796875" style="9" customWidth="1"/>
    <col min="7939" max="7950" width="8" style="9" customWidth="1"/>
    <col min="7951" max="8192" width="8.796875" style="9"/>
    <col min="8193" max="8193" width="76" style="9" customWidth="1"/>
    <col min="8194" max="8194" width="60.796875" style="9" customWidth="1"/>
    <col min="8195" max="8206" width="8" style="9" customWidth="1"/>
    <col min="8207" max="8448" width="8.796875" style="9"/>
    <col min="8449" max="8449" width="76" style="9" customWidth="1"/>
    <col min="8450" max="8450" width="60.796875" style="9" customWidth="1"/>
    <col min="8451" max="8462" width="8" style="9" customWidth="1"/>
    <col min="8463" max="8704" width="8.796875" style="9"/>
    <col min="8705" max="8705" width="76" style="9" customWidth="1"/>
    <col min="8706" max="8706" width="60.796875" style="9" customWidth="1"/>
    <col min="8707" max="8718" width="8" style="9" customWidth="1"/>
    <col min="8719" max="8960" width="8.796875" style="9"/>
    <col min="8961" max="8961" width="76" style="9" customWidth="1"/>
    <col min="8962" max="8962" width="60.796875" style="9" customWidth="1"/>
    <col min="8963" max="8974" width="8" style="9" customWidth="1"/>
    <col min="8975" max="9216" width="8.796875" style="9"/>
    <col min="9217" max="9217" width="76" style="9" customWidth="1"/>
    <col min="9218" max="9218" width="60.796875" style="9" customWidth="1"/>
    <col min="9219" max="9230" width="8" style="9" customWidth="1"/>
    <col min="9231" max="9472" width="8.796875" style="9"/>
    <col min="9473" max="9473" width="76" style="9" customWidth="1"/>
    <col min="9474" max="9474" width="60.796875" style="9" customWidth="1"/>
    <col min="9475" max="9486" width="8" style="9" customWidth="1"/>
    <col min="9487" max="9728" width="8.796875" style="9"/>
    <col min="9729" max="9729" width="76" style="9" customWidth="1"/>
    <col min="9730" max="9730" width="60.796875" style="9" customWidth="1"/>
    <col min="9731" max="9742" width="8" style="9" customWidth="1"/>
    <col min="9743" max="9984" width="8.796875" style="9"/>
    <col min="9985" max="9985" width="76" style="9" customWidth="1"/>
    <col min="9986" max="9986" width="60.796875" style="9" customWidth="1"/>
    <col min="9987" max="9998" width="8" style="9" customWidth="1"/>
    <col min="9999" max="10240" width="8.796875" style="9"/>
    <col min="10241" max="10241" width="76" style="9" customWidth="1"/>
    <col min="10242" max="10242" width="60.796875" style="9" customWidth="1"/>
    <col min="10243" max="10254" width="8" style="9" customWidth="1"/>
    <col min="10255" max="10496" width="8.796875" style="9"/>
    <col min="10497" max="10497" width="76" style="9" customWidth="1"/>
    <col min="10498" max="10498" width="60.796875" style="9" customWidth="1"/>
    <col min="10499" max="10510" width="8" style="9" customWidth="1"/>
    <col min="10511" max="10752" width="8.796875" style="9"/>
    <col min="10753" max="10753" width="76" style="9" customWidth="1"/>
    <col min="10754" max="10754" width="60.796875" style="9" customWidth="1"/>
    <col min="10755" max="10766" width="8" style="9" customWidth="1"/>
    <col min="10767" max="11008" width="8.796875" style="9"/>
    <col min="11009" max="11009" width="76" style="9" customWidth="1"/>
    <col min="11010" max="11010" width="60.796875" style="9" customWidth="1"/>
    <col min="11011" max="11022" width="8" style="9" customWidth="1"/>
    <col min="11023" max="11264" width="8.796875" style="9"/>
    <col min="11265" max="11265" width="76" style="9" customWidth="1"/>
    <col min="11266" max="11266" width="60.796875" style="9" customWidth="1"/>
    <col min="11267" max="11278" width="8" style="9" customWidth="1"/>
    <col min="11279" max="11520" width="8.796875" style="9"/>
    <col min="11521" max="11521" width="76" style="9" customWidth="1"/>
    <col min="11522" max="11522" width="60.796875" style="9" customWidth="1"/>
    <col min="11523" max="11534" width="8" style="9" customWidth="1"/>
    <col min="11535" max="11776" width="8.796875" style="9"/>
    <col min="11777" max="11777" width="76" style="9" customWidth="1"/>
    <col min="11778" max="11778" width="60.796875" style="9" customWidth="1"/>
    <col min="11779" max="11790" width="8" style="9" customWidth="1"/>
    <col min="11791" max="12032" width="8.796875" style="9"/>
    <col min="12033" max="12033" width="76" style="9" customWidth="1"/>
    <col min="12034" max="12034" width="60.796875" style="9" customWidth="1"/>
    <col min="12035" max="12046" width="8" style="9" customWidth="1"/>
    <col min="12047" max="12288" width="8.796875" style="9"/>
    <col min="12289" max="12289" width="76" style="9" customWidth="1"/>
    <col min="12290" max="12290" width="60.796875" style="9" customWidth="1"/>
    <col min="12291" max="12302" width="8" style="9" customWidth="1"/>
    <col min="12303" max="12544" width="8.796875" style="9"/>
    <col min="12545" max="12545" width="76" style="9" customWidth="1"/>
    <col min="12546" max="12546" width="60.796875" style="9" customWidth="1"/>
    <col min="12547" max="12558" width="8" style="9" customWidth="1"/>
    <col min="12559" max="12800" width="8.796875" style="9"/>
    <col min="12801" max="12801" width="76" style="9" customWidth="1"/>
    <col min="12802" max="12802" width="60.796875" style="9" customWidth="1"/>
    <col min="12803" max="12814" width="8" style="9" customWidth="1"/>
    <col min="12815" max="13056" width="8.796875" style="9"/>
    <col min="13057" max="13057" width="76" style="9" customWidth="1"/>
    <col min="13058" max="13058" width="60.796875" style="9" customWidth="1"/>
    <col min="13059" max="13070" width="8" style="9" customWidth="1"/>
    <col min="13071" max="13312" width="8.796875" style="9"/>
    <col min="13313" max="13313" width="76" style="9" customWidth="1"/>
    <col min="13314" max="13314" width="60.796875" style="9" customWidth="1"/>
    <col min="13315" max="13326" width="8" style="9" customWidth="1"/>
    <col min="13327" max="13568" width="8.796875" style="9"/>
    <col min="13569" max="13569" width="76" style="9" customWidth="1"/>
    <col min="13570" max="13570" width="60.796875" style="9" customWidth="1"/>
    <col min="13571" max="13582" width="8" style="9" customWidth="1"/>
    <col min="13583" max="13824" width="8.796875" style="9"/>
    <col min="13825" max="13825" width="76" style="9" customWidth="1"/>
    <col min="13826" max="13826" width="60.796875" style="9" customWidth="1"/>
    <col min="13827" max="13838" width="8" style="9" customWidth="1"/>
    <col min="13839" max="14080" width="8.796875" style="9"/>
    <col min="14081" max="14081" width="76" style="9" customWidth="1"/>
    <col min="14082" max="14082" width="60.796875" style="9" customWidth="1"/>
    <col min="14083" max="14094" width="8" style="9" customWidth="1"/>
    <col min="14095" max="14336" width="8.796875" style="9"/>
    <col min="14337" max="14337" width="76" style="9" customWidth="1"/>
    <col min="14338" max="14338" width="60.796875" style="9" customWidth="1"/>
    <col min="14339" max="14350" width="8" style="9" customWidth="1"/>
    <col min="14351" max="14592" width="8.796875" style="9"/>
    <col min="14593" max="14593" width="76" style="9" customWidth="1"/>
    <col min="14594" max="14594" width="60.796875" style="9" customWidth="1"/>
    <col min="14595" max="14606" width="8" style="9" customWidth="1"/>
    <col min="14607" max="14848" width="8.796875" style="9"/>
    <col min="14849" max="14849" width="76" style="9" customWidth="1"/>
    <col min="14850" max="14850" width="60.796875" style="9" customWidth="1"/>
    <col min="14851" max="14862" width="8" style="9" customWidth="1"/>
    <col min="14863" max="15104" width="8.796875" style="9"/>
    <col min="15105" max="15105" width="76" style="9" customWidth="1"/>
    <col min="15106" max="15106" width="60.796875" style="9" customWidth="1"/>
    <col min="15107" max="15118" width="8" style="9" customWidth="1"/>
    <col min="15119" max="15360" width="8.796875" style="9"/>
    <col min="15361" max="15361" width="76" style="9" customWidth="1"/>
    <col min="15362" max="15362" width="60.796875" style="9" customWidth="1"/>
    <col min="15363" max="15374" width="8" style="9" customWidth="1"/>
    <col min="15375" max="15616" width="8.796875" style="9"/>
    <col min="15617" max="15617" width="76" style="9" customWidth="1"/>
    <col min="15618" max="15618" width="60.796875" style="9" customWidth="1"/>
    <col min="15619" max="15630" width="8" style="9" customWidth="1"/>
    <col min="15631" max="15872" width="8.796875" style="9"/>
    <col min="15873" max="15873" width="76" style="9" customWidth="1"/>
    <col min="15874" max="15874" width="60.796875" style="9" customWidth="1"/>
    <col min="15875" max="15886" width="8" style="9" customWidth="1"/>
    <col min="15887" max="16128" width="8.796875" style="9"/>
    <col min="16129" max="16129" width="76" style="9" customWidth="1"/>
    <col min="16130" max="16130" width="60.796875" style="9" customWidth="1"/>
    <col min="16131" max="16142" width="8" style="9" customWidth="1"/>
    <col min="16143" max="16384" width="8.796875" style="9"/>
  </cols>
  <sheetData>
    <row r="1" spans="1:26" ht="12.75" customHeight="1" x14ac:dyDescent="0.2">
      <c r="A1" s="47" t="s">
        <v>3280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">
      <c r="A2" s="9" t="s">
        <v>112</v>
      </c>
    </row>
    <row r="3" spans="1:26" ht="12.75" customHeight="1" x14ac:dyDescent="0.2">
      <c r="A3" s="49" t="s">
        <v>112</v>
      </c>
      <c r="B3" s="49" t="s">
        <v>112</v>
      </c>
      <c r="C3" s="49" t="s">
        <v>3278</v>
      </c>
      <c r="D3" s="49" t="s">
        <v>112</v>
      </c>
      <c r="E3" s="49" t="s">
        <v>112</v>
      </c>
      <c r="F3" s="49" t="s">
        <v>112</v>
      </c>
      <c r="G3" s="49" t="s">
        <v>112</v>
      </c>
      <c r="H3" s="49" t="s">
        <v>112</v>
      </c>
      <c r="I3" s="49" t="s">
        <v>112</v>
      </c>
      <c r="J3" s="49" t="s">
        <v>112</v>
      </c>
      <c r="K3" s="49" t="s">
        <v>112</v>
      </c>
      <c r="L3" s="49" t="s">
        <v>112</v>
      </c>
      <c r="M3" s="49" t="s">
        <v>112</v>
      </c>
      <c r="N3" s="49" t="s">
        <v>112</v>
      </c>
    </row>
    <row r="4" spans="1:26" ht="12.75" customHeight="1" x14ac:dyDescent="0.2">
      <c r="A4" s="49" t="s">
        <v>112</v>
      </c>
      <c r="B4" s="49" t="s">
        <v>112</v>
      </c>
      <c r="C4" s="12" t="s">
        <v>3277</v>
      </c>
      <c r="D4" s="12" t="s">
        <v>3276</v>
      </c>
      <c r="E4" s="12" t="s">
        <v>3274</v>
      </c>
      <c r="F4" s="12" t="s">
        <v>3272</v>
      </c>
      <c r="G4" s="12" t="s">
        <v>3270</v>
      </c>
      <c r="H4" s="12" t="s">
        <v>3268</v>
      </c>
      <c r="I4" s="12" t="s">
        <v>3266</v>
      </c>
      <c r="J4" s="12" t="s">
        <v>3264</v>
      </c>
      <c r="K4" s="12" t="s">
        <v>3262</v>
      </c>
      <c r="L4" s="12" t="s">
        <v>3260</v>
      </c>
      <c r="M4" s="12" t="s">
        <v>3258</v>
      </c>
      <c r="N4" s="12" t="s">
        <v>3256</v>
      </c>
    </row>
    <row r="5" spans="1:26" ht="12.75" customHeight="1" x14ac:dyDescent="0.2">
      <c r="A5" s="49" t="s">
        <v>3247</v>
      </c>
      <c r="B5" s="12" t="s">
        <v>3302</v>
      </c>
      <c r="C5" s="10">
        <v>306.43</v>
      </c>
      <c r="D5" s="10">
        <v>303.12</v>
      </c>
      <c r="E5" s="10">
        <v>302.95999999999998</v>
      </c>
      <c r="F5" s="10">
        <v>307.39999999999998</v>
      </c>
      <c r="G5" s="10">
        <v>307.10000000000002</v>
      </c>
      <c r="H5" s="10">
        <v>308.38</v>
      </c>
      <c r="I5" s="10">
        <v>314.54000000000002</v>
      </c>
      <c r="J5" s="10">
        <v>331.44</v>
      </c>
      <c r="K5" s="10">
        <v>335.96</v>
      </c>
      <c r="L5" s="10">
        <v>342.28</v>
      </c>
      <c r="M5" s="10">
        <v>344.82</v>
      </c>
      <c r="N5" s="10">
        <v>344.82</v>
      </c>
    </row>
    <row r="6" spans="1:26" ht="12.75" customHeight="1" x14ac:dyDescent="0.2">
      <c r="A6" s="49" t="s">
        <v>3247</v>
      </c>
      <c r="B6" s="12" t="s">
        <v>3281</v>
      </c>
      <c r="C6" s="10">
        <v>242.79</v>
      </c>
      <c r="D6" s="10">
        <v>241.99</v>
      </c>
      <c r="E6" s="10">
        <v>242.22</v>
      </c>
      <c r="F6" s="10">
        <v>240.41</v>
      </c>
      <c r="G6" s="10">
        <v>240.02</v>
      </c>
      <c r="H6" s="10">
        <v>239.37</v>
      </c>
      <c r="I6" s="10">
        <v>237.55</v>
      </c>
      <c r="J6" s="10">
        <v>237.19</v>
      </c>
      <c r="K6" s="10">
        <v>235.56</v>
      </c>
      <c r="L6" s="10">
        <v>237.31</v>
      </c>
      <c r="M6" s="10">
        <v>236.67</v>
      </c>
      <c r="N6" s="10">
        <v>235.98</v>
      </c>
    </row>
    <row r="7" spans="1:26" ht="12.75" customHeight="1" x14ac:dyDescent="0.2">
      <c r="A7" s="49" t="s">
        <v>3247</v>
      </c>
      <c r="B7" s="12" t="s">
        <v>3282</v>
      </c>
      <c r="C7" s="10">
        <v>110.41</v>
      </c>
      <c r="D7" s="10">
        <v>109.91</v>
      </c>
      <c r="E7" s="10">
        <v>111.24</v>
      </c>
      <c r="F7" s="10">
        <v>112.1</v>
      </c>
      <c r="G7" s="10">
        <v>112.07</v>
      </c>
      <c r="H7" s="10">
        <v>112.6</v>
      </c>
      <c r="I7" s="10">
        <v>112.93</v>
      </c>
      <c r="J7" s="10">
        <v>113.86</v>
      </c>
      <c r="K7" s="10">
        <v>116.14</v>
      </c>
      <c r="L7" s="11">
        <v>117</v>
      </c>
      <c r="M7" s="10">
        <v>117.23</v>
      </c>
      <c r="N7" s="10">
        <v>118.09</v>
      </c>
    </row>
    <row r="8" spans="1:26" ht="12.75" customHeight="1" x14ac:dyDescent="0.2">
      <c r="A8" s="49" t="s">
        <v>3247</v>
      </c>
      <c r="B8" s="12" t="s">
        <v>3283</v>
      </c>
      <c r="C8" s="10">
        <v>50.91</v>
      </c>
      <c r="D8" s="10">
        <v>49.79</v>
      </c>
      <c r="E8" s="10">
        <v>50.39</v>
      </c>
      <c r="F8" s="10">
        <v>49.96</v>
      </c>
      <c r="G8" s="10">
        <v>49.74</v>
      </c>
      <c r="H8" s="10">
        <v>49.16</v>
      </c>
      <c r="I8" s="10">
        <v>48.94</v>
      </c>
      <c r="J8" s="10">
        <v>48.87</v>
      </c>
      <c r="K8" s="10">
        <v>49.02</v>
      </c>
      <c r="L8" s="10">
        <v>49.17</v>
      </c>
      <c r="M8" s="10">
        <v>49.75</v>
      </c>
      <c r="N8" s="10">
        <v>49.96</v>
      </c>
    </row>
    <row r="9" spans="1:26" ht="12.75" customHeight="1" x14ac:dyDescent="0.2">
      <c r="A9" s="49" t="s">
        <v>3247</v>
      </c>
      <c r="B9" s="12" t="s">
        <v>3284</v>
      </c>
      <c r="C9" s="10">
        <v>1356.53</v>
      </c>
      <c r="D9" s="10">
        <v>1351.37</v>
      </c>
      <c r="E9" s="10">
        <v>1361.11</v>
      </c>
      <c r="F9" s="10">
        <v>1363.14</v>
      </c>
      <c r="G9" s="10">
        <v>1361.65</v>
      </c>
      <c r="H9" s="10">
        <v>1360.96</v>
      </c>
      <c r="I9" s="10">
        <v>1360.95</v>
      </c>
      <c r="J9" s="10">
        <v>1364.12</v>
      </c>
      <c r="K9" s="10">
        <v>1363.18</v>
      </c>
      <c r="L9" s="10">
        <v>1366.29</v>
      </c>
      <c r="M9" s="10">
        <v>1367.9</v>
      </c>
      <c r="N9" s="10">
        <v>1369.25</v>
      </c>
    </row>
    <row r="10" spans="1:26" ht="12.75" customHeight="1" x14ac:dyDescent="0.2">
      <c r="A10" s="49" t="s">
        <v>3247</v>
      </c>
      <c r="B10" s="12" t="s">
        <v>3285</v>
      </c>
      <c r="C10" s="10">
        <v>879.93</v>
      </c>
      <c r="D10" s="10">
        <v>881.24</v>
      </c>
      <c r="E10" s="10">
        <v>886.62</v>
      </c>
      <c r="F10" s="10">
        <v>892.2</v>
      </c>
      <c r="G10" s="10">
        <v>898.31</v>
      </c>
      <c r="H10" s="10">
        <v>902.6</v>
      </c>
      <c r="I10" s="10">
        <v>898.28</v>
      </c>
      <c r="J10" s="10">
        <v>891.96</v>
      </c>
      <c r="K10" s="10">
        <v>891.48</v>
      </c>
      <c r="L10" s="10">
        <v>890.2</v>
      </c>
      <c r="M10" s="10">
        <v>889.79</v>
      </c>
      <c r="N10" s="10">
        <v>891.17</v>
      </c>
    </row>
    <row r="11" spans="1:26" ht="12.75" customHeight="1" x14ac:dyDescent="0.2">
      <c r="A11" s="49" t="s">
        <v>3247</v>
      </c>
      <c r="B11" s="12" t="s">
        <v>3286</v>
      </c>
      <c r="C11" s="10">
        <v>6856.25</v>
      </c>
      <c r="D11" s="10">
        <v>6838.29</v>
      </c>
      <c r="E11" s="10">
        <v>6828.13</v>
      </c>
      <c r="F11" s="10">
        <v>6801.09</v>
      </c>
      <c r="G11" s="10">
        <v>6794.83</v>
      </c>
      <c r="H11" s="10">
        <v>6798.74</v>
      </c>
      <c r="I11" s="10">
        <v>6811.66</v>
      </c>
      <c r="J11" s="10">
        <v>6881.48</v>
      </c>
      <c r="K11" s="10">
        <v>6955.63</v>
      </c>
      <c r="L11" s="10">
        <v>7028.73</v>
      </c>
      <c r="M11" s="10">
        <v>6940.59</v>
      </c>
      <c r="N11" s="10">
        <v>6931.21</v>
      </c>
    </row>
    <row r="12" spans="1:26" ht="12.75" customHeight="1" x14ac:dyDescent="0.2">
      <c r="A12" s="49" t="s">
        <v>3247</v>
      </c>
      <c r="B12" s="12" t="s">
        <v>3287</v>
      </c>
      <c r="C12" s="10">
        <v>44.58</v>
      </c>
      <c r="D12" s="10">
        <v>44.39</v>
      </c>
      <c r="E12" s="10">
        <v>44.5</v>
      </c>
      <c r="F12" s="10">
        <v>44.3</v>
      </c>
      <c r="G12" s="10">
        <v>44.27</v>
      </c>
      <c r="H12" s="10">
        <v>44.26</v>
      </c>
      <c r="I12" s="10">
        <v>44.22</v>
      </c>
      <c r="J12" s="10">
        <v>44.46</v>
      </c>
      <c r="K12" s="10">
        <v>44.96</v>
      </c>
      <c r="L12" s="10">
        <v>45.59</v>
      </c>
      <c r="M12" s="10">
        <v>46.06</v>
      </c>
      <c r="N12" s="10">
        <v>46.32</v>
      </c>
    </row>
    <row r="13" spans="1:26" ht="12.75" customHeight="1" x14ac:dyDescent="0.2">
      <c r="A13" s="49" t="s">
        <v>3247</v>
      </c>
      <c r="B13" s="12" t="s">
        <v>3288</v>
      </c>
      <c r="C13" s="10">
        <v>568.67999999999995</v>
      </c>
      <c r="D13" s="10">
        <v>573.6</v>
      </c>
      <c r="E13" s="10">
        <v>577.91999999999996</v>
      </c>
      <c r="F13" s="10">
        <v>580.88</v>
      </c>
      <c r="G13" s="10">
        <v>584.70000000000005</v>
      </c>
      <c r="H13" s="10">
        <v>582.29</v>
      </c>
      <c r="I13" s="10">
        <v>584.07000000000005</v>
      </c>
      <c r="J13" s="10">
        <v>585.62</v>
      </c>
      <c r="K13" s="10">
        <v>589.70000000000005</v>
      </c>
      <c r="L13" s="10">
        <v>593.83000000000004</v>
      </c>
      <c r="M13" s="10">
        <v>596.89</v>
      </c>
      <c r="N13" s="10">
        <v>599.28</v>
      </c>
    </row>
  </sheetData>
  <mergeCells count="4">
    <mergeCell ref="A1:Z1"/>
    <mergeCell ref="A3:B4"/>
    <mergeCell ref="C3:N3"/>
    <mergeCell ref="A5:A13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"/>
  <sheetViews>
    <sheetView workbookViewId="0">
      <selection activeCell="D3" sqref="D3:Z3"/>
    </sheetView>
  </sheetViews>
  <sheetFormatPr defaultRowHeight="12.75" x14ac:dyDescent="0.2"/>
  <cols>
    <col min="1" max="1" width="46.19921875" style="9" customWidth="1"/>
    <col min="2" max="2" width="28.296875" style="9" customWidth="1"/>
    <col min="3" max="3" width="24.09765625" style="9" customWidth="1"/>
    <col min="4" max="5" width="8.09765625" style="9" customWidth="1"/>
    <col min="6" max="6" width="11.5" style="9" customWidth="1"/>
    <col min="7" max="7" width="8.09765625" style="9" customWidth="1"/>
    <col min="8" max="8" width="9.19921875" style="9" customWidth="1"/>
    <col min="9" max="9" width="8.09765625" style="9" customWidth="1"/>
    <col min="10" max="10" width="10.3984375" style="9" customWidth="1"/>
    <col min="11" max="11" width="9.09765625" style="9" customWidth="1"/>
    <col min="12" max="12" width="9.296875" style="9" customWidth="1"/>
    <col min="13" max="13" width="8.09765625" style="9" customWidth="1"/>
    <col min="14" max="14" width="9.296875" style="9" customWidth="1"/>
    <col min="15" max="15" width="8.09765625" style="9" customWidth="1"/>
    <col min="16" max="16" width="9.19921875" style="9" customWidth="1"/>
    <col min="17" max="17" width="8.09765625" style="9" customWidth="1"/>
    <col min="18" max="18" width="9.796875" style="9" customWidth="1"/>
    <col min="19" max="19" width="9.09765625" style="9" customWidth="1"/>
    <col min="20" max="20" width="11.69921875" style="9" customWidth="1"/>
    <col min="21" max="21" width="9.09765625" style="9" customWidth="1"/>
    <col min="22" max="22" width="10.796875" style="9" customWidth="1"/>
    <col min="23" max="23" width="9.09765625" style="9" customWidth="1"/>
    <col min="24" max="24" width="10.296875" style="9" customWidth="1"/>
    <col min="25" max="25" width="9.09765625" style="9" customWidth="1"/>
    <col min="26" max="26" width="11" style="9" customWidth="1"/>
    <col min="27" max="16384" width="8.796875" style="9"/>
  </cols>
  <sheetData>
    <row r="1" spans="1:26" ht="12.75" customHeight="1" x14ac:dyDescent="0.2">
      <c r="A1" s="47" t="s">
        <v>3279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">
      <c r="A2" s="9" t="s">
        <v>112</v>
      </c>
    </row>
    <row r="3" spans="1:26" ht="12.75" customHeight="1" x14ac:dyDescent="0.2">
      <c r="A3" s="49" t="s">
        <v>112</v>
      </c>
      <c r="B3" s="49" t="s">
        <v>112</v>
      </c>
      <c r="C3" s="49" t="s">
        <v>112</v>
      </c>
      <c r="D3" s="49" t="s">
        <v>3278</v>
      </c>
      <c r="E3" s="49" t="s">
        <v>112</v>
      </c>
      <c r="F3" s="49" t="s">
        <v>112</v>
      </c>
      <c r="G3" s="49" t="s">
        <v>112</v>
      </c>
      <c r="H3" s="49" t="s">
        <v>112</v>
      </c>
      <c r="I3" s="49" t="s">
        <v>112</v>
      </c>
      <c r="J3" s="49" t="s">
        <v>112</v>
      </c>
      <c r="K3" s="49" t="s">
        <v>112</v>
      </c>
      <c r="L3" s="49" t="s">
        <v>112</v>
      </c>
      <c r="M3" s="49" t="s">
        <v>112</v>
      </c>
      <c r="N3" s="49" t="s">
        <v>112</v>
      </c>
      <c r="O3" s="49" t="s">
        <v>112</v>
      </c>
      <c r="P3" s="49" t="s">
        <v>112</v>
      </c>
      <c r="Q3" s="49" t="s">
        <v>112</v>
      </c>
      <c r="R3" s="49" t="s">
        <v>112</v>
      </c>
      <c r="S3" s="49" t="s">
        <v>112</v>
      </c>
      <c r="T3" s="49" t="s">
        <v>112</v>
      </c>
      <c r="U3" s="49" t="s">
        <v>112</v>
      </c>
      <c r="V3" s="49" t="s">
        <v>112</v>
      </c>
      <c r="W3" s="49" t="s">
        <v>112</v>
      </c>
      <c r="X3" s="49" t="s">
        <v>112</v>
      </c>
      <c r="Y3" s="49" t="s">
        <v>112</v>
      </c>
      <c r="Z3" s="49" t="s">
        <v>112</v>
      </c>
    </row>
    <row r="4" spans="1:26" ht="12.75" customHeight="1" x14ac:dyDescent="0.2">
      <c r="A4" s="49" t="s">
        <v>112</v>
      </c>
      <c r="B4" s="49" t="s">
        <v>112</v>
      </c>
      <c r="C4" s="49" t="s">
        <v>112</v>
      </c>
      <c r="D4" s="12" t="s">
        <v>3277</v>
      </c>
      <c r="E4" s="12" t="s">
        <v>3276</v>
      </c>
      <c r="F4" s="12" t="s">
        <v>3275</v>
      </c>
      <c r="G4" s="12" t="s">
        <v>3274</v>
      </c>
      <c r="H4" s="12" t="s">
        <v>3273</v>
      </c>
      <c r="I4" s="12" t="s">
        <v>3272</v>
      </c>
      <c r="J4" s="12" t="s">
        <v>3271</v>
      </c>
      <c r="K4" s="12" t="s">
        <v>3270</v>
      </c>
      <c r="L4" s="12" t="s">
        <v>3269</v>
      </c>
      <c r="M4" s="12" t="s">
        <v>3268</v>
      </c>
      <c r="N4" s="12" t="s">
        <v>3267</v>
      </c>
      <c r="O4" s="12" t="s">
        <v>3266</v>
      </c>
      <c r="P4" s="12" t="s">
        <v>3265</v>
      </c>
      <c r="Q4" s="12" t="s">
        <v>3264</v>
      </c>
      <c r="R4" s="12" t="s">
        <v>3263</v>
      </c>
      <c r="S4" s="12" t="s">
        <v>3262</v>
      </c>
      <c r="T4" s="12" t="s">
        <v>3261</v>
      </c>
      <c r="U4" s="12" t="s">
        <v>3260</v>
      </c>
      <c r="V4" s="12" t="s">
        <v>3259</v>
      </c>
      <c r="W4" s="12" t="s">
        <v>3258</v>
      </c>
      <c r="X4" s="12" t="s">
        <v>3257</v>
      </c>
      <c r="Y4" s="12" t="s">
        <v>3256</v>
      </c>
      <c r="Z4" s="12" t="s">
        <v>3255</v>
      </c>
    </row>
    <row r="5" spans="1:26" ht="12.75" customHeight="1" x14ac:dyDescent="0.2">
      <c r="A5" s="44" t="s">
        <v>3254</v>
      </c>
      <c r="B5" s="12" t="s">
        <v>3250</v>
      </c>
      <c r="C5" s="12" t="s">
        <v>3248</v>
      </c>
      <c r="D5" s="10">
        <v>1220.21</v>
      </c>
      <c r="E5" s="10">
        <v>1240.1300000000001</v>
      </c>
      <c r="F5" s="10">
        <v>2460.34</v>
      </c>
      <c r="G5" s="10">
        <v>1391.36</v>
      </c>
      <c r="H5" s="10">
        <v>3851.7</v>
      </c>
      <c r="I5" s="10">
        <v>1886.46</v>
      </c>
      <c r="J5" s="10">
        <v>5738.16</v>
      </c>
      <c r="K5" s="10">
        <v>1776.48</v>
      </c>
      <c r="L5" s="10">
        <v>7514.64</v>
      </c>
      <c r="M5" s="10">
        <v>1816.79</v>
      </c>
      <c r="N5" s="10">
        <v>9331.43</v>
      </c>
      <c r="O5" s="10">
        <v>1688.46</v>
      </c>
      <c r="P5" s="10">
        <v>11019.89</v>
      </c>
      <c r="Q5" s="10">
        <v>1869.64</v>
      </c>
      <c r="R5" s="10">
        <v>12889.53</v>
      </c>
      <c r="S5" s="10">
        <v>2038.64</v>
      </c>
      <c r="T5" s="10">
        <v>14928.17</v>
      </c>
      <c r="U5" s="10">
        <v>2177.38</v>
      </c>
      <c r="V5" s="10">
        <v>17105.54</v>
      </c>
      <c r="W5" s="10">
        <v>1911.11</v>
      </c>
      <c r="X5" s="10">
        <v>19016.650000000001</v>
      </c>
      <c r="Y5" s="10">
        <v>1896.14</v>
      </c>
      <c r="Z5" s="10">
        <v>20912.79</v>
      </c>
    </row>
  </sheetData>
  <mergeCells count="3">
    <mergeCell ref="A1:Z1"/>
    <mergeCell ref="D3:Z3"/>
    <mergeCell ref="A3:C4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"/>
  <sheetViews>
    <sheetView workbookViewId="0">
      <selection activeCell="A2" sqref="A2"/>
    </sheetView>
  </sheetViews>
  <sheetFormatPr defaultRowHeight="12.75" x14ac:dyDescent="0.2"/>
  <cols>
    <col min="1" max="1" width="46.19921875" style="45" customWidth="1"/>
    <col min="2" max="2" width="28.296875" style="45" customWidth="1"/>
    <col min="3" max="3" width="24.09765625" style="45" customWidth="1"/>
    <col min="4" max="5" width="8.09765625" style="45" customWidth="1"/>
    <col min="6" max="6" width="11.5" style="45" customWidth="1"/>
    <col min="7" max="7" width="8.09765625" style="45" customWidth="1"/>
    <col min="8" max="8" width="9.19921875" style="45" customWidth="1"/>
    <col min="9" max="9" width="8.09765625" style="45" customWidth="1"/>
    <col min="10" max="10" width="10.3984375" style="45" customWidth="1"/>
    <col min="11" max="11" width="9.09765625" style="45" customWidth="1"/>
    <col min="12" max="12" width="9.296875" style="45" customWidth="1"/>
    <col min="13" max="13" width="8.09765625" style="45" customWidth="1"/>
    <col min="14" max="14" width="9.296875" style="45" customWidth="1"/>
    <col min="15" max="15" width="8.09765625" style="45" customWidth="1"/>
    <col min="16" max="16" width="9.19921875" style="45" customWidth="1"/>
    <col min="17" max="17" width="8.09765625" style="45" customWidth="1"/>
    <col min="18" max="18" width="9.796875" style="45" customWidth="1"/>
    <col min="19" max="19" width="9.09765625" style="45" customWidth="1"/>
    <col min="20" max="20" width="11.69921875" style="45" customWidth="1"/>
    <col min="21" max="21" width="9.09765625" style="45" customWidth="1"/>
    <col min="22" max="22" width="10.796875" style="45" customWidth="1"/>
    <col min="23" max="23" width="9.09765625" style="45" customWidth="1"/>
    <col min="24" max="24" width="10.296875" style="45" customWidth="1"/>
    <col min="25" max="25" width="9.09765625" style="45" customWidth="1"/>
    <col min="26" max="26" width="11" style="45" customWidth="1"/>
    <col min="27" max="16384" width="8.796875" style="45"/>
  </cols>
  <sheetData>
    <row r="1" spans="1:26" ht="12.75" customHeight="1" x14ac:dyDescent="0.2">
      <c r="A1" s="47" t="s">
        <v>3279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">
      <c r="A2" s="45" t="s">
        <v>112</v>
      </c>
    </row>
    <row r="3" spans="1:26" ht="12.75" customHeight="1" x14ac:dyDescent="0.2">
      <c r="A3" s="49" t="s">
        <v>112</v>
      </c>
      <c r="B3" s="49" t="s">
        <v>112</v>
      </c>
      <c r="C3" s="49" t="s">
        <v>112</v>
      </c>
      <c r="D3" s="49" t="s">
        <v>3278</v>
      </c>
      <c r="E3" s="49" t="s">
        <v>112</v>
      </c>
      <c r="F3" s="49" t="s">
        <v>112</v>
      </c>
      <c r="G3" s="49" t="s">
        <v>112</v>
      </c>
      <c r="H3" s="49" t="s">
        <v>112</v>
      </c>
      <c r="I3" s="49" t="s">
        <v>112</v>
      </c>
      <c r="J3" s="49" t="s">
        <v>112</v>
      </c>
      <c r="K3" s="49" t="s">
        <v>112</v>
      </c>
      <c r="L3" s="49" t="s">
        <v>112</v>
      </c>
      <c r="M3" s="49" t="s">
        <v>112</v>
      </c>
      <c r="N3" s="49" t="s">
        <v>112</v>
      </c>
      <c r="O3" s="49" t="s">
        <v>112</v>
      </c>
      <c r="P3" s="49" t="s">
        <v>112</v>
      </c>
      <c r="Q3" s="49" t="s">
        <v>112</v>
      </c>
      <c r="R3" s="49" t="s">
        <v>112</v>
      </c>
      <c r="S3" s="49" t="s">
        <v>112</v>
      </c>
      <c r="T3" s="49" t="s">
        <v>112</v>
      </c>
      <c r="U3" s="49" t="s">
        <v>112</v>
      </c>
      <c r="V3" s="49" t="s">
        <v>112</v>
      </c>
      <c r="W3" s="49" t="s">
        <v>112</v>
      </c>
      <c r="X3" s="49" t="s">
        <v>112</v>
      </c>
      <c r="Y3" s="49" t="s">
        <v>112</v>
      </c>
      <c r="Z3" s="49" t="s">
        <v>112</v>
      </c>
    </row>
    <row r="4" spans="1:26" ht="12.75" customHeight="1" x14ac:dyDescent="0.2">
      <c r="A4" s="49" t="s">
        <v>112</v>
      </c>
      <c r="B4" s="49" t="s">
        <v>112</v>
      </c>
      <c r="C4" s="49" t="s">
        <v>112</v>
      </c>
      <c r="D4" s="44" t="s">
        <v>3277</v>
      </c>
      <c r="E4" s="44" t="s">
        <v>3276</v>
      </c>
      <c r="F4" s="44" t="s">
        <v>3275</v>
      </c>
      <c r="G4" s="44" t="s">
        <v>3274</v>
      </c>
      <c r="H4" s="44" t="s">
        <v>3273</v>
      </c>
      <c r="I4" s="44" t="s">
        <v>3272</v>
      </c>
      <c r="J4" s="44" t="s">
        <v>3271</v>
      </c>
      <c r="K4" s="44" t="s">
        <v>3270</v>
      </c>
      <c r="L4" s="44" t="s">
        <v>3269</v>
      </c>
      <c r="M4" s="44" t="s">
        <v>3268</v>
      </c>
      <c r="N4" s="44" t="s">
        <v>3267</v>
      </c>
      <c r="O4" s="44" t="s">
        <v>3266</v>
      </c>
      <c r="P4" s="44" t="s">
        <v>3265</v>
      </c>
      <c r="Q4" s="44" t="s">
        <v>3264</v>
      </c>
      <c r="R4" s="44" t="s">
        <v>3263</v>
      </c>
      <c r="S4" s="44" t="s">
        <v>3262</v>
      </c>
      <c r="T4" s="44" t="s">
        <v>3261</v>
      </c>
      <c r="U4" s="44" t="s">
        <v>3260</v>
      </c>
      <c r="V4" s="44" t="s">
        <v>3259</v>
      </c>
      <c r="W4" s="44" t="s">
        <v>3258</v>
      </c>
      <c r="X4" s="44" t="s">
        <v>3257</v>
      </c>
      <c r="Y4" s="44" t="s">
        <v>3256</v>
      </c>
      <c r="Z4" s="44" t="s">
        <v>3255</v>
      </c>
    </row>
    <row r="5" spans="1:26" ht="12.75" customHeight="1" x14ac:dyDescent="0.2">
      <c r="A5" s="44" t="s">
        <v>3254</v>
      </c>
      <c r="B5" s="44" t="s">
        <v>3253</v>
      </c>
      <c r="C5" s="44" t="s">
        <v>3248</v>
      </c>
      <c r="D5" s="10">
        <v>169.15</v>
      </c>
      <c r="E5" s="10">
        <v>174.74</v>
      </c>
      <c r="F5" s="10">
        <v>343.89</v>
      </c>
      <c r="G5" s="10">
        <v>207.71</v>
      </c>
      <c r="H5" s="10">
        <v>551.6</v>
      </c>
      <c r="I5" s="10">
        <v>242.42</v>
      </c>
      <c r="J5" s="10">
        <v>794.01</v>
      </c>
      <c r="K5" s="10">
        <v>249.25</v>
      </c>
      <c r="L5" s="10">
        <v>1043.27</v>
      </c>
      <c r="M5" s="10">
        <v>257.91000000000003</v>
      </c>
      <c r="N5" s="10">
        <v>1301.18</v>
      </c>
      <c r="O5" s="10">
        <v>276.82</v>
      </c>
      <c r="P5" s="10">
        <v>1577.99</v>
      </c>
      <c r="Q5" s="11">
        <v>238</v>
      </c>
      <c r="R5" s="11">
        <v>1816</v>
      </c>
      <c r="S5" s="10">
        <v>227.1</v>
      </c>
      <c r="T5" s="10">
        <v>2043.1</v>
      </c>
      <c r="U5" s="10">
        <v>201.39</v>
      </c>
      <c r="V5" s="10">
        <v>2244.4899999999998</v>
      </c>
      <c r="W5" s="10">
        <v>231.31</v>
      </c>
      <c r="X5" s="10">
        <v>2475.8000000000002</v>
      </c>
      <c r="Y5" s="10">
        <v>232.74</v>
      </c>
      <c r="Z5" s="10">
        <v>2708.54</v>
      </c>
    </row>
  </sheetData>
  <mergeCells count="3">
    <mergeCell ref="A1:Z1"/>
    <mergeCell ref="A3:C4"/>
    <mergeCell ref="D3:Z3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"/>
  <sheetViews>
    <sheetView workbookViewId="0">
      <selection activeCell="A6" sqref="A6:XFD9"/>
    </sheetView>
  </sheetViews>
  <sheetFormatPr defaultRowHeight="12.75" x14ac:dyDescent="0.2"/>
  <cols>
    <col min="1" max="1" width="46.19921875" style="45" customWidth="1"/>
    <col min="2" max="2" width="28.296875" style="45" customWidth="1"/>
    <col min="3" max="3" width="24.09765625" style="45" customWidth="1"/>
    <col min="4" max="5" width="8.09765625" style="45" customWidth="1"/>
    <col min="6" max="6" width="11.5" style="45" customWidth="1"/>
    <col min="7" max="7" width="8.09765625" style="45" customWidth="1"/>
    <col min="8" max="8" width="9.19921875" style="45" customWidth="1"/>
    <col min="9" max="9" width="8.09765625" style="45" customWidth="1"/>
    <col min="10" max="10" width="10.3984375" style="45" customWidth="1"/>
    <col min="11" max="11" width="9.09765625" style="45" customWidth="1"/>
    <col min="12" max="12" width="9.296875" style="45" customWidth="1"/>
    <col min="13" max="13" width="8.09765625" style="45" customWidth="1"/>
    <col min="14" max="14" width="9.296875" style="45" customWidth="1"/>
    <col min="15" max="15" width="8.09765625" style="45" customWidth="1"/>
    <col min="16" max="16" width="9.19921875" style="45" customWidth="1"/>
    <col min="17" max="17" width="8.09765625" style="45" customWidth="1"/>
    <col min="18" max="18" width="9.796875" style="45" customWidth="1"/>
    <col min="19" max="19" width="9.09765625" style="45" customWidth="1"/>
    <col min="20" max="20" width="11.69921875" style="45" customWidth="1"/>
    <col min="21" max="21" width="9.09765625" style="45" customWidth="1"/>
    <col min="22" max="22" width="10.796875" style="45" customWidth="1"/>
    <col min="23" max="23" width="9.09765625" style="45" customWidth="1"/>
    <col min="24" max="24" width="10.296875" style="45" customWidth="1"/>
    <col min="25" max="25" width="9.09765625" style="45" customWidth="1"/>
    <col min="26" max="26" width="11" style="45" customWidth="1"/>
    <col min="27" max="16384" width="8.796875" style="45"/>
  </cols>
  <sheetData>
    <row r="1" spans="1:26" ht="12.75" customHeight="1" x14ac:dyDescent="0.2">
      <c r="A1" s="47" t="s">
        <v>3279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">
      <c r="A2" s="45" t="s">
        <v>112</v>
      </c>
    </row>
    <row r="3" spans="1:26" ht="12.75" customHeight="1" x14ac:dyDescent="0.2">
      <c r="A3" s="49" t="s">
        <v>112</v>
      </c>
      <c r="B3" s="49" t="s">
        <v>112</v>
      </c>
      <c r="C3" s="49" t="s">
        <v>112</v>
      </c>
      <c r="D3" s="49" t="s">
        <v>3278</v>
      </c>
      <c r="E3" s="49" t="s">
        <v>112</v>
      </c>
      <c r="F3" s="49" t="s">
        <v>112</v>
      </c>
      <c r="G3" s="49" t="s">
        <v>112</v>
      </c>
      <c r="H3" s="49" t="s">
        <v>112</v>
      </c>
      <c r="I3" s="49" t="s">
        <v>112</v>
      </c>
      <c r="J3" s="49" t="s">
        <v>112</v>
      </c>
      <c r="K3" s="49" t="s">
        <v>112</v>
      </c>
      <c r="L3" s="49" t="s">
        <v>112</v>
      </c>
      <c r="M3" s="49" t="s">
        <v>112</v>
      </c>
      <c r="N3" s="49" t="s">
        <v>112</v>
      </c>
      <c r="O3" s="49" t="s">
        <v>112</v>
      </c>
      <c r="P3" s="49" t="s">
        <v>112</v>
      </c>
      <c r="Q3" s="49" t="s">
        <v>112</v>
      </c>
      <c r="R3" s="49" t="s">
        <v>112</v>
      </c>
      <c r="S3" s="49" t="s">
        <v>112</v>
      </c>
      <c r="T3" s="49" t="s">
        <v>112</v>
      </c>
      <c r="U3" s="49" t="s">
        <v>112</v>
      </c>
      <c r="V3" s="49" t="s">
        <v>112</v>
      </c>
      <c r="W3" s="49" t="s">
        <v>112</v>
      </c>
      <c r="X3" s="49" t="s">
        <v>112</v>
      </c>
      <c r="Y3" s="49" t="s">
        <v>112</v>
      </c>
      <c r="Z3" s="49" t="s">
        <v>112</v>
      </c>
    </row>
    <row r="4" spans="1:26" ht="12.75" customHeight="1" x14ac:dyDescent="0.2">
      <c r="A4" s="49" t="s">
        <v>112</v>
      </c>
      <c r="B4" s="49" t="s">
        <v>112</v>
      </c>
      <c r="C4" s="49" t="s">
        <v>112</v>
      </c>
      <c r="D4" s="44" t="s">
        <v>3277</v>
      </c>
      <c r="E4" s="44" t="s">
        <v>3276</v>
      </c>
      <c r="F4" s="44" t="s">
        <v>3275</v>
      </c>
      <c r="G4" s="44" t="s">
        <v>3274</v>
      </c>
      <c r="H4" s="44" t="s">
        <v>3273</v>
      </c>
      <c r="I4" s="44" t="s">
        <v>3272</v>
      </c>
      <c r="J4" s="44" t="s">
        <v>3271</v>
      </c>
      <c r="K4" s="44" t="s">
        <v>3270</v>
      </c>
      <c r="L4" s="44" t="s">
        <v>3269</v>
      </c>
      <c r="M4" s="44" t="s">
        <v>3268</v>
      </c>
      <c r="N4" s="44" t="s">
        <v>3267</v>
      </c>
      <c r="O4" s="44" t="s">
        <v>3266</v>
      </c>
      <c r="P4" s="44" t="s">
        <v>3265</v>
      </c>
      <c r="Q4" s="44" t="s">
        <v>3264</v>
      </c>
      <c r="R4" s="44" t="s">
        <v>3263</v>
      </c>
      <c r="S4" s="44" t="s">
        <v>3262</v>
      </c>
      <c r="T4" s="44" t="s">
        <v>3261</v>
      </c>
      <c r="U4" s="44" t="s">
        <v>3260</v>
      </c>
      <c r="V4" s="44" t="s">
        <v>3259</v>
      </c>
      <c r="W4" s="44" t="s">
        <v>3258</v>
      </c>
      <c r="X4" s="44" t="s">
        <v>3257</v>
      </c>
      <c r="Y4" s="44" t="s">
        <v>3256</v>
      </c>
      <c r="Z4" s="44" t="s">
        <v>3255</v>
      </c>
    </row>
    <row r="5" spans="1:26" ht="12.75" customHeight="1" x14ac:dyDescent="0.2">
      <c r="A5" s="44" t="s">
        <v>3254</v>
      </c>
      <c r="B5" s="44" t="s">
        <v>3327</v>
      </c>
      <c r="C5" s="44" t="s">
        <v>3248</v>
      </c>
      <c r="D5" s="10">
        <v>3.2</v>
      </c>
      <c r="E5" s="10">
        <v>3.45</v>
      </c>
      <c r="F5" s="10">
        <v>6.64</v>
      </c>
      <c r="G5" s="10">
        <v>6.21</v>
      </c>
      <c r="H5" s="10">
        <v>12.86</v>
      </c>
      <c r="I5" s="10">
        <v>4.37</v>
      </c>
      <c r="J5" s="10">
        <v>17.23</v>
      </c>
      <c r="K5" s="10">
        <v>5.34</v>
      </c>
      <c r="L5" s="10">
        <v>22.57</v>
      </c>
      <c r="M5" s="10">
        <v>7.53</v>
      </c>
      <c r="N5" s="10">
        <v>30.1</v>
      </c>
      <c r="O5" s="10">
        <v>3.96</v>
      </c>
      <c r="P5" s="10">
        <v>34.06</v>
      </c>
      <c r="Q5" s="10">
        <v>4.42</v>
      </c>
      <c r="R5" s="10">
        <v>38.479999999999997</v>
      </c>
      <c r="S5" s="10">
        <v>4.24</v>
      </c>
      <c r="T5" s="10">
        <v>42.72</v>
      </c>
      <c r="U5" s="10">
        <v>4.08</v>
      </c>
      <c r="V5" s="10">
        <v>46.8</v>
      </c>
      <c r="W5" s="10">
        <v>3.92</v>
      </c>
      <c r="X5" s="10">
        <v>50.72</v>
      </c>
      <c r="Y5" s="10">
        <v>4.37</v>
      </c>
      <c r="Z5" s="10">
        <v>55.09</v>
      </c>
    </row>
  </sheetData>
  <mergeCells count="3">
    <mergeCell ref="A1:Z1"/>
    <mergeCell ref="A3:C4"/>
    <mergeCell ref="D3:Z3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"/>
  <sheetViews>
    <sheetView workbookViewId="0">
      <selection activeCell="A6" sqref="A6:XFD8"/>
    </sheetView>
  </sheetViews>
  <sheetFormatPr defaultRowHeight="12.75" x14ac:dyDescent="0.2"/>
  <cols>
    <col min="1" max="1" width="46.19921875" style="45" customWidth="1"/>
    <col min="2" max="2" width="28.296875" style="45" customWidth="1"/>
    <col min="3" max="3" width="24.09765625" style="45" customWidth="1"/>
    <col min="4" max="5" width="8.09765625" style="45" customWidth="1"/>
    <col min="6" max="6" width="11.5" style="45" customWidth="1"/>
    <col min="7" max="7" width="8.09765625" style="45" customWidth="1"/>
    <col min="8" max="8" width="9.19921875" style="45" customWidth="1"/>
    <col min="9" max="9" width="8.09765625" style="45" customWidth="1"/>
    <col min="10" max="10" width="10.3984375" style="45" customWidth="1"/>
    <col min="11" max="11" width="9.09765625" style="45" customWidth="1"/>
    <col min="12" max="12" width="9.296875" style="45" customWidth="1"/>
    <col min="13" max="13" width="8.09765625" style="45" customWidth="1"/>
    <col min="14" max="14" width="9.296875" style="45" customWidth="1"/>
    <col min="15" max="15" width="8.09765625" style="45" customWidth="1"/>
    <col min="16" max="16" width="9.19921875" style="45" customWidth="1"/>
    <col min="17" max="17" width="8.09765625" style="45" customWidth="1"/>
    <col min="18" max="18" width="9.796875" style="45" customWidth="1"/>
    <col min="19" max="19" width="9.09765625" style="45" customWidth="1"/>
    <col min="20" max="20" width="11.69921875" style="45" customWidth="1"/>
    <col min="21" max="21" width="9.09765625" style="45" customWidth="1"/>
    <col min="22" max="22" width="10.796875" style="45" customWidth="1"/>
    <col min="23" max="23" width="9.09765625" style="45" customWidth="1"/>
    <col min="24" max="24" width="10.296875" style="45" customWidth="1"/>
    <col min="25" max="25" width="9.09765625" style="45" customWidth="1"/>
    <col min="26" max="26" width="11" style="45" customWidth="1"/>
    <col min="27" max="16384" width="8.796875" style="45"/>
  </cols>
  <sheetData>
    <row r="1" spans="1:26" ht="12.75" customHeight="1" x14ac:dyDescent="0.2">
      <c r="A1" s="47" t="s">
        <v>3279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">
      <c r="A2" s="45" t="s">
        <v>112</v>
      </c>
    </row>
    <row r="3" spans="1:26" ht="12.75" customHeight="1" x14ac:dyDescent="0.2">
      <c r="A3" s="49" t="s">
        <v>112</v>
      </c>
      <c r="B3" s="49" t="s">
        <v>112</v>
      </c>
      <c r="C3" s="49" t="s">
        <v>112</v>
      </c>
      <c r="D3" s="49" t="s">
        <v>3278</v>
      </c>
      <c r="E3" s="49" t="s">
        <v>112</v>
      </c>
      <c r="F3" s="49" t="s">
        <v>112</v>
      </c>
      <c r="G3" s="49" t="s">
        <v>112</v>
      </c>
      <c r="H3" s="49" t="s">
        <v>112</v>
      </c>
      <c r="I3" s="49" t="s">
        <v>112</v>
      </c>
      <c r="J3" s="49" t="s">
        <v>112</v>
      </c>
      <c r="K3" s="49" t="s">
        <v>112</v>
      </c>
      <c r="L3" s="49" t="s">
        <v>112</v>
      </c>
      <c r="M3" s="49" t="s">
        <v>112</v>
      </c>
      <c r="N3" s="49" t="s">
        <v>112</v>
      </c>
      <c r="O3" s="49" t="s">
        <v>112</v>
      </c>
      <c r="P3" s="49" t="s">
        <v>112</v>
      </c>
      <c r="Q3" s="49" t="s">
        <v>112</v>
      </c>
      <c r="R3" s="49" t="s">
        <v>112</v>
      </c>
      <c r="S3" s="49" t="s">
        <v>112</v>
      </c>
      <c r="T3" s="49" t="s">
        <v>112</v>
      </c>
      <c r="U3" s="49" t="s">
        <v>112</v>
      </c>
      <c r="V3" s="49" t="s">
        <v>112</v>
      </c>
      <c r="W3" s="49" t="s">
        <v>112</v>
      </c>
      <c r="X3" s="49" t="s">
        <v>112</v>
      </c>
      <c r="Y3" s="49" t="s">
        <v>112</v>
      </c>
      <c r="Z3" s="49" t="s">
        <v>112</v>
      </c>
    </row>
    <row r="4" spans="1:26" ht="12.75" customHeight="1" x14ac:dyDescent="0.2">
      <c r="A4" s="49" t="s">
        <v>112</v>
      </c>
      <c r="B4" s="49" t="s">
        <v>112</v>
      </c>
      <c r="C4" s="49" t="s">
        <v>112</v>
      </c>
      <c r="D4" s="44" t="s">
        <v>3277</v>
      </c>
      <c r="E4" s="44" t="s">
        <v>3276</v>
      </c>
      <c r="F4" s="44" t="s">
        <v>3275</v>
      </c>
      <c r="G4" s="44" t="s">
        <v>3274</v>
      </c>
      <c r="H4" s="44" t="s">
        <v>3273</v>
      </c>
      <c r="I4" s="44" t="s">
        <v>3272</v>
      </c>
      <c r="J4" s="44" t="s">
        <v>3271</v>
      </c>
      <c r="K4" s="44" t="s">
        <v>3270</v>
      </c>
      <c r="L4" s="44" t="s">
        <v>3269</v>
      </c>
      <c r="M4" s="44" t="s">
        <v>3268</v>
      </c>
      <c r="N4" s="44" t="s">
        <v>3267</v>
      </c>
      <c r="O4" s="44" t="s">
        <v>3266</v>
      </c>
      <c r="P4" s="44" t="s">
        <v>3265</v>
      </c>
      <c r="Q4" s="44" t="s">
        <v>3264</v>
      </c>
      <c r="R4" s="44" t="s">
        <v>3263</v>
      </c>
      <c r="S4" s="44" t="s">
        <v>3262</v>
      </c>
      <c r="T4" s="44" t="s">
        <v>3261</v>
      </c>
      <c r="U4" s="44" t="s">
        <v>3260</v>
      </c>
      <c r="V4" s="44" t="s">
        <v>3259</v>
      </c>
      <c r="W4" s="44" t="s">
        <v>3258</v>
      </c>
      <c r="X4" s="44" t="s">
        <v>3257</v>
      </c>
      <c r="Y4" s="44" t="s">
        <v>3256</v>
      </c>
      <c r="Z4" s="44" t="s">
        <v>3255</v>
      </c>
    </row>
    <row r="5" spans="1:26" ht="12.75" customHeight="1" x14ac:dyDescent="0.2">
      <c r="A5" s="44" t="s">
        <v>3254</v>
      </c>
      <c r="B5" s="44" t="s">
        <v>3249</v>
      </c>
      <c r="C5" s="44" t="s">
        <v>3248</v>
      </c>
      <c r="D5" s="10">
        <v>3182.27</v>
      </c>
      <c r="E5" s="10">
        <v>3732.78</v>
      </c>
      <c r="F5" s="10">
        <v>6915.04</v>
      </c>
      <c r="G5" s="10">
        <v>4383.7299999999996</v>
      </c>
      <c r="H5" s="10">
        <v>11298.78</v>
      </c>
      <c r="I5" s="10">
        <v>3783.59</v>
      </c>
      <c r="J5" s="10">
        <v>15082.37</v>
      </c>
      <c r="K5" s="10">
        <v>4314.21</v>
      </c>
      <c r="L5" s="10">
        <v>19396.580000000002</v>
      </c>
      <c r="M5" s="10">
        <v>4849.92</v>
      </c>
      <c r="N5" s="10">
        <v>24246.5</v>
      </c>
      <c r="O5" s="10">
        <v>4860.1499999999996</v>
      </c>
      <c r="P5" s="10">
        <v>29106.66</v>
      </c>
      <c r="Q5" s="10">
        <v>4696.76</v>
      </c>
      <c r="R5" s="10">
        <v>33803.410000000003</v>
      </c>
      <c r="S5" s="10">
        <v>4807.12</v>
      </c>
      <c r="T5" s="10">
        <v>38610.53</v>
      </c>
      <c r="U5" s="10">
        <v>4997.74</v>
      </c>
      <c r="V5" s="10">
        <v>43608.27</v>
      </c>
      <c r="W5" s="10">
        <v>4965.75</v>
      </c>
      <c r="X5" s="10">
        <v>48574.02</v>
      </c>
      <c r="Y5" s="10">
        <v>5732.48</v>
      </c>
      <c r="Z5" s="10">
        <v>54306.5</v>
      </c>
    </row>
  </sheetData>
  <mergeCells count="3">
    <mergeCell ref="A1:Z1"/>
    <mergeCell ref="A3:C4"/>
    <mergeCell ref="D3:Z3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"/>
  <sheetViews>
    <sheetView workbookViewId="0">
      <selection activeCell="A6" sqref="A6:XFD7"/>
    </sheetView>
  </sheetViews>
  <sheetFormatPr defaultRowHeight="12.75" x14ac:dyDescent="0.2"/>
  <cols>
    <col min="1" max="1" width="46.19921875" style="45" customWidth="1"/>
    <col min="2" max="2" width="28.296875" style="45" customWidth="1"/>
    <col min="3" max="3" width="24.09765625" style="45" customWidth="1"/>
    <col min="4" max="5" width="8.09765625" style="45" customWidth="1"/>
    <col min="6" max="6" width="11.5" style="45" customWidth="1"/>
    <col min="7" max="7" width="8.09765625" style="45" customWidth="1"/>
    <col min="8" max="8" width="9.19921875" style="45" customWidth="1"/>
    <col min="9" max="9" width="8.09765625" style="45" customWidth="1"/>
    <col min="10" max="10" width="10.3984375" style="45" customWidth="1"/>
    <col min="11" max="11" width="9.09765625" style="45" customWidth="1"/>
    <col min="12" max="12" width="9.296875" style="45" customWidth="1"/>
    <col min="13" max="13" width="8.09765625" style="45" customWidth="1"/>
    <col min="14" max="14" width="9.296875" style="45" customWidth="1"/>
    <col min="15" max="15" width="8.09765625" style="45" customWidth="1"/>
    <col min="16" max="16" width="9.19921875" style="45" customWidth="1"/>
    <col min="17" max="17" width="8.09765625" style="45" customWidth="1"/>
    <col min="18" max="18" width="9.796875" style="45" customWidth="1"/>
    <col min="19" max="19" width="9.09765625" style="45" customWidth="1"/>
    <col min="20" max="20" width="11.69921875" style="45" customWidth="1"/>
    <col min="21" max="21" width="9.09765625" style="45" customWidth="1"/>
    <col min="22" max="22" width="10.796875" style="45" customWidth="1"/>
    <col min="23" max="23" width="9.09765625" style="45" customWidth="1"/>
    <col min="24" max="24" width="10.296875" style="45" customWidth="1"/>
    <col min="25" max="25" width="9.09765625" style="45" customWidth="1"/>
    <col min="26" max="26" width="11" style="45" customWidth="1"/>
    <col min="27" max="16384" width="8.796875" style="45"/>
  </cols>
  <sheetData>
    <row r="1" spans="1:26" ht="12.75" customHeight="1" x14ac:dyDescent="0.2">
      <c r="A1" s="47" t="s">
        <v>3279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">
      <c r="A2" s="45" t="s">
        <v>112</v>
      </c>
    </row>
    <row r="3" spans="1:26" ht="12.75" customHeight="1" x14ac:dyDescent="0.2">
      <c r="A3" s="49" t="s">
        <v>112</v>
      </c>
      <c r="B3" s="49" t="s">
        <v>112</v>
      </c>
      <c r="C3" s="49" t="s">
        <v>112</v>
      </c>
      <c r="D3" s="49" t="s">
        <v>3278</v>
      </c>
      <c r="E3" s="49" t="s">
        <v>112</v>
      </c>
      <c r="F3" s="49" t="s">
        <v>112</v>
      </c>
      <c r="G3" s="49" t="s">
        <v>112</v>
      </c>
      <c r="H3" s="49" t="s">
        <v>112</v>
      </c>
      <c r="I3" s="49" t="s">
        <v>112</v>
      </c>
      <c r="J3" s="49" t="s">
        <v>112</v>
      </c>
      <c r="K3" s="49" t="s">
        <v>112</v>
      </c>
      <c r="L3" s="49" t="s">
        <v>112</v>
      </c>
      <c r="M3" s="49" t="s">
        <v>112</v>
      </c>
      <c r="N3" s="49" t="s">
        <v>112</v>
      </c>
      <c r="O3" s="49" t="s">
        <v>112</v>
      </c>
      <c r="P3" s="49" t="s">
        <v>112</v>
      </c>
      <c r="Q3" s="49" t="s">
        <v>112</v>
      </c>
      <c r="R3" s="49" t="s">
        <v>112</v>
      </c>
      <c r="S3" s="49" t="s">
        <v>112</v>
      </c>
      <c r="T3" s="49" t="s">
        <v>112</v>
      </c>
      <c r="U3" s="49" t="s">
        <v>112</v>
      </c>
      <c r="V3" s="49" t="s">
        <v>112</v>
      </c>
      <c r="W3" s="49" t="s">
        <v>112</v>
      </c>
      <c r="X3" s="49" t="s">
        <v>112</v>
      </c>
      <c r="Y3" s="49" t="s">
        <v>112</v>
      </c>
      <c r="Z3" s="49" t="s">
        <v>112</v>
      </c>
    </row>
    <row r="4" spans="1:26" ht="12.75" customHeight="1" x14ac:dyDescent="0.2">
      <c r="A4" s="49" t="s">
        <v>112</v>
      </c>
      <c r="B4" s="49" t="s">
        <v>112</v>
      </c>
      <c r="C4" s="49" t="s">
        <v>112</v>
      </c>
      <c r="D4" s="44" t="s">
        <v>3277</v>
      </c>
      <c r="E4" s="44" t="s">
        <v>3276</v>
      </c>
      <c r="F4" s="44" t="s">
        <v>3275</v>
      </c>
      <c r="G4" s="44" t="s">
        <v>3274</v>
      </c>
      <c r="H4" s="44" t="s">
        <v>3273</v>
      </c>
      <c r="I4" s="44" t="s">
        <v>3272</v>
      </c>
      <c r="J4" s="44" t="s">
        <v>3271</v>
      </c>
      <c r="K4" s="44" t="s">
        <v>3270</v>
      </c>
      <c r="L4" s="44" t="s">
        <v>3269</v>
      </c>
      <c r="M4" s="44" t="s">
        <v>3268</v>
      </c>
      <c r="N4" s="44" t="s">
        <v>3267</v>
      </c>
      <c r="O4" s="44" t="s">
        <v>3266</v>
      </c>
      <c r="P4" s="44" t="s">
        <v>3265</v>
      </c>
      <c r="Q4" s="44" t="s">
        <v>3264</v>
      </c>
      <c r="R4" s="44" t="s">
        <v>3263</v>
      </c>
      <c r="S4" s="44" t="s">
        <v>3262</v>
      </c>
      <c r="T4" s="44" t="s">
        <v>3261</v>
      </c>
      <c r="U4" s="44" t="s">
        <v>3260</v>
      </c>
      <c r="V4" s="44" t="s">
        <v>3259</v>
      </c>
      <c r="W4" s="44" t="s">
        <v>3258</v>
      </c>
      <c r="X4" s="44" t="s">
        <v>3257</v>
      </c>
      <c r="Y4" s="44" t="s">
        <v>3256</v>
      </c>
      <c r="Z4" s="44" t="s">
        <v>3255</v>
      </c>
    </row>
    <row r="5" spans="1:26" ht="12.75" customHeight="1" x14ac:dyDescent="0.2">
      <c r="A5" s="44" t="s">
        <v>3254</v>
      </c>
      <c r="B5" s="44" t="s">
        <v>3252</v>
      </c>
      <c r="C5" s="44" t="s">
        <v>3248</v>
      </c>
      <c r="D5" s="10">
        <v>480.33</v>
      </c>
      <c r="E5" s="10">
        <v>407.6</v>
      </c>
      <c r="F5" s="10">
        <v>887.93</v>
      </c>
      <c r="G5" s="10">
        <v>455.15</v>
      </c>
      <c r="H5" s="10">
        <v>1343.08</v>
      </c>
      <c r="I5" s="10">
        <v>523.66999999999996</v>
      </c>
      <c r="J5" s="10">
        <v>1866.75</v>
      </c>
      <c r="K5" s="10">
        <v>773.87</v>
      </c>
      <c r="L5" s="10">
        <v>2640.62</v>
      </c>
      <c r="M5" s="10">
        <v>560.48</v>
      </c>
      <c r="N5" s="10">
        <v>3201.1</v>
      </c>
      <c r="O5" s="10">
        <v>463.02</v>
      </c>
      <c r="P5" s="10">
        <v>3664.12</v>
      </c>
      <c r="Q5" s="10">
        <v>603.87</v>
      </c>
      <c r="R5" s="10">
        <v>4267.99</v>
      </c>
      <c r="S5" s="10">
        <v>510.23</v>
      </c>
      <c r="T5" s="10">
        <v>4778.22</v>
      </c>
      <c r="U5" s="10">
        <v>517.57000000000005</v>
      </c>
      <c r="V5" s="10">
        <v>5295.79</v>
      </c>
      <c r="W5" s="10">
        <v>528.05999999999995</v>
      </c>
      <c r="X5" s="10">
        <v>5823.85</v>
      </c>
      <c r="Y5" s="10">
        <v>330.46</v>
      </c>
      <c r="Z5" s="10">
        <v>6154.31</v>
      </c>
    </row>
  </sheetData>
  <mergeCells count="3">
    <mergeCell ref="A1:Z1"/>
    <mergeCell ref="A3:C4"/>
    <mergeCell ref="D3:Z3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"/>
  <sheetViews>
    <sheetView workbookViewId="0">
      <selection activeCell="B15" sqref="B15"/>
    </sheetView>
  </sheetViews>
  <sheetFormatPr defaultRowHeight="12.75" x14ac:dyDescent="0.2"/>
  <cols>
    <col min="1" max="1" width="46.19921875" style="45" customWidth="1"/>
    <col min="2" max="2" width="28.296875" style="45" customWidth="1"/>
    <col min="3" max="3" width="24.09765625" style="45" customWidth="1"/>
    <col min="4" max="5" width="8.09765625" style="45" customWidth="1"/>
    <col min="6" max="6" width="11.5" style="45" customWidth="1"/>
    <col min="7" max="7" width="8.09765625" style="45" customWidth="1"/>
    <col min="8" max="8" width="9.19921875" style="45" customWidth="1"/>
    <col min="9" max="9" width="8.09765625" style="45" customWidth="1"/>
    <col min="10" max="10" width="10.3984375" style="45" customWidth="1"/>
    <col min="11" max="11" width="9.09765625" style="45" customWidth="1"/>
    <col min="12" max="12" width="9.296875" style="45" customWidth="1"/>
    <col min="13" max="13" width="8.09765625" style="45" customWidth="1"/>
    <col min="14" max="14" width="9.296875" style="45" customWidth="1"/>
    <col min="15" max="15" width="8.09765625" style="45" customWidth="1"/>
    <col min="16" max="16" width="9.19921875" style="45" customWidth="1"/>
    <col min="17" max="17" width="8.09765625" style="45" customWidth="1"/>
    <col min="18" max="18" width="9.796875" style="45" customWidth="1"/>
    <col min="19" max="19" width="9.09765625" style="45" customWidth="1"/>
    <col min="20" max="20" width="11.69921875" style="45" customWidth="1"/>
    <col min="21" max="21" width="9.09765625" style="45" customWidth="1"/>
    <col min="22" max="22" width="10.796875" style="45" customWidth="1"/>
    <col min="23" max="23" width="9.09765625" style="45" customWidth="1"/>
    <col min="24" max="24" width="10.296875" style="45" customWidth="1"/>
    <col min="25" max="25" width="9.09765625" style="45" customWidth="1"/>
    <col min="26" max="26" width="11" style="45" customWidth="1"/>
    <col min="27" max="16384" width="8.796875" style="45"/>
  </cols>
  <sheetData>
    <row r="1" spans="1:26" ht="12.75" customHeight="1" x14ac:dyDescent="0.2">
      <c r="A1" s="47" t="s">
        <v>3279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">
      <c r="A2" s="45" t="s">
        <v>112</v>
      </c>
    </row>
    <row r="3" spans="1:26" ht="12.75" customHeight="1" x14ac:dyDescent="0.2">
      <c r="A3" s="49" t="s">
        <v>112</v>
      </c>
      <c r="B3" s="49" t="s">
        <v>112</v>
      </c>
      <c r="C3" s="49" t="s">
        <v>112</v>
      </c>
      <c r="D3" s="49" t="s">
        <v>3278</v>
      </c>
      <c r="E3" s="49" t="s">
        <v>112</v>
      </c>
      <c r="F3" s="49" t="s">
        <v>112</v>
      </c>
      <c r="G3" s="49" t="s">
        <v>112</v>
      </c>
      <c r="H3" s="49" t="s">
        <v>112</v>
      </c>
      <c r="I3" s="49" t="s">
        <v>112</v>
      </c>
      <c r="J3" s="49" t="s">
        <v>112</v>
      </c>
      <c r="K3" s="49" t="s">
        <v>112</v>
      </c>
      <c r="L3" s="49" t="s">
        <v>112</v>
      </c>
      <c r="M3" s="49" t="s">
        <v>112</v>
      </c>
      <c r="N3" s="49" t="s">
        <v>112</v>
      </c>
      <c r="O3" s="49" t="s">
        <v>112</v>
      </c>
      <c r="P3" s="49" t="s">
        <v>112</v>
      </c>
      <c r="Q3" s="49" t="s">
        <v>112</v>
      </c>
      <c r="R3" s="49" t="s">
        <v>112</v>
      </c>
      <c r="S3" s="49" t="s">
        <v>112</v>
      </c>
      <c r="T3" s="49" t="s">
        <v>112</v>
      </c>
      <c r="U3" s="49" t="s">
        <v>112</v>
      </c>
      <c r="V3" s="49" t="s">
        <v>112</v>
      </c>
      <c r="W3" s="49" t="s">
        <v>112</v>
      </c>
      <c r="X3" s="49" t="s">
        <v>112</v>
      </c>
      <c r="Y3" s="49" t="s">
        <v>112</v>
      </c>
      <c r="Z3" s="49" t="s">
        <v>112</v>
      </c>
    </row>
    <row r="4" spans="1:26" ht="12.75" customHeight="1" x14ac:dyDescent="0.2">
      <c r="A4" s="49" t="s">
        <v>112</v>
      </c>
      <c r="B4" s="49" t="s">
        <v>112</v>
      </c>
      <c r="C4" s="49" t="s">
        <v>112</v>
      </c>
      <c r="D4" s="44" t="s">
        <v>3277</v>
      </c>
      <c r="E4" s="44" t="s">
        <v>3276</v>
      </c>
      <c r="F4" s="44" t="s">
        <v>3275</v>
      </c>
      <c r="G4" s="44" t="s">
        <v>3274</v>
      </c>
      <c r="H4" s="44" t="s">
        <v>3273</v>
      </c>
      <c r="I4" s="44" t="s">
        <v>3272</v>
      </c>
      <c r="J4" s="44" t="s">
        <v>3271</v>
      </c>
      <c r="K4" s="44" t="s">
        <v>3270</v>
      </c>
      <c r="L4" s="44" t="s">
        <v>3269</v>
      </c>
      <c r="M4" s="44" t="s">
        <v>3268</v>
      </c>
      <c r="N4" s="44" t="s">
        <v>3267</v>
      </c>
      <c r="O4" s="44" t="s">
        <v>3266</v>
      </c>
      <c r="P4" s="44" t="s">
        <v>3265</v>
      </c>
      <c r="Q4" s="44" t="s">
        <v>3264</v>
      </c>
      <c r="R4" s="44" t="s">
        <v>3263</v>
      </c>
      <c r="S4" s="44" t="s">
        <v>3262</v>
      </c>
      <c r="T4" s="44" t="s">
        <v>3261</v>
      </c>
      <c r="U4" s="44" t="s">
        <v>3260</v>
      </c>
      <c r="V4" s="44" t="s">
        <v>3259</v>
      </c>
      <c r="W4" s="44" t="s">
        <v>3258</v>
      </c>
      <c r="X4" s="44" t="s">
        <v>3257</v>
      </c>
      <c r="Y4" s="44" t="s">
        <v>3256</v>
      </c>
      <c r="Z4" s="44" t="s">
        <v>3255</v>
      </c>
    </row>
    <row r="5" spans="1:26" ht="12.75" customHeight="1" x14ac:dyDescent="0.2">
      <c r="A5" s="44" t="s">
        <v>3254</v>
      </c>
      <c r="B5" s="44" t="s">
        <v>3246</v>
      </c>
      <c r="C5" s="44" t="s">
        <v>3248</v>
      </c>
      <c r="D5" s="10">
        <v>834.15</v>
      </c>
      <c r="E5" s="10">
        <v>1281.95</v>
      </c>
      <c r="F5" s="10">
        <v>2116.11</v>
      </c>
      <c r="G5" s="10">
        <v>1308.28</v>
      </c>
      <c r="H5" s="10">
        <v>3424.38</v>
      </c>
      <c r="I5" s="10">
        <v>1198.47</v>
      </c>
      <c r="J5" s="10">
        <v>4622.8500000000004</v>
      </c>
      <c r="K5" s="10">
        <v>1355.47</v>
      </c>
      <c r="L5" s="10">
        <v>5978.32</v>
      </c>
      <c r="M5" s="10">
        <v>1249.57</v>
      </c>
      <c r="N5" s="10">
        <v>7227.89</v>
      </c>
      <c r="O5" s="10">
        <v>1318.16</v>
      </c>
      <c r="P5" s="10">
        <v>8546.0499999999993</v>
      </c>
      <c r="Q5" s="10">
        <v>1346.25</v>
      </c>
      <c r="R5" s="10">
        <v>9892.2999999999993</v>
      </c>
      <c r="S5" s="10">
        <v>1328.67</v>
      </c>
      <c r="T5" s="10">
        <v>11220.96</v>
      </c>
      <c r="U5" s="10">
        <v>1280.51</v>
      </c>
      <c r="V5" s="10">
        <v>12501.48</v>
      </c>
      <c r="W5" s="10">
        <v>1493.89</v>
      </c>
      <c r="X5" s="10">
        <v>13995.37</v>
      </c>
      <c r="Y5" s="10">
        <v>1540.75</v>
      </c>
      <c r="Z5" s="10">
        <v>15536.12</v>
      </c>
    </row>
  </sheetData>
  <mergeCells count="3">
    <mergeCell ref="A1:Z1"/>
    <mergeCell ref="A3:C4"/>
    <mergeCell ref="D3:Z3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"/>
  <sheetViews>
    <sheetView topLeftCell="A2" workbookViewId="0">
      <selection activeCell="C23" sqref="C23"/>
    </sheetView>
  </sheetViews>
  <sheetFormatPr defaultRowHeight="12.75" x14ac:dyDescent="0.2"/>
  <cols>
    <col min="1" max="1" width="46.19921875" style="45" customWidth="1"/>
    <col min="2" max="2" width="28.296875" style="45" customWidth="1"/>
    <col min="3" max="3" width="24.09765625" style="45" customWidth="1"/>
    <col min="4" max="5" width="8.09765625" style="45" customWidth="1"/>
    <col min="6" max="6" width="11.5" style="45" customWidth="1"/>
    <col min="7" max="7" width="8.09765625" style="45" customWidth="1"/>
    <col min="8" max="8" width="9.19921875" style="45" customWidth="1"/>
    <col min="9" max="9" width="8.09765625" style="45" customWidth="1"/>
    <col min="10" max="10" width="10.3984375" style="45" customWidth="1"/>
    <col min="11" max="11" width="9.09765625" style="45" customWidth="1"/>
    <col min="12" max="12" width="9.296875" style="45" customWidth="1"/>
    <col min="13" max="13" width="8.09765625" style="45" customWidth="1"/>
    <col min="14" max="14" width="9.296875" style="45" customWidth="1"/>
    <col min="15" max="15" width="8.09765625" style="45" customWidth="1"/>
    <col min="16" max="16" width="9.19921875" style="45" customWidth="1"/>
    <col min="17" max="17" width="8.09765625" style="45" customWidth="1"/>
    <col min="18" max="18" width="9.796875" style="45" customWidth="1"/>
    <col min="19" max="19" width="9.09765625" style="45" customWidth="1"/>
    <col min="20" max="20" width="11.69921875" style="45" customWidth="1"/>
    <col min="21" max="21" width="9.09765625" style="45" customWidth="1"/>
    <col min="22" max="22" width="10.796875" style="45" customWidth="1"/>
    <col min="23" max="23" width="9.09765625" style="45" customWidth="1"/>
    <col min="24" max="24" width="10.296875" style="45" customWidth="1"/>
    <col min="25" max="25" width="9.09765625" style="45" customWidth="1"/>
    <col min="26" max="26" width="11" style="45" customWidth="1"/>
    <col min="27" max="16384" width="8.796875" style="45"/>
  </cols>
  <sheetData>
    <row r="1" spans="1:26" ht="12.75" customHeight="1" x14ac:dyDescent="0.2">
      <c r="A1" s="47" t="s">
        <v>3279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spans="1:26" ht="12.75" customHeight="1" x14ac:dyDescent="0.2">
      <c r="A2" s="45" t="s">
        <v>112</v>
      </c>
    </row>
    <row r="3" spans="1:26" ht="12.75" customHeight="1" x14ac:dyDescent="0.2">
      <c r="A3" s="49" t="s">
        <v>112</v>
      </c>
      <c r="B3" s="49" t="s">
        <v>112</v>
      </c>
      <c r="C3" s="49" t="s">
        <v>112</v>
      </c>
      <c r="D3" s="49" t="s">
        <v>3278</v>
      </c>
      <c r="E3" s="49" t="s">
        <v>112</v>
      </c>
      <c r="F3" s="49" t="s">
        <v>112</v>
      </c>
      <c r="G3" s="49" t="s">
        <v>112</v>
      </c>
      <c r="H3" s="49" t="s">
        <v>112</v>
      </c>
      <c r="I3" s="49" t="s">
        <v>112</v>
      </c>
      <c r="J3" s="49" t="s">
        <v>112</v>
      </c>
      <c r="K3" s="49" t="s">
        <v>112</v>
      </c>
      <c r="L3" s="49" t="s">
        <v>112</v>
      </c>
      <c r="M3" s="49" t="s">
        <v>112</v>
      </c>
      <c r="N3" s="49" t="s">
        <v>112</v>
      </c>
      <c r="O3" s="49" t="s">
        <v>112</v>
      </c>
      <c r="P3" s="49" t="s">
        <v>112</v>
      </c>
      <c r="Q3" s="49" t="s">
        <v>112</v>
      </c>
      <c r="R3" s="49" t="s">
        <v>112</v>
      </c>
      <c r="S3" s="49" t="s">
        <v>112</v>
      </c>
      <c r="T3" s="49" t="s">
        <v>112</v>
      </c>
      <c r="U3" s="49" t="s">
        <v>112</v>
      </c>
      <c r="V3" s="49" t="s">
        <v>112</v>
      </c>
      <c r="W3" s="49" t="s">
        <v>112</v>
      </c>
      <c r="X3" s="49" t="s">
        <v>112</v>
      </c>
      <c r="Y3" s="49" t="s">
        <v>112</v>
      </c>
      <c r="Z3" s="49" t="s">
        <v>112</v>
      </c>
    </row>
    <row r="4" spans="1:26" ht="12.75" customHeight="1" x14ac:dyDescent="0.2">
      <c r="A4" s="49" t="s">
        <v>112</v>
      </c>
      <c r="B4" s="49" t="s">
        <v>112</v>
      </c>
      <c r="C4" s="49" t="s">
        <v>112</v>
      </c>
      <c r="D4" s="44" t="s">
        <v>3277</v>
      </c>
      <c r="E4" s="44" t="s">
        <v>3276</v>
      </c>
      <c r="F4" s="44" t="s">
        <v>3275</v>
      </c>
      <c r="G4" s="44" t="s">
        <v>3274</v>
      </c>
      <c r="H4" s="44" t="s">
        <v>3273</v>
      </c>
      <c r="I4" s="44" t="s">
        <v>3272</v>
      </c>
      <c r="J4" s="44" t="s">
        <v>3271</v>
      </c>
      <c r="K4" s="44" t="s">
        <v>3270</v>
      </c>
      <c r="L4" s="44" t="s">
        <v>3269</v>
      </c>
      <c r="M4" s="44" t="s">
        <v>3268</v>
      </c>
      <c r="N4" s="44" t="s">
        <v>3267</v>
      </c>
      <c r="O4" s="44" t="s">
        <v>3266</v>
      </c>
      <c r="P4" s="44" t="s">
        <v>3265</v>
      </c>
      <c r="Q4" s="44" t="s">
        <v>3264</v>
      </c>
      <c r="R4" s="44" t="s">
        <v>3263</v>
      </c>
      <c r="S4" s="44" t="s">
        <v>3262</v>
      </c>
      <c r="T4" s="44" t="s">
        <v>3261</v>
      </c>
      <c r="U4" s="44" t="s">
        <v>3260</v>
      </c>
      <c r="V4" s="44" t="s">
        <v>3259</v>
      </c>
      <c r="W4" s="44" t="s">
        <v>3258</v>
      </c>
      <c r="X4" s="44" t="s">
        <v>3257</v>
      </c>
      <c r="Y4" s="44" t="s">
        <v>3256</v>
      </c>
      <c r="Z4" s="44" t="s">
        <v>3255</v>
      </c>
    </row>
    <row r="5" spans="1:26" ht="12.75" customHeight="1" x14ac:dyDescent="0.2">
      <c r="A5" s="44" t="s">
        <v>3254</v>
      </c>
      <c r="B5" s="44" t="s">
        <v>3251</v>
      </c>
      <c r="C5" s="44" t="s">
        <v>3248</v>
      </c>
      <c r="D5" s="10">
        <v>4.4000000000000004</v>
      </c>
      <c r="E5" s="10">
        <v>5.2</v>
      </c>
      <c r="F5" s="10">
        <v>9.6</v>
      </c>
      <c r="G5" s="10">
        <v>23.1</v>
      </c>
      <c r="H5" s="10">
        <v>32.700000000000003</v>
      </c>
      <c r="I5" s="10">
        <v>21.2</v>
      </c>
      <c r="J5" s="10">
        <v>53.9</v>
      </c>
      <c r="K5" s="10">
        <v>37.299999999999997</v>
      </c>
      <c r="L5" s="10">
        <v>91.2</v>
      </c>
      <c r="M5" s="10">
        <v>16.100000000000001</v>
      </c>
      <c r="N5" s="10">
        <v>107.3</v>
      </c>
      <c r="O5" s="10">
        <v>30.2</v>
      </c>
      <c r="P5" s="10">
        <v>137.5</v>
      </c>
      <c r="Q5" s="10">
        <v>25.1</v>
      </c>
      <c r="R5" s="10">
        <v>162.6</v>
      </c>
      <c r="S5" s="11">
        <v>22</v>
      </c>
      <c r="T5" s="10">
        <v>184.6</v>
      </c>
      <c r="U5" s="10">
        <v>35.9</v>
      </c>
      <c r="V5" s="10">
        <v>220.5</v>
      </c>
      <c r="W5" s="10">
        <v>23.9</v>
      </c>
      <c r="X5" s="10">
        <v>244.4</v>
      </c>
      <c r="Y5" s="10">
        <v>37.6</v>
      </c>
      <c r="Z5" s="11">
        <v>282</v>
      </c>
    </row>
  </sheetData>
  <mergeCells count="3">
    <mergeCell ref="A1:Z1"/>
    <mergeCell ref="A3:C4"/>
    <mergeCell ref="D3:Z3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Задание</vt:lpstr>
      <vt:lpstr>Исходные данные→</vt:lpstr>
      <vt:lpstr>Продажи Компании</vt:lpstr>
      <vt:lpstr>Декларации</vt:lpstr>
      <vt:lpstr>Росстат_Цены</vt:lpstr>
      <vt:lpstr>Росстат_Пр-во ЦФО</vt:lpstr>
      <vt:lpstr>Росстат_Пр-во СЗФО</vt:lpstr>
      <vt:lpstr>Росстат_Пр-во ЮФО</vt:lpstr>
      <vt:lpstr>Росстат_Пр-во ПФО</vt:lpstr>
      <vt:lpstr>Росстат_Пр-во УФО</vt:lpstr>
      <vt:lpstr>Росстат_Пр-во СФО</vt:lpstr>
      <vt:lpstr>Росстат_Пр-во ДФО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Sevastyan Bazarov</dc:creator>
  <cp:lastModifiedBy>Konstantin Vlasov | SP</cp:lastModifiedBy>
  <cp:lastPrinted>2024-04-10T19:33:34Z</cp:lastPrinted>
  <dcterms:created xsi:type="dcterms:W3CDTF">2022-11-08T15:24:12Z</dcterms:created>
  <dcterms:modified xsi:type="dcterms:W3CDTF">2026-02-27T18:33:08Z</dcterms:modified>
</cp:coreProperties>
</file>