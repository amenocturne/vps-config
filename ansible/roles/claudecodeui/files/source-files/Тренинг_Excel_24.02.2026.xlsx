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vlasov\Desktop\HR\Тренинг Финансы\Эксель\"/>
    </mc:Choice>
  </mc:AlternateContent>
  <bookViews>
    <workbookView xWindow="0" yWindow="0" windowWidth="21690" windowHeight="8205" tabRatio="877"/>
  </bookViews>
  <sheets>
    <sheet name="Содержание" sheetId="6" r:id="rId1"/>
    <sheet name="Блок 1-&gt;" sheetId="7" r:id="rId2"/>
    <sheet name="Настройки Excel" sheetId="8" r:id="rId3"/>
    <sheet name="HotKeys" sheetId="9" r:id="rId4"/>
    <sheet name="Плохие примеры" sheetId="10" r:id="rId5"/>
    <sheet name="Структура и оформление" sheetId="11" r:id="rId6"/>
    <sheet name="Форматы ячеек" sheetId="12" r:id="rId7"/>
    <sheet name="Блок 2-&gt;" sheetId="13" r:id="rId8"/>
    <sheet name="Формулы" sheetId="14" r:id="rId9"/>
    <sheet name="Текст по столбцам" sheetId="15" r:id="rId10"/>
    <sheet name="Анализ деклараций" sheetId="16" r:id="rId11"/>
    <sheet name="Декларации_Исх. данные" sheetId="17" r:id="rId12"/>
    <sheet name="Анализ чувствительности" sheetId="18" r:id="rId13"/>
    <sheet name="Консолидация данных" sheetId="19" r:id="rId14"/>
    <sheet name="ОФР К1" sheetId="20" r:id="rId15"/>
    <sheet name="ОФР К2" sheetId="21" r:id="rId16"/>
    <sheet name="ОФР К3" sheetId="22" r:id="rId17"/>
    <sheet name="Блок 3-&gt;" sheetId="23" r:id="rId18"/>
    <sheet name="Архитектура" sheetId="24" r:id="rId19"/>
    <sheet name="Дубликаты" sheetId="25" r:id="rId20"/>
  </sheets>
  <externalReferences>
    <externalReference r:id="rId21"/>
  </externalReferences>
  <definedNames>
    <definedName name="_xlnm._FilterDatabase" localSheetId="3" hidden="1">HotKeys!$E$6:$L$11</definedName>
    <definedName name="_xlnm._FilterDatabase" localSheetId="11" hidden="1">'Декларации_Исх. данные'!$C$2:$CV$343</definedName>
    <definedName name="_xlnm._FilterDatabase" localSheetId="4" hidden="1">'Плохие примеры'!$C$22:$E$25</definedName>
    <definedName name="Myqty" hidden="1">[1]Chartsv!$HD$2:$HD$24</definedName>
    <definedName name="Myup" hidden="1">[1]Chartsv!$HC$2:$HC$24</definedName>
    <definedName name="Myvalue" hidden="1">[1]Chartsv!$HF$2:$HF$24</definedName>
    <definedName name="Myweeks" hidden="1">[1]Chartsv!$HB$2:$HB$24</definedName>
  </definedNames>
  <calcPr calcId="162913" calcMode="autoNoTable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" i="10" l="1"/>
  <c r="P22" i="24" l="1"/>
  <c r="O25" i="24"/>
  <c r="S25" i="24" s="1"/>
  <c r="N25" i="24"/>
  <c r="R25" i="24" s="1"/>
  <c r="M25" i="24"/>
  <c r="Q25" i="24" s="1"/>
  <c r="L25" i="24"/>
  <c r="P25" i="24" s="1"/>
  <c r="S24" i="24"/>
  <c r="R24" i="24"/>
  <c r="Q24" i="24"/>
  <c r="P24" i="24"/>
  <c r="S23" i="24"/>
  <c r="R23" i="24"/>
  <c r="Q23" i="24"/>
  <c r="P23" i="24"/>
  <c r="L22" i="24"/>
  <c r="U25" i="24" l="1"/>
  <c r="V25" i="24"/>
  <c r="U23" i="24"/>
  <c r="U24" i="24"/>
  <c r="V23" i="24"/>
  <c r="V24" i="24"/>
  <c r="R26" i="24"/>
  <c r="S26" i="24"/>
  <c r="P26" i="24"/>
  <c r="Q26" i="24"/>
  <c r="L26" i="24"/>
  <c r="M26" i="24"/>
  <c r="N26" i="24"/>
  <c r="O26" i="24"/>
  <c r="P10" i="24"/>
  <c r="Q10" i="24"/>
  <c r="R10" i="24"/>
  <c r="S10" i="24"/>
  <c r="T10" i="24"/>
  <c r="I51" i="16" l="1"/>
  <c r="D29" i="14" l="1"/>
  <c r="G90" i="25" l="1"/>
  <c r="G89" i="25"/>
  <c r="G88" i="25"/>
  <c r="G87" i="25"/>
  <c r="G86" i="25"/>
  <c r="G83" i="25"/>
  <c r="G82" i="25"/>
  <c r="G81" i="25"/>
  <c r="G80" i="25"/>
  <c r="G79" i="25"/>
  <c r="G48" i="25"/>
  <c r="G47" i="25"/>
  <c r="G46" i="25"/>
  <c r="G45" i="25"/>
  <c r="G44" i="25"/>
  <c r="U23" i="25"/>
  <c r="U28" i="25" s="1"/>
  <c r="T23" i="25"/>
  <c r="T27" i="25" s="1"/>
  <c r="S23" i="25"/>
  <c r="S26" i="25" s="1"/>
  <c r="R23" i="25"/>
  <c r="R27" i="25" s="1"/>
  <c r="Q23" i="25"/>
  <c r="Q29" i="25" s="1"/>
  <c r="P23" i="25"/>
  <c r="P26" i="25" s="1"/>
  <c r="O23" i="25"/>
  <c r="O30" i="25" s="1"/>
  <c r="N23" i="25"/>
  <c r="M23" i="25"/>
  <c r="M26" i="25" s="1"/>
  <c r="L23" i="25"/>
  <c r="L27" i="25" s="1"/>
  <c r="K23" i="25"/>
  <c r="K28" i="25" s="1"/>
  <c r="J23" i="25"/>
  <c r="J29" i="25" s="1"/>
  <c r="I23" i="25"/>
  <c r="I28" i="25" s="1"/>
  <c r="U18" i="25"/>
  <c r="U76" i="25" s="1"/>
  <c r="T18" i="25"/>
  <c r="T76" i="25" s="1"/>
  <c r="S18" i="25"/>
  <c r="S76" i="25" s="1"/>
  <c r="R18" i="25"/>
  <c r="R76" i="25" s="1"/>
  <c r="Q18" i="25"/>
  <c r="Q76" i="25" s="1"/>
  <c r="P18" i="25"/>
  <c r="P76" i="25" s="1"/>
  <c r="O18" i="25"/>
  <c r="O76" i="25" s="1"/>
  <c r="N18" i="25"/>
  <c r="N76" i="25" s="1"/>
  <c r="M18" i="25"/>
  <c r="M76" i="25" s="1"/>
  <c r="L18" i="25"/>
  <c r="L76" i="25" s="1"/>
  <c r="K18" i="25"/>
  <c r="J18" i="25"/>
  <c r="J76" i="25" s="1"/>
  <c r="I18" i="25"/>
  <c r="I76" i="25" s="1"/>
  <c r="U17" i="25"/>
  <c r="U75" i="25" s="1"/>
  <c r="T17" i="25"/>
  <c r="T75" i="25" s="1"/>
  <c r="S17" i="25"/>
  <c r="S75" i="25" s="1"/>
  <c r="R17" i="25"/>
  <c r="R75" i="25" s="1"/>
  <c r="Q17" i="25"/>
  <c r="Q75" i="25" s="1"/>
  <c r="P17" i="25"/>
  <c r="P75" i="25" s="1"/>
  <c r="O17" i="25"/>
  <c r="O75" i="25" s="1"/>
  <c r="N17" i="25"/>
  <c r="N75" i="25" s="1"/>
  <c r="M17" i="25"/>
  <c r="M75" i="25" s="1"/>
  <c r="L17" i="25"/>
  <c r="K17" i="25"/>
  <c r="K75" i="25" s="1"/>
  <c r="J17" i="25"/>
  <c r="J75" i="25" s="1"/>
  <c r="I17" i="25"/>
  <c r="I75" i="25" s="1"/>
  <c r="U16" i="25"/>
  <c r="U74" i="25" s="1"/>
  <c r="T16" i="25"/>
  <c r="T74" i="25" s="1"/>
  <c r="S16" i="25"/>
  <c r="R16" i="25"/>
  <c r="R74" i="25" s="1"/>
  <c r="Q16" i="25"/>
  <c r="Q74" i="25" s="1"/>
  <c r="P16" i="25"/>
  <c r="O16" i="25"/>
  <c r="N16" i="25"/>
  <c r="M16" i="25"/>
  <c r="L16" i="25"/>
  <c r="L74" i="25" s="1"/>
  <c r="K16" i="25"/>
  <c r="K74" i="25" s="1"/>
  <c r="J16" i="25"/>
  <c r="J74" i="25" s="1"/>
  <c r="I16" i="25"/>
  <c r="I74" i="25" s="1"/>
  <c r="U15" i="25"/>
  <c r="U73" i="25" s="1"/>
  <c r="T15" i="25"/>
  <c r="T73" i="25" s="1"/>
  <c r="S15" i="25"/>
  <c r="R15" i="25"/>
  <c r="R73" i="25" s="1"/>
  <c r="Q15" i="25"/>
  <c r="Q73" i="25" s="1"/>
  <c r="P15" i="25"/>
  <c r="P73" i="25" s="1"/>
  <c r="O15" i="25"/>
  <c r="O73" i="25" s="1"/>
  <c r="N15" i="25"/>
  <c r="M15" i="25"/>
  <c r="M73" i="25" s="1"/>
  <c r="L15" i="25"/>
  <c r="L73" i="25" s="1"/>
  <c r="K15" i="25"/>
  <c r="K73" i="25" s="1"/>
  <c r="J15" i="25"/>
  <c r="J73" i="25" s="1"/>
  <c r="I15" i="25"/>
  <c r="I73" i="25" s="1"/>
  <c r="U14" i="25"/>
  <c r="T14" i="25"/>
  <c r="S14" i="25"/>
  <c r="S72" i="25" s="1"/>
  <c r="R14" i="25"/>
  <c r="Q14" i="25"/>
  <c r="P14" i="25"/>
  <c r="O14" i="25"/>
  <c r="N14" i="25"/>
  <c r="N72" i="25" s="1"/>
  <c r="M14" i="25"/>
  <c r="M72" i="25" s="1"/>
  <c r="L14" i="25"/>
  <c r="L72" i="25" s="1"/>
  <c r="K14" i="25"/>
  <c r="K72" i="25" s="1"/>
  <c r="J14" i="25"/>
  <c r="I14" i="25"/>
  <c r="J1" i="25"/>
  <c r="K1" i="25" s="1"/>
  <c r="L1" i="25" s="1"/>
  <c r="M1" i="25" s="1"/>
  <c r="N1" i="25" s="1"/>
  <c r="O1" i="25" s="1"/>
  <c r="P1" i="25" s="1"/>
  <c r="Q1" i="25" s="1"/>
  <c r="R1" i="25" s="1"/>
  <c r="S1" i="25" s="1"/>
  <c r="T1" i="25" s="1"/>
  <c r="U1" i="25" s="1"/>
  <c r="E246" i="24"/>
  <c r="P246" i="24" s="1"/>
  <c r="E245" i="24"/>
  <c r="P245" i="24" s="1"/>
  <c r="E244" i="24"/>
  <c r="P244" i="24" s="1"/>
  <c r="E243" i="24"/>
  <c r="V242" i="24"/>
  <c r="U242" i="24"/>
  <c r="T242" i="24"/>
  <c r="S242" i="24"/>
  <c r="R242" i="24"/>
  <c r="Q242" i="24"/>
  <c r="P242" i="24"/>
  <c r="O242" i="24"/>
  <c r="N242" i="24"/>
  <c r="M242" i="24"/>
  <c r="L242" i="24"/>
  <c r="V241" i="24"/>
  <c r="U241" i="24"/>
  <c r="T241" i="24"/>
  <c r="S241" i="24"/>
  <c r="R241" i="24"/>
  <c r="Q241" i="24"/>
  <c r="P241" i="24"/>
  <c r="O241" i="24"/>
  <c r="N241" i="24"/>
  <c r="M241" i="24"/>
  <c r="L241" i="24"/>
  <c r="V240" i="24"/>
  <c r="U240" i="24"/>
  <c r="T240" i="24"/>
  <c r="S240" i="24"/>
  <c r="R240" i="24"/>
  <c r="Q240" i="24"/>
  <c r="P240" i="24"/>
  <c r="O240" i="24"/>
  <c r="N240" i="24"/>
  <c r="M240" i="24"/>
  <c r="L240" i="24"/>
  <c r="V232" i="24"/>
  <c r="U232" i="24"/>
  <c r="T232" i="24"/>
  <c r="S232" i="24"/>
  <c r="R232" i="24"/>
  <c r="Q232" i="24"/>
  <c r="P232" i="24"/>
  <c r="O232" i="24"/>
  <c r="N232" i="24"/>
  <c r="M232" i="24"/>
  <c r="L232" i="24"/>
  <c r="V231" i="24"/>
  <c r="U231" i="24"/>
  <c r="T231" i="24"/>
  <c r="S231" i="24"/>
  <c r="R231" i="24"/>
  <c r="Q231" i="24"/>
  <c r="P231" i="24"/>
  <c r="O231" i="24"/>
  <c r="N231" i="24"/>
  <c r="M231" i="24"/>
  <c r="L231" i="24"/>
  <c r="V230" i="24"/>
  <c r="U230" i="24"/>
  <c r="T230" i="24"/>
  <c r="S230" i="24"/>
  <c r="R230" i="24"/>
  <c r="Q230" i="24"/>
  <c r="P230" i="24"/>
  <c r="O230" i="24"/>
  <c r="N230" i="24"/>
  <c r="M230" i="24"/>
  <c r="L230" i="24"/>
  <c r="V228" i="24"/>
  <c r="U228" i="24"/>
  <c r="T228" i="24"/>
  <c r="S228" i="24"/>
  <c r="R228" i="24"/>
  <c r="Q228" i="24"/>
  <c r="P228" i="24"/>
  <c r="O228" i="24"/>
  <c r="N228" i="24"/>
  <c r="M228" i="24"/>
  <c r="L228" i="24"/>
  <c r="E228" i="24"/>
  <c r="E232" i="24" s="1"/>
  <c r="V227" i="24"/>
  <c r="U227" i="24"/>
  <c r="T227" i="24"/>
  <c r="S227" i="24"/>
  <c r="R227" i="24"/>
  <c r="Q227" i="24"/>
  <c r="P227" i="24"/>
  <c r="O227" i="24"/>
  <c r="N227" i="24"/>
  <c r="M227" i="24"/>
  <c r="L227" i="24"/>
  <c r="E227" i="24"/>
  <c r="E231" i="24" s="1"/>
  <c r="V226" i="24"/>
  <c r="U226" i="24"/>
  <c r="T226" i="24"/>
  <c r="S226" i="24"/>
  <c r="R226" i="24"/>
  <c r="Q226" i="24"/>
  <c r="P226" i="24"/>
  <c r="O226" i="24"/>
  <c r="N226" i="24"/>
  <c r="M226" i="24"/>
  <c r="L226" i="24"/>
  <c r="E226" i="24"/>
  <c r="E230" i="24" s="1"/>
  <c r="V224" i="24"/>
  <c r="U224" i="24"/>
  <c r="T224" i="24"/>
  <c r="S224" i="24"/>
  <c r="R224" i="24"/>
  <c r="Q224" i="24"/>
  <c r="P224" i="24"/>
  <c r="O224" i="24"/>
  <c r="N224" i="24"/>
  <c r="M224" i="24"/>
  <c r="L224" i="24"/>
  <c r="V223" i="24"/>
  <c r="U223" i="24"/>
  <c r="T223" i="24"/>
  <c r="S223" i="24"/>
  <c r="R223" i="24"/>
  <c r="Q223" i="24"/>
  <c r="P223" i="24"/>
  <c r="O223" i="24"/>
  <c r="N223" i="24"/>
  <c r="M223" i="24"/>
  <c r="L223" i="24"/>
  <c r="V222" i="24"/>
  <c r="U222" i="24"/>
  <c r="T222" i="24"/>
  <c r="S222" i="24"/>
  <c r="R222" i="24"/>
  <c r="Q222" i="24"/>
  <c r="P222" i="24"/>
  <c r="O222" i="24"/>
  <c r="N222" i="24"/>
  <c r="M222" i="24"/>
  <c r="L222" i="24"/>
  <c r="V216" i="24"/>
  <c r="U216" i="24"/>
  <c r="T216" i="24"/>
  <c r="S216" i="24"/>
  <c r="R216" i="24"/>
  <c r="Q216" i="24"/>
  <c r="P216" i="24"/>
  <c r="O216" i="24"/>
  <c r="N216" i="24"/>
  <c r="M216" i="24"/>
  <c r="L216" i="24"/>
  <c r="H185" i="24"/>
  <c r="Q185" i="24" s="1"/>
  <c r="H184" i="24"/>
  <c r="L184" i="24" s="1"/>
  <c r="H183" i="24"/>
  <c r="N183" i="24" s="1"/>
  <c r="H182" i="24"/>
  <c r="N182" i="24" s="1"/>
  <c r="H181" i="24"/>
  <c r="V181" i="24" s="1"/>
  <c r="H180" i="24"/>
  <c r="L180" i="24" s="1"/>
  <c r="H179" i="24"/>
  <c r="R179" i="24" s="1"/>
  <c r="H178" i="24"/>
  <c r="U178" i="24" s="1"/>
  <c r="H177" i="24"/>
  <c r="N177" i="24" s="1"/>
  <c r="H176" i="24"/>
  <c r="O176" i="24" s="1"/>
  <c r="H175" i="24"/>
  <c r="T175" i="24" s="1"/>
  <c r="H174" i="24"/>
  <c r="S174" i="24" s="1"/>
  <c r="H173" i="24"/>
  <c r="U173" i="24" s="1"/>
  <c r="H172" i="24"/>
  <c r="H171" i="24"/>
  <c r="U171" i="24" s="1"/>
  <c r="H170" i="24"/>
  <c r="P170" i="24" s="1"/>
  <c r="H169" i="24"/>
  <c r="H168" i="24"/>
  <c r="U168" i="24" s="1"/>
  <c r="H167" i="24"/>
  <c r="L167" i="24" s="1"/>
  <c r="H166" i="24"/>
  <c r="H162" i="24"/>
  <c r="T162" i="24" s="1"/>
  <c r="H161" i="24"/>
  <c r="R161" i="24" s="1"/>
  <c r="H160" i="24"/>
  <c r="T160" i="24" s="1"/>
  <c r="H159" i="24"/>
  <c r="P159" i="24" s="1"/>
  <c r="H158" i="24"/>
  <c r="L158" i="24" s="1"/>
  <c r="H157" i="24"/>
  <c r="Q157" i="24" s="1"/>
  <c r="H156" i="24"/>
  <c r="N156" i="24" s="1"/>
  <c r="H155" i="24"/>
  <c r="U155" i="24" s="1"/>
  <c r="H154" i="24"/>
  <c r="L154" i="24" s="1"/>
  <c r="H153" i="24"/>
  <c r="L153" i="24" s="1"/>
  <c r="H152" i="24"/>
  <c r="P152" i="24" s="1"/>
  <c r="H151" i="24"/>
  <c r="R151" i="24" s="1"/>
  <c r="H150" i="24"/>
  <c r="O150" i="24" s="1"/>
  <c r="H149" i="24"/>
  <c r="U149" i="24" s="1"/>
  <c r="H148" i="24"/>
  <c r="M148" i="24" s="1"/>
  <c r="H147" i="24"/>
  <c r="H146" i="24"/>
  <c r="L146" i="24" s="1"/>
  <c r="H145" i="24"/>
  <c r="V145" i="24" s="1"/>
  <c r="H144" i="24"/>
  <c r="N144" i="24" s="1"/>
  <c r="H143" i="24"/>
  <c r="L143" i="24" s="1"/>
  <c r="H139" i="24"/>
  <c r="S139" i="24" s="1"/>
  <c r="H138" i="24"/>
  <c r="M138" i="24" s="1"/>
  <c r="H137" i="24"/>
  <c r="L137" i="24" s="1"/>
  <c r="H136" i="24"/>
  <c r="U136" i="24" s="1"/>
  <c r="H135" i="24"/>
  <c r="T135" i="24" s="1"/>
  <c r="H134" i="24"/>
  <c r="V134" i="24" s="1"/>
  <c r="H133" i="24"/>
  <c r="P133" i="24" s="1"/>
  <c r="H132" i="24"/>
  <c r="V132" i="24" s="1"/>
  <c r="H131" i="24"/>
  <c r="M131" i="24" s="1"/>
  <c r="H130" i="24"/>
  <c r="Q130" i="24" s="1"/>
  <c r="H129" i="24"/>
  <c r="L129" i="24" s="1"/>
  <c r="H128" i="24"/>
  <c r="Q128" i="24" s="1"/>
  <c r="H127" i="24"/>
  <c r="V127" i="24" s="1"/>
  <c r="H126" i="24"/>
  <c r="T126" i="24" s="1"/>
  <c r="H125" i="24"/>
  <c r="Q125" i="24" s="1"/>
  <c r="H124" i="24"/>
  <c r="Q124" i="24" s="1"/>
  <c r="H123" i="24"/>
  <c r="S123" i="24" s="1"/>
  <c r="H122" i="24"/>
  <c r="Q122" i="24" s="1"/>
  <c r="H121" i="24"/>
  <c r="T121" i="24" s="1"/>
  <c r="H120" i="24"/>
  <c r="L120" i="24" s="1"/>
  <c r="V114" i="24"/>
  <c r="U114" i="24"/>
  <c r="T114" i="24"/>
  <c r="S114" i="24"/>
  <c r="R114" i="24"/>
  <c r="Q114" i="24"/>
  <c r="P114" i="24"/>
  <c r="O114" i="24"/>
  <c r="N114" i="24"/>
  <c r="M114" i="24"/>
  <c r="L114" i="24"/>
  <c r="V113" i="24"/>
  <c r="U113" i="24"/>
  <c r="T113" i="24"/>
  <c r="S113" i="24"/>
  <c r="R113" i="24"/>
  <c r="Q113" i="24"/>
  <c r="P113" i="24"/>
  <c r="O113" i="24"/>
  <c r="N113" i="24"/>
  <c r="M113" i="24"/>
  <c r="L113" i="24"/>
  <c r="V112" i="24"/>
  <c r="U112" i="24"/>
  <c r="T112" i="24"/>
  <c r="S112" i="24"/>
  <c r="R112" i="24"/>
  <c r="Q112" i="24"/>
  <c r="P112" i="24"/>
  <c r="O112" i="24"/>
  <c r="N112" i="24"/>
  <c r="M112" i="24"/>
  <c r="L112" i="24"/>
  <c r="V106" i="24"/>
  <c r="U106" i="24"/>
  <c r="T106" i="24"/>
  <c r="S106" i="24"/>
  <c r="R106" i="24"/>
  <c r="Q106" i="24"/>
  <c r="P106" i="24"/>
  <c r="O106" i="24"/>
  <c r="N106" i="24"/>
  <c r="M106" i="24"/>
  <c r="L106" i="24"/>
  <c r="V105" i="24"/>
  <c r="U105" i="24"/>
  <c r="T105" i="24"/>
  <c r="S105" i="24"/>
  <c r="R105" i="24"/>
  <c r="Q105" i="24"/>
  <c r="P105" i="24"/>
  <c r="O105" i="24"/>
  <c r="N105" i="24"/>
  <c r="M105" i="24"/>
  <c r="L105" i="24"/>
  <c r="V104" i="24"/>
  <c r="U104" i="24"/>
  <c r="T104" i="24"/>
  <c r="S104" i="24"/>
  <c r="R104" i="24"/>
  <c r="Q104" i="24"/>
  <c r="P104" i="24"/>
  <c r="O104" i="24"/>
  <c r="N104" i="24"/>
  <c r="M104" i="24"/>
  <c r="L104" i="24"/>
  <c r="V103" i="24"/>
  <c r="U103" i="24"/>
  <c r="T103" i="24"/>
  <c r="S103" i="24"/>
  <c r="R103" i="24"/>
  <c r="Q103" i="24"/>
  <c r="P103" i="24"/>
  <c r="O103" i="24"/>
  <c r="N103" i="24"/>
  <c r="M103" i="24"/>
  <c r="L103" i="24"/>
  <c r="V102" i="24"/>
  <c r="U102" i="24"/>
  <c r="T102" i="24"/>
  <c r="S102" i="24"/>
  <c r="R102" i="24"/>
  <c r="Q102" i="24"/>
  <c r="P102" i="24"/>
  <c r="O102" i="24"/>
  <c r="N102" i="24"/>
  <c r="M102" i="24"/>
  <c r="L102" i="24"/>
  <c r="V101" i="24"/>
  <c r="U101" i="24"/>
  <c r="T101" i="24"/>
  <c r="S101" i="24"/>
  <c r="R101" i="24"/>
  <c r="Q101" i="24"/>
  <c r="P101" i="24"/>
  <c r="O101" i="24"/>
  <c r="N101" i="24"/>
  <c r="M101" i="24"/>
  <c r="L101" i="24"/>
  <c r="V100" i="24"/>
  <c r="U100" i="24"/>
  <c r="T100" i="24"/>
  <c r="S100" i="24"/>
  <c r="R100" i="24"/>
  <c r="Q100" i="24"/>
  <c r="P100" i="24"/>
  <c r="O100" i="24"/>
  <c r="N100" i="24"/>
  <c r="M100" i="24"/>
  <c r="L100" i="24"/>
  <c r="V99" i="24"/>
  <c r="U99" i="24"/>
  <c r="T99" i="24"/>
  <c r="S99" i="24"/>
  <c r="R99" i="24"/>
  <c r="Q99" i="24"/>
  <c r="P99" i="24"/>
  <c r="O99" i="24"/>
  <c r="N99" i="24"/>
  <c r="M99" i="24"/>
  <c r="L99" i="24"/>
  <c r="V98" i="24"/>
  <c r="U98" i="24"/>
  <c r="T98" i="24"/>
  <c r="S98" i="24"/>
  <c r="R98" i="24"/>
  <c r="Q98" i="24"/>
  <c r="P98" i="24"/>
  <c r="O98" i="24"/>
  <c r="N98" i="24"/>
  <c r="M98" i="24"/>
  <c r="L98" i="24"/>
  <c r="V97" i="24"/>
  <c r="U97" i="24"/>
  <c r="T97" i="24"/>
  <c r="S97" i="24"/>
  <c r="R97" i="24"/>
  <c r="Q97" i="24"/>
  <c r="P97" i="24"/>
  <c r="O97" i="24"/>
  <c r="N97" i="24"/>
  <c r="M97" i="24"/>
  <c r="L97" i="24"/>
  <c r="V96" i="24"/>
  <c r="U96" i="24"/>
  <c r="T96" i="24"/>
  <c r="S96" i="24"/>
  <c r="R96" i="24"/>
  <c r="Q96" i="24"/>
  <c r="P96" i="24"/>
  <c r="O96" i="24"/>
  <c r="N96" i="24"/>
  <c r="M96" i="24"/>
  <c r="L96" i="24"/>
  <c r="V95" i="24"/>
  <c r="U95" i="24"/>
  <c r="T95" i="24"/>
  <c r="S95" i="24"/>
  <c r="R95" i="24"/>
  <c r="Q95" i="24"/>
  <c r="P95" i="24"/>
  <c r="O95" i="24"/>
  <c r="N95" i="24"/>
  <c r="M95" i="24"/>
  <c r="L95" i="24"/>
  <c r="V94" i="24"/>
  <c r="U94" i="24"/>
  <c r="T94" i="24"/>
  <c r="S94" i="24"/>
  <c r="R94" i="24"/>
  <c r="Q94" i="24"/>
  <c r="P94" i="24"/>
  <c r="O94" i="24"/>
  <c r="N94" i="24"/>
  <c r="M94" i="24"/>
  <c r="L94" i="24"/>
  <c r="V93" i="24"/>
  <c r="U93" i="24"/>
  <c r="T93" i="24"/>
  <c r="S93" i="24"/>
  <c r="R93" i="24"/>
  <c r="Q93" i="24"/>
  <c r="P93" i="24"/>
  <c r="O93" i="24"/>
  <c r="N93" i="24"/>
  <c r="M93" i="24"/>
  <c r="L93" i="24"/>
  <c r="V92" i="24"/>
  <c r="U92" i="24"/>
  <c r="T92" i="24"/>
  <c r="S92" i="24"/>
  <c r="R92" i="24"/>
  <c r="Q92" i="24"/>
  <c r="P92" i="24"/>
  <c r="O92" i="24"/>
  <c r="N92" i="24"/>
  <c r="M92" i="24"/>
  <c r="L92" i="24"/>
  <c r="V91" i="24"/>
  <c r="U91" i="24"/>
  <c r="T91" i="24"/>
  <c r="S91" i="24"/>
  <c r="R91" i="24"/>
  <c r="Q91" i="24"/>
  <c r="P91" i="24"/>
  <c r="O91" i="24"/>
  <c r="N91" i="24"/>
  <c r="M91" i="24"/>
  <c r="L91" i="24"/>
  <c r="V90" i="24"/>
  <c r="U90" i="24"/>
  <c r="T90" i="24"/>
  <c r="S90" i="24"/>
  <c r="R90" i="24"/>
  <c r="Q90" i="24"/>
  <c r="P90" i="24"/>
  <c r="O90" i="24"/>
  <c r="N90" i="24"/>
  <c r="M90" i="24"/>
  <c r="L90" i="24"/>
  <c r="V89" i="24"/>
  <c r="U89" i="24"/>
  <c r="T89" i="24"/>
  <c r="S89" i="24"/>
  <c r="R89" i="24"/>
  <c r="Q89" i="24"/>
  <c r="P89" i="24"/>
  <c r="O89" i="24"/>
  <c r="N89" i="24"/>
  <c r="M89" i="24"/>
  <c r="L89" i="24"/>
  <c r="V88" i="24"/>
  <c r="U88" i="24"/>
  <c r="T88" i="24"/>
  <c r="S88" i="24"/>
  <c r="R88" i="24"/>
  <c r="Q88" i="24"/>
  <c r="P88" i="24"/>
  <c r="O88" i="24"/>
  <c r="N88" i="24"/>
  <c r="M88" i="24"/>
  <c r="L88" i="24"/>
  <c r="V87" i="24"/>
  <c r="U87" i="24"/>
  <c r="T87" i="24"/>
  <c r="S87" i="24"/>
  <c r="R87" i="24"/>
  <c r="Q87" i="24"/>
  <c r="P87" i="24"/>
  <c r="O87" i="24"/>
  <c r="N87" i="24"/>
  <c r="M87" i="24"/>
  <c r="L87" i="24"/>
  <c r="O18" i="24"/>
  <c r="N18" i="24"/>
  <c r="M18" i="24"/>
  <c r="Q18" i="24" s="1"/>
  <c r="L18" i="24"/>
  <c r="L19" i="24" s="1"/>
  <c r="S17" i="24"/>
  <c r="R17" i="24"/>
  <c r="Q17" i="24"/>
  <c r="P17" i="24"/>
  <c r="S16" i="24"/>
  <c r="R16" i="24"/>
  <c r="Q16" i="24"/>
  <c r="P16" i="24"/>
  <c r="S15" i="24"/>
  <c r="R15" i="24"/>
  <c r="Q15" i="24"/>
  <c r="P15" i="24"/>
  <c r="O15" i="24"/>
  <c r="N15" i="24"/>
  <c r="M15" i="24"/>
  <c r="L15" i="24"/>
  <c r="O11" i="24"/>
  <c r="N11" i="24"/>
  <c r="M11" i="24"/>
  <c r="M12" i="24" s="1"/>
  <c r="L11" i="24"/>
  <c r="L12" i="24" s="1"/>
  <c r="T9" i="24"/>
  <c r="S9" i="24"/>
  <c r="R9" i="24"/>
  <c r="Q9" i="24"/>
  <c r="P9" i="24"/>
  <c r="M1" i="24"/>
  <c r="N1" i="24" s="1"/>
  <c r="O1" i="24" s="1"/>
  <c r="P1" i="24" s="1"/>
  <c r="Q1" i="24" s="1"/>
  <c r="R1" i="24" s="1"/>
  <c r="S1" i="24" s="1"/>
  <c r="T1" i="24" s="1"/>
  <c r="U1" i="24" s="1"/>
  <c r="V1" i="24" s="1"/>
  <c r="N8" i="22"/>
  <c r="M8" i="22"/>
  <c r="L8" i="22"/>
  <c r="L11" i="22" s="1"/>
  <c r="L14" i="22" s="1"/>
  <c r="L15" i="22" s="1"/>
  <c r="K8" i="22"/>
  <c r="K11" i="22" s="1"/>
  <c r="K14" i="22" s="1"/>
  <c r="K15" i="22" s="1"/>
  <c r="J8" i="22"/>
  <c r="J11" i="22" s="1"/>
  <c r="J14" i="22" s="1"/>
  <c r="I8" i="22"/>
  <c r="J1" i="22"/>
  <c r="K1" i="22" s="1"/>
  <c r="L1" i="22" s="1"/>
  <c r="M1" i="22" s="1"/>
  <c r="N1" i="22" s="1"/>
  <c r="N8" i="21"/>
  <c r="M8" i="21"/>
  <c r="M11" i="21" s="1"/>
  <c r="M12" i="21" s="1"/>
  <c r="L8" i="21"/>
  <c r="L11" i="21" s="1"/>
  <c r="L14" i="21" s="1"/>
  <c r="K8" i="21"/>
  <c r="J8" i="21"/>
  <c r="J11" i="21" s="1"/>
  <c r="J14" i="21" s="1"/>
  <c r="J15" i="21" s="1"/>
  <c r="I8" i="21"/>
  <c r="I11" i="21" s="1"/>
  <c r="I14" i="21" s="1"/>
  <c r="I15" i="21" s="1"/>
  <c r="I16" i="21" s="1"/>
  <c r="I17" i="21" s="1"/>
  <c r="J1" i="21"/>
  <c r="K1" i="21" s="1"/>
  <c r="L1" i="21" s="1"/>
  <c r="M1" i="21" s="1"/>
  <c r="N1" i="21" s="1"/>
  <c r="A17" i="20"/>
  <c r="A16" i="20"/>
  <c r="A15" i="20"/>
  <c r="A14" i="20"/>
  <c r="A13" i="20"/>
  <c r="O56" i="19" s="1"/>
  <c r="O57" i="19" s="1"/>
  <c r="A12" i="20"/>
  <c r="A11" i="20"/>
  <c r="A10" i="20"/>
  <c r="O50" i="19" s="1"/>
  <c r="O51" i="19" s="1"/>
  <c r="A9" i="20"/>
  <c r="N8" i="20"/>
  <c r="M8" i="20"/>
  <c r="L8" i="20"/>
  <c r="K8" i="20"/>
  <c r="K11" i="20" s="1"/>
  <c r="J8" i="20"/>
  <c r="J9" i="20" s="1"/>
  <c r="I8" i="20"/>
  <c r="I9" i="20" s="1"/>
  <c r="A8" i="20"/>
  <c r="A7" i="20"/>
  <c r="O44" i="19" s="1"/>
  <c r="O45" i="19" s="1"/>
  <c r="O46" i="19" s="1"/>
  <c r="A6" i="20"/>
  <c r="O40" i="19" s="1"/>
  <c r="O41" i="19" s="1"/>
  <c r="N3" i="20"/>
  <c r="M3" i="20"/>
  <c r="L3" i="20"/>
  <c r="K3" i="20"/>
  <c r="J3" i="20"/>
  <c r="I3" i="20"/>
  <c r="J1" i="20"/>
  <c r="K1" i="20" s="1"/>
  <c r="L1" i="20" s="1"/>
  <c r="M1" i="20" s="1"/>
  <c r="N1" i="20" s="1"/>
  <c r="N28" i="19"/>
  <c r="M28" i="19"/>
  <c r="L28" i="19"/>
  <c r="K28" i="19"/>
  <c r="J28" i="19"/>
  <c r="I28" i="19"/>
  <c r="N25" i="19"/>
  <c r="M25" i="19"/>
  <c r="L25" i="19"/>
  <c r="K25" i="19"/>
  <c r="J25" i="19"/>
  <c r="I25" i="19"/>
  <c r="N22" i="19"/>
  <c r="M22" i="19"/>
  <c r="L22" i="19"/>
  <c r="K22" i="19"/>
  <c r="J22" i="19"/>
  <c r="I22" i="19"/>
  <c r="N21" i="19"/>
  <c r="M21" i="19"/>
  <c r="L21" i="19"/>
  <c r="K21" i="19"/>
  <c r="J21" i="19"/>
  <c r="I21" i="19"/>
  <c r="N13" i="19"/>
  <c r="M13" i="19"/>
  <c r="L13" i="19"/>
  <c r="K13" i="19"/>
  <c r="J13" i="19"/>
  <c r="I13" i="19"/>
  <c r="N10" i="19"/>
  <c r="M10" i="19"/>
  <c r="L10" i="19"/>
  <c r="K10" i="19"/>
  <c r="J10" i="19"/>
  <c r="I10" i="19"/>
  <c r="N7" i="19"/>
  <c r="M7" i="19"/>
  <c r="L7" i="19"/>
  <c r="K7" i="19"/>
  <c r="J7" i="19"/>
  <c r="I7" i="19"/>
  <c r="N6" i="19"/>
  <c r="M6" i="19"/>
  <c r="L6" i="19"/>
  <c r="K6" i="19"/>
  <c r="J6" i="19"/>
  <c r="I6" i="19"/>
  <c r="J1" i="19"/>
  <c r="K1" i="19" s="1"/>
  <c r="L1" i="19" s="1"/>
  <c r="M1" i="19" s="1"/>
  <c r="N1" i="19" s="1"/>
  <c r="J60" i="18"/>
  <c r="J61" i="18" s="1"/>
  <c r="J62" i="18" s="1"/>
  <c r="J63" i="18" s="1"/>
  <c r="J58" i="18"/>
  <c r="J57" i="18" s="1"/>
  <c r="J56" i="18" s="1"/>
  <c r="J55" i="18" s="1"/>
  <c r="P54" i="18"/>
  <c r="Q54" i="18" s="1"/>
  <c r="R54" i="18" s="1"/>
  <c r="S54" i="18" s="1"/>
  <c r="N54" i="18"/>
  <c r="M54" i="18" s="1"/>
  <c r="L54" i="18" s="1"/>
  <c r="K54" i="18" s="1"/>
  <c r="P46" i="18"/>
  <c r="Q46" i="18" s="1"/>
  <c r="R46" i="18" s="1"/>
  <c r="S46" i="18" s="1"/>
  <c r="N46" i="18"/>
  <c r="M46" i="18" s="1"/>
  <c r="L46" i="18" s="1"/>
  <c r="K46" i="18" s="1"/>
  <c r="P42" i="18"/>
  <c r="Q42" i="18" s="1"/>
  <c r="R42" i="18" s="1"/>
  <c r="S42" i="18" s="1"/>
  <c r="N42" i="18"/>
  <c r="M42" i="18" s="1"/>
  <c r="L42" i="18" s="1"/>
  <c r="K42" i="18" s="1"/>
  <c r="I11" i="18"/>
  <c r="I10" i="18"/>
  <c r="L10" i="18" s="1"/>
  <c r="K7" i="18"/>
  <c r="L2" i="18"/>
  <c r="M2" i="18" s="1"/>
  <c r="N2" i="18" s="1"/>
  <c r="O2" i="18" s="1"/>
  <c r="P2" i="18" s="1"/>
  <c r="Q2" i="18" s="1"/>
  <c r="R2" i="18" s="1"/>
  <c r="S2" i="18" s="1"/>
  <c r="T2" i="18" s="1"/>
  <c r="U2" i="18" s="1"/>
  <c r="V2" i="18" s="1"/>
  <c r="BU343" i="17"/>
  <c r="BT343" i="17"/>
  <c r="BU342" i="17"/>
  <c r="BT342" i="17"/>
  <c r="BU341" i="17"/>
  <c r="BT341" i="17"/>
  <c r="BU340" i="17"/>
  <c r="BT340" i="17"/>
  <c r="BU339" i="17"/>
  <c r="BT339" i="17"/>
  <c r="BU338" i="17"/>
  <c r="BT338" i="17"/>
  <c r="BU337" i="17"/>
  <c r="BT337" i="17"/>
  <c r="BU336" i="17"/>
  <c r="BT336" i="17"/>
  <c r="BU335" i="17"/>
  <c r="BT335" i="17"/>
  <c r="BU334" i="17"/>
  <c r="BT334" i="17"/>
  <c r="BU333" i="17"/>
  <c r="BT333" i="17"/>
  <c r="BU332" i="17"/>
  <c r="BT332" i="17"/>
  <c r="BU331" i="17"/>
  <c r="BT331" i="17"/>
  <c r="BU330" i="17"/>
  <c r="BT330" i="17"/>
  <c r="BU329" i="17"/>
  <c r="BT329" i="17"/>
  <c r="BU328" i="17"/>
  <c r="BT328" i="17"/>
  <c r="BU327" i="17"/>
  <c r="BT327" i="17"/>
  <c r="BU326" i="17"/>
  <c r="BT326" i="17"/>
  <c r="BU325" i="17"/>
  <c r="BT325" i="17"/>
  <c r="BU324" i="17"/>
  <c r="BT324" i="17"/>
  <c r="BU323" i="17"/>
  <c r="BT323" i="17"/>
  <c r="BU322" i="17"/>
  <c r="BT322" i="17"/>
  <c r="BU321" i="17"/>
  <c r="BT321" i="17"/>
  <c r="BU320" i="17"/>
  <c r="BT320" i="17"/>
  <c r="BU319" i="17"/>
  <c r="BT319" i="17"/>
  <c r="BU318" i="17"/>
  <c r="BT318" i="17"/>
  <c r="BU317" i="17"/>
  <c r="BT317" i="17"/>
  <c r="BU316" i="17"/>
  <c r="BT316" i="17"/>
  <c r="BU315" i="17"/>
  <c r="BT315" i="17"/>
  <c r="BU314" i="17"/>
  <c r="BT314" i="17"/>
  <c r="BU313" i="17"/>
  <c r="BT313" i="17"/>
  <c r="BU312" i="17"/>
  <c r="BT312" i="17"/>
  <c r="BU311" i="17"/>
  <c r="BT311" i="17"/>
  <c r="BU310" i="17"/>
  <c r="BT310" i="17"/>
  <c r="BU309" i="17"/>
  <c r="BT309" i="17"/>
  <c r="BU308" i="17"/>
  <c r="BT308" i="17"/>
  <c r="BU307" i="17"/>
  <c r="BT307" i="17"/>
  <c r="BU306" i="17"/>
  <c r="BT306" i="17"/>
  <c r="BU305" i="17"/>
  <c r="BT305" i="17"/>
  <c r="BU304" i="17"/>
  <c r="BT304" i="17"/>
  <c r="BU303" i="17"/>
  <c r="BT303" i="17"/>
  <c r="BU302" i="17"/>
  <c r="BT302" i="17"/>
  <c r="BU301" i="17"/>
  <c r="BT301" i="17"/>
  <c r="BU300" i="17"/>
  <c r="BT300" i="17"/>
  <c r="BU299" i="17"/>
  <c r="BT299" i="17"/>
  <c r="BU298" i="17"/>
  <c r="BT298" i="17"/>
  <c r="BU297" i="17"/>
  <c r="BT297" i="17"/>
  <c r="BU296" i="17"/>
  <c r="BT296" i="17"/>
  <c r="BU295" i="17"/>
  <c r="BT295" i="17"/>
  <c r="BU294" i="17"/>
  <c r="BT294" i="17"/>
  <c r="BU293" i="17"/>
  <c r="BT293" i="17"/>
  <c r="BU292" i="17"/>
  <c r="BT292" i="17"/>
  <c r="BU291" i="17"/>
  <c r="BT291" i="17"/>
  <c r="BU290" i="17"/>
  <c r="BT290" i="17"/>
  <c r="BU289" i="17"/>
  <c r="BT289" i="17"/>
  <c r="BU288" i="17"/>
  <c r="BT288" i="17"/>
  <c r="BU287" i="17"/>
  <c r="BT287" i="17"/>
  <c r="BU286" i="17"/>
  <c r="BT286" i="17"/>
  <c r="BU285" i="17"/>
  <c r="BT285" i="17"/>
  <c r="BU284" i="17"/>
  <c r="BT284" i="17"/>
  <c r="BU283" i="17"/>
  <c r="BT283" i="17"/>
  <c r="BU282" i="17"/>
  <c r="BT282" i="17"/>
  <c r="BU281" i="17"/>
  <c r="BT281" i="17"/>
  <c r="BU280" i="17"/>
  <c r="BT280" i="17"/>
  <c r="BU279" i="17"/>
  <c r="BT279" i="17"/>
  <c r="BU278" i="17"/>
  <c r="BT278" i="17"/>
  <c r="BU277" i="17"/>
  <c r="BT277" i="17"/>
  <c r="BU276" i="17"/>
  <c r="BT276" i="17"/>
  <c r="BU275" i="17"/>
  <c r="BT275" i="17"/>
  <c r="BU274" i="17"/>
  <c r="BT274" i="17"/>
  <c r="BU273" i="17"/>
  <c r="BT273" i="17"/>
  <c r="BU272" i="17"/>
  <c r="BT272" i="17"/>
  <c r="BU271" i="17"/>
  <c r="BT271" i="17"/>
  <c r="BU270" i="17"/>
  <c r="BT270" i="17"/>
  <c r="BU269" i="17"/>
  <c r="BT269" i="17"/>
  <c r="BU268" i="17"/>
  <c r="BT268" i="17"/>
  <c r="BU267" i="17"/>
  <c r="BT267" i="17"/>
  <c r="BU266" i="17"/>
  <c r="BT266" i="17"/>
  <c r="BU265" i="17"/>
  <c r="BT265" i="17"/>
  <c r="BU264" i="17"/>
  <c r="BT264" i="17"/>
  <c r="BU263" i="17"/>
  <c r="BT263" i="17"/>
  <c r="BU262" i="17"/>
  <c r="BT262" i="17"/>
  <c r="BU261" i="17"/>
  <c r="BT261" i="17"/>
  <c r="BU260" i="17"/>
  <c r="BT260" i="17"/>
  <c r="BU259" i="17"/>
  <c r="BT259" i="17"/>
  <c r="BU258" i="17"/>
  <c r="BT258" i="17"/>
  <c r="BU257" i="17"/>
  <c r="BT257" i="17"/>
  <c r="BU256" i="17"/>
  <c r="BT256" i="17"/>
  <c r="BU255" i="17"/>
  <c r="BT255" i="17"/>
  <c r="BU254" i="17"/>
  <c r="BT254" i="17"/>
  <c r="BU253" i="17"/>
  <c r="BT253" i="17"/>
  <c r="BU252" i="17"/>
  <c r="BT252" i="17"/>
  <c r="BU251" i="17"/>
  <c r="BT251" i="17"/>
  <c r="BU250" i="17"/>
  <c r="BT250" i="17"/>
  <c r="BU249" i="17"/>
  <c r="BT249" i="17"/>
  <c r="BU248" i="17"/>
  <c r="BT248" i="17"/>
  <c r="BU247" i="17"/>
  <c r="BT247" i="17"/>
  <c r="BU246" i="17"/>
  <c r="BT246" i="17"/>
  <c r="BU245" i="17"/>
  <c r="BT245" i="17"/>
  <c r="BU244" i="17"/>
  <c r="BT244" i="17"/>
  <c r="BU243" i="17"/>
  <c r="BT243" i="17"/>
  <c r="BU242" i="17"/>
  <c r="BT242" i="17"/>
  <c r="BU241" i="17"/>
  <c r="BT241" i="17"/>
  <c r="BU240" i="17"/>
  <c r="BT240" i="17"/>
  <c r="BU239" i="17"/>
  <c r="BT239" i="17"/>
  <c r="BU238" i="17"/>
  <c r="BT238" i="17"/>
  <c r="BU237" i="17"/>
  <c r="BT237" i="17"/>
  <c r="BU236" i="17"/>
  <c r="BT236" i="17"/>
  <c r="BU235" i="17"/>
  <c r="BT235" i="17"/>
  <c r="BU234" i="17"/>
  <c r="BT234" i="17"/>
  <c r="BU233" i="17"/>
  <c r="BT233" i="17"/>
  <c r="BU232" i="17"/>
  <c r="BT232" i="17"/>
  <c r="BU231" i="17"/>
  <c r="BT231" i="17"/>
  <c r="BU230" i="17"/>
  <c r="BT230" i="17"/>
  <c r="BU229" i="17"/>
  <c r="BT229" i="17"/>
  <c r="BU228" i="17"/>
  <c r="BT228" i="17"/>
  <c r="BU227" i="17"/>
  <c r="BT227" i="17"/>
  <c r="BU226" i="17"/>
  <c r="BT226" i="17"/>
  <c r="BU225" i="17"/>
  <c r="BT225" i="17"/>
  <c r="BU224" i="17"/>
  <c r="BT224" i="17"/>
  <c r="BU223" i="17"/>
  <c r="BT223" i="17"/>
  <c r="BU222" i="17"/>
  <c r="BT222" i="17"/>
  <c r="BU221" i="17"/>
  <c r="BT221" i="17"/>
  <c r="BU220" i="17"/>
  <c r="BT220" i="17"/>
  <c r="BU219" i="17"/>
  <c r="BT219" i="17"/>
  <c r="BU218" i="17"/>
  <c r="BT218" i="17"/>
  <c r="BU217" i="17"/>
  <c r="BT217" i="17"/>
  <c r="BU216" i="17"/>
  <c r="BT216" i="17"/>
  <c r="BU215" i="17"/>
  <c r="BT215" i="17"/>
  <c r="BU214" i="17"/>
  <c r="BT214" i="17"/>
  <c r="BU213" i="17"/>
  <c r="BT213" i="17"/>
  <c r="BU212" i="17"/>
  <c r="BT212" i="17"/>
  <c r="BU211" i="17"/>
  <c r="BT211" i="17"/>
  <c r="BU210" i="17"/>
  <c r="BT210" i="17"/>
  <c r="BU209" i="17"/>
  <c r="BT209" i="17"/>
  <c r="BU208" i="17"/>
  <c r="BT208" i="17"/>
  <c r="BU207" i="17"/>
  <c r="BT207" i="17"/>
  <c r="BU206" i="17"/>
  <c r="BT206" i="17"/>
  <c r="BU205" i="17"/>
  <c r="BT205" i="17"/>
  <c r="BU204" i="17"/>
  <c r="BT204" i="17"/>
  <c r="BU203" i="17"/>
  <c r="BT203" i="17"/>
  <c r="BU202" i="17"/>
  <c r="BT202" i="17"/>
  <c r="BU201" i="17"/>
  <c r="BT201" i="17"/>
  <c r="BU200" i="17"/>
  <c r="BT200" i="17"/>
  <c r="BU199" i="17"/>
  <c r="BT199" i="17"/>
  <c r="BU198" i="17"/>
  <c r="BT198" i="17"/>
  <c r="BU197" i="17"/>
  <c r="BT197" i="17"/>
  <c r="BU196" i="17"/>
  <c r="BT196" i="17"/>
  <c r="BU195" i="17"/>
  <c r="BT195" i="17"/>
  <c r="BU194" i="17"/>
  <c r="BT194" i="17"/>
  <c r="BU193" i="17"/>
  <c r="BT193" i="17"/>
  <c r="BU192" i="17"/>
  <c r="BT192" i="17"/>
  <c r="BU191" i="17"/>
  <c r="BT191" i="17"/>
  <c r="BU190" i="17"/>
  <c r="BT190" i="17"/>
  <c r="BU189" i="17"/>
  <c r="BT189" i="17"/>
  <c r="BU188" i="17"/>
  <c r="BT188" i="17"/>
  <c r="BU187" i="17"/>
  <c r="BT187" i="17"/>
  <c r="BU186" i="17"/>
  <c r="BT186" i="17"/>
  <c r="BU185" i="17"/>
  <c r="BT185" i="17"/>
  <c r="BU184" i="17"/>
  <c r="BT184" i="17"/>
  <c r="BU183" i="17"/>
  <c r="BT183" i="17"/>
  <c r="BU182" i="17"/>
  <c r="BT182" i="17"/>
  <c r="BU181" i="17"/>
  <c r="BT181" i="17"/>
  <c r="BU180" i="17"/>
  <c r="BT180" i="17"/>
  <c r="BU179" i="17"/>
  <c r="BT179" i="17"/>
  <c r="BU178" i="17"/>
  <c r="BT178" i="17"/>
  <c r="BU177" i="17"/>
  <c r="BT177" i="17"/>
  <c r="BU176" i="17"/>
  <c r="BT176" i="17"/>
  <c r="BU175" i="17"/>
  <c r="BT175" i="17"/>
  <c r="BU174" i="17"/>
  <c r="BT174" i="17"/>
  <c r="BU173" i="17"/>
  <c r="BT173" i="17"/>
  <c r="BU172" i="17"/>
  <c r="BT172" i="17"/>
  <c r="BU171" i="17"/>
  <c r="BT171" i="17"/>
  <c r="BU170" i="17"/>
  <c r="BT170" i="17"/>
  <c r="BU169" i="17"/>
  <c r="BT169" i="17"/>
  <c r="BU168" i="17"/>
  <c r="BT168" i="17"/>
  <c r="BU167" i="17"/>
  <c r="BT167" i="17"/>
  <c r="BU166" i="17"/>
  <c r="BT166" i="17"/>
  <c r="BU165" i="17"/>
  <c r="BT165" i="17"/>
  <c r="BU164" i="17"/>
  <c r="BT164" i="17"/>
  <c r="BU163" i="17"/>
  <c r="BT163" i="17"/>
  <c r="BU162" i="17"/>
  <c r="BT162" i="17"/>
  <c r="BU161" i="17"/>
  <c r="BT161" i="17"/>
  <c r="BU160" i="17"/>
  <c r="BT160" i="17"/>
  <c r="BU159" i="17"/>
  <c r="BT159" i="17"/>
  <c r="BU158" i="17"/>
  <c r="BT158" i="17"/>
  <c r="BU157" i="17"/>
  <c r="BT157" i="17"/>
  <c r="BU156" i="17"/>
  <c r="BT156" i="17"/>
  <c r="BU155" i="17"/>
  <c r="BT155" i="17"/>
  <c r="BU154" i="17"/>
  <c r="BT154" i="17"/>
  <c r="BU153" i="17"/>
  <c r="BT153" i="17"/>
  <c r="BU152" i="17"/>
  <c r="BT152" i="17"/>
  <c r="BU151" i="17"/>
  <c r="BT151" i="17"/>
  <c r="BU150" i="17"/>
  <c r="BT150" i="17"/>
  <c r="BU149" i="17"/>
  <c r="BT149" i="17"/>
  <c r="BU148" i="17"/>
  <c r="BT148" i="17"/>
  <c r="BU147" i="17"/>
  <c r="BT147" i="17"/>
  <c r="BU146" i="17"/>
  <c r="BT146" i="17"/>
  <c r="BU145" i="17"/>
  <c r="BT145" i="17"/>
  <c r="BU144" i="17"/>
  <c r="BT144" i="17"/>
  <c r="BU143" i="17"/>
  <c r="BT143" i="17"/>
  <c r="BU142" i="17"/>
  <c r="BT142" i="17"/>
  <c r="BU141" i="17"/>
  <c r="BT141" i="17"/>
  <c r="BU140" i="17"/>
  <c r="BT140" i="17"/>
  <c r="BU139" i="17"/>
  <c r="BT139" i="17"/>
  <c r="BU138" i="17"/>
  <c r="BT138" i="17"/>
  <c r="BU137" i="17"/>
  <c r="BT137" i="17"/>
  <c r="BU136" i="17"/>
  <c r="BT136" i="17"/>
  <c r="BU135" i="17"/>
  <c r="BT135" i="17"/>
  <c r="BU134" i="17"/>
  <c r="BT134" i="17"/>
  <c r="BU133" i="17"/>
  <c r="BT133" i="17"/>
  <c r="BU132" i="17"/>
  <c r="BT132" i="17"/>
  <c r="BU131" i="17"/>
  <c r="BT131" i="17"/>
  <c r="BU130" i="17"/>
  <c r="BT130" i="17"/>
  <c r="BU129" i="17"/>
  <c r="BT129" i="17"/>
  <c r="BU128" i="17"/>
  <c r="BT128" i="17"/>
  <c r="BU127" i="17"/>
  <c r="BT127" i="17"/>
  <c r="BU126" i="17"/>
  <c r="BT126" i="17"/>
  <c r="BU125" i="17"/>
  <c r="BT125" i="17"/>
  <c r="BU124" i="17"/>
  <c r="BT124" i="17"/>
  <c r="BU123" i="17"/>
  <c r="BT123" i="17"/>
  <c r="BU122" i="17"/>
  <c r="BT122" i="17"/>
  <c r="BU121" i="17"/>
  <c r="BT121" i="17"/>
  <c r="BU120" i="17"/>
  <c r="BT120" i="17"/>
  <c r="BU119" i="17"/>
  <c r="BT119" i="17"/>
  <c r="BU118" i="17"/>
  <c r="BT118" i="17"/>
  <c r="BU117" i="17"/>
  <c r="BT117" i="17"/>
  <c r="BU116" i="17"/>
  <c r="BT116" i="17"/>
  <c r="BU115" i="17"/>
  <c r="BT115" i="17"/>
  <c r="BU114" i="17"/>
  <c r="BT114" i="17"/>
  <c r="BU113" i="17"/>
  <c r="BT113" i="17"/>
  <c r="BU112" i="17"/>
  <c r="BT112" i="17"/>
  <c r="BU111" i="17"/>
  <c r="BT111" i="17"/>
  <c r="BU110" i="17"/>
  <c r="BT110" i="17"/>
  <c r="BU109" i="17"/>
  <c r="BT109" i="17"/>
  <c r="BU108" i="17"/>
  <c r="BT108" i="17"/>
  <c r="BU107" i="17"/>
  <c r="BT107" i="17"/>
  <c r="BU106" i="17"/>
  <c r="BT106" i="17"/>
  <c r="BU105" i="17"/>
  <c r="BT105" i="17"/>
  <c r="BU104" i="17"/>
  <c r="BT104" i="17"/>
  <c r="BU103" i="17"/>
  <c r="BT103" i="17"/>
  <c r="BU102" i="17"/>
  <c r="BT102" i="17"/>
  <c r="BU101" i="17"/>
  <c r="BT101" i="17"/>
  <c r="BU100" i="17"/>
  <c r="BT100" i="17"/>
  <c r="BU99" i="17"/>
  <c r="BT99" i="17"/>
  <c r="BU98" i="17"/>
  <c r="BT98" i="17"/>
  <c r="BU97" i="17"/>
  <c r="BT97" i="17"/>
  <c r="BU96" i="17"/>
  <c r="BT96" i="17"/>
  <c r="BU95" i="17"/>
  <c r="BT95" i="17"/>
  <c r="BU94" i="17"/>
  <c r="BT94" i="17"/>
  <c r="BU93" i="17"/>
  <c r="BT93" i="17"/>
  <c r="BU92" i="17"/>
  <c r="BT92" i="17"/>
  <c r="BU91" i="17"/>
  <c r="BT91" i="17"/>
  <c r="BU90" i="17"/>
  <c r="BT90" i="17"/>
  <c r="BU89" i="17"/>
  <c r="BT89" i="17"/>
  <c r="BU88" i="17"/>
  <c r="BT88" i="17"/>
  <c r="BU87" i="17"/>
  <c r="BT87" i="17"/>
  <c r="BU86" i="17"/>
  <c r="BT86" i="17"/>
  <c r="BU85" i="17"/>
  <c r="BT85" i="17"/>
  <c r="BU84" i="17"/>
  <c r="BT84" i="17"/>
  <c r="BU83" i="17"/>
  <c r="BT83" i="17"/>
  <c r="BU82" i="17"/>
  <c r="BT82" i="17"/>
  <c r="BU81" i="17"/>
  <c r="BT81" i="17"/>
  <c r="BU80" i="17"/>
  <c r="BT80" i="17"/>
  <c r="BU79" i="17"/>
  <c r="BT79" i="17"/>
  <c r="BU78" i="17"/>
  <c r="BT78" i="17"/>
  <c r="BU77" i="17"/>
  <c r="BT77" i="17"/>
  <c r="BU76" i="17"/>
  <c r="BT76" i="17"/>
  <c r="BU75" i="17"/>
  <c r="BT75" i="17"/>
  <c r="BU74" i="17"/>
  <c r="BT74" i="17"/>
  <c r="BU73" i="17"/>
  <c r="BT73" i="17"/>
  <c r="BU72" i="17"/>
  <c r="BT72" i="17"/>
  <c r="BU71" i="17"/>
  <c r="BT71" i="17"/>
  <c r="BU70" i="17"/>
  <c r="BT70" i="17"/>
  <c r="BU69" i="17"/>
  <c r="BT69" i="17"/>
  <c r="BU68" i="17"/>
  <c r="BT68" i="17"/>
  <c r="BU67" i="17"/>
  <c r="BT67" i="17"/>
  <c r="BU66" i="17"/>
  <c r="BT66" i="17"/>
  <c r="BU65" i="17"/>
  <c r="BT65" i="17"/>
  <c r="BU64" i="17"/>
  <c r="BT64" i="17"/>
  <c r="BU63" i="17"/>
  <c r="BT63" i="17"/>
  <c r="BU62" i="17"/>
  <c r="BT62" i="17"/>
  <c r="BU61" i="17"/>
  <c r="BT61" i="17"/>
  <c r="BU60" i="17"/>
  <c r="BT60" i="17"/>
  <c r="BU59" i="17"/>
  <c r="BT59" i="17"/>
  <c r="BU58" i="17"/>
  <c r="BT58" i="17"/>
  <c r="BU57" i="17"/>
  <c r="BT57" i="17"/>
  <c r="BU56" i="17"/>
  <c r="BT56" i="17"/>
  <c r="BU55" i="17"/>
  <c r="BT55" i="17"/>
  <c r="BU54" i="17"/>
  <c r="BT54" i="17"/>
  <c r="BU53" i="17"/>
  <c r="BT53" i="17"/>
  <c r="BU52" i="17"/>
  <c r="BT52" i="17"/>
  <c r="BU51" i="17"/>
  <c r="BT51" i="17"/>
  <c r="BU50" i="17"/>
  <c r="BT50" i="17"/>
  <c r="BU49" i="17"/>
  <c r="BT49" i="17"/>
  <c r="BU48" i="17"/>
  <c r="BT48" i="17"/>
  <c r="BU47" i="17"/>
  <c r="BT47" i="17"/>
  <c r="BU46" i="17"/>
  <c r="BT46" i="17"/>
  <c r="BU45" i="17"/>
  <c r="BT45" i="17"/>
  <c r="BU44" i="17"/>
  <c r="BT44" i="17"/>
  <c r="BU43" i="17"/>
  <c r="BT43" i="17"/>
  <c r="BU42" i="17"/>
  <c r="BT42" i="17"/>
  <c r="BU41" i="17"/>
  <c r="BT41" i="17"/>
  <c r="BU40" i="17"/>
  <c r="BT40" i="17"/>
  <c r="BU39" i="17"/>
  <c r="BT39" i="17"/>
  <c r="BU38" i="17"/>
  <c r="BT38" i="17"/>
  <c r="BU37" i="17"/>
  <c r="BT37" i="17"/>
  <c r="BU36" i="17"/>
  <c r="BT36" i="17"/>
  <c r="BU35" i="17"/>
  <c r="BT35" i="17"/>
  <c r="BU34" i="17"/>
  <c r="BT34" i="17"/>
  <c r="BU33" i="17"/>
  <c r="BT33" i="17"/>
  <c r="BU32" i="17"/>
  <c r="BT32" i="17"/>
  <c r="BU31" i="17"/>
  <c r="BT31" i="17"/>
  <c r="BU30" i="17"/>
  <c r="BT30" i="17"/>
  <c r="BU29" i="17"/>
  <c r="BT29" i="17"/>
  <c r="BU28" i="17"/>
  <c r="BT28" i="17"/>
  <c r="BU27" i="17"/>
  <c r="BT27" i="17"/>
  <c r="BU26" i="17"/>
  <c r="BT26" i="17"/>
  <c r="BU25" i="17"/>
  <c r="BT25" i="17"/>
  <c r="BU24" i="17"/>
  <c r="BT24" i="17"/>
  <c r="BU23" i="17"/>
  <c r="BT23" i="17"/>
  <c r="BU22" i="17"/>
  <c r="BT22" i="17"/>
  <c r="BU21" i="17"/>
  <c r="BT21" i="17"/>
  <c r="BU20" i="17"/>
  <c r="BT20" i="17"/>
  <c r="BU19" i="17"/>
  <c r="BT19" i="17"/>
  <c r="BU18" i="17"/>
  <c r="BT18" i="17"/>
  <c r="BU17" i="17"/>
  <c r="BT17" i="17"/>
  <c r="BU16" i="17"/>
  <c r="BT16" i="17"/>
  <c r="BU15" i="17"/>
  <c r="BT15" i="17"/>
  <c r="BU14" i="17"/>
  <c r="BT14" i="17"/>
  <c r="BU13" i="17"/>
  <c r="BT13" i="17"/>
  <c r="BU12" i="17"/>
  <c r="BT12" i="17"/>
  <c r="BU11" i="17"/>
  <c r="BT11" i="17"/>
  <c r="BU10" i="17"/>
  <c r="BT10" i="17"/>
  <c r="BU9" i="17"/>
  <c r="BT9" i="17"/>
  <c r="BU8" i="17"/>
  <c r="BT8" i="17"/>
  <c r="BU7" i="17"/>
  <c r="BT7" i="17"/>
  <c r="BU6" i="17"/>
  <c r="BT6" i="17"/>
  <c r="BU5" i="17"/>
  <c r="BT5" i="17"/>
  <c r="BU4" i="17"/>
  <c r="BT4" i="17"/>
  <c r="BU3" i="17"/>
  <c r="BT3" i="17"/>
  <c r="H115" i="16"/>
  <c r="H116" i="16" s="1"/>
  <c r="H109" i="16"/>
  <c r="J109" i="16" s="1"/>
  <c r="H108" i="16"/>
  <c r="J108" i="16" s="1"/>
  <c r="H107" i="16"/>
  <c r="J107" i="16" s="1"/>
  <c r="H106" i="16"/>
  <c r="J106" i="16" s="1"/>
  <c r="H105" i="16"/>
  <c r="J105" i="16" s="1"/>
  <c r="H104" i="16"/>
  <c r="J104" i="16" s="1"/>
  <c r="H103" i="16"/>
  <c r="J103" i="16" s="1"/>
  <c r="H102" i="16"/>
  <c r="J102" i="16" s="1"/>
  <c r="H101" i="16"/>
  <c r="C87" i="16"/>
  <c r="I61" i="16"/>
  <c r="I60" i="16"/>
  <c r="I52" i="16"/>
  <c r="I48" i="16"/>
  <c r="I47" i="16"/>
  <c r="I46" i="16"/>
  <c r="I45" i="16"/>
  <c r="I38" i="16"/>
  <c r="I37" i="16"/>
  <c r="I36" i="16"/>
  <c r="I35" i="16"/>
  <c r="I34" i="16"/>
  <c r="I33" i="16"/>
  <c r="I32" i="16"/>
  <c r="I31" i="16"/>
  <c r="I30" i="16"/>
  <c r="M17" i="16"/>
  <c r="L17" i="16"/>
  <c r="J17" i="16"/>
  <c r="I17" i="16"/>
  <c r="M16" i="16"/>
  <c r="L16" i="16"/>
  <c r="J16" i="16"/>
  <c r="I16" i="16"/>
  <c r="F41" i="15"/>
  <c r="E41" i="15"/>
  <c r="F40" i="15"/>
  <c r="E40" i="15"/>
  <c r="F39" i="15"/>
  <c r="E39" i="15"/>
  <c r="F38" i="15"/>
  <c r="E38" i="15"/>
  <c r="F37" i="15"/>
  <c r="E37" i="15"/>
  <c r="AI90" i="14"/>
  <c r="AH90" i="14"/>
  <c r="AG90" i="14"/>
  <c r="AF90" i="14"/>
  <c r="AE90" i="14"/>
  <c r="AD90" i="14"/>
  <c r="AC90" i="14"/>
  <c r="AB90" i="14"/>
  <c r="AA90" i="14"/>
  <c r="Z90" i="14"/>
  <c r="Y90" i="14"/>
  <c r="X90" i="14"/>
  <c r="W90" i="14"/>
  <c r="V90" i="14"/>
  <c r="U90" i="14"/>
  <c r="T90" i="14"/>
  <c r="S90" i="14"/>
  <c r="R90" i="14"/>
  <c r="Q90" i="14"/>
  <c r="P90" i="14"/>
  <c r="O90" i="14"/>
  <c r="N90" i="14"/>
  <c r="M90" i="14"/>
  <c r="L90" i="14"/>
  <c r="K90" i="14"/>
  <c r="J90" i="14"/>
  <c r="I90" i="14"/>
  <c r="H90" i="14"/>
  <c r="G90" i="14"/>
  <c r="H92" i="14" s="1"/>
  <c r="O87" i="14"/>
  <c r="S87" i="14" s="1"/>
  <c r="W87" i="14" s="1"/>
  <c r="AA87" i="14" s="1"/>
  <c r="AE87" i="14" s="1"/>
  <c r="AI87" i="14" s="1"/>
  <c r="N87" i="14"/>
  <c r="R87" i="14" s="1"/>
  <c r="V87" i="14" s="1"/>
  <c r="Z87" i="14" s="1"/>
  <c r="AD87" i="14" s="1"/>
  <c r="AH87" i="14" s="1"/>
  <c r="M87" i="14"/>
  <c r="Q87" i="14" s="1"/>
  <c r="U87" i="14" s="1"/>
  <c r="Y87" i="14" s="1"/>
  <c r="AC87" i="14" s="1"/>
  <c r="AG87" i="14" s="1"/>
  <c r="L87" i="14"/>
  <c r="P87" i="14" s="1"/>
  <c r="T87" i="14" s="1"/>
  <c r="X87" i="14" s="1"/>
  <c r="AB87" i="14" s="1"/>
  <c r="AF87" i="14" s="1"/>
  <c r="L86" i="14"/>
  <c r="P86" i="14" s="1"/>
  <c r="T86" i="14" s="1"/>
  <c r="X86" i="14" s="1"/>
  <c r="AB86" i="14" s="1"/>
  <c r="AF86" i="14" s="1"/>
  <c r="I86" i="14"/>
  <c r="M86" i="14" s="1"/>
  <c r="Q86" i="14" s="1"/>
  <c r="U86" i="14" s="1"/>
  <c r="Y86" i="14" s="1"/>
  <c r="AC86" i="14" s="1"/>
  <c r="AG86" i="14" s="1"/>
  <c r="AI84" i="14"/>
  <c r="AH84" i="14"/>
  <c r="AG84" i="14"/>
  <c r="AF84" i="14"/>
  <c r="AE84" i="14"/>
  <c r="AD84" i="14"/>
  <c r="AC84" i="14"/>
  <c r="AB84" i="14"/>
  <c r="AA84" i="14"/>
  <c r="Z84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O81" i="14"/>
  <c r="S81" i="14" s="1"/>
  <c r="W81" i="14" s="1"/>
  <c r="AA81" i="14" s="1"/>
  <c r="AE81" i="14" s="1"/>
  <c r="AI81" i="14" s="1"/>
  <c r="N81" i="14"/>
  <c r="R81" i="14" s="1"/>
  <c r="V81" i="14" s="1"/>
  <c r="Z81" i="14" s="1"/>
  <c r="AD81" i="14" s="1"/>
  <c r="AH81" i="14" s="1"/>
  <c r="M81" i="14"/>
  <c r="Q81" i="14" s="1"/>
  <c r="U81" i="14" s="1"/>
  <c r="Y81" i="14" s="1"/>
  <c r="AC81" i="14" s="1"/>
  <c r="AG81" i="14" s="1"/>
  <c r="L81" i="14"/>
  <c r="P81" i="14" s="1"/>
  <c r="T81" i="14" s="1"/>
  <c r="X81" i="14" s="1"/>
  <c r="AB81" i="14" s="1"/>
  <c r="AF81" i="14" s="1"/>
  <c r="L80" i="14"/>
  <c r="P80" i="14" s="1"/>
  <c r="T80" i="14" s="1"/>
  <c r="X80" i="14" s="1"/>
  <c r="AB80" i="14" s="1"/>
  <c r="AF80" i="14" s="1"/>
  <c r="I80" i="14"/>
  <c r="M80" i="14" s="1"/>
  <c r="Q80" i="14" s="1"/>
  <c r="U80" i="14" s="1"/>
  <c r="Y80" i="14" s="1"/>
  <c r="AC80" i="14" s="1"/>
  <c r="AG80" i="14" s="1"/>
  <c r="I76" i="14"/>
  <c r="D76" i="14" s="1"/>
  <c r="I75" i="14"/>
  <c r="D75" i="14" s="1"/>
  <c r="E74" i="14"/>
  <c r="D74" i="14"/>
  <c r="E70" i="14"/>
  <c r="D70" i="14"/>
  <c r="D67" i="14"/>
  <c r="D66" i="14"/>
  <c r="D64" i="14"/>
  <c r="D63" i="14"/>
  <c r="D62" i="14"/>
  <c r="D60" i="14"/>
  <c r="D59" i="14"/>
  <c r="D58" i="14"/>
  <c r="E51" i="14"/>
  <c r="E50" i="14"/>
  <c r="E40" i="14"/>
  <c r="E38" i="14"/>
  <c r="E37" i="14"/>
  <c r="D28" i="14"/>
  <c r="D26" i="14"/>
  <c r="D25" i="14"/>
  <c r="D23" i="14"/>
  <c r="D22" i="14"/>
  <c r="E21" i="14"/>
  <c r="D21" i="14"/>
  <c r="D20" i="14"/>
  <c r="H16" i="14"/>
  <c r="E16" i="14" s="1"/>
  <c r="H15" i="14"/>
  <c r="E15" i="14" s="1"/>
  <c r="H14" i="14"/>
  <c r="D14" i="14" s="1"/>
  <c r="H13" i="14"/>
  <c r="D13" i="14" s="1"/>
  <c r="E11" i="14"/>
  <c r="D11" i="14"/>
  <c r="E10" i="14"/>
  <c r="D10" i="14"/>
  <c r="E9" i="14"/>
  <c r="D9" i="14"/>
  <c r="E8" i="14"/>
  <c r="D8" i="14"/>
  <c r="E6" i="14"/>
  <c r="D6" i="14"/>
  <c r="E5" i="14"/>
  <c r="D5" i="14"/>
  <c r="D21" i="12"/>
  <c r="D20" i="12"/>
  <c r="D19" i="12"/>
  <c r="D18" i="12"/>
  <c r="D17" i="12"/>
  <c r="D16" i="12"/>
  <c r="T65" i="11"/>
  <c r="Q64" i="11"/>
  <c r="L63" i="11"/>
  <c r="J62" i="11"/>
  <c r="K58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K1" i="11"/>
  <c r="L1" i="11" s="1"/>
  <c r="M1" i="11" s="1"/>
  <c r="N1" i="11" s="1"/>
  <c r="O1" i="11" s="1"/>
  <c r="P1" i="11" s="1"/>
  <c r="Q1" i="11" s="1"/>
  <c r="R1" i="11" s="1"/>
  <c r="S1" i="11" s="1"/>
  <c r="T1" i="11" s="1"/>
  <c r="U1" i="11" s="1"/>
  <c r="V1" i="11" s="1"/>
  <c r="F128" i="10"/>
  <c r="E128" i="10"/>
  <c r="D128" i="10"/>
  <c r="C128" i="10"/>
  <c r="F126" i="10"/>
  <c r="E126" i="10"/>
  <c r="D126" i="10"/>
  <c r="C126" i="10"/>
  <c r="D111" i="10"/>
  <c r="D112" i="10" s="1"/>
  <c r="D113" i="10" s="1"/>
  <c r="D102" i="10"/>
  <c r="D103" i="10" s="1"/>
  <c r="D104" i="10" s="1"/>
  <c r="D88" i="10"/>
  <c r="D89" i="10" s="1"/>
  <c r="D90" i="10" s="1"/>
  <c r="G74" i="10"/>
  <c r="G75" i="10" s="1"/>
  <c r="G76" i="10" s="1"/>
  <c r="D74" i="10"/>
  <c r="D75" i="10" s="1"/>
  <c r="D76" i="10" s="1"/>
  <c r="G65" i="10"/>
  <c r="G66" i="10" s="1"/>
  <c r="G67" i="10" s="1"/>
  <c r="D65" i="10"/>
  <c r="D66" i="10" s="1"/>
  <c r="G49" i="10"/>
  <c r="D49" i="10"/>
  <c r="D50" i="10" s="1"/>
  <c r="G40" i="10"/>
  <c r="G41" i="10" s="1"/>
  <c r="D40" i="10"/>
  <c r="D41" i="10" s="1"/>
  <c r="D42" i="10" s="1"/>
  <c r="D30" i="10"/>
  <c r="D31" i="10" s="1"/>
  <c r="D25" i="10"/>
  <c r="D16" i="10"/>
  <c r="D17" i="10" s="1"/>
  <c r="E15" i="10"/>
  <c r="E14" i="10"/>
  <c r="G7" i="9"/>
  <c r="H7" i="9" s="1"/>
  <c r="I7" i="9" s="1"/>
  <c r="J7" i="9" s="1"/>
  <c r="K7" i="9" s="1"/>
  <c r="L7" i="9" s="1"/>
  <c r="G6" i="9"/>
  <c r="H6" i="9" s="1"/>
  <c r="I6" i="9" s="1"/>
  <c r="J6" i="9" s="1"/>
  <c r="K6" i="9" s="1"/>
  <c r="L6" i="9" s="1"/>
  <c r="J68" i="8"/>
  <c r="H50" i="8"/>
  <c r="F50" i="8"/>
  <c r="D46" i="8"/>
  <c r="D27" i="8"/>
  <c r="B22" i="6"/>
  <c r="B21" i="6"/>
  <c r="B18" i="6"/>
  <c r="B17" i="6"/>
  <c r="B16" i="6"/>
  <c r="B15" i="6"/>
  <c r="B12" i="6"/>
  <c r="B11" i="6"/>
  <c r="B10" i="6"/>
  <c r="B9" i="6"/>
  <c r="J80" i="8" s="1"/>
  <c r="B8" i="6"/>
  <c r="K46" i="19"/>
  <c r="I57" i="19"/>
  <c r="M41" i="19"/>
  <c r="N41" i="19"/>
  <c r="Q225" i="24" l="1"/>
  <c r="P225" i="24"/>
  <c r="N225" i="24"/>
  <c r="V225" i="24"/>
  <c r="BV219" i="17"/>
  <c r="O225" i="24"/>
  <c r="U225" i="24"/>
  <c r="U48" i="25"/>
  <c r="M225" i="24"/>
  <c r="BV33" i="17"/>
  <c r="BV81" i="17"/>
  <c r="BV99" i="17"/>
  <c r="BV117" i="17"/>
  <c r="BV129" i="17"/>
  <c r="BV165" i="17"/>
  <c r="BV201" i="17"/>
  <c r="BV225" i="17"/>
  <c r="BV231" i="17"/>
  <c r="BV243" i="17"/>
  <c r="BV255" i="17"/>
  <c r="BV267" i="17"/>
  <c r="BV291" i="17"/>
  <c r="BV309" i="17"/>
  <c r="BV315" i="17"/>
  <c r="L225" i="24"/>
  <c r="S225" i="24"/>
  <c r="E14" i="14"/>
  <c r="O174" i="24"/>
  <c r="U229" i="24"/>
  <c r="BV44" i="17"/>
  <c r="BV30" i="17"/>
  <c r="BV198" i="17"/>
  <c r="BV258" i="17"/>
  <c r="BV270" i="17"/>
  <c r="BV276" i="17"/>
  <c r="BV282" i="17"/>
  <c r="BV288" i="17"/>
  <c r="BV312" i="17"/>
  <c r="BV318" i="17"/>
  <c r="BV324" i="17"/>
  <c r="BV330" i="17"/>
  <c r="L9" i="21"/>
  <c r="N132" i="24"/>
  <c r="BV169" i="17"/>
  <c r="BV211" i="17"/>
  <c r="BV223" i="17"/>
  <c r="BV259" i="17"/>
  <c r="BV307" i="17"/>
  <c r="BV313" i="17"/>
  <c r="BV337" i="17"/>
  <c r="J12" i="21"/>
  <c r="O132" i="24"/>
  <c r="U132" i="24"/>
  <c r="U201" i="24" s="1"/>
  <c r="M174" i="24"/>
  <c r="R174" i="24"/>
  <c r="BV70" i="17"/>
  <c r="BV82" i="17"/>
  <c r="BV118" i="17"/>
  <c r="BV130" i="17"/>
  <c r="BV166" i="17"/>
  <c r="BV190" i="17"/>
  <c r="T225" i="24"/>
  <c r="BV209" i="17"/>
  <c r="BV257" i="17"/>
  <c r="BV323" i="17"/>
  <c r="BV341" i="17"/>
  <c r="L12" i="22"/>
  <c r="R44" i="25"/>
  <c r="BV218" i="17"/>
  <c r="BV290" i="17"/>
  <c r="Q139" i="24"/>
  <c r="T26" i="25"/>
  <c r="R139" i="24"/>
  <c r="S27" i="25"/>
  <c r="U139" i="24"/>
  <c r="T28" i="25"/>
  <c r="T29" i="25"/>
  <c r="K63" i="11"/>
  <c r="N115" i="24"/>
  <c r="T30" i="25"/>
  <c r="BV329" i="17"/>
  <c r="BV335" i="17"/>
  <c r="G50" i="8"/>
  <c r="J9" i="22"/>
  <c r="Q83" i="25"/>
  <c r="Q90" i="25" s="1"/>
  <c r="R138" i="24"/>
  <c r="K9" i="22"/>
  <c r="L9" i="22"/>
  <c r="R245" i="24"/>
  <c r="P10" i="18"/>
  <c r="P15" i="18" s="1"/>
  <c r="M14" i="21"/>
  <c r="M15" i="21" s="1"/>
  <c r="M16" i="21" s="1"/>
  <c r="M17" i="21" s="1"/>
  <c r="M128" i="24"/>
  <c r="U185" i="24"/>
  <c r="V245" i="24"/>
  <c r="T58" i="11"/>
  <c r="T59" i="11" s="1"/>
  <c r="BV143" i="17"/>
  <c r="Q10" i="18"/>
  <c r="Q15" i="18" s="1"/>
  <c r="N128" i="24"/>
  <c r="BV171" i="17"/>
  <c r="P58" i="11"/>
  <c r="P59" i="11" s="1"/>
  <c r="BV114" i="17"/>
  <c r="BV150" i="17"/>
  <c r="BV156" i="17"/>
  <c r="BV179" i="17"/>
  <c r="R10" i="18"/>
  <c r="R15" i="18" s="1"/>
  <c r="I23" i="19"/>
  <c r="I26" i="19" s="1"/>
  <c r="I27" i="19" s="1"/>
  <c r="R128" i="24"/>
  <c r="S45" i="25"/>
  <c r="R81" i="25"/>
  <c r="R88" i="25" s="1"/>
  <c r="U245" i="24"/>
  <c r="BV18" i="17"/>
  <c r="U10" i="18"/>
  <c r="U15" i="18" s="1"/>
  <c r="V128" i="24"/>
  <c r="N44" i="25"/>
  <c r="BV55" i="17"/>
  <c r="BV67" i="17"/>
  <c r="BV73" i="17"/>
  <c r="BV79" i="17"/>
  <c r="BV85" i="17"/>
  <c r="BV91" i="17"/>
  <c r="BV115" i="17"/>
  <c r="BV121" i="17"/>
  <c r="BV151" i="17"/>
  <c r="BV157" i="17"/>
  <c r="R11" i="24"/>
  <c r="R12" i="24" s="1"/>
  <c r="M159" i="24"/>
  <c r="M44" i="25"/>
  <c r="R159" i="24"/>
  <c r="L58" i="11"/>
  <c r="L59" i="11" s="1"/>
  <c r="R58" i="11"/>
  <c r="R59" i="11" s="1"/>
  <c r="BV50" i="17"/>
  <c r="BV98" i="17"/>
  <c r="BV128" i="17"/>
  <c r="BV134" i="17"/>
  <c r="BV140" i="17"/>
  <c r="S159" i="24"/>
  <c r="T221" i="24"/>
  <c r="L239" i="24"/>
  <c r="K59" i="11"/>
  <c r="BV170" i="17"/>
  <c r="BV194" i="17"/>
  <c r="V159" i="24"/>
  <c r="T229" i="24"/>
  <c r="S124" i="24"/>
  <c r="M144" i="24"/>
  <c r="M151" i="24"/>
  <c r="O156" i="24"/>
  <c r="T184" i="24"/>
  <c r="O229" i="24"/>
  <c r="S29" i="25"/>
  <c r="BV78" i="17"/>
  <c r="BV26" i="17"/>
  <c r="O138" i="24"/>
  <c r="O144" i="24"/>
  <c r="Q151" i="24"/>
  <c r="P156" i="24"/>
  <c r="M124" i="24"/>
  <c r="M170" i="24"/>
  <c r="M184" i="24"/>
  <c r="BV7" i="17"/>
  <c r="N170" i="24"/>
  <c r="Q184" i="24"/>
  <c r="BV49" i="17"/>
  <c r="N62" i="11"/>
  <c r="BV230" i="17"/>
  <c r="BV242" i="17"/>
  <c r="BV254" i="17"/>
  <c r="BV266" i="17"/>
  <c r="K23" i="19"/>
  <c r="K24" i="19" s="1"/>
  <c r="U125" i="24"/>
  <c r="P138" i="24"/>
  <c r="P144" i="24"/>
  <c r="S151" i="24"/>
  <c r="T156" i="24"/>
  <c r="O161" i="24"/>
  <c r="N185" i="24"/>
  <c r="P229" i="24"/>
  <c r="R83" i="25"/>
  <c r="R90" i="25" s="1"/>
  <c r="S79" i="25"/>
  <c r="S86" i="25" s="1"/>
  <c r="L62" i="11"/>
  <c r="O62" i="11"/>
  <c r="BV69" i="17"/>
  <c r="BV302" i="17"/>
  <c r="BV314" i="17"/>
  <c r="BV320" i="17"/>
  <c r="BV338" i="17"/>
  <c r="V125" i="24"/>
  <c r="Q138" i="24"/>
  <c r="S144" i="24"/>
  <c r="T151" i="24"/>
  <c r="U156" i="24"/>
  <c r="P185" i="24"/>
  <c r="N239" i="24"/>
  <c r="N124" i="24"/>
  <c r="O124" i="24"/>
  <c r="R184" i="24"/>
  <c r="K11" i="18"/>
  <c r="N8" i="19"/>
  <c r="N9" i="19" s="1"/>
  <c r="N23" i="19"/>
  <c r="N26" i="19" s="1"/>
  <c r="N27" i="19" s="1"/>
  <c r="V138" i="24"/>
  <c r="U157" i="24"/>
  <c r="L221" i="24"/>
  <c r="Q45" i="25"/>
  <c r="L156" i="24"/>
  <c r="Q62" i="11"/>
  <c r="R225" i="24"/>
  <c r="L79" i="25"/>
  <c r="L86" i="25" s="1"/>
  <c r="M58" i="11"/>
  <c r="M59" i="11" s="1"/>
  <c r="T62" i="11"/>
  <c r="N58" i="11"/>
  <c r="N59" i="11" s="1"/>
  <c r="U62" i="11"/>
  <c r="E13" i="14"/>
  <c r="BV29" i="17"/>
  <c r="BV53" i="17"/>
  <c r="BV77" i="17"/>
  <c r="BV83" i="17"/>
  <c r="BV89" i="17"/>
  <c r="BV95" i="17"/>
  <c r="BV101" i="17"/>
  <c r="BV149" i="17"/>
  <c r="BV161" i="17"/>
  <c r="BV196" i="17"/>
  <c r="BV202" i="17"/>
  <c r="BV214" i="17"/>
  <c r="BV279" i="17"/>
  <c r="BV333" i="17"/>
  <c r="U244" i="24"/>
  <c r="K82" i="25"/>
  <c r="K89" i="25" s="1"/>
  <c r="O239" i="24"/>
  <c r="O58" i="11"/>
  <c r="O59" i="11" s="1"/>
  <c r="BV12" i="17"/>
  <c r="BV310" i="17"/>
  <c r="BV322" i="17"/>
  <c r="I11" i="20"/>
  <c r="I14" i="20" s="1"/>
  <c r="I15" i="20" s="1"/>
  <c r="I16" i="20" s="1"/>
  <c r="I17" i="20" s="1"/>
  <c r="U47" i="25"/>
  <c r="Q229" i="24"/>
  <c r="BV3" i="17"/>
  <c r="BV31" i="17"/>
  <c r="BV43" i="17"/>
  <c r="BV54" i="17"/>
  <c r="BV60" i="17"/>
  <c r="BV66" i="17"/>
  <c r="R125" i="24"/>
  <c r="U130" i="24"/>
  <c r="V179" i="24"/>
  <c r="J81" i="25"/>
  <c r="J88" i="25" s="1"/>
  <c r="I82" i="25"/>
  <c r="I89" i="25" s="1"/>
  <c r="U82" i="25"/>
  <c r="U89" i="25" s="1"/>
  <c r="T83" i="25"/>
  <c r="T90" i="25" s="1"/>
  <c r="M45" i="25"/>
  <c r="BV84" i="17"/>
  <c r="BV90" i="17"/>
  <c r="BV96" i="17"/>
  <c r="BV125" i="17"/>
  <c r="BV131" i="17"/>
  <c r="BV137" i="17"/>
  <c r="BV154" i="17"/>
  <c r="BV160" i="17"/>
  <c r="BV247" i="17"/>
  <c r="BV293" i="17"/>
  <c r="BV299" i="17"/>
  <c r="BV305" i="17"/>
  <c r="BV328" i="17"/>
  <c r="L124" i="24"/>
  <c r="S125" i="24"/>
  <c r="O128" i="24"/>
  <c r="V130" i="24"/>
  <c r="N138" i="24"/>
  <c r="M156" i="24"/>
  <c r="Q159" i="24"/>
  <c r="N174" i="24"/>
  <c r="P239" i="24"/>
  <c r="S245" i="24"/>
  <c r="M79" i="25"/>
  <c r="M86" i="25" s="1"/>
  <c r="J82" i="25"/>
  <c r="J89" i="25" s="1"/>
  <c r="I29" i="25"/>
  <c r="N65" i="11"/>
  <c r="S92" i="14"/>
  <c r="U65" i="11"/>
  <c r="BV27" i="17"/>
  <c r="S107" i="24"/>
  <c r="U107" i="24"/>
  <c r="O131" i="24"/>
  <c r="L134" i="24"/>
  <c r="M171" i="24"/>
  <c r="BV207" i="17"/>
  <c r="M122" i="24"/>
  <c r="P131" i="24"/>
  <c r="BV109" i="17"/>
  <c r="BV271" i="17"/>
  <c r="N122" i="24"/>
  <c r="L126" i="24"/>
  <c r="S131" i="24"/>
  <c r="O143" i="24"/>
  <c r="M167" i="24"/>
  <c r="O171" i="24"/>
  <c r="L175" i="24"/>
  <c r="O178" i="24"/>
  <c r="N181" i="24"/>
  <c r="S246" i="24"/>
  <c r="Q19" i="25"/>
  <c r="N82" i="25"/>
  <c r="N89" i="25" s="1"/>
  <c r="M83" i="25"/>
  <c r="M90" i="25" s="1"/>
  <c r="U26" i="25"/>
  <c r="I30" i="25"/>
  <c r="Q58" i="11"/>
  <c r="Q59" i="11" s="1"/>
  <c r="V62" i="11"/>
  <c r="V65" i="11"/>
  <c r="Y92" i="14"/>
  <c r="BV6" i="17"/>
  <c r="BV17" i="17"/>
  <c r="BV23" i="17"/>
  <c r="BV46" i="17"/>
  <c r="BV57" i="17"/>
  <c r="BV63" i="17"/>
  <c r="BV127" i="17"/>
  <c r="BV139" i="17"/>
  <c r="BV162" i="17"/>
  <c r="BV185" i="17"/>
  <c r="BV220" i="17"/>
  <c r="BV226" i="17"/>
  <c r="BV325" i="17"/>
  <c r="BV342" i="17"/>
  <c r="R115" i="24"/>
  <c r="O122" i="24"/>
  <c r="T124" i="24"/>
  <c r="R126" i="24"/>
  <c r="L130" i="24"/>
  <c r="T131" i="24"/>
  <c r="L135" i="24"/>
  <c r="S138" i="24"/>
  <c r="T143" i="24"/>
  <c r="V156" i="24"/>
  <c r="L160" i="24"/>
  <c r="U167" i="24"/>
  <c r="P171" i="24"/>
  <c r="M175" i="24"/>
  <c r="P178" i="24"/>
  <c r="O181" i="24"/>
  <c r="U246" i="24"/>
  <c r="O82" i="25"/>
  <c r="O89" i="25" s="1"/>
  <c r="N83" i="25"/>
  <c r="N90" i="25" s="1"/>
  <c r="I27" i="25"/>
  <c r="S48" i="25"/>
  <c r="O221" i="24"/>
  <c r="BV97" i="17"/>
  <c r="P18" i="24"/>
  <c r="P19" i="24" s="1"/>
  <c r="R122" i="24"/>
  <c r="U124" i="24"/>
  <c r="S126" i="24"/>
  <c r="M130" i="24"/>
  <c r="V131" i="24"/>
  <c r="R135" i="24"/>
  <c r="T138" i="24"/>
  <c r="V143" i="24"/>
  <c r="M160" i="24"/>
  <c r="V167" i="24"/>
  <c r="V171" i="24"/>
  <c r="P175" i="24"/>
  <c r="Q178" i="24"/>
  <c r="T181" i="24"/>
  <c r="V246" i="24"/>
  <c r="P82" i="25"/>
  <c r="P89" i="25" s="1"/>
  <c r="O83" i="25"/>
  <c r="O90" i="25" s="1"/>
  <c r="K27" i="25"/>
  <c r="U30" i="25"/>
  <c r="N171" i="24"/>
  <c r="M178" i="24"/>
  <c r="M181" i="24"/>
  <c r="BV5" i="17"/>
  <c r="S58" i="11"/>
  <c r="S59" i="11" s="1"/>
  <c r="J63" i="11"/>
  <c r="I39" i="16"/>
  <c r="I40" i="16" s="1"/>
  <c r="BV35" i="17"/>
  <c r="BV41" i="17"/>
  <c r="BV58" i="17"/>
  <c r="BV75" i="17"/>
  <c r="BV122" i="17"/>
  <c r="BV180" i="17"/>
  <c r="BV192" i="17"/>
  <c r="BV233" i="17"/>
  <c r="BV326" i="17"/>
  <c r="BV332" i="17"/>
  <c r="K20" i="18"/>
  <c r="K21" i="18" s="1"/>
  <c r="V122" i="24"/>
  <c r="V124" i="24"/>
  <c r="N130" i="24"/>
  <c r="S135" i="24"/>
  <c r="U138" i="24"/>
  <c r="O160" i="24"/>
  <c r="Q175" i="24"/>
  <c r="V178" i="24"/>
  <c r="O185" i="24"/>
  <c r="V229" i="24"/>
  <c r="S244" i="24"/>
  <c r="Q82" i="25"/>
  <c r="Q89" i="25" s="1"/>
  <c r="P83" i="25"/>
  <c r="P90" i="25" s="1"/>
  <c r="K65" i="11"/>
  <c r="Q65" i="11"/>
  <c r="BV306" i="17"/>
  <c r="Q160" i="24"/>
  <c r="R175" i="24"/>
  <c r="Q81" i="25"/>
  <c r="Q88" i="25" s="1"/>
  <c r="T63" i="11"/>
  <c r="Q92" i="14"/>
  <c r="BV13" i="17"/>
  <c r="BV19" i="17"/>
  <c r="BV25" i="17"/>
  <c r="BV59" i="17"/>
  <c r="BV65" i="17"/>
  <c r="BV106" i="17"/>
  <c r="BV112" i="17"/>
  <c r="BV135" i="17"/>
  <c r="BV175" i="17"/>
  <c r="BV187" i="17"/>
  <c r="BV193" i="17"/>
  <c r="BV210" i="17"/>
  <c r="BV222" i="17"/>
  <c r="BV228" i="17"/>
  <c r="BV240" i="17"/>
  <c r="BV303" i="17"/>
  <c r="BV327" i="17"/>
  <c r="I8" i="19"/>
  <c r="I9" i="19" s="1"/>
  <c r="R123" i="24"/>
  <c r="N125" i="24"/>
  <c r="S130" i="24"/>
  <c r="S160" i="24"/>
  <c r="N179" i="24"/>
  <c r="V221" i="24"/>
  <c r="L229" i="24"/>
  <c r="V244" i="24"/>
  <c r="T81" i="25"/>
  <c r="T88" i="25" s="1"/>
  <c r="S82" i="25"/>
  <c r="S89" i="25" s="1"/>
  <c r="O130" i="24"/>
  <c r="V63" i="11"/>
  <c r="I9" i="21"/>
  <c r="V115" i="24"/>
  <c r="O125" i="24"/>
  <c r="T130" i="24"/>
  <c r="K79" i="25"/>
  <c r="K86" i="25" s="1"/>
  <c r="I81" i="25"/>
  <c r="I88" i="25" s="1"/>
  <c r="U81" i="25"/>
  <c r="U88" i="25" s="1"/>
  <c r="T82" i="25"/>
  <c r="T89" i="25" s="1"/>
  <c r="S83" i="25"/>
  <c r="S90" i="25" s="1"/>
  <c r="U27" i="25"/>
  <c r="Q121" i="24"/>
  <c r="S121" i="24"/>
  <c r="R121" i="24"/>
  <c r="O121" i="24"/>
  <c r="Q173" i="24"/>
  <c r="P173" i="24"/>
  <c r="M173" i="24"/>
  <c r="J64" i="11"/>
  <c r="P65" i="11"/>
  <c r="BV87" i="17"/>
  <c r="BV177" i="17"/>
  <c r="BV206" i="17"/>
  <c r="BV234" i="17"/>
  <c r="BV286" i="17"/>
  <c r="BV297" i="17"/>
  <c r="M9" i="22"/>
  <c r="M11" i="22"/>
  <c r="M12" i="22" s="1"/>
  <c r="M19" i="24"/>
  <c r="L121" i="24"/>
  <c r="Q123" i="24"/>
  <c r="V123" i="24"/>
  <c r="U123" i="24"/>
  <c r="N123" i="24"/>
  <c r="M123" i="24"/>
  <c r="U145" i="24"/>
  <c r="T145" i="24"/>
  <c r="T149" i="24"/>
  <c r="P149" i="24"/>
  <c r="O149" i="24"/>
  <c r="M149" i="24"/>
  <c r="L173" i="24"/>
  <c r="O46" i="25"/>
  <c r="O74" i="25"/>
  <c r="O81" i="25" s="1"/>
  <c r="O88" i="25" s="1"/>
  <c r="L30" i="25"/>
  <c r="L28" i="25"/>
  <c r="P48" i="25"/>
  <c r="Q48" i="25"/>
  <c r="J48" i="25"/>
  <c r="K64" i="11"/>
  <c r="M9" i="20"/>
  <c r="M11" i="20"/>
  <c r="M14" i="20" s="1"/>
  <c r="J9" i="21"/>
  <c r="O107" i="24"/>
  <c r="S115" i="24"/>
  <c r="M121" i="24"/>
  <c r="L123" i="24"/>
  <c r="T132" i="24"/>
  <c r="Q132" i="24"/>
  <c r="P132" i="24"/>
  <c r="O145" i="24"/>
  <c r="L149" i="24"/>
  <c r="R173" i="24"/>
  <c r="M221" i="24"/>
  <c r="N221" i="24"/>
  <c r="M229" i="24"/>
  <c r="P46" i="25"/>
  <c r="Q44" i="25"/>
  <c r="I48" i="25"/>
  <c r="L64" i="11"/>
  <c r="S65" i="11"/>
  <c r="P92" i="14"/>
  <c r="AA92" i="14"/>
  <c r="BV11" i="17"/>
  <c r="BV22" i="17"/>
  <c r="BV32" i="17"/>
  <c r="BV38" i="17"/>
  <c r="BV133" i="17"/>
  <c r="BV144" i="17"/>
  <c r="BV172" i="17"/>
  <c r="BV178" i="17"/>
  <c r="BV183" i="17"/>
  <c r="BV195" i="17"/>
  <c r="BV264" i="17"/>
  <c r="BV269" i="17"/>
  <c r="BV275" i="17"/>
  <c r="BV281" i="17"/>
  <c r="BV287" i="17"/>
  <c r="BV292" i="17"/>
  <c r="BV298" i="17"/>
  <c r="N9" i="20"/>
  <c r="N11" i="20"/>
  <c r="N121" i="24"/>
  <c r="O123" i="24"/>
  <c r="Q145" i="24"/>
  <c r="S149" i="24"/>
  <c r="T173" i="24"/>
  <c r="Q179" i="24"/>
  <c r="P179" i="24"/>
  <c r="Q46" i="25"/>
  <c r="R29" i="25"/>
  <c r="R48" i="25"/>
  <c r="BV123" i="17"/>
  <c r="BV145" i="17"/>
  <c r="L115" i="24"/>
  <c r="V121" i="24"/>
  <c r="T123" i="24"/>
  <c r="M127" i="24"/>
  <c r="M162" i="24"/>
  <c r="O168" i="24"/>
  <c r="J72" i="25"/>
  <c r="J79" i="25" s="1"/>
  <c r="J86" i="25" s="1"/>
  <c r="J19" i="25"/>
  <c r="Q28" i="25"/>
  <c r="Q30" i="25"/>
  <c r="U121" i="24"/>
  <c r="L127" i="24"/>
  <c r="Q129" i="24"/>
  <c r="V129" i="24"/>
  <c r="U129" i="24"/>
  <c r="N129" i="24"/>
  <c r="M129" i="24"/>
  <c r="M137" i="24"/>
  <c r="R137" i="24"/>
  <c r="Q137" i="24"/>
  <c r="P137" i="24"/>
  <c r="V137" i="24"/>
  <c r="V146" i="24"/>
  <c r="U146" i="24"/>
  <c r="Q146" i="24"/>
  <c r="P146" i="24"/>
  <c r="N150" i="24"/>
  <c r="U150" i="24"/>
  <c r="T150" i="24"/>
  <c r="S150" i="24"/>
  <c r="M150" i="24"/>
  <c r="L150" i="24"/>
  <c r="L162" i="24"/>
  <c r="N168" i="24"/>
  <c r="P29" i="25"/>
  <c r="P30" i="25"/>
  <c r="N63" i="11"/>
  <c r="T64" i="11"/>
  <c r="R92" i="14"/>
  <c r="AE92" i="14"/>
  <c r="E16" i="10"/>
  <c r="E17" i="10" s="1"/>
  <c r="K62" i="11"/>
  <c r="O63" i="11"/>
  <c r="U64" i="11"/>
  <c r="D15" i="14"/>
  <c r="J86" i="14"/>
  <c r="N86" i="14" s="1"/>
  <c r="R86" i="14" s="1"/>
  <c r="V86" i="14" s="1"/>
  <c r="Z86" i="14" s="1"/>
  <c r="AD86" i="14" s="1"/>
  <c r="AH86" i="14" s="1"/>
  <c r="BV51" i="17"/>
  <c r="BV62" i="17"/>
  <c r="BV68" i="17"/>
  <c r="BV107" i="17"/>
  <c r="BV113" i="17"/>
  <c r="BV163" i="17"/>
  <c r="BV174" i="17"/>
  <c r="BV197" i="17"/>
  <c r="BV203" i="17"/>
  <c r="BV334" i="17"/>
  <c r="BV340" i="17"/>
  <c r="J8" i="19"/>
  <c r="J11" i="19" s="1"/>
  <c r="Q120" i="24"/>
  <c r="O120" i="24"/>
  <c r="N120" i="24"/>
  <c r="M120" i="24"/>
  <c r="V120" i="24"/>
  <c r="U120" i="24"/>
  <c r="N127" i="24"/>
  <c r="O129" i="24"/>
  <c r="N137" i="24"/>
  <c r="O146" i="24"/>
  <c r="P150" i="24"/>
  <c r="S153" i="24"/>
  <c r="R153" i="24"/>
  <c r="P153" i="24"/>
  <c r="R162" i="24"/>
  <c r="T168" i="24"/>
  <c r="R180" i="24"/>
  <c r="Q180" i="24"/>
  <c r="M180" i="24"/>
  <c r="Q183" i="24"/>
  <c r="P183" i="24"/>
  <c r="R30" i="25"/>
  <c r="T46" i="25"/>
  <c r="J46" i="25"/>
  <c r="I46" i="25"/>
  <c r="S63" i="11"/>
  <c r="V64" i="11"/>
  <c r="U92" i="14"/>
  <c r="AG92" i="14"/>
  <c r="I92" i="14"/>
  <c r="K16" i="18"/>
  <c r="L7" i="18"/>
  <c r="L15" i="18"/>
  <c r="Q19" i="24"/>
  <c r="T127" i="24"/>
  <c r="R129" i="24"/>
  <c r="O137" i="24"/>
  <c r="R147" i="24"/>
  <c r="P147" i="24"/>
  <c r="Q150" i="24"/>
  <c r="S162" i="24"/>
  <c r="P172" i="24"/>
  <c r="O172" i="24"/>
  <c r="Q239" i="24"/>
  <c r="R239" i="24"/>
  <c r="S30" i="25"/>
  <c r="K46" i="25"/>
  <c r="X92" i="14"/>
  <c r="D16" i="14"/>
  <c r="BV74" i="17"/>
  <c r="BV147" i="17"/>
  <c r="BV158" i="17"/>
  <c r="BV186" i="17"/>
  <c r="BV244" i="17"/>
  <c r="BV250" i="17"/>
  <c r="BV278" i="17"/>
  <c r="BV295" i="17"/>
  <c r="BV301" i="17"/>
  <c r="L8" i="19"/>
  <c r="L9" i="19" s="1"/>
  <c r="I9" i="22"/>
  <c r="I11" i="22"/>
  <c r="I12" i="22" s="1"/>
  <c r="N19" i="24"/>
  <c r="R18" i="24"/>
  <c r="R19" i="24" s="1"/>
  <c r="T107" i="24"/>
  <c r="Q107" i="24"/>
  <c r="M115" i="24"/>
  <c r="R120" i="24"/>
  <c r="U127" i="24"/>
  <c r="S129" i="24"/>
  <c r="S137" i="24"/>
  <c r="L147" i="24"/>
  <c r="R150" i="24"/>
  <c r="T153" i="24"/>
  <c r="N172" i="24"/>
  <c r="T180" i="24"/>
  <c r="U183" i="24"/>
  <c r="S229" i="24"/>
  <c r="K81" i="25"/>
  <c r="K88" i="25" s="1"/>
  <c r="I83" i="25"/>
  <c r="I90" i="25" s="1"/>
  <c r="U83" i="25"/>
  <c r="U90" i="25" s="1"/>
  <c r="R28" i="25"/>
  <c r="L46" i="25"/>
  <c r="L83" i="25"/>
  <c r="L90" i="25" s="1"/>
  <c r="P64" i="11"/>
  <c r="S64" i="11"/>
  <c r="AD92" i="14"/>
  <c r="U63" i="11"/>
  <c r="J65" i="11"/>
  <c r="I107" i="16"/>
  <c r="BV14" i="17"/>
  <c r="BV47" i="17"/>
  <c r="BV86" i="17"/>
  <c r="BV142" i="17"/>
  <c r="BV153" i="17"/>
  <c r="BV159" i="17"/>
  <c r="V10" i="18"/>
  <c r="V15" i="18" s="1"/>
  <c r="O10" i="18"/>
  <c r="O15" i="18" s="1"/>
  <c r="N10" i="18"/>
  <c r="N15" i="18" s="1"/>
  <c r="M10" i="18"/>
  <c r="M15" i="18" s="1"/>
  <c r="T10" i="18"/>
  <c r="T15" i="18" s="1"/>
  <c r="S10" i="18"/>
  <c r="S15" i="18" s="1"/>
  <c r="J15" i="22"/>
  <c r="J16" i="22" s="1"/>
  <c r="J17" i="22" s="1"/>
  <c r="S120" i="24"/>
  <c r="T129" i="24"/>
  <c r="T137" i="24"/>
  <c r="V139" i="24"/>
  <c r="P139" i="24"/>
  <c r="O139" i="24"/>
  <c r="M147" i="24"/>
  <c r="V150" i="24"/>
  <c r="V153" i="24"/>
  <c r="V157" i="24"/>
  <c r="P157" i="24"/>
  <c r="O157" i="24"/>
  <c r="M157" i="24"/>
  <c r="Q172" i="24"/>
  <c r="S175" i="24"/>
  <c r="V175" i="24"/>
  <c r="U175" i="24"/>
  <c r="O175" i="24"/>
  <c r="N175" i="24"/>
  <c r="U180" i="24"/>
  <c r="P184" i="24"/>
  <c r="O184" i="24"/>
  <c r="N184" i="24"/>
  <c r="V184" i="24"/>
  <c r="U221" i="24"/>
  <c r="S28" i="25"/>
  <c r="U46" i="25"/>
  <c r="L15" i="21"/>
  <c r="L16" i="21" s="1"/>
  <c r="L17" i="21" s="1"/>
  <c r="Q127" i="24"/>
  <c r="S127" i="24"/>
  <c r="R127" i="24"/>
  <c r="O127" i="24"/>
  <c r="N162" i="24"/>
  <c r="Q162" i="24"/>
  <c r="P162" i="24"/>
  <c r="O162" i="24"/>
  <c r="V162" i="24"/>
  <c r="U162" i="24"/>
  <c r="V168" i="24"/>
  <c r="M168" i="24"/>
  <c r="L168" i="24"/>
  <c r="BV9" i="17"/>
  <c r="BV15" i="17"/>
  <c r="BV20" i="17"/>
  <c r="BV42" i="17"/>
  <c r="BV103" i="17"/>
  <c r="BV120" i="17"/>
  <c r="BV126" i="17"/>
  <c r="BV245" i="17"/>
  <c r="BV251" i="17"/>
  <c r="BV262" i="17"/>
  <c r="BV273" i="17"/>
  <c r="BV336" i="17"/>
  <c r="K10" i="18"/>
  <c r="N12" i="24"/>
  <c r="S11" i="24"/>
  <c r="S12" i="24" s="1"/>
  <c r="T120" i="24"/>
  <c r="Q126" i="24"/>
  <c r="O126" i="24"/>
  <c r="N126" i="24"/>
  <c r="M126" i="24"/>
  <c r="V126" i="24"/>
  <c r="U126" i="24"/>
  <c r="Q135" i="24"/>
  <c r="O135" i="24"/>
  <c r="N135" i="24"/>
  <c r="U137" i="24"/>
  <c r="N151" i="24"/>
  <c r="V151" i="24"/>
  <c r="U151" i="24"/>
  <c r="P151" i="24"/>
  <c r="O151" i="24"/>
  <c r="T167" i="24"/>
  <c r="R167" i="24"/>
  <c r="Q167" i="24"/>
  <c r="V172" i="24"/>
  <c r="V180" i="24"/>
  <c r="V239" i="24"/>
  <c r="L26" i="25"/>
  <c r="T47" i="25"/>
  <c r="S47" i="25"/>
  <c r="I47" i="25"/>
  <c r="T115" i="24"/>
  <c r="T19" i="25"/>
  <c r="R46" i="25"/>
  <c r="N92" i="14"/>
  <c r="BV10" i="17"/>
  <c r="BV16" i="17"/>
  <c r="BV21" i="17"/>
  <c r="BV37" i="17"/>
  <c r="BV48" i="17"/>
  <c r="BV80" i="17"/>
  <c r="BV102" i="17"/>
  <c r="BV108" i="17"/>
  <c r="BV146" i="17"/>
  <c r="BV168" i="17"/>
  <c r="BV173" i="17"/>
  <c r="BV235" i="17"/>
  <c r="BV246" i="17"/>
  <c r="BV252" i="17"/>
  <c r="BV263" i="17"/>
  <c r="BV268" i="17"/>
  <c r="BV274" i="17"/>
  <c r="L23" i="19"/>
  <c r="L26" i="19" s="1"/>
  <c r="L27" i="19" s="1"/>
  <c r="P107" i="24"/>
  <c r="R107" i="24"/>
  <c r="U115" i="24"/>
  <c r="L122" i="24"/>
  <c r="R124" i="24"/>
  <c r="T125" i="24"/>
  <c r="L128" i="24"/>
  <c r="R130" i="24"/>
  <c r="U131" i="24"/>
  <c r="T136" i="24"/>
  <c r="L144" i="24"/>
  <c r="S156" i="24"/>
  <c r="L171" i="24"/>
  <c r="L174" i="24"/>
  <c r="L178" i="24"/>
  <c r="L181" i="24"/>
  <c r="S239" i="24"/>
  <c r="Q245" i="24"/>
  <c r="I19" i="25"/>
  <c r="U19" i="25"/>
  <c r="S46" i="25"/>
  <c r="L44" i="25"/>
  <c r="BV39" i="17"/>
  <c r="BV110" i="17"/>
  <c r="S122" i="24"/>
  <c r="S128" i="24"/>
  <c r="T144" i="24"/>
  <c r="Q171" i="24"/>
  <c r="T174" i="24"/>
  <c r="R178" i="24"/>
  <c r="U181" i="24"/>
  <c r="N79" i="25"/>
  <c r="N86" i="25" s="1"/>
  <c r="L81" i="25"/>
  <c r="L88" i="25" s="1"/>
  <c r="J83" i="25"/>
  <c r="J90" i="25" s="1"/>
  <c r="J45" i="25"/>
  <c r="BV24" i="17"/>
  <c r="BV34" i="17"/>
  <c r="BV61" i="17"/>
  <c r="BV72" i="17"/>
  <c r="BV94" i="17"/>
  <c r="BV105" i="17"/>
  <c r="BV111" i="17"/>
  <c r="BV132" i="17"/>
  <c r="BV138" i="17"/>
  <c r="BV204" i="17"/>
  <c r="BV238" i="17"/>
  <c r="BV249" i="17"/>
  <c r="BV316" i="17"/>
  <c r="K9" i="20"/>
  <c r="O115" i="24"/>
  <c r="T122" i="24"/>
  <c r="L125" i="24"/>
  <c r="T128" i="24"/>
  <c r="L131" i="24"/>
  <c r="U144" i="24"/>
  <c r="R171" i="24"/>
  <c r="U174" i="24"/>
  <c r="T178" i="24"/>
  <c r="M239" i="24"/>
  <c r="Q244" i="24"/>
  <c r="Q246" i="24"/>
  <c r="K48" i="25"/>
  <c r="K45" i="25"/>
  <c r="S73" i="25"/>
  <c r="S80" i="25" s="1"/>
  <c r="S87" i="25" s="1"/>
  <c r="BV155" i="17"/>
  <c r="BV182" i="17"/>
  <c r="BV188" i="17"/>
  <c r="BV199" i="17"/>
  <c r="BV216" i="17"/>
  <c r="BV221" i="17"/>
  <c r="BV227" i="17"/>
  <c r="BV283" i="17"/>
  <c r="BV294" i="17"/>
  <c r="BV300" i="17"/>
  <c r="BV317" i="17"/>
  <c r="BV339" i="17"/>
  <c r="V107" i="24"/>
  <c r="P115" i="24"/>
  <c r="U122" i="24"/>
  <c r="M125" i="24"/>
  <c r="U128" i="24"/>
  <c r="N131" i="24"/>
  <c r="V144" i="24"/>
  <c r="V174" i="24"/>
  <c r="R221" i="24"/>
  <c r="R244" i="24"/>
  <c r="R246" i="24"/>
  <c r="N46" i="25"/>
  <c r="M82" i="25"/>
  <c r="M89" i="25" s="1"/>
  <c r="I26" i="25"/>
  <c r="L45" i="25"/>
  <c r="G42" i="10"/>
  <c r="G38" i="10" s="1"/>
  <c r="D100" i="10"/>
  <c r="D106" i="10" s="1"/>
  <c r="D51" i="10"/>
  <c r="D47" i="10" s="1"/>
  <c r="D53" i="10" s="1"/>
  <c r="D67" i="10"/>
  <c r="D63" i="10" s="1"/>
  <c r="D109" i="10"/>
  <c r="D115" i="10" s="1"/>
  <c r="S62" i="11"/>
  <c r="R62" i="11"/>
  <c r="Q63" i="11"/>
  <c r="P63" i="11"/>
  <c r="O64" i="11"/>
  <c r="N64" i="11"/>
  <c r="M65" i="11"/>
  <c r="L65" i="11"/>
  <c r="J80" i="14"/>
  <c r="T92" i="14"/>
  <c r="AF92" i="14"/>
  <c r="BV71" i="17"/>
  <c r="BV119" i="17"/>
  <c r="BV167" i="17"/>
  <c r="BV311" i="17"/>
  <c r="H110" i="16"/>
  <c r="J101" i="16"/>
  <c r="I101" i="16"/>
  <c r="I108" i="16"/>
  <c r="BV45" i="17"/>
  <c r="BV93" i="17"/>
  <c r="BV141" i="17"/>
  <c r="BV239" i="17"/>
  <c r="D86" i="10"/>
  <c r="D92" i="10" s="1"/>
  <c r="W92" i="14"/>
  <c r="AI92" i="14"/>
  <c r="M92" i="14"/>
  <c r="AB92" i="14"/>
  <c r="G50" i="10"/>
  <c r="G51" i="10" s="1"/>
  <c r="Z92" i="14"/>
  <c r="D72" i="10"/>
  <c r="D78" i="10" s="1"/>
  <c r="V58" i="11"/>
  <c r="V59" i="11" s="1"/>
  <c r="J58" i="11"/>
  <c r="J59" i="11" s="1"/>
  <c r="U58" i="11"/>
  <c r="U59" i="11" s="1"/>
  <c r="M62" i="11"/>
  <c r="M63" i="11"/>
  <c r="M64" i="11"/>
  <c r="O65" i="11"/>
  <c r="AC92" i="14"/>
  <c r="I103" i="16"/>
  <c r="BV191" i="17"/>
  <c r="H117" i="16"/>
  <c r="BV36" i="17"/>
  <c r="V92" i="14"/>
  <c r="AH92" i="14"/>
  <c r="L92" i="14"/>
  <c r="G72" i="10"/>
  <c r="G78" i="10" s="1"/>
  <c r="O92" i="14"/>
  <c r="I104" i="16"/>
  <c r="G63" i="10"/>
  <c r="P62" i="11"/>
  <c r="R63" i="11"/>
  <c r="R64" i="11"/>
  <c r="R65" i="11"/>
  <c r="K92" i="14"/>
  <c r="J92" i="14"/>
  <c r="BV215" i="17"/>
  <c r="D38" i="10"/>
  <c r="BV92" i="17"/>
  <c r="BV40" i="17"/>
  <c r="BV88" i="17"/>
  <c r="BV136" i="17"/>
  <c r="BV176" i="17"/>
  <c r="BV181" i="17"/>
  <c r="BV200" i="17"/>
  <c r="BV205" i="17"/>
  <c r="BV224" i="17"/>
  <c r="BV229" i="17"/>
  <c r="BV248" i="17"/>
  <c r="BV253" i="17"/>
  <c r="BV272" i="17"/>
  <c r="BV277" i="17"/>
  <c r="BV296" i="17"/>
  <c r="BV321" i="17"/>
  <c r="BV28" i="17"/>
  <c r="BV76" i="17"/>
  <c r="BV124" i="17"/>
  <c r="K9" i="21"/>
  <c r="K11" i="21"/>
  <c r="O12" i="24"/>
  <c r="T11" i="24"/>
  <c r="T12" i="24" s="1"/>
  <c r="I105" i="16"/>
  <c r="I109" i="16"/>
  <c r="BV116" i="17"/>
  <c r="BV164" i="17"/>
  <c r="BV64" i="17"/>
  <c r="BV212" i="17"/>
  <c r="BV217" i="17"/>
  <c r="BV236" i="17"/>
  <c r="BV241" i="17"/>
  <c r="BV260" i="17"/>
  <c r="BV265" i="17"/>
  <c r="BV284" i="17"/>
  <c r="BV289" i="17"/>
  <c r="BV308" i="17"/>
  <c r="O47" i="19"/>
  <c r="N9" i="21"/>
  <c r="N11" i="21"/>
  <c r="I102" i="16"/>
  <c r="I106" i="16"/>
  <c r="BV8" i="17"/>
  <c r="BV56" i="17"/>
  <c r="BV104" i="17"/>
  <c r="BV152" i="17"/>
  <c r="BV184" i="17"/>
  <c r="BV189" i="17"/>
  <c r="BV208" i="17"/>
  <c r="BV213" i="17"/>
  <c r="BV232" i="17"/>
  <c r="BV237" i="17"/>
  <c r="BV256" i="17"/>
  <c r="BV261" i="17"/>
  <c r="BV280" i="17"/>
  <c r="BV285" i="17"/>
  <c r="BV304" i="17"/>
  <c r="K12" i="20"/>
  <c r="K14" i="20"/>
  <c r="U17" i="24"/>
  <c r="V17" i="24"/>
  <c r="U18" i="24"/>
  <c r="V16" i="24"/>
  <c r="U16" i="24"/>
  <c r="S169" i="24"/>
  <c r="Q169" i="24"/>
  <c r="U169" i="24"/>
  <c r="T169" i="24"/>
  <c r="M169" i="24"/>
  <c r="V169" i="24"/>
  <c r="R169" i="24"/>
  <c r="P169" i="24"/>
  <c r="O169" i="24"/>
  <c r="L169" i="24"/>
  <c r="N169" i="24"/>
  <c r="BV4" i="17"/>
  <c r="BV52" i="17"/>
  <c r="BV100" i="17"/>
  <c r="BV148" i="17"/>
  <c r="O52" i="19"/>
  <c r="K8" i="19"/>
  <c r="L12" i="21"/>
  <c r="N145" i="24"/>
  <c r="S145" i="24"/>
  <c r="R145" i="24"/>
  <c r="L145" i="24"/>
  <c r="M145" i="24"/>
  <c r="P145" i="24"/>
  <c r="N147" i="24"/>
  <c r="U147" i="24"/>
  <c r="T147" i="24"/>
  <c r="O147" i="24"/>
  <c r="V147" i="24"/>
  <c r="S147" i="24"/>
  <c r="Q147" i="24"/>
  <c r="S170" i="24"/>
  <c r="R170" i="24"/>
  <c r="V170" i="24"/>
  <c r="O170" i="24"/>
  <c r="T170" i="24"/>
  <c r="L170" i="24"/>
  <c r="M133" i="24"/>
  <c r="T133" i="24"/>
  <c r="S133" i="24"/>
  <c r="N133" i="24"/>
  <c r="Q133" i="24"/>
  <c r="O133" i="24"/>
  <c r="L133" i="24"/>
  <c r="U133" i="24"/>
  <c r="N152" i="24"/>
  <c r="M152" i="24"/>
  <c r="L152" i="24"/>
  <c r="T152" i="24"/>
  <c r="U152" i="24"/>
  <c r="O152" i="24"/>
  <c r="N154" i="24"/>
  <c r="P154" i="24"/>
  <c r="O154" i="24"/>
  <c r="V154" i="24"/>
  <c r="U154" i="24"/>
  <c r="T154" i="24"/>
  <c r="S154" i="24"/>
  <c r="R154" i="24"/>
  <c r="M154" i="24"/>
  <c r="N158" i="24"/>
  <c r="T158" i="24"/>
  <c r="S158" i="24"/>
  <c r="M158" i="24"/>
  <c r="V158" i="24"/>
  <c r="U158" i="24"/>
  <c r="Q158" i="24"/>
  <c r="S176" i="24"/>
  <c r="L176" i="24"/>
  <c r="U176" i="24"/>
  <c r="T176" i="24"/>
  <c r="N176" i="24"/>
  <c r="V176" i="24"/>
  <c r="R176" i="24"/>
  <c r="Q176" i="24"/>
  <c r="P176" i="24"/>
  <c r="M176" i="24"/>
  <c r="J11" i="20"/>
  <c r="O166" i="24"/>
  <c r="N166" i="24"/>
  <c r="M166" i="24"/>
  <c r="U166" i="24"/>
  <c r="T166" i="24"/>
  <c r="S166" i="24"/>
  <c r="R166" i="24"/>
  <c r="Q166" i="24"/>
  <c r="L166" i="24"/>
  <c r="L189" i="24" s="1"/>
  <c r="J23" i="19"/>
  <c r="J12" i="22"/>
  <c r="R133" i="24"/>
  <c r="N148" i="24"/>
  <c r="V148" i="24"/>
  <c r="U148" i="24"/>
  <c r="P148" i="24"/>
  <c r="L148" i="24"/>
  <c r="O148" i="24"/>
  <c r="Q152" i="24"/>
  <c r="Q154" i="24"/>
  <c r="O158" i="24"/>
  <c r="P166" i="24"/>
  <c r="Q170" i="24"/>
  <c r="S177" i="24"/>
  <c r="M177" i="24"/>
  <c r="V177" i="24"/>
  <c r="P177" i="24"/>
  <c r="T177" i="24"/>
  <c r="L177" i="24"/>
  <c r="L9" i="20"/>
  <c r="L11" i="20"/>
  <c r="M9" i="21"/>
  <c r="K16" i="22"/>
  <c r="K17" i="22" s="1"/>
  <c r="K12" i="22"/>
  <c r="V133" i="24"/>
  <c r="R152" i="24"/>
  <c r="N155" i="24"/>
  <c r="Q155" i="24"/>
  <c r="P155" i="24"/>
  <c r="V155" i="24"/>
  <c r="T155" i="24"/>
  <c r="L155" i="24"/>
  <c r="P158" i="24"/>
  <c r="V166" i="24"/>
  <c r="U170" i="24"/>
  <c r="BV331" i="17"/>
  <c r="J16" i="21"/>
  <c r="J17" i="21" s="1"/>
  <c r="M134" i="24"/>
  <c r="U134" i="24"/>
  <c r="T134" i="24"/>
  <c r="O134" i="24"/>
  <c r="S134" i="24"/>
  <c r="R134" i="24"/>
  <c r="P134" i="24"/>
  <c r="Q148" i="24"/>
  <c r="S152" i="24"/>
  <c r="M155" i="24"/>
  <c r="R158" i="24"/>
  <c r="O177" i="24"/>
  <c r="S182" i="24"/>
  <c r="R182" i="24"/>
  <c r="U182" i="24"/>
  <c r="T182" i="24"/>
  <c r="M182" i="24"/>
  <c r="V182" i="24"/>
  <c r="Q182" i="24"/>
  <c r="P182" i="24"/>
  <c r="O182" i="24"/>
  <c r="L182" i="24"/>
  <c r="M23" i="19"/>
  <c r="L107" i="24"/>
  <c r="M136" i="24"/>
  <c r="V136" i="24"/>
  <c r="Q136" i="24"/>
  <c r="P136" i="24"/>
  <c r="N136" i="24"/>
  <c r="L136" i="24"/>
  <c r="S136" i="24"/>
  <c r="R148" i="24"/>
  <c r="V152" i="24"/>
  <c r="O155" i="24"/>
  <c r="N161" i="24"/>
  <c r="V161" i="24"/>
  <c r="Q161" i="24"/>
  <c r="U161" i="24"/>
  <c r="T161" i="24"/>
  <c r="S161" i="24"/>
  <c r="P161" i="24"/>
  <c r="Q177" i="24"/>
  <c r="O42" i="19"/>
  <c r="O58" i="19"/>
  <c r="N9" i="22"/>
  <c r="N11" i="22"/>
  <c r="O19" i="24"/>
  <c r="S18" i="24"/>
  <c r="S19" i="24" s="1"/>
  <c r="N134" i="24"/>
  <c r="O136" i="24"/>
  <c r="S148" i="24"/>
  <c r="R155" i="24"/>
  <c r="L161" i="24"/>
  <c r="R177" i="24"/>
  <c r="S183" i="24"/>
  <c r="T183" i="24"/>
  <c r="V183" i="24"/>
  <c r="O183" i="24"/>
  <c r="R183" i="24"/>
  <c r="L183" i="24"/>
  <c r="BV319" i="17"/>
  <c r="I12" i="21"/>
  <c r="U10" i="24"/>
  <c r="N107" i="24"/>
  <c r="Q134" i="24"/>
  <c r="R136" i="24"/>
  <c r="N143" i="24"/>
  <c r="Q143" i="24"/>
  <c r="P143" i="24"/>
  <c r="U143" i="24"/>
  <c r="S143" i="24"/>
  <c r="R143" i="24"/>
  <c r="M143" i="24"/>
  <c r="T148" i="24"/>
  <c r="S155" i="24"/>
  <c r="M161" i="24"/>
  <c r="U177" i="24"/>
  <c r="M183" i="24"/>
  <c r="L16" i="22"/>
  <c r="L17" i="22" s="1"/>
  <c r="U9" i="24"/>
  <c r="M139" i="24"/>
  <c r="N139" i="24"/>
  <c r="L139" i="24"/>
  <c r="T139" i="24"/>
  <c r="S167" i="24"/>
  <c r="O167" i="24"/>
  <c r="P167" i="24"/>
  <c r="N167" i="24"/>
  <c r="S173" i="24"/>
  <c r="V173" i="24"/>
  <c r="O173" i="24"/>
  <c r="N173" i="24"/>
  <c r="S180" i="24"/>
  <c r="P180" i="24"/>
  <c r="O180" i="24"/>
  <c r="N180" i="24"/>
  <c r="M107" i="24"/>
  <c r="N146" i="24"/>
  <c r="T146" i="24"/>
  <c r="S146" i="24"/>
  <c r="M146" i="24"/>
  <c r="N149" i="24"/>
  <c r="V149" i="24"/>
  <c r="Q149" i="24"/>
  <c r="N157" i="24"/>
  <c r="S157" i="24"/>
  <c r="R157" i="24"/>
  <c r="L157" i="24"/>
  <c r="N160" i="24"/>
  <c r="V160" i="24"/>
  <c r="U160" i="24"/>
  <c r="P160" i="24"/>
  <c r="S172" i="24"/>
  <c r="U172" i="24"/>
  <c r="M172" i="24"/>
  <c r="L172" i="24"/>
  <c r="T172" i="24"/>
  <c r="S179" i="24"/>
  <c r="O179" i="24"/>
  <c r="M179" i="24"/>
  <c r="L179" i="24"/>
  <c r="U179" i="24"/>
  <c r="S185" i="24"/>
  <c r="V185" i="24"/>
  <c r="M185" i="24"/>
  <c r="L185" i="24"/>
  <c r="T185" i="24"/>
  <c r="U80" i="25"/>
  <c r="U87" i="25" s="1"/>
  <c r="T80" i="25"/>
  <c r="T87" i="25" s="1"/>
  <c r="L80" i="25"/>
  <c r="L87" i="25" s="1"/>
  <c r="I80" i="25"/>
  <c r="I87" i="25" s="1"/>
  <c r="M8" i="19"/>
  <c r="N153" i="24"/>
  <c r="O153" i="24"/>
  <c r="M153" i="24"/>
  <c r="U153" i="24"/>
  <c r="P221" i="24"/>
  <c r="Q221" i="24"/>
  <c r="N159" i="24"/>
  <c r="U159" i="24"/>
  <c r="T159" i="24"/>
  <c r="O159" i="24"/>
  <c r="BV343" i="17"/>
  <c r="Q11" i="24"/>
  <c r="P11" i="24"/>
  <c r="P12" i="24" s="1"/>
  <c r="Q115" i="24"/>
  <c r="M132" i="24"/>
  <c r="S132" i="24"/>
  <c r="R132" i="24"/>
  <c r="L132" i="24"/>
  <c r="M135" i="24"/>
  <c r="V135" i="24"/>
  <c r="U135" i="24"/>
  <c r="P135" i="24"/>
  <c r="R146" i="24"/>
  <c r="R149" i="24"/>
  <c r="Q153" i="24"/>
  <c r="T157" i="24"/>
  <c r="L159" i="24"/>
  <c r="R160" i="24"/>
  <c r="R172" i="24"/>
  <c r="T179" i="24"/>
  <c r="R185" i="24"/>
  <c r="O19" i="25"/>
  <c r="O44" i="25"/>
  <c r="N45" i="25"/>
  <c r="N73" i="25"/>
  <c r="N80" i="25" s="1"/>
  <c r="N87" i="25" s="1"/>
  <c r="N19" i="25"/>
  <c r="M19" i="25"/>
  <c r="M46" i="25"/>
  <c r="M74" i="25"/>
  <c r="M81" i="25" s="1"/>
  <c r="M88" i="25" s="1"/>
  <c r="L47" i="25"/>
  <c r="L75" i="25"/>
  <c r="L82" i="25" s="1"/>
  <c r="L89" i="25" s="1"/>
  <c r="L19" i="25"/>
  <c r="K19" i="25"/>
  <c r="O80" i="25"/>
  <c r="O87" i="25" s="1"/>
  <c r="S168" i="24"/>
  <c r="P168" i="24"/>
  <c r="S181" i="24"/>
  <c r="Q181" i="24"/>
  <c r="T239" i="24"/>
  <c r="P80" i="25"/>
  <c r="P87" i="25" s="1"/>
  <c r="O72" i="25"/>
  <c r="O79" i="25" s="1"/>
  <c r="O86" i="25" s="1"/>
  <c r="R80" i="25"/>
  <c r="R87" i="25" s="1"/>
  <c r="M30" i="25"/>
  <c r="M29" i="25"/>
  <c r="M28" i="25"/>
  <c r="M27" i="25"/>
  <c r="N30" i="25"/>
  <c r="N29" i="25"/>
  <c r="N28" i="25"/>
  <c r="N27" i="25"/>
  <c r="N26" i="25"/>
  <c r="P120" i="24"/>
  <c r="P121" i="24"/>
  <c r="P122" i="24"/>
  <c r="P123" i="24"/>
  <c r="P124" i="24"/>
  <c r="P125" i="24"/>
  <c r="P126" i="24"/>
  <c r="P127" i="24"/>
  <c r="P128" i="24"/>
  <c r="P129" i="24"/>
  <c r="P130" i="24"/>
  <c r="Q131" i="24"/>
  <c r="Q144" i="24"/>
  <c r="Q156" i="24"/>
  <c r="Q168" i="24"/>
  <c r="P174" i="24"/>
  <c r="P181" i="24"/>
  <c r="S221" i="24"/>
  <c r="N229" i="24"/>
  <c r="R131" i="24"/>
  <c r="L138" i="24"/>
  <c r="R144" i="24"/>
  <c r="L151" i="24"/>
  <c r="R156" i="24"/>
  <c r="R168" i="24"/>
  <c r="S171" i="24"/>
  <c r="T171" i="24"/>
  <c r="Q174" i="24"/>
  <c r="S178" i="24"/>
  <c r="N178" i="24"/>
  <c r="R181" i="24"/>
  <c r="S184" i="24"/>
  <c r="U184" i="24"/>
  <c r="J80" i="25"/>
  <c r="J87" i="25" s="1"/>
  <c r="K80" i="25"/>
  <c r="K87" i="25" s="1"/>
  <c r="K76" i="25"/>
  <c r="K83" i="25" s="1"/>
  <c r="K90" i="25" s="1"/>
  <c r="R229" i="24"/>
  <c r="M80" i="25"/>
  <c r="M87" i="25" s="1"/>
  <c r="N74" i="25"/>
  <c r="N81" i="25" s="1"/>
  <c r="N88" i="25" s="1"/>
  <c r="P19" i="25"/>
  <c r="P44" i="25"/>
  <c r="P72" i="25"/>
  <c r="P79" i="25" s="1"/>
  <c r="P86" i="25" s="1"/>
  <c r="Q72" i="25"/>
  <c r="Q79" i="25" s="1"/>
  <c r="Q86" i="25" s="1"/>
  <c r="R19" i="25"/>
  <c r="Q80" i="25"/>
  <c r="Q87" i="25" s="1"/>
  <c r="U239" i="24"/>
  <c r="P243" i="24"/>
  <c r="S19" i="25"/>
  <c r="S44" i="25"/>
  <c r="R47" i="25"/>
  <c r="Q47" i="25"/>
  <c r="P47" i="25"/>
  <c r="O47" i="25"/>
  <c r="N47" i="25"/>
  <c r="M47" i="25"/>
  <c r="J47" i="25"/>
  <c r="T72" i="25"/>
  <c r="T79" i="25" s="1"/>
  <c r="T86" i="25" s="1"/>
  <c r="J30" i="25"/>
  <c r="J27" i="25"/>
  <c r="O45" i="25"/>
  <c r="R82" i="25"/>
  <c r="R89" i="25" s="1"/>
  <c r="K30" i="25"/>
  <c r="K29" i="25"/>
  <c r="K26" i="25"/>
  <c r="J26" i="25"/>
  <c r="J28" i="25"/>
  <c r="U29" i="25"/>
  <c r="P45" i="25"/>
  <c r="K47" i="25"/>
  <c r="T244" i="24"/>
  <c r="T245" i="24"/>
  <c r="T246" i="24"/>
  <c r="T48" i="25"/>
  <c r="R72" i="25"/>
  <c r="R79" i="25" s="1"/>
  <c r="R86" i="25" s="1"/>
  <c r="P74" i="25"/>
  <c r="P81" i="25" s="1"/>
  <c r="P88" i="25" s="1"/>
  <c r="E247" i="24"/>
  <c r="E248" i="24"/>
  <c r="E249" i="24"/>
  <c r="E250" i="24"/>
  <c r="I72" i="25"/>
  <c r="I79" i="25" s="1"/>
  <c r="I86" i="25" s="1"/>
  <c r="U72" i="25"/>
  <c r="U79" i="25" s="1"/>
  <c r="U86" i="25" s="1"/>
  <c r="S74" i="25"/>
  <c r="S81" i="25" s="1"/>
  <c r="S88" i="25" s="1"/>
  <c r="L244" i="24"/>
  <c r="L245" i="24"/>
  <c r="L246" i="24"/>
  <c r="O26" i="25"/>
  <c r="L29" i="25"/>
  <c r="T44" i="25"/>
  <c r="R45" i="25"/>
  <c r="L48" i="25"/>
  <c r="M244" i="24"/>
  <c r="M245" i="24"/>
  <c r="M246" i="24"/>
  <c r="O27" i="25"/>
  <c r="I44" i="25"/>
  <c r="U44" i="25"/>
  <c r="M48" i="25"/>
  <c r="N244" i="24"/>
  <c r="N245" i="24"/>
  <c r="N246" i="24"/>
  <c r="Q26" i="25"/>
  <c r="P27" i="25"/>
  <c r="O28" i="25"/>
  <c r="J44" i="25"/>
  <c r="T45" i="25"/>
  <c r="N48" i="25"/>
  <c r="O244" i="24"/>
  <c r="O245" i="24"/>
  <c r="O246" i="24"/>
  <c r="R26" i="25"/>
  <c r="Q27" i="25"/>
  <c r="P28" i="25"/>
  <c r="O29" i="25"/>
  <c r="K44" i="25"/>
  <c r="I45" i="25"/>
  <c r="U45" i="25"/>
  <c r="O48" i="25"/>
  <c r="K51" i="19"/>
  <c r="N57" i="19"/>
  <c r="I51" i="19"/>
  <c r="K57" i="19"/>
  <c r="M57" i="19"/>
  <c r="L41" i="19"/>
  <c r="L45" i="19"/>
  <c r="L51" i="19"/>
  <c r="I41" i="19"/>
  <c r="N51" i="19"/>
  <c r="J51" i="19"/>
  <c r="K41" i="19"/>
  <c r="M46" i="19"/>
  <c r="J41" i="19"/>
  <c r="N45" i="19"/>
  <c r="I45" i="19"/>
  <c r="I46" i="19"/>
  <c r="J46" i="19"/>
  <c r="L57" i="19"/>
  <c r="M45" i="19"/>
  <c r="M51" i="19"/>
  <c r="N46" i="19"/>
  <c r="J45" i="19"/>
  <c r="J57" i="19"/>
  <c r="K45" i="19"/>
  <c r="L46" i="19"/>
  <c r="U26" i="24" l="1"/>
  <c r="V26" i="24"/>
  <c r="Q194" i="24"/>
  <c r="F8" i="9"/>
  <c r="F9" i="9" s="1"/>
  <c r="F10" i="9" s="1"/>
  <c r="N24" i="19"/>
  <c r="P195" i="24"/>
  <c r="K26" i="19"/>
  <c r="K29" i="19" s="1"/>
  <c r="R197" i="24"/>
  <c r="L206" i="24"/>
  <c r="U195" i="24"/>
  <c r="T204" i="24"/>
  <c r="V201" i="24"/>
  <c r="I24" i="19"/>
  <c r="Q208" i="24"/>
  <c r="L198" i="24"/>
  <c r="R207" i="24"/>
  <c r="Q191" i="24"/>
  <c r="M194" i="24"/>
  <c r="Q196" i="24"/>
  <c r="I12" i="20"/>
  <c r="Q199" i="24"/>
  <c r="O201" i="24"/>
  <c r="O199" i="24"/>
  <c r="T31" i="25"/>
  <c r="L204" i="24"/>
  <c r="I31" i="25"/>
  <c r="M207" i="24"/>
  <c r="L197" i="24"/>
  <c r="M191" i="24"/>
  <c r="T197" i="24"/>
  <c r="V191" i="24"/>
  <c r="L199" i="24"/>
  <c r="U208" i="24"/>
  <c r="L195" i="24"/>
  <c r="P202" i="24"/>
  <c r="V198" i="24"/>
  <c r="M197" i="24"/>
  <c r="N195" i="24"/>
  <c r="N11" i="19"/>
  <c r="I14" i="22"/>
  <c r="I15" i="22" s="1"/>
  <c r="I16" i="22" s="1"/>
  <c r="I17" i="22" s="1"/>
  <c r="O197" i="24"/>
  <c r="R243" i="24"/>
  <c r="S194" i="24"/>
  <c r="T207" i="24"/>
  <c r="L200" i="24"/>
  <c r="S197" i="24"/>
  <c r="O189" i="24"/>
  <c r="M196" i="24"/>
  <c r="Q207" i="24"/>
  <c r="U31" i="25"/>
  <c r="V194" i="24"/>
  <c r="U202" i="24"/>
  <c r="I11" i="19"/>
  <c r="I14" i="19" s="1"/>
  <c r="O196" i="24"/>
  <c r="U194" i="24"/>
  <c r="V196" i="24"/>
  <c r="N197" i="24"/>
  <c r="M206" i="24"/>
  <c r="O202" i="24"/>
  <c r="M193" i="24"/>
  <c r="Q203" i="24"/>
  <c r="S205" i="24"/>
  <c r="R195" i="24"/>
  <c r="N199" i="24"/>
  <c r="P198" i="24"/>
  <c r="R199" i="24"/>
  <c r="T198" i="24"/>
  <c r="U203" i="24"/>
  <c r="P201" i="24"/>
  <c r="R208" i="24"/>
  <c r="N193" i="24"/>
  <c r="U197" i="24"/>
  <c r="P208" i="24"/>
  <c r="L203" i="24"/>
  <c r="P207" i="24"/>
  <c r="V189" i="24"/>
  <c r="O200" i="24"/>
  <c r="Q202" i="24"/>
  <c r="Q206" i="24"/>
  <c r="M190" i="24"/>
  <c r="L207" i="24"/>
  <c r="N208" i="24"/>
  <c r="O204" i="24"/>
  <c r="O207" i="24"/>
  <c r="U243" i="24"/>
  <c r="R204" i="24"/>
  <c r="O198" i="24"/>
  <c r="V243" i="24"/>
  <c r="T243" i="24"/>
  <c r="R206" i="24"/>
  <c r="V207" i="24"/>
  <c r="Q197" i="24"/>
  <c r="S195" i="24"/>
  <c r="S196" i="24"/>
  <c r="U193" i="24"/>
  <c r="N29" i="19"/>
  <c r="N30" i="19" s="1"/>
  <c r="N31" i="19" s="1"/>
  <c r="N32" i="19" s="1"/>
  <c r="P206" i="24"/>
  <c r="S192" i="24"/>
  <c r="O192" i="24"/>
  <c r="T190" i="24"/>
  <c r="L196" i="24"/>
  <c r="T200" i="24"/>
  <c r="N192" i="24"/>
  <c r="M200" i="24"/>
  <c r="N194" i="24"/>
  <c r="L202" i="24"/>
  <c r="O195" i="24"/>
  <c r="U190" i="24"/>
  <c r="R91" i="25"/>
  <c r="R99" i="25" s="1"/>
  <c r="Q190" i="24"/>
  <c r="M198" i="24"/>
  <c r="L193" i="24"/>
  <c r="O193" i="24"/>
  <c r="L11" i="19"/>
  <c r="L14" i="19" s="1"/>
  <c r="V195" i="24"/>
  <c r="T199" i="24"/>
  <c r="O206" i="24"/>
  <c r="N196" i="24"/>
  <c r="K49" i="25"/>
  <c r="K98" i="25" s="1"/>
  <c r="U199" i="24"/>
  <c r="K86" i="14"/>
  <c r="O86" i="14" s="1"/>
  <c r="S86" i="14" s="1"/>
  <c r="W86" i="14" s="1"/>
  <c r="AA86" i="14" s="1"/>
  <c r="AE86" i="14" s="1"/>
  <c r="AI86" i="14" s="1"/>
  <c r="P197" i="24"/>
  <c r="Q204" i="24"/>
  <c r="V200" i="24"/>
  <c r="U192" i="24"/>
  <c r="V197" i="24"/>
  <c r="Q140" i="24"/>
  <c r="S189" i="24"/>
  <c r="M243" i="24"/>
  <c r="R140" i="24"/>
  <c r="Q189" i="24"/>
  <c r="Q192" i="24"/>
  <c r="Q49" i="25"/>
  <c r="Q98" i="25" s="1"/>
  <c r="N190" i="24"/>
  <c r="N207" i="24"/>
  <c r="M12" i="20"/>
  <c r="P200" i="24"/>
  <c r="N202" i="24"/>
  <c r="S243" i="24"/>
  <c r="N206" i="24"/>
  <c r="R205" i="24"/>
  <c r="M203" i="24"/>
  <c r="J9" i="19"/>
  <c r="J116" i="16"/>
  <c r="U191" i="24"/>
  <c r="V203" i="24"/>
  <c r="M192" i="24"/>
  <c r="S31" i="25"/>
  <c r="R31" i="25"/>
  <c r="R49" i="25"/>
  <c r="R98" i="25" s="1"/>
  <c r="P193" i="24"/>
  <c r="L140" i="24"/>
  <c r="T206" i="24"/>
  <c r="Q201" i="24"/>
  <c r="S204" i="24"/>
  <c r="S191" i="24"/>
  <c r="S190" i="24"/>
  <c r="S206" i="24"/>
  <c r="R194" i="24"/>
  <c r="Q198" i="24"/>
  <c r="Q193" i="24"/>
  <c r="N191" i="24"/>
  <c r="L192" i="24"/>
  <c r="S199" i="24"/>
  <c r="L31" i="25"/>
  <c r="R198" i="24"/>
  <c r="O194" i="24"/>
  <c r="V199" i="24"/>
  <c r="N204" i="24"/>
  <c r="S193" i="24"/>
  <c r="L24" i="19"/>
  <c r="K91" i="25"/>
  <c r="K99" i="25" s="1"/>
  <c r="M201" i="24"/>
  <c r="T194" i="24"/>
  <c r="V202" i="24"/>
  <c r="L194" i="24"/>
  <c r="U19" i="24"/>
  <c r="U196" i="24"/>
  <c r="O191" i="24"/>
  <c r="P196" i="24"/>
  <c r="M199" i="24"/>
  <c r="M195" i="24"/>
  <c r="U207" i="24"/>
  <c r="N201" i="24"/>
  <c r="U200" i="24"/>
  <c r="O208" i="24"/>
  <c r="L243" i="24"/>
  <c r="M31" i="25"/>
  <c r="M14" i="22"/>
  <c r="I115" i="16"/>
  <c r="Q243" i="24"/>
  <c r="L190" i="24"/>
  <c r="V208" i="24"/>
  <c r="P203" i="24"/>
  <c r="Q31" i="25"/>
  <c r="M49" i="25"/>
  <c r="M98" i="25" s="1"/>
  <c r="U205" i="24"/>
  <c r="S208" i="24"/>
  <c r="U206" i="24"/>
  <c r="T205" i="24"/>
  <c r="N200" i="24"/>
  <c r="V193" i="24"/>
  <c r="I116" i="16"/>
  <c r="I91" i="25"/>
  <c r="I99" i="25" s="1"/>
  <c r="S201" i="24"/>
  <c r="V206" i="24"/>
  <c r="T202" i="24"/>
  <c r="I29" i="19"/>
  <c r="I30" i="19" s="1"/>
  <c r="I31" i="19" s="1"/>
  <c r="I32" i="19" s="1"/>
  <c r="T196" i="24"/>
  <c r="V190" i="24"/>
  <c r="M91" i="25"/>
  <c r="M99" i="25" s="1"/>
  <c r="U198" i="24"/>
  <c r="R193" i="24"/>
  <c r="T193" i="24"/>
  <c r="N243" i="24"/>
  <c r="L49" i="25"/>
  <c r="L98" i="25" s="1"/>
  <c r="U163" i="24"/>
  <c r="K15" i="18"/>
  <c r="K12" i="18"/>
  <c r="K24" i="18" s="1"/>
  <c r="R196" i="24"/>
  <c r="N14" i="20"/>
  <c r="N12" i="20"/>
  <c r="P163" i="24"/>
  <c r="O205" i="24"/>
  <c r="T201" i="24"/>
  <c r="U186" i="24"/>
  <c r="T163" i="24"/>
  <c r="L16" i="18"/>
  <c r="L17" i="18" s="1"/>
  <c r="M7" i="18"/>
  <c r="L11" i="18"/>
  <c r="L12" i="18" s="1"/>
  <c r="L24" i="18" s="1"/>
  <c r="L20" i="18"/>
  <c r="L21" i="18" s="1"/>
  <c r="O243" i="24"/>
  <c r="T49" i="25"/>
  <c r="P199" i="24"/>
  <c r="L91" i="25"/>
  <c r="L99" i="25" s="1"/>
  <c r="N205" i="24"/>
  <c r="I90" i="16"/>
  <c r="X10" i="18"/>
  <c r="U91" i="25"/>
  <c r="U99" i="25" s="1"/>
  <c r="S49" i="25"/>
  <c r="S98" i="25" s="1"/>
  <c r="R190" i="24"/>
  <c r="N91" i="25"/>
  <c r="N99" i="25" s="1"/>
  <c r="T195" i="24"/>
  <c r="O190" i="24"/>
  <c r="S207" i="24"/>
  <c r="P205" i="24"/>
  <c r="S200" i="24"/>
  <c r="N198" i="24"/>
  <c r="V192" i="24"/>
  <c r="T191" i="24"/>
  <c r="N49" i="25"/>
  <c r="N98" i="25" s="1"/>
  <c r="P204" i="24"/>
  <c r="Q195" i="24"/>
  <c r="S198" i="24"/>
  <c r="L163" i="24"/>
  <c r="T91" i="25"/>
  <c r="T99" i="25" s="1"/>
  <c r="K31" i="25"/>
  <c r="P140" i="24"/>
  <c r="P189" i="24"/>
  <c r="O91" i="25"/>
  <c r="O99" i="25" s="1"/>
  <c r="R163" i="24"/>
  <c r="P186" i="24"/>
  <c r="R202" i="24"/>
  <c r="S186" i="24"/>
  <c r="L29" i="19"/>
  <c r="R191" i="24"/>
  <c r="K12" i="21"/>
  <c r="K14" i="21"/>
  <c r="G44" i="10"/>
  <c r="Q200" i="24"/>
  <c r="N31" i="25"/>
  <c r="S163" i="24"/>
  <c r="L205" i="24"/>
  <c r="T186" i="24"/>
  <c r="T189" i="24"/>
  <c r="V18" i="24"/>
  <c r="V19" i="24" s="1"/>
  <c r="J117" i="16"/>
  <c r="I117" i="16"/>
  <c r="E117" i="16"/>
  <c r="H118" i="16"/>
  <c r="O140" i="24"/>
  <c r="O53" i="19"/>
  <c r="D55" i="10"/>
  <c r="D44" i="10"/>
  <c r="D69" i="10"/>
  <c r="D80" i="10"/>
  <c r="P250" i="24"/>
  <c r="O250" i="24"/>
  <c r="N250" i="24"/>
  <c r="M250" i="24"/>
  <c r="L250" i="24"/>
  <c r="T250" i="24"/>
  <c r="Q250" i="24"/>
  <c r="V250" i="24"/>
  <c r="U250" i="24"/>
  <c r="S250" i="24"/>
  <c r="R250" i="24"/>
  <c r="M186" i="24"/>
  <c r="O163" i="24"/>
  <c r="K15" i="20"/>
  <c r="K16" i="20" s="1"/>
  <c r="K17" i="20" s="1"/>
  <c r="V163" i="24"/>
  <c r="P249" i="24"/>
  <c r="O249" i="24"/>
  <c r="N249" i="24"/>
  <c r="M249" i="24"/>
  <c r="L249" i="24"/>
  <c r="T249" i="24"/>
  <c r="V249" i="24"/>
  <c r="U249" i="24"/>
  <c r="S249" i="24"/>
  <c r="R249" i="24"/>
  <c r="Q249" i="24"/>
  <c r="R192" i="24"/>
  <c r="Q163" i="24"/>
  <c r="M189" i="24"/>
  <c r="N14" i="22"/>
  <c r="N12" i="22"/>
  <c r="Q205" i="24"/>
  <c r="N186" i="24"/>
  <c r="K11" i="19"/>
  <c r="K9" i="19"/>
  <c r="P248" i="24"/>
  <c r="O248" i="24"/>
  <c r="N248" i="24"/>
  <c r="M248" i="24"/>
  <c r="L248" i="24"/>
  <c r="T248" i="24"/>
  <c r="V248" i="24"/>
  <c r="S248" i="24"/>
  <c r="R248" i="24"/>
  <c r="U248" i="24"/>
  <c r="Q248" i="24"/>
  <c r="R200" i="24"/>
  <c r="T208" i="24"/>
  <c r="N163" i="24"/>
  <c r="V205" i="24"/>
  <c r="M24" i="19"/>
  <c r="M26" i="19"/>
  <c r="J26" i="19"/>
  <c r="J24" i="19"/>
  <c r="O186" i="24"/>
  <c r="S202" i="24"/>
  <c r="N189" i="24"/>
  <c r="N80" i="14"/>
  <c r="R80" i="14" s="1"/>
  <c r="V80" i="14" s="1"/>
  <c r="Z80" i="14" s="1"/>
  <c r="AD80" i="14" s="1"/>
  <c r="AH80" i="14" s="1"/>
  <c r="K80" i="14"/>
  <c r="O80" i="14" s="1"/>
  <c r="S80" i="14" s="1"/>
  <c r="W80" i="14" s="1"/>
  <c r="AA80" i="14" s="1"/>
  <c r="AE80" i="14" s="1"/>
  <c r="AI80" i="14" s="1"/>
  <c r="U49" i="25"/>
  <c r="P91" i="25"/>
  <c r="P99" i="25" s="1"/>
  <c r="O49" i="25"/>
  <c r="U11" i="24"/>
  <c r="U12" i="24" s="1"/>
  <c r="Q12" i="24"/>
  <c r="L208" i="24"/>
  <c r="O59" i="19"/>
  <c r="M205" i="24"/>
  <c r="R203" i="24"/>
  <c r="K27" i="19"/>
  <c r="N140" i="24"/>
  <c r="K66" i="11"/>
  <c r="K67" i="11" s="1"/>
  <c r="K69" i="11" s="1"/>
  <c r="V66" i="11"/>
  <c r="V67" i="11" s="1"/>
  <c r="V69" i="11" s="1"/>
  <c r="J66" i="11"/>
  <c r="J67" i="11" s="1"/>
  <c r="J69" i="11" s="1"/>
  <c r="U66" i="11"/>
  <c r="U67" i="11" s="1"/>
  <c r="U69" i="11" s="1"/>
  <c r="S66" i="11"/>
  <c r="S67" i="11" s="1"/>
  <c r="S69" i="11" s="1"/>
  <c r="R66" i="11"/>
  <c r="R67" i="11" s="1"/>
  <c r="R69" i="11" s="1"/>
  <c r="Q66" i="11"/>
  <c r="Q67" i="11" s="1"/>
  <c r="Q69" i="11" s="1"/>
  <c r="P66" i="11"/>
  <c r="P67" i="11" s="1"/>
  <c r="P69" i="11" s="1"/>
  <c r="M66" i="11"/>
  <c r="M67" i="11" s="1"/>
  <c r="M69" i="11" s="1"/>
  <c r="L66" i="11"/>
  <c r="L67" i="11" s="1"/>
  <c r="L69" i="11" s="1"/>
  <c r="O66" i="11"/>
  <c r="O67" i="11" s="1"/>
  <c r="O69" i="11" s="1"/>
  <c r="N66" i="11"/>
  <c r="N67" i="11" s="1"/>
  <c r="N69" i="11" s="1"/>
  <c r="T66" i="11"/>
  <c r="T67" i="11" s="1"/>
  <c r="T69" i="11" s="1"/>
  <c r="G47" i="10"/>
  <c r="G53" i="10" s="1"/>
  <c r="I49" i="25"/>
  <c r="O31" i="25"/>
  <c r="Q91" i="25"/>
  <c r="Q99" i="25" s="1"/>
  <c r="P49" i="25"/>
  <c r="J91" i="25"/>
  <c r="J99" i="25" s="1"/>
  <c r="P194" i="24"/>
  <c r="U204" i="24"/>
  <c r="U140" i="24"/>
  <c r="S203" i="24"/>
  <c r="M140" i="24"/>
  <c r="M202" i="24"/>
  <c r="S140" i="24"/>
  <c r="J49" i="25"/>
  <c r="V204" i="24"/>
  <c r="I91" i="16"/>
  <c r="I95" i="16"/>
  <c r="L191" i="24"/>
  <c r="U189" i="24"/>
  <c r="T192" i="24"/>
  <c r="M208" i="24"/>
  <c r="O43" i="19"/>
  <c r="O203" i="24"/>
  <c r="I94" i="16"/>
  <c r="J114" i="16"/>
  <c r="I114" i="16"/>
  <c r="E114" i="16"/>
  <c r="E116" i="16"/>
  <c r="J115" i="16"/>
  <c r="E115" i="16"/>
  <c r="P192" i="24"/>
  <c r="M204" i="24"/>
  <c r="S91" i="25"/>
  <c r="S99" i="25" s="1"/>
  <c r="V140" i="24"/>
  <c r="T203" i="24"/>
  <c r="M15" i="20"/>
  <c r="M16" i="20" s="1"/>
  <c r="M17" i="20" s="1"/>
  <c r="L186" i="24"/>
  <c r="R189" i="24"/>
  <c r="J12" i="19"/>
  <c r="J14" i="19"/>
  <c r="P31" i="25"/>
  <c r="P191" i="24"/>
  <c r="L201" i="24"/>
  <c r="N203" i="24"/>
  <c r="V186" i="24"/>
  <c r="L14" i="20"/>
  <c r="L12" i="20"/>
  <c r="Q186" i="24"/>
  <c r="N14" i="21"/>
  <c r="N12" i="21"/>
  <c r="J31" i="25"/>
  <c r="P190" i="24"/>
  <c r="R201" i="24"/>
  <c r="M11" i="19"/>
  <c r="M9" i="19"/>
  <c r="M163" i="24"/>
  <c r="T140" i="24"/>
  <c r="R186" i="24"/>
  <c r="J14" i="20"/>
  <c r="J12" i="20"/>
  <c r="G80" i="10"/>
  <c r="G69" i="10"/>
  <c r="K42" i="19"/>
  <c r="N58" i="19"/>
  <c r="I42" i="19"/>
  <c r="M52" i="19"/>
  <c r="J58" i="19"/>
  <c r="L58" i="19"/>
  <c r="J42" i="19"/>
  <c r="M58" i="19"/>
  <c r="K58" i="19"/>
  <c r="K47" i="19"/>
  <c r="I52" i="19"/>
  <c r="N42" i="19"/>
  <c r="I47" i="19"/>
  <c r="M42" i="19"/>
  <c r="K52" i="19"/>
  <c r="L52" i="19"/>
  <c r="J47" i="19"/>
  <c r="M47" i="19"/>
  <c r="I58" i="19"/>
  <c r="N47" i="19"/>
  <c r="L47" i="19"/>
  <c r="L42" i="19"/>
  <c r="N52" i="19"/>
  <c r="J52" i="19"/>
  <c r="I12" i="19" l="1"/>
  <c r="R103" i="25"/>
  <c r="P247" i="24"/>
  <c r="R247" i="24"/>
  <c r="L247" i="24"/>
  <c r="N14" i="19"/>
  <c r="N15" i="19" s="1"/>
  <c r="N16" i="19" s="1"/>
  <c r="N17" i="19" s="1"/>
  <c r="N12" i="19"/>
  <c r="L12" i="19"/>
  <c r="K100" i="25"/>
  <c r="T103" i="25"/>
  <c r="V247" i="24"/>
  <c r="N247" i="24"/>
  <c r="R100" i="25"/>
  <c r="K103" i="25"/>
  <c r="O209" i="24"/>
  <c r="S247" i="24"/>
  <c r="S209" i="24"/>
  <c r="M100" i="25"/>
  <c r="O247" i="24"/>
  <c r="M103" i="25"/>
  <c r="Q247" i="24"/>
  <c r="L25" i="18"/>
  <c r="L26" i="18" s="1"/>
  <c r="L27" i="18" s="1"/>
  <c r="L100" i="25"/>
  <c r="T247" i="24"/>
  <c r="V209" i="24"/>
  <c r="M15" i="22"/>
  <c r="M16" i="22" s="1"/>
  <c r="M17" i="22" s="1"/>
  <c r="N100" i="25"/>
  <c r="N15" i="20"/>
  <c r="N16" i="20" s="1"/>
  <c r="N17" i="20" s="1"/>
  <c r="S100" i="25"/>
  <c r="M247" i="24"/>
  <c r="N103" i="25"/>
  <c r="L103" i="25"/>
  <c r="M20" i="18"/>
  <c r="M21" i="18" s="1"/>
  <c r="M11" i="18"/>
  <c r="M12" i="18" s="1"/>
  <c r="M24" i="18" s="1"/>
  <c r="M16" i="18"/>
  <c r="M17" i="18" s="1"/>
  <c r="N7" i="18"/>
  <c r="K17" i="18"/>
  <c r="K25" i="18" s="1"/>
  <c r="K26" i="18" s="1"/>
  <c r="K27" i="18" s="1"/>
  <c r="X15" i="18"/>
  <c r="T98" i="25"/>
  <c r="T100" i="25" s="1"/>
  <c r="U247" i="24"/>
  <c r="Q209" i="24"/>
  <c r="L209" i="24"/>
  <c r="J44" i="19"/>
  <c r="M44" i="19"/>
  <c r="N44" i="19"/>
  <c r="L44" i="19"/>
  <c r="I44" i="19"/>
  <c r="K44" i="19"/>
  <c r="N15" i="21"/>
  <c r="N16" i="21" s="1"/>
  <c r="N17" i="21" s="1"/>
  <c r="J15" i="19"/>
  <c r="J16" i="19" s="1"/>
  <c r="J17" i="19" s="1"/>
  <c r="Q103" i="25"/>
  <c r="M27" i="19"/>
  <c r="M29" i="19"/>
  <c r="J15" i="20"/>
  <c r="J16" i="20" s="1"/>
  <c r="J17" i="20" s="1"/>
  <c r="N15" i="22"/>
  <c r="N16" i="22" s="1"/>
  <c r="N17" i="22" s="1"/>
  <c r="R209" i="24"/>
  <c r="S103" i="25"/>
  <c r="U209" i="24"/>
  <c r="I103" i="25"/>
  <c r="I98" i="25"/>
  <c r="I100" i="25" s="1"/>
  <c r="M209" i="24"/>
  <c r="L15" i="19"/>
  <c r="L16" i="19" s="1"/>
  <c r="L17" i="19" s="1"/>
  <c r="L15" i="20"/>
  <c r="L16" i="20" s="1"/>
  <c r="L17" i="20" s="1"/>
  <c r="O103" i="25"/>
  <c r="O98" i="25"/>
  <c r="O100" i="25" s="1"/>
  <c r="U103" i="25"/>
  <c r="U98" i="25"/>
  <c r="U100" i="25" s="1"/>
  <c r="H119" i="16"/>
  <c r="I118" i="16"/>
  <c r="J118" i="16"/>
  <c r="E118" i="16"/>
  <c r="G55" i="10"/>
  <c r="P209" i="24"/>
  <c r="M12" i="19"/>
  <c r="M14" i="19"/>
  <c r="J98" i="25"/>
  <c r="J100" i="25" s="1"/>
  <c r="J103" i="25"/>
  <c r="N209" i="24"/>
  <c r="K15" i="21"/>
  <c r="K16" i="21" s="1"/>
  <c r="K17" i="21" s="1"/>
  <c r="I15" i="19"/>
  <c r="I16" i="19" s="1"/>
  <c r="I17" i="19" s="1"/>
  <c r="P103" i="25"/>
  <c r="P98" i="25"/>
  <c r="P100" i="25" s="1"/>
  <c r="K12" i="19"/>
  <c r="K14" i="19"/>
  <c r="Q100" i="25"/>
  <c r="K30" i="19"/>
  <c r="K31" i="19" s="1"/>
  <c r="K32" i="19" s="1"/>
  <c r="J27" i="19"/>
  <c r="J29" i="19"/>
  <c r="T209" i="24"/>
  <c r="L30" i="19"/>
  <c r="L31" i="19" s="1"/>
  <c r="L32" i="19" s="1"/>
  <c r="K53" i="19"/>
  <c r="L59" i="19"/>
  <c r="N59" i="19"/>
  <c r="N43" i="19"/>
  <c r="J43" i="19"/>
  <c r="J59" i="19"/>
  <c r="I53" i="19"/>
  <c r="I59" i="19"/>
  <c r="I43" i="19"/>
  <c r="K59" i="19"/>
  <c r="N53" i="19"/>
  <c r="L43" i="19"/>
  <c r="M53" i="19"/>
  <c r="J53" i="19"/>
  <c r="M43" i="19"/>
  <c r="M59" i="19"/>
  <c r="K43" i="19"/>
  <c r="L53" i="19"/>
  <c r="M25" i="18" l="1"/>
  <c r="M26" i="18" s="1"/>
  <c r="M27" i="18" s="1"/>
  <c r="N20" i="18"/>
  <c r="N21" i="18" s="1"/>
  <c r="N16" i="18"/>
  <c r="N17" i="18" s="1"/>
  <c r="O7" i="18"/>
  <c r="N11" i="18"/>
  <c r="N12" i="18" s="1"/>
  <c r="N24" i="18" s="1"/>
  <c r="I50" i="19"/>
  <c r="K40" i="19"/>
  <c r="K48" i="19" s="1"/>
  <c r="J56" i="19"/>
  <c r="K50" i="19"/>
  <c r="M40" i="19"/>
  <c r="M48" i="19" s="1"/>
  <c r="I56" i="19"/>
  <c r="L50" i="19"/>
  <c r="L40" i="19"/>
  <c r="L48" i="19" s="1"/>
  <c r="L56" i="19"/>
  <c r="J50" i="19"/>
  <c r="I40" i="19"/>
  <c r="I48" i="19" s="1"/>
  <c r="K56" i="19"/>
  <c r="M50" i="19"/>
  <c r="N40" i="19"/>
  <c r="N48" i="19" s="1"/>
  <c r="N56" i="19"/>
  <c r="N50" i="19"/>
  <c r="J40" i="19"/>
  <c r="J48" i="19" s="1"/>
  <c r="M56" i="19"/>
  <c r="M30" i="19"/>
  <c r="M31" i="19" s="1"/>
  <c r="M32" i="19" s="1"/>
  <c r="J30" i="19"/>
  <c r="J31" i="19" s="1"/>
  <c r="J32" i="19" s="1"/>
  <c r="K15" i="19"/>
  <c r="K16" i="19" s="1"/>
  <c r="K17" i="19" s="1"/>
  <c r="H120" i="16"/>
  <c r="J119" i="16"/>
  <c r="I119" i="16"/>
  <c r="E119" i="16"/>
  <c r="M15" i="19"/>
  <c r="M16" i="19" s="1"/>
  <c r="M17" i="19" s="1"/>
  <c r="N25" i="18" l="1"/>
  <c r="N26" i="18" s="1"/>
  <c r="N27" i="18" s="1"/>
  <c r="O11" i="18"/>
  <c r="O12" i="18" s="1"/>
  <c r="O24" i="18" s="1"/>
  <c r="O20" i="18"/>
  <c r="O21" i="18" s="1"/>
  <c r="O16" i="18"/>
  <c r="O17" i="18" s="1"/>
  <c r="P7" i="18"/>
  <c r="I49" i="19"/>
  <c r="I54" i="19"/>
  <c r="I55" i="19" s="1"/>
  <c r="L54" i="19"/>
  <c r="L55" i="19" s="1"/>
  <c r="L49" i="19"/>
  <c r="J120" i="16"/>
  <c r="I120" i="16"/>
  <c r="E120" i="16"/>
  <c r="H121" i="16"/>
  <c r="J49" i="19"/>
  <c r="J54" i="19"/>
  <c r="J55" i="19" s="1"/>
  <c r="M54" i="19"/>
  <c r="M55" i="19" s="1"/>
  <c r="M49" i="19"/>
  <c r="N49" i="19"/>
  <c r="N54" i="19"/>
  <c r="N55" i="19" s="1"/>
  <c r="K49" i="19"/>
  <c r="K54" i="19"/>
  <c r="K55" i="19" s="1"/>
  <c r="J60" i="19" l="1"/>
  <c r="J61" i="19" s="1"/>
  <c r="J62" i="19" s="1"/>
  <c r="J63" i="19" s="1"/>
  <c r="M60" i="19"/>
  <c r="M61" i="19" s="1"/>
  <c r="M62" i="19" s="1"/>
  <c r="M63" i="19" s="1"/>
  <c r="Q7" i="18"/>
  <c r="P20" i="18"/>
  <c r="P21" i="18" s="1"/>
  <c r="P16" i="18"/>
  <c r="P17" i="18" s="1"/>
  <c r="P11" i="18"/>
  <c r="P12" i="18" s="1"/>
  <c r="P24" i="18" s="1"/>
  <c r="O25" i="18"/>
  <c r="O26" i="18" s="1"/>
  <c r="O27" i="18" s="1"/>
  <c r="N60" i="19"/>
  <c r="I60" i="19"/>
  <c r="I121" i="16"/>
  <c r="J121" i="16"/>
  <c r="H122" i="16"/>
  <c r="E121" i="16"/>
  <c r="K60" i="19"/>
  <c r="L60" i="19"/>
  <c r="P25" i="18" l="1"/>
  <c r="P26" i="18" s="1"/>
  <c r="P27" i="18" s="1"/>
  <c r="Q16" i="18"/>
  <c r="Q17" i="18" s="1"/>
  <c r="Q11" i="18"/>
  <c r="Q12" i="18" s="1"/>
  <c r="Q24" i="18" s="1"/>
  <c r="Q20" i="18"/>
  <c r="Q21" i="18" s="1"/>
  <c r="R7" i="18"/>
  <c r="I61" i="19"/>
  <c r="I62" i="19" s="1"/>
  <c r="I63" i="19" s="1"/>
  <c r="L61" i="19"/>
  <c r="L62" i="19" s="1"/>
  <c r="L63" i="19" s="1"/>
  <c r="K61" i="19"/>
  <c r="K62" i="19" s="1"/>
  <c r="K63" i="19" s="1"/>
  <c r="N61" i="19"/>
  <c r="N62" i="19" s="1"/>
  <c r="N63" i="19" s="1"/>
  <c r="J122" i="16"/>
  <c r="I122" i="16"/>
  <c r="I123" i="16" s="1"/>
  <c r="E122" i="16"/>
  <c r="L8" i="9" l="1"/>
  <c r="Q25" i="18"/>
  <c r="Q26" i="18" s="1"/>
  <c r="Q27" i="18" s="1"/>
  <c r="S7" i="18"/>
  <c r="R11" i="18"/>
  <c r="R12" i="18" s="1"/>
  <c r="R24" i="18" s="1"/>
  <c r="R20" i="18"/>
  <c r="R21" i="18" s="1"/>
  <c r="R16" i="18"/>
  <c r="R17" i="18" s="1"/>
  <c r="O11" i="9" l="1"/>
  <c r="O8" i="9"/>
  <c r="L9" i="9"/>
  <c r="L10" i="9" s="1"/>
  <c r="O10" i="9" s="1"/>
  <c r="R25" i="18"/>
  <c r="R26" i="18" s="1"/>
  <c r="R27" i="18" s="1"/>
  <c r="S16" i="18"/>
  <c r="S17" i="18" s="1"/>
  <c r="T7" i="18"/>
  <c r="S11" i="18"/>
  <c r="S12" i="18" s="1"/>
  <c r="S24" i="18" s="1"/>
  <c r="S20" i="18"/>
  <c r="S21" i="18" s="1"/>
  <c r="O7" i="9" l="1"/>
  <c r="O9" i="9"/>
  <c r="T20" i="18"/>
  <c r="T21" i="18" s="1"/>
  <c r="T16" i="18"/>
  <c r="T17" i="18" s="1"/>
  <c r="U7" i="18"/>
  <c r="T11" i="18"/>
  <c r="T12" i="18" s="1"/>
  <c r="T24" i="18" s="1"/>
  <c r="S25" i="18"/>
  <c r="S26" i="18" s="1"/>
  <c r="S27" i="18" s="1"/>
  <c r="T25" i="18" l="1"/>
  <c r="T26" i="18" s="1"/>
  <c r="T27" i="18" s="1"/>
  <c r="U20" i="18"/>
  <c r="U16" i="18"/>
  <c r="U17" i="18" s="1"/>
  <c r="U11" i="18"/>
  <c r="U12" i="18" s="1"/>
  <c r="V7" i="18"/>
  <c r="U21" i="18" l="1"/>
  <c r="U25" i="18" s="1"/>
  <c r="V11" i="18"/>
  <c r="V12" i="18" s="1"/>
  <c r="V24" i="18" s="1"/>
  <c r="V16" i="18"/>
  <c r="V17" i="18" s="1"/>
  <c r="X17" i="18" s="1"/>
  <c r="V20" i="18"/>
  <c r="V21" i="18" s="1"/>
  <c r="U24" i="18"/>
  <c r="X12" i="18" l="1"/>
  <c r="X24" i="18" s="1"/>
  <c r="X21" i="18"/>
  <c r="X25" i="18" s="1"/>
  <c r="U26" i="18"/>
  <c r="U27" i="18" s="1"/>
  <c r="X16" i="18"/>
  <c r="X20" i="18"/>
  <c r="V25" i="18"/>
  <c r="V26" i="18" s="1"/>
  <c r="V27" i="18" s="1"/>
  <c r="X26" i="18" l="1"/>
  <c r="J47" i="18" s="1"/>
  <c r="X11" i="18"/>
  <c r="J43" i="18" l="1"/>
  <c r="X27" i="18"/>
  <c r="J54" i="18" s="1"/>
  <c r="J48" i="18" l="1"/>
  <c r="J44" i="18"/>
  <c r="K8" i="9" l="1"/>
  <c r="K9" i="9" s="1"/>
  <c r="K10" i="9" s="1"/>
  <c r="J8" i="9"/>
  <c r="J9" i="9" s="1"/>
  <c r="J10" i="9" s="1"/>
  <c r="I8" i="9"/>
  <c r="I9" i="9" s="1"/>
  <c r="I10" i="9" s="1"/>
  <c r="H8" i="9"/>
  <c r="H9" i="9" s="1"/>
  <c r="H10" i="9" s="1"/>
  <c r="G8" i="9"/>
  <c r="G9" i="9" s="1"/>
  <c r="G10" i="9" s="1"/>
</calcChain>
</file>

<file path=xl/sharedStrings.xml><?xml version="1.0" encoding="utf-8"?>
<sst xmlns="http://schemas.openxmlformats.org/spreadsheetml/2006/main" count="25978" uniqueCount="2361">
  <si>
    <t>Показатель</t>
  </si>
  <si>
    <t>ед. изм.</t>
  </si>
  <si>
    <t>Константа</t>
  </si>
  <si>
    <t>Фактор</t>
  </si>
  <si>
    <t>2 кв. 2024</t>
  </si>
  <si>
    <t>3 кв. 2024</t>
  </si>
  <si>
    <t>4 кв. 2024</t>
  </si>
  <si>
    <t>1 кв. 2025</t>
  </si>
  <si>
    <t>2 кв. 2025</t>
  </si>
  <si>
    <t>3 кв. 2025</t>
  </si>
  <si>
    <t>4 кв. 2025</t>
  </si>
  <si>
    <t>Тренинг «Навыки работы в Excel»</t>
  </si>
  <si>
    <t>Содержание</t>
  </si>
  <si>
    <t>Блок 1</t>
  </si>
  <si>
    <t>Блок 2</t>
  </si>
  <si>
    <t>Блок 3</t>
  </si>
  <si>
    <t>Настройки Excel</t>
  </si>
  <si>
    <t>Настройка параметров Excel</t>
  </si>
  <si>
    <t>Убрать галочку в "разрешить редактировать в ячейках"</t>
  </si>
  <si>
    <t>Позволяет переходить на влияющую ячейку, если два раза на ячейку левой кнопкой мыши</t>
  </si>
  <si>
    <t>Если форула ссылается на несколько ячеек - то при нажатии пеходит на первую ссылку</t>
  </si>
  <si>
    <t>Нажать 2 раза</t>
  </si>
  <si>
    <t>Пример</t>
  </si>
  <si>
    <t>Настройка ленты</t>
  </si>
  <si>
    <t>Вывести на панель быстрого доступа: влияющие ячейки, зависимые ячейки и убрать стрелки</t>
  </si>
  <si>
    <r>
      <rPr>
        <b/>
        <sz val="9"/>
        <color theme="1"/>
        <rFont val="Verdana"/>
        <family val="2"/>
        <charset val="204"/>
      </rPr>
      <t>Влияющие ячейки</t>
    </r>
    <r>
      <rPr>
        <sz val="9"/>
        <color theme="1"/>
        <rFont val="Verdana"/>
        <family val="2"/>
        <charset val="204"/>
        <scheme val="minor"/>
      </rPr>
      <t>: показывает, какие ячейки участвуют в расчете этой ячейки</t>
    </r>
  </si>
  <si>
    <r>
      <rPr>
        <b/>
        <sz val="9"/>
        <color theme="1"/>
        <rFont val="Verdana"/>
        <family val="2"/>
        <charset val="204"/>
      </rPr>
      <t>Зависимые ячейки</t>
    </r>
    <r>
      <rPr>
        <sz val="9"/>
        <color theme="1"/>
        <rFont val="Verdana"/>
        <family val="2"/>
        <charset val="204"/>
        <scheme val="minor"/>
      </rPr>
      <t>: показывает, где используется данная ячейка</t>
    </r>
  </si>
  <si>
    <r>
      <rPr>
        <b/>
        <sz val="9"/>
        <color theme="1"/>
        <rFont val="Verdana"/>
        <family val="2"/>
        <charset val="204"/>
      </rPr>
      <t>Убрать стрелки</t>
    </r>
    <r>
      <rPr>
        <sz val="9"/>
        <color theme="1"/>
        <rFont val="Verdana"/>
        <family val="2"/>
        <charset val="204"/>
        <scheme val="minor"/>
      </rPr>
      <t>: убирает синие стрелки</t>
    </r>
  </si>
  <si>
    <t>Показывать зависимые/влияющие ячейки можно через Alt+"цифра"</t>
  </si>
  <si>
    <t>Если влияющие ячейки на одном листе - можно нажать F2 - и ячейки будут подсвечиваться</t>
  </si>
  <si>
    <t>Если влияющие/зависимые ячейки на разных листа - нужно нажать два раза ЛКМ на синию пунктирную линию</t>
  </si>
  <si>
    <t>HotKeys</t>
  </si>
  <si>
    <t>Описание</t>
  </si>
  <si>
    <t>Навигация</t>
  </si>
  <si>
    <t>Перемещение</t>
  </si>
  <si>
    <t xml:space="preserve">Стрелка </t>
  </si>
  <si>
    <t xml:space="preserve"> перемещение на одной ячейку</t>
  </si>
  <si>
    <t>Продукт</t>
  </si>
  <si>
    <t xml:space="preserve">Ctrl+Стрелка </t>
  </si>
  <si>
    <t xml:space="preserve"> перемещение до конца непустых ячеек или до первой непустой ячейки</t>
  </si>
  <si>
    <t>Пр.1</t>
  </si>
  <si>
    <t xml:space="preserve">Ctrl+Home </t>
  </si>
  <si>
    <t xml:space="preserve"> переход в ячейку A1 </t>
  </si>
  <si>
    <t>Пр.2</t>
  </si>
  <si>
    <t xml:space="preserve">Ctrl+Page Up (Page Down) </t>
  </si>
  <si>
    <t xml:space="preserve"> переход на следующий лист (предыдущий)</t>
  </si>
  <si>
    <t>Пр.3</t>
  </si>
  <si>
    <t xml:space="preserve">F5 </t>
  </si>
  <si>
    <t xml:space="preserve"> переход на прошлую редактируемую ячейку</t>
  </si>
  <si>
    <t xml:space="preserve">Ctrl+[ </t>
  </si>
  <si>
    <t>Пр.5</t>
  </si>
  <si>
    <t xml:space="preserve">Enter </t>
  </si>
  <si>
    <t xml:space="preserve"> на 1 ячейку вниз. Shift+Enter - вверх</t>
  </si>
  <si>
    <t xml:space="preserve">Tab </t>
  </si>
  <si>
    <t xml:space="preserve"> на 1 ячейку вправо. Shift+Tab - вниз</t>
  </si>
  <si>
    <t>Выделение</t>
  </si>
  <si>
    <t>Shift+Стрелка</t>
  </si>
  <si>
    <t>выделение одной ячейки за каждое нажатие</t>
  </si>
  <si>
    <t>Ctrl+Shift+Стрелка</t>
  </si>
  <si>
    <t>выделение диапазона ячеек – до конца</t>
  </si>
  <si>
    <t xml:space="preserve">Shift+Пробел </t>
  </si>
  <si>
    <t>выделение строки</t>
  </si>
  <si>
    <t>Ctrl+Пробел</t>
  </si>
  <si>
    <t>выделение столбца</t>
  </si>
  <si>
    <t>Ctrl+Shift+Пробел (или Ctrl+A)</t>
  </si>
  <si>
    <t>Растягивание формул и копирование ячеек</t>
  </si>
  <si>
    <t>Растягивание формул</t>
  </si>
  <si>
    <t>Ctrl+R</t>
  </si>
  <si>
    <t>растягивание формулы по вправо</t>
  </si>
  <si>
    <t>Ctrl+D</t>
  </si>
  <si>
    <t>растягивание формулы по вниз</t>
  </si>
  <si>
    <t>Копирование ячеек</t>
  </si>
  <si>
    <t xml:space="preserve">Ctrl+С </t>
  </si>
  <si>
    <t>копировать</t>
  </si>
  <si>
    <t>Ctrl+X</t>
  </si>
  <si>
    <t>вырезать (аккуратно с этим действие)</t>
  </si>
  <si>
    <t>Ctrl+V</t>
  </si>
  <si>
    <t>вставить (вставляются формулы и форматирование)</t>
  </si>
  <si>
    <t>Ctrl+Alt+V</t>
  </si>
  <si>
    <t>специальная вставка</t>
  </si>
  <si>
    <t>Ctrl+«+»</t>
  </si>
  <si>
    <t>вставить ячейку со смещением (если выделен столбец/строка + добавляется целиком)</t>
  </si>
  <si>
    <t xml:space="preserve">Ctrl+«-» </t>
  </si>
  <si>
    <t>удалить ячейку (если выделен столбец/строка + добавляется целиком)</t>
  </si>
  <si>
    <t>Прочие</t>
  </si>
  <si>
    <t>Ctrl+Shift+L</t>
  </si>
  <si>
    <t>поставить/снять фильтр (важно выделять всю таблицу)</t>
  </si>
  <si>
    <t>Alt+стрелка вниз (на заголовке фильтра)</t>
  </si>
  <si>
    <t>параметры фильтрации</t>
  </si>
  <si>
    <t>oгруппировать (разгруппировать) строки/столбцы (нужно выделить строку/столбец целиком)</t>
  </si>
  <si>
    <t>F4</t>
  </si>
  <si>
    <t>повторение прошлого действия</t>
  </si>
  <si>
    <t>Alt,…</t>
  </si>
  <si>
    <t>Список Hot Keys</t>
  </si>
  <si>
    <t>https://support.microsoft.com/ru-ru/office/%D1%81%D0%BE%D1%87%D0%B5%D1%82%D0%B0%D0%BD%D0%B8%D1%8F-%D0%BA%D0%BB%D0%B0%D0%B2%D0%B8%D1%88-%D0%B2-excel-1798d9d5-842a-42b8-9c99-9b7213f0040f</t>
  </si>
  <si>
    <t>Плохие примеры оформления</t>
  </si>
  <si>
    <t>Основное</t>
  </si>
  <si>
    <t>→</t>
  </si>
  <si>
    <t>Отсутствие структуры</t>
  </si>
  <si>
    <t>Харды вместо ссылок</t>
  </si>
  <si>
    <t>Отсутствие источников</t>
  </si>
  <si>
    <t>Общий формат чисел</t>
  </si>
  <si>
    <t>Bad</t>
  </si>
  <si>
    <t>Good</t>
  </si>
  <si>
    <t>Выручка</t>
  </si>
  <si>
    <t>Себестоимость</t>
  </si>
  <si>
    <t>EBITDA</t>
  </si>
  <si>
    <t>EBITDA margin</t>
  </si>
  <si>
    <t>Объединение ячеек в таблицах</t>
  </si>
  <si>
    <t>Разная ширина/высота (в тч на разных листах)</t>
  </si>
  <si>
    <t>Весь лист одним форматом</t>
  </si>
  <si>
    <t>Компания 1</t>
  </si>
  <si>
    <t>Продукт 1</t>
  </si>
  <si>
    <t>Продукт 2</t>
  </si>
  <si>
    <t>Продукт 3</t>
  </si>
  <si>
    <t>Продукт 4</t>
  </si>
  <si>
    <t>Компания 2</t>
  </si>
  <si>
    <t>Всего выручка</t>
  </si>
  <si>
    <t>Разное форматирование схожих данных</t>
  </si>
  <si>
    <t>Излишняя пестрость, выделение цветом всей строки</t>
  </si>
  <si>
    <r>
      <rPr>
        <b/>
        <sz val="9"/>
        <color theme="1"/>
        <rFont val="Verdana"/>
        <family val="2"/>
        <charset val="204"/>
      </rPr>
      <t>!!!</t>
    </r>
    <r>
      <rPr>
        <sz val="9"/>
        <color theme="1"/>
        <rFont val="Verdana"/>
        <family val="2"/>
        <charset val="204"/>
        <scheme val="minor"/>
      </rPr>
      <t xml:space="preserve"> Может очень сильно утяжелить файл. Плюс бегунок перестает нормально работать</t>
    </r>
  </si>
  <si>
    <t>Скрытые строки вместо группировки</t>
  </si>
  <si>
    <t>Непонятные названия листов</t>
  </si>
  <si>
    <t>Лист 1</t>
  </si>
  <si>
    <t>ываыва</t>
  </si>
  <si>
    <t>Выручка_2 (2)_new</t>
  </si>
  <si>
    <t>Изменяющиеся формулы в строке/столбце без выделения</t>
  </si>
  <si>
    <t>Прочее</t>
  </si>
  <si>
    <t>Разное расположение строк/столбцов у одинаковых по структуре листов</t>
  </si>
  <si>
    <t>Структура и оформление</t>
  </si>
  <si>
    <t>Источник</t>
  </si>
  <si>
    <t>Структурирование данных на листе и в книге</t>
  </si>
  <si>
    <t>Структурирование данных</t>
  </si>
  <si>
    <t>Данные на листе надо структурировать по блокам (выручка, расходы и тд)</t>
  </si>
  <si>
    <t>Большие блоки информации лучше группировать</t>
  </si>
  <si>
    <t>И крайне нежелательно скрывать столбцы/строки</t>
  </si>
  <si>
    <t>Закрепление строк и столбцов</t>
  </si>
  <si>
    <t>Листы в книге</t>
  </si>
  <si>
    <t>Название листа – соответствует тому, что там есть</t>
  </si>
  <si>
    <t>Крайне желательно, чтобы на разных листах находились одинаковые периоды по столбцам</t>
  </si>
  <si>
    <t>Листы должны содержать схожую информацию - если много листов в книге</t>
  </si>
  <si>
    <t>Выделение ячеек</t>
  </si>
  <si>
    <t>Стиль выделения должен быть единым во всей книге</t>
  </si>
  <si>
    <t>Желательно приводить легенду</t>
  </si>
  <si>
    <t>Что выделяется:</t>
  </si>
  <si>
    <t>Харды</t>
  </si>
  <si>
    <t>Ссылки на другие листы</t>
  </si>
  <si>
    <t>Изменение формулы в строке</t>
  </si>
  <si>
    <t>Переключатели</t>
  </si>
  <si>
    <t>Предварительные итоги</t>
  </si>
  <si>
    <t>Итоги</t>
  </si>
  <si>
    <t>Заливка</t>
  </si>
  <si>
    <t>Границы</t>
  </si>
  <si>
    <t>Жирный/курсив</t>
  </si>
  <si>
    <t>Ctrl+Shift+→</t>
  </si>
  <si>
    <t>Группировать</t>
  </si>
  <si>
    <t>Ctrl+Shift+←</t>
  </si>
  <si>
    <t>Разгруппировать</t>
  </si>
  <si>
    <t>Производство</t>
  </si>
  <si>
    <t>Мощности производства</t>
  </si>
  <si>
    <t>Линия 1</t>
  </si>
  <si>
    <t>т/год</t>
  </si>
  <si>
    <t>Клиент</t>
  </si>
  <si>
    <t xml:space="preserve"> </t>
  </si>
  <si>
    <t>Линия 2</t>
  </si>
  <si>
    <t>Загрузка производства</t>
  </si>
  <si>
    <t>%</t>
  </si>
  <si>
    <t>Структура производства</t>
  </si>
  <si>
    <t>т</t>
  </si>
  <si>
    <t>КП от…</t>
  </si>
  <si>
    <t>Продукт 5</t>
  </si>
  <si>
    <t>Всего</t>
  </si>
  <si>
    <t>Всего производство</t>
  </si>
  <si>
    <t>Цены реализации</t>
  </si>
  <si>
    <t>Цены без НДС</t>
  </si>
  <si>
    <t>руб./т</t>
  </si>
  <si>
    <t>https://www.fedstat.ru/indicator/57698</t>
  </si>
  <si>
    <t>Расходы</t>
  </si>
  <si>
    <t>Расходы сырья на единицу продукции</t>
  </si>
  <si>
    <t>…</t>
  </si>
  <si>
    <t>Цены на сырье</t>
  </si>
  <si>
    <t>Форматы ячеек</t>
  </si>
  <si>
    <t>Форматы чисел</t>
  </si>
  <si>
    <t>Формат</t>
  </si>
  <si>
    <t>Положительное</t>
  </si>
  <si>
    <t>Отрицательное</t>
  </si>
  <si>
    <t>Ноль</t>
  </si>
  <si>
    <t>Базовый</t>
  </si>
  <si>
    <t>Плохо</t>
  </si>
  <si>
    <t># ##0;(# ##0);-</t>
  </si>
  <si>
    <t>Хорошо</t>
  </si>
  <si>
    <t># ##0%;(# ##0%);-</t>
  </si>
  <si>
    <t># ##0x;(# ##0x);-</t>
  </si>
  <si>
    <t>Форматы дат</t>
  </si>
  <si>
    <t>Дата</t>
  </si>
  <si>
    <t>ДД.ММ.ГГГГ (базовый)</t>
  </si>
  <si>
    <t>МММ.ГГ</t>
  </si>
  <si>
    <t>МММ. ГГ</t>
  </si>
  <si>
    <t>МММ.ГГГГ</t>
  </si>
  <si>
    <t>ДД.МММ.ГГ</t>
  </si>
  <si>
    <t>[$-x-sysdate]ДДДД, ММММ ДД, ГГГГ</t>
  </si>
  <si>
    <t>Ctrl+1</t>
  </si>
  <si>
    <t>Меню формата ячеек</t>
  </si>
  <si>
    <t>Ctrl+Shift+1</t>
  </si>
  <si>
    <t>Числовой формат с разделителями</t>
  </si>
  <si>
    <t>Ctrl+Shift+5</t>
  </si>
  <si>
    <t>Проценты</t>
  </si>
  <si>
    <t>Alt - Z - 9</t>
  </si>
  <si>
    <t>Убрать один разряд</t>
  </si>
  <si>
    <t>Alt - Z - 01</t>
  </si>
  <si>
    <t>Добавить один разряд</t>
  </si>
  <si>
    <t>Формулы</t>
  </si>
  <si>
    <t>Формула</t>
  </si>
  <si>
    <t>Пример 1</t>
  </si>
  <si>
    <t>Пример 2</t>
  </si>
  <si>
    <t>Комментарий</t>
  </si>
  <si>
    <t>Исходные данные</t>
  </si>
  <si>
    <t>Условия. Логические операторы</t>
  </si>
  <si>
    <t>И</t>
  </si>
  <si>
    <t>ИЛИ</t>
  </si>
  <si>
    <t>ЕСЛИ</t>
  </si>
  <si>
    <t>ЕСЛИ(И…)</t>
  </si>
  <si>
    <t>С несколькими условиями вар.1</t>
  </si>
  <si>
    <t>ЕСЛИ(ЕСЛИ...)</t>
  </si>
  <si>
    <t>С несколькими условиями вар.2</t>
  </si>
  <si>
    <t>ЕСЛИОШИБКА</t>
  </si>
  <si>
    <t>СУММЕСЛИ. СРЗНАЧЕСЛИ. СЧЕТЕСЛИ</t>
  </si>
  <si>
    <t>СУММЕСЛИ</t>
  </si>
  <si>
    <t>Суммирование по 1 условию</t>
  </si>
  <si>
    <t>Категория А</t>
  </si>
  <si>
    <t>Москва</t>
  </si>
  <si>
    <t>Суммирование, если больше/меньше/равно(не)</t>
  </si>
  <si>
    <t>Тверь</t>
  </si>
  <si>
    <t>Суммирование по частичному совпадению условия</t>
  </si>
  <si>
    <t>Учитывается только совпадение текста с самого начала</t>
  </si>
  <si>
    <t>Екб</t>
  </si>
  <si>
    <t>СУММЕСЛИМН</t>
  </si>
  <si>
    <t>Суммирование по нескольким условиям</t>
  </si>
  <si>
    <t>Московская обл.</t>
  </si>
  <si>
    <t>Категория Б</t>
  </si>
  <si>
    <t>Сочи</t>
  </si>
  <si>
    <t>СЧЁТЕСЛИ</t>
  </si>
  <si>
    <t>Счет, если больше/меньше/равно(не)</t>
  </si>
  <si>
    <t>Сбб</t>
  </si>
  <si>
    <t>СЧЁТЕСЛИМН</t>
  </si>
  <si>
    <t>СРЗНАЧЕСЛИ</t>
  </si>
  <si>
    <t>СРЗНАЧЕСЛИМН</t>
  </si>
  <si>
    <t>Важно !</t>
  </si>
  <si>
    <t>Обязательно должна быть одинаковая длина диапазонов</t>
  </si>
  <si>
    <t>Не забывай фиксировать ячейки (F4)</t>
  </si>
  <si>
    <t>Извлечение значений из таблиц</t>
  </si>
  <si>
    <t>ВПР</t>
  </si>
  <si>
    <t>Две мясных котлеты гриль</t>
  </si>
  <si>
    <t>200 ккал</t>
  </si>
  <si>
    <t>1 кв.</t>
  </si>
  <si>
    <t>2 кв.</t>
  </si>
  <si>
    <t>3 кв.</t>
  </si>
  <si>
    <t>4 кв.</t>
  </si>
  <si>
    <t>ГПР</t>
  </si>
  <si>
    <t>Спец.соус</t>
  </si>
  <si>
    <t>100 ккал</t>
  </si>
  <si>
    <t>Сыр</t>
  </si>
  <si>
    <t>50 ккал</t>
  </si>
  <si>
    <t>ИНДЕКС(ПОИСКПОЗ…)</t>
  </si>
  <si>
    <t>Огурцы</t>
  </si>
  <si>
    <t>10 ккал</t>
  </si>
  <si>
    <t>Томаты</t>
  </si>
  <si>
    <t>15 ккал</t>
  </si>
  <si>
    <t>Продукт 6</t>
  </si>
  <si>
    <t>Лук</t>
  </si>
  <si>
    <t>5 ккал</t>
  </si>
  <si>
    <t>ВПР и ГПР позволяют работать только с одним условием</t>
  </si>
  <si>
    <t>ВПР и ГПР искомое значения обязательно должно быть в первом столбце/строке</t>
  </si>
  <si>
    <t>Индекс+ПоискПоз - не имеет значение положением строк/столбоц</t>
  </si>
  <si>
    <t>Для всех функций - обязательно проверять единственность искомого значения (функции берут только первое)</t>
  </si>
  <si>
    <t>Извлечение значения по интервалам</t>
  </si>
  <si>
    <t>Микро</t>
  </si>
  <si>
    <t>Маленькая</t>
  </si>
  <si>
    <t>Средняя</t>
  </si>
  <si>
    <t>Большая</t>
  </si>
  <si>
    <t>Крупная</t>
  </si>
  <si>
    <t>Работа с текстом</t>
  </si>
  <si>
    <t>ПРАВСИМВ</t>
  </si>
  <si>
    <t>Взять N символов справа</t>
  </si>
  <si>
    <t>123-Продукт/17А-FOC</t>
  </si>
  <si>
    <t>ЛЕВСИМВ</t>
  </si>
  <si>
    <t>Взять N символов слева</t>
  </si>
  <si>
    <t>ДЛСТР</t>
  </si>
  <si>
    <t>Длина строки (кол-во симолов)</t>
  </si>
  <si>
    <t>ПСТР</t>
  </si>
  <si>
    <t>Взять N символов справа, начиная с K символа</t>
  </si>
  <si>
    <t>ЛЕВСИМВ(ПСТР…)</t>
  </si>
  <si>
    <t>Удалить N символов с конца</t>
  </si>
  <si>
    <t>ПРАВСИМВ(ПСТР…)</t>
  </si>
  <si>
    <t>Удалить N символов с начала</t>
  </si>
  <si>
    <t>ПСТР(ПОИСК…)</t>
  </si>
  <si>
    <t>Взять N символов после "/"</t>
  </si>
  <si>
    <t>Взять N символов до "/"</t>
  </si>
  <si>
    <t>ИНКУБАЦИОННЫЕ ЯЙЦА</t>
  </si>
  <si>
    <t>Столовые яйца</t>
  </si>
  <si>
    <t>МИН(ЕСЛИОШИБКА(ПОИСК…)</t>
  </si>
  <si>
    <t>Поиск текста в ячейке</t>
  </si>
  <si>
    <t>ИНКУБАЦИОННЫЕ ЯЙЦА ДОМАШНЕЙ ПТИЦЫ, ОПЛОДОТВОРЁННЫЕ (ДЛЯ ИНКУБАЦИИ): ПЛЕМЕННОЕ ЯЙЦО УТКИ (ANAS PLATYRHYNCHOS L.) ПЕКИНСКОЙ-13400 ШТУК;РАЗМЕЩЕНЫ С ЦЕЛЬЮ ПРЕДОТВРАЩЕНИЯ БОЯ И УНИЧТОЖЕНИЯ В КАРТОННЫХ КОРОБКАХ (200 ЯИЦ В ОДНОЙ КОРОБКЕ)</t>
  </si>
  <si>
    <t>Объединение ячеек</t>
  </si>
  <si>
    <t>СЦЕПИТЬ</t>
  </si>
  <si>
    <t>Объдеинение текста</t>
  </si>
  <si>
    <t>Объдеинение с датой</t>
  </si>
  <si>
    <t>Или другой формат данных</t>
  </si>
  <si>
    <t>Договор</t>
  </si>
  <si>
    <t>Объдеинение с числом</t>
  </si>
  <si>
    <t>"#0,0" - нули после запятой можно править</t>
  </si>
  <si>
    <t>Остаток</t>
  </si>
  <si>
    <t>СМЕЩ. СУММ(СМЕЩ…)</t>
  </si>
  <si>
    <t>СМЕЩ</t>
  </si>
  <si>
    <t>Когда нужно смещаться на N ячеек</t>
  </si>
  <si>
    <t>кв.</t>
  </si>
  <si>
    <t>год</t>
  </si>
  <si>
    <t>Ввод в эксплуатацию, флаг</t>
  </si>
  <si>
    <t>Возмещение НДС, кв. после ввода</t>
  </si>
  <si>
    <t>Возмещение НДС, флаг</t>
  </si>
  <si>
    <t>СУММ(СМЕЩ…)</t>
  </si>
  <si>
    <t>Расчет амортизации</t>
  </si>
  <si>
    <t>Ввод в эксплуатацию, руб.</t>
  </si>
  <si>
    <t>Срок полезного использования, лет</t>
  </si>
  <si>
    <t>Амортизация</t>
  </si>
  <si>
    <t>В строку ввод в эксплуатацию можно добавлять, например, капексы на подержание, если СПИ такой же</t>
  </si>
  <si>
    <t>Текст по столбцам</t>
  </si>
  <si>
    <t>Разделение текста</t>
  </si>
  <si>
    <t>Готовые данные</t>
  </si>
  <si>
    <t>Domain Code,Domain,Area Code (M49),Area,Element Code,Element,Item Code (CPC),Item,Year Code,Year,Unit,Value,Flag,Flag Description,Note</t>
  </si>
  <si>
    <t>Domain Code</t>
  </si>
  <si>
    <t>Domain</t>
  </si>
  <si>
    <t>Area Code (M49)</t>
  </si>
  <si>
    <t>Area</t>
  </si>
  <si>
    <t>Element Code</t>
  </si>
  <si>
    <t>Element</t>
  </si>
  <si>
    <t>Item Code (CPC)</t>
  </si>
  <si>
    <t>Item</t>
  </si>
  <si>
    <t>Year Code</t>
  </si>
  <si>
    <t>Year</t>
  </si>
  <si>
    <t>Unit</t>
  </si>
  <si>
    <t>Value</t>
  </si>
  <si>
    <t>Flag</t>
  </si>
  <si>
    <t>Flag Description</t>
  </si>
  <si>
    <t>QCL,"Crops and livestock products","008","Albania","5510","Production","01234","Tomatoes","2020","2020","t","313109","A","Official figure",""</t>
  </si>
  <si>
    <t>Данные → Текст по столбцам →</t>
  </si>
  <si>
    <t>QCL</t>
  </si>
  <si>
    <t>Crops and livestock products</t>
  </si>
  <si>
    <t>Albania</t>
  </si>
  <si>
    <t>Production</t>
  </si>
  <si>
    <t>Tomatoes</t>
  </si>
  <si>
    <t>t</t>
  </si>
  <si>
    <t>A</t>
  </si>
  <si>
    <t>Official figure</t>
  </si>
  <si>
    <t>QCL,"Crops and livestock products","008","Albania","5510","Production","01234","Tomatoes","2021","2021","t","314470.1","A","Official figure",""</t>
  </si>
  <si>
    <t>→ С разделителями → выбрать "символ-разделитель"</t>
  </si>
  <si>
    <t>QCL,"Crops and livestock products","008","Albania","5510","Production","01234","Tomatoes","2022","2022","t","315057.3","A","Official figure",""</t>
  </si>
  <si>
    <t>QCL,"Crops and livestock products","012","Algeria","5510","Production","01234","Tomatoes","2020","2020","t","1635616.3","A","Official figure",""</t>
  </si>
  <si>
    <t>Algeria</t>
  </si>
  <si>
    <t>QCL,"Crops and livestock products","012","Algeria","5510","Production","01234","Tomatoes","2021","2021","t","1641636","A","Official figure",""</t>
  </si>
  <si>
    <t>Если получаются некорректные форматы из-за "." или "," в числах: выделить столбец</t>
  </si>
  <si>
    <t>QCL,"Crops and livestock products","012","Algeria","5510","Production","01234","Tomatoes","2022","2022","t","1661664.37","I","Imputed value",""</t>
  </si>
  <si>
    <t>I</t>
  </si>
  <si>
    <t>Imputed value</t>
  </si>
  <si>
    <t>QCL,"Crops and livestock products","024","Angola","5510","Production","01234","Tomatoes","2020","2020","t","589664","A","Official figure",""</t>
  </si>
  <si>
    <t>Angola</t>
  </si>
  <si>
    <t>QCL,"Crops and livestock products","024","Angola","5510","Production","01234","Tomatoes","2021","2021","t","561666","A","Official figure",""</t>
  </si>
  <si>
    <t>QCL,"Crops and livestock products","024","Angola","5510","Production","01234","Tomatoes","2022","2022","t","587785","A","Official figure",""</t>
  </si>
  <si>
    <t>QCL,"Crops and livestock products","028","Antigua and Barbuda","5510","Production","01234","Tomatoes","2020","2020","t","34.7","A","Official figure",""</t>
  </si>
  <si>
    <t>Antigua and Barbuda</t>
  </si>
  <si>
    <t>QCL,"Crops and livestock products","028","Antigua and Barbuda","5510","Production","01234","Tomatoes","2021","2021","t","71.45","A","Official figure",""</t>
  </si>
  <si>
    <t>QCL,"Crops and livestock products","028","Antigua and Barbuda","5510","Production","01234","Tomatoes","2022","2022","t","90.5","A","Official figure",""</t>
  </si>
  <si>
    <t>QCL,"Crops and livestock products","032","Argentina","5510","Production","01234","Tomatoes","2020","2020","t","1221000","A","Official figure",""</t>
  </si>
  <si>
    <t>Argentina</t>
  </si>
  <si>
    <t>QCL,"Crops and livestock products","032","Argentina","5510","Production","01234","Tomatoes","2021","2021","t","1362000","A","Official figure",""</t>
  </si>
  <si>
    <t>QCL,"Crops and livestock products","032","Argentina","5510","Production","01234","Tomatoes","2022","2022","t","1393000","A","Official figure",""</t>
  </si>
  <si>
    <t>QCL,"Crops and livestock products","051","Armenia","5510","Production","01234","Tomatoes","2020","2020","t","183656.9","A","Official figure",""</t>
  </si>
  <si>
    <t>Armenia</t>
  </si>
  <si>
    <t>QCL,"Crops and livestock products","051","Armenia","5510","Production","01234","Tomatoes","2021","2021","t","206085.5","A","Official figure",""</t>
  </si>
  <si>
    <t>QCL,"Crops and livestock products","051","Armenia","5510","Production","01234","Tomatoes","2022","2022","t","186080","A","Official figure",""</t>
  </si>
  <si>
    <t>QCL,"Crops and livestock products","036","Australia","5510","Production","01234","Tomatoes","2020","2020","t","297474.45","A","Official figure",""</t>
  </si>
  <si>
    <t>Australia</t>
  </si>
  <si>
    <t>QCL,"Crops and livestock products","036","Australia","5510","Production","01234","Tomatoes","2021","2021","t","336888.47","A","Official figure",""</t>
  </si>
  <si>
    <t>QCL,"Crops and livestock products","036","Australia","5510","Production","01234","Tomatoes","2022","2022","t","325000","A","Official figure",""</t>
  </si>
  <si>
    <t>QCL,"Crops and livestock products","040","Austria","5510","Production","01234","Tomatoes","2020","2020","t","58670","A","Official figure",""</t>
  </si>
  <si>
    <t>Austria</t>
  </si>
  <si>
    <t>QCL,"Crops and livestock products","040","Austria","5510","Production","01234","Tomatoes","2021","2021","t","59770","A","Official figure",""</t>
  </si>
  <si>
    <t>QCL,"Crops and livestock products","044","Bahamas","5510","Production","01234","Tomatoes","2020","2020","t","7642.44","E","Estimated value",""</t>
  </si>
  <si>
    <t>Затем - автозамена "." на ","</t>
  </si>
  <si>
    <t>Bahamas</t>
  </si>
  <si>
    <t>E</t>
  </si>
  <si>
    <t>Estimated value</t>
  </si>
  <si>
    <t>QCL,"Crops and livestock products","044","Bahamas","5510","Production","01234","Tomatoes","2021","2021","t","7512.81","E","Estimated value",""</t>
  </si>
  <si>
    <t>Готовые данные: 1</t>
  </si>
  <si>
    <t>Готовые данные: 2</t>
  </si>
  <si>
    <t>Имя</t>
  </si>
  <si>
    <t>Фамилия</t>
  </si>
  <si>
    <t>Имя_Фамилия</t>
  </si>
  <si>
    <t>Имя1</t>
  </si>
  <si>
    <t>Фамилия1</t>
  </si>
  <si>
    <t>Имя2</t>
  </si>
  <si>
    <t>Фамилия2</t>
  </si>
  <si>
    <t>Имя3</t>
  </si>
  <si>
    <t>Фамилия3</t>
  </si>
  <si>
    <t>Имя4</t>
  </si>
  <si>
    <t>Фамилия4</t>
  </si>
  <si>
    <t>Имя5</t>
  </si>
  <si>
    <t>Фамилия5</t>
  </si>
  <si>
    <t>Анализ таможенных деклараций</t>
  </si>
  <si>
    <t>Первичная обработка</t>
  </si>
  <si>
    <t>Скопировать как значения (сильно уменьшает вес файла)</t>
  </si>
  <si>
    <t>Закрепить области</t>
  </si>
  <si>
    <t>Поставить фильтр</t>
  </si>
  <si>
    <t>Проверить, что по столбцам одинаковая информация (особенно, если объединено несколько сводных таблиц)</t>
  </si>
  <si>
    <t>Опционально - сгруппировать скрытые столбцы</t>
  </si>
  <si>
    <t>Сделать замену (Ctrl+H) символов ", &gt; и &lt; (некорретно считается со знаками)</t>
  </si>
  <si>
    <t>Сведение данных</t>
  </si>
  <si>
    <t>СУММЕСЛИ. СУММЕСЛИМН</t>
  </si>
  <si>
    <t>Выделение диапазона</t>
  </si>
  <si>
    <t>Выделение всего столбца (увеличивает время расчета)</t>
  </si>
  <si>
    <t>Объемы торговли, штуки</t>
  </si>
  <si>
    <t>ИМ</t>
  </si>
  <si>
    <t>тыс. шт.</t>
  </si>
  <si>
    <t>ЭК</t>
  </si>
  <si>
    <t>Удаление дубликатов</t>
  </si>
  <si>
    <t>Выделить весь столбец</t>
  </si>
  <si>
    <t>Скопировать и вставить отдельно</t>
  </si>
  <si>
    <t>Данные → Удалить дубликаты → Сортировать в пределах указанного диапазона</t>
  </si>
  <si>
    <t>Импорт. Страна отправления</t>
  </si>
  <si>
    <t>ВЕНГРИЯ</t>
  </si>
  <si>
    <t>КАНАДА</t>
  </si>
  <si>
    <t>СОЕДИНЕННОЕ КОРОЛЕВСТВО</t>
  </si>
  <si>
    <t>ГЕРМАНИЯ</t>
  </si>
  <si>
    <t>ФРАНЦИЯ</t>
  </si>
  <si>
    <t>СЛОВАКИЯ</t>
  </si>
  <si>
    <t>ИСПАНИЯ</t>
  </si>
  <si>
    <t>ИТАЛИЯ</t>
  </si>
  <si>
    <t>РОССИЯ</t>
  </si>
  <si>
    <t>Проверка</t>
  </si>
  <si>
    <t>Частичное совпадение</t>
  </si>
  <si>
    <t>Импорт по производителям</t>
  </si>
  <si>
    <t>CUDDY FARMS LIMITED 2008</t>
  </si>
  <si>
    <t>CUDDY FARMS LIMITED 2008, ПЛЕМЗАВОД: KRS0000042053</t>
  </si>
  <si>
    <t>HENDRIX GENETICS TURKEYS FRANCE</t>
  </si>
  <si>
    <t>HENDRIX GENETICS TURKEYS FRANCE SAS</t>
  </si>
  <si>
    <t>Расчет с частиным совпадением текста</t>
  </si>
  <si>
    <t>CUDDY</t>
  </si>
  <si>
    <t>HENDRIX</t>
  </si>
  <si>
    <t>Суммирование значений больше/меньше заданного</t>
  </si>
  <si>
    <t>Объем импорта: поставки не менее</t>
  </si>
  <si>
    <t>шт.</t>
  </si>
  <si>
    <t>Сводные таблицы</t>
  </si>
  <si>
    <t>Выделить исходную таблицу → Вставка → Сводная таблица</t>
  </si>
  <si>
    <t>В исходной таблице обязательно должны быть названия столбцов</t>
  </si>
  <si>
    <t>Если меняются данные в исходной таблице – нужно обновлять сводную таблицу вручную (можно поставить автообновление при открытии книги)</t>
  </si>
  <si>
    <t>После обновления ширина столбцов таблицы данных меняется – это можно отключить в настройках таблицы данных</t>
  </si>
  <si>
    <t>Если в исходную таблицу добавляются строки снизу таблицы – нужно изменить диапазон в сводной таблице</t>
  </si>
  <si>
    <t>Анализ по тексту</t>
  </si>
  <si>
    <t>Если много строк, и считается медленно - можно вставить хардами</t>
  </si>
  <si>
    <t>Объемы торговли - индейка, штуки</t>
  </si>
  <si>
    <t>Объемы торговли - индейка, доллары</t>
  </si>
  <si>
    <t>Авторанжирование</t>
  </si>
  <si>
    <t>Ранг</t>
  </si>
  <si>
    <t>Отсортированные данные</t>
  </si>
  <si>
    <t>Индекс+ПоискПоз</t>
  </si>
  <si>
    <t>Индекс+ПоискПоз - несколько условий + не имеет значение положением строк/столбоц</t>
  </si>
  <si>
    <t>Hints</t>
  </si>
  <si>
    <t xml:space="preserve">Если долго пересчитывается: </t>
  </si>
  <si>
    <t>Формулы → Параметры вычислений → Вручную</t>
  </si>
  <si>
    <t>Shift+F9 - пересчет листа</t>
  </si>
  <si>
    <t>F9 - пересчет книги</t>
  </si>
  <si>
    <t>Учет</t>
  </si>
  <si>
    <t>D1 Дата выпуска груза</t>
  </si>
  <si>
    <t>Месяц</t>
  </si>
  <si>
    <t>ND  Номер  декларации на товары</t>
  </si>
  <si>
    <t>071 Таможня оформления ДТ</t>
  </si>
  <si>
    <t>072 Дата ДТ</t>
  </si>
  <si>
    <t>073 Порядковый № ДТ</t>
  </si>
  <si>
    <t>011 ИМ.ЭК - направление перемещения</t>
  </si>
  <si>
    <t>012 Основной таможенный режим</t>
  </si>
  <si>
    <t>013 Дополнительный признак</t>
  </si>
  <si>
    <t>020 ОГРН.ОГРНИП отправителя</t>
  </si>
  <si>
    <t>021 ИНН отправителя</t>
  </si>
  <si>
    <t>022 Наименование.ФИО отправителя</t>
  </si>
  <si>
    <t>023 Адрес отправителя</t>
  </si>
  <si>
    <t>024 ОКАТО отправителя</t>
  </si>
  <si>
    <t>027 КПП отправителя</t>
  </si>
  <si>
    <t>03 Листов ДТ</t>
  </si>
  <si>
    <t>04 Спецификаций ДТ</t>
  </si>
  <si>
    <t>05 Товаров всего</t>
  </si>
  <si>
    <t>06 Мест товара всего</t>
  </si>
  <si>
    <t>080 ОГРН.ОГРНИП получателя</t>
  </si>
  <si>
    <t>081 ИНН получателя</t>
  </si>
  <si>
    <t>082 Наименование.ФИО получателя</t>
  </si>
  <si>
    <t>083 Адрес получателя</t>
  </si>
  <si>
    <t>084 ОКАТО получателя</t>
  </si>
  <si>
    <t>087 КПП получателя</t>
  </si>
  <si>
    <t>090 ОГРН.ОГРНИП контрактодержателя</t>
  </si>
  <si>
    <t>091 ИНН контрактодержателя</t>
  </si>
  <si>
    <t>092 Наименование.ФИО контрактодержателя</t>
  </si>
  <si>
    <t>093 Адрес контрактодержателя</t>
  </si>
  <si>
    <t>094 ОКАТО контрактодержателя</t>
  </si>
  <si>
    <t>097 КПП контрактодержателя</t>
  </si>
  <si>
    <t>11 Код торгующей страны</t>
  </si>
  <si>
    <t>11 Торгующая страна</t>
  </si>
  <si>
    <t>12 Общая таможенная стоимость</t>
  </si>
  <si>
    <t>140 ОГРН.ОГРНИП декларанта</t>
  </si>
  <si>
    <t>141 ИНН контрактодержателя</t>
  </si>
  <si>
    <t>142 Наименование.ФИО декларанта</t>
  </si>
  <si>
    <t>143 Адрес контрактодержателя</t>
  </si>
  <si>
    <t>144 ОКАТО контрактодержателя</t>
  </si>
  <si>
    <t>147 КПП контрактодержателя</t>
  </si>
  <si>
    <t>15А Код страны отправления</t>
  </si>
  <si>
    <t>15 Страна отправления</t>
  </si>
  <si>
    <t>16 Страна происхождения</t>
  </si>
  <si>
    <t>17А Код страны назначения</t>
  </si>
  <si>
    <t>17 Страна назначения</t>
  </si>
  <si>
    <t>18 Кол-во транспорта при отправлении</t>
  </si>
  <si>
    <t>19 Признак контейнерных перевозок 0ю1</t>
  </si>
  <si>
    <t>202 Условие поставки</t>
  </si>
  <si>
    <t>2021 Пункт поставки товара</t>
  </si>
  <si>
    <t>21 Кол-во трансп на границе</t>
  </si>
  <si>
    <t>221 Валюта контракта</t>
  </si>
  <si>
    <t>222 Общая фактурная стоимость</t>
  </si>
  <si>
    <t>2220 Общая фактурная стоимость, руб</t>
  </si>
  <si>
    <t>226 Статистическая стоимость суммарная</t>
  </si>
  <si>
    <t>23 Курс валюты</t>
  </si>
  <si>
    <t>24 Характер сделки</t>
  </si>
  <si>
    <t>25 Вид транспортного средства</t>
  </si>
  <si>
    <t>28 ОКПО банка.паспорт сделки</t>
  </si>
  <si>
    <t>29 Таможня на границе</t>
  </si>
  <si>
    <t>300 Тип информации</t>
  </si>
  <si>
    <t>301 № свидетельства СВХ.ТС</t>
  </si>
  <si>
    <t>302 Вид документа.Вид ТС</t>
  </si>
  <si>
    <t>30POST Индекс места нахождения товара</t>
  </si>
  <si>
    <t>30SUBD Регион</t>
  </si>
  <si>
    <t>30CITY Населенный пункт</t>
  </si>
  <si>
    <t>30STREET Адрес местонахождения товара</t>
  </si>
  <si>
    <t>3012 Таможня в зоне которой склад</t>
  </si>
  <si>
    <t>3 Порядковый № листа ДТ</t>
  </si>
  <si>
    <t>31_1 Описание и характеристика товара</t>
  </si>
  <si>
    <t>Индей</t>
  </si>
  <si>
    <t>Индюш</t>
  </si>
  <si>
    <t>Индейка</t>
  </si>
  <si>
    <t>31_11 Товарный знак</t>
  </si>
  <si>
    <t>31_12 Наименование фирмы изготовителя</t>
  </si>
  <si>
    <t>31_2 Кол-во мест товара</t>
  </si>
  <si>
    <t>31_3 Кол-во контейнеров</t>
  </si>
  <si>
    <t>31_7 Кол-во товара в доп ед. измерения</t>
  </si>
  <si>
    <t>31_71 Дополнительная единица</t>
  </si>
  <si>
    <t>31_8 Кол-во товара в доп единице</t>
  </si>
  <si>
    <t>31_81 Дополнительная единица</t>
  </si>
  <si>
    <t>32 Номер товара по ДТ</t>
  </si>
  <si>
    <t>33 Код товара по ТН ВЭД РФ</t>
  </si>
  <si>
    <t>331 Признак нетарифного регулирования</t>
  </si>
  <si>
    <t>332 Признак объекта интеллект собственности</t>
  </si>
  <si>
    <t>34 Код страны происхождения</t>
  </si>
  <si>
    <t>35 Вес брутто, кг</t>
  </si>
  <si>
    <t>36 Преференции</t>
  </si>
  <si>
    <t>37 Процедура</t>
  </si>
  <si>
    <t>38 Вес нетто, кг</t>
  </si>
  <si>
    <t>39 Квота</t>
  </si>
  <si>
    <t>391 Код валюты квоты</t>
  </si>
  <si>
    <t>392 Единица измерения квоты</t>
  </si>
  <si>
    <t>42 Фактурная стоимость</t>
  </si>
  <si>
    <t>420 Фактурная стоимость, руб</t>
  </si>
  <si>
    <t>43 Признак корректировки таможенной стоимости (КТС)</t>
  </si>
  <si>
    <t>431 Метод определения таможенной стоимости</t>
  </si>
  <si>
    <t>45 Таможенная стоимость</t>
  </si>
  <si>
    <t>46 Статистическая стоимость</t>
  </si>
  <si>
    <t>D0 Код завршения таможенного оформления</t>
  </si>
  <si>
    <t>USD/KG Статистическая стоимость, USD/Dtc НЕТТО, кг</t>
  </si>
  <si>
    <t>541 Свидетельство таможенного брокера</t>
  </si>
  <si>
    <t>5411 Договор брокера с декларантом</t>
  </si>
  <si>
    <t>5441 ФИО заполнившего ДТ</t>
  </si>
  <si>
    <t>ЛНП выпускающего инспектора</t>
  </si>
  <si>
    <t>ND_DEL Признак удаления декларации</t>
  </si>
  <si>
    <t>1</t>
  </si>
  <si>
    <t>08.08.2023</t>
  </si>
  <si>
    <t>10013160/080823/3352101</t>
  </si>
  <si>
    <t>10013160</t>
  </si>
  <si>
    <t>3352101</t>
  </si>
  <si>
    <t>40</t>
  </si>
  <si>
    <t/>
  </si>
  <si>
    <t>NAGISZ ZRT.</t>
  </si>
  <si>
    <t>4181, , NADUDVAR, FO UT 119,</t>
  </si>
  <si>
    <t>1047796588146</t>
  </si>
  <si>
    <t>7710553010</t>
  </si>
  <si>
    <t>ООО "АГРОИМПОРТ"</t>
  </si>
  <si>
    <t>143421, МОСКОВСКАЯ ОБЛ., КРАСНОГОРСКИЙ Р-Н, 26 КМ А/Д "БАЛТИЯ", БЦ "РИГА-ЛЕНД",</t>
  </si>
  <si>
    <t>46000</t>
  </si>
  <si>
    <t>502401001</t>
  </si>
  <si>
    <t>HU</t>
  </si>
  <si>
    <t>RU</t>
  </si>
  <si>
    <t>0</t>
  </si>
  <si>
    <t>FCA</t>
  </si>
  <si>
    <t>NADUDVAR</t>
  </si>
  <si>
    <t>EUR</t>
  </si>
  <si>
    <t>-</t>
  </si>
  <si>
    <t>99</t>
  </si>
  <si>
    <t>10413090 т/п Пензенский областной</t>
  </si>
  <si>
    <t>ИНДЮШАЧЬИ ЯЙЦА ДЛЯ ИНКУБАЦИИ, ОПЛОДОТВОРЕННЫЕ, MELEAGRIS GALLOPAVO L., ПОРОДА БЕЛАЯ ШИРОКОГРУДАЯ КРОССА БИГ-6, РАЗМЕЩЕНЫ С ЦЕЛЬЮ ПРЕДОТВРАЩЕНИЯ БОЯ И УНИЧТОЖЕНИЯ В КАРТОННЫХ КОРОБКАХ</t>
  </si>
  <si>
    <t>ОТСУТСТВУЕТ</t>
  </si>
  <si>
    <t>ШТ</t>
  </si>
  <si>
    <t>0407191100</t>
  </si>
  <si>
    <t>ОООО-ЛП</t>
  </si>
  <si>
    <t>10</t>
  </si>
  <si>
    <t>05.08.2023</t>
  </si>
  <si>
    <t>10013160/050823/3349274</t>
  </si>
  <si>
    <t>3349274</t>
  </si>
  <si>
    <t>СВ</t>
  </si>
  <si>
    <t>10113020 т/п Вяземский</t>
  </si>
  <si>
    <t>01.08.2023</t>
  </si>
  <si>
    <t>10013160/010823/3342116</t>
  </si>
  <si>
    <t>3342116</t>
  </si>
  <si>
    <t>Ин</t>
  </si>
  <si>
    <t>30.08.2023</t>
  </si>
  <si>
    <t>10005030/300823/3232114</t>
  </si>
  <si>
    <t>10005030</t>
  </si>
  <si>
    <t>3232114</t>
  </si>
  <si>
    <t>28429, ONTARIO, STRATHROY, N7G3H6 CENTRE ROAD RR,</t>
  </si>
  <si>
    <t>CA</t>
  </si>
  <si>
    <t>CPT</t>
  </si>
  <si>
    <t>МОСКВА</t>
  </si>
  <si>
    <t>11</t>
  </si>
  <si>
    <t>10001020 т/п Аэропорт Внуково (грузовой)</t>
  </si>
  <si>
    <t>ИНДЮШАЧЬИ ЯЙЦА ДЛЯ ИНКУБАЦИИ. ПОРОДА MELEAGRIS GALLOPAVO L. "БЕЛАЯ ШИРОКОГРУДАЯ" (HCONV), КРОСС ХАЙБРИД КОНВЕРТЕР, КАТЕГОРИЯ БРОЙЛЕР, НЕ ПЛЕМЕННЫЕ, РАЗМЕЩЕНЫ В КАРТОННЫХ КАССЕТАХ ПО ДВАДЦАТЬ (20) ЯИЦ В КАЖДОЙ И УПАКОВАНО В ОРИГИНАЛЬНЫЕ КАРТОННЫЕ</t>
  </si>
  <si>
    <t>20.08.2023</t>
  </si>
  <si>
    <t>10005030/200823/3221966</t>
  </si>
  <si>
    <t>3221966</t>
  </si>
  <si>
    <t>, , RR #5-28429 CENTRE ROAD, STRATHROY ON N76 3H6,</t>
  </si>
  <si>
    <t>263034881</t>
  </si>
  <si>
    <t>ООО "СПП"</t>
  </si>
  <si>
    <t>453854, РЕСПУБЛИКА БАШКОРТОСТАН, М.Р-Н МЕЛЕУЗОВСКИЙ, Г.МЕЛЕУЗ, УЛ.СОВХОЗНАЯ, ЗДА</t>
  </si>
  <si>
    <t>ОПЛОДОТВОРЕННЫЕ ЯЙЦА ИНДЮШАЧЬИ ДЛЯ ИНКУБАЦИИ, КОД ОКП 98 4766 (ОКПД2 01.47.23.140): ЦЕЛЬ ВВОЗА - ДЛЯ ИНКУБИРОВАНИЯ.</t>
  </si>
  <si>
    <t>CUDDY FARMS</t>
  </si>
  <si>
    <t>19.08.2023</t>
  </si>
  <si>
    <t>10005030/190823/3221665</t>
  </si>
  <si>
    <t>3221665</t>
  </si>
  <si>
    <t>N7G3H6, ONTARIO, STRATHROY, 28429 CENTRAL ROAD, R.</t>
  </si>
  <si>
    <t>1177746508235</t>
  </si>
  <si>
    <t>7751046971</t>
  </si>
  <si>
    <t>ООО "ЭГМАРТ"</t>
  </si>
  <si>
    <t>108841, , Г. МОСКВА, Г. ТРОИЦК, УЛ. ТЕКСТИЛЬЩИКОВ, ДОМ 3 КОР. 3, ОФ. 4,</t>
  </si>
  <si>
    <t>45000</t>
  </si>
  <si>
    <t>775101001</t>
  </si>
  <si>
    <t>Г МОСКВА</t>
  </si>
  <si>
    <t>ОПЛОДОТВОРЕННЫЕ ИНКУБАЦИОННЫЕ ЯЙЦА ИНДЕЕК (MELEAGRIS GALLOPAVAL.), ДЛЯ ИНКУБАЦИИ И ВЫВЕДЕНИЯ ИНДЕЕК, ДЛЯ ПОСЛЕДУЮЩЕГО ВЫРАЩИВАНИЯ И УБОЯ НА МЯСО. КРОССА "HYBRID CONVERTER"(БЕЛАЯ ШИРОКОГРУДАЯ), СВЕЖИЕ (В КОРОБКЕ ПО 200 ШТ.):</t>
  </si>
  <si>
    <t>10005030/190823/3221568</t>
  </si>
  <si>
    <t>3221568</t>
  </si>
  <si>
    <t>AVIAGEN TURKEYS LTD.</t>
  </si>
  <si>
    <t>, CHESTER CH3 9GA, TATTENHALL, CHOWLEY OAK BUSINES</t>
  </si>
  <si>
    <t>GB</t>
  </si>
  <si>
    <t>DAP</t>
  </si>
  <si>
    <t>ПЛЕМЕННЫЕ ИНДЮШАЧЬИ ЯЙЦА ДЛЯ ИНКУБАЦИИ, ОПЛОДОТВОРЁННЫЕ, ДЛЯ ВЫВЕДЕНИЯ РОДИТЕЛЬСКОГО СТАДА MELEAGRIS GALLOPAVO L. ПОРОДЫ БЕЛАЯ ШИРОКОГРУДАЯ BIG 6, РАЗМЕЩЕННЫЕ С ЦЕЛЬЮ ПРЕДОТВРАЩЕНИЯ БОЯ И УНИЧТОЖЕНИЯ В КАРТОННЫХ КОРОБКАХ.</t>
  </si>
  <si>
    <t>...</t>
  </si>
  <si>
    <t>AVIAGEN TURKEYS INC.</t>
  </si>
  <si>
    <t>ОООО-ПС</t>
  </si>
  <si>
    <t>10005030/190823/3221529</t>
  </si>
  <si>
    <t>3221529</t>
  </si>
  <si>
    <t>CUDDY FARMS, A DIVISION OF HENDRIX GENETICS LIMITED</t>
  </si>
  <si>
    <t>N7G3H6, ONTARIO, STRATHROY, ROUTE # 5,</t>
  </si>
  <si>
    <t>1132651023570</t>
  </si>
  <si>
    <t>2624801566</t>
  </si>
  <si>
    <t>ООО "ПТИЧИЙ ДВОР"</t>
  </si>
  <si>
    <t>356800, СТАВРОПОЛЬСКИЙ КРАЙ, Г. БУДЕННОВСК, УЛ. ВОДНИКОВ, Д.7,</t>
  </si>
  <si>
    <t>07000</t>
  </si>
  <si>
    <t>262401001</t>
  </si>
  <si>
    <t>СВЕЖИЕ ОПЛОДОТВОРЕННЫЕ ИНКУБАЦИОННЫЕ ЯЙЦА ИНДЕЙКИ (TURKEY HATCHING EGGS), ЛАТИНСКОЕ НАЗВАНИЕ ВИДА "MELEAGRIS GALLOPAVO L." ПОРОДЫ ХАЙБРИД КОНВЕРТЕР, ДЛЯ ИНКУБАЦИИ, ДЛЯ ПОСЛЕДУЮЩЕГО ВЫРАЩИВАНИЯ И УБОЯ НА МЯСО</t>
  </si>
  <si>
    <t>17.08.2023</t>
  </si>
  <si>
    <t>10005030/170823/3220327</t>
  </si>
  <si>
    <t>3220327</t>
  </si>
  <si>
    <t>14.08.2023</t>
  </si>
  <si>
    <t>10005030/140823/3216844</t>
  </si>
  <si>
    <t>3216844</t>
  </si>
  <si>
    <t>ИНДЮШАЧЬИ ЯЙЦА ДЛЯ ИНКУБАЦИИ, ПОРОДА MELEAGRIS GALLOPAVO L. "БЕЛАЯ ШИРОКОГРУДАЯ" (HCONV), КРОСС ХАЙБРИД КОНВЕРТЕР. КАТЕГОРИЯ БРОЙЛЕР, НЕ ПЛЕМЕННЫЕ, РАЗМЕЩЕНЫ В КАРТОННЫХ КАССЕТАХ ПО ДВАДЦАТЬ (20) ЯИЦ В КАЖДОЙ И УПАКОВАНО В ОРИГИНАЛЬНЫЕ КАРТОННЫЕ</t>
  </si>
  <si>
    <t>13.08.2023</t>
  </si>
  <si>
    <t>10005030/130823/3215662</t>
  </si>
  <si>
    <t>3215662</t>
  </si>
  <si>
    <t>1144813001046</t>
  </si>
  <si>
    <t>4805016071</t>
  </si>
  <si>
    <t>ООО "КРИВЕЦ-ПТИЦА"</t>
  </si>
  <si>
    <t>399174, ЛИПЕЦКАЯ ОБЛ., ДОБРОВСКИЙ РАЙОН, СЕЛО КРИВЕЦ, УЛ. НОВАЯ, Д.2, ПОМЕЩЕНИЕ</t>
  </si>
  <si>
    <t>42000</t>
  </si>
  <si>
    <t>480501001</t>
  </si>
  <si>
    <t>ОПЛОДОТВОРЕННЫЕ ЯЙЦА ИНДЮШАЧЬИ ДЛЯ ИНКУБАЦИИ, КОД ОКП 98 4766 (ОКПД2 01.47.23.140): ЦЕЛЬ ВВОЗА: ИНКУБИРОВАНИЕ И ДАЛЬНЕЙШЕЕ ВЫРАЩИВАНИЕ.</t>
  </si>
  <si>
    <t>12.08.2023</t>
  </si>
  <si>
    <t>10005030/120823/3215350</t>
  </si>
  <si>
    <t>3215350</t>
  </si>
  <si>
    <t>CUDDY FARMS A DIVISION OF HENDRIX GENETICS LTD</t>
  </si>
  <si>
    <t>N7G 3H6, ONTARIO, STRATHROY, CENTRE ROAD, RR#5, 28</t>
  </si>
  <si>
    <t>1116829006910</t>
  </si>
  <si>
    <t>6829076796</t>
  </si>
  <si>
    <t>ООО "ТАМБОВСКАЯ ИНДЕЙКА"</t>
  </si>
  <si>
    <t>392000, ТАМБОВСКАЯ ОБЛ., ТАМБОВ, УЛ. СТУДЕНЕЦКАЯ, Д.16А, КОРП.1, ПОМ.16</t>
  </si>
  <si>
    <t>68000</t>
  </si>
  <si>
    <t>682901001</t>
  </si>
  <si>
    <t>ЯЙЦА ИНДЕЕК ДОМАШНИХ. СВЕЖИЕ, ОПЛОДОТВОРЕННЫЕ ДЛЯ ИНКУБАЦИИ, ПОРОДЫ HYBRID CONVERTER, НЕ ПЛЕМЕННЫЕ, ДЛЯ ПОСЛЕДУЮЩЕГО ВЫРАЩИВАНИЯ И УБОЯ НА МЯСО СВЕЖЕЕ, В КАРТОННЫХ КОРОБКАХ</t>
  </si>
  <si>
    <t>10005030/120823/3215210</t>
  </si>
  <si>
    <t>3215210</t>
  </si>
  <si>
    <t>10.08.2023</t>
  </si>
  <si>
    <t>10005030/100823/3213832</t>
  </si>
  <si>
    <t>3213832</t>
  </si>
  <si>
    <t>10005030/050823/5009453</t>
  </si>
  <si>
    <t>5009453</t>
  </si>
  <si>
    <t>ОПЛОДОТВОРЕННЫЕ ИНКУБАЦИОННЫЕ ЯЙЦА ИНДЕЕК (MELEAGRIS GALLOPAVAL.). ДЛЯ ИНКУБАЦИИ И ВЫВЕДЕНИЯ ИНДЕЕК, ДЛЯ ПОСЛЕДУЮЩЕГО ВЫРАЩИВАНИЯ И УБОЯ НА МЯСО, КРОССА "HYBRID CONVERTER"(БЕЛАЯ ШИРОКОГРУДАЯ), СВЕЖИЕ (В КОРОБКЕ ПО 200 ШТ.):</t>
  </si>
  <si>
    <t>10005030/050823/3208921</t>
  </si>
  <si>
    <t>3208921</t>
  </si>
  <si>
    <t>28429, ONTARIO, STRATHROY N7G 3H6, ROUTE #5,</t>
  </si>
  <si>
    <t>1193668026507</t>
  </si>
  <si>
    <t>3613005236</t>
  </si>
  <si>
    <t>ООО "ДОНСКАЯ ИНДЕЙКА"</t>
  </si>
  <si>
    <t>396347, ВОРОНЕЖСКАЯ ОБЛАСТЬ, М.Р-Н КАШИРСКИЙ, С.П. ДЗЕРЖИНСКОЕ, П.ИМ.ДЗЕРЖИНСКОГ</t>
  </si>
  <si>
    <t>20000</t>
  </si>
  <si>
    <t>361301001</t>
  </si>
  <si>
    <t>ОПЛОДОТВОРЕННЫЕ ЯЙЦА ИНДЮШАЧЬИ ДЛЯ ИНКУБАЦИИ, КОД ОКП 98 4766 (ОКПД2 01.47.23.140):</t>
  </si>
  <si>
    <t>07.08.2023</t>
  </si>
  <si>
    <t>10805010/070823/5003781</t>
  </si>
  <si>
    <t>10805010</t>
  </si>
  <si>
    <t>5003781</t>
  </si>
  <si>
    <t>PARTIZ 2000 KFT.</t>
  </si>
  <si>
    <t>5540, , SZARVAS, RACOKZI U.6/1,</t>
  </si>
  <si>
    <t>SZARVAS</t>
  </si>
  <si>
    <t>10113100 т/п Стабнинский</t>
  </si>
  <si>
    <t>ОПЛОДОТВОРЕННЫЕ НЕПЛЕМЕННЫЕ ИНКУБАЦИОННЫЕ ЯЙЦА ИНДЕЙКИ (TURKEY HATCHING EGGS), ДЛЯ ИНКУБАЦИИ, ДЛЯ ПОСЛЕДУЮЩЕГО ВЫРАЩИВАНИЯ И УБОЯ НА МЯСО, СВЕЖИЕ, ПО 200 ШТ В КОРОБКЕ.</t>
  </si>
  <si>
    <t>PARTIZ 2000</t>
  </si>
  <si>
    <t>GALLI-EGGS KFT., ПЛЕМЗАВОД HU1009994</t>
  </si>
  <si>
    <t>31.08.2023</t>
  </si>
  <si>
    <t>10131010/310823/3299352</t>
  </si>
  <si>
    <t>10131010</t>
  </si>
  <si>
    <t>3299352</t>
  </si>
  <si>
    <t>MOORGUT KARTZFEHN TURKEY BREEDER GMBH</t>
  </si>
  <si>
    <t>26219, ., BOSEL, KARTZ-VON-KAMEKE-ALLEE, 7</t>
  </si>
  <si>
    <t>DE</t>
  </si>
  <si>
    <t>ТАМБОВ</t>
  </si>
  <si>
    <t>31</t>
  </si>
  <si>
    <t>22121027/3292/0000/2/1</t>
  </si>
  <si>
    <t>11209103-11209103</t>
  </si>
  <si>
    <t>БРЯНСКАЯ ОБЛ.</t>
  </si>
  <si>
    <t>Г.НОВОЗЫБКОВ</t>
  </si>
  <si>
    <t>УЛ.РОС</t>
  </si>
  <si>
    <t>10102073 ОТО и ТК №3 т/п Новозыбковский</t>
  </si>
  <si>
    <t>ЯЙЦА ИНДЕЕК ДОМАШНИХ, СВЕЖИЕ, ОПЛОДОТВОРЕННЫЕ ДЛЯ ИНКУБАЦИИ, ПОРОДЫ BUT BIG-6 (WHITE WIDE CASE), НЕ ПЛЕМЕННЫЕ, ДЛЯ ПОСЛЕДУЮЩЕГО ВЫРАЩИВАНИЯ И УБОЯ НА МЯСО СВЕЖЕЕ, В КАРТОННЫХ КОРОБКАХ</t>
  </si>
  <si>
    <t>KARTZFEHN</t>
  </si>
  <si>
    <t>KARTZFEHN MARKISCHE PUTEN GMBH</t>
  </si>
  <si>
    <t>АЛИМПИЕВА</t>
  </si>
  <si>
    <t>28.08.2023</t>
  </si>
  <si>
    <t>10418010/280823/3119021</t>
  </si>
  <si>
    <t>10418010</t>
  </si>
  <si>
    <t>3119021</t>
  </si>
  <si>
    <t>49290, , MAUGES SUR LOIRE, LA BOHARDIERE ; BP 1 -</t>
  </si>
  <si>
    <t>FR</t>
  </si>
  <si>
    <t>МЕЛЕУЗ</t>
  </si>
  <si>
    <t>ОПЛОДОТВОРЕННЫЕ ЯЙЦА ИНДЮШАЧЬИ ДЛЯ ИНКУБАЦИИ, КОД ОКП 98 4766 (ОКПД2 01.47.23.140): ЦЕЛЬ ВВОЗА - ДЛЯ ИНКУБИРОВАНИЯ И ДАЛЬНЕЙШЕГО ВЫРАЩИВАНИЯ.</t>
  </si>
  <si>
    <t>02.08.2023</t>
  </si>
  <si>
    <t>10418010/020823/3107226</t>
  </si>
  <si>
    <t>3107226</t>
  </si>
  <si>
    <t>BRANKO NITRA, A.S.</t>
  </si>
  <si>
    <t>94905, , NITRA, NOVOZAMOCKA 184,</t>
  </si>
  <si>
    <t>SK</t>
  </si>
  <si>
    <t>PRODUKCNA FARMA PODHORANY (SK- RH-NR-18)</t>
  </si>
  <si>
    <t>21.08.2023</t>
  </si>
  <si>
    <t>10131010/210823/5018415</t>
  </si>
  <si>
    <t>5018415</t>
  </si>
  <si>
    <t>GRIMAUD FRERES SELECTION S.A.S.</t>
  </si>
  <si>
    <t>49450, , SEVREMOINE, 3 LA CORBIERE-ROUSSAY,</t>
  </si>
  <si>
    <t>1173668015586</t>
  </si>
  <si>
    <t>3627030120</t>
  </si>
  <si>
    <t>ООО "АЛГА"</t>
  </si>
  <si>
    <t>397902, ВОРОНЕЖСКАЯ ОБЛАСТЬ, ЛИСКИНСКИЙ Р-Н, Г. ЛИСКИ, ВОРОНЕЖСКАЯ УЛ, ЗД. 35/1,</t>
  </si>
  <si>
    <t>362701001</t>
  </si>
  <si>
    <t>ХУТОР УКРАИНСКИЙ</t>
  </si>
  <si>
    <t>10013070 т/п Красноармейский</t>
  </si>
  <si>
    <t>ОПЛОДОТВОРЕННЫЕ ИНКУБАЦИОННЫЕ ЯЙЦА РОДИТЕЛЬСКОГО СТАДА ПЛЕМЕННОЙ ПЕКИНСКОЙ УТКИ, ДЛЯ ИНКУБАЦИИ И ВЫВЕДЕНИЯ ПОРОДЫ ПЕКИНСКИХ УТОК, СВЕЖИЕ, (В ОДНОЙ КОРОБКЕ 200 ШТ. )</t>
  </si>
  <si>
    <t>GRIMAUD FRERES</t>
  </si>
  <si>
    <t>0407191900</t>
  </si>
  <si>
    <t>10131010/210823/3288849</t>
  </si>
  <si>
    <t>3288849</t>
  </si>
  <si>
    <t>"HENDRIX GENETICS TURKEYS FRANCE SAS"</t>
  </si>
  <si>
    <t>49290, MAUGES SUR LOIRE, SAINT LAURENT DE LA PLAIN</t>
  </si>
  <si>
    <t>ПЕРВОМАЙСКИЙ, ТАМБОВ. ОБЛ.</t>
  </si>
  <si>
    <t>ЯЙЦА ИНДЕЕК ДОМАШНИХ, СВЕЖИЕ, ОПЛОДОТВОРЕННЫЕ ДЛЯ ИНКУБАЦИИ, ПОРОДЫ HYBRID CONVERTER, НЕ ПЛЕМЕННЫЕ, ДЛЯ ПОСЛЕДУЮЩЕГО ВЫРАЩИВАНИЯ И УБОЯ НА МЯСО СВЕЖЕЕ. В КАРТОННЫХ КОРОБКАХ</t>
  </si>
  <si>
    <t>18.08.2023</t>
  </si>
  <si>
    <t>10131010/180823/3286446</t>
  </si>
  <si>
    <t>3286446</t>
  </si>
  <si>
    <t>ЯЙЦА ИНДЕЕК ДОМАШНИХ. СВЕЖИЕ, ОПЛОДОТВОРЕННЫЕ ДЛЯ ИНКУБАЦИИ, ПОРОДЫ BUT BIG-6 (WHITE WIDE CASE), НЕ ПЛЕМЕННЫЕ, ДЛЯ ПОСЛЕДУЮЩЕГО ВЫРАЩИВАНИЯ И УБОЯ НА МЯСО СВЕЖЕЕ, В КАРТОННЫХ КОРОБКАХ</t>
  </si>
  <si>
    <t>10131010/130823/3279866</t>
  </si>
  <si>
    <t>3279866</t>
  </si>
  <si>
    <t>49290, , MAUGES SUR LOIRE, B.P.1-LA BOHARDIERE SAI</t>
  </si>
  <si>
    <t>396350, ВОРОНЕЖСКАЯ ОБЛАСТЬ, КАШИРСКИЙ РАЙОН, П. ИМ. ДЗЕРЖИНСКОЕ, УЛ. ПОЛЕВАЯ,,</t>
  </si>
  <si>
    <t>П. ИМ. ДЗЕРЖИНСКОГО</t>
  </si>
  <si>
    <t>ОПЛОДОТВОРЕННЫЕ ИНКУБАЦИОННЫЕ ЯЙЦА ИНДЕЕК (MELEAGRUS GAILOPANO L), ДЛЯ ИНКУБАЦИИ И ВЫВЕДЕНИЯ ИНДЕЕК, ДЛЯ ПОСЛЕДУЮЩЕГО ВЫРАЩИВАНИЯ И УБОЯ НА МЯСО, СВЕЖИЕ, (В КОРОБКЕ 10 ЛОТКОВ ПО 20 ШТ.):</t>
  </si>
  <si>
    <t>10131010/050823/5013823</t>
  </si>
  <si>
    <t>5013823</t>
  </si>
  <si>
    <t>31.07.2023</t>
  </si>
  <si>
    <t>10620010/310723/3112817</t>
  </si>
  <si>
    <t>10620010</t>
  </si>
  <si>
    <t>3112817</t>
  </si>
  <si>
    <t>49450, SEVREMOINE, ROUSSAY, 3 LA CORBIERE,</t>
  </si>
  <si>
    <t>1165476055030</t>
  </si>
  <si>
    <t>5446017473</t>
  </si>
  <si>
    <t>ООО ПФ "УЛЫБИНО"</t>
  </si>
  <si>
    <t>633204, НОВОСИБИРСКАЯ ОБЛАСТЬ, Г.ИСКИТИМ, УЛ.ЭЛЕВАТОРНАЯ, Д.5/1,ОФИС 310,</t>
  </si>
  <si>
    <t>50000</t>
  </si>
  <si>
    <t>544601001</t>
  </si>
  <si>
    <t>ИСКИТИМ</t>
  </si>
  <si>
    <t>23050005/2216/0004/2/1</t>
  </si>
  <si>
    <t>10609060-т/п Аэропорт Толмачево</t>
  </si>
  <si>
    <t>НОВОСИБИРСКАЯ ОБЛ.</t>
  </si>
  <si>
    <t>Г. ОБЬ</t>
  </si>
  <si>
    <t>ПР-КТ МОЗЖЕРИНА, СТР.1,СТР.22; АЭРОПОРТ ТОЛМАЧЕВО</t>
  </si>
  <si>
    <t>10609060 т/п Аэропорт Толмачево</t>
  </si>
  <si>
    <t>ОПЛОДОТВОРЕННЫЕ ЯЙЦА ДОМАШНЕЙ ПЕКИНСКОЙ УТКИ ДЛЯ ИНКУБАЦИИ</t>
  </si>
  <si>
    <t>0582-19-23-413</t>
  </si>
  <si>
    <t>КАЙГОРОДОВА ОЛЬГА СЕРГЕЕВНА</t>
  </si>
  <si>
    <t>10418010/310723/5008062</t>
  </si>
  <si>
    <t>5008062</t>
  </si>
  <si>
    <t>BRANKO NITRA, A. S.</t>
  </si>
  <si>
    <t>949 05, , NITRA, NOVOZAMOCKA, 184</t>
  </si>
  <si>
    <t>1191690037549</t>
  </si>
  <si>
    <t>1623014613</t>
  </si>
  <si>
    <t>ООО "БРАНКО РУС"</t>
  </si>
  <si>
    <t>422060, РЕСПУБЛИКА ТАТАРСТАН, САБИНСКИЙ РАЙОН, ПГТ. БОГАТЫЕ САБЫ, УЛ. ЗАВОДСКАЯ,</t>
  </si>
  <si>
    <t>92000</t>
  </si>
  <si>
    <t>162301001</t>
  </si>
  <si>
    <t>БОГАТЫЕ САБЫ</t>
  </si>
  <si>
    <t>23030299/2766/0000/2/1</t>
  </si>
  <si>
    <t>10113100-т/п Стабнинский</t>
  </si>
  <si>
    <t>СМОЛЕНСКАЯ ОБЛ., СМОЛЕНСКИЙ Р-ОН</t>
  </si>
  <si>
    <t>С.П.СТАБЕНСКОЕ</t>
  </si>
  <si>
    <t>СЕВЕРО-ВОСТОЧНЕЕ Д. СТАБНА, НА РАСТОЯНИИ 700 М</t>
  </si>
  <si>
    <t>ОПЛОДОТВОРЕННЫЕ ЯЙЦА ИНДЮШАЧЬИ СВЕЖИЕ,ДЛЯ ИНКУБАЦИИ (ВСЕГО 46000 ШТ) ЯЙЦО ИНКУБАЦИОННОЕ ИНДЕЙКИ MELEAGRIS GALLOPAVO L., ПОРОДЫ BUT BIG 6 , БЕЛАЯ ШИРОКОГРУДАЯ, ВЕС ЯЙЦА МЕЖДУ 75 - 100 Г, НЕ ЯВЛЯЕТСЯ ПЛЕМЕННЫМ, (УПАКОВАНО В КОРОБКАХ ПО 200 ШТ)(ФЕРМА RF</t>
  </si>
  <si>
    <t>КРАЙНОВА ЛЮДМИЛА АНАТОЛЬЕВНА</t>
  </si>
  <si>
    <t>10013160/310723/5007331</t>
  </si>
  <si>
    <t>5007331</t>
  </si>
  <si>
    <t>1175027024820</t>
  </si>
  <si>
    <t>5040151421</t>
  </si>
  <si>
    <t>ООО "БРОННИЦКАЯ ПТИЦЕФАБРИКА"</t>
  </si>
  <si>
    <t>140157, МОСКОВСКАЯ ОБЛ., РАМЕНСКИЙ Г. О., ПОС. РЫЛЕЕВО, УЛ. 4-Й КМ (АВТОДОРОГА М</t>
  </si>
  <si>
    <t>504001001</t>
  </si>
  <si>
    <t>НИТРА</t>
  </si>
  <si>
    <t>23010003/2551/0001/2/1</t>
  </si>
  <si>
    <t>СМОЛЕНСКАЯ ОБЛ., СМОЛЕНСКИЙ Р-Н</t>
  </si>
  <si>
    <t>С.П. СТАБЕНСКОЕ</t>
  </si>
  <si>
    <t>ОПЛОДОТВОРЕННЫЕ НЕПЛЕМЕННЫЕ ИНКУБАЦИОННЫЕ ЯЙЦА ИНДЕЙКИ (MELAGRIS GALLOPAVO L.) ДЛЯ ИНКУБАЦИИ И ВЫВЕДЕНИЯ ПОРОДЫ ИНДЕЕК, ДЛЯ ПОСЛЕДУЮЩЕГО ВЫРАЩИВАНИЯ И УБОЯ НА МЯСО, СВЕЖИЕ, ПОРОДЫ БЕЛАЯ ШИРОКОГРУДАЯ, КРОСС БИГ 6, ВЕС ЯЙЦА 75-100 Г, УПАКОВАНО ВКАРТОНН</t>
  </si>
  <si>
    <t>BRANKO NITRA, A.S. ПЛЕМЗАВ.: SK-RH-NR-13</t>
  </si>
  <si>
    <t>КИРАКОСЯН АЗНИВ МЕРУЖАНОВНА</t>
  </si>
  <si>
    <t>10013160/310723/3340393</t>
  </si>
  <si>
    <t>3340393</t>
  </si>
  <si>
    <t>94905, , NITRA, NOVOZAMOCKA, 184</t>
  </si>
  <si>
    <t>С. ГОЛИЦЫНО</t>
  </si>
  <si>
    <t>20121482/1326/0000/2/1</t>
  </si>
  <si>
    <t>10413090-т/п Пензенский областной</t>
  </si>
  <si>
    <t>ПЕНЗЕНСКАЯ</t>
  </si>
  <si>
    <t>ПЕНЗА</t>
  </si>
  <si>
    <t>АУСТРИНА</t>
  </si>
  <si>
    <t>КУДЕЛЬКИН ВЛАДИМИР ВЛАДИМИРОВИЧ</t>
  </si>
  <si>
    <t>10013160/280823/3379543</t>
  </si>
  <si>
    <t>3379543</t>
  </si>
  <si>
    <t>1215000062364</t>
  </si>
  <si>
    <t>5040173714</t>
  </si>
  <si>
    <t>ООО "Р.И.П.С."</t>
  </si>
  <si>
    <t>140166, МОСКОВСКАЯ ОБЛАСТЬ, Г.О. РАМЕНСКИЙ, Д.ВЛАДИМИРОВКА, СТР.1, ПОМЕЩ.1,</t>
  </si>
  <si>
    <t>30</t>
  </si>
  <si>
    <t>ОПЛОДОТВОРЕННЫЕ НЕПЛЕМЕННЫЕ ИНКУБАЦИОННЫЕ ЯЙЦА ИНДЕЙКИ (MELAGRIS GALLOPAVO L.) ДЛЯ ИНКУБАЦИИ И ВЫВЕДЕНИЯ ПОРОДЫ ИНДЕЕК, ДЛЯ ПОСЛЕДУЮЩЕГО ВЫРАЩИВАНИЯ И УБОЯ НА МЯСО, СВЕЖИЕ, ПОРОДЫ БЕЛАЯ ШИРОКОГРУДАЯ</t>
  </si>
  <si>
    <t>BRANKO NITRA, A.S., ПЛЕМЗАВ.: SK-RH-NR-12</t>
  </si>
  <si>
    <t>10013160/280823/3379487</t>
  </si>
  <si>
    <t>3379487</t>
  </si>
  <si>
    <t>ОПЛОДОТВОРЕННЫЕ НЕПЛЕМЕННЫЕ ИНКУБАЦИОННЫЕ ЯЙЦА ИНДЕЙКИ (MELAGRIS GALLOPAVO L.) ДЛЯ ИНКУБАЦИИ И ВЫВЕДЕНИЯ ПОРОДЫ ИНДЕЕК, ДЛЯ ПОСЛЕДУЮЩЕГО ВЫРАЩИВАНИЯ И УБОЯ НА МЯСО. СВЕЖИЕ, ПОРОДЫ БЕЛАЯ ШИРОКОГРУДАЯ, КРОСС БИГ 6, ВЕС ЯЙЦА 75-100 Г, УПАКОВАНО В</t>
  </si>
  <si>
    <t>BRANKO NITRA, A.S. ПЛЕМЗАВ.: SK-RH-NR-12, SK-RH-NR-18</t>
  </si>
  <si>
    <t>27.08.2023</t>
  </si>
  <si>
    <t>10013160/270823/5012525</t>
  </si>
  <si>
    <t>5012525</t>
  </si>
  <si>
    <t>22.08.2023</t>
  </si>
  <si>
    <t>10013160/220823/3372136</t>
  </si>
  <si>
    <t>3372136</t>
  </si>
  <si>
    <t>30.07.2023</t>
  </si>
  <si>
    <t>10005030/300723/3202469</t>
  </si>
  <si>
    <t>3202469</t>
  </si>
  <si>
    <t>28429, ONТARIO, SТRAТHROY N7G 3H6, ROUТE #5, ...</t>
  </si>
  <si>
    <t>010</t>
  </si>
  <si>
    <t>23010677/3292/0000/2/1</t>
  </si>
  <si>
    <t>10001/311210/10001/10</t>
  </si>
  <si>
    <t>141400</t>
  </si>
  <si>
    <t>ТЕРРИТОРИЯ "АЭРОПОРТ ВНУКОВО", Д. 1, СТР. 19,,,.</t>
  </si>
  <si>
    <t>ОПЛОДОТВОРЕННЫЕ ЯЙЦА ИНДЮШАЧЬИ ДЛЯ ИНКУБАЦИИ, КОД ОКП 98 4766 (OКПД2 01.47.23.140):</t>
  </si>
  <si>
    <t>ДЕНИСОВ ОЛЕГ ВИТАЛЬЕВИЧ</t>
  </si>
  <si>
    <t>10131010/300723/3265983</t>
  </si>
  <si>
    <t>3265983</t>
  </si>
  <si>
    <t>26219, ., BOSEL, KARТZ-VON-KAMEKE-ALLEE, 7...</t>
  </si>
  <si>
    <t>10102/011010/10036/1</t>
  </si>
  <si>
    <t>243025</t>
  </si>
  <si>
    <t>УЛ.РОС,,,.</t>
  </si>
  <si>
    <t>ЯЙЦА ИНДЕЕК ДОМАШНИХ,СВЕЖИЕ,ОПЛОДОТВОРЕННЫЕ ДЛЯ ИНКУБАЦИИ,ПОРОДЫ BUT BIG-6 (WHITE WIDE CASE),НЕ ПЛЕМЕННЫЕ,ДЛЯ ПОСЛЕДУЮЩЕГО ВЫРАЩИВАНИЯ И УБОЯ НА МЯСО СВЕЖЕЕ,В КАРТОННЫХ КОРОБКАХ</t>
  </si>
  <si>
    <t>0933/01-20-010</t>
  </si>
  <si>
    <t>АЛИМПИЕВА АННА ВАЛЕРЬЕВНА</t>
  </si>
  <si>
    <t>25.07.2023</t>
  </si>
  <si>
    <t>10005030/250723/3198023</t>
  </si>
  <si>
    <t>3198023</t>
  </si>
  <si>
    <t>, , RR #5-28429 CENТRE ROAD, SТRAТHROY ON N76 3H6, ...</t>
  </si>
  <si>
    <t>22121474/3292/0000/2/1</t>
  </si>
  <si>
    <t>ОПЛОДОТВОРЕННЫЕ ЯЙЦА ИНДЮШАЧЬИ ДЛЯ ИНКУБАЦИИ, КОД ОКП 98 4766 (ОКПД2 01.47.23.140): ЦЕЛЬ ВВОЗА: ИНКУБИРOВАНИЕ И ДАЛЬНЕЙШЕЕ ВЫРАЩИВАНИЕ.</t>
  </si>
  <si>
    <t>ШАДРИН ДЕНИС НИКОЛАЕВИЧ</t>
  </si>
  <si>
    <t>24.07.2023</t>
  </si>
  <si>
    <t>10013160/240723/3330597</t>
  </si>
  <si>
    <t>3330597</t>
  </si>
  <si>
    <t>49450, , SEVREMOINE, ROUSSAY, RA3 LA CORBIERE, ...</t>
  </si>
  <si>
    <t>1217700533511</t>
  </si>
  <si>
    <t>9704098398</t>
  </si>
  <si>
    <t>ООО "ИМПОРТЭГГЗ"</t>
  </si>
  <si>
    <t>117393, , МОСКВА, УЛ. АРХИТЕКТОРА ВЛАСОВА, Д. 55</t>
  </si>
  <si>
    <t>772801001</t>
  </si>
  <si>
    <t>MESLAY DU MAINE</t>
  </si>
  <si>
    <t>23070368/0354/0000/2/1</t>
  </si>
  <si>
    <t>10013/200111/10045/6</t>
  </si>
  <si>
    <t>215119</t>
  </si>
  <si>
    <t>МОСКОВСКАЯ ОБЛ.</t>
  </si>
  <si>
    <t>Г. КРАСНОЗНАМЕНСК</t>
  </si>
  <si>
    <t>УЛ. БЕРЕЗОВАЯ АЛЛЕЯ 1/2; ОТКР.ПЛОЩАДКА: МО, Г. КРА</t>
  </si>
  <si>
    <t>ИHКУБАЦИОННЫЕ ЯЙЦА ДОМАШНЕЙ ПТИЦЫ (УТИНЫЕ), ОПЛОДОТВОРЁННЫЕ (ДЛЯ ИНКУБАЦИИ). РАЗМЕЩЕНЫ С ЦЕЛЬЮ ПРЕДОТВРАЩЕНИЯ БОЯ И УНИЧТОЖЕНИЯ В КАРТОННЫХ КОРОБКАХ (200 ЯИЦ В ОДНОЙ КОРОБКЕ)</t>
  </si>
  <si>
    <t>ПЯТАЕВ АЛЕКСЕЙ АНАТОЛЬЕВИЧ</t>
  </si>
  <si>
    <t>10805010/240723/3012104</t>
  </si>
  <si>
    <t>3012104</t>
  </si>
  <si>
    <t>5540, , SZARVAS, RACOKZI U.6/1, ...</t>
  </si>
  <si>
    <t>22050611/2673/0000/2/1</t>
  </si>
  <si>
    <t>СЕВЕРО-ВОСТОЧНЕЕ Д. СТАБНА, НА РАСТОЯНИИ 700 М,,,.</t>
  </si>
  <si>
    <t>ПИЛИПЕНКО ОЛЬГА НИКОЛАЕВНА</t>
  </si>
  <si>
    <t>23.07.2023</t>
  </si>
  <si>
    <t>10005030/230723/3195878</t>
  </si>
  <si>
    <t>3195878</t>
  </si>
  <si>
    <t>, , RR #5-28429 CENTRE ROAD, STRATHROY ON N76 3H6, .,..</t>
  </si>
  <si>
    <t>22120357/3292/0006/2/1</t>
  </si>
  <si>
    <t>ОПЛОДОТВОРЕННЫЕ ЯЙЦА ИНДЮШАЧЬИ ДЛЯ ИНКУБАЦИИ, КОД ОКП 98 4766 (ОКПД2 01.47.23.140): ЦЕЛЬ ВBОЗА - ДЛЯ ИНКУБИРОВАНИЯ.</t>
  </si>
  <si>
    <t>БАЕРОВ АНДРЕЙ ВАСИЛЬЕВИЧ</t>
  </si>
  <si>
    <t>22.07.2023</t>
  </si>
  <si>
    <t>10005030/220723/5006764</t>
  </si>
  <si>
    <t>5006764</t>
  </si>
  <si>
    <t>N7G3H6, ONTARIO, STRATHROY, 28429 CENTRAL ROAD, R.R. # 5, .,..</t>
  </si>
  <si>
    <t>22122630/3292/0000/2/1</t>
  </si>
  <si>
    <t>141800</t>
  </si>
  <si>
    <t>ОПЛОДОТВОРЕННЫЕ ИНКУБАЦИОННЫЕ ЯЙЦА ИНДЕЕК (MELEAGRIS GALLOPAVAL.), ДЛЯ ИНКУБАЦИИ И ВЫВЕДЕНИЯ ИНДЕЕК, ДЛЯ ПОСЛЕДУЮЩЕГО ВЫРАЩИВАНИЯ И УБОЯ НА МЯСО, КРОССА "HYBRID CONVERTER"(БЕЛАЯ ШИРОКОГРУДАЯ), СВЕЖИЕ (В КОРОБКЕ ПО 200 ШT.):</t>
  </si>
  <si>
    <t>ЕФРЕМОВ СЕРГЕЙ АРКАДЬЕВИЧ</t>
  </si>
  <si>
    <t>10005030/220723/3195512</t>
  </si>
  <si>
    <t>3195512</t>
  </si>
  <si>
    <t>28429, ONTARIO, STRATHROY N7G 3H6, ROUTE #5, .,..</t>
  </si>
  <si>
    <t>1165658075703</t>
  </si>
  <si>
    <t>5607141393</t>
  </si>
  <si>
    <t>ООО "ВОСТОЧНАЯ-АГРО"</t>
  </si>
  <si>
    <t>462353, ОРЕНБУРГСКАЯ ОБЛАСТЬ, Г.НОВОТРОИЦК, УЛ. ЗАВОДСКАЯ, Д.1,</t>
  </si>
  <si>
    <t>53000</t>
  </si>
  <si>
    <t>560701001</t>
  </si>
  <si>
    <t>CAD</t>
  </si>
  <si>
    <t>22120471/3292/0006/2/1</t>
  </si>
  <si>
    <t>141426</t>
  </si>
  <si>
    <t>21.07.2023</t>
  </si>
  <si>
    <t>10013160/210723/3327588</t>
  </si>
  <si>
    <t>3327588</t>
  </si>
  <si>
    <t>4181, , NADUDVAR, FO UT 119, .,..</t>
  </si>
  <si>
    <t>22120524/3292/0000/2/1</t>
  </si>
  <si>
    <t>АУСТРИНА,,,.</t>
  </si>
  <si>
    <t>ИНДЮШАЧЬИ ЯЙЦА ДЛЯ ИНКУБАЦИИ, ОПЛОДОТВОРЕННЫЕ, MELEAGRIS GALLOPAVO L., ПОРОДА БЕЛАЯ ШИРОКОГРУДАЯ КРОССА БИГ-6, РАЗМЕЩЕНЫ С ЦЕЛЬЮ ПРЕДОТВРАЩЕНИЯ БОЯ И УНИЧТОЖEНИЯ В КАРТОННЫХ КОРОБКАХ</t>
  </si>
  <si>
    <t>20.07.2023</t>
  </si>
  <si>
    <t>10131010/190723/5009183</t>
  </si>
  <si>
    <t>19.07.2023</t>
  </si>
  <si>
    <t>5009183</t>
  </si>
  <si>
    <t>26219, ., BOSEL, KARTZ-VON-KAMEKE-ALLEE, 7.,..</t>
  </si>
  <si>
    <t>ЯЙЦА ИНДЕЕК ДОМАШНИХ, СBЕЖИЕ, ОПЛОДОТВОРЕННЫЕ ДЛЯ ИНКУБАЦИИ, ПОРОДЫ BUT BIG-6 (WHITE WIDE CASE), НЕ ПЛЕМЕННЫЕ, ДЛЯ ПОСЛЕДУЮЩЕГО ВЫРАЩИВАНИЯ И УБОЯ НА МЯСО СВЕЖЕЕ, В КАРТОННЫХ КОРОБКАХ</t>
  </si>
  <si>
    <t>10005030/190723/3192627</t>
  </si>
  <si>
    <t>3192627</t>
  </si>
  <si>
    <t>, CHESTER CH3 9GA, TATTENHALL, CHOWLEY OAK BUSINESS PARK, CHOWLEY 5.,..</t>
  </si>
  <si>
    <t>22030808/3292/0000/2/1</t>
  </si>
  <si>
    <t>МОСКОВСКАЯ</t>
  </si>
  <si>
    <t>ТЕРРИТОРИЯ АЭРОПОРТА</t>
  </si>
  <si>
    <t>"ВНУКОВО" СТР.19,,,.</t>
  </si>
  <si>
    <t>ПЛЕМЕННЫЕ ИНДЮШАЧЬИ ЯЙЦА ДЛЯ ИНКУБАЦИИ, ОПЛОДОТВОРЁННЫЕ, ДЛЯ ВЫВEДЕНИЯ РОДИТЕЛЬСКОГО СТАДА MELEAGRIS GALLOPAVO L. ПОРОДЫ БЕЛАЯ ШИРОКОГРУДАЯ BIG 6, РАЗМЕЩЕННЫЕ С ЦЕЛЬЮ ПРЕДОТВРАЩЕНИЯ БОЯ И УНИЧТОЖЕНИЯ В КАРТОННЫХ КОРОБКАХ.</t>
  </si>
  <si>
    <t>10005030/190723/3192650</t>
  </si>
  <si>
    <t>3192650</t>
  </si>
  <si>
    <t>ОПЛОДОТВОРЕННЫЕ ЯЙЦА ИНДЮШАЧЬИ ДЛЯ ИНКУБАЦИИ,КОД ОКП 98 4766 (ОКПД2 01.47.23.140): ЦЕЛЬ ВВОЗА - ДЛЯ ИНКУБИРОВАНИЯ.</t>
  </si>
  <si>
    <t>15.07.2023</t>
  </si>
  <si>
    <t>10013160/150723/5004172</t>
  </si>
  <si>
    <t>5004172</t>
  </si>
  <si>
    <t>4181, , NADUDVAR, FO UT 119, ,,</t>
  </si>
  <si>
    <t>ИНДЮШАЧЬИ ЯЙЦА ДЛЯ ИНКУБАЦИИ, ОПЛОДОТВОРЕННЫЕ, MELEAGRIS GALLOPAVO L.; ПОРОДА БЕЛАЯ ШИРОКОГРУДАЯ КРОССА БИГ-6, РАЗМЕЩЕНЫ С ЦЕЛЬЮ ПРЕДОТВРАЩЕНИЯ БОЯ И УНИЧТОЖЕНИЯ В КАРТОННЫХ КОРОБКАХ</t>
  </si>
  <si>
    <t>14.07.2023</t>
  </si>
  <si>
    <t>10013160/140723/5004015</t>
  </si>
  <si>
    <t>5004015</t>
  </si>
  <si>
    <t>26219, , BOSEL, KARTZ-VON-KAMEKE-ALLEE, 7,,</t>
  </si>
  <si>
    <t>20121446/1326/0000/2/1</t>
  </si>
  <si>
    <t>ИНДЮШАЧЬИ ЯЙЦА ДЛЯ ИНКУБАЦИИ, ОПЛОДОТВОРЕННЫЕ, MELEAGRIS GALLOPAVO L., ПОРОДА БЕЛАЯ ШИРОКОГРУДАЯ КРОССА БИГ-6, КАТЕГОРИЯ БРОЙЛЕР РАЗМЕЩЕНЫ С ЦЕЛЬЮ ПРЕДОТВРАЩЕНИЯ БОЯ И УНИЧТОЖЕНИЯ В КАРТОННЫХ КОРОБКАХ</t>
  </si>
  <si>
    <t>13.07.2023</t>
  </si>
  <si>
    <t>10013160/130723/5003818</t>
  </si>
  <si>
    <t>5003818</t>
  </si>
  <si>
    <t>ИНДЮШАЧЬИ ЯЙЦА ДЛЯ ИНКУБАЦИИ, ОПЛОДОТВОРЕННЫЕ, MELEAGRIS GALLOPAVO L., ПОРОДА БЕЛАЯ ШИРОКОГРУДАЯ КРОССА БИГ-6, РАЗМЕЩЕНЫ С ЦЕЛЬЮ ПРЕДОТВРАЩЕНИЯ БОЯ И УНИЧТОЖЕНИЯ В КАРТОННЫX КОРОБКАХ</t>
  </si>
  <si>
    <t>10.07.2023</t>
  </si>
  <si>
    <t>10323010/100723/3053577</t>
  </si>
  <si>
    <t>10323010</t>
  </si>
  <si>
    <t>3053577</t>
  </si>
  <si>
    <t>GRIMAUD FRERES SELECTION SAS</t>
  </si>
  <si>
    <t>49450, , ROUSSAY, 3 LA CORBIERE, ,,</t>
  </si>
  <si>
    <t>1026101066309</t>
  </si>
  <si>
    <t>6113000637</t>
  </si>
  <si>
    <t>АО ППФ "ЮБИЛЕЙНАЯ"</t>
  </si>
  <si>
    <t>347716, РОСТОВСКАЯ ОБЛ., КАГАЛЬНИЦКИЙ Р-Н, С. НОВОБАТАЙСК, ПЕР. БАЗАРНЫЙ, Д. 18</t>
  </si>
  <si>
    <t>60000</t>
  </si>
  <si>
    <t>611301001</t>
  </si>
  <si>
    <t>23060002/2766/0009/2/1</t>
  </si>
  <si>
    <t>ЧЕБОТАРЕВА ВИКТОРИЯ МИХАЙЛОВНА</t>
  </si>
  <si>
    <t>09.07.2023</t>
  </si>
  <si>
    <t>10013160/090723/5003568</t>
  </si>
  <si>
    <t>5003568</t>
  </si>
  <si>
    <t>4181, , NADUDVAR, FO UT 119, ..</t>
  </si>
  <si>
    <t>10805010/090723/5002557</t>
  </si>
  <si>
    <t>5002557</t>
  </si>
  <si>
    <t>5540, , SZARVAS, RACOKZI U.6/1, ..</t>
  </si>
  <si>
    <t>ОПЛОДОТВОРЕННЫЕ НЕПЛЕМЕННЫЕ ИНКУБАЦИОННЫЕ ЯЙЦА ИНДЕЙКИ (TURKEY HATCHING EGGS),ДЛЯ ИНКУБАЦИИ,ДЛЯ ПОСЛЕДУЮЩЕГО ВЫРАЩИВАНИЯ И УБОЯ НА МЯСО,СВЕЖИЕ,ПО 200 ШТ В КОРОБКЕ.</t>
  </si>
  <si>
    <t>10005030/090723/3182862</t>
  </si>
  <si>
    <t>3182862</t>
  </si>
  <si>
    <t>N7G 3H6, ONTARIO, STRATHROY, CENTRE ROAD, RR#5, 28429..</t>
  </si>
  <si>
    <t>22112282/3292/0000/2/1</t>
  </si>
  <si>
    <t>119027</t>
  </si>
  <si>
    <t>Г</t>
  </si>
  <si>
    <t>ТЕРРИТОРИЯ АЭРОПОРТ ВНУКОВО,,,.</t>
  </si>
  <si>
    <t>ЯЙЦА ИНДЕЕК ДОМАШНИХ, СВЕЖИЕ, ОПЛОДОТВОРЕННЫЕ ДЛЯ ИНКУБАЦИИ, ПОРОДЫ HYBRID CONVERTER, НЕ ПЛЕМЕННЫЕ, ДЛЯ ПОСЛЕДУЮЩЕГО ВЫРАЩИВАНИЯ И УБОЯ НА MЯСО СВЕЖЕЕ, В КАРТОННЫХ КОРОБКАХ</t>
  </si>
  <si>
    <t>08.07.2023</t>
  </si>
  <si>
    <t>10131010/070723/3244384</t>
  </si>
  <si>
    <t>07.07.2023</t>
  </si>
  <si>
    <t>3244384</t>
  </si>
  <si>
    <t>26219, ., BOSEL, KARTZ-VON-KAMEKE-ALLEE, 7..</t>
  </si>
  <si>
    <t>ЯЙЦА ИНДЕЕК ДОМАШНИХ, СВЕЖИЕ, ОПЛОДОТВOРЕННЫЕ ДЛЯ ИНКУБАЦИИ, ПОРОДЫ BUT BIG-6 (WHITE WIDE CASE), НЕ ПЛЕМЕННЫЕ, ДЛЯ ПОСЛЕДУЮЩЕГО ВЫРАЩИВАНИЯ И УБОЯ НА МЯСО СВЕЖЕЕ, В КАРТОННЫХ КОРОБКАХ</t>
  </si>
  <si>
    <t>10005030/080723/3182349</t>
  </si>
  <si>
    <t>3182349</t>
  </si>
  <si>
    <t>N7G3H6, ONTARIO, STRATHROY, 28429 CENTRAL ROAD, R.R. # 5, ..</t>
  </si>
  <si>
    <t>ОПЛОДОТВОРЕННЫЕ ИНКУБАЦИОННЫЕ ЯЙЦА ИНДЕЕК (MELEAGRIS GALLOPAVAL.), ДЛЯ ИНКУБАЦИИ И ВЫВЕДЕНИЯ ИНДЕЕК, ДЛЯ ПОСЛЕДУЮЩЕГО ВЫРАЩИВАНИЯ И УБОЯ НА MЯСО, КРОССА "HYBRID CONVERTER"(БЕЛАЯ ШИРОКОГРУДАЯ), СВЕЖИЕ (В КОРОБКЕ ПО 200 ШТ.):</t>
  </si>
  <si>
    <t>10005030/070723/3181790</t>
  </si>
  <si>
    <t>3181790</t>
  </si>
  <si>
    <t>28429, ONTARIO, STRATHROY N7G 3H6, ROUTE #5, ..</t>
  </si>
  <si>
    <t>10005030/070723/3181831</t>
  </si>
  <si>
    <t>3181831</t>
  </si>
  <si>
    <t>, , RR #5-28429 CENTRE ROAD, STRATHROY ON N76 3H6, ..</t>
  </si>
  <si>
    <t>ОПЛОДОТВОРЕННЫЕ ЯЙЦА ИHДЮШАЧЬИ ДЛЯ ИНКУБАЦИИ, КОД ОКП 98 4766 (ОКПД2 01.47.23.140): ЦЕЛЬ ВВОЗА - ДЛЯ ИНКУБИРОВАНИЯ.</t>
  </si>
  <si>
    <t>06.07.2023</t>
  </si>
  <si>
    <t>10005030/050723/3180011</t>
  </si>
  <si>
    <t>05.07.2023</t>
  </si>
  <si>
    <t>3180011</t>
  </si>
  <si>
    <t>, CHESTER CH3 9GA, TATTENHALL, CHOWLEY OAK BUSINESS PARK, CHOWLEY 5..</t>
  </si>
  <si>
    <t>ПЛЕМЕННЫЕ ИНДЮШАЧЬИ ЯЙЦА ДЛЯ ИНКУБАЦИИ, ОПЛОДОТВОРЁННЫЕ, ДЛЯ ВЫВЕДЕНИЯ РОДИТЕЛЬСКОГО СТАДА MELEAGRIS GALLOPAVO L. ПОРОДЫ БЕЛАЯ ШИРОКОГРУДАЯ BIG 6; РАЗМЕЩЕННЫЕ С ЦЕЛЬЮ ПРЕДОТВРАЩЕНИЯ БОЯ И УНИЧТОЖЕНИЯ В КАРТОННЫХ КОРОБКАХ.</t>
  </si>
  <si>
    <t>10013160/060723/3305043</t>
  </si>
  <si>
    <t>3305043</t>
  </si>
  <si>
    <t>ИНДЮШАЧЬИ ЯЙЦА ДЛЯ ИНКУБАЦИИ, ОПЛОДОТВОРЕННЫЕ, MELEAGRIS GALLOPAVO L., ПОРОДА БЕЛАЯ ШИРОКОГРУДАЯ КРОССА БИГ-6, РАЗMЕЩЕНЫ С ЦЕЛЬЮ ПРЕДОТВРАЩЕНИЯ БОЯ И УНИЧТОЖЕНИЯ В КАРТОННЫХ КОРОБКАХ</t>
  </si>
  <si>
    <t>04.07.2023</t>
  </si>
  <si>
    <t>10013160/030723/3300692</t>
  </si>
  <si>
    <t>03.07.2023</t>
  </si>
  <si>
    <t>3300692</t>
  </si>
  <si>
    <t>49450, , SEVREMOINE, ROUSSAY, RA3 LA CORBIERE, ..</t>
  </si>
  <si>
    <t>23060586/0354/0000/2/1</t>
  </si>
  <si>
    <t>ИНКУБАЦИОННЫЕ ЯЙЦА ДОМАШНЕЙ ПТИЦЫ (УТИНЫЕ); ОПЛОДОТВОРЁННЫЕ (ДЛЯ ИНКУБАЦИИ). РАЗМЕЩЕНЫ С ЦЕЛЬЮ ПРЕДОТВРАЩЕНИЯ БОЯ И УНИЧТОЖЕНИЯ В КАРТОННЫХ КОРОБКАХ (200 ЯИЦ В ОДНОЙ КОРОБКЕ)</t>
  </si>
  <si>
    <t>10131010/040723/3240063</t>
  </si>
  <si>
    <t>3240063</t>
  </si>
  <si>
    <t>49290, , MAUGES SUR LOIRE, B.P.1-LA BOHARDIERE SAINT LAURENT DE LA PLAINE, ..</t>
  </si>
  <si>
    <t>23010142/3292/0000/2/1</t>
  </si>
  <si>
    <t>10113/171210/10036/8</t>
  </si>
  <si>
    <t>Д. СТАБНА</t>
  </si>
  <si>
    <t>0035/03-20-2139</t>
  </si>
  <si>
    <t>ИЛЬИНА ОЛЬГА АЛЕКСАНДРОВНА</t>
  </si>
  <si>
    <t>10013160/020723/3298309</t>
  </si>
  <si>
    <t>02.07.2023</t>
  </si>
  <si>
    <t>3298309</t>
  </si>
  <si>
    <t>MIQUEL AVICOLA,S.A.</t>
  </si>
  <si>
    <t>17843, , PALOL DE REVARDIT (GIRONA), CTRA GIRONA BANYOLES, KM. 8,2, ..</t>
  </si>
  <si>
    <t>1225000075190</t>
  </si>
  <si>
    <t>5038165515</t>
  </si>
  <si>
    <t>ООО "ЛИДЕР СТ"</t>
  </si>
  <si>
    <t>141241, МОСКОВСКАЯ ОБЛАСТЬ, Г.О.ПУШКИНСКИЙ, Г.ПУШКИНО, МКР.МАМОНТОВКА, УЛ.РАБОЧА</t>
  </si>
  <si>
    <t>503801001</t>
  </si>
  <si>
    <t>ES</t>
  </si>
  <si>
    <t>СТАНИЦА ПОЛТАВСКАЯ</t>
  </si>
  <si>
    <t>22123199/3292/0000/2/1</t>
  </si>
  <si>
    <t>ОПЛОДОТВОРЕННЫЕ ИНКУБАЦИОННЫЕ ЯЙЦА ИНДЕЙКИ (MELAGRIS GALLOPAVO L.) ДЛЯ ИНКУБАЦИИ И ВЫВЕДЕНИЯ ПОРОДЫ ИНДЕЕК, ДЛЯ ПОСЛЕДУЮЩЕГО ВЫРАЩИВАНИЯ И УБОЯ НА МЯСО, СВЕЖИЕ, ПОРОДЫ БЕЛАЯ ШИРОКОГРУДАЯ, УПАКОВАНО В КАРТОННЫХ КОРОБКАХ ПО 200 ШТ.</t>
  </si>
  <si>
    <t>MIQUEL AVICOLA</t>
  </si>
  <si>
    <t>ПРОИЗВ.: CARAMELLA II, ПЛЕМЗАВ.:ES430050035961</t>
  </si>
  <si>
    <t>2</t>
  </si>
  <si>
    <t>АНДРЕЕВА ЕЛЕНА НИКОЛАЕВНА</t>
  </si>
  <si>
    <t>10013160/030723/3298380</t>
  </si>
  <si>
    <t>3298380</t>
  </si>
  <si>
    <t>94905, , NITRA, NOVOZAMOCKA 184, ..</t>
  </si>
  <si>
    <t>ОПЛОДОТВОРЕННЫE НЕПЛЕМЕННЫЕ ИНКУБАЦИОННЫЕ ЯЙЦА ИНДЕЙКИ (MELAGRIS GALLOPAVO L.) ДЛЯ ИНКУБАЦИИ И ВЫВЕДЕНИЯ ПОРОДЫ ИНДЕЕК, ДЛЯ ПОСЛЕДУЮЩЕГО ВЫРАЩИВАНИЯ И УБОЯ НА МЯСО, СВЕЖИЕ, ПОРОДЫ БЕЛАЯ ШИРОКОГРУДАЯ, КРОСС БИГ 6, ВЕС ЯЙЦА 75-100 Г, УПАКОВАНО В</t>
  </si>
  <si>
    <t>10005030/020723/3176379</t>
  </si>
  <si>
    <t>3176379</t>
  </si>
  <si>
    <t>, CHESTER CH3 9GA, TATTENHALL, CHOWLEY OAK BUSINESS PARK, CHOWLEY 5</t>
  </si>
  <si>
    <t>ПЛЕМЕННЫЕ ИНДЮШАЧЬИ ЯЙЦА ДЛЯ ИНКУБАЦИИ, ОПЛОДОТВОРЁННЫЕ, ДЛЯ BЫВЕДЕНИЯ РОДИТЕЛЬСКОГО СТАДА MELEAGRIS GALLOPAVO L. ПОРОДЫ БЕЛАЯ ШИРОКОГРУДАЯ BIG 6, РАЗМЕЩЕННЫЕ С ЦЕЛЬЮ ПРЕДОТВРАЩЕНИЯ БОЯ И УНИЧТОЖЕНИЯ В КАРТОННЫХ КОРОБКАХ.</t>
  </si>
  <si>
    <t>10005030/020723/3176393</t>
  </si>
  <si>
    <t>3176393</t>
  </si>
  <si>
    <t>10013160/010723/3297658</t>
  </si>
  <si>
    <t>01.07.2023</t>
  </si>
  <si>
    <t>3297658</t>
  </si>
  <si>
    <t>ОПЛОДОTВОРЕННЫЕ НЕПЛЕМЕННЫЕ ИНКУБАЦИОННЫЕ ЯЙЦА ИНДЕЙКИ (MELAGRIS GALLOPAVO L.) ДЛЯ ИНКУБАЦИИ И ВЫВЕДЕНИЯ ПОРОДЫ ИНДЕЕК, ДЛЯ ПОСЛЕДУЮЩЕГО ВЫРАЩИВАНИЯ И УБОЯ НА МЯСО, СВЕЖИЕ, ПОРОДЫ БЕЛАЯ ШИРОКОГРУДАЯ, КРОСС БИГ 6, ВЕС ЯЙЦА 75-100 Г, УПАКОВАНО В</t>
  </si>
  <si>
    <t>90</t>
  </si>
  <si>
    <t>10013160/020723/3297688</t>
  </si>
  <si>
    <t>3297688</t>
  </si>
  <si>
    <t>26219, , BOSEL, KARTZ-VON-KAMEKE-ALLEE, 7</t>
  </si>
  <si>
    <t>60</t>
  </si>
  <si>
    <t>RU/0004/ТИП2</t>
  </si>
  <si>
    <t>ПЕНЗЕНСКАЯ, НИЖНЕЛОМОВСКИЙ</t>
  </si>
  <si>
    <t>ГОЛИЦЫНО</t>
  </si>
  <si>
    <t>ГОЛИЦЫНСКИЙ СЕЛЬСОВЕТ,,,.</t>
  </si>
  <si>
    <t>10005030/010723/3176079</t>
  </si>
  <si>
    <t>3176079</t>
  </si>
  <si>
    <t>N7G3H6, ONTARIO, STRATHROY, 28429 CENTRAL ROAD, R.R. # 5,</t>
  </si>
  <si>
    <t>ОПЛОДОТВОРЕННЫЕ ИНКУБАЦИОННЫЕ ЯЙЦА ИНДЕЕК (MELEAGRIS GALLOPAVAL.),ДЛЯ ИНКУБАЦИИ И ВЫВЕДЕНИЯ ИНДЕЕК,ДЛЯ ПОСЛЕДУЮЩЕГО ВЫРАЩИВАНИЯ И УБОЯ НА МЯСО,КРОССА "HYBRID CONVERTER"(БЕЛАЯ ШИРОКОГРУДАЯ),СВЕЖИЕ (В КОРОБКЕ ПО 200 ШТ.):</t>
  </si>
  <si>
    <t>10131010/010723/3237257</t>
  </si>
  <si>
    <t>3237257</t>
  </si>
  <si>
    <t>49290, MAUGES SUR LOIRE, SAINT LAURENT DE LA PLAINE, LA BOHARDIERE BP., 1</t>
  </si>
  <si>
    <t>22122459/3292/0000/2/1</t>
  </si>
  <si>
    <t>ЯЙЦА ИНДЕЕK ДОМАШНИХ, СВЕЖИЕ, ОПЛОДОТВОРЕННЫЕ ДЛЯ ИНКУБАЦИИ, ПОРОДЫ HYBRID CONVERTER, НЕ ПЛЕМЕННЫЕ, ДЛЯ ПОСЛЕДУЮЩЕГО ВЫРАЩИВАНИЯ И УБОЯ НА МЯСО СВЕЖЕЕ, В КАРТОННЫХ КОРОБКАХ</t>
  </si>
  <si>
    <t>10013160/010723/3297660</t>
  </si>
  <si>
    <t>3297660</t>
  </si>
  <si>
    <t>22080443/1326/0000/2/1</t>
  </si>
  <si>
    <t>"PARTIZ 2000 KFT.", ПЛЕМЗАВОД HU1009994</t>
  </si>
  <si>
    <t>ТП ВЭД-1535/7</t>
  </si>
  <si>
    <t>ЛОПАТКИН ВЛАДИМИР НИКОЛАЕВИЧ</t>
  </si>
  <si>
    <t>10013160/010723/3297664</t>
  </si>
  <si>
    <t>3297664</t>
  </si>
  <si>
    <t>23010117/1326/0000/2/1</t>
  </si>
  <si>
    <t>OПЛОДОТВОРЕННЫЕ НЕПЛЕМЕННЫЕ ИНКУБАЦИОННЫЕ ЯЙЦА ИНДЕЙКИ (MELAGRIS GALLOPAVO L.) ДЛЯ ИНКУБАЦИИ И ВЫВЕДЕНИЯ ПОРОДЫ ИНДЕЕК, ДЛЯ ПОСЛЕДУЮЩЕГО ВЫРАЩИВАНИЯ И УБОЯ НА МЯСО, СВЕЖИЕ, ПОРОДЫ БЕЛАЯ ШИРОКОГРУДАЯ</t>
  </si>
  <si>
    <t>BRANKO NITRA, A.S., ПЛЕМЗАВ.: SK-RH-NR-13</t>
  </si>
  <si>
    <t>30.06.2023</t>
  </si>
  <si>
    <t>10131010/300623/3236941</t>
  </si>
  <si>
    <t>3236941</t>
  </si>
  <si>
    <t>49290, , MAUGES SUR LOIRE, B.P.1-LA BOHARDIERE SAINT LAURENT DE LA PLAINE,</t>
  </si>
  <si>
    <t>27.06.2023</t>
  </si>
  <si>
    <t>10620010/260623/3091396</t>
  </si>
  <si>
    <t>26.06.2023</t>
  </si>
  <si>
    <t>3091396</t>
  </si>
  <si>
    <t>ПТД</t>
  </si>
  <si>
    <t>ПР-КТ МОЗЖЕРИНА, СТР.1,СТР.22; АЭРОПОРТ ТОЛМАЧЕВО,</t>
  </si>
  <si>
    <t>ЖАХОВСКАЯ ЕКАТЕРИНА МИХАЙЛОВНА</t>
  </si>
  <si>
    <t>10013160/270623/3289891</t>
  </si>
  <si>
    <t>3289891</t>
  </si>
  <si>
    <t>CHERRY VALLEY FARMS GERMANY GMBH</t>
  </si>
  <si>
    <t>15320, DEUTSCHLEND, NEUHARDENBERG, KARLSDORF, 28</t>
  </si>
  <si>
    <t>Х. РЕДКОДУБ</t>
  </si>
  <si>
    <t>22041586/3292/0000/2/1</t>
  </si>
  <si>
    <t>10113/261110/10021/1</t>
  </si>
  <si>
    <t>СМОЛЕНСКАЯ</t>
  </si>
  <si>
    <t>ВЯЗЬМА</t>
  </si>
  <si>
    <t>ЭЛЕВАТОРНАЯ,,,.</t>
  </si>
  <si>
    <t>ЯЙЦА УТКИ, ПЛЕМЕННЫЕ ДЛЯ ИНКУБАЦИИ, ОПЛОДОТВОРЁННЫЕ, ДЛЯ ВЫВЕДЕНИЯ РОДИТЕЛЬСКОГО СТAДА ПОРОДЫ ПЕКИНСКАЯ УТКА, РАЗМЕЩЕННЫЕ С ЦЕЛЬЮ ПРЕДОТВРАЩЕНИЯ БОЯ И УНИЧТОЖЕНИЯ В КАРТОННЫХ КОРОБКАХ.</t>
  </si>
  <si>
    <t>10013160/260623/3288675</t>
  </si>
  <si>
    <t>3288675</t>
  </si>
  <si>
    <t>49450, , SEVREMOINE, ROUSSAY, RA3 LA CORBIERE,</t>
  </si>
  <si>
    <t>23060174/0354/0000/2/1</t>
  </si>
  <si>
    <t>ИНКУБАЦИОННЫЕ ЯЙЦА ДОМАШНЕЙ ПТИЦЫ (УТИНЫЕ), ОПЛОДОТBОРЁННЫЕ (ДЛЯ ИНКУБАЦИИ). РАЗМЕЩЕНЫ С ЦЕЛЬЮ ПРЕДОТВРАЩЕНИЯ БОЯ И УНИЧТОЖЕНИЯ В КАРТОННЫХ КОРОБКАХ (200 ЯИЦ В ОДНОЙ КОРОБКЕ)</t>
  </si>
  <si>
    <t>10418010/260623/3088587</t>
  </si>
  <si>
    <t>3088587</t>
  </si>
  <si>
    <t>ОПЛОДОТВОРЕННЫЕ ЯЙЦА ИНДЮШАЧЬИ СВЕЖИЕ,ДЛЯ ИНКУБАЦИИ (ВСЕГО 42000 ШТ) ЯЙЦО ИНКУБАЦИОННОЕ ИНДЕЙКИ MELEAGRIS GALLOPAVO L., ПОРОДЫ BUT BIG 6 , БЕЛАЯ ШИРОКОГРУДАЯ, ВЕС ЯЙЦА МЕЖДУ 75 -100 Г, НЕ ЯВЛЯЕТСЯ ПЛЕМЕННЫМ, (УПАКОВАНО В КОРОБКАХ ПО 200 ШТ)</t>
  </si>
  <si>
    <t>10805010/260623/3010891</t>
  </si>
  <si>
    <t>3010891</t>
  </si>
  <si>
    <t>GALLI-EGGS KFT., ПЛЕМЗАВОД HU1009976</t>
  </si>
  <si>
    <t>10005030/260623/3169699</t>
  </si>
  <si>
    <t>3169699</t>
  </si>
  <si>
    <t>28429, ONTARIO, STRATHROY, N7G3H6 CENTRE ROAD RR, 5</t>
  </si>
  <si>
    <t>22120523/3292/0000/2/1</t>
  </si>
  <si>
    <t>"ВНУКОВО", СТР. 19,,,.</t>
  </si>
  <si>
    <t>ИНДЮШАЧЬИ ЯЙЦА ДЛЯ ИНКУБАЦИИ, ПОРОДА MELEAGRIS GALLOPAVO L. "БЕЛАЯ ШИРОКОГРУДАЯ" (HCONV), КРОСС ХАЙБРИД КОНВЕРТЕР, КАТЕГОРИЯ БРОЙЛЕР, НЕ ПЛЕМЕННЫЕ, РАЗМЕЩЕНЫ В КАРТОННЫХ КАССЕТАХ ПО ДВАДЦАТЬ (20) ЯИЦ В KАЖДОЙ И УПАКОВАНО В ОРИГИНАЛЬНЫЕ КАРТОННЫЕ</t>
  </si>
  <si>
    <t>10013160/260623/3287912</t>
  </si>
  <si>
    <t>3287912</t>
  </si>
  <si>
    <t>ИHДЮШАЧЬИ ЯЙЦА ДЛЯ ИНКУБАЦИИ, ОПЛОДОТВОРЕННЫЕ, MELEAGRIS GALLOPAVO L., ПОРОДА БЕЛАЯ ШИРОКОГРУДАЯ КРОССА БИГ-6, РАЗМЕЩЕНЫ С ЦЕЛЬЮ ПРЕДОТВРАЩЕНИЯ БОЯ И УНИЧТОЖЕНИЯ В КАРТОННЫХ КОРОБКАХ</t>
  </si>
  <si>
    <t>10013160/260623/3288280</t>
  </si>
  <si>
    <t>3288280</t>
  </si>
  <si>
    <t>PARTIZ 2000 KFT</t>
  </si>
  <si>
    <t>5540, , SZARVAS, RAKOCZI U. 6/1,</t>
  </si>
  <si>
    <t>23020963/3292/0000/2/1</t>
  </si>
  <si>
    <t>ИНКУБАЦИОННЫЕ ЯЙЦА ИНДЮШАЧЬИ, ОПЛОДОТВОРЁННЫЕ (ДЛЯ ИНКУБАЦИИ). РАЗМЕЩЕНЫ С ЦЕЛЬЮ ПPЕДОТВРАЩЕНИЯ БОЯ И УНИЧТОЖЕНИЯ В КАРТОННЫХ КОРОБКАХ (200 ЯИЦ В ОДНОЙ КОРОБКЕ)</t>
  </si>
  <si>
    <t>10013160/260623/3286323</t>
  </si>
  <si>
    <t>3286323</t>
  </si>
  <si>
    <t>24.06.2023</t>
  </si>
  <si>
    <t>10131010/240623/3228043</t>
  </si>
  <si>
    <t>3228043</t>
  </si>
  <si>
    <t>26219, ., BOSEL, KARTZ-VON-KAMEKE-ALLEE, 7,,..</t>
  </si>
  <si>
    <t>ЯЙЦА ИНДЕЕК ДОМАШНИХ, СВЕЖИЕ, ОПЛОДОТВОРЕННЫЕ ДЛЯ ИНКУБАЦИИ, ПОРОДЫ BUT BIG-6 (WHITE WIDE CASE), НЕ ПЛЕМЕННЫЕ, ДЛЯ ПОСЛЕДУЮЩЕГО ВЫРАЩИВАНИЯ И УБОЯ НА МЯСО СBЕЖЕЕ, В КАРТОННЫХ КОРОБКАХ</t>
  </si>
  <si>
    <t>22.06.2023</t>
  </si>
  <si>
    <t>10013160/220623/3281744</t>
  </si>
  <si>
    <t>3281744</t>
  </si>
  <si>
    <t>4181, , NADUDVAR, FO UT 119, ,,..</t>
  </si>
  <si>
    <t>21.06.2023</t>
  </si>
  <si>
    <t>10005030/210623/3165792</t>
  </si>
  <si>
    <t>3165792</t>
  </si>
  <si>
    <t>, , RR #5-28429 CENTRE ROAD, STRATHROY ON N76 3H6, ,,..</t>
  </si>
  <si>
    <t>20.06.2023</t>
  </si>
  <si>
    <t>10620010/200623/3087215</t>
  </si>
  <si>
    <t>3087215</t>
  </si>
  <si>
    <t>49290, , SAINT-LAURENT DE LA PLAINE, LA BOHARDIERE; BP 1, ,,..</t>
  </si>
  <si>
    <t>1145543002330</t>
  </si>
  <si>
    <t>5528212010</t>
  </si>
  <si>
    <t>ООО "МОРОЗОВСКАЯ ПТИЦЕФАБРИКА"</t>
  </si>
  <si>
    <t>644555, ОМСКАЯ ОБЛАСТЬ, СЕЛО МОРОЗОВКА, УЛ. ЮБИЛЕЙНАЯ, ДОМ 1,</t>
  </si>
  <si>
    <t>52000</t>
  </si>
  <si>
    <t>552801001</t>
  </si>
  <si>
    <t>МОЖАЙСК</t>
  </si>
  <si>
    <t>20010002/1481/1009/9/1</t>
  </si>
  <si>
    <t>Г. МОЖАЙСК</t>
  </si>
  <si>
    <t>Д. ОТЯКОВО,,,.</t>
  </si>
  <si>
    <t>10013150 т/п Можайский</t>
  </si>
  <si>
    <t>ЯЙЦО ИНКУБАЦИОННОЕ РОДИТЕЛЬCКОГО ПОГОЛОВЬЯ ОПЛОДОТВОРЕННОЕ, ПРЕДНАЗНАЧЕНО ДЛЯ ИНКУБАЦИИ ДОМАШНЕЙ ИНДЕЙКИ (MELEAGRIS GALLOPAVO L) МАТЕРИНСКОЙ ФОРМЫ ПОРОДЫ</t>
  </si>
  <si>
    <t>ДП/0932/01-20-323</t>
  </si>
  <si>
    <t>КОЛЕСНИКОВА ИРИНА МИХАЙЛОВНА</t>
  </si>
  <si>
    <t>10005030/200623/3164221</t>
  </si>
  <si>
    <t>3164221</t>
  </si>
  <si>
    <t>N7G3H6, ONTARIO, STRATHROY, 28429 CENTRAL ROAD, R.R. # 5, ,,..</t>
  </si>
  <si>
    <t>10005030/200623/3164774</t>
  </si>
  <si>
    <t>3164774</t>
  </si>
  <si>
    <t>28429, ONTARIO, STRATHROY, N7G3H6 CENTRE ROAD RR, 5,,..</t>
  </si>
  <si>
    <t>ИНДЮШАЧЬИ ЯЙЦА ДЛЯ ИНКУБАЦИИ, ПОРОДА MELEAGRIS GALLOPAVO L:"БЕЛАЯ ШИРОКОГРУДАЯ" (HCONV), КРОСС ХАЙБРИД КОНВЕРТЕР, КАТЕГОРИЯ БРОЙЛЕР, НЕ ПЛЕМЕННЫЕ, РАЗМЕЩЕНЫ В КАРТОННЫХ КАССЕТАХ ПО ДВАДЦАТЬ (20) ЯИЦ В КАЖДОЙ И УПАКОВАНО В ОРИГИНАЛЬНЫЕ КАРТОННЫЕ</t>
  </si>
  <si>
    <t>19.06.2023</t>
  </si>
  <si>
    <t>10805010/160623/5002133</t>
  </si>
  <si>
    <t>16.06.2023</t>
  </si>
  <si>
    <t>5002133</t>
  </si>
  <si>
    <t>26219, , BOSEL, KARTZ-VON-KAMEKE-ALLEE, 7,,..</t>
  </si>
  <si>
    <t>1052604187195</t>
  </si>
  <si>
    <t>2635082472</t>
  </si>
  <si>
    <t>ООО "АГРО-ПЛЮС"</t>
  </si>
  <si>
    <t>356140, СТАВРОПОЛЬСКИЙ КРАЙ, Г.ИЗОБИЛЬНЫЙ, УЛ.ТРАНСПОРТНАЯ, 4/3</t>
  </si>
  <si>
    <t>260701001</t>
  </si>
  <si>
    <t>СТ.НОВОТРОИЦКАЯ</t>
  </si>
  <si>
    <t>22120003/3292/0007/9/1</t>
  </si>
  <si>
    <t>355035</t>
  </si>
  <si>
    <t>СТАВРОПОЛЬСКИЙ КРАЙ</t>
  </si>
  <si>
    <t>Г.СТАВРОПОЛЬ</t>
  </si>
  <si>
    <t>УЛ.ЛЕНИНА,427,,,.</t>
  </si>
  <si>
    <t>10802050 т/п Ставропольский</t>
  </si>
  <si>
    <t>ИНДЮШАЧЬИ ЯЙЦА СВЕЖИЕ В СKОРЛУПЕ,ПОРОДЫ BUT BIG 6, (КРОМЕ ПОЛУЧЕННЫХ ОТ ПЛЕМЕННОЙ ПТИЦЫ),ОПЛОДОТВОРЕННЫЕ ДЛЯ ПОСЛЕДУЮЩЕЙ ИНКУБАЦИИ И ОТКОРМА ПТИЦ НА УБОЙ ДЛЯ УПОТРЕБЛЕНИЯ В ПИЩУ ЛЮДЬМИ</t>
  </si>
  <si>
    <t>КАТЮКОВА АЛЕКСАНДРА СЕРГЕЕВНА</t>
  </si>
  <si>
    <t>10013160/160623/3273051</t>
  </si>
  <si>
    <t>3273051</t>
  </si>
  <si>
    <t>26219, , BOSEL, KARTZ-VON-KAMEKE-ALLEE, 7.,..</t>
  </si>
  <si>
    <t>15.06.2023</t>
  </si>
  <si>
    <t>10005030/150623/3159510</t>
  </si>
  <si>
    <t>3159510</t>
  </si>
  <si>
    <t>10013160/150623/3270910</t>
  </si>
  <si>
    <t>3270910</t>
  </si>
  <si>
    <t>13.06.2023</t>
  </si>
  <si>
    <t>10005030/130623/3156819</t>
  </si>
  <si>
    <t>3156819</t>
  </si>
  <si>
    <t>12.06.2023</t>
  </si>
  <si>
    <t>10013160/120623/3265409</t>
  </si>
  <si>
    <t>3265409</t>
  </si>
  <si>
    <t>5540, , SZARVAS, RAKOCZI U. 6/1, .,..</t>
  </si>
  <si>
    <t>ИНКУБАЦИОННЫЕ ЯЙЦА ИНДЮШАЧЬИ, ОПЛОДОТВОРЁННЫЕ (ДЛЯ ИНКУБАЦИИ). РАЗМЕЩЕНЫ С ЦЕЛЬЮ ПРЕДОТВРАЩЕНИЯ БОЯ И УНИЧТОЖЕНИЯ В КАРТОННЫХ КОРОБКАХ (200 ЯИЦ В ОДНОЙ КОРОБКЕ)</t>
  </si>
  <si>
    <t>10005030/120623/5003770</t>
  </si>
  <si>
    <t>5003770</t>
  </si>
  <si>
    <t>28429, ONTARIO, STRATHROY, N7G3H6 CENTRE ROAD RR, 5.,..</t>
  </si>
  <si>
    <t>ИНДЮШАЧЬИ ЯЙЦА ДЛЯ ИНКУБАЦИИ, ПОРОДА MELEAGRIS GALLOPAVO L. "БЕЛАЯ ШИРОКОГРУДАЯ" (HCONV), КРОСС ХАЙБРИД КОНВЕРТЕР, КАТЕГОРИЯ БРОЙЛЕР, НЕ ПЛЕМЕННЫЕ, РАЗМЕЩЕНЫ В КАРТОННЫХ КАССЕТАХ ПО ДВАДЦАТЬ (20) ЯИЦ В КАЖДОЙ И УПАКОВАНО В ОРИГИНАЛЬНЫЕ КАРТОННЫЕКОРОБ</t>
  </si>
  <si>
    <t>11.06.2023</t>
  </si>
  <si>
    <t>10013160/110623/3264007</t>
  </si>
  <si>
    <t>3264007</t>
  </si>
  <si>
    <t>17843, , PALOL DE REVARDIT (GIRONA), CTRA GIRONA BANYOLES, KM. 8,2, ..,,</t>
  </si>
  <si>
    <t>ОПЛОДОТВОРЕННЫЕ ИНКУБАЦИОННЫЕ ЯЙЦА ИНДЕЙКИ (MELAGRIS GALLOPAVO L.) ДЛЯ ИНКУБАЦИИ И ВЫВЕДЕНИЯ ПОРОДЫ ИНДЕЕК, ДЛЯ ПОСЛЕДУЮЩЕГО ВЫРАЩИВАНИЯ И УБОЯ HА МЯСО, СВЕЖИЕ, ПОРОДЫ БЕЛАЯ ШИРОКОГРУДАЯ, УПАКОВАНО В КАРТОННЫХ КОРОБКАХ ПО 200 ШТ.</t>
  </si>
  <si>
    <t>ПРОИЗВ.: CARAMELLA II, ПЛЕМЗАВ.: ES431330034371</t>
  </si>
  <si>
    <t>10131010/110623/3208963</t>
  </si>
  <si>
    <t>3208963</t>
  </si>
  <si>
    <t>26219, ., BOSEL, KARTZ-VON-KAMEKE-ALLEE, 7..,,</t>
  </si>
  <si>
    <t>ЯЙЦА ИHДЕЕК ДОМАШНИХ, СВЕЖИЕ, ОПЛОДОТВОРЕННЫЕ ДЛЯ ИНКУБАЦИИ, ПОРОДЫ BUT BIG-6 (WHITE WIDE CASE), НЕ ПЛЕМЕННЫЕ, ДЛЯ ПОСЛЕДУЮЩЕГО ВЫРАЩИВАНИЯ И УБОЯ НА МЯСО СВЕЖЕЕ, В КАРТОННЫХ КОРОБКАХ</t>
  </si>
  <si>
    <t>09.06.2023</t>
  </si>
  <si>
    <t>10013160/090623/3261337</t>
  </si>
  <si>
    <t>3261337</t>
  </si>
  <si>
    <t>4181, , NADUDVAR, FO UT 119, ..,,</t>
  </si>
  <si>
    <t>ИНДЮШАЧЬИ ЯЙЦА ДЛЯ ИНКУБАЦИИ, ОПЛОДОТВОРЕННЫЕ, MELEAGRIS GALLOPAVO L, ПОРОДА БЕЛАЯ ШИРОКОГРУДАЯ КРОССА БИГ-6, РАЗМЕЩЕНЫ С ЦЕЛЬЮ ПРЕДОТВРАЩЕНИЯ БОЯ И УНИЧТОЖЕНИЯ В КАРТОННЫХ КОРОБКАХ</t>
  </si>
  <si>
    <t>10005030/090623/3153309</t>
  </si>
  <si>
    <t>3153309</t>
  </si>
  <si>
    <t>, CHESTER CH3 9GA, TATTENHALL, CHOWLEY OAK BUSINESS PARK, CHOWLEY 5..,,</t>
  </si>
  <si>
    <t>ПЛЕМЕННЫЕ ИНДЮШАЧЬИ ЯЙЦА ДЛЯ ИНКУБАЦИИ, ОПЛОДОТВОРЁННЫЕ, ДЛЯ ВЫВЕДЕНИЯ РОДИТЕЛЬСКОГО СТАДА MELEAGRIS GALLOPAVO L, ПОРОДЫ БЕЛАЯ ШИРОКОГРУДАЯ BIG 6, РАЗМЕЩЕННЫЕ С ЦЕЛЬЮ ПРЕДОТВРАЩЕНИЯ БОЯ И УНИЧТОЖЕНИЯ В КАРТОННЫХ КОРОБКАХ.</t>
  </si>
  <si>
    <t>01.06.2023</t>
  </si>
  <si>
    <t>10005030/010623/3145255</t>
  </si>
  <si>
    <t>3145255</t>
  </si>
  <si>
    <t>06.06.2023</t>
  </si>
  <si>
    <t>10013160/060623/3256014</t>
  </si>
  <si>
    <t>3256014</t>
  </si>
  <si>
    <t>10005030/060623/3150293</t>
  </si>
  <si>
    <t>3150293</t>
  </si>
  <si>
    <t>28429, ONTARIO, STRATHROY N7G 3H6, ROUTE #5, ..,,</t>
  </si>
  <si>
    <t>ОПЛОДОТВОРЕННЫЕ ЯЙЦА ИНДЮШАЧЬИ ДЛЯ ИНКУБАЦИИ, КОД ОКП 98 4766 (ОКПД2 01,47.23.140): ЦЕЛЬ ВВОЗА - ДЛЯ ИНКУБИРОВАНИЯ.</t>
  </si>
  <si>
    <t>05.06.2023</t>
  </si>
  <si>
    <t>10013160/050623/3252844</t>
  </si>
  <si>
    <t>3252844</t>
  </si>
  <si>
    <t>ИНДЮШАЧЬИ ЯЙЦА ДЛЯ ИНКУБАЦИИ, ОПЛОДОТВОРЕННЫЕ, MELEAGRIS GALLOPAVO L., ПОРОДА БЕЛАЯ ШИРОКОГРУДАЯ КРОCСА БИГ-6, РАЗМЕЩЕНЫ С ЦЕЛЬЮ ПРЕДОТВРАЩЕНИЯ БОЯ И УНИЧТОЖЕНИЯ В КАРТОННЫХ КОРОБКАХ</t>
  </si>
  <si>
    <t>10805010/050623/3009577</t>
  </si>
  <si>
    <t>3009577</t>
  </si>
  <si>
    <t>5540, , SZARVAS, RACOKZI U.6/1, ..,,</t>
  </si>
  <si>
    <t>ОПЛОДОTВОРЕННЫЕ НЕПЛЕМЕННЫЕ ИНКУБАЦИОННЫЕ ЯЙЦА ИНДЕЙКИ (TURKEY HATCHING EGGS), ДЛЯ ИНКУБАЦИИ, ДЛЯ ПОСЛЕДУЮЩЕГО ВЫРАЩИВАНИЯ И УБОЯ НА МЯСО, СВЕЖИЕ, ПО 200 ШТ В КОРОБКЕ.</t>
  </si>
  <si>
    <t>04.06.2023</t>
  </si>
  <si>
    <t>10005030/040623/3147254</t>
  </si>
  <si>
    <t>3147254</t>
  </si>
  <si>
    <t>ОПЛОДОТВОРEННЫЕ ЯЙЦА ИНДЮШАЧЬИ ДЛЯ ИНКУБАЦИИ, КОД ОКП 98 4766 (ОКПД2 01.47.23.140): ЦЕЛЬ ВВОЗА - ДЛЯ ИНКУБИРОВАНИЯ.</t>
  </si>
  <si>
    <t>03.06.2023</t>
  </si>
  <si>
    <t>10005030/030623/3146736</t>
  </si>
  <si>
    <t>3146736</t>
  </si>
  <si>
    <t>31.05.2023</t>
  </si>
  <si>
    <t>10005030/310523/3143017</t>
  </si>
  <si>
    <t>3143017</t>
  </si>
  <si>
    <t>29.05.2023</t>
  </si>
  <si>
    <t>10013160/290523/3243113</t>
  </si>
  <si>
    <t>3243113</t>
  </si>
  <si>
    <t>17843, , PALOL DE REVARDIT (GIRONA), CTRA GIRONA BANYOLES, KM. 8,2, .,..</t>
  </si>
  <si>
    <t>10005030/280523/3139779</t>
  </si>
  <si>
    <t>28.05.2023</t>
  </si>
  <si>
    <t>3139779</t>
  </si>
  <si>
    <t>10013160/280523/3240844</t>
  </si>
  <si>
    <t>3240844</t>
  </si>
  <si>
    <t>10805010/280523/5001843</t>
  </si>
  <si>
    <t>5001843</t>
  </si>
  <si>
    <t>5540, , SZARVAS, RACOKZI U.6/1, .,..</t>
  </si>
  <si>
    <t>TURKEY-EGG KFT., ПЛЕМЗАВОД HU1009994</t>
  </si>
  <si>
    <t>10013160/280523/3240279</t>
  </si>
  <si>
    <t>3240279</t>
  </si>
  <si>
    <t>10013160/280523/3240760</t>
  </si>
  <si>
    <t>3240760</t>
  </si>
  <si>
    <t>94905, , NITRA, NOVOZAMOCKA 184, .,..</t>
  </si>
  <si>
    <t>ОПЛОДОТВОРЕННЫЕ НЕПЛЕМЕННЫЕ ИНКУБАЦИОННЫЕ ЯЙЦА ИНДЕЙКИ (MELAGRIS GALLOPAVO L.) ДЛЯ ИНКУБАЦИИ И ВЫВЕДЕНИЯ ПОРОДЫ ИНДЕЕК, ДЛЯ ПОСЛЕДУЮЩЕГО ВЫРАЩИВАНИЯ И УБОЯ НА МЯСО, СВЕЖИЕ, ПОРОДЫ БЕЛАЯ ШИРОКОГРУДАЯ, КРОСС БИГ 6, ВЕС ЯЙЦА 75-100 Г, УПАКОВАНО В</t>
  </si>
  <si>
    <t>10013160/280523/3240567</t>
  </si>
  <si>
    <t>3240567</t>
  </si>
  <si>
    <t>10013160/280523/3240563</t>
  </si>
  <si>
    <t>3240563</t>
  </si>
  <si>
    <t>27.05.2023</t>
  </si>
  <si>
    <t>10131010/270523/3190002</t>
  </si>
  <si>
    <t>3190002</t>
  </si>
  <si>
    <t>26.05.2023</t>
  </si>
  <si>
    <t>10013160/260523/3237966</t>
  </si>
  <si>
    <t>3237966</t>
  </si>
  <si>
    <t>10418010/260523/3072568</t>
  </si>
  <si>
    <t>3072568</t>
  </si>
  <si>
    <t>949 05, , NITRA, NOVOZAMOCKA, 184.,..</t>
  </si>
  <si>
    <t>ОПЛОДОТВОРЕННЫЕ ЯЙЦА ИНДЮШАЧЬИ СВЕЖИЕ,ДЛЯ ИНКУБАЦИИ (ВСЕГО 44000 ШТ) ЯЙЦО ИНКУБАЦИОННОЕ ИНДЕЙКИ MELEAGRIS GALLOPAVO L., ПОРОДЫ BUT BIG 6 , БЕЛАЯ ШИРОКОГРУДАЯ, ВЕС ЯЙЦА МЕЖДУ 75 - 100 Г, НЕ ЯВЛЯЕТСЯ ПЛЕМЕННЫМ, (УПАКОВАНО В КОРОБКАХ ПО 200 ШТ)</t>
  </si>
  <si>
    <t>25.05.2023</t>
  </si>
  <si>
    <t>10005030/250523/3137620</t>
  </si>
  <si>
    <t>3137620</t>
  </si>
  <si>
    <t>23.05.2023</t>
  </si>
  <si>
    <t>10013160/230523/3233471</t>
  </si>
  <si>
    <t>3233471</t>
  </si>
  <si>
    <t>22.05.2023</t>
  </si>
  <si>
    <t>10013160/220523/3231753</t>
  </si>
  <si>
    <t>3231753</t>
  </si>
  <si>
    <t>10620010/200523/3069649</t>
  </si>
  <si>
    <t>20.05.2023</t>
  </si>
  <si>
    <t>3069649</t>
  </si>
  <si>
    <t>GRIMAUD FRERES SELECTION S.A.S</t>
  </si>
  <si>
    <t>49450, SEVREMOINE, ROUSSAY, LA CORBIERE 3, .,..</t>
  </si>
  <si>
    <t>ООО ПТИЦЕФАБРИКА "УЛЫБИНО"</t>
  </si>
  <si>
    <t>633204, НОВОСИБИРСКАЯ ОБЛАСТЬ, Г.ИСКИТИМ, ЭЛЕВАТОРНАЯ УЛИЦА, ДОМ 5/1, ОФИС 310,</t>
  </si>
  <si>
    <t>ПР-Т МОЗЖЕРИНА, СТР. 21, СТР. 22; АЭРОПОРТ ТОЛМАЧЕ</t>
  </si>
  <si>
    <t>ОПЛОДОТВОРЕННЫЕ ЯЙЦА ДОМАШНЕЙ УТКИ ДЛЯ ИНКУБАЦИИ</t>
  </si>
  <si>
    <t>355-23/079</t>
  </si>
  <si>
    <t>СОБОЛЕВА ЕКАТЕРИНА МИХАЙЛОВНА</t>
  </si>
  <si>
    <t>10805010/220523/5001741</t>
  </si>
  <si>
    <t>5001741</t>
  </si>
  <si>
    <t>10013160/210523/3229115</t>
  </si>
  <si>
    <t>21.05.2023</t>
  </si>
  <si>
    <t>3229115</t>
  </si>
  <si>
    <t>10005030/210523/3132333</t>
  </si>
  <si>
    <t>3132333</t>
  </si>
  <si>
    <t>, CHESTER CH3 9GA, TATTENHALL, CHOWLEY OAK BUSINESS PARK, CHOWLEY 5,,...</t>
  </si>
  <si>
    <t>10131010/200523/3179904</t>
  </si>
  <si>
    <t>3179904</t>
  </si>
  <si>
    <t>49290, , MAUGES SUR LOIRE, B.P.1-LA BOHARDIERE SAINT LAURENT DE LA PLAINE, ,,...</t>
  </si>
  <si>
    <t>ИЛЬИНА ЕКАТЕРИНА ВЛАДИМИРОВНА</t>
  </si>
  <si>
    <t>10005030/200523/3131846</t>
  </si>
  <si>
    <t>3131846</t>
  </si>
  <si>
    <t>N7G3H6, ONTARIO, STRATHROY, 28429 CENTRAL ROAD, R.R. # 5, ,,...</t>
  </si>
  <si>
    <t>ОПЛОДОТВОРЕННЫЕ ИНКУБАЦИОННЫЕ ЯЙЦА ИНДЕЕК (MELEAGRIS GALLOPAVAL.), ДЛЯ ИНКУБАЦИИ И ВЫВЕДЕНИЯ ИНДЕЕК, ДЛЯ ПОСЛЕДУЮЩЕГО ВЫРАЩИВАНИЯ И УБОЯ НА МЯСО, КРОССА "HYBRID CONVERTER"(БЕЛАЯ ШИРОКОГРУДАЯ), СВЕЖИЕ (В КОРОБКЕ ПО 200 ШТ.):</t>
  </si>
  <si>
    <t>10131010/200523/3179828</t>
  </si>
  <si>
    <t>3179828</t>
  </si>
  <si>
    <t>26219, ., BOSEL, KARTZ-VON-KAMEKE-ALLEE, 7,,...</t>
  </si>
  <si>
    <t>19.05.2023</t>
  </si>
  <si>
    <t>10005030/190523/3131266</t>
  </si>
  <si>
    <t>3131266</t>
  </si>
  <si>
    <t>, , RR #5-28429 CENTRE ROAD, STRATHROY ON N76 3H6, ,,...</t>
  </si>
  <si>
    <t>10013160/190523/3227066</t>
  </si>
  <si>
    <t>3227066</t>
  </si>
  <si>
    <t>4181, , NADUDVAR, FO UT 119, ,,...</t>
  </si>
  <si>
    <t>10013160/190523/3226584</t>
  </si>
  <si>
    <t>3226584</t>
  </si>
  <si>
    <t>16.05.2023</t>
  </si>
  <si>
    <t>10005030/160523/3127511</t>
  </si>
  <si>
    <t>3127511</t>
  </si>
  <si>
    <t>15.05.2023</t>
  </si>
  <si>
    <t>10013160/150523/3219389</t>
  </si>
  <si>
    <t>3219389</t>
  </si>
  <si>
    <t>II "CUSTOMS CONSULTING" LTKR2009 RAUDONDVARIO PL. 147A, LITHUANIA, KAUNAS BY ORDER: MIQUEL AVICOLA, S.A.</t>
  </si>
  <si>
    <t>17843, , PALOL DE REVARDIT (GIRONA), CTRA. GIRONA BANYOLES, KM. 8,2, ,,...</t>
  </si>
  <si>
    <t>10013160/150523/3219675</t>
  </si>
  <si>
    <t>3219675</t>
  </si>
  <si>
    <t>94905, , NITRA, NOVOZAMOCKA, 184,,...</t>
  </si>
  <si>
    <t>14.05.2023</t>
  </si>
  <si>
    <t>10005030/140523/3124866</t>
  </si>
  <si>
    <t>3124866</t>
  </si>
  <si>
    <t>N7G3H6, ONTARIO, STRATHROY, 28429 CENTRAL ROAD, R.R. # 5, ...</t>
  </si>
  <si>
    <t>10131010/140523/3170015</t>
  </si>
  <si>
    <t>3170015</t>
  </si>
  <si>
    <t>26219, ., BOSEL, KARTZ-VON-KAMEKE-ALLEE, 7...</t>
  </si>
  <si>
    <t>10013160/140523/3218023</t>
  </si>
  <si>
    <t>3218023</t>
  </si>
  <si>
    <t>94905, , NITRA, NOVOZAMOCKA 184, ...</t>
  </si>
  <si>
    <t>10805010/140523/3008165</t>
  </si>
  <si>
    <t>3008165</t>
  </si>
  <si>
    <t>TURKEY-EGG KFT.., ПЛЕМЗАВОД HU1010004</t>
  </si>
  <si>
    <t>12.05.2023</t>
  </si>
  <si>
    <t>10005030/120523/3123230</t>
  </si>
  <si>
    <t>3123230</t>
  </si>
  <si>
    <t>, , RR #5-28429 CENTRE ROAD, STRATHROY ON N76 3H6, ...</t>
  </si>
  <si>
    <t>10013160/120523/5002346</t>
  </si>
  <si>
    <t>5002346</t>
  </si>
  <si>
    <t>94905, , NITRA, NOVOZAMOCKA, 184...</t>
  </si>
  <si>
    <t>11.05.2023</t>
  </si>
  <si>
    <t>10005030/110523/3122443</t>
  </si>
  <si>
    <t>3122443</t>
  </si>
  <si>
    <t>10.05.2023</t>
  </si>
  <si>
    <t>10013160/100523/3210840</t>
  </si>
  <si>
    <t>3210840</t>
  </si>
  <si>
    <t>MIQUEL AVICOLA, S.A.</t>
  </si>
  <si>
    <t>17843, , PALOL DE REVARDIT (GIRONA), CTRA GIRONA BANYOLES, KM. 8,2, ...</t>
  </si>
  <si>
    <t>07.05.2023</t>
  </si>
  <si>
    <t>10013160/070523/3207098</t>
  </si>
  <si>
    <t>3207098</t>
  </si>
  <si>
    <t>4181, , NADUDVAR, FO UT 119, ,,,</t>
  </si>
  <si>
    <t>ИНДЮШАЧЬИ ЯЙЦА ДЛЯ ИНКУБАЦИИ,ОПЛОДОТВОРЕННЫЕ,MELEAGRIS GALLOPAVO L.,ПОРОДА БЕЛАЯ ШИРОКОГРУДАЯ КРОССА БИГ-6,РАЗМЕЩЕНЫ С ЦЕЛЬЮ ПРЕДОТВРАЩЕНИЯ БОЯ И УНИЧТОЖЕНИЯ В КАРТОННЫХ КОРОБКАХ</t>
  </si>
  <si>
    <t>06.05.2023</t>
  </si>
  <si>
    <t>10805010/030523/3007491</t>
  </si>
  <si>
    <t>03.05.2023</t>
  </si>
  <si>
    <t>3007491</t>
  </si>
  <si>
    <t>26219, , BOSEL, KARTZ-VON-KAMEKE-ALLEE, 7,,,</t>
  </si>
  <si>
    <t>ИНДЮШАЧЬИ ЯЙЦА СВЕЖИЕ В СКОРЛУПЕ,ПОРОДЫ BUT BIG 6, (КРОМЕ ПОЛУЧЕННЫХ ОТ ПЛЕМЕННОЙ ПТИЦЫ),ОПЛОДОТВОРЕННЫЕ ДЛЯ ПОСЛЕДУЮЩЕЙ ИНКУБАЦИИ И ОТКОРМА ПТИЦ НА УБОЙ ДЛЯ УПОТРЕБЛЕНИЯ В ПИЩУ ЛЮДЬМИ</t>
  </si>
  <si>
    <t>10013160/060523/3206797</t>
  </si>
  <si>
    <t>3206797</t>
  </si>
  <si>
    <t>94905, , NITRA, NOVOZAMOCKA 184, ,,,</t>
  </si>
  <si>
    <t>ОПЛОДОTВОРЕННЫЕ НЕПЛЕМЕННЫЕ ИНКУБАЦИОННЫЕ ЯЙЦА ИНДЕЙКИ (MELAGRIS GALLOPAVO L.) ДЛЯ ИНКУБАЦИИ И ВЫВЕДЕНИЯ ПОРОДЫ ИНДЕЕК, ДЛЯ ПОСЛЕДУЮЩЕГО ВЫРАЩИВАНИЯ И УБОЯ НА МЯСО, СВЕЖИЕ, ПОРОДЫ БЕЛАЯ ШИРОКОГРУДАЯ</t>
  </si>
  <si>
    <t>10805010/060523/5001516</t>
  </si>
  <si>
    <t>5001516</t>
  </si>
  <si>
    <t>5540, , SZARVAS, RACOKZI U.6/1, ,,,</t>
  </si>
  <si>
    <t>ОПЛОДОТВОРЕННЫЕ НЕПЛЕМЕННЫЕ ИНКУБАЦИОННЫЕ ЯЙЦА ИНДЕЙКИ (TURKEY HATCHING EGGS), ДЛЯ ИНКУБАЦИИ, ДЛЯ ПОСЛЕДУЮЩЕГО ВЫРАЩИВАНИЯ И УБОЯ НА МЯСО, СВЕЖИЕ; ПО 200 ШТ В КОРОБКЕ.</t>
  </si>
  <si>
    <t>TURKEY-EGG KFT.., ПЛЕМЗАВОД HU1009994</t>
  </si>
  <si>
    <t>04.05.2023</t>
  </si>
  <si>
    <t>10005030/040523/3116301</t>
  </si>
  <si>
    <t>3116301</t>
  </si>
  <si>
    <t>, , RR #5-28429 CENTRE ROAD, STRATHROY ON N76 3H6, ,,,</t>
  </si>
  <si>
    <t>ОПЛОДОТВОPЕННЫЕ ЯЙЦА ИНДЮШАЧЬИ ДЛЯ ИНКУБАЦИИ, КОД ОКП 98 4766 (ОКПД2 01.47.23.140): ЦЕЛЬ ВВОЗА - ДЛЯ ИНКУБИРОВАНИЯ.</t>
  </si>
  <si>
    <t>02.05.2023</t>
  </si>
  <si>
    <t>10013160/020523/3198538</t>
  </si>
  <si>
    <t>3198538</t>
  </si>
  <si>
    <t>17843, , PALOL DE REVARDIT (GIRONA), CTRA. GIRONA BANYOLES, KM. 8,2, ,,,</t>
  </si>
  <si>
    <t>ОПЛОДОТВОРЕННЫЕ ИНКУБАЦИОНHЫЕ ЯЙЦА ИНДЕЙКИ (MELAGRIS GALLOPAVO L.) ДЛЯ ИНКУБАЦИИ И ВЫВЕДЕНИЯ ПОРОДЫ ИНДЕЕК, ДЛЯ ПОСЛЕДУЮЩЕГО ВЫРАЩИВАНИЯ И УБОЯ НА МЯСО, СВЕЖИЕ, ПОРОДЫ БЕЛАЯ ШИРОКОГРУДАЯ, УПАКОВАНО В КАРТОННЫХ КОРОБКАХ ПО 200 ШТ.</t>
  </si>
  <si>
    <t>10013160/020523/3197218</t>
  </si>
  <si>
    <t>3197218</t>
  </si>
  <si>
    <t>01.05.2023</t>
  </si>
  <si>
    <t>10005030/010523/3112588</t>
  </si>
  <si>
    <t>3112588</t>
  </si>
  <si>
    <t>ОПЛОДОТВОРЕННЫЕ ЯЙЦА ИНДЮШАЧЬИ ДЛЯ ИНКУБАЦИИ, КОД ОКП 98 4766 (ОКПД2 01.47.23.140): ЦЕЛЬ ВВОЗА - ДЛЯ ИНКУБИРОВАHИЯ.</t>
  </si>
  <si>
    <t>30.04.2023</t>
  </si>
  <si>
    <t>10131010/300423/3152325</t>
  </si>
  <si>
    <t>3152325</t>
  </si>
  <si>
    <t>5540, , SZARVAS, PAKOCZI U. 6/1, ,,..</t>
  </si>
  <si>
    <t>22102574/3292/0000/2/1</t>
  </si>
  <si>
    <t>PARTIZ</t>
  </si>
  <si>
    <t>10013160/300423/3196103</t>
  </si>
  <si>
    <t>3196103</t>
  </si>
  <si>
    <t>94905, , NITRA, NOVOZAMOCKA 184, ,,..</t>
  </si>
  <si>
    <t>BRANKO NITRA, A.S. ПЛЕМЗАВ.: SK-RH-NR-18, SK-RH-NR-12</t>
  </si>
  <si>
    <t>10805010/300423/5001417</t>
  </si>
  <si>
    <t>5001417</t>
  </si>
  <si>
    <t>5540, , SZARVAS, RACOKZI U.6/1, ,,..</t>
  </si>
  <si>
    <t>10013160/300423/3196111</t>
  </si>
  <si>
    <t>3196111</t>
  </si>
  <si>
    <t>BRANKO NITRA, A.S., ПЛЕМЗАВ.: SK-RH-NR-13, SK-RH-NR-18, SK-RH-NR-12</t>
  </si>
  <si>
    <t>29.04.2023</t>
  </si>
  <si>
    <t>10131010/290423/3151993</t>
  </si>
  <si>
    <t>3151993</t>
  </si>
  <si>
    <t>49290, MAUGES SUR LOIRE, SAINT LAURENT DE LA PLAINE, LA BOHARDIERE BP., 1,,..</t>
  </si>
  <si>
    <t>.</t>
  </si>
  <si>
    <t>Г. НОВОЗЫБКОВ</t>
  </si>
  <si>
    <t>УЛ. РОС,,,.</t>
  </si>
  <si>
    <t>ЯЙЦА ИНДЕЕК ДОМАШНИХ, СВЕЖИЕ, ОПЛОДОТВОРЕННЫЕ ДЛЯ ИНКУБАЦИИ, ПОРОДЫ HYBRID CONVERTER, НЕ ПЛЕМЕННЫЕ, ДЛЯ ПОСЛЕДУЮЩЕГО ВЫРАЩИВАНИЯ И УБОЯ НА МЯСО СВЕЖЕЕ, В КАРТОННЫХ КОРОБКАХ</t>
  </si>
  <si>
    <t>HENDRIX GENETICS</t>
  </si>
  <si>
    <t>ШЕРЕМЕТ СЕРГЕЙ СЕРГЕЕВИЧ</t>
  </si>
  <si>
    <t>10131010/290423/3152002</t>
  </si>
  <si>
    <t>3152002</t>
  </si>
  <si>
    <t>, 26219, BOSEL, KARTZ-VON-KAMEKE-ALLEE, 7,,..</t>
  </si>
  <si>
    <t>10131010/290423/3151994</t>
  </si>
  <si>
    <t>3151994</t>
  </si>
  <si>
    <t>28.04.2023</t>
  </si>
  <si>
    <t>10013160/280423/3193681</t>
  </si>
  <si>
    <t>3193681</t>
  </si>
  <si>
    <t>10013160/280423/3193941</t>
  </si>
  <si>
    <t>3193941</t>
  </si>
  <si>
    <t>27.04.2023</t>
  </si>
  <si>
    <t>10005030/270423/3110009</t>
  </si>
  <si>
    <t>3110009</t>
  </si>
  <si>
    <t>24.04.2023</t>
  </si>
  <si>
    <t>10013160/240423/3185697</t>
  </si>
  <si>
    <t>3185697</t>
  </si>
  <si>
    <t>440015</t>
  </si>
  <si>
    <t>23.04.2023</t>
  </si>
  <si>
    <t>10805010/230423/3006866</t>
  </si>
  <si>
    <t>3006866</t>
  </si>
  <si>
    <t>10131010/230423/3142416</t>
  </si>
  <si>
    <t>3142416</t>
  </si>
  <si>
    <t>, 26219, BOSEL, KARTZ-VON-KAMEKE-ALLEE, 7.,..</t>
  </si>
  <si>
    <t>10005030/230423/3105259</t>
  </si>
  <si>
    <t>3105259</t>
  </si>
  <si>
    <t>10013160/230423/3183808</t>
  </si>
  <si>
    <t>3183808</t>
  </si>
  <si>
    <t>22.04.2023</t>
  </si>
  <si>
    <t>10005030/220423/3104705</t>
  </si>
  <si>
    <t>3104705</t>
  </si>
  <si>
    <t>21.04.2023</t>
  </si>
  <si>
    <t>10013160/210423/3181997</t>
  </si>
  <si>
    <t>3181997</t>
  </si>
  <si>
    <t>II "CUSTOMS CONSULTING" LTKR1000 RAUDONDVARIO PL. 147A, LITHUANIA, KAUNAS BY ORDER BRANKO NITRA A.S.</t>
  </si>
  <si>
    <t>94905, , NITRA, NOVOZAMOCKA, 184, .,..</t>
  </si>
  <si>
    <t>20.04.2023</t>
  </si>
  <si>
    <t>10131010/200423/3140160</t>
  </si>
  <si>
    <t>3140160</t>
  </si>
  <si>
    <t>18.04.2023</t>
  </si>
  <si>
    <t>10013160/180423/3175458</t>
  </si>
  <si>
    <t>3175458</t>
  </si>
  <si>
    <t>10005030/180423/3100419</t>
  </si>
  <si>
    <t>3100419</t>
  </si>
  <si>
    <t>17.04.2023</t>
  </si>
  <si>
    <t>10805010/170423/3006464</t>
  </si>
  <si>
    <t>3006464</t>
  </si>
  <si>
    <t>10013160/170423/3174106</t>
  </si>
  <si>
    <t>3174106</t>
  </si>
  <si>
    <t>BRANKO NITRA. A.S.</t>
  </si>
  <si>
    <t>10013160/170423/3172836</t>
  </si>
  <si>
    <t>3172836</t>
  </si>
  <si>
    <t>PUTENZUCHT MIKO GMBH</t>
  </si>
  <si>
    <t>4871, , FRANKENBURG AM HAUSRUCK, HASLAU 8, .,..</t>
  </si>
  <si>
    <t>AT</t>
  </si>
  <si>
    <t>АВСТРИЯ</t>
  </si>
  <si>
    <t>RISNOVCE</t>
  </si>
  <si>
    <t>23022762/3292/0000/2/1</t>
  </si>
  <si>
    <t>ОПЛОДОТВОРЕННЫЕ ИНКУБАЦИОННЫЕ ЯЙЦА ИНДЕЙКИ, ДЛЯ ИНКУБАЦИИ И ВЫВЕДЕНИЯ ИНДЮШЕК, ДЛЯ ПОСЛЕДУЮЩЕГО ВЫРАЩИВАНИЯ И УБОЯ НА МЯСО, СВЕЖИЕ (В ОДНОЙ КОРОБКЕ 200 ШТ)</t>
  </si>
  <si>
    <t>PUTENZUCHT MIKO</t>
  </si>
  <si>
    <t>MOVOS SPOL. S.R.O.</t>
  </si>
  <si>
    <t>10805010/130423/3006246</t>
  </si>
  <si>
    <t>13.04.2023</t>
  </si>
  <si>
    <t>3006246</t>
  </si>
  <si>
    <t>16.04.2023</t>
  </si>
  <si>
    <t>10805010/160423/3006383</t>
  </si>
  <si>
    <t>3006383</t>
  </si>
  <si>
    <t>II "CUSTOMS CONSULTING" LTKR1000 RAUDONDVARIO PL. 147A, LITHUANIA, KAUNAS BY ORDER AZZURRA S.R.L.</t>
  </si>
  <si>
    <t>48026, , RUSSI (RA), VIA DON MINZONI, 10, ..,,</t>
  </si>
  <si>
    <t>IT</t>
  </si>
  <si>
    <t>РАЗНЫЕ</t>
  </si>
  <si>
    <t>23010114/2673/0000/2/1</t>
  </si>
  <si>
    <t>ОПЛОДОТВОРЕННЫЕ НЕПЛЕМЕННЫЕ ИНКУБАЦИОННЫЕ ЯЙЦА ИНДЕЙКИ (TURKEY HATCHING EGGS) ДЛЯ ИНКУБАЦИИ И ВЫВЕДЕНИЯ ПОРОДЫ ИНДЕЕК, ДЛЯ ПОСЛЕДУЮЩЕГО ВЫРАЩИВАНИЯ И УБОЯ НА МЯСО, СВЕЖИЕ, ПО 200 ШТ В КОРОБКЕ</t>
  </si>
  <si>
    <t>AZZURRA S.R.L., ПЛЕМЗАВОД: IT041TEV02</t>
  </si>
  <si>
    <t>10131010/160423/3132908</t>
  </si>
  <si>
    <t>3132908</t>
  </si>
  <si>
    <t>26219, , BOSEL, KARTZ-VON-KAMEKE-ALLEE 7, ..,,</t>
  </si>
  <si>
    <t>1107746256199</t>
  </si>
  <si>
    <t>7734633610</t>
  </si>
  <si>
    <t>ООО" ТОРГОВЫЙ ДОМ РЕЗЕРВ"</t>
  </si>
  <si>
    <t>109382, РФ, Г. МОСКВА, УЛ.НИЖНИЕ ПОЛЯ,, Д. 31, К. 1, ЭТ. 4, ПОМ. 7, КОМ. 79</t>
  </si>
  <si>
    <t>772301001</t>
  </si>
  <si>
    <t>П. РОВЕНЬКИ</t>
  </si>
  <si>
    <t>23021822/3292/0000/2/1</t>
  </si>
  <si>
    <t>0035/03-16-1549</t>
  </si>
  <si>
    <t>15.04.2023</t>
  </si>
  <si>
    <t>10418010/150423/5002868</t>
  </si>
  <si>
    <t>5002868</t>
  </si>
  <si>
    <t>BRANKO NITRA, A. S./ЧЕРЕЗ CUSTOMS CONSULTING ЛИТВА/</t>
  </si>
  <si>
    <t>949 05, , NITRA, NOVOZAMOCKA, 184..,,</t>
  </si>
  <si>
    <t>ОПЛОДОТВОРЕННЫЕ ЯЙЦА ИНДЮШАЧЬИ СВЕЖИЕ,ДЛЯ ИНКУБАЦИИ (ВСЕГО 28000 ШТ) ЯЙЦО ИНКУБАЦИОННОЕ ИНДЕЙКИ MELEAGRIS GALLOPAVO L., ПОРОДЫ BUT BIG 6 , БЕЛАЯ ШИРОКОГРУДАЯ, ВЕС ЯЙЦА МЕЖДУ 75 - 100 Г, НЕ ЯВЛЯЕТСЯ ПЛЕМЕННЫМ, (УПАКОВАНО В КОРОБКАХ ПО 200 ШТ)(ФЕРМА СА</t>
  </si>
  <si>
    <t>10005030/150423/3096868</t>
  </si>
  <si>
    <t>3096868</t>
  </si>
  <si>
    <t>10013160/150423/3171803</t>
  </si>
  <si>
    <t>3171803</t>
  </si>
  <si>
    <t>14.04.2023</t>
  </si>
  <si>
    <t>10005030/140423/3095889</t>
  </si>
  <si>
    <t>3095889</t>
  </si>
  <si>
    <t>HYBRID TURKEYS A DIVISION OF HENDRIX GENETICS LTD</t>
  </si>
  <si>
    <t>N2K 3S2, ONTARIO, KITCHENER, 650 RIVERBEND DRIVE, SUITE C, ..,,</t>
  </si>
  <si>
    <t>644555, ОМСКАЯ ОБЛАСТЬ, ОМСКИЙ РАЙОН, С. МОРОЗОВКА, УЛ. ЮБИЛЕЙНАЯ, Д. 1,</t>
  </si>
  <si>
    <t>АЭРОПОРТ ВНУКОВО</t>
  </si>
  <si>
    <t>22050047/3292/0004/2/1</t>
  </si>
  <si>
    <t>ЯЙЦО ИНКУБАЦИОННОЕ РОДИТЕЛЬСКОГО ПОГОЛОВЬЯ, ОПЛОДОТВОРЕННОЕ, ПРЕДНАЗНАЧЕННОЕ ДЛЯ ИНКУБАЦИИ ДОМАШНЕЙ ИНДЕЙКИ (MELEAGRIS GALLOPAVO L.):</t>
  </si>
  <si>
    <t>10013160/140423/3169643</t>
  </si>
  <si>
    <t>3169643</t>
  </si>
  <si>
    <t>26219, , BOSEL, KARTZ-VON-KAMEKE-ALLEE, 7..,,</t>
  </si>
  <si>
    <t>10131010/130423/3130062</t>
  </si>
  <si>
    <t>3130062</t>
  </si>
  <si>
    <t>, 26219, BOSEL, KARTZ-VON-KAMEKE-ALLEE, 7..,,</t>
  </si>
  <si>
    <t>12.04.2023</t>
  </si>
  <si>
    <t>10013160/120423/3164317</t>
  </si>
  <si>
    <t>3164317</t>
  </si>
  <si>
    <t>SAS LE SAYEC</t>
  </si>
  <si>
    <t>56855, CEDEX, CAUDAN, LA MONTAGNE DU SALUT, .,..</t>
  </si>
  <si>
    <t>117393, , МОСКВА, УЛ. АРХИТЕКТОРА ВЛАСОВА, Д .55</t>
  </si>
  <si>
    <t>CAUDAN</t>
  </si>
  <si>
    <t>22041207/1326/0000/2/1</t>
  </si>
  <si>
    <t>10013160/120423/3162630</t>
  </si>
  <si>
    <t>3162630</t>
  </si>
  <si>
    <t>4871, , FRANKENBURG AM HAUSRUCK, HASLAU 8, ..,,</t>
  </si>
  <si>
    <t>10013160/120423/3165579</t>
  </si>
  <si>
    <t>3165579</t>
  </si>
  <si>
    <t>ТП ВЭД-1535/17</t>
  </si>
  <si>
    <t>10005030/120423/3092441</t>
  </si>
  <si>
    <t>3092441</t>
  </si>
  <si>
    <t>N7G 3H6, ONTARIO, STRATHROY, CENTRE ROAD, RR#5, 28429..,,</t>
  </si>
  <si>
    <t>10131010/120423/3125602</t>
  </si>
  <si>
    <t>3125602</t>
  </si>
  <si>
    <t>49290, MAUGES SUR LOIRE, SAINT LAURENT DE LA PLAINE, LA BOHARDIERE BP., 1..,,</t>
  </si>
  <si>
    <t>10131010/120423/3126074</t>
  </si>
  <si>
    <t>3126074</t>
  </si>
  <si>
    <t>5540, , SZARVAS, PAKOCZI U. 6/1, ..,,</t>
  </si>
  <si>
    <t>26.04.2023</t>
  </si>
  <si>
    <t>10418010/260423/3057381</t>
  </si>
  <si>
    <t>3057381</t>
  </si>
  <si>
    <t>949 05, , NITRA, NOVOZAMOCKA, 184,,..</t>
  </si>
  <si>
    <t>ОПЛОДОТВОРЕННЫЕ ЯЙЦА ИНДЮШАЧЬИ СВЕЖИЕ,ДЛЯ ИНКУБАЦИИ (ВСЕГО 42000 ШТ) ЯЙЦО ИНКУБАЦИОННОЕ ИНДЕЙКИ MELEAGRIS GALLOPAVO L., ПОРОДЫ BUT BIG 6 , БЕЛАЯ ШИРОКОГРУДАЯ, ВЕС ЯЙЦА МЕЖДУ 75 - 100 Г, НЕ ЯВЛЯЕТСЯ ПЛЕМЕННЫМ, (УПАКОВАНО В КОРОБКАХ ПО 200 ШТ)</t>
  </si>
  <si>
    <t>10013160/240423/3185735</t>
  </si>
  <si>
    <t>3185735</t>
  </si>
  <si>
    <t>4871, , FRANKENBURG AM HAUSRUCK, HASLAU 8, ,,..</t>
  </si>
  <si>
    <t>08.04.2023</t>
  </si>
  <si>
    <t>10013160/080423/3160324</t>
  </si>
  <si>
    <t>3160324</t>
  </si>
  <si>
    <t>17843, (GIRONA), PALOL DE REVARDIT, CTRA. GIRONA BANYOLES, KM 8,2,</t>
  </si>
  <si>
    <t>PALOL DE REVARDIT</t>
  </si>
  <si>
    <t>22010010/1481/1747/2/1</t>
  </si>
  <si>
    <t>10013160/080423/3160306</t>
  </si>
  <si>
    <t>3160306</t>
  </si>
  <si>
    <t>II "CUSTOMS CONSULTING" LTKR1000 RAUDONDVARIO PL. 147A, LITHUANIA, KAUNAS BY ORDER BRANKO NITRA, A.S.</t>
  </si>
  <si>
    <t>BRANKO NITRA, A.S., ПЛЕМЗАВ.: SK-RH-NR-12, SK-RH-NR-13, SK-RH-NR-18</t>
  </si>
  <si>
    <t>07.04.2023</t>
  </si>
  <si>
    <t>10013160/070423/3159256</t>
  </si>
  <si>
    <t>3159256</t>
  </si>
  <si>
    <t>05.04.2023</t>
  </si>
  <si>
    <t>10005030/050423/3086910</t>
  </si>
  <si>
    <t>3086910</t>
  </si>
  <si>
    <t>04.04.2023</t>
  </si>
  <si>
    <t>10013160/040423/3152590</t>
  </si>
  <si>
    <t>3152590</t>
  </si>
  <si>
    <t>17843, , PALOL DE REVARDIT (GIRONA), CTRA. GIRONA BANYOLES, KM. 8,2,</t>
  </si>
  <si>
    <t>03.04.2023</t>
  </si>
  <si>
    <t>10013160/030423/3149797</t>
  </si>
  <si>
    <t>3149797</t>
  </si>
  <si>
    <t>4871, , FRANKENBURG AM HAUSRUCK, HASLAU 8,</t>
  </si>
  <si>
    <t>02.04.2023</t>
  </si>
  <si>
    <t>10805010/020423/3005456</t>
  </si>
  <si>
    <t>3005456</t>
  </si>
  <si>
    <t>48026, , RUSSI (RA), VIA DON MINZONI, 10,</t>
  </si>
  <si>
    <t>ОПЛОДОТВОРЕННЫЕ НЕПЛЕМЕННЫЕ ИНКУБАЦИОННЫЕ ЯЙЦА ИНДЕЙКИ (TURKEY HATCHING EGGS) ДЛЯ ИНКУБАЦИИ И ВЫBЕДЕНИЯ ПОРОДЫ ИНДЕЕК, ДЛЯ ПОСЛЕДУЮЩЕГО ВЫРАЩИВАНИЯ И УБОЯ НА МЯСО, СВЕЖИЕ, ПО 200 ШТ В КОРОБКЕ</t>
  </si>
  <si>
    <t>10005030/020423/3082593</t>
  </si>
  <si>
    <t>3082593</t>
  </si>
  <si>
    <t>10005030/020423/3082670</t>
  </si>
  <si>
    <t>3082670</t>
  </si>
  <si>
    <t>ПЛЕМЕННЫЕ ИНДЮШАЧЬИ ЯЙЦА ДЛЯ ИНКУБАЦИИ, ОПЛОДОТВОРЁННЫЕ, ДЛЯ ВЫВЕДЕНИЯ РОДИТЕЛЬСКОГО СТАДА MELEAGRIS GALLOPAVO L. ПОРОДЫ БЕЛАЯ ШИРОКОГРУДАЯ BIG 6, РАЗМЕЩЕННЫЕ C ЦЕЛЬЮ ПРЕДОТВРАЩЕНИЯ БОЯ И УНИЧТОЖЕНИЯ В КАРТОННЫХ КОРОБКАХ.</t>
  </si>
  <si>
    <t>10013160/020423/3149022</t>
  </si>
  <si>
    <t>3149022</t>
  </si>
  <si>
    <t>ИНКУБАЦИОННЫЕ ЯЙЦА ИНДЮШАЧЬИ, ОПЛОДОТВОРЁННЫЕ (ДЛЯ ИНКУБАЦИИ). РАЗМЕЩЕНЫ С ЦЕЛЬЮ ПРЕДОТВРАЩЕНИЯ БОЯ И УНИЧТОЖЕНИЯ В КАРТОННЫХ КОРОБКАХ (200 ЯИЦ B ОДНОЙ КОРОБКЕ)</t>
  </si>
  <si>
    <t>10805010/020423/5001011</t>
  </si>
  <si>
    <t>5001011</t>
  </si>
  <si>
    <t>TURKEY-EGG KFT., ПЛЕМЗАВОД HU1010004</t>
  </si>
  <si>
    <t>10013160/020423/3149011</t>
  </si>
  <si>
    <t>3149011</t>
  </si>
  <si>
    <t>ИНКУБАЦИОННЫЕ ЯЙЦА ИНДЮШАЧЬИ, ОПЛОДОТВОРЁННЫЕ (ДЛЯ ИНКУБАЦИИ). РАЗМЕЩЕНЫ С ЦЕЛЬЮ ПРЕДОТBРАЩЕНИЯ БОЯ И УНИЧТОЖЕНИЯ В КАРТОННЫХ КОРОБКАХ (200 ЯИЦ В ОДНОЙ КОРОБКЕ)</t>
  </si>
  <si>
    <t>С</t>
  </si>
  <si>
    <t>01.04.2023</t>
  </si>
  <si>
    <t>10013160/010423/3148318</t>
  </si>
  <si>
    <t>3148318</t>
  </si>
  <si>
    <t>ТП ВЭД-1535/26</t>
  </si>
  <si>
    <t>10005030/010423/3082269</t>
  </si>
  <si>
    <t>3082269</t>
  </si>
  <si>
    <t>10131010/010423/3113897</t>
  </si>
  <si>
    <t>3113897</t>
  </si>
  <si>
    <t>26219, , BOSEL, KARTZ-VON-KAMEKE-ALLEE 7,</t>
  </si>
  <si>
    <t>10013160/010423/3147795</t>
  </si>
  <si>
    <t>3147795</t>
  </si>
  <si>
    <t>ИНДЮШАЧЬИ ЯЙЦА ДЛЯ ИНКУБАЦИИ, ОПЛОДОТВОРЕННЫЕ, MELEAGRIS GALLOPAVO L., ПОРОДА БЕЛАЯ ШИРОКОГРУДАЯ КРОССА БИГ-6, КАТЕГОРИЯ БРОЙЛЕР РАЗМЕЩЕНЫ С ЦЕЛЬЮ ПРЕДОТВРАЩЕНИЯ БОЯ И УНИЧТОЖЕНИЯ В КАРТОННЫX КОРОБКАХ</t>
  </si>
  <si>
    <t>10013160/010423/3148161</t>
  </si>
  <si>
    <t>3148161</t>
  </si>
  <si>
    <t>ОПЛОДОТВОPЕННЫЕ НЕПЛЕМЕННЫЕ ИНКУБАЦИОННЫЕ ЯЙЦА ИНДЕЙКИ (MELAGRIS GALLOPAVO L.) ДЛЯ ИНКУБАЦИИ И ВЫВЕДЕНИЯ ПОРОДЫ ИНДЕЕК, ДЛЯ ПОСЛЕДУЮЩЕГО ВЫРАЩИВАНИЯ И УБОЯ НА МЯСО, СВЕЖИЕ, ПОРОДЫ БЕЛАЯ ШИРОКОГРУДАЯ</t>
  </si>
  <si>
    <t>21.03.2023</t>
  </si>
  <si>
    <t>10013160/200323/3125873</t>
  </si>
  <si>
    <t>20.03.2023</t>
  </si>
  <si>
    <t>3125873</t>
  </si>
  <si>
    <t>10013160/210323/3127163</t>
  </si>
  <si>
    <t>3127163</t>
  </si>
  <si>
    <t>ГОЛИЦЫНСКИЙ СЕЛЬСОВЕТ</t>
  </si>
  <si>
    <t>10805010/200323/3004499</t>
  </si>
  <si>
    <t>3004499</t>
  </si>
  <si>
    <t>ОПЛОДОТВОРЕННЫЕ НЕПЛЕМЕННЫЕ ИНКУБАЦИОННЫЕ ЯЙЦА ИНДЕЙКИ (TURKEY HATCHING EGGS), ДЛЯ ИНКУБАЦИИ, ДЛЯ ПОСЛЕДУЮЩЕГО ВЫРАЩИВАНИЯ И УБОЯ НА МЯСО, CВЕЖИЕ, ПО 200 ШТ В КОРОБКЕ.</t>
  </si>
  <si>
    <t>10005030/200323/3068368</t>
  </si>
  <si>
    <t>3068368</t>
  </si>
  <si>
    <t>ТЕРРИТОРИЯ "АЭРОПОРТ ВНУКОВО", Д. 1, СТР. 19</t>
  </si>
  <si>
    <t>10013160/200323/3124718</t>
  </si>
  <si>
    <t>3124718</t>
  </si>
  <si>
    <t>ОПЛОДОТВОРЕННЫЕ ИНКУБАЦИОННЫЕ ЯЙЦA ИНДЕЙКИ, ДЛЯ ИНКУБАЦИИ И ВЫВЕДЕНИЯ ИНДЮШЕК, ДЛЯ ПОСЛЕДУЮЩЕГО ВЫРАЩИВАНИЯ И УБОЯ НА МЯСО, СВЕЖИЕ (В ОДНОЙ КОРОБКЕ 200 ШТ)</t>
  </si>
  <si>
    <t>10013160/190323/3124498</t>
  </si>
  <si>
    <t>19.03.2023</t>
  </si>
  <si>
    <t>3124498</t>
  </si>
  <si>
    <t>ОПЛОДОТВОРЕННЫЕ ИНКУБАЦИОННЫЕ ЯЙЦА ИНДЕЙКИ (MELAGRIS GALLOPAVO L.) ДЛЯ ИНКУБАЦИИ И ВЫВЕДЕНИЯ ПОРОДЫ ИНДЕЕК, ДЛЯ ПОСЛЕДУЮЩЕГО ВЫРАЩИВАНИЯ И УБОЯ НА МЯСО, СВЕЖИЕ, ПОРОДЫ БЕЛАЯ ШИРОКОГРУДАЯ</t>
  </si>
  <si>
    <t>ПРОИЗВ.: "BRANKO NITRA, A.S.", ПЛЕМЗАВ.: SK-RH-NR-18, SK-RH-NR-12</t>
  </si>
  <si>
    <t>10013160/190323/3124425</t>
  </si>
  <si>
    <t>3124425</t>
  </si>
  <si>
    <t>10013/200111/10045/5</t>
  </si>
  <si>
    <t>10013160/190323/3124416</t>
  </si>
  <si>
    <t>3124416</t>
  </si>
  <si>
    <t>ИНКУБАЦИОННЫЕ ЯЙЦA ИНДЮШАЧЬИ, ОПЛОДОТВОРЁННЫЕ (ДЛЯ ИНКУБАЦИИ). РАЗМЕЩЕНЫ С ЦЕЛЬЮ ПРЕДОТВРАЩЕНИЯ БОЯ И УНИЧТОЖЕНИЯ В КАРТОННЫХ КОРОБКАХ (200 ЯИЦ В ОДНОЙ КОРОБКЕ)</t>
  </si>
  <si>
    <t>10013160/190323/3123670</t>
  </si>
  <si>
    <t>3123670</t>
  </si>
  <si>
    <t>ИНДЮШАЧЬИ ЯЙЦА ДЛЯ ИНКУБАЦИИ, ОПЛOДОТВОРЕННЫЕ, MELEAGRIS GALLOPAVO L., ПОРОДА БЕЛАЯ ШИРОКОГРУДАЯ КРОССА БИГ-6, КАТЕГОРИЯ БРОЙЛЕР РАЗМЕЩЕНЫ С ЦЕЛЬЮ ПРЕДОТВРАЩЕНИЯ БОЯ И УНИЧТОЖЕНИЯ В КАРТОННЫХ КОРОБКАХ</t>
  </si>
  <si>
    <t>18.03.2023</t>
  </si>
  <si>
    <t>10805010/180323/3004486</t>
  </si>
  <si>
    <t>3004486</t>
  </si>
  <si>
    <t>17.03.2023</t>
  </si>
  <si>
    <t>10013160/170323/3122081</t>
  </si>
  <si>
    <t>3122081</t>
  </si>
  <si>
    <t>ЭЛЕВАТОРНАЯ</t>
  </si>
  <si>
    <t>ЯЙЦА УТКИ, ПЛЕМEННЫЕ ДЛЯ ИНКУБАЦИИ, ОПЛОДОТВОРЁННЫЕ, ДЛЯ ВЫВЕДЕНИЯ РОДИТЕЛЬСКОГО СТАДА ПОРОДЫ ПЕКИНСКАЯ УТКА, РАЗМЕЩЕННЫЕ С ЦЕЛЬЮ ПРЕДОТВРАЩЕНИЯ БОЯ И УНИЧТОЖЕНИЯ В КАРТОННЫХ КОРОБКАХ.</t>
  </si>
  <si>
    <t>14.03.2023</t>
  </si>
  <si>
    <t>10013160/140323/3114689</t>
  </si>
  <si>
    <t>3114689</t>
  </si>
  <si>
    <t>ИНДЮШАЧЬИ ЯЙЦА ДЛЯ ИНКУБАЦИИ, ОПЛОДОТВОРЕННЫЕ, MELEAGRIS GALLOPAVO L., ПОРОДА БЕЛАЯ ШИРОКОГРУДАЯ КРОССА БИГ-6, КАТЕГОРИЯ БРОЙЛЕР РАЗМЕЩЕНЫ С ЦЕЛЬЮ ПРЕДОТВРАЩЕНИЯ БОЯ И УНИЧTОЖЕНИЯ В КАРТОННЫХ КОРОБКАХ</t>
  </si>
  <si>
    <t>10013160/140323/3115215</t>
  </si>
  <si>
    <t>3115215</t>
  </si>
  <si>
    <t>17843, , PALOL DE REVARDIT (GIRONA), CTRA GIRONA BANYOLES, KM. 8,2,</t>
  </si>
  <si>
    <t>ОПЛОДОТВОРЕННЫЕ ИНКУБАЦИОННЫЕ ЯЙЦА ИНДЕЙКИ (MELAGRIS GALLOPAVO L.) ДЛЯ ИНКУБАЦИИ И ВЫВЕДЕНИЯ ПОРОДЫ ИНДЕЕК, ДЛЯ ПОСЛЕДУЮЩЕГО ВЫРАЩИВАНИЯ И УБОЯ НА МЯСО, СВЕЖИЕ, ПОРОДЫ БЕЛАЯ ШИРОКОГРУДАЯ, УПАКОВАНО В КАРТОННЫХ КOРОБКАХ ПО 200 ШТ.</t>
  </si>
  <si>
    <t>13.03.2023</t>
  </si>
  <si>
    <t>10005030/130323/3061081</t>
  </si>
  <si>
    <t>3061081</t>
  </si>
  <si>
    <t>10013160/130323/3112477</t>
  </si>
  <si>
    <t>3112477</t>
  </si>
  <si>
    <t>ОПЛОДОТВОРЕННЫЕ ИНКУБАЦИОННЫЕ ЯЙЦА ИНДЕЙКИ, ДЛЯ ИНКУБАЦИИ И ВЫВЕДЕНИЯ ИНДЮШЕК, ДЛЯ ПОСЛЕДУЮЩЕГО ВЫPАЩИВАНИЯ И УБОЯ НА МЯСО, СВЕЖИЕ (В ОДНОЙ КОРОБКЕ 200 ШТ)</t>
  </si>
  <si>
    <t>10131010/130323/3085915</t>
  </si>
  <si>
    <t>3085915</t>
  </si>
  <si>
    <t>ОПЛОДОТВОРЕННЫЕ ИНКУБАЦИОННЫЕ ЯЙЦА ИНДЕЕК (MELEAGRUS GAILOPANO L), ДЛЯ ИНКУБАЦИИ И ВЫВЕДЕНИЯ ИНДЕЕК, ДЛЯ ПОСЛЕДУЮЩЕГО ВЫРАЩИВАНИЯ И УБОЯ НА МЯСО, СВЕЖИЕ, (В КОРОБКЕ 10 ЛОТКОВ ПО 20 ШТ,):</t>
  </si>
  <si>
    <t>10013160/130323/3113357</t>
  </si>
  <si>
    <t>3113357</t>
  </si>
  <si>
    <t>12.03.2023</t>
  </si>
  <si>
    <t>10013160/120323/3111844</t>
  </si>
  <si>
    <t>3111844</t>
  </si>
  <si>
    <t>ИНКУБАЦИОННЫЕ ЯЙЦА ИНДЮШАЧЬИ, ОПЛОДОТВОРЁННЫЕ (ДЛЯ ИНКУБАЦИИ):РАЗМЕЩЕНЫ С ЦЕЛЬЮ ПРЕДОТВРАЩЕНИЯ БОЯ И УНИЧТОЖЕНИЯ В КАРТОННЫХ КОРОБКАХ (200 ЯИЦ В ОДНОЙ КОРОБКЕ)</t>
  </si>
  <si>
    <t>10005030/120323/3060780</t>
  </si>
  <si>
    <t>3060780</t>
  </si>
  <si>
    <t>"ВНУКОВО" СТР.19</t>
  </si>
  <si>
    <t>ПЛЕМЕННЫЕ ИНДЮШАЧЬИ ЯЙЦА ДЛЯ ИНКУБАЦИИ, ОПЛОДОТВОРЁННЫЕ, ДЛЯ ВЫВЕДЕНИЯ РОДИТЕЛЬСКОГО СТАДА MELEAGRIS GALLOPAVO L. ПОРОДЫ БЕЛАЯ ШИРОКОГРУДАЯ BIG 6, РАЗМЕЩEННЫЕ С ЦЕЛЬЮ ПРЕДОТВРАЩЕНИЯ БОЯ И УНИЧТОЖЕНИЯ В КАРТОННЫХ КОРОБКАХ.</t>
  </si>
  <si>
    <t>10805010/120323/5000748</t>
  </si>
  <si>
    <t>5000748</t>
  </si>
  <si>
    <t>AZZURRA S.R.L.</t>
  </si>
  <si>
    <t>ОПЛОДОТВОРЕННЫЕ НЕПЛЕМЕННЫЕ ИНКУБАЦИОННЫЕ ЯЙЦА ИНДЕЙКИ (TURKEY HATCHING EGGS) ДЛЯ ИНКУБАЦИИ И ВЫВЕДЕНИЯ ПОРОДЫ ИНДЕЕК, ДЛЯ ПОСЛЕДУЮЩЕГО ВЫРАЩИВАНИЯ И УБОЯ НА МЯСO, СВЕЖИЕ, ПО 200 ШТ В КОРОБКЕ</t>
  </si>
  <si>
    <t>29.03.2023</t>
  </si>
  <si>
    <t>10005030/290323/3079085</t>
  </si>
  <si>
    <t>3079085</t>
  </si>
  <si>
    <t>ИНДЮШАЧЬИ ЯЙЦА ДЛЯ ИНКУБАЦИИ,ПОРОДА MELEAGRIS GALLOPAVO L. "БЕЛАЯ ШИРОКОГРУДАЯ" (HCONV),КРОСС ХАЙБРИД КОНВЕРТЕР,КАТЕГОРИЯ БРОЙЛЕР,НЕ ПЛЕМЕННЫЕ,РАЗМЕЩЕНЫ В КАРТОННЫХ КАССЕТАХ ПО ДВАДЦАТЬ (20) ЯИЦ В КАЖДОЙ И УПАКОВАНО В ОРИГИНАЛЬНЫЕ КАРТОННЫЕ</t>
  </si>
  <si>
    <t>28.03.2023</t>
  </si>
  <si>
    <t>10418010/270323/3040739</t>
  </si>
  <si>
    <t>27.03.2023</t>
  </si>
  <si>
    <t>3040739</t>
  </si>
  <si>
    <t>ОПЛОДОТВОРЕННЫЕ ЯЙЦА ИНДЮШАЧЬИ СВЕЖИЕ,ДЛЯ ИНКУБАЦИИ (ВСЕГО 56000 ШТ) ЯЙЦО ИНКУБАЦИОННОЕ ИНДЕЙКИ MELEAGRIS GALLOPAVO L, ПОРОДЫ BUT BIG 6 , БЕЛАЯ ШИРОКОГРУДАЯ, ВЕС ЯЙЦА МЕЖДУ 75 - 100 Г, НЕ ЯВЛЯЕТСЯ ПЛЕМЕННЫМ, (УПАКОВАНО В КОРОБКАХ ПО 200 ШТ)</t>
  </si>
  <si>
    <t>Б-С/23-007</t>
  </si>
  <si>
    <t>МАЙОРОВА СВЕТЛАНА ЕВГЕНЬЕВНА</t>
  </si>
  <si>
    <t>11.03.2023</t>
  </si>
  <si>
    <t>10131010/110323/3084664</t>
  </si>
  <si>
    <t>3084664</t>
  </si>
  <si>
    <t>ОПЛОДОТВОРЕННЫЕ ИНКУБАЦИОННЫЕ ЯЙЦА ИНДЕЕК (MELEAGRUS GAILOPANO L), ДЛЯ ИНКУБАЦИИ И ВЫВЕДЕНИЯ ИНДЕЕК, ДЛЯ ПОСЛЕДУЮЩЕГО ВЫРАЩИВАНИЯ И УБОЯ НА МЯCО, СВЕЖИЕ, (В КОРОБКЕ 10 ЛОТКОВ ПО 20 ШТ.):</t>
  </si>
  <si>
    <t>10.03.2023</t>
  </si>
  <si>
    <t>10013160/100323/3108125</t>
  </si>
  <si>
    <t>3108125</t>
  </si>
  <si>
    <t>ИНДЮШАЧЬИ ЯЙЦА ДЛЯ ИНКУБАЦИИ, ОПЛОДОТВОРЕННЫЕ, MELEAGRIS GALLOPAVO L., ПОРОДА БЕЛАЯ ШИРОКОГРУДАЯ КРОССА БИГ-6, КАТЕГОРИЯ БРОЙЛЕР РАЗМЕЩЕНЫ С ЦЕЛЬЮ ПРЕДОТВРАЩЕНИЯ БОЯ И УНИЧТОЖЕНИЯ В КАРТОННЫХ KОРОБКАХ</t>
  </si>
  <si>
    <t>08.03.2023</t>
  </si>
  <si>
    <t>10005030/080323/3056915</t>
  </si>
  <si>
    <t>3056915</t>
  </si>
  <si>
    <t>N7G 3H6, ONTARIO, STRATHROY, CENTRE ROAD, RR#5, 28429</t>
  </si>
  <si>
    <t>ТЕРРИТОРИЯ АЭРОПОРТ ВНУКОВО</t>
  </si>
  <si>
    <t>ЯЙЦА ИНДЕЕК ДОМАШНИХ, СВЕЖИЕ, ОПЛОДОТВОРЕННЫЕ ДЛЯ ИНКУБАЦИИ, ПОРОДЫ HYBRID CONVERTER, НЕ ПЛЕМЕННЫЕ, ДЛЯ ПОСЛЕДУЮЩЕГО ВЫРАЩИВАНИЯ И УБОЯ НА МЯСО СВЕЖЕЕ, В КAРТОННЫХ КОРОБКАХ</t>
  </si>
  <si>
    <t>07.03.2023</t>
  </si>
  <si>
    <t>10013160/070323/3103674</t>
  </si>
  <si>
    <t>3103674</t>
  </si>
  <si>
    <t>06.03.2023</t>
  </si>
  <si>
    <t>10805010/060323/3003487</t>
  </si>
  <si>
    <t>3003487</t>
  </si>
  <si>
    <t>49450, SEVREMOINE, ROUSSAY, LA CORBIERE, 3</t>
  </si>
  <si>
    <t>1142651024944</t>
  </si>
  <si>
    <t>2628803211</t>
  </si>
  <si>
    <t>ООО "МЕРКУРИЙ"</t>
  </si>
  <si>
    <t>357736, СТАВРОПОЛЬСКИЙ КРАЙ, Г. КИСЛОВОДСК, УЛ. АЗЕРБАЙДЖАНСКАЯ, Д.46</t>
  </si>
  <si>
    <t>262801001</t>
  </si>
  <si>
    <t>EXW</t>
  </si>
  <si>
    <t>МЕЛАЙ ДЮ МЭН</t>
  </si>
  <si>
    <t>10013/200111/10118/8</t>
  </si>
  <si>
    <t>143002</t>
  </si>
  <si>
    <t>МОСКОВСКАЯ ОБЛ., ОДИНЦОВСКИЙ Р-Н</t>
  </si>
  <si>
    <t>С. АКУЛОВО</t>
  </si>
  <si>
    <t>УЛ. НОВАЯ</t>
  </si>
  <si>
    <t>10013010 т/п Акуловский</t>
  </si>
  <si>
    <t>ОПЛОДОТВОРЕННЫЕ ПЛЕМЕННЫЕ ИНКУБАЦИОННЫЕ ЯЙЦА ПЕКИНСКОЙ УТКИ РОДИТЕЛЬСКОГО СТАДА, ПРЕДНАЗНАЧЕННЫЕ ДЛЯ ВЫВОДА MОЛОДНЯКА, В Т.Ч.- ИНКУБАЦИОННЫЕ ЯЙЦА, УЛОЖЕНЫ В КАРТОННЫЕ КОРОБКИ</t>
  </si>
  <si>
    <t>"V037AHH GRIMAUD FRERES SELECTION SAS", ФРАНЦИЯ</t>
  </si>
  <si>
    <t>ЗОРЬКИН РОМАН ВИКТОРОВИЧ</t>
  </si>
  <si>
    <t>10013160/060323/3100576</t>
  </si>
  <si>
    <t>3100576</t>
  </si>
  <si>
    <t>ОПЛОДОТВОРЕННЫЕ ИНКУБАЦИОННЫЕ ЯЙЦА ИНДЕЙКИ (MELAGRIS GALLOPAVO L.) ДЛЯ ИНКУБАЦИИ И ВЫВЕДЕНИЯ ПОРОДЫ ИНДЕЕК, ДЛЯ ПОСЛЕДУЮЩЕГО ВЫРАЩИВАНИЯ И УБОЯ НА МЯСО, СВЕЖИЕ, ПОРОДЫ БЕЛАЯ ШИРОКОГРУДАЯ, УПАКОВАНО В КАРТОННЫX КОРОБКАХ ПО 200 ШТ.</t>
  </si>
  <si>
    <t>10805010/030323/3003349</t>
  </si>
  <si>
    <t>03.03.2023</t>
  </si>
  <si>
    <t>3003349</t>
  </si>
  <si>
    <t>УЛ.ЛЕНИНА,427</t>
  </si>
  <si>
    <t>ИНДЮШАЧЬИ ЯЙЦА СВЕЖИЕ В СКОРЛУПЕ,ПОРОДЫ BUT BIG 6, (КРОМЕ ПОЛУЧЕННЫХ ОТ ПЛЕМЕННОЙ ПТИЦЫ);ОПЛОДОТВОРЕННЫЕ ДЛЯ ПОСЛЕДУЮЩЕЙ ИНКУБАЦИИ И ОТКОРМА ПТИЦ НА УБОЙ ДЛЯ УПОТРЕБЛЕНИЯ В ПИЩУ ЛЮДЬМИ</t>
  </si>
  <si>
    <t>10131010/060323/3078445</t>
  </si>
  <si>
    <t>3078445</t>
  </si>
  <si>
    <t>ОПЛОДОТВОРЕННЫЕ ИНКУБАЦИОННЫЕ ЯЙЦА ИНДЕЕК (MELEAGRUS GAILOPANO L), ДЛЯ ИНКУБАЦИИ И ВЫВЕДЕНИЯ ИНДЕЕК, ДЛЯ ПОСЛЕДУЮЩЕГО ВЫРАЩИВАНИЯ И УБОЯ НА МЯСО, CВЕЖИЕ, (В КОРОБКЕ 10 ЛОТКОВ ПО 20 ШТ.):</t>
  </si>
  <si>
    <t>05.03.2023</t>
  </si>
  <si>
    <t>10131010/050323/3076338</t>
  </si>
  <si>
    <t>3076338</t>
  </si>
  <si>
    <t>ОПЛОДОТВОРЕННЫЕ ИНКУБАЦИОННЫЕ ЯЙЦА ИНДЕЕК (MELEAGRUS GAILOPANO L), ДЛЯ ИНКУБАЦИИ И ВЫВЕДЕHИЯ ИНДЕЕК, ДЛЯ ПОСЛЕДУЮЩЕГО ВЫРАЩИВАНИЯ И УБОЯ НА МЯСО, СВЕЖИЕ, (В КОРОБКЕ 10 ЛОТКОВ ПО 20 ШТ.):</t>
  </si>
  <si>
    <t>10131010/050323/3076215</t>
  </si>
  <si>
    <t>3076215</t>
  </si>
  <si>
    <t>FODOR GYULA E.V.</t>
  </si>
  <si>
    <t>9012, , CYOR, TENKES U. 3,</t>
  </si>
  <si>
    <t>1195749002460</t>
  </si>
  <si>
    <t>5754025711</t>
  </si>
  <si>
    <t>ООО "МУЛАРД УТКА"</t>
  </si>
  <si>
    <t>302023, РФ, Г. ОРЁЛ, УЛ. МИХАЛИЦЫНА, Д. 10, ЛИТ. Б, ОФИС 3</t>
  </si>
  <si>
    <t>54000</t>
  </si>
  <si>
    <t>575401001</t>
  </si>
  <si>
    <t>ФЕЛПЕЦ</t>
  </si>
  <si>
    <t>23011310/3292/0000/2/1</t>
  </si>
  <si>
    <t>ОПЛОДОТBОРЕННЫЕ ЯЙЦА ИНДЮШАЧЬИ ИЛИ ГУСИНЫЕ ДЛЯ ИНКУБАЦИИ:</t>
  </si>
  <si>
    <t>966/2020</t>
  </si>
  <si>
    <t>ЛЕОНОВА ДАРЬЯ ИВАНОВНА</t>
  </si>
  <si>
    <t>10013160/050323/3099222</t>
  </si>
  <si>
    <t>3099222</t>
  </si>
  <si>
    <t>ИНКУБАЦИОНHЫЕ ЯЙЦА ИНДЮШАЧЬИ, ОПЛОДОТВОРЁННЫЕ (ДЛЯ ИНКУБАЦИИ). РАЗМЕЩЕНЫ С ЦЕЛЬЮ ПРЕДОТВРАЩЕНИЯ БОЯ И УНИЧТОЖЕНИЯ В КАРТОННЫХ КОРОБКАХ (200 ЯИЦ В ОДНОЙ КОРОБКЕ)</t>
  </si>
  <si>
    <t>10013160/050323/3099200</t>
  </si>
  <si>
    <t>3099200</t>
  </si>
  <si>
    <t>ОПЛОДОTВОРЕННЫЕ ИНКУБАЦИОННЫЕ ЯЙЦА ИНДЕЙКИ (MELAGRIS GALLOPAVO L.) ДЛЯ ИНКУБАЦИИ И ВЫВЕДЕНИЯ ПОРОДЫ ИНДЕЕК, ДЛЯ ПОСЛЕДУЮЩЕГО ВЫРАЩИВАНИЯ И УБОЯ НА МЯСО, СВЕЖИЕ, ПОРОДЫ БЕЛАЯ ШИРОКОГРУДАЯ</t>
  </si>
  <si>
    <t>10805010/050323/3003399</t>
  </si>
  <si>
    <t>3003399</t>
  </si>
  <si>
    <t>ОПЛОДОТВОРЕННЫЕ НЕПЛЕМЕННЫЕ ИНКУБАЦИОННЫЕ ЯЙЦА ИНДЕЙКИ (TURKEY HATCHING EGGS) ДЛЯ ИНКУБАЦИИ И ВЫВЕДЕНИЯ ПОРОДЫ ИНДЕЕК,ДЛЯ ПОСЛЕДУЮЩЕГО ВЫРАЩИВАНИЯ И УБОЯ НА МЯСО,СВЕЖИЕ,ПО 200 ШТ В КОРОБКЕ</t>
  </si>
  <si>
    <t>04.03.2023</t>
  </si>
  <si>
    <t>10005030/040323/3053395</t>
  </si>
  <si>
    <t>3053395</t>
  </si>
  <si>
    <t>ЯЙЦА ИНДЕЕК ДОМАШНИХ,СВЕЖИЕ,ОПЛОДОТВОРЕННЫЕ ДЛЯ ИНКУБАЦИИ,ПОРОДЫ HYBRID CONVERTER,НЕ ПЛЕМЕННЫЕ,ДЛЯ ПОСЛЕДУЮЩЕГО ВЫРАЩИВАНИЯ И УБОЯ НА МЯСО СВЕЖЕЕ,В КАРТОННЫХ КОРОБКАХ</t>
  </si>
  <si>
    <t>02.03.2023</t>
  </si>
  <si>
    <t>10005030/020323/3051669</t>
  </si>
  <si>
    <t>3051669</t>
  </si>
  <si>
    <t>ПЛЕМЕННЫЕ ИНДЮШАЧЬИ ЯЙЦА ДЛЯ ИНКУБАЦИИ,ОПЛОДОТВОРЁННЫЕ,ДЛЯ ВЫВЕДЕНИЯ РОДИТЕЛЬСКОГО СТАДА MELEAGRIS GALLOPAVO L. ПОРОДЫ БЕЛАЯ ШИРОКОГРУДАЯ BIG 6,РАЗМЕЩЕННЫЕ С ЦЕЛЬЮ ПРЕДОТВРАЩЕНИЯ БОЯ И УНИЧТОЖЕНИЯ В КАРТОННЫХ КОРОБКАХ.</t>
  </si>
  <si>
    <t>01.03.2023</t>
  </si>
  <si>
    <t>10013160/270223/3089471</t>
  </si>
  <si>
    <t>27.02.2023</t>
  </si>
  <si>
    <t>3089471</t>
  </si>
  <si>
    <t>ОПЛОДОТВОРЕННЫЕ НЕПЛЕМЕННЫЕ ИНКУБАЦИОННЫЕ ЯЙЦА ИНДЕЙКИ (MELAGRIS GALLOPAVO L.) ДЛЯ ИНКУБАЦИИ И ВЫВЕДЕНИЯ ПОРОДЫ ИНДЕЕК, ДЛЯ ПОСЛЕДУЮЩЕГО ВЫРАЩИВАНИЯ И УБОЯ НА МЯСО, СВЕЖИЕ, ПОРОДЫ БЕЛАЯ ШИРОKОГРУДАЯ, УПАКОВАНО В КАРТОННЫХ КОРОБКАХ ПО 200 ШТ.</t>
  </si>
  <si>
    <t>10131010/280323/5002317</t>
  </si>
  <si>
    <t>5002317</t>
  </si>
  <si>
    <t>ОПЛОДОТВОРЕНHЫЕ ИНКУБАЦИОННЫЕ ЯЙЦА ИНДЕЕК (MELEAGRUS GAILOPANO L), ДЛЯ ИНКУБАЦИИ И ВЫВЕДЕНИЯ ИНДЕЕК, ДЛЯ ПОСЛЕДУЮЩЕГО ВЫРАЩИВАНИЯ И УБОЯ НА МЯСО, СВЕЖИЕ, (В КОРОБКЕ 10 ЛОТКОВ ПО 20 ШТ.):</t>
  </si>
  <si>
    <t>10013160/270323/3137889</t>
  </si>
  <si>
    <t>3137889</t>
  </si>
  <si>
    <t>ОПЛОДОТВОРЕННЫЕ ИНКУБAЦИОННЫЕ ЯЙЦА ИНДЕЙКИ, ДЛЯ ИНКУБАЦИИ И ВЫВЕДЕНИЯ ИНДЮШЕК, ДЛЯ ПОСЛЕДУЮЩЕГО ВЫРАЩИВАНИЯ И УБОЯ НА МЯСО, СВЕЖИЕ (В ОДНОЙ КОРОБКЕ 200 ШТ)</t>
  </si>
  <si>
    <t>10013160/270323/3137101</t>
  </si>
  <si>
    <t>3137101</t>
  </si>
  <si>
    <t>10013160/270323/3137090</t>
  </si>
  <si>
    <t>3137090</t>
  </si>
  <si>
    <t>ИНКУБАЦИОННЫЕ ЯЙЦА ИНДЮШАЧЬИ, ОПЛОДОТВОРЁННЫЕ (ДЛЯ ИНКУБАЦИИ). РАЗМЕЩЕНЫ C ЦЕЛЬЮ ПРЕДОТВРАЩЕНИЯ БОЯ И УНИЧТОЖЕНИЯ В КАРТОННЫХ КОРОБКАХ (200 ЯИЦ В ОДНОЙ КОРОБКЕ)</t>
  </si>
  <si>
    <t>10013160/270323/3138889</t>
  </si>
  <si>
    <t>3138889</t>
  </si>
  <si>
    <t>26.03.2023</t>
  </si>
  <si>
    <t>10805010/260323/3004994</t>
  </si>
  <si>
    <t>3004994</t>
  </si>
  <si>
    <t>ОПЛОДОТВОРЕННЫЕ НЕПЛЕМЕННЫЕ ИНКУБАЦИОННЫЕ ЯЙЦА ИНДЕЙКИ (TURKEY HATCHING EGGS), ДЛЯ ИНКУБАЦИИ, ДЛЯ ПОСЛЕДУЮЩЕГО ВЫРАЩИBАНИЯ И УБОЯ НА МЯСО, СВЕЖИЕ, ПО 200 ШТ В КОРОБКЕ.</t>
  </si>
  <si>
    <t>TURKEY-EGG KFT., ПЛЕМЗАВОД HU1009976</t>
  </si>
  <si>
    <t>10013160/260323/5001452</t>
  </si>
  <si>
    <t>5001452</t>
  </si>
  <si>
    <t>ОПЛОДОТВОРЕННЫЕ ИНKУБАЦИОННЫЕ ЯЙЦА ИНДЕЙКИ (MELAGRIS GALLOPAVO L.) ДЛЯ ИНКУБАЦИИ И ВЫВЕДЕНИЯ ПОРОДЫ ИНДЕЕК, ДЛЯ ПОСЛЕДУЮЩЕГО ВЫРАЩИВАНИЯ И УБОЯ НА МЯСО, СВЕЖИЕ, ПОРОДЫ БЕЛАЯ ШИРОКОГРУДАЯ</t>
  </si>
  <si>
    <t>ПРОИЗВ.: "BRANKO NITRA, A.S.", ПЛЕМЗАВ.: SK-RH-NR-18, SK-RH-NR-12, SK-RH-NR-13</t>
  </si>
  <si>
    <t>10805010/250323/3004991</t>
  </si>
  <si>
    <t>25.03.2023</t>
  </si>
  <si>
    <t>3004991</t>
  </si>
  <si>
    <t>10131010/260323/3104320</t>
  </si>
  <si>
    <t>3104320</t>
  </si>
  <si>
    <t>, 26219, BOSEL, KARTZ-VON-KAMEKE-ALLEE, 7</t>
  </si>
  <si>
    <t>УЛ. РОС</t>
  </si>
  <si>
    <t>24.03.2023</t>
  </si>
  <si>
    <t>10131010/240323/3103365</t>
  </si>
  <si>
    <t>3103365</t>
  </si>
  <si>
    <t>23.03.2023</t>
  </si>
  <si>
    <t>10005030/230323/3072723</t>
  </si>
  <si>
    <t>3072723</t>
  </si>
  <si>
    <t>ОПЛОДОТВОРЕННЫЕ ЯЙЦА ИНДЮШАЧЬИ ДЛЯ ИНКУБАЦИИ; КОД ОКП 98 4766 (ОКПД2 01.47.23.140): ЦЕЛЬ ВВОЗА - ДЛЯ ИНКУБИРОВАНИЯ.</t>
  </si>
  <si>
    <t>10005030/230323/3072740</t>
  </si>
  <si>
    <t>3072740</t>
  </si>
  <si>
    <t>ОПЛОДОТBОРЕННЫЕ ЯЙЦА ИНДЮШАЧЬИ ДЛЯ ИНКУБАЦИИ, КОД ОКП 98 4766 (ОКПД2 01.47.23.140):</t>
  </si>
  <si>
    <t>10005030/270223/3046579</t>
  </si>
  <si>
    <t>3046579</t>
  </si>
  <si>
    <t>ЯЙЦА ИНДЕЕК ДОМАШНИХ, СВЕЖИЕ, ОПЛОДОТВОPЕННЫЕ ДЛЯ ИНКУБАЦИИ, ПОРОДЫ HYBRID CONVERTER, НЕ ПЛЕМЕННЫЕ, ДЛЯ ПОСЛЕДУЮЩЕГО ВЫРАЩИВАНИЯ И УБОЯ НА МЯСО СВЕЖЕЕ, В КАРТОННЫХ КОРОБКАХ</t>
  </si>
  <si>
    <t>10005030/270223/3046408</t>
  </si>
  <si>
    <t>3046408</t>
  </si>
  <si>
    <t>ОПЛОДОТВОРЕННЫЕ ЯЙЦА ИНДЮШАЧЬИ ДЛЯ ИНКУБАЦИИ, KОД ОКП 98 4766 (ОКПД2 01.47.23.140): ЦЕЛЬ ВВОЗА - ДЛЯ ИНКУБИРОВАНИЯ.</t>
  </si>
  <si>
    <t>10005030/270223/3046795</t>
  </si>
  <si>
    <t>3046795</t>
  </si>
  <si>
    <t>10005030/270223/3046430</t>
  </si>
  <si>
    <t>3046430</t>
  </si>
  <si>
    <t>ОПЛОДОТВОРЕННЫЕ ЯЙЦА ИHДЮШАЧЬИ ДЛЯ ИНКУБАЦИИ, КОД ОКП 98 4766 (ОКПД2 01.47.23.140):</t>
  </si>
  <si>
    <t>10131010/270223/3067278</t>
  </si>
  <si>
    <t>3067278</t>
  </si>
  <si>
    <t>ЯЙЦА ИНДЕЕК ДОМАШНИХ, CВЕЖИЕ, ОПЛОДОТВОРЕННЫЕ ДЛЯ ИНКУБАЦИИ, ПОРОДЫ HYBRID CONVERTER, НЕ ПЛЕМЕННЫЕ, ДЛЯ ПОСЛЕДУЮЩЕГО ВЫРАЩИВАНИЯ И УБОЯ НА МЯСО СВЕЖЕЕ, В КАРТОННЫХ КОРОБКАХ</t>
  </si>
  <si>
    <t>26.02.2023</t>
  </si>
  <si>
    <t>10131010/260223/3066586</t>
  </si>
  <si>
    <t>3066586</t>
  </si>
  <si>
    <t>ОПЛОДОТBОРЕННЫЕ ИНКУБАЦИОННЫЕ ЯЙЦА ИНДЕЕК (MELEAGRUS GAILOPANO L), ДЛЯ ИНКУБАЦИИ И ВЫВЕДЕНИЯ ИНДЕЕК, ДЛЯ ПОСЛЕДУЮЩЕГО ВЫРАЩИВАНИЯ И УБОЯ НА МЯСО, СВЕЖИЕ, (В КОРОБКЕ 10 ЛОТКОВ ПО 20 ШТ.):</t>
  </si>
  <si>
    <t>10805010/260223/5000579</t>
  </si>
  <si>
    <t>5000579</t>
  </si>
  <si>
    <t>ОПЛОДOТВОРЕННЫЕ НЕПЛЕМЕННЫЕ ИНКУБАЦИОННЫЕ ЯЙЦА ИНДЕЙКИ (TURKEY HATCHING EGGS) ДЛЯ ИНКУБАЦИИ И ВЫВЕДЕНИЯ ПОРОДЫ ИНДЕЕК, ДЛЯ ПОСЛЕДУЮЩЕГО ВЫРАЩИВАНИЯ И УБОЯ НА МЯСО, СВЕЖИЕ, ПО 200 ШТ В КОРОБКЕ</t>
  </si>
  <si>
    <t>10013160/260223/3086336</t>
  </si>
  <si>
    <t>3086336</t>
  </si>
  <si>
    <t>ОПЛОДОТВОРЕННЫЕ НЕПЛЕМЕННЫЕ ИНКУБАЦИОННЫЕ ЯЙЦА ИНДЕЙКИ (MELAGRIS GALLOPAVO L.) ДЛЯ ИНКУБАЦИИ И ВЫВЕДЕНИЯ ПОРОДЫ ИНДЕЕК,ДЛЯ ПОСЛЕДУЮЩЕГО ВЫРАЩИВАНИЯ И УБОЯ НА МЯСО,СВЕЖИЕ,ПОРОДЫ БЕЛАЯ ШИРОКОГРУДАЯ,КРОСС БИГ 6,ВЕС ЯЙЦА 75-100 Г,УПАКОВАНО В</t>
  </si>
  <si>
    <t>АКОБЯН АРАМ</t>
  </si>
  <si>
    <t>10013160/260223/3086325</t>
  </si>
  <si>
    <t>3086325</t>
  </si>
  <si>
    <t>ОПЛОДОТВОРЕННЫЕ НЕПЛЕМЕННЫЕ ИНКУБАЦИОННЫЕ ЯЙЦА ИНДЕЙКИ (MELAGRIS GALLOPAVO L.) ДЛЯ ИHКУБАЦИИ И ВЫВЕДЕНИЯ ПОРОДЫ ИНДЕЕК, ДЛЯ ПОСЛЕДУЮЩЕГО ВЫРАЩИВАНИЯ И УБОЯ НА МЯСО, СВЕЖИЕ, ПОРОДЫ БЕЛАЯ ШИРОКОГРУДАЯ</t>
  </si>
  <si>
    <t>25.02.2023</t>
  </si>
  <si>
    <t>10131010/250223/3066230</t>
  </si>
  <si>
    <t>3066230</t>
  </si>
  <si>
    <t>ПОС.ЧЕМЕРНА</t>
  </si>
  <si>
    <t>УЛ.ЗАВОДСКАЯ</t>
  </si>
  <si>
    <t>10102072 ОТО и ТК №2 т/п Новозыбковский</t>
  </si>
  <si>
    <t>10005030/250223/3045609</t>
  </si>
  <si>
    <t>3045609</t>
  </si>
  <si>
    <t>10013160/250223/3085131</t>
  </si>
  <si>
    <t>3085131</t>
  </si>
  <si>
    <t>ИНДЮШАЧЬИ ЯЙЦА ДЛЯ ИНКУБАЦИИ, ОПЛОДOТВОРЕННЫЕ, MELEAGRIS GALLOPAVO L., ПОРОДА БЕЛАЯ ШИРОКОГРУДАЯ КРОССА БИГ-6, КАТЕГОРИЯ БРОЙЛЕР РАЗМЕЩЕНЫ С ЦЕЛЬЮ ПРЕДОТВРАЩЕНИЯ БОЯ И УНИЧТОЖЕНИЯ В КАРТОННЫХ КОРОБКАХ</t>
  </si>
  <si>
    <t>22.02.2023</t>
  </si>
  <si>
    <t>10131010/220223/3064854</t>
  </si>
  <si>
    <t>3064854</t>
  </si>
  <si>
    <t>РАССВЕТ</t>
  </si>
  <si>
    <t>10005030/220223/3043772</t>
  </si>
  <si>
    <t>3043772</t>
  </si>
  <si>
    <t>"ВНУКОВО", СТР. 19</t>
  </si>
  <si>
    <t>20.02.2023</t>
  </si>
  <si>
    <t>10005030/200223/3040364</t>
  </si>
  <si>
    <t>3040364</t>
  </si>
  <si>
    <t>10005030/200223/3040298</t>
  </si>
  <si>
    <t>3040298</t>
  </si>
  <si>
    <t>ОПЛОДОТВОРЕНHЫЕ ЯЙЦА ИНДЮШАЧЬИ ДЛЯ ИНКУБАЦИИ, КОД ОКП 98 4766 (ОКПД2 01.47.23.140): ЦЕЛЬ ВВОЗА - ДЛЯ ИНКУБИРОВАНИЯ.</t>
  </si>
  <si>
    <t>10013160/200223/3077537</t>
  </si>
  <si>
    <t>3077537</t>
  </si>
  <si>
    <t>10805010/200223/3002672</t>
  </si>
  <si>
    <t>3002672</t>
  </si>
  <si>
    <t>МОСКОВСКАЯ ОБЛ, ОДИНЦОВСКИЙ Р-Н</t>
  </si>
  <si>
    <t>ГП. ОДИНЦОВО, С.АКУЛОВО</t>
  </si>
  <si>
    <t>ОПЛОДОТВОРЕННЫЕ ПЛЕМЕННЫЕ ИНКУБАЦИОННЫЕ ЯЙЦА ПЕКИНСКОЙ УТКИ РОДИТЕЛЬСКОГО СТАДА, ПРЕДНАЗНАЧЕННЫЕ ДЛЯ ВЫВОДА МОЛОДНЯКА, В Т.Ч.- ИНКУБАЦИОННЫЕ ЯЙЦА GL30</t>
  </si>
  <si>
    <t>"ОТСУТСТВУЕТ"</t>
  </si>
  <si>
    <t>"V037AHH GRIMAUD FRERES SELECTION SAS"</t>
  </si>
  <si>
    <t>12</t>
  </si>
  <si>
    <t>ПЕТРОВ ДМИТРИЙ ВЛАДИМИРОВИЧ</t>
  </si>
  <si>
    <t>19.02.2023</t>
  </si>
  <si>
    <t>10013160/190223/3075840</t>
  </si>
  <si>
    <t>3075840</t>
  </si>
  <si>
    <t>ИНДЮШАЧЬИ ЯЙЦА ДЛЯ ИНКУБАЦИИ, ОПЛОДОТВОРЕННЫЕ, MELEAGRIS GALLOPAVO L., ПОРОДА БЕЛАЯ ШИРОКОГРУДАЯ КРОССА БИГ-6, КАТЕГОРИЯ БРОЙЛЕР РАЗМЕЩЕНЫ С ЦЕЛЬЮ ПРЕДOТВРАЩЕНИЯ БОЯ И УНИЧТОЖЕНИЯ В КАРТОННЫХ КОРОБКАХ</t>
  </si>
  <si>
    <t>10013160/190223/3076362</t>
  </si>
  <si>
    <t>3076362</t>
  </si>
  <si>
    <t>ИНКУБАЦИОННЫЕ ЯЙЦА ИНДЮШАЧЬИ, ОПЛОДОТВОРЁННЫЕ (ДЛЯ ИНКУБАЦИИ). РАЗМЕЩЕНЫ С ЦЕЛЬЮ ПРЕДОТВРАЩЕНИЯ БОЯ И УНИЧТОЖEНИЯ В КАРТОННЫХ КОРОБКАХ (200 ЯИЦ В ОДНОЙ КОРОБКЕ)</t>
  </si>
  <si>
    <t>18.02.2023</t>
  </si>
  <si>
    <t>10131010/180223/3058565</t>
  </si>
  <si>
    <t>3058565</t>
  </si>
  <si>
    <t>ЯЙЦА ИНДЕЕК ДОМАШНИХ, СВЕЖИЕ, ОПЛОДОТВОРЕННЫЕ ДЛЯ ИНКУБАЦИИ, ПОРОДЫ HYBRID CONVERTER, НЕ ПЛЕМЕННЫЕ, ДЛЯ ПОСЛЕДУЮЩЕГО ВЫРАЩИВАНИЯ И УБОЯ НА МЯСО СВЕЖЕЕ, В КАРТОННЫХ КОPОБКАХ</t>
  </si>
  <si>
    <t>10005030/180223/3039025</t>
  </si>
  <si>
    <t>3039025</t>
  </si>
  <si>
    <t>10805010/180223/5000510</t>
  </si>
  <si>
    <t>5000510</t>
  </si>
  <si>
    <t>ТЕРАМО</t>
  </si>
  <si>
    <t>ОПЛОДОТВОРЕННЫЕ НЕПЛЕМЕННЫЕ ИНКУБАЦИОННЫЕ ЯЙЦA ИНДЕЙКИ (TURKEY HATCHING EGGS) ДЛЯ ИНКУБАЦИИ И ВЫВЕДЕНИЯ ПОРОДЫ ИНДЕЕК, ДЛЯ ПОСЛЕДУЮЩЕГО ВЫРАЩИВАНИЯ И УБОЯ НА МЯСО, СВЕЖИЕ, ПО 200 ШТ В КОРОБКЕ</t>
  </si>
  <si>
    <t>IT041TEV02ALL.POGGIO CONOLOC.S. EGIDIO FRAZ.POGGIO CONOTERAMO 64020</t>
  </si>
  <si>
    <t>10013160/180223/3075736</t>
  </si>
  <si>
    <t>3075736</t>
  </si>
  <si>
    <t>17.02.2023</t>
  </si>
  <si>
    <t>10005030/170223/3037742</t>
  </si>
  <si>
    <t>3037742</t>
  </si>
  <si>
    <t>N2K 3S2, ONTARIO, KITCHENER, 650 RIVERBEND DRIVE, SUITE C,</t>
  </si>
  <si>
    <t>ЯЙЦО ИНКУБАЦИОННОЕ РОДИТЕЛЬСКОГО ПОГОЛОВЬЯ, ОПЛОДОТВОРЕННОЕ, ПРЕДНАЗНАЧEННОЕ ДЛЯ ИНКУБАЦИИ ДОМАШНЕЙ ИНДЕЙКИ (MELEAGRIS GALLOPAVO L.):</t>
  </si>
  <si>
    <t>10005030/170223/3037770</t>
  </si>
  <si>
    <t>3037770</t>
  </si>
  <si>
    <t>ОПЛОДОТВОРЕННЫЕ ЯЙЦА ИНДЮШАЧЬИ ДЛЯ ИНКУБАЦИИ, КОД ОКП 98 4766 (ОКПД2 01.47.23.140): ЦЕЛЬ ВВОЗА- ДЛЯ ИНКУБИРОВАНИЯ.</t>
  </si>
  <si>
    <t>14.02.2023</t>
  </si>
  <si>
    <t>10228010/140223/3037618</t>
  </si>
  <si>
    <t>10228010</t>
  </si>
  <si>
    <t>3037618</t>
  </si>
  <si>
    <t>26219, ГОРОД, BOSEL, KARTZFEHN,</t>
  </si>
  <si>
    <t>1054700526847</t>
  </si>
  <si>
    <t>4716022764</t>
  </si>
  <si>
    <t>ООО "КОНКОРД"</t>
  </si>
  <si>
    <t>187021, ЛЕНИНГРАДСКАЯ ОБЛАСТЬ, ТОСНЕНСКИЙ Р-Н Д.АННОЛОВО, УЛ.ЦЕНТРАЛЬНАЯ, 92</t>
  </si>
  <si>
    <t>41000</t>
  </si>
  <si>
    <t>471601001</t>
  </si>
  <si>
    <t>ANNOLOVO</t>
  </si>
  <si>
    <t>23020001/2275/0001/9/1</t>
  </si>
  <si>
    <t>10210/301210/10082/7</t>
  </si>
  <si>
    <t>196210</t>
  </si>
  <si>
    <t>Г.СПБ</t>
  </si>
  <si>
    <t>ПОС.ШУШАРЫ</t>
  </si>
  <si>
    <t>УЧАСТОК ЖД"МОСКОВСКОЕ ШОССЕ -РЕКА КУЗЬМИНКА"</t>
  </si>
  <si>
    <t>10210130 т/п Шушарский</t>
  </si>
  <si>
    <t>ЯЙЦА ИНДЮШАЧЬИ, ОПЛОДОТВОРЕННЫЕ ДЛЯ ИНКУБАЦИИ</t>
  </si>
  <si>
    <t>MOORGUT KARTZFEHN</t>
  </si>
  <si>
    <t>ТУМОВ АСЛАН АНАТОЛЬЕВИЧ</t>
  </si>
  <si>
    <t>13.02.2023</t>
  </si>
  <si>
    <t>10131010/130223/3050857</t>
  </si>
  <si>
    <t>3050857</t>
  </si>
  <si>
    <t>ЯЙЦА ИНДЕЕК ДОМАШНИХ, СВЕЖИЕ, ОПЛОДОТBОРЕННЫЕ ДЛЯ ИНКУБАЦИИ, ПОРОДЫ BUT BIG-6 (WHITE WIDE CASE), НЕ ПЛЕМЕННЫЕ, ДЛЯ ПОСЛЕДУЮЩЕГО ВЫРАЩИВАНИЯ И УБОЯ НА МЯСО СВЕЖЕЕ, В КАРТОННЫХ КОРОБКАХ</t>
  </si>
  <si>
    <t>10131010/130223/3051533</t>
  </si>
  <si>
    <t>3051533</t>
  </si>
  <si>
    <t>5540, , SZARVAS, PAKOCZI U. 6/1,</t>
  </si>
  <si>
    <t>ОПЛОДОТВОРЕННЫЕ ИНКУБАЦИОННЫЕ ЯЙЦА ИНДЕЕК (MELEAGRUS GAILOPANO L), ДЛЯ ИНКУБАЦИИ И ВЫВЕДЕНИЯ ИНДЕЕК, ДЛЯ ПОСЛЕДУЮЩЕГО ВЫРАЩИВАНИЯ И УБОЯ НА МЯСО, СВЕЖИЕ; (В КОРОБКЕ 10 ЛОТКОВ ПО 20 ШТ.):</t>
  </si>
  <si>
    <t>10005030/130223/3034586</t>
  </si>
  <si>
    <t>3034586</t>
  </si>
  <si>
    <t>ИНДЮШАЧЬИ ЯЙЦА ДЛЯ ИНКУБАЦИИ, ПОРОДА MELEAGRIS GALLOPAVO L. "БЕЛАЯ ШИРОКОГРУДАЯ" (HCONV), КРОСС ХАЙБРИД КОНВЕРТЕР, КАТЕГОРИЯ БРОЙЛЕР, НЕ ПЛЕМЕННЫЕ; РАЗМЕЩЕНЫ В КАРТОННЫХ КАССЕТАХ ПО ДВАДЦАТЬ (20) ЯИЦ В КАЖДОЙ И УПАКОВАНО В ОРИГИНАЛЬНЫЕ КАРТОННЫЕ</t>
  </si>
  <si>
    <t>10005030/130223/3034064</t>
  </si>
  <si>
    <t>3034064</t>
  </si>
  <si>
    <t>ПЛЕМЕННЫЕ ИНДЮШАЧЬИ ЯЙЦА ДЛЯ ИНКУБАЦИИ, ОПЛОДОТВОРЁННЫЕ; ДЛЯ ВЫВЕДЕНИЯ РОДИТЕЛЬСКОГО СТАДА MELEAGRIS GALLOPAVO L. ПОРОДЫ БЕЛАЯ ШИРОКОГРУДАЯ BIG 6, РАЗМЕЩЕННЫЕ С ЦЕЛЬЮ ПРЕДОТВРАЩЕНИЯ БОЯ И УНИЧТОЖЕНИЯ В КАРТОННЫХ КОРОБКАХ.</t>
  </si>
  <si>
    <t>12.02.2023</t>
  </si>
  <si>
    <t>10013160/120223/3064177</t>
  </si>
  <si>
    <t>3064177</t>
  </si>
  <si>
    <t>ОПЛОДОТВОРЕННЫЕ НЕПЛЕМЕННЫЕ ИНКУБАЦИОННЫЕ ЯЙЦА ИНДЕЙКИ (MELAGRIS GALLOPAVO L.) ДЛЯ ИНКУБАЦИИ И ВЫВЕДЕНИЯ ПОРОДЫ ИНДЕЕК, ДЛЯ ПОСЛЕДУЮЩЕГО ВЫРАЩИВАНИЯ И УБОЯ НА МЯСО, СВЕЖИЕ, ПОРOДЫ БЕЛАЯ ШИРОКОГРУДАЯ</t>
  </si>
  <si>
    <t>10013160/120223/3064181</t>
  </si>
  <si>
    <t>3064181</t>
  </si>
  <si>
    <t>23020097/1326/0000/2/1</t>
  </si>
  <si>
    <t>"PARTIZ 2000 KFT.", ПЛЕМЗАВОД HU1010004, HU1009976</t>
  </si>
  <si>
    <t>10005030/120223/3033376</t>
  </si>
  <si>
    <t>3033376</t>
  </si>
  <si>
    <t>ОПЛОДОТВОРЕННЫЕ ЯЙЦА ИНДЮШАЧЬИ ДЛЯ ИНКУБАЦИИ, КОД ОКП 98 4766 (ОКПД2 01.47.23.140): ЦЕЛЬ ВВОЗА -ДЛЯ ИНКУБИРОВАНИЯ.</t>
  </si>
  <si>
    <t>10005030/120223/3033375</t>
  </si>
  <si>
    <t>3033375</t>
  </si>
  <si>
    <t>11.02.2023</t>
  </si>
  <si>
    <t>10131010/110223/3049256</t>
  </si>
  <si>
    <t>3049256</t>
  </si>
  <si>
    <t>10805010/110223/3002225</t>
  </si>
  <si>
    <t>3002225</t>
  </si>
  <si>
    <t>08.02.2023</t>
  </si>
  <si>
    <t>10013160/080223/3056994</t>
  </si>
  <si>
    <t>3056994</t>
  </si>
  <si>
    <t>10131010/080223/3045387</t>
  </si>
  <si>
    <t>3045387</t>
  </si>
  <si>
    <t>ЯЙЦА ИНДЕЕК ДОМАШНИХ, СВЕЖИЕ, ОПЛОДОТВОРЕННЫЕ ДЛЯ ИНКУБАЦИИ, ПОРОДЫ BUT BIG-6 (WHITE WIDE CASE), НЕ ПЛЕМЕННЫЕ, ДЛЯ ПОСЛЕДУЮЩЕГО ВЫРАЩИВАНИЯ И УБОЯ НА МЯСО СВЕЖЕЕ, В КАРTОННЫХ КОРОБКАХ</t>
  </si>
  <si>
    <t>10005030/080223/3030440</t>
  </si>
  <si>
    <t>3030440</t>
  </si>
  <si>
    <t>ОПЛОДОТВОPЕННЫЕ ЯЙЦА ИНДЮШАЧЬИ ДЛЯ ИНКУБАЦИИ, КОД ОКП 98 4766 (ОКПД2 01.47.23.140): ЦЕЛЬ ВВОЗА: ИНКУБИРОВАНИЕ И ДАЛЬНЕЙШЕЕ ВЫРАЩИВАНИЕ.</t>
  </si>
  <si>
    <t>02.02.2023</t>
  </si>
  <si>
    <t>10005030/020223/3026640</t>
  </si>
  <si>
    <t>3026640</t>
  </si>
  <si>
    <t>GBP</t>
  </si>
  <si>
    <t>ПЛЕМЕННЫЕ ИНДЮШАЧЬИ ЯЙЦА ДЛЯ ИНКУБАЦИИ, ОПЛОДОТВОРЁННЫЕ, ДЛЯ ВЫВЕДЕНИЯ РОДИТЕЛЬСКОГО СТАДА MELEAGRIS GALLOPAVO L. ПОРОДЫ БЕЛАЯ ШИРОКОГРУДАЯ BIG 6, РАЗМЕЩЕННЫЕ С ЦЕЛЬЮ ПРЕДОТВРАЩЕНИЯ БОЯ И УНИЧТОЖЕНИЯ В КАРTОННЫХ КОРОБКАХ.</t>
  </si>
  <si>
    <t>01.02.2023</t>
  </si>
  <si>
    <t>10005030/010223/3025719</t>
  </si>
  <si>
    <t>3025719</t>
  </si>
  <si>
    <t>ИНДЮШАЧЬИ ЯЙЦА ДЛЯ ИНКУБАЦИИ, ПОРОДА MELEAGRIS GALLOPAVO L. "БЕЛАЯ ШИРОКОГРУДАЯ" (HCONV), КРОСС ХАЙБРИД КОНВЕРТЕР, КАТЕГОРИЯ БРОЙЛЕР, НЕ ПЛЕМЕННЫЕ, РАЗМЕЩЕНЫ В КАРТОННЫХ КАССЕТАХ ПО ДВАДЦАТЬ (20) ЯИЦ В КАЖДОЙ И УПАКОВАНО В ОРИГИНАЛЬНЫЕ КАРТОННЫЕ</t>
  </si>
  <si>
    <t>06.02.2023</t>
  </si>
  <si>
    <t>10013160/060223/3054206</t>
  </si>
  <si>
    <t>3054206</t>
  </si>
  <si>
    <t>119270, , МОСКВА, ВН.ТЕР.Г. МУНИЦИПАЛЬНЫЙ ОКР, НАБ. ЛУЖНЕЦКАЯ, 10А, СТР.7, 2ЭТ,</t>
  </si>
  <si>
    <t>770401001</t>
  </si>
  <si>
    <t>05.02.2023</t>
  </si>
  <si>
    <t>10805010/050223/3001874</t>
  </si>
  <si>
    <t>3001874</t>
  </si>
  <si>
    <t>10805010/050223/3001872</t>
  </si>
  <si>
    <t>3001872</t>
  </si>
  <si>
    <t>04.02.2023</t>
  </si>
  <si>
    <t>10005030/040223/3027589</t>
  </si>
  <si>
    <t>3027589</t>
  </si>
  <si>
    <t>10131010/040223/3040345</t>
  </si>
  <si>
    <t>3040345</t>
  </si>
  <si>
    <t>03.02.2023</t>
  </si>
  <si>
    <t>10005030/030223/3026910</t>
  </si>
  <si>
    <t>3026910</t>
  </si>
  <si>
    <t>29.01.2023</t>
  </si>
  <si>
    <t>10131010/290123/3031114</t>
  </si>
  <si>
    <t>3031114</t>
  </si>
  <si>
    <t>28.01.2023</t>
  </si>
  <si>
    <t>10005030/280123/3022980</t>
  </si>
  <si>
    <t>3022980</t>
  </si>
  <si>
    <t>27.01.2023</t>
  </si>
  <si>
    <t>10005030/270123/3022109</t>
  </si>
  <si>
    <t>3022109</t>
  </si>
  <si>
    <t>26.01.2023</t>
  </si>
  <si>
    <t>10005030/260123/3021671</t>
  </si>
  <si>
    <t>3021671</t>
  </si>
  <si>
    <t>10005030/260123/3021688</t>
  </si>
  <si>
    <t>3021688</t>
  </si>
  <si>
    <t>25.01.2023</t>
  </si>
  <si>
    <t>10131010/240123/3024248</t>
  </si>
  <si>
    <t>24.01.2023</t>
  </si>
  <si>
    <t>3024248</t>
  </si>
  <si>
    <t>ЯЙЦА ИНДЕЕК ДОМАШНИХ, СВЕЖИЕ, ОПЛОДОТВОРЕННЫЕ ДЛЯ ИНКУБАЦИИ, ПОРОДЫ HYBRID CONVERTER, НЕ ПЛЕМЕННЫЕ, ДЛЯ ПОСЛЕДУЮЩЕГО ВЫРАЩИВАНИЯ И УБОЯ НА МЯСО СВЕЖЕЕ, В KАРТОННЫХ КОРОБКАХ</t>
  </si>
  <si>
    <t>10005030/240123/3018493</t>
  </si>
  <si>
    <t>3018493</t>
  </si>
  <si>
    <t>ЯЙЦА ИНДЕЕК ДОMАШНИХ, СВЕЖИЕ, ОПЛОДОТВОРЕННЫЕ ДЛЯ ИНКУБАЦИИ, ПОРОДЫ HYBRID CONVERTER, НЕ ПЛЕМЕННЫЕ, ДЛЯ ПОСЛЕДУЮЩЕГО ВЫРАЩИВАНИЯ И УБОЯ НА МЯСО СВЕЖЕЕ, В КАРТОННЫХ КОРОБКАХ</t>
  </si>
  <si>
    <t>23.01.2023</t>
  </si>
  <si>
    <t>10005030/230123/3017077</t>
  </si>
  <si>
    <t>3017077</t>
  </si>
  <si>
    <t>10005030/230123/3017063</t>
  </si>
  <si>
    <t>3017063</t>
  </si>
  <si>
    <t>ОПЛОДОТВОРЕННЫЕ ЯЙЦА ИНДЮШAЧЬИ ДЛЯ ИНКУБАЦИИ, КОД ОКП 98 4766 (ОКПД2 01.47.23.140): ЦЕЛЬ ВВОЗА - ДЛЯ ИНКУБИРОВАНИЯ.</t>
  </si>
  <si>
    <t>22.01.2023</t>
  </si>
  <si>
    <t>10013160/220123/3026665</t>
  </si>
  <si>
    <t>3026665</t>
  </si>
  <si>
    <t>07.01.2023</t>
  </si>
  <si>
    <t>10005030/070123/3001683</t>
  </si>
  <si>
    <t>3001683</t>
  </si>
  <si>
    <t>06.01.2023</t>
  </si>
  <si>
    <t>10131010/060123/3002690</t>
  </si>
  <si>
    <t>3002690</t>
  </si>
  <si>
    <t>04.01.2023</t>
  </si>
  <si>
    <t>10005030/040123/3000714</t>
  </si>
  <si>
    <t>3000714</t>
  </si>
  <si>
    <t>ОПЛОДОТВОРЕННЫЕ ЯЙЦА ИНДЮШАЧЬИ ДЛЯ ИНКУБАЦИИ, КОД ОКП 98 4766 (ОКПД2 01.47.23.140): ЦЕЛЬ ВВОЗА: ИНКУБИРОВАНИЕ И ДАЛЬНЕЙШЕЕ ВЫPАЩИВАНИЕ.</t>
  </si>
  <si>
    <t>21.01.2023</t>
  </si>
  <si>
    <t>10005030/210123/3016012</t>
  </si>
  <si>
    <t>3016012</t>
  </si>
  <si>
    <t>02.01.2023</t>
  </si>
  <si>
    <t>10005030/020123/3000125</t>
  </si>
  <si>
    <t>3000125</t>
  </si>
  <si>
    <t>21120004/1481/1042/2/1</t>
  </si>
  <si>
    <t>ОПЛOДОТВОРЕННЫЕ ЯЙЦА ИНДЮШАЧЬИ ДЛЯ ИНКУБАЦИИ, КОД ОКП 98 4766 (ОКПД2 01.47.23.140): ЦЕЛЬ ВВОЗА - ДЛЯ ИНКУБИРОВАНИЯ.</t>
  </si>
  <si>
    <t>10005030/020123/3000139</t>
  </si>
  <si>
    <t>3000139</t>
  </si>
  <si>
    <t>CIP</t>
  </si>
  <si>
    <t>20121212/1326/0000/2/1</t>
  </si>
  <si>
    <t>ИНДЮШАЧЬИ ЯЙЦА ДЛЯ ИНКУБАЦИИ, ПОРОДА MELEAGRIS GALLOPAVO L. "БЕЛАЯ ШИРОКОГРУДАЯ" (HCONV), КРОСС ХАЙБРИД КОНВЕРTЕР, КАТЕГОРИЯ БРОЙЛЕР, НЕ ПЛЕМЕННЫЕ, РАЗМЕЩЕНЫ В КАРТОННЫХ КАССЕТАХ ПО ДВАДЦАТЬ (20) ЯИЦ В КАЖДОЙ И УПАКОВАНО В ОРИГИНАЛЬНЫЕ КАРТОННЫЕ</t>
  </si>
  <si>
    <t>20.01.2023</t>
  </si>
  <si>
    <t>10005030/200123/3014686</t>
  </si>
  <si>
    <t>3014686</t>
  </si>
  <si>
    <t>19.01.2023</t>
  </si>
  <si>
    <t>10005030/190123/3013096</t>
  </si>
  <si>
    <t>3013096</t>
  </si>
  <si>
    <t>18.01.2023</t>
  </si>
  <si>
    <t>10131010/180123/3016881</t>
  </si>
  <si>
    <t>3016881</t>
  </si>
  <si>
    <t>10131010/180123/3016320</t>
  </si>
  <si>
    <t>3016320</t>
  </si>
  <si>
    <t>10102/171210/10048/4</t>
  </si>
  <si>
    <t>БРЯНСКАЯ ОБЛ</t>
  </si>
  <si>
    <t>13.01.2023</t>
  </si>
  <si>
    <t>10013160/130123/3013223</t>
  </si>
  <si>
    <t>3013223</t>
  </si>
  <si>
    <t>12.01.2023</t>
  </si>
  <si>
    <t>10013160/120123/3011717</t>
  </si>
  <si>
    <t>3011717</t>
  </si>
  <si>
    <t>49290, MAUGES-SUR-LOIRE, SAINT LAURENT DE LA PLAINE, LA BOHARDIERE, BP, 1</t>
  </si>
  <si>
    <t>20121480/1326/0000/2/1</t>
  </si>
  <si>
    <t>ИНДЮШАЧЬИ ЯЙЦА ДЛЯ ИНКУБАЦИИ, ОПЛОДОТВОРЕННЫЕ, MELEAGRIS GALLOPAVO L., ПОРОДА БЕЛАЯ ШИРОКОГРУДАЯ КРОССА, КАТЕГОРИЯ БРОЙЛЕР, РАЗМЕЩЕНЫ С ЦЕЛЬЮ ПРЕДОТВРАЩЕНИЯ БОЯ И УНИЧТОЖЕНИЯ В КАРТОННЫХ КОРОБКАХ</t>
  </si>
  <si>
    <t>11.01.2023</t>
  </si>
  <si>
    <t>10005030/110123/3005027</t>
  </si>
  <si>
    <t>3005027</t>
  </si>
  <si>
    <t>21090900/1326/0000/2/1</t>
  </si>
  <si>
    <t>10005030/110123/3004704</t>
  </si>
  <si>
    <t>3004704</t>
  </si>
  <si>
    <t>, N7G 3H6, ONTARIO, STRATHROY, CENTRE ROAD, RR#5, 28429</t>
  </si>
  <si>
    <t>Г. МОСКВА</t>
  </si>
  <si>
    <t>10.01.2023</t>
  </si>
  <si>
    <t>10013160/100123/3007798</t>
  </si>
  <si>
    <t>3007798</t>
  </si>
  <si>
    <t>15.01.2023</t>
  </si>
  <si>
    <t>10805010/150123/5000100</t>
  </si>
  <si>
    <t>5000100</t>
  </si>
  <si>
    <t>10013160/150123/3015662</t>
  </si>
  <si>
    <t>3015662</t>
  </si>
  <si>
    <t>10131010/150123/3011708</t>
  </si>
  <si>
    <t>3011708</t>
  </si>
  <si>
    <t>31.01.2023</t>
  </si>
  <si>
    <t>10013160/310123/3042441</t>
  </si>
  <si>
    <t>3042441</t>
  </si>
  <si>
    <t>ОПЛОДОТВОРЕННЫЕ НЕПЛЕМЕННЫЕ ИНКУБАЦИОННЫЕ ЯЙЦА ИНДЕЙКИ (MELAGRIS GALLOPAVO L.) ДЛЯ ИНКУБAЦИИ И ВЫВЕДЕНИЯ ПОРОДЫ ИНДЕЕК, ДЛЯ ПОСЛЕДУЮЩЕГО ВЫРАЩИВАНИЯ И УБОЯ НА МЯСО, СВЕЖИЕ, ПОРОДЫ БЕЛАЯ ШИРОКОГРУДАЯ</t>
  </si>
  <si>
    <t>10013160/310123/3042459</t>
  </si>
  <si>
    <t>3042459</t>
  </si>
  <si>
    <t>10013160/310123/3042273</t>
  </si>
  <si>
    <t>3042273</t>
  </si>
  <si>
    <t>30.01.2023</t>
  </si>
  <si>
    <t>10013160/300123/3040052</t>
  </si>
  <si>
    <t>3040052</t>
  </si>
  <si>
    <t>10005030/300123/3023743</t>
  </si>
  <si>
    <t>3023743</t>
  </si>
  <si>
    <t>ОПЛОДОТВОРЕННЫЕ ЯЙЦА ИНДЮШАЧЬИ ДЛЯ ИНКУБАЦИИ, КОД ОКП 98 4766 (ОKПД2 01.47.23.140):</t>
  </si>
  <si>
    <t>10131010/300123/3033473</t>
  </si>
  <si>
    <t>3033473</t>
  </si>
  <si>
    <t>10323010/150523/3038750</t>
  </si>
  <si>
    <t>3038750</t>
  </si>
  <si>
    <t>1022304294055</t>
  </si>
  <si>
    <t>2341003252</t>
  </si>
  <si>
    <t>ООО "ПЕРВОМАЙСКАЯ ИПС"</t>
  </si>
  <si>
    <t>353764, КРАСНОДАРСКИЙ КРАЙ , ЛЕНИНГРАДСКИЙ РАЙОН, СТАНИЦА КРЫЛОВСКАЯ, УЛ.ЭНГЕЛЬС</t>
  </si>
  <si>
    <t>03000</t>
  </si>
  <si>
    <t>234101001</t>
  </si>
  <si>
    <t>ОАО "СИЯЗАНЬ-БРОЙЛЕР"</t>
  </si>
  <si>
    <t>5300, , Г.СИАЗАНЬ, , ,,...</t>
  </si>
  <si>
    <t>AZ</t>
  </si>
  <si>
    <t>АЗЕРБАЙДЖАН</t>
  </si>
  <si>
    <t>СТ-ЦА КРЫЛОВСКАЯ</t>
  </si>
  <si>
    <t>RUB</t>
  </si>
  <si>
    <t>КРАСНОДАРСКИЙ КРАЙ , ЛЕНИНГРАДСКИЙ РАЙОН</t>
  </si>
  <si>
    <t>СТАНИЦА КРЫЛОВСКАЯ</t>
  </si>
  <si>
    <t>УЛ.ЭНГЕЛЬСА, Д.46,,,.</t>
  </si>
  <si>
    <t>10309200 т/п Прикубанский</t>
  </si>
  <si>
    <t>ОПЛОДОТВОРЕННЫЕ ЯЙЦА КУР ДОМАШНИХ (GALLUS DOMESTICUS) ДЛЯ ИНКУБАЦИИ:</t>
  </si>
  <si>
    <t>0407199000</t>
  </si>
  <si>
    <t>-------</t>
  </si>
  <si>
    <t>21-11/56</t>
  </si>
  <si>
    <t>НАГИНА ЕЛЕНА АНАТОЛЬЕВНА</t>
  </si>
  <si>
    <t>10323010/230523/3041141</t>
  </si>
  <si>
    <t>3041141</t>
  </si>
  <si>
    <t>5300, , Г.СИАЗАНЬ, , .,..</t>
  </si>
  <si>
    <t>23050009/2518/0000/1/1</t>
  </si>
  <si>
    <t>10801060-т/п Магарамкентский</t>
  </si>
  <si>
    <t>30.05.2023</t>
  </si>
  <si>
    <t>10323010/300523/3043177</t>
  </si>
  <si>
    <t>3043177</t>
  </si>
  <si>
    <t>05.05.2023</t>
  </si>
  <si>
    <t>10323010/050523/3036481</t>
  </si>
  <si>
    <t>3036481</t>
  </si>
  <si>
    <t>ОАО "СИЯЗАНЬ-БРОЙЛЕР" ПО ПОРУЧЕНИЮ MERIDA TRADE L.P. ( SCOTLAND, UNITED KINGDOM)</t>
  </si>
  <si>
    <t>5300, , Г.СИАЗАНЬ, , ,,,</t>
  </si>
  <si>
    <t>ОПЛОДОТВОРЕННЫЕ ЯЙЦА КУР ДОМAШНИХ (GALLUS DOMESTICUS) ДЛЯ ИНКУБАЦИИ:</t>
  </si>
  <si>
    <t>Анализ чувствительности</t>
  </si>
  <si>
    <t>Итого год</t>
  </si>
  <si>
    <t>Показатели проекта</t>
  </si>
  <si>
    <t>Макро предпосылки</t>
  </si>
  <si>
    <t>Инфляция</t>
  </si>
  <si>
    <t>Накопленная инфляция</t>
  </si>
  <si>
    <t>Объем производства</t>
  </si>
  <si>
    <t>Цена реализации</t>
  </si>
  <si>
    <t>тыс. руб./т</t>
  </si>
  <si>
    <t>Итого выручка</t>
  </si>
  <si>
    <t>млн руб.</t>
  </si>
  <si>
    <t>Переменные расходы</t>
  </si>
  <si>
    <t>Затраты</t>
  </si>
  <si>
    <t>Итого расходы</t>
  </si>
  <si>
    <t>Постоянные расходы</t>
  </si>
  <si>
    <t>Валовая прибыль</t>
  </si>
  <si>
    <t>Валовая маржа</t>
  </si>
  <si>
    <t>Анализ чувствительности по 1 параметру</t>
  </si>
  <si>
    <t>Добавить в расчет ячейку с фактором чувствительности (ячейка выделена красным)</t>
  </si>
  <si>
    <t>Сделать шаблон таблицы (выделена красной границей):</t>
  </si>
  <si>
    <t>Первая строка: фактор изменения параметра</t>
  </si>
  <si>
    <t>Левый столбец: ссылки на показатели, по которым будет считаться чувствительность</t>
  </si>
  <si>
    <t>Выделить таблица (в красных границах). Данные → Анализ "что если" → Таблица данных →</t>
  </si>
  <si>
    <t>Параметры для расчета чувствительности</t>
  </si>
  <si>
    <t>Базовое значение</t>
  </si>
  <si>
    <t>Шаг</t>
  </si>
  <si>
    <t>Чувствительность к объему производства</t>
  </si>
  <si>
    <t>Чувствительность к ценам</t>
  </si>
  <si>
    <t>Базовое</t>
  </si>
  <si>
    <t>Маржа</t>
  </si>
  <si>
    <t>Чувствительность к ценам реализации</t>
  </si>
  <si>
    <t>Анализ чувствительности по 2 параметрам</t>
  </si>
  <si>
    <t>Чувствительность маржи к объемы производства и ценам</t>
  </si>
  <si>
    <t>Объемы производства</t>
  </si>
  <si>
    <t>Цены реализции</t>
  </si>
  <si>
    <t>Все аналогично. В конце:</t>
  </si>
  <si>
    <t>Консолидация данных</t>
  </si>
  <si>
    <t>Способ 1. Руками</t>
  </si>
  <si>
    <t>тыс. руб.</t>
  </si>
  <si>
    <t>EBIT</t>
  </si>
  <si>
    <t>EBIT margin</t>
  </si>
  <si>
    <t>Проценты к уплате</t>
  </si>
  <si>
    <t>EBT</t>
  </si>
  <si>
    <t>Налог на прибыль</t>
  </si>
  <si>
    <t>Чистая прибыль</t>
  </si>
  <si>
    <t>Net profit margin</t>
  </si>
  <si>
    <t>Способ 2. Автосуммирование по листам</t>
  </si>
  <si>
    <t>Суммируемые листы должны идти подряд: суммируются ячейки на листах между первым и последним</t>
  </si>
  <si>
    <t>Должна быть одинаковая структура суммируемых листов</t>
  </si>
  <si>
    <t>Способ 3. ДВССЫЛ</t>
  </si>
  <si>
    <t>Строка</t>
  </si>
  <si>
    <t>ОФР К1</t>
  </si>
  <si>
    <t>ОФР К2</t>
  </si>
  <si>
    <t>ОФР К3</t>
  </si>
  <si>
    <t>Желательно одинаковая структура суммируемых листов (или усложнять формулы столбцов/строк)</t>
  </si>
  <si>
    <t>При больших объемах - очень долгий пересчет</t>
  </si>
  <si>
    <t>Если выделить несколько листов и сделать действие - это происходит сразу на всех листах</t>
  </si>
  <si>
    <t>Столбец</t>
  </si>
  <si>
    <t>ОФР Компании 1</t>
  </si>
  <si>
    <t>ОФР Компании 2</t>
  </si>
  <si>
    <t>ОФР Компании 3</t>
  </si>
  <si>
    <t>Архитектура</t>
  </si>
  <si>
    <t>Предпосылка</t>
  </si>
  <si>
    <t>Столбцы</t>
  </si>
  <si>
    <t>Расположение периодов</t>
  </si>
  <si>
    <t>Очень-очень плохо</t>
  </si>
  <si>
    <t>1 кв. 2024</t>
  </si>
  <si>
    <t>Строки</t>
  </si>
  <si>
    <t>Предпосылки</t>
  </si>
  <si>
    <t>Инфляция накопленная</t>
  </si>
  <si>
    <t>Россия</t>
  </si>
  <si>
    <t>Китай</t>
  </si>
  <si>
    <t>США</t>
  </si>
  <si>
    <t>Курс к рублю</t>
  </si>
  <si>
    <t>Юань</t>
  </si>
  <si>
    <t>руб.</t>
  </si>
  <si>
    <t>Доллар</t>
  </si>
  <si>
    <t>кг</t>
  </si>
  <si>
    <t>Продукт 7</t>
  </si>
  <si>
    <t>Продукт 8</t>
  </si>
  <si>
    <t>Продукт 9</t>
  </si>
  <si>
    <t>Продукт 10</t>
  </si>
  <si>
    <t>Продукт 11</t>
  </si>
  <si>
    <t>Продукт 12</t>
  </si>
  <si>
    <t>Продукт 13</t>
  </si>
  <si>
    <t>Продукт 14</t>
  </si>
  <si>
    <t>Продукт 15</t>
  </si>
  <si>
    <t>Продукт 16</t>
  </si>
  <si>
    <t>Продукт 17</t>
  </si>
  <si>
    <t>Продукт 18</t>
  </si>
  <si>
    <t>Продукт 19</t>
  </si>
  <si>
    <t>Продукт 20</t>
  </si>
  <si>
    <t>Затраты на единицу продукции</t>
  </si>
  <si>
    <t>юань</t>
  </si>
  <si>
    <t>долл.</t>
  </si>
  <si>
    <t>у.е./кг</t>
  </si>
  <si>
    <t>Расчет затрат: вариант 1</t>
  </si>
  <si>
    <t>Затраты на производство продукции</t>
  </si>
  <si>
    <t>Итого</t>
  </si>
  <si>
    <t>Расчет затрат: вариант 2</t>
  </si>
  <si>
    <t>Затраты в рублях</t>
  </si>
  <si>
    <t>Затраты в долларах</t>
  </si>
  <si>
    <t>Затраты в юанях</t>
  </si>
  <si>
    <t>Расчет затрат: вариант 3</t>
  </si>
  <si>
    <t>Затраты на производство продукции: рубли</t>
  </si>
  <si>
    <t>Затраты на производство продукции: юани</t>
  </si>
  <si>
    <t>Затраты на производство продукции: доллары</t>
  </si>
  <si>
    <t>Плохие варианты</t>
  </si>
  <si>
    <t>Плохой 1 (но иногда можно и так - зависит от задачи)</t>
  </si>
  <si>
    <t>Плохой 2 (крайне неудобно растягивать формулы). Если нужна именно такая структура - взять из "Хороший Вариант 3" и в такой формат через СуммЕсли/ВПРи тд. подтянуть данные</t>
  </si>
  <si>
    <t>Плохой 3 (очень сложная формула)</t>
  </si>
  <si>
    <t>Дубликаты и ссылки на другие листы</t>
  </si>
  <si>
    <t>Структура про-ва</t>
  </si>
  <si>
    <t>т/т</t>
  </si>
  <si>
    <t>Затраты на сырье</t>
  </si>
  <si>
    <t>ДУБЛИКАТ</t>
  </si>
  <si>
    <t>Затраты на сырье - тонн</t>
  </si>
  <si>
    <t>Затраты на сырье - тыс. руб.</t>
  </si>
  <si>
    <t>Всего затраты</t>
  </si>
  <si>
    <t>ОФР</t>
  </si>
  <si>
    <t>огромное количество действий</t>
  </si>
  <si>
    <t>Как выделяется:</t>
  </si>
  <si>
    <t>Незакрепление верхних столбцов/левых строк</t>
  </si>
  <si>
    <t>Тип фирмы</t>
  </si>
  <si>
    <t>Bad - в формуле ссылка на другой лист</t>
  </si>
  <si>
    <t>Good - сначала ссылка на другой лист, потом использовать уже непосредственно ее в расчетах</t>
  </si>
  <si>
    <t>Очень-очень плохо (объединение ячеек) - по годам сумма не считается</t>
  </si>
  <si>
    <t>F2</t>
  </si>
  <si>
    <t>Tab (в момент редактирования формулы)</t>
  </si>
  <si>
    <t>Alt+Shift+Вправо (Влево)</t>
  </si>
  <si>
    <t>выделение всей таблицы (если несколько раз нажать)</t>
  </si>
  <si>
    <t>Ctrl+]</t>
  </si>
  <si>
    <t xml:space="preserve"> проваливание в зависимую ячейку (работает, только если книга запущена при английской раскладке)</t>
  </si>
  <si>
    <t xml:space="preserve"> проваливание во влияющую ячейку (работает, только если книга запущена при английской раскладке)</t>
  </si>
  <si>
    <t>Alt+F1</t>
  </si>
  <si>
    <t>F4 (в редактировании формулы)</t>
  </si>
  <si>
    <t>фиксирование ячейки</t>
  </si>
  <si>
    <t>перейти в редактирование формулы. Показывает влияющие ячейки</t>
  </si>
  <si>
    <t>дозаполняет формулу: пример если после ввода "=су" - нажать Tab - выберется формула СУММ. Выбор нужной формулу - через стрелки</t>
  </si>
  <si>
    <t>быстрое построение столбчатое диаграммы</t>
  </si>
  <si>
    <t>быстрое разделение разрядов чисел</t>
  </si>
  <si>
    <t>Alt, Z, 0, 1</t>
  </si>
  <si>
    <t>Alt, Z, 9</t>
  </si>
  <si>
    <t>убрать 1 знак после запятой</t>
  </si>
  <si>
    <t>добавить 1 знак после запятой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</si>
</sst>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2" formatCode="_-* #,##0\ &quot;₽&quot;_-;\-* #,##0\ &quot;₽&quot;_-;_-* &quot;-&quot;\ &quot;₽&quot;_-;_-@_-"/>
    <numFmt numFmtId="41" formatCode="_-* #,##0_-;\-* #,##0_-;_-* &quot;-&quot;_-;_-@_-"/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#,##0%;\(#,##0%\);\-"/>
    <numFmt numFmtId="165" formatCode="#,##0;\(#,##0\);\-"/>
    <numFmt numFmtId="166" formatCode="#,##0.0;\(#,##0.0\);\-"/>
    <numFmt numFmtId="167" formatCode="#,##0\х;\(#,##0\х\);\-"/>
    <numFmt numFmtId="168" formatCode="mmm/\ yy"/>
    <numFmt numFmtId="169" formatCode="mmm/yyyy"/>
    <numFmt numFmtId="170" formatCode="[$-F800]dddd\,\ mmmm\ dd\,\ yyyy"/>
    <numFmt numFmtId="171" formatCode="#,##0.0000"/>
    <numFmt numFmtId="172" formatCode="mmmm"/>
    <numFmt numFmtId="173" formatCode="#,##0.0%;\(#,##0.0%\);\-"/>
    <numFmt numFmtId="174" formatCode="0.0%"/>
  </numFmts>
  <fonts count="38" x14ac:knownFonts="1">
    <font>
      <sz val="9"/>
      <color theme="1"/>
      <name val="Verdana"/>
      <family val="2"/>
      <charset val="204"/>
      <scheme val="minor"/>
    </font>
    <font>
      <sz val="9"/>
      <color theme="1"/>
      <name val="Verdana"/>
      <family val="2"/>
      <charset val="204"/>
      <scheme val="minor"/>
    </font>
    <font>
      <sz val="11"/>
      <color theme="1"/>
      <name val="Verdana"/>
      <family val="2"/>
      <charset val="204"/>
      <scheme val="minor"/>
    </font>
    <font>
      <sz val="18"/>
      <color theme="3"/>
      <name val="Verdana"/>
      <family val="2"/>
      <charset val="204"/>
      <scheme val="major"/>
    </font>
    <font>
      <sz val="9"/>
      <color rgb="FF006100"/>
      <name val="Verdana"/>
      <family val="2"/>
      <charset val="204"/>
      <scheme val="minor"/>
    </font>
    <font>
      <sz val="9"/>
      <color rgb="FF9C0006"/>
      <name val="Verdana"/>
      <family val="2"/>
      <charset val="204"/>
      <scheme val="minor"/>
    </font>
    <font>
      <sz val="9"/>
      <color rgb="FF9C6500"/>
      <name val="Verdana"/>
      <family val="2"/>
      <charset val="204"/>
      <scheme val="minor"/>
    </font>
    <font>
      <b/>
      <sz val="9"/>
      <color rgb="FF3F3F3F"/>
      <name val="Verdana"/>
      <family val="2"/>
      <charset val="204"/>
      <scheme val="minor"/>
    </font>
    <font>
      <b/>
      <sz val="9"/>
      <color rgb="FFFA7D00"/>
      <name val="Verdana"/>
      <family val="2"/>
      <charset val="204"/>
      <scheme val="minor"/>
    </font>
    <font>
      <sz val="9"/>
      <color rgb="FFFA7D00"/>
      <name val="Verdana"/>
      <family val="2"/>
      <charset val="204"/>
      <scheme val="minor"/>
    </font>
    <font>
      <b/>
      <sz val="9"/>
      <color theme="0"/>
      <name val="Verdana"/>
      <family val="2"/>
      <charset val="204"/>
      <scheme val="minor"/>
    </font>
    <font>
      <sz val="9"/>
      <color rgb="FFFF0000"/>
      <name val="Verdana"/>
      <family val="2"/>
      <charset val="204"/>
      <scheme val="minor"/>
    </font>
    <font>
      <i/>
      <sz val="9"/>
      <color rgb="FF7F7F7F"/>
      <name val="Verdana"/>
      <family val="2"/>
      <charset val="204"/>
      <scheme val="minor"/>
    </font>
    <font>
      <b/>
      <sz val="9"/>
      <color theme="1"/>
      <name val="Verdana"/>
      <family val="2"/>
      <charset val="204"/>
      <scheme val="minor"/>
    </font>
    <font>
      <sz val="9"/>
      <color theme="0"/>
      <name val="Verdana"/>
      <family val="2"/>
      <charset val="204"/>
      <scheme val="minor"/>
    </font>
    <font>
      <b/>
      <sz val="9"/>
      <name val="Verdana"/>
      <family val="2"/>
      <charset val="204"/>
      <scheme val="minor"/>
    </font>
    <font>
      <sz val="9"/>
      <color theme="7" tint="-0.499984740745262"/>
      <name val="Verdana"/>
      <family val="2"/>
      <charset val="204"/>
      <scheme val="minor"/>
    </font>
    <font>
      <sz val="9"/>
      <name val="Verdana"/>
      <family val="2"/>
      <charset val="204"/>
      <scheme val="minor"/>
    </font>
    <font>
      <i/>
      <sz val="9"/>
      <color theme="1"/>
      <name val="Verdana"/>
      <family val="2"/>
      <charset val="204"/>
      <scheme val="minor"/>
    </font>
    <font>
      <sz val="11"/>
      <color theme="4" tint="-0.249977111117893"/>
      <name val="Verdana"/>
      <family val="2"/>
      <charset val="204"/>
      <scheme val="minor"/>
    </font>
    <font>
      <b/>
      <sz val="9"/>
      <color theme="4"/>
      <name val="Verdana"/>
      <family val="2"/>
      <charset val="204"/>
      <scheme val="minor"/>
    </font>
    <font>
      <sz val="9"/>
      <color theme="0" tint="-0.249977111117893"/>
      <name val="Verdana"/>
      <family val="2"/>
      <charset val="204"/>
      <scheme val="minor"/>
    </font>
    <font>
      <b/>
      <sz val="9"/>
      <color theme="2"/>
      <name val="Verdana"/>
      <family val="2"/>
      <charset val="204"/>
      <scheme val="minor"/>
    </font>
    <font>
      <b/>
      <u/>
      <sz val="9"/>
      <color theme="4" tint="-0.499984740745262"/>
      <name val="Verdana"/>
      <family val="2"/>
      <charset val="204"/>
      <scheme val="minor"/>
    </font>
    <font>
      <b/>
      <sz val="9"/>
      <color theme="1"/>
      <name val="Verdana"/>
      <family val="2"/>
      <charset val="204"/>
    </font>
    <font>
      <b/>
      <sz val="12"/>
      <color rgb="FF19A0FA"/>
      <name val="Verdana"/>
      <family val="2"/>
      <charset val="204"/>
      <scheme val="minor"/>
    </font>
    <font>
      <sz val="10"/>
      <color rgb="FF000000"/>
      <name val="Verdana"/>
      <family val="2"/>
      <charset val="204"/>
      <scheme val="minor"/>
    </font>
    <font>
      <sz val="9"/>
      <color theme="2"/>
      <name val="Verdana"/>
      <family val="2"/>
      <charset val="204"/>
      <scheme val="minor"/>
    </font>
    <font>
      <b/>
      <i/>
      <u/>
      <sz val="9"/>
      <color theme="2"/>
      <name val="Verdana"/>
      <family val="2"/>
      <charset val="204"/>
      <scheme val="minor"/>
    </font>
    <font>
      <i/>
      <u/>
      <sz val="9"/>
      <color theme="2"/>
      <name val="Verdana"/>
      <family val="2"/>
      <charset val="204"/>
      <scheme val="minor"/>
    </font>
    <font>
      <b/>
      <i/>
      <sz val="9"/>
      <color theme="0"/>
      <name val="Verdana"/>
      <family val="2"/>
      <charset val="204"/>
      <scheme val="minor"/>
    </font>
    <font>
      <b/>
      <sz val="9"/>
      <color rgb="FFFF0000"/>
      <name val="Verdana"/>
      <family val="2"/>
      <charset val="204"/>
      <scheme val="minor"/>
    </font>
    <font>
      <b/>
      <u/>
      <sz val="9"/>
      <color theme="4" tint="-0.249977111117893"/>
      <name val="Verdana"/>
      <family val="2"/>
      <charset val="204"/>
      <scheme val="minor"/>
    </font>
    <font>
      <b/>
      <sz val="9"/>
      <color theme="4" tint="-0.249977111117893"/>
      <name val="Verdana"/>
      <family val="2"/>
      <charset val="204"/>
      <scheme val="minor"/>
    </font>
    <font>
      <sz val="9"/>
      <color theme="4" tint="-0.249977111117893"/>
      <name val="Verdana"/>
      <family val="2"/>
      <charset val="204"/>
      <scheme val="minor"/>
    </font>
    <font>
      <sz val="9"/>
      <color theme="0" tint="-0.34998626667073579"/>
      <name val="Verdana"/>
      <family val="2"/>
      <charset val="204"/>
      <scheme val="minor"/>
    </font>
    <font>
      <sz val="9"/>
      <color theme="8" tint="-0.249977111117893"/>
      <name val="Verdana"/>
      <family val="2"/>
      <charset val="204"/>
      <scheme val="minor"/>
    </font>
    <font>
      <b/>
      <sz val="9"/>
      <color theme="4" tint="-0.499984740745262"/>
      <name val="Verdana"/>
      <family val="2"/>
      <charset val="204"/>
      <scheme val="minor"/>
    </font>
  </fonts>
  <fills count="5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B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9CEC5"/>
        <bgColor indexed="64"/>
      </patternFill>
    </fill>
    <fill>
      <patternFill patternType="solid">
        <fgColor theme="2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60">
    <xf numFmtId="165" fontId="0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35" borderId="0" applyAlignment="0" applyProtection="0"/>
    <xf numFmtId="0" fontId="10" fillId="36" borderId="0" applyNumberFormat="0" applyAlignment="0" applyProtection="0"/>
    <xf numFmtId="0" fontId="10" fillId="37" borderId="0" applyNumberFormat="0" applyAlignment="0" applyProtection="0"/>
    <xf numFmtId="0" fontId="15" fillId="0" borderId="8" applyNumberFormat="0" applyFill="0" applyAlignment="0" applyProtection="0"/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5" borderId="2" applyNumberFormat="0" applyAlignment="0" applyProtection="0"/>
    <xf numFmtId="0" fontId="8" fillId="5" borderId="1" applyNumberFormat="0" applyAlignment="0" applyProtection="0"/>
    <xf numFmtId="0" fontId="9" fillId="0" borderId="3" applyNumberFormat="0" applyFill="0" applyAlignment="0" applyProtection="0"/>
    <xf numFmtId="0" fontId="10" fillId="6" borderId="4" applyNumberFormat="0" applyAlignment="0" applyProtection="0"/>
    <xf numFmtId="0" fontId="11" fillId="0" borderId="0" applyNumberFormat="0" applyFill="0" applyBorder="0" applyAlignment="0" applyProtection="0"/>
    <xf numFmtId="0" fontId="2" fillId="7" borderId="5" applyNumberFormat="0" applyFont="0" applyAlignment="0" applyProtection="0"/>
    <xf numFmtId="0" fontId="12" fillId="0" borderId="0" applyNumberFormat="0" applyFill="0" applyBorder="0" applyAlignment="0" applyProtection="0"/>
    <xf numFmtId="0" fontId="13" fillId="0" borderId="6" applyNumberFormat="0" applyFill="0" applyAlignment="0" applyProtection="0"/>
    <xf numFmtId="0" fontId="14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4" fillId="31" borderId="0" applyNumberFormat="0" applyBorder="0" applyAlignment="0" applyProtection="0"/>
    <xf numFmtId="164" fontId="1" fillId="38" borderId="7" applyProtection="0"/>
    <xf numFmtId="164" fontId="16" fillId="0" borderId="0" applyProtection="0"/>
    <xf numFmtId="165" fontId="1" fillId="0" borderId="0" applyProtection="0"/>
    <xf numFmtId="164" fontId="1" fillId="0" borderId="0" applyProtection="0"/>
    <xf numFmtId="165" fontId="17" fillId="32" borderId="9" applyProtection="0"/>
    <xf numFmtId="165" fontId="1" fillId="0" borderId="10" applyProtection="0"/>
    <xf numFmtId="165" fontId="1" fillId="0" borderId="9" applyProtection="0"/>
    <xf numFmtId="165" fontId="13" fillId="33" borderId="11" applyProtection="0"/>
    <xf numFmtId="0" fontId="2" fillId="7" borderId="5" applyNumberFormat="0" applyFont="0" applyAlignment="0" applyProtection="0"/>
    <xf numFmtId="165" fontId="1" fillId="34" borderId="9" applyProtection="0"/>
    <xf numFmtId="14" fontId="1" fillId="0" borderId="0" applyProtection="0"/>
    <xf numFmtId="165" fontId="1" fillId="38" borderId="7" applyProtection="0"/>
    <xf numFmtId="165" fontId="16" fillId="0" borderId="0" applyProtection="0"/>
    <xf numFmtId="165" fontId="13" fillId="0" borderId="10" applyProtection="0"/>
  </cellStyleXfs>
  <cellXfs count="250">
    <xf numFmtId="165" fontId="0" fillId="0" borderId="0" xfId="0"/>
    <xf numFmtId="0" fontId="10" fillId="35" borderId="0" xfId="7"/>
    <xf numFmtId="165" fontId="13" fillId="33" borderId="11" xfId="53"/>
    <xf numFmtId="164" fontId="1" fillId="38" borderId="7" xfId="46"/>
    <xf numFmtId="165" fontId="17" fillId="32" borderId="9" xfId="50"/>
    <xf numFmtId="165" fontId="1" fillId="38" borderId="7" xfId="57"/>
    <xf numFmtId="165" fontId="16" fillId="0" borderId="0" xfId="58"/>
    <xf numFmtId="0" fontId="10" fillId="35" borderId="0" xfId="7" applyAlignment="1">
      <alignment horizontal="center"/>
    </xf>
    <xf numFmtId="165" fontId="2" fillId="0" borderId="0" xfId="0" applyFont="1"/>
    <xf numFmtId="165" fontId="19" fillId="0" borderId="0" xfId="0" applyFont="1"/>
    <xf numFmtId="165" fontId="0" fillId="0" borderId="0" xfId="0"/>
    <xf numFmtId="165" fontId="20" fillId="0" borderId="0" xfId="0" applyFont="1"/>
    <xf numFmtId="165" fontId="1" fillId="0" borderId="0" xfId="0" applyFont="1"/>
    <xf numFmtId="165" fontId="10" fillId="37" borderId="0" xfId="0" applyFont="1" applyFill="1"/>
    <xf numFmtId="165" fontId="14" fillId="37" borderId="0" xfId="0" applyFont="1" applyFill="1"/>
    <xf numFmtId="165" fontId="13" fillId="0" borderId="0" xfId="0" applyFont="1" applyFill="1"/>
    <xf numFmtId="165" fontId="1" fillId="0" borderId="0" xfId="0" applyFont="1" applyFill="1"/>
    <xf numFmtId="165" fontId="1" fillId="39" borderId="0" xfId="0" applyFont="1" applyFill="1"/>
    <xf numFmtId="165" fontId="21" fillId="0" borderId="0" xfId="0" applyFont="1"/>
    <xf numFmtId="165" fontId="22" fillId="32" borderId="0" xfId="0" applyFont="1" applyFill="1"/>
    <xf numFmtId="165" fontId="23" fillId="40" borderId="0" xfId="0" applyFont="1" applyFill="1"/>
    <xf numFmtId="4" fontId="1" fillId="0" borderId="0" xfId="0" applyNumberFormat="1" applyFont="1"/>
    <xf numFmtId="165" fontId="13" fillId="0" borderId="0" xfId="0" applyFont="1"/>
    <xf numFmtId="165" fontId="22" fillId="32" borderId="0" xfId="0" applyFont="1" applyFill="1" applyAlignment="1">
      <alignment horizontal="left" indent="1"/>
    </xf>
    <xf numFmtId="165" fontId="1" fillId="41" borderId="0" xfId="0" applyFont="1" applyFill="1"/>
    <xf numFmtId="165" fontId="23" fillId="40" borderId="0" xfId="0" applyFont="1" applyFill="1" applyAlignment="1">
      <alignment horizontal="center"/>
    </xf>
    <xf numFmtId="165" fontId="13" fillId="0" borderId="12" xfId="0" applyFont="1" applyBorder="1"/>
    <xf numFmtId="0" fontId="13" fillId="0" borderId="12" xfId="0" applyNumberFormat="1" applyFont="1" applyBorder="1"/>
    <xf numFmtId="0" fontId="1" fillId="0" borderId="0" xfId="0" applyNumberFormat="1" applyFont="1"/>
    <xf numFmtId="165" fontId="1" fillId="0" borderId="0" xfId="0" applyFont="1" applyAlignment="1">
      <alignment horizontal="left" indent="1"/>
    </xf>
    <xf numFmtId="165" fontId="1" fillId="0" borderId="0" xfId="0" applyFont="1" applyAlignment="1"/>
    <xf numFmtId="165" fontId="1" fillId="0" borderId="0" xfId="0" applyFont="1" applyBorder="1"/>
    <xf numFmtId="165" fontId="1" fillId="0" borderId="0" xfId="0" applyFont="1" applyAlignment="1">
      <alignment wrapText="1"/>
    </xf>
    <xf numFmtId="165" fontId="25" fillId="0" borderId="0" xfId="0" applyFont="1" applyAlignment="1">
      <alignment horizontal="left" vertical="center" readingOrder="1"/>
    </xf>
    <xf numFmtId="165" fontId="26" fillId="0" borderId="0" xfId="0" applyFont="1" applyAlignment="1">
      <alignment horizontal="left" vertical="center" readingOrder="1"/>
    </xf>
    <xf numFmtId="165" fontId="27" fillId="32" borderId="0" xfId="0" applyFont="1" applyFill="1" applyAlignment="1">
      <alignment horizontal="right"/>
    </xf>
    <xf numFmtId="165" fontId="13" fillId="42" borderId="0" xfId="0" applyFont="1" applyFill="1" applyAlignment="1">
      <alignment horizontal="right"/>
    </xf>
    <xf numFmtId="165" fontId="13" fillId="38" borderId="0" xfId="0" applyFont="1" applyFill="1" applyAlignment="1">
      <alignment horizontal="right"/>
    </xf>
    <xf numFmtId="165" fontId="1" fillId="0" borderId="0" xfId="0" applyNumberFormat="1" applyFont="1"/>
    <xf numFmtId="164" fontId="1" fillId="0" borderId="0" xfId="0" applyNumberFormat="1" applyFont="1"/>
    <xf numFmtId="165" fontId="13" fillId="42" borderId="0" xfId="0" applyFont="1" applyFill="1" applyAlignment="1">
      <alignment horizontal="left"/>
    </xf>
    <xf numFmtId="0" fontId="13" fillId="0" borderId="0" xfId="0" applyNumberFormat="1" applyFont="1"/>
    <xf numFmtId="165" fontId="1" fillId="32" borderId="0" xfId="0" applyNumberFormat="1" applyFont="1" applyFill="1"/>
    <xf numFmtId="165" fontId="1" fillId="0" borderId="0" xfId="0" applyFont="1" applyAlignment="1">
      <alignment vertical="center"/>
    </xf>
    <xf numFmtId="165" fontId="13" fillId="42" borderId="0" xfId="0" applyFont="1" applyFill="1" applyAlignment="1">
      <alignment horizontal="right" vertical="top"/>
    </xf>
    <xf numFmtId="165" fontId="1" fillId="0" borderId="0" xfId="0" applyNumberFormat="1" applyFont="1" applyAlignment="1">
      <alignment vertical="center"/>
    </xf>
    <xf numFmtId="165" fontId="13" fillId="42" borderId="0" xfId="0" applyFont="1" applyFill="1" applyAlignment="1">
      <alignment horizontal="right" vertical="center"/>
    </xf>
    <xf numFmtId="165" fontId="1" fillId="42" borderId="0" xfId="0" applyFont="1" applyFill="1" applyAlignment="1">
      <alignment horizontal="left"/>
    </xf>
    <xf numFmtId="165" fontId="13" fillId="38" borderId="0" xfId="0" applyFont="1" applyFill="1" applyAlignment="1">
      <alignment horizontal="left"/>
    </xf>
    <xf numFmtId="165" fontId="1" fillId="38" borderId="0" xfId="0" applyFont="1" applyFill="1" applyAlignment="1">
      <alignment horizontal="left"/>
    </xf>
    <xf numFmtId="165" fontId="13" fillId="40" borderId="0" xfId="0" applyFont="1" applyFill="1"/>
    <xf numFmtId="165" fontId="1" fillId="40" borderId="0" xfId="0" applyFont="1" applyFill="1"/>
    <xf numFmtId="165" fontId="13" fillId="0" borderId="0" xfId="0" applyNumberFormat="1" applyFont="1"/>
    <xf numFmtId="165" fontId="13" fillId="0" borderId="13" xfId="0" applyFont="1" applyBorder="1"/>
    <xf numFmtId="165" fontId="13" fillId="0" borderId="13" xfId="0" applyNumberFormat="1" applyFont="1" applyBorder="1"/>
    <xf numFmtId="165" fontId="1" fillId="0" borderId="0" xfId="0" applyFont="1" applyAlignment="1">
      <alignment horizontal="left"/>
    </xf>
    <xf numFmtId="165" fontId="13" fillId="39" borderId="12" xfId="0" applyFont="1" applyFill="1" applyBorder="1"/>
    <xf numFmtId="165" fontId="13" fillId="39" borderId="12" xfId="0" applyNumberFormat="1" applyFont="1" applyFill="1" applyBorder="1"/>
    <xf numFmtId="165" fontId="28" fillId="0" borderId="0" xfId="0" applyFont="1" applyFill="1"/>
    <xf numFmtId="165" fontId="29" fillId="0" borderId="0" xfId="0" applyFont="1" applyFill="1"/>
    <xf numFmtId="165" fontId="18" fillId="0" borderId="0" xfId="0" applyFont="1" applyAlignment="1">
      <alignment horizontal="left"/>
    </xf>
    <xf numFmtId="165" fontId="18" fillId="0" borderId="0" xfId="0" applyNumberFormat="1" applyFont="1"/>
    <xf numFmtId="165" fontId="1" fillId="41" borderId="0" xfId="0" applyFont="1" applyFill="1" applyBorder="1"/>
    <xf numFmtId="165" fontId="1" fillId="41" borderId="0" xfId="0" applyNumberFormat="1" applyFont="1" applyFill="1" applyBorder="1"/>
    <xf numFmtId="165" fontId="13" fillId="43" borderId="0" xfId="0" applyFont="1" applyFill="1"/>
    <xf numFmtId="165" fontId="13" fillId="43" borderId="0" xfId="0" applyNumberFormat="1" applyFont="1" applyFill="1"/>
    <xf numFmtId="165" fontId="1" fillId="44" borderId="0" xfId="0" applyFont="1" applyFill="1" applyAlignment="1">
      <alignment horizontal="left" indent="1"/>
    </xf>
    <xf numFmtId="165" fontId="1" fillId="44" borderId="0" xfId="0" applyNumberFormat="1" applyFont="1" applyFill="1"/>
    <xf numFmtId="165" fontId="30" fillId="45" borderId="0" xfId="0" applyFont="1" applyFill="1"/>
    <xf numFmtId="165" fontId="30" fillId="45" borderId="0" xfId="0" applyNumberFormat="1" applyFont="1" applyFill="1"/>
    <xf numFmtId="165" fontId="31" fillId="46" borderId="13" xfId="0" applyFont="1" applyFill="1" applyBorder="1"/>
    <xf numFmtId="165" fontId="31" fillId="46" borderId="13" xfId="0" applyNumberFormat="1" applyFont="1" applyFill="1" applyBorder="1"/>
    <xf numFmtId="165" fontId="1" fillId="47" borderId="0" xfId="0" applyFont="1" applyFill="1"/>
    <xf numFmtId="165" fontId="1" fillId="32" borderId="0" xfId="0" applyFont="1" applyFill="1"/>
    <xf numFmtId="165" fontId="1" fillId="39" borderId="14" xfId="0" applyFont="1" applyFill="1" applyBorder="1"/>
    <xf numFmtId="165" fontId="1" fillId="0" borderId="0" xfId="0" applyFont="1" applyAlignment="1">
      <alignment horizontal="center"/>
    </xf>
    <xf numFmtId="165" fontId="13" fillId="0" borderId="0" xfId="0" applyFont="1" applyAlignment="1">
      <alignment horizontal="center"/>
    </xf>
    <xf numFmtId="165" fontId="1" fillId="37" borderId="0" xfId="0" applyFont="1" applyFill="1"/>
    <xf numFmtId="165" fontId="1" fillId="37" borderId="0" xfId="0" applyFont="1" applyFill="1" applyAlignment="1">
      <alignment horizontal="center"/>
    </xf>
    <xf numFmtId="165" fontId="1" fillId="48" borderId="14" xfId="0" applyFont="1" applyFill="1" applyBorder="1"/>
    <xf numFmtId="165" fontId="13" fillId="38" borderId="12" xfId="0" applyFont="1" applyFill="1" applyBorder="1"/>
    <xf numFmtId="165" fontId="13" fillId="39" borderId="0" xfId="0" applyFont="1" applyFill="1"/>
    <xf numFmtId="165" fontId="10" fillId="49" borderId="0" xfId="0" applyFont="1" applyFill="1"/>
    <xf numFmtId="165" fontId="1" fillId="49" borderId="0" xfId="0" applyFont="1" applyFill="1"/>
    <xf numFmtId="165" fontId="1" fillId="49" borderId="0" xfId="0" applyFont="1" applyFill="1" applyAlignment="1">
      <alignment horizontal="center"/>
    </xf>
    <xf numFmtId="165" fontId="13" fillId="50" borderId="0" xfId="0" applyFont="1" applyFill="1"/>
    <xf numFmtId="165" fontId="1" fillId="50" borderId="0" xfId="0" applyFont="1" applyFill="1"/>
    <xf numFmtId="165" fontId="1" fillId="50" borderId="0" xfId="0" applyFont="1" applyFill="1" applyAlignment="1">
      <alignment horizontal="center"/>
    </xf>
    <xf numFmtId="165" fontId="1" fillId="0" borderId="0" xfId="0" applyFont="1" applyFill="1" applyAlignment="1">
      <alignment horizontal="center"/>
    </xf>
    <xf numFmtId="166" fontId="1" fillId="0" borderId="0" xfId="0" applyNumberFormat="1" applyFont="1"/>
    <xf numFmtId="165" fontId="13" fillId="0" borderId="13" xfId="0" applyFont="1" applyBorder="1" applyAlignment="1">
      <alignment horizontal="center"/>
    </xf>
    <xf numFmtId="9" fontId="13" fillId="0" borderId="12" xfId="0" applyNumberFormat="1" applyFont="1" applyBorder="1" applyAlignment="1">
      <alignment horizontal="right"/>
    </xf>
    <xf numFmtId="165" fontId="13" fillId="0" borderId="12" xfId="0" applyFont="1" applyBorder="1" applyAlignment="1">
      <alignment horizontal="right"/>
    </xf>
    <xf numFmtId="165" fontId="1" fillId="0" borderId="13" xfId="0" applyFont="1" applyBorder="1"/>
    <xf numFmtId="0" fontId="1" fillId="0" borderId="13" xfId="0" applyNumberFormat="1" applyFont="1" applyBorder="1" applyAlignment="1">
      <alignment horizontal="right"/>
    </xf>
    <xf numFmtId="165" fontId="1" fillId="0" borderId="13" xfId="0" applyFont="1" applyBorder="1" applyAlignment="1">
      <alignment horizontal="right"/>
    </xf>
    <xf numFmtId="165" fontId="1" fillId="32" borderId="13" xfId="0" applyFont="1" applyFill="1" applyBorder="1" applyAlignment="1">
      <alignment horizontal="right"/>
    </xf>
    <xf numFmtId="9" fontId="1" fillId="0" borderId="0" xfId="0" applyNumberFormat="1" applyFont="1" applyBorder="1" applyAlignment="1">
      <alignment horizontal="right"/>
    </xf>
    <xf numFmtId="9" fontId="1" fillId="32" borderId="0" xfId="0" applyNumberFormat="1" applyFont="1" applyFill="1" applyBorder="1" applyAlignment="1">
      <alignment horizontal="right"/>
    </xf>
    <xf numFmtId="165" fontId="1" fillId="0" borderId="0" xfId="0" applyNumberFormat="1" applyFont="1" applyBorder="1" applyAlignment="1">
      <alignment horizontal="right"/>
    </xf>
    <xf numFmtId="165" fontId="1" fillId="38" borderId="0" xfId="0" applyNumberFormat="1" applyFont="1" applyFill="1" applyBorder="1" applyAlignment="1">
      <alignment horizontal="right"/>
    </xf>
    <xf numFmtId="164" fontId="1" fillId="0" borderId="0" xfId="0" applyNumberFormat="1" applyFont="1" applyBorder="1" applyAlignment="1">
      <alignment horizontal="right"/>
    </xf>
    <xf numFmtId="164" fontId="1" fillId="38" borderId="0" xfId="0" applyNumberFormat="1" applyFont="1" applyFill="1" applyBorder="1" applyAlignment="1">
      <alignment horizontal="right"/>
    </xf>
    <xf numFmtId="165" fontId="1" fillId="0" borderId="16" xfId="0" applyFont="1" applyBorder="1"/>
    <xf numFmtId="167" fontId="1" fillId="0" borderId="16" xfId="0" applyNumberFormat="1" applyFont="1" applyBorder="1" applyAlignment="1">
      <alignment horizontal="right"/>
    </xf>
    <xf numFmtId="164" fontId="1" fillId="38" borderId="16" xfId="0" applyNumberFormat="1" applyFont="1" applyFill="1" applyBorder="1" applyAlignment="1">
      <alignment horizontal="right"/>
    </xf>
    <xf numFmtId="9" fontId="13" fillId="0" borderId="12" xfId="0" applyNumberFormat="1" applyFont="1" applyBorder="1" applyAlignment="1">
      <alignment horizontal="left"/>
    </xf>
    <xf numFmtId="14" fontId="1" fillId="0" borderId="0" xfId="0" applyNumberFormat="1" applyFont="1" applyAlignment="1">
      <alignment horizontal="right"/>
    </xf>
    <xf numFmtId="17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69" fontId="1" fillId="0" borderId="0" xfId="0" applyNumberFormat="1" applyFont="1" applyAlignment="1">
      <alignment horizontal="right"/>
    </xf>
    <xf numFmtId="15" fontId="1" fillId="0" borderId="0" xfId="0" applyNumberFormat="1" applyFont="1" applyAlignment="1">
      <alignment horizontal="right"/>
    </xf>
    <xf numFmtId="170" fontId="1" fillId="0" borderId="0" xfId="0" applyNumberFormat="1" applyFont="1" applyAlignment="1">
      <alignment horizontal="right"/>
    </xf>
    <xf numFmtId="165" fontId="1" fillId="0" borderId="0" xfId="0" applyFont="1" applyAlignment="1">
      <alignment horizontal="right"/>
    </xf>
    <xf numFmtId="165" fontId="13" fillId="0" borderId="0" xfId="0" applyFont="1" applyAlignment="1">
      <alignment horizontal="right"/>
    </xf>
    <xf numFmtId="165" fontId="10" fillId="36" borderId="0" xfId="8" applyNumberFormat="1"/>
    <xf numFmtId="165" fontId="0" fillId="0" borderId="0" xfId="0"/>
    <xf numFmtId="165" fontId="0" fillId="0" borderId="0" xfId="0" applyAlignment="1">
      <alignment horizontal="right"/>
    </xf>
    <xf numFmtId="165" fontId="1" fillId="38" borderId="0" xfId="0" applyFont="1" applyFill="1"/>
    <xf numFmtId="165" fontId="13" fillId="32" borderId="0" xfId="0" applyFont="1" applyFill="1"/>
    <xf numFmtId="165" fontId="1" fillId="38" borderId="0" xfId="0" applyFont="1" applyFill="1" applyAlignment="1">
      <alignment horizontal="right"/>
    </xf>
    <xf numFmtId="165" fontId="13" fillId="0" borderId="0" xfId="0" applyFont="1" applyAlignment="1">
      <alignment horizontal="left"/>
    </xf>
    <xf numFmtId="14" fontId="1" fillId="38" borderId="0" xfId="0" applyNumberFormat="1" applyFont="1" applyFill="1"/>
    <xf numFmtId="171" fontId="1" fillId="38" borderId="0" xfId="0" applyNumberFormat="1" applyFont="1" applyFill="1"/>
    <xf numFmtId="165" fontId="1" fillId="0" borderId="0" xfId="0" applyFont="1" applyBorder="1" applyAlignment="1">
      <alignment horizontal="right"/>
    </xf>
    <xf numFmtId="0" fontId="1" fillId="0" borderId="0" xfId="0" applyNumberFormat="1" applyFont="1" applyBorder="1"/>
    <xf numFmtId="165" fontId="1" fillId="38" borderId="0" xfId="0" applyFont="1" applyFill="1" applyBorder="1"/>
    <xf numFmtId="165" fontId="1" fillId="38" borderId="0" xfId="0" applyFont="1" applyFill="1" applyBorder="1" applyAlignment="1">
      <alignment horizontal="right"/>
    </xf>
    <xf numFmtId="165" fontId="1" fillId="0" borderId="16" xfId="0" applyFont="1" applyBorder="1" applyAlignment="1">
      <alignment horizontal="right"/>
    </xf>
    <xf numFmtId="4" fontId="1" fillId="0" borderId="0" xfId="0" applyNumberFormat="1" applyFont="1" applyBorder="1"/>
    <xf numFmtId="165" fontId="10" fillId="0" borderId="0" xfId="0" applyFont="1"/>
    <xf numFmtId="3" fontId="1" fillId="0" borderId="0" xfId="0" applyNumberFormat="1" applyFont="1"/>
    <xf numFmtId="165" fontId="18" fillId="0" borderId="0" xfId="0" applyFont="1"/>
    <xf numFmtId="165" fontId="32" fillId="0" borderId="0" xfId="0" applyFont="1"/>
    <xf numFmtId="49" fontId="33" fillId="0" borderId="0" xfId="0" applyNumberFormat="1" applyFont="1" applyFill="1" applyBorder="1" applyAlignment="1">
      <alignment horizontal="center" vertical="center" wrapText="1"/>
    </xf>
    <xf numFmtId="165" fontId="13" fillId="0" borderId="0" xfId="0" applyFont="1" applyFill="1" applyBorder="1" applyAlignment="1">
      <alignment horizontal="center" vertical="center" wrapText="1"/>
    </xf>
    <xf numFmtId="49" fontId="13" fillId="0" borderId="0" xfId="0" applyNumberFormat="1" applyFont="1" applyFill="1" applyBorder="1" applyAlignment="1">
      <alignment horizontal="center" vertical="center" wrapText="1"/>
    </xf>
    <xf numFmtId="49" fontId="13" fillId="38" borderId="0" xfId="0" applyNumberFormat="1" applyFont="1" applyFill="1" applyBorder="1" applyAlignment="1">
      <alignment horizontal="center" vertical="center" wrapText="1"/>
    </xf>
    <xf numFmtId="49" fontId="13" fillId="50" borderId="0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Fill="1" applyBorder="1"/>
    <xf numFmtId="165" fontId="1" fillId="0" borderId="0" xfId="0" applyFont="1" applyFill="1" applyBorder="1"/>
    <xf numFmtId="172" fontId="13" fillId="0" borderId="0" xfId="0" applyNumberFormat="1" applyFont="1"/>
    <xf numFmtId="165" fontId="0" fillId="0" borderId="0" xfId="0" applyAlignment="1">
      <alignment horizontal="center"/>
    </xf>
    <xf numFmtId="173" fontId="1" fillId="48" borderId="14" xfId="0" applyNumberFormat="1" applyFont="1" applyFill="1" applyBorder="1" applyAlignment="1">
      <alignment horizontal="right"/>
    </xf>
    <xf numFmtId="164" fontId="1" fillId="0" borderId="0" xfId="0" applyNumberFormat="1" applyFont="1" applyFill="1" applyBorder="1" applyAlignment="1">
      <alignment horizontal="right"/>
    </xf>
    <xf numFmtId="173" fontId="1" fillId="0" borderId="0" xfId="0" applyNumberFormat="1" applyFont="1" applyFill="1" applyBorder="1" applyAlignment="1">
      <alignment horizontal="right"/>
    </xf>
    <xf numFmtId="165" fontId="1" fillId="48" borderId="14" xfId="0" applyNumberFormat="1" applyFont="1" applyFill="1" applyBorder="1" applyAlignment="1">
      <alignment horizontal="right"/>
    </xf>
    <xf numFmtId="173" fontId="1" fillId="0" borderId="0" xfId="0" applyNumberFormat="1" applyFont="1"/>
    <xf numFmtId="165" fontId="1" fillId="48" borderId="15" xfId="0" applyNumberFormat="1" applyFont="1" applyFill="1" applyBorder="1" applyAlignment="1">
      <alignment horizontal="right"/>
    </xf>
    <xf numFmtId="166" fontId="13" fillId="0" borderId="13" xfId="0" applyNumberFormat="1" applyFont="1" applyBorder="1"/>
    <xf numFmtId="165" fontId="13" fillId="0" borderId="0" xfId="0" applyNumberFormat="1" applyFont="1" applyBorder="1"/>
    <xf numFmtId="165" fontId="13" fillId="0" borderId="0" xfId="0" applyFont="1" applyBorder="1"/>
    <xf numFmtId="165" fontId="13" fillId="0" borderId="0" xfId="0" applyFont="1" applyBorder="1" applyAlignment="1">
      <alignment horizontal="center"/>
    </xf>
    <xf numFmtId="166" fontId="13" fillId="0" borderId="0" xfId="0" applyNumberFormat="1" applyFont="1" applyBorder="1"/>
    <xf numFmtId="165" fontId="13" fillId="38" borderId="0" xfId="0" applyFont="1" applyFill="1"/>
    <xf numFmtId="165" fontId="13" fillId="38" borderId="0" xfId="0" applyFont="1" applyFill="1" applyAlignment="1">
      <alignment horizontal="center"/>
    </xf>
    <xf numFmtId="164" fontId="13" fillId="38" borderId="0" xfId="0" applyNumberFormat="1" applyFont="1" applyFill="1" applyBorder="1" applyAlignment="1">
      <alignment horizontal="right"/>
    </xf>
    <xf numFmtId="173" fontId="1" fillId="48" borderId="17" xfId="0" applyNumberFormat="1" applyFont="1" applyFill="1" applyBorder="1" applyAlignment="1">
      <alignment horizontal="right"/>
    </xf>
    <xf numFmtId="165" fontId="13" fillId="32" borderId="18" xfId="0" applyFont="1" applyFill="1" applyBorder="1" applyAlignment="1">
      <alignment horizontal="center"/>
    </xf>
    <xf numFmtId="174" fontId="1" fillId="0" borderId="19" xfId="0" applyNumberFormat="1" applyFont="1" applyBorder="1"/>
    <xf numFmtId="173" fontId="1" fillId="48" borderId="20" xfId="0" applyNumberFormat="1" applyFont="1" applyFill="1" applyBorder="1" applyAlignment="1">
      <alignment horizontal="right"/>
    </xf>
    <xf numFmtId="174" fontId="1" fillId="0" borderId="21" xfId="0" applyNumberFormat="1" applyFont="1" applyBorder="1"/>
    <xf numFmtId="165" fontId="13" fillId="32" borderId="22" xfId="0" applyNumberFormat="1" applyFont="1" applyFill="1" applyBorder="1" applyAlignment="1">
      <alignment horizontal="center"/>
    </xf>
    <xf numFmtId="165" fontId="1" fillId="0" borderId="0" xfId="0" applyNumberFormat="1" applyFont="1" applyBorder="1"/>
    <xf numFmtId="165" fontId="1" fillId="39" borderId="0" xfId="0" applyNumberFormat="1" applyFont="1" applyFill="1" applyBorder="1"/>
    <xf numFmtId="165" fontId="1" fillId="0" borderId="23" xfId="0" applyNumberFormat="1" applyFont="1" applyBorder="1"/>
    <xf numFmtId="173" fontId="13" fillId="32" borderId="24" xfId="0" applyNumberFormat="1" applyFont="1" applyFill="1" applyBorder="1" applyAlignment="1">
      <alignment horizontal="center"/>
    </xf>
    <xf numFmtId="173" fontId="1" fillId="0" borderId="25" xfId="0" applyNumberFormat="1" applyFont="1" applyFill="1" applyBorder="1" applyAlignment="1">
      <alignment horizontal="right"/>
    </xf>
    <xf numFmtId="173" fontId="1" fillId="39" borderId="25" xfId="0" applyNumberFormat="1" applyFont="1" applyFill="1" applyBorder="1" applyAlignment="1">
      <alignment horizontal="right"/>
    </xf>
    <xf numFmtId="173" fontId="1" fillId="0" borderId="26" xfId="0" applyNumberFormat="1" applyFont="1" applyFill="1" applyBorder="1" applyAlignment="1">
      <alignment horizontal="right"/>
    </xf>
    <xf numFmtId="164" fontId="13" fillId="32" borderId="18" xfId="0" applyNumberFormat="1" applyFont="1" applyFill="1" applyBorder="1" applyAlignment="1">
      <alignment horizontal="center"/>
    </xf>
    <xf numFmtId="174" fontId="13" fillId="0" borderId="19" xfId="0" applyNumberFormat="1" applyFont="1" applyBorder="1"/>
    <xf numFmtId="173" fontId="13" fillId="48" borderId="20" xfId="0" applyNumberFormat="1" applyFont="1" applyFill="1" applyBorder="1" applyAlignment="1">
      <alignment horizontal="right"/>
    </xf>
    <xf numFmtId="174" fontId="13" fillId="0" borderId="21" xfId="0" applyNumberFormat="1" applyFont="1" applyBorder="1"/>
    <xf numFmtId="174" fontId="13" fillId="0" borderId="22" xfId="0" applyNumberFormat="1" applyFont="1" applyBorder="1"/>
    <xf numFmtId="174" fontId="1" fillId="0" borderId="0" xfId="0" applyNumberFormat="1" applyFont="1" applyBorder="1"/>
    <xf numFmtId="174" fontId="1" fillId="39" borderId="0" xfId="0" applyNumberFormat="1" applyFont="1" applyFill="1" applyBorder="1"/>
    <xf numFmtId="174" fontId="1" fillId="0" borderId="23" xfId="0" applyNumberFormat="1" applyFont="1" applyBorder="1"/>
    <xf numFmtId="173" fontId="13" fillId="48" borderId="27" xfId="0" applyNumberFormat="1" applyFont="1" applyFill="1" applyBorder="1" applyAlignment="1">
      <alignment horizontal="right"/>
    </xf>
    <xf numFmtId="174" fontId="1" fillId="39" borderId="23" xfId="0" applyNumberFormat="1" applyFont="1" applyFill="1" applyBorder="1"/>
    <xf numFmtId="174" fontId="13" fillId="0" borderId="24" xfId="0" applyNumberFormat="1" applyFont="1" applyBorder="1"/>
    <xf numFmtId="174" fontId="1" fillId="0" borderId="25" xfId="0" applyNumberFormat="1" applyFont="1" applyBorder="1"/>
    <xf numFmtId="174" fontId="1" fillId="39" borderId="25" xfId="0" applyNumberFormat="1" applyFont="1" applyFill="1" applyBorder="1"/>
    <xf numFmtId="174" fontId="1" fillId="0" borderId="26" xfId="0" applyNumberFormat="1" applyFont="1" applyBorder="1"/>
    <xf numFmtId="165" fontId="13" fillId="0" borderId="0" xfId="0" applyFont="1" applyBorder="1" applyAlignment="1">
      <alignment horizontal="left"/>
    </xf>
    <xf numFmtId="165" fontId="33" fillId="0" borderId="0" xfId="0" applyNumberFormat="1" applyFont="1" applyFill="1" applyBorder="1" applyAlignment="1">
      <alignment horizontal="right"/>
    </xf>
    <xf numFmtId="165" fontId="1" fillId="0" borderId="0" xfId="0" applyFont="1" applyAlignment="1">
      <alignment horizontal="center" vertical="center"/>
    </xf>
    <xf numFmtId="165" fontId="34" fillId="0" borderId="0" xfId="0" applyNumberFormat="1" applyFont="1" applyFill="1" applyBorder="1" applyAlignment="1">
      <alignment horizontal="right"/>
    </xf>
    <xf numFmtId="165" fontId="13" fillId="0" borderId="0" xfId="0" applyNumberFormat="1" applyFont="1" applyBorder="1" applyAlignment="1">
      <alignment horizontal="right"/>
    </xf>
    <xf numFmtId="165" fontId="18" fillId="0" borderId="0" xfId="0" applyFont="1" applyAlignment="1">
      <alignment horizontal="left" vertical="center" indent="1"/>
    </xf>
    <xf numFmtId="165" fontId="18" fillId="0" borderId="0" xfId="0" applyFont="1" applyAlignment="1">
      <alignment horizontal="center" vertical="center"/>
    </xf>
    <xf numFmtId="164" fontId="18" fillId="0" borderId="0" xfId="0" applyNumberFormat="1" applyFont="1" applyBorder="1" applyAlignment="1">
      <alignment horizontal="right"/>
    </xf>
    <xf numFmtId="165" fontId="18" fillId="0" borderId="0" xfId="0" applyFont="1" applyAlignment="1">
      <alignment horizontal="center"/>
    </xf>
    <xf numFmtId="165" fontId="1" fillId="0" borderId="0" xfId="0" applyFont="1" applyAlignment="1">
      <alignment horizontal="left" vertical="center" indent="1"/>
    </xf>
    <xf numFmtId="9" fontId="1" fillId="38" borderId="0" xfId="0" applyNumberFormat="1" applyFont="1" applyFill="1" applyAlignment="1">
      <alignment horizontal="center" vertical="center"/>
    </xf>
    <xf numFmtId="165" fontId="13" fillId="0" borderId="12" xfId="0" applyFont="1" applyBorder="1" applyAlignment="1">
      <alignment horizontal="left"/>
    </xf>
    <xf numFmtId="165" fontId="13" fillId="0" borderId="12" xfId="0" applyFont="1" applyBorder="1" applyAlignment="1">
      <alignment horizontal="center"/>
    </xf>
    <xf numFmtId="165" fontId="13" fillId="0" borderId="12" xfId="0" applyNumberFormat="1" applyFont="1" applyBorder="1" applyAlignment="1">
      <alignment horizontal="right"/>
    </xf>
    <xf numFmtId="165" fontId="35" fillId="0" borderId="0" xfId="0" applyFont="1" applyAlignment="1">
      <alignment horizontal="center"/>
    </xf>
    <xf numFmtId="165" fontId="34" fillId="0" borderId="0" xfId="0" applyNumberFormat="1" applyFont="1" applyFill="1" applyBorder="1" applyAlignment="1">
      <alignment horizontal="center"/>
    </xf>
    <xf numFmtId="165" fontId="1" fillId="0" borderId="0" xfId="0" applyFont="1" applyBorder="1" applyAlignment="1">
      <alignment horizontal="left" indent="3"/>
    </xf>
    <xf numFmtId="165" fontId="35" fillId="0" borderId="0" xfId="0" applyFont="1"/>
    <xf numFmtId="165" fontId="13" fillId="38" borderId="0" xfId="0" applyNumberFormat="1" applyFont="1" applyFill="1" applyBorder="1" applyAlignment="1">
      <alignment horizontal="right"/>
    </xf>
    <xf numFmtId="0" fontId="13" fillId="48" borderId="0" xfId="0" applyNumberFormat="1" applyFont="1" applyFill="1"/>
    <xf numFmtId="165" fontId="10" fillId="51" borderId="0" xfId="0" applyFont="1" applyFill="1"/>
    <xf numFmtId="165" fontId="1" fillId="51" borderId="0" xfId="0" applyFont="1" applyFill="1"/>
    <xf numFmtId="165" fontId="13" fillId="0" borderId="16" xfId="0" applyFont="1" applyBorder="1" applyAlignment="1">
      <alignment horizontal="right"/>
    </xf>
    <xf numFmtId="0" fontId="13" fillId="0" borderId="28" xfId="0" applyNumberFormat="1" applyFont="1" applyBorder="1" applyAlignment="1">
      <alignment horizontal="right"/>
    </xf>
    <xf numFmtId="165" fontId="13" fillId="0" borderId="29" xfId="0" applyFont="1" applyBorder="1"/>
    <xf numFmtId="165" fontId="13" fillId="0" borderId="15" xfId="0" applyFont="1" applyBorder="1"/>
    <xf numFmtId="165" fontId="13" fillId="0" borderId="0" xfId="0" applyFont="1" applyBorder="1" applyAlignment="1">
      <alignment horizontal="right"/>
    </xf>
    <xf numFmtId="0" fontId="13" fillId="0" borderId="16" xfId="0" applyNumberFormat="1" applyFont="1" applyBorder="1" applyAlignment="1">
      <alignment horizontal="right"/>
    </xf>
    <xf numFmtId="173" fontId="1" fillId="48" borderId="0" xfId="0" applyNumberFormat="1" applyFont="1" applyFill="1"/>
    <xf numFmtId="165" fontId="1" fillId="48" borderId="0" xfId="0" applyFont="1" applyFill="1"/>
    <xf numFmtId="165" fontId="34" fillId="0" borderId="0" xfId="0" applyFont="1"/>
    <xf numFmtId="165" fontId="1" fillId="0" borderId="12" xfId="0" applyFont="1" applyBorder="1"/>
    <xf numFmtId="164" fontId="1" fillId="48" borderId="14" xfId="0" applyNumberFormat="1" applyFont="1" applyFill="1" applyBorder="1" applyAlignment="1">
      <alignment horizontal="center"/>
    </xf>
    <xf numFmtId="164" fontId="1" fillId="48" borderId="15" xfId="0" applyNumberFormat="1" applyFont="1" applyFill="1" applyBorder="1" applyAlignment="1">
      <alignment horizontal="center"/>
    </xf>
    <xf numFmtId="166" fontId="1" fillId="48" borderId="14" xfId="0" applyNumberFormat="1" applyFont="1" applyFill="1" applyBorder="1" applyAlignment="1">
      <alignment horizontal="center"/>
    </xf>
    <xf numFmtId="165" fontId="36" fillId="0" borderId="0" xfId="0" applyFont="1" applyAlignment="1">
      <alignment horizontal="center"/>
    </xf>
    <xf numFmtId="165" fontId="13" fillId="32" borderId="0" xfId="0" applyFont="1" applyFill="1" applyAlignment="1">
      <alignment horizontal="center"/>
    </xf>
    <xf numFmtId="165" fontId="1" fillId="32" borderId="0" xfId="0" applyFont="1" applyFill="1" applyAlignment="1">
      <alignment horizontal="center"/>
    </xf>
    <xf numFmtId="166" fontId="36" fillId="0" borderId="0" xfId="0" applyNumberFormat="1" applyFont="1"/>
    <xf numFmtId="166" fontId="36" fillId="0" borderId="0" xfId="0" applyNumberFormat="1" applyFont="1" applyAlignment="1">
      <alignment horizontal="center"/>
    </xf>
    <xf numFmtId="165" fontId="10" fillId="37" borderId="0" xfId="9" applyNumberFormat="1"/>
    <xf numFmtId="165" fontId="37" fillId="0" borderId="0" xfId="0" applyFont="1"/>
    <xf numFmtId="0" fontId="10" fillId="35" borderId="0" xfId="7" applyAlignment="1">
      <alignment horizontal="right"/>
    </xf>
    <xf numFmtId="165" fontId="1" fillId="52" borderId="0" xfId="0" applyFont="1" applyFill="1"/>
    <xf numFmtId="165" fontId="13" fillId="0" borderId="10" xfId="59"/>
    <xf numFmtId="165" fontId="10" fillId="37" borderId="0" xfId="9" applyNumberFormat="1" applyAlignment="1">
      <alignment horizontal="center"/>
    </xf>
    <xf numFmtId="165" fontId="10" fillId="36" borderId="0" xfId="8" applyNumberFormat="1" applyAlignment="1">
      <alignment horizontal="center"/>
    </xf>
    <xf numFmtId="166" fontId="1" fillId="38" borderId="7" xfId="57" applyNumberFormat="1"/>
    <xf numFmtId="166" fontId="13" fillId="33" borderId="11" xfId="53" applyNumberFormat="1"/>
    <xf numFmtId="166" fontId="13" fillId="0" borderId="10" xfId="59" applyNumberFormat="1"/>
    <xf numFmtId="165" fontId="10" fillId="36" borderId="0" xfId="8" applyNumberFormat="1" applyAlignment="1">
      <alignment horizontal="left" indent="1"/>
    </xf>
    <xf numFmtId="0" fontId="10" fillId="35" borderId="0" xfId="7" applyAlignment="1"/>
    <xf numFmtId="165" fontId="13" fillId="0" borderId="10" xfId="59" applyAlignment="1">
      <alignment horizontal="center"/>
    </xf>
    <xf numFmtId="165" fontId="13" fillId="33" borderId="11" xfId="53" applyAlignment="1">
      <alignment horizontal="center"/>
    </xf>
    <xf numFmtId="165" fontId="15" fillId="0" borderId="8" xfId="10" applyNumberFormat="1" applyFill="1"/>
    <xf numFmtId="165" fontId="15" fillId="0" borderId="8" xfId="10" applyNumberFormat="1" applyFill="1" applyAlignment="1">
      <alignment horizontal="center"/>
    </xf>
    <xf numFmtId="165" fontId="15" fillId="0" borderId="8" xfId="10" applyNumberFormat="1"/>
    <xf numFmtId="165" fontId="15" fillId="0" borderId="8" xfId="10" applyNumberFormat="1" applyAlignment="1">
      <alignment horizontal="center"/>
    </xf>
    <xf numFmtId="164" fontId="1" fillId="38" borderId="30" xfId="46" applyBorder="1"/>
    <xf numFmtId="164" fontId="1" fillId="38" borderId="31" xfId="46" applyBorder="1"/>
    <xf numFmtId="165" fontId="15" fillId="0" borderId="0" xfId="10" applyNumberFormat="1" applyFill="1" applyBorder="1"/>
    <xf numFmtId="165" fontId="15" fillId="0" borderId="0" xfId="10" applyNumberFormat="1" applyBorder="1"/>
    <xf numFmtId="164" fontId="16" fillId="0" borderId="0" xfId="47"/>
    <xf numFmtId="165" fontId="1" fillId="32" borderId="0" xfId="0" applyNumberFormat="1" applyFont="1" applyFill="1" applyAlignment="1">
      <alignment horizontal="center"/>
    </xf>
    <xf numFmtId="165" fontId="1" fillId="0" borderId="0" xfId="0" applyFont="1" applyAlignment="1">
      <alignment horizontal="left" wrapText="1"/>
    </xf>
    <xf numFmtId="165" fontId="13" fillId="0" borderId="16" xfId="0" applyFont="1" applyBorder="1" applyAlignment="1">
      <alignment horizontal="center"/>
    </xf>
  </cellXfs>
  <cellStyles count="60">
    <cellStyle name="20% — акцент1" xfId="23" builtinId="30" hidden="1"/>
    <cellStyle name="20% — акцент2" xfId="27" builtinId="34" hidden="1"/>
    <cellStyle name="20% — акцент3" xfId="31" builtinId="38" hidden="1"/>
    <cellStyle name="20% — акцент4" xfId="35" builtinId="42" hidden="1"/>
    <cellStyle name="20% — акцент5" xfId="39" builtinId="46" hidden="1"/>
    <cellStyle name="20% — акцент6" xfId="43" builtinId="50" hidden="1"/>
    <cellStyle name="40% — акцент1" xfId="24" builtinId="31" hidden="1"/>
    <cellStyle name="40% — акцент2" xfId="28" builtinId="35" hidden="1"/>
    <cellStyle name="40% — акцент3" xfId="32" builtinId="39" hidden="1"/>
    <cellStyle name="40% — акцент4" xfId="36" builtinId="43" hidden="1"/>
    <cellStyle name="40% — акцент5" xfId="40" builtinId="47" hidden="1"/>
    <cellStyle name="40% — акцент6" xfId="44" builtinId="51" hidden="1"/>
    <cellStyle name="60% — акцент1" xfId="25" builtinId="32" hidden="1"/>
    <cellStyle name="60% — акцент2" xfId="29" builtinId="36" hidden="1"/>
    <cellStyle name="60% — акцент3" xfId="33" builtinId="40" hidden="1"/>
    <cellStyle name="60% — акцент4" xfId="37" builtinId="44" hidden="1"/>
    <cellStyle name="60% — акцент5" xfId="41" builtinId="48" hidden="1"/>
    <cellStyle name="60% — акцент6" xfId="45" builtinId="52" hidden="1"/>
    <cellStyle name="Change" xfId="50"/>
    <cellStyle name="Comment" xfId="55"/>
    <cellStyle name="Data_Long" xfId="56"/>
    <cellStyle name="Input_%" xfId="46"/>
    <cellStyle name="Input_Num" xfId="57"/>
    <cellStyle name="Link_%" xfId="47"/>
    <cellStyle name="Link_Num" xfId="58"/>
    <cellStyle name="Num" xfId="48"/>
    <cellStyle name="Percent" xfId="49"/>
    <cellStyle name="SubTotal" xfId="51"/>
    <cellStyle name="SubTotal Bold" xfId="59"/>
    <cellStyle name="Sum" xfId="52"/>
    <cellStyle name="Total" xfId="53"/>
    <cellStyle name="Акцент1" xfId="22" builtinId="29" hidden="1"/>
    <cellStyle name="Акцент2" xfId="26" builtinId="33" hidden="1"/>
    <cellStyle name="Акцент3" xfId="30" builtinId="37" hidden="1"/>
    <cellStyle name="Акцент4" xfId="34" builtinId="41" hidden="1"/>
    <cellStyle name="Акцент5" xfId="38" builtinId="45" hidden="1"/>
    <cellStyle name="Акцент6" xfId="42" builtinId="49" hidden="1"/>
    <cellStyle name="Вывод" xfId="14" builtinId="21" hidden="1"/>
    <cellStyle name="Вычисление" xfId="15" builtinId="22" hidden="1"/>
    <cellStyle name="Денежный" xfId="3" builtinId="4" hidden="1"/>
    <cellStyle name="Денежный [0]" xfId="4" builtinId="7" hidden="1"/>
    <cellStyle name="Заголовок 1" xfId="7" builtinId="16" customBuiltin="1"/>
    <cellStyle name="Заголовок 2" xfId="8" builtinId="17" customBuiltin="1"/>
    <cellStyle name="Заголовок 3" xfId="9" builtinId="18" customBuiltin="1"/>
    <cellStyle name="Заголовок 4" xfId="10" builtinId="19" customBuiltin="1"/>
    <cellStyle name="Итог" xfId="21" builtinId="25" hidden="1"/>
    <cellStyle name="Контрольная ячейка" xfId="17" builtinId="23" hidden="1"/>
    <cellStyle name="Название" xfId="6" builtinId="15" hidden="1"/>
    <cellStyle name="Нейтральный" xfId="13" builtinId="28" hidden="1"/>
    <cellStyle name="Обычный" xfId="0" builtinId="0" customBuiltin="1"/>
    <cellStyle name="Плохой" xfId="12" builtinId="27" hidden="1"/>
    <cellStyle name="Пояснение" xfId="20" builtinId="53" hidden="1"/>
    <cellStyle name="Примечание" xfId="19" builtinId="10" hidden="1"/>
    <cellStyle name="Примечание" xfId="54" builtinId="10" hidden="1"/>
    <cellStyle name="Процентный" xfId="5" builtinId="5" hidden="1"/>
    <cellStyle name="Связанная ячейка" xfId="16" builtinId="24" hidden="1"/>
    <cellStyle name="Текст предупреждения" xfId="18" builtinId="11" hidden="1"/>
    <cellStyle name="Финансовый" xfId="1" builtinId="3" hidden="1"/>
    <cellStyle name="Финансовый [0]" xfId="2" builtinId="6" hidden="1"/>
    <cellStyle name="Хороший" xfId="11" builtinId="26" hidden="1"/>
  </cellStyles>
  <dxfs count="0"/>
  <tableStyles count="0" defaultTableStyle="TableStyleMedium2" defaultPivotStyle="PivotStyleLight16"/>
  <colors>
    <mruColors>
      <color rgb="FFFFFF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571500</xdr:colOff>
      <xdr:row>9</xdr:row>
      <xdr:rowOff>25215</xdr:rowOff>
    </xdr:from>
    <xdr:to>
      <xdr:col>8</xdr:col>
      <xdr:colOff>142875</xdr:colOff>
      <xdr:row>24</xdr:row>
      <xdr:rowOff>86287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2550" y="1311090"/>
          <a:ext cx="5353050" cy="2204197"/>
        </a:xfrm>
        <a:prstGeom prst="rect">
          <a:avLst/>
        </a:prstGeom>
      </xdr:spPr>
    </xdr:pic>
    <xdr:clientData/>
  </xdr:twoCellAnchor>
  <xdr:twoCellAnchor editAs="oneCell">
    <xdr:from>
      <xdr:col>2</xdr:col>
      <xdr:colOff>86140</xdr:colOff>
      <xdr:row>33</xdr:row>
      <xdr:rowOff>36859</xdr:rowOff>
    </xdr:from>
    <xdr:to>
      <xdr:col>10</xdr:col>
      <xdr:colOff>710043</xdr:colOff>
      <xdr:row>40</xdr:row>
      <xdr:rowOff>136249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7190" y="4751734"/>
          <a:ext cx="8081978" cy="1099515"/>
        </a:xfrm>
        <a:prstGeom prst="rect">
          <a:avLst/>
        </a:prstGeom>
      </xdr:spPr>
    </xdr:pic>
    <xdr:clientData/>
  </xdr:twoCellAnchor>
  <xdr:twoCellAnchor editAs="oneCell">
    <xdr:from>
      <xdr:col>2</xdr:col>
      <xdr:colOff>385970</xdr:colOff>
      <xdr:row>66</xdr:row>
      <xdr:rowOff>37272</xdr:rowOff>
    </xdr:from>
    <xdr:to>
      <xdr:col>7</xdr:col>
      <xdr:colOff>352839</xdr:colOff>
      <xdr:row>71</xdr:row>
      <xdr:rowOff>126885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7020" y="9467022"/>
          <a:ext cx="4910344" cy="803988"/>
        </a:xfrm>
        <a:prstGeom prst="rect">
          <a:avLst/>
        </a:prstGeom>
      </xdr:spPr>
    </xdr:pic>
    <xdr:clientData/>
  </xdr:twoCellAnchor>
  <xdr:twoCellAnchor editAs="oneCell">
    <xdr:from>
      <xdr:col>2</xdr:col>
      <xdr:colOff>935106</xdr:colOff>
      <xdr:row>75</xdr:row>
      <xdr:rowOff>110805</xdr:rowOff>
    </xdr:from>
    <xdr:to>
      <xdr:col>4</xdr:col>
      <xdr:colOff>590550</xdr:colOff>
      <xdr:row>87</xdr:row>
      <xdr:rowOff>16210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16156" y="10826430"/>
          <a:ext cx="2084319" cy="1619905"/>
        </a:xfrm>
        <a:prstGeom prst="rect">
          <a:avLst/>
        </a:prstGeom>
      </xdr:spPr>
    </xdr:pic>
    <xdr:clientData/>
  </xdr:twoCellAnchor>
  <xdr:twoCellAnchor editAs="oneCell">
    <xdr:from>
      <xdr:col>2</xdr:col>
      <xdr:colOff>333375</xdr:colOff>
      <xdr:row>55</xdr:row>
      <xdr:rowOff>28575</xdr:rowOff>
    </xdr:from>
    <xdr:to>
      <xdr:col>5</xdr:col>
      <xdr:colOff>419568</xdr:colOff>
      <xdr:row>61</xdr:row>
      <xdr:rowOff>95379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14425" y="7886700"/>
          <a:ext cx="3353268" cy="9240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247650</xdr:colOff>
      <xdr:row>24</xdr:row>
      <xdr:rowOff>142874</xdr:rowOff>
    </xdr:from>
    <xdr:to>
      <xdr:col>8</xdr:col>
      <xdr:colOff>571500</xdr:colOff>
      <xdr:row>41</xdr:row>
      <xdr:rowOff>107244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81575" y="3571874"/>
          <a:ext cx="3343275" cy="23932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476251</xdr:colOff>
      <xdr:row>11</xdr:row>
      <xdr:rowOff>66676</xdr:rowOff>
    </xdr:from>
    <xdr:to>
      <xdr:col>5</xdr:col>
      <xdr:colOff>1527176</xdr:colOff>
      <xdr:row>30</xdr:row>
      <xdr:rowOff>95177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6026" y="1638301"/>
          <a:ext cx="3308350" cy="274312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466726</xdr:colOff>
      <xdr:row>65</xdr:row>
      <xdr:rowOff>57150</xdr:rowOff>
    </xdr:from>
    <xdr:to>
      <xdr:col>6</xdr:col>
      <xdr:colOff>533400</xdr:colOff>
      <xdr:row>77</xdr:row>
      <xdr:rowOff>82327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4476" y="9344025"/>
          <a:ext cx="1762124" cy="173967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571500</xdr:colOff>
      <xdr:row>30</xdr:row>
      <xdr:rowOff>0</xdr:rowOff>
    </xdr:from>
    <xdr:to>
      <xdr:col>16</xdr:col>
      <xdr:colOff>543406</xdr:colOff>
      <xdr:row>39</xdr:row>
      <xdr:rowOff>19236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62775" y="4286250"/>
          <a:ext cx="3448531" cy="1333686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56</xdr:row>
      <xdr:rowOff>104775</xdr:rowOff>
    </xdr:from>
    <xdr:to>
      <xdr:col>7</xdr:col>
      <xdr:colOff>533901</xdr:colOff>
      <xdr:row>67</xdr:row>
      <xdr:rowOff>9732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3875" y="8181975"/>
          <a:ext cx="3591426" cy="148610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saini/AppData/Local/Temp/Rar$DIa0.090/DUTY%20T2%20Import%20Melamine%2010th%20June%20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Sheet"/>
      <sheetName val="Chartsv"/>
      <sheetName val="Sheet2"/>
      <sheetName val="Sheet1"/>
      <sheetName val="Output"/>
      <sheetName val="excludesheet"/>
      <sheetName val="autovarouttest"/>
      <sheetName val="autovaroutput"/>
      <sheetName val="autovarinput"/>
      <sheetName val="ssss"/>
      <sheetName val="rawsheet"/>
      <sheetName val="Chartsq"/>
      <sheetName val="Chartsup"/>
      <sheetName val="Index"/>
      <sheetName val="Dashboard"/>
      <sheetName val="Dutydata top15"/>
      <sheetName val="Duty Distribution"/>
      <sheetName val="|Summary|"/>
      <sheetName val="|Comparison|"/>
      <sheetName val="|Price Analysis|"/>
      <sheetName val="|Importer Analysis|"/>
      <sheetName val="IMPORTER|EXPORTER|Relationship|"/>
      <sheetName val="MONTH|SUMMARY||"/>
      <sheetName val="EXPORTER|SUMMARY||"/>
      <sheetName val="EXPORTER|MONTH|AVG COST|"/>
      <sheetName val="EXPORTER|MONTH|VALUE|"/>
      <sheetName val="EXPORTER|QTR|VALUE|"/>
      <sheetName val="EXPORTER|MONTH|QTY|"/>
      <sheetName val="EXPORTER|QTR|QTY|"/>
      <sheetName val="IMPORTER|SUMMARY||"/>
      <sheetName val="IMPORTER|MONTH|AVG COST|"/>
      <sheetName val="IMPORTER|MONTH|VALUE|"/>
      <sheetName val="IMPORTER|QTR|VALUE|"/>
      <sheetName val="IMPORTER|MONTH|QTY|"/>
      <sheetName val="IMPORTER|QTR|QTY|"/>
      <sheetName val="HSCODE|SUMMARY||"/>
      <sheetName val="HSCODE|MONTH|AVG COST|"/>
      <sheetName val="HSCODE|MONTH|VALUE|"/>
      <sheetName val="HSCODE|QTR|VALUE|"/>
      <sheetName val="HSCODE|MONTH|QTY|"/>
      <sheetName val="HSCODE|QTR|QTY|"/>
      <sheetName val="DEST PORT|SUMMARY||"/>
      <sheetName val="DEST PORT|MONTH|AVG COST|"/>
      <sheetName val="DEST PORT|MONTH|VALUE|"/>
      <sheetName val="DEST PORT|QTR|VALUE|"/>
      <sheetName val="DEST PORT|MONTH|QTY|"/>
      <sheetName val="DEST PORT|QTR|QTY|"/>
      <sheetName val="ORIGIN PORT|SUMMARY||"/>
      <sheetName val="ORIGIN PORT|MONTH|AVG COST|"/>
      <sheetName val="ORIGIN PORT|MONTH|VALUE|"/>
      <sheetName val="ORIGIN PORT|QTR|VALUE|"/>
      <sheetName val="ORIGIN PORT|MONTH|QTY|"/>
      <sheetName val="ORIGIN PORT|QTR|QTY|"/>
      <sheetName val="DEST COUNTRY|SUMMARY||"/>
      <sheetName val="DEST COUNTRY|MONTH|AVG COST|"/>
      <sheetName val="DEST COUNTRY|MONTH|VALUE|"/>
      <sheetName val="DEST COUNTRY|QTR|VALUE|"/>
      <sheetName val="DEST COUNTRY|MONTH|QTY|"/>
      <sheetName val="DEST COUNTRY|QTR|QTY|"/>
      <sheetName val="ORIGIN COUNTRY|SUMMARY||"/>
      <sheetName val="ORIGIN COUNTRY|MONTH|AVG COST|"/>
      <sheetName val="ORIGIN COUNTRY|MONTH|VALUE|"/>
      <sheetName val="ORIGIN COUNTRY|QTR|VALUE|"/>
      <sheetName val="ORIGIN COUNTRY|MONTH|QTY|"/>
      <sheetName val="ORIGIN COUNTRY|QTR|QTY|"/>
    </sheetNames>
    <sheetDataSet>
      <sheetData sheetId="0"/>
      <sheetData sheetId="1" refreshError="1">
        <row r="2">
          <cell r="HB2" t="str">
            <v>1|Jan|16</v>
          </cell>
          <cell r="HC2">
            <v>1.34</v>
          </cell>
          <cell r="HD2">
            <v>140000</v>
          </cell>
          <cell r="HF2">
            <v>187449.92</v>
          </cell>
        </row>
        <row r="3">
          <cell r="HB3" t="str">
            <v>2|Jan|16</v>
          </cell>
          <cell r="HC3">
            <v>1.27</v>
          </cell>
          <cell r="HD3">
            <v>639000</v>
          </cell>
          <cell r="HF3">
            <v>809127.41</v>
          </cell>
        </row>
        <row r="4">
          <cell r="HB4" t="str">
            <v>9|Jan|16</v>
          </cell>
          <cell r="HC4">
            <v>1.38</v>
          </cell>
          <cell r="HD4">
            <v>421002</v>
          </cell>
          <cell r="HF4">
            <v>582411.34</v>
          </cell>
        </row>
        <row r="5">
          <cell r="HB5" t="str">
            <v>16|Jan|16</v>
          </cell>
          <cell r="HC5">
            <v>1.1200000000000001</v>
          </cell>
          <cell r="HD5">
            <v>682750</v>
          </cell>
          <cell r="HF5">
            <v>766266.92999999993</v>
          </cell>
        </row>
        <row r="6">
          <cell r="HB6" t="str">
            <v>23|Jan|16</v>
          </cell>
          <cell r="HC6">
            <v>1.31</v>
          </cell>
          <cell r="HD6">
            <v>733000</v>
          </cell>
          <cell r="HF6">
            <v>959538.14</v>
          </cell>
        </row>
        <row r="7">
          <cell r="HB7" t="str">
            <v>30|Jan|16</v>
          </cell>
          <cell r="HC7">
            <v>1.28</v>
          </cell>
          <cell r="HD7">
            <v>412000</v>
          </cell>
          <cell r="HF7">
            <v>527814.39999999991</v>
          </cell>
        </row>
        <row r="8">
          <cell r="HB8" t="str">
            <v>6|Feb|16</v>
          </cell>
          <cell r="HC8">
            <v>1.1100000000000001</v>
          </cell>
          <cell r="HD8">
            <v>492000</v>
          </cell>
          <cell r="HF8">
            <v>544873.47000000009</v>
          </cell>
        </row>
        <row r="9">
          <cell r="HB9" t="str">
            <v>13|Feb|16</v>
          </cell>
          <cell r="HC9">
            <v>1.18</v>
          </cell>
          <cell r="HD9">
            <v>1277282.2</v>
          </cell>
          <cell r="HF9">
            <v>1506300.78</v>
          </cell>
        </row>
        <row r="10">
          <cell r="HB10" t="str">
            <v>20|Feb|16</v>
          </cell>
          <cell r="HC10">
            <v>1.1599999999999999</v>
          </cell>
          <cell r="HD10">
            <v>845000</v>
          </cell>
          <cell r="HF10">
            <v>979451.26000000013</v>
          </cell>
        </row>
        <row r="11">
          <cell r="HB11" t="str">
            <v>27|Feb|16</v>
          </cell>
          <cell r="HC11">
            <v>1.1000000000000001</v>
          </cell>
          <cell r="HD11">
            <v>614625</v>
          </cell>
          <cell r="HF11">
            <v>678570.80999999994</v>
          </cell>
        </row>
        <row r="12">
          <cell r="HB12" t="str">
            <v>5|Mar|16</v>
          </cell>
          <cell r="HC12">
            <v>1.04</v>
          </cell>
          <cell r="HD12">
            <v>637025</v>
          </cell>
          <cell r="HF12">
            <v>664446.79</v>
          </cell>
        </row>
        <row r="13">
          <cell r="HB13" t="str">
            <v>12|Mar|16</v>
          </cell>
          <cell r="HC13">
            <v>1.1200000000000001</v>
          </cell>
          <cell r="HD13">
            <v>1193000</v>
          </cell>
          <cell r="HF13">
            <v>1334921.79</v>
          </cell>
        </row>
        <row r="14">
          <cell r="HB14" t="str">
            <v>19|Mar|16</v>
          </cell>
          <cell r="HC14">
            <v>0.97</v>
          </cell>
          <cell r="HD14">
            <v>615000</v>
          </cell>
          <cell r="HF14">
            <v>595602.57999999996</v>
          </cell>
        </row>
        <row r="15">
          <cell r="HB15" t="str">
            <v>26|Mar|16</v>
          </cell>
          <cell r="HC15">
            <v>1.03</v>
          </cell>
          <cell r="HD15">
            <v>738000</v>
          </cell>
          <cell r="HF15">
            <v>759143.80999999994</v>
          </cell>
        </row>
        <row r="16">
          <cell r="HB16" t="str">
            <v>2|Apr|16</v>
          </cell>
          <cell r="HC16">
            <v>0.99</v>
          </cell>
          <cell r="HD16">
            <v>905251</v>
          </cell>
          <cell r="HF16">
            <v>892975.70000000007</v>
          </cell>
        </row>
        <row r="17">
          <cell r="HB17" t="str">
            <v>9|Apr|16</v>
          </cell>
          <cell r="HC17">
            <v>1.05</v>
          </cell>
          <cell r="HD17">
            <v>882256</v>
          </cell>
          <cell r="HF17">
            <v>923757.29</v>
          </cell>
        </row>
        <row r="18">
          <cell r="HB18" t="str">
            <v>16|Apr|16</v>
          </cell>
          <cell r="HC18">
            <v>1.1399999999999999</v>
          </cell>
          <cell r="HD18">
            <v>527725</v>
          </cell>
          <cell r="HF18">
            <v>600134.37000000011</v>
          </cell>
        </row>
        <row r="19">
          <cell r="HB19" t="str">
            <v>23|Apr|16</v>
          </cell>
          <cell r="HC19">
            <v>1.1499999999999999</v>
          </cell>
          <cell r="HD19">
            <v>1099922.5999999999</v>
          </cell>
          <cell r="HF19">
            <v>1261942.5200000003</v>
          </cell>
        </row>
        <row r="20">
          <cell r="HB20" t="str">
            <v>30|Apr|16</v>
          </cell>
          <cell r="HC20">
            <v>1.07</v>
          </cell>
          <cell r="HD20">
            <v>612152.0005024001</v>
          </cell>
          <cell r="HF20">
            <v>655864.6399999999</v>
          </cell>
        </row>
        <row r="21">
          <cell r="HB21" t="str">
            <v>7|May|16</v>
          </cell>
          <cell r="HC21">
            <v>1.03</v>
          </cell>
          <cell r="HD21">
            <v>256000.00099999999</v>
          </cell>
          <cell r="HF21">
            <v>263843.15000000002</v>
          </cell>
        </row>
        <row r="22">
          <cell r="HB22" t="str">
            <v>14|May|16</v>
          </cell>
          <cell r="HC22">
            <v>1.17</v>
          </cell>
          <cell r="HD22">
            <v>929500.00075000001</v>
          </cell>
          <cell r="HF22">
            <v>1088763.4500000002</v>
          </cell>
        </row>
        <row r="23">
          <cell r="HB23" t="str">
            <v>21|May|16</v>
          </cell>
          <cell r="HC23">
            <v>0.98</v>
          </cell>
          <cell r="HD23">
            <v>987919.4</v>
          </cell>
          <cell r="HF23">
            <v>970205.03</v>
          </cell>
        </row>
        <row r="24">
          <cell r="HB24" t="str">
            <v>31|May|16</v>
          </cell>
          <cell r="HC24">
            <v>1.1299999999999999</v>
          </cell>
          <cell r="HD24">
            <v>268000</v>
          </cell>
          <cell r="HF24">
            <v>303935.42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theme/theme1.xml><?xml version="1.0" encoding="utf-8"?>
<a:theme xmlns:a="http://schemas.openxmlformats.org/drawingml/2006/main" name="SP_NEW_2022">
  <a:themeElements>
    <a:clrScheme name="SP_2024">
      <a:dk1>
        <a:srgbClr val="000000"/>
      </a:dk1>
      <a:lt1>
        <a:sysClr val="window" lastClr="FFFFFF"/>
      </a:lt1>
      <a:dk2>
        <a:srgbClr val="C7E0F9"/>
      </a:dk2>
      <a:lt2>
        <a:srgbClr val="504898"/>
      </a:lt2>
      <a:accent1>
        <a:srgbClr val="02CAD4"/>
      </a:accent1>
      <a:accent2>
        <a:srgbClr val="2386E9"/>
      </a:accent2>
      <a:accent3>
        <a:srgbClr val="9AF7FF"/>
      </a:accent3>
      <a:accent4>
        <a:srgbClr val="8E93FE"/>
      </a:accent4>
      <a:accent5>
        <a:srgbClr val="235079"/>
      </a:accent5>
      <a:accent6>
        <a:srgbClr val="1084A9"/>
      </a:accent6>
      <a:hlink>
        <a:srgbClr val="2386E9"/>
      </a:hlink>
      <a:folHlink>
        <a:srgbClr val="1264B6"/>
      </a:folHlink>
    </a:clrScheme>
    <a:fontScheme name="SPG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P_NEW_2022" id="{8C8C5FAD-9B1A-447C-9440-AEA693283D9F}" vid="{D6ADA74F-404A-4FF3-BF44-7D84F70A833F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tabColor theme="2" tint="0.79998168889431442"/>
  </sheetPr>
  <dimension ref="A2:C22"/>
  <sheetViews>
    <sheetView showGridLines="0" tabSelected="1" zoomScaleNormal="100" workbookViewId="0">
      <selection activeCell="B36" sqref="B36"/>
    </sheetView>
  </sheetViews>
  <sheetFormatPr defaultColWidth="0" defaultRowHeight="14.25" x14ac:dyDescent="0.2"/>
  <cols>
    <col min="1" max="1" width="7.375" style="8" customWidth="1"/>
    <col min="2" max="2" width="54.625" style="8" customWidth="1"/>
    <col min="3" max="3" width="11" style="8" customWidth="1"/>
    <col min="4" max="16384" width="11" style="8" hidden="1"/>
  </cols>
  <sheetData>
    <row r="2" spans="2:2" x14ac:dyDescent="0.2">
      <c r="B2" s="7"/>
    </row>
    <row r="3" spans="2:2" x14ac:dyDescent="0.2">
      <c r="B3" s="7" t="s">
        <v>11</v>
      </c>
    </row>
    <row r="4" spans="2:2" x14ac:dyDescent="0.2">
      <c r="B4" s="7"/>
    </row>
    <row r="6" spans="2:2" x14ac:dyDescent="0.2">
      <c r="B6" s="7" t="s">
        <v>12</v>
      </c>
    </row>
    <row r="7" spans="2:2" x14ac:dyDescent="0.2">
      <c r="B7" s="115" t="s">
        <v>13</v>
      </c>
    </row>
    <row r="8" spans="2:2" x14ac:dyDescent="0.2">
      <c r="B8" s="10" t="str">
        <f>'Настройки Excel'!$A$1</f>
        <v>Настройки Excel</v>
      </c>
    </row>
    <row r="9" spans="2:2" x14ac:dyDescent="0.2">
      <c r="B9" s="10" t="str">
        <f>HotKeys!$A$1</f>
        <v>HotKeys</v>
      </c>
    </row>
    <row r="10" spans="2:2" x14ac:dyDescent="0.2">
      <c r="B10" s="10" t="str">
        <f>'Плохие примеры'!$A$1</f>
        <v>Плохие примеры оформления</v>
      </c>
    </row>
    <row r="11" spans="2:2" x14ac:dyDescent="0.2">
      <c r="B11" s="10" t="str">
        <f>'Форматы ячеек'!A1</f>
        <v>Форматы ячеек</v>
      </c>
    </row>
    <row r="12" spans="2:2" x14ac:dyDescent="0.2">
      <c r="B12" s="10" t="str">
        <f>'Структура и оформление'!$A$1</f>
        <v>Структура и оформление</v>
      </c>
    </row>
    <row r="13" spans="2:2" x14ac:dyDescent="0.2">
      <c r="B13" s="9"/>
    </row>
    <row r="14" spans="2:2" x14ac:dyDescent="0.2">
      <c r="B14" s="115" t="s">
        <v>14</v>
      </c>
    </row>
    <row r="15" spans="2:2" x14ac:dyDescent="0.2">
      <c r="B15" s="10" t="str">
        <f>'Текст по столбцам'!$A$1</f>
        <v>Текст по столбцам</v>
      </c>
    </row>
    <row r="16" spans="2:2" x14ac:dyDescent="0.2">
      <c r="B16" s="10" t="str">
        <f>'Анализ деклараций'!$A$1</f>
        <v>Анализ таможенных деклараций</v>
      </c>
    </row>
    <row r="17" spans="2:2" x14ac:dyDescent="0.2">
      <c r="B17" s="10" t="str">
        <f>'Анализ чувствительности'!$A$1</f>
        <v>Анализ чувствительности</v>
      </c>
    </row>
    <row r="18" spans="2:2" x14ac:dyDescent="0.2">
      <c r="B18" s="10" t="str">
        <f>'Консолидация данных'!$A$1</f>
        <v>Консолидация данных</v>
      </c>
    </row>
    <row r="20" spans="2:2" x14ac:dyDescent="0.2">
      <c r="B20" s="115" t="s">
        <v>15</v>
      </c>
    </row>
    <row r="21" spans="2:2" x14ac:dyDescent="0.2">
      <c r="B21" s="10" t="str">
        <f>Архитектура!A1</f>
        <v>Архитектура</v>
      </c>
    </row>
    <row r="22" spans="2:2" x14ac:dyDescent="0.2">
      <c r="B22" s="10" t="str">
        <f>Дубликаты!A1</f>
        <v>Дубликаты и ссылки на другие листы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theme="9" tint="0.39997558519241921"/>
  </sheetPr>
  <dimension ref="A1"/>
  <sheetViews>
    <sheetView showGridLines="0" workbookViewId="0">
      <selection activeCell="C15" sqref="C15"/>
    </sheetView>
  </sheetViews>
  <sheetFormatPr defaultColWidth="9" defaultRowHeight="11.25" x14ac:dyDescent="0.15"/>
  <cols>
    <col min="1" max="16384" width="9" style="10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tabColor theme="9" tint="0.79998168889431442"/>
  </sheetPr>
  <dimension ref="A1:Y88"/>
  <sheetViews>
    <sheetView showGridLines="0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1" defaultRowHeight="11.25" x14ac:dyDescent="0.15"/>
  <cols>
    <col min="1" max="2" width="5.125" style="12" customWidth="1"/>
    <col min="3" max="3" width="20.875" style="12" customWidth="1"/>
    <col min="4" max="4" width="11" style="12" customWidth="1"/>
    <col min="5" max="16384" width="11" style="12"/>
  </cols>
  <sheetData>
    <row r="1" spans="1:25" x14ac:dyDescent="0.15">
      <c r="A1" s="225" t="s">
        <v>16</v>
      </c>
    </row>
    <row r="2" spans="1:25" x14ac:dyDescent="0.15">
      <c r="A2" s="11"/>
    </row>
    <row r="3" spans="1:25" x14ac:dyDescent="0.15">
      <c r="B3" s="1" t="s">
        <v>17</v>
      </c>
      <c r="C3" s="1"/>
      <c r="D3" s="1"/>
      <c r="E3" s="1"/>
      <c r="F3" s="1"/>
      <c r="G3" s="1"/>
      <c r="H3" s="1"/>
      <c r="I3" s="1"/>
      <c r="J3" s="1"/>
      <c r="K3" s="1"/>
    </row>
    <row r="5" spans="1:25" x14ac:dyDescent="0.15">
      <c r="C5" s="15" t="s">
        <v>18</v>
      </c>
      <c r="D5" s="16"/>
      <c r="E5" s="16"/>
      <c r="F5" s="16"/>
      <c r="G5" s="16"/>
      <c r="H5" s="16"/>
      <c r="I5" s="16"/>
      <c r="J5" s="16"/>
      <c r="K5" s="16"/>
    </row>
    <row r="6" spans="1:25" x14ac:dyDescent="0.15">
      <c r="C6" s="16"/>
      <c r="D6" s="16"/>
      <c r="E6" s="16"/>
      <c r="F6" s="16"/>
      <c r="G6" s="16"/>
      <c r="H6" s="16"/>
      <c r="I6" s="16"/>
      <c r="J6" s="16"/>
      <c r="K6" s="16"/>
    </row>
    <row r="7" spans="1:25" x14ac:dyDescent="0.15">
      <c r="C7" s="16" t="s">
        <v>19</v>
      </c>
      <c r="D7" s="16"/>
      <c r="E7" s="16"/>
      <c r="F7" s="16"/>
      <c r="G7" s="16"/>
      <c r="H7" s="16"/>
      <c r="I7" s="16"/>
      <c r="J7" s="16"/>
      <c r="K7" s="16"/>
    </row>
    <row r="8" spans="1:25" x14ac:dyDescent="0.15">
      <c r="C8" s="16" t="s">
        <v>20</v>
      </c>
      <c r="D8" s="16"/>
      <c r="E8" s="16"/>
      <c r="F8" s="16"/>
      <c r="G8" s="16"/>
      <c r="H8" s="16"/>
      <c r="I8" s="16"/>
      <c r="J8" s="16"/>
      <c r="K8" s="16"/>
    </row>
    <row r="9" spans="1:25" x14ac:dyDescent="0.15">
      <c r="C9" s="16"/>
      <c r="D9" s="16"/>
      <c r="E9" s="16"/>
      <c r="F9" s="16"/>
      <c r="G9" s="16"/>
      <c r="H9" s="16"/>
      <c r="I9" s="16"/>
      <c r="J9" s="16"/>
      <c r="K9" s="16"/>
    </row>
    <row r="10" spans="1:25" x14ac:dyDescent="0.15">
      <c r="C10" s="17"/>
      <c r="D10" s="17"/>
      <c r="E10" s="17"/>
      <c r="F10" s="17"/>
      <c r="G10" s="17"/>
      <c r="H10" s="17"/>
      <c r="I10" s="17"/>
      <c r="Y10" s="18" t="s">
        <v>21</v>
      </c>
    </row>
    <row r="11" spans="1:25" x14ac:dyDescent="0.15">
      <c r="C11" s="17"/>
      <c r="D11" s="17"/>
      <c r="E11" s="17"/>
      <c r="F11" s="17"/>
      <c r="G11" s="17"/>
      <c r="H11" s="17"/>
      <c r="I11" s="17"/>
    </row>
    <row r="12" spans="1:25" x14ac:dyDescent="0.15">
      <c r="C12" s="17"/>
      <c r="D12" s="17"/>
      <c r="E12" s="17"/>
      <c r="F12" s="17"/>
      <c r="G12" s="17"/>
      <c r="H12" s="17"/>
      <c r="I12" s="17"/>
    </row>
    <row r="13" spans="1:25" x14ac:dyDescent="0.15">
      <c r="C13" s="17"/>
      <c r="D13" s="17"/>
      <c r="E13" s="17"/>
      <c r="F13" s="17"/>
      <c r="G13" s="17"/>
      <c r="H13" s="17"/>
      <c r="I13" s="17"/>
    </row>
    <row r="14" spans="1:25" x14ac:dyDescent="0.15">
      <c r="C14" s="17"/>
      <c r="D14" s="17"/>
      <c r="E14" s="17"/>
      <c r="F14" s="17"/>
      <c r="G14" s="17"/>
      <c r="H14" s="17"/>
      <c r="I14" s="17"/>
    </row>
    <row r="15" spans="1:25" x14ac:dyDescent="0.15">
      <c r="C15" s="17"/>
      <c r="D15" s="17"/>
      <c r="E15" s="17"/>
      <c r="F15" s="17"/>
      <c r="G15" s="17"/>
      <c r="H15" s="17"/>
      <c r="I15" s="17"/>
    </row>
    <row r="16" spans="1:25" x14ac:dyDescent="0.15">
      <c r="C16" s="17"/>
      <c r="D16" s="17"/>
      <c r="E16" s="17"/>
      <c r="F16" s="17"/>
      <c r="G16" s="17"/>
      <c r="H16" s="17"/>
      <c r="I16" s="17"/>
    </row>
    <row r="17" spans="2:11" x14ac:dyDescent="0.15">
      <c r="C17" s="17"/>
      <c r="D17" s="17"/>
      <c r="E17" s="17"/>
      <c r="F17" s="17"/>
      <c r="G17" s="17"/>
      <c r="H17" s="17"/>
      <c r="I17" s="17"/>
    </row>
    <row r="18" spans="2:11" x14ac:dyDescent="0.15">
      <c r="C18" s="17"/>
      <c r="D18" s="17"/>
      <c r="E18" s="17"/>
      <c r="F18" s="17"/>
      <c r="G18" s="17"/>
      <c r="H18" s="17"/>
      <c r="I18" s="17"/>
    </row>
    <row r="19" spans="2:11" x14ac:dyDescent="0.15">
      <c r="C19" s="17"/>
      <c r="D19" s="17"/>
      <c r="E19" s="17"/>
      <c r="F19" s="17"/>
      <c r="G19" s="17"/>
      <c r="H19" s="17"/>
      <c r="I19" s="17"/>
    </row>
    <row r="20" spans="2:11" x14ac:dyDescent="0.15">
      <c r="C20" s="17"/>
      <c r="D20" s="17"/>
      <c r="E20" s="17"/>
      <c r="F20" s="17"/>
      <c r="G20" s="17"/>
      <c r="H20" s="17"/>
      <c r="I20" s="17"/>
    </row>
    <row r="21" spans="2:11" x14ac:dyDescent="0.15">
      <c r="C21" s="17"/>
      <c r="D21" s="17"/>
      <c r="E21" s="17"/>
      <c r="F21" s="17"/>
      <c r="G21" s="17"/>
      <c r="H21" s="17"/>
      <c r="I21" s="17"/>
    </row>
    <row r="22" spans="2:11" x14ac:dyDescent="0.15">
      <c r="C22" s="17"/>
      <c r="D22" s="17"/>
      <c r="E22" s="17"/>
      <c r="F22" s="17"/>
      <c r="G22" s="17"/>
      <c r="H22" s="17"/>
      <c r="I22" s="17"/>
    </row>
    <row r="23" spans="2:11" x14ac:dyDescent="0.15">
      <c r="C23" s="17"/>
      <c r="D23" s="17"/>
      <c r="E23" s="17"/>
      <c r="F23" s="17"/>
      <c r="G23" s="17"/>
      <c r="H23" s="17"/>
      <c r="I23" s="17"/>
    </row>
    <row r="24" spans="2:11" x14ac:dyDescent="0.15">
      <c r="C24" s="17"/>
      <c r="D24" s="17"/>
      <c r="E24" s="17"/>
      <c r="F24" s="17"/>
      <c r="G24" s="17"/>
      <c r="H24" s="17"/>
      <c r="I24" s="17"/>
    </row>
    <row r="25" spans="2:11" x14ac:dyDescent="0.15">
      <c r="C25" s="17"/>
      <c r="D25" s="17"/>
      <c r="E25" s="17"/>
      <c r="F25" s="17"/>
      <c r="G25" s="17"/>
      <c r="H25" s="17"/>
      <c r="I25" s="17"/>
    </row>
    <row r="27" spans="2:11" x14ac:dyDescent="0.15">
      <c r="C27" s="19" t="s">
        <v>22</v>
      </c>
      <c r="D27" s="20" t="str">
        <f>Y10</f>
        <v>Нажать 2 раза</v>
      </c>
    </row>
    <row r="30" spans="2:11" x14ac:dyDescent="0.15">
      <c r="B30" s="1" t="s">
        <v>23</v>
      </c>
      <c r="C30" s="1"/>
      <c r="D30" s="1"/>
      <c r="E30" s="1"/>
      <c r="F30" s="1"/>
      <c r="G30" s="1"/>
      <c r="H30" s="1"/>
      <c r="I30" s="1"/>
      <c r="J30" s="1"/>
      <c r="K30" s="1"/>
    </row>
    <row r="31" spans="2:11" x14ac:dyDescent="0.15">
      <c r="B31" s="21"/>
    </row>
    <row r="32" spans="2:11" x14ac:dyDescent="0.15">
      <c r="C32" s="22" t="s">
        <v>24</v>
      </c>
    </row>
    <row r="33" spans="3:11" x14ac:dyDescent="0.15">
      <c r="C33" s="17"/>
      <c r="D33" s="17"/>
      <c r="E33" s="17"/>
      <c r="F33" s="17"/>
      <c r="G33" s="17"/>
      <c r="H33" s="17"/>
      <c r="I33" s="17"/>
      <c r="J33" s="17"/>
      <c r="K33" s="17"/>
    </row>
    <row r="34" spans="3:11" x14ac:dyDescent="0.15">
      <c r="C34" s="17"/>
      <c r="D34" s="17"/>
      <c r="E34" s="17"/>
      <c r="F34" s="17"/>
      <c r="G34" s="17"/>
      <c r="H34" s="17"/>
      <c r="I34" s="17"/>
      <c r="J34" s="17"/>
      <c r="K34" s="17"/>
    </row>
    <row r="35" spans="3:11" x14ac:dyDescent="0.15">
      <c r="C35" s="17"/>
      <c r="D35" s="17"/>
      <c r="E35" s="17"/>
      <c r="F35" s="17"/>
      <c r="G35" s="17"/>
      <c r="H35" s="17"/>
      <c r="I35" s="17"/>
      <c r="J35" s="17"/>
      <c r="K35" s="17"/>
    </row>
    <row r="36" spans="3:11" x14ac:dyDescent="0.15">
      <c r="C36" s="17"/>
      <c r="D36" s="17"/>
      <c r="E36" s="17"/>
      <c r="F36" s="17"/>
      <c r="G36" s="17"/>
      <c r="H36" s="17"/>
      <c r="I36" s="17"/>
      <c r="J36" s="17"/>
      <c r="K36" s="17"/>
    </row>
    <row r="37" spans="3:11" x14ac:dyDescent="0.15">
      <c r="C37" s="17"/>
      <c r="D37" s="17"/>
      <c r="E37" s="17"/>
      <c r="F37" s="17"/>
      <c r="G37" s="17"/>
      <c r="H37" s="17"/>
      <c r="I37" s="17"/>
      <c r="J37" s="17"/>
      <c r="K37" s="17"/>
    </row>
    <row r="38" spans="3:11" x14ac:dyDescent="0.15">
      <c r="C38" s="17"/>
      <c r="D38" s="17"/>
      <c r="E38" s="17"/>
      <c r="F38" s="17"/>
      <c r="G38" s="17"/>
      <c r="H38" s="17"/>
      <c r="I38" s="17"/>
      <c r="J38" s="17"/>
      <c r="K38" s="17"/>
    </row>
    <row r="39" spans="3:11" x14ac:dyDescent="0.15">
      <c r="C39" s="17"/>
      <c r="D39" s="17"/>
      <c r="E39" s="17"/>
      <c r="F39" s="17"/>
      <c r="G39" s="17"/>
      <c r="H39" s="17"/>
      <c r="I39" s="17"/>
      <c r="J39" s="17"/>
      <c r="K39" s="17"/>
    </row>
    <row r="40" spans="3:11" x14ac:dyDescent="0.15">
      <c r="C40" s="17"/>
      <c r="D40" s="17"/>
      <c r="E40" s="17"/>
      <c r="F40" s="17"/>
      <c r="G40" s="17"/>
      <c r="H40" s="17"/>
      <c r="I40" s="17"/>
      <c r="J40" s="17"/>
      <c r="K40" s="17"/>
    </row>
    <row r="41" spans="3:11" x14ac:dyDescent="0.15">
      <c r="C41" s="17"/>
      <c r="D41" s="17"/>
      <c r="E41" s="17"/>
      <c r="F41" s="17"/>
      <c r="G41" s="17"/>
      <c r="H41" s="17"/>
      <c r="I41" s="17"/>
      <c r="J41" s="17"/>
      <c r="K41" s="17"/>
    </row>
    <row r="42" spans="3:11" x14ac:dyDescent="0.15">
      <c r="C42" s="17"/>
      <c r="D42" s="17"/>
      <c r="E42" s="17"/>
      <c r="F42" s="17"/>
      <c r="G42" s="17"/>
      <c r="H42" s="17"/>
      <c r="I42" s="17"/>
      <c r="J42" s="17"/>
      <c r="K42" s="17"/>
    </row>
    <row r="44" spans="3:11" x14ac:dyDescent="0.15">
      <c r="C44" s="12" t="s">
        <v>25</v>
      </c>
    </row>
    <row r="46" spans="3:11" x14ac:dyDescent="0.15">
      <c r="C46" s="23" t="s">
        <v>22</v>
      </c>
      <c r="D46" s="20">
        <f>F46*G46-H46</f>
        <v>59</v>
      </c>
      <c r="F46" s="12">
        <v>12</v>
      </c>
      <c r="G46" s="12">
        <v>5</v>
      </c>
      <c r="H46" s="12">
        <v>1</v>
      </c>
    </row>
    <row r="48" spans="3:11" x14ac:dyDescent="0.15">
      <c r="C48" s="12" t="s">
        <v>26</v>
      </c>
    </row>
    <row r="50" spans="3:10" x14ac:dyDescent="0.15">
      <c r="C50" s="23" t="s">
        <v>22</v>
      </c>
      <c r="D50" s="20">
        <v>14</v>
      </c>
      <c r="F50" s="12">
        <f>D50*2-1</f>
        <v>27</v>
      </c>
      <c r="G50" s="12">
        <f>F50*7-D46</f>
        <v>130</v>
      </c>
      <c r="H50" s="12">
        <f>D50-7</f>
        <v>7</v>
      </c>
    </row>
    <row r="52" spans="3:10" x14ac:dyDescent="0.15">
      <c r="C52" s="12" t="s">
        <v>27</v>
      </c>
    </row>
    <row r="54" spans="3:10" x14ac:dyDescent="0.15">
      <c r="C54" s="24" t="s">
        <v>28</v>
      </c>
      <c r="D54" s="24"/>
      <c r="E54" s="24"/>
      <c r="F54" s="24"/>
      <c r="G54" s="24"/>
      <c r="H54" s="24"/>
      <c r="I54" s="24"/>
      <c r="J54" s="24"/>
    </row>
    <row r="56" spans="3:10" x14ac:dyDescent="0.15">
      <c r="C56" s="17"/>
      <c r="D56" s="17"/>
      <c r="E56" s="17"/>
      <c r="F56" s="17"/>
    </row>
    <row r="57" spans="3:10" x14ac:dyDescent="0.15">
      <c r="C57" s="17"/>
      <c r="D57" s="17"/>
      <c r="E57" s="17"/>
      <c r="F57" s="17"/>
    </row>
    <row r="58" spans="3:10" x14ac:dyDescent="0.15">
      <c r="C58" s="17"/>
      <c r="D58" s="17"/>
      <c r="E58" s="17"/>
      <c r="F58" s="17"/>
    </row>
    <row r="59" spans="3:10" x14ac:dyDescent="0.15">
      <c r="C59" s="17"/>
      <c r="D59" s="17"/>
      <c r="E59" s="17"/>
      <c r="F59" s="17"/>
    </row>
    <row r="60" spans="3:10" x14ac:dyDescent="0.15">
      <c r="C60" s="17"/>
      <c r="D60" s="17"/>
      <c r="E60" s="17"/>
      <c r="F60" s="17"/>
    </row>
    <row r="61" spans="3:10" x14ac:dyDescent="0.15">
      <c r="C61" s="17"/>
      <c r="D61" s="17"/>
      <c r="E61" s="17"/>
      <c r="F61" s="17"/>
    </row>
    <row r="62" spans="3:10" x14ac:dyDescent="0.15">
      <c r="C62" s="17"/>
      <c r="D62" s="17"/>
      <c r="E62" s="17"/>
      <c r="F62" s="17"/>
    </row>
    <row r="63" spans="3:10" x14ac:dyDescent="0.15">
      <c r="C63" s="17"/>
      <c r="D63" s="17"/>
      <c r="E63" s="17"/>
      <c r="F63" s="17"/>
    </row>
    <row r="65" spans="3:10" x14ac:dyDescent="0.15">
      <c r="C65" s="24" t="s">
        <v>29</v>
      </c>
      <c r="D65" s="24"/>
      <c r="E65" s="24"/>
      <c r="F65" s="24"/>
      <c r="G65" s="24"/>
      <c r="H65" s="24"/>
      <c r="I65" s="24"/>
      <c r="J65" s="24"/>
    </row>
    <row r="67" spans="3:10" x14ac:dyDescent="0.15">
      <c r="C67" s="17"/>
      <c r="D67" s="17"/>
      <c r="E67" s="17"/>
      <c r="F67" s="17"/>
      <c r="G67" s="17"/>
      <c r="H67" s="17"/>
      <c r="J67" s="23" t="s">
        <v>22</v>
      </c>
    </row>
    <row r="68" spans="3:10" x14ac:dyDescent="0.15">
      <c r="C68" s="17"/>
      <c r="D68" s="17"/>
      <c r="E68" s="17"/>
      <c r="F68" s="17"/>
      <c r="G68" s="17"/>
      <c r="H68" s="17"/>
      <c r="J68" s="20">
        <f>F46*G46-H46</f>
        <v>59</v>
      </c>
    </row>
    <row r="69" spans="3:10" x14ac:dyDescent="0.15">
      <c r="C69" s="17"/>
      <c r="D69" s="17"/>
      <c r="E69" s="17"/>
      <c r="F69" s="17"/>
      <c r="G69" s="17"/>
      <c r="H69" s="17"/>
    </row>
    <row r="70" spans="3:10" x14ac:dyDescent="0.15">
      <c r="C70" s="17"/>
      <c r="D70" s="17"/>
      <c r="E70" s="17"/>
      <c r="F70" s="17"/>
      <c r="G70" s="17"/>
      <c r="H70" s="17"/>
    </row>
    <row r="71" spans="3:10" x14ac:dyDescent="0.15">
      <c r="C71" s="17"/>
      <c r="D71" s="17"/>
      <c r="E71" s="17"/>
      <c r="F71" s="17"/>
      <c r="G71" s="17"/>
      <c r="H71" s="17"/>
    </row>
    <row r="72" spans="3:10" x14ac:dyDescent="0.15">
      <c r="C72" s="17"/>
      <c r="D72" s="17"/>
      <c r="E72" s="17"/>
      <c r="F72" s="17"/>
      <c r="G72" s="17"/>
      <c r="H72" s="17"/>
    </row>
    <row r="74" spans="3:10" x14ac:dyDescent="0.15">
      <c r="C74" s="24" t="s">
        <v>30</v>
      </c>
      <c r="D74" s="24"/>
      <c r="E74" s="24"/>
      <c r="F74" s="24"/>
      <c r="G74" s="24"/>
      <c r="H74" s="24"/>
      <c r="I74" s="24"/>
      <c r="J74" s="24"/>
    </row>
    <row r="76" spans="3:10" x14ac:dyDescent="0.15">
      <c r="C76" s="17"/>
      <c r="D76" s="17"/>
      <c r="E76" s="17"/>
      <c r="F76" s="17"/>
    </row>
    <row r="77" spans="3:10" x14ac:dyDescent="0.15">
      <c r="C77" s="17"/>
      <c r="D77" s="17"/>
      <c r="E77" s="17"/>
      <c r="F77" s="17"/>
    </row>
    <row r="78" spans="3:10" x14ac:dyDescent="0.15">
      <c r="C78" s="17"/>
      <c r="D78" s="17"/>
      <c r="E78" s="17"/>
      <c r="F78" s="17"/>
    </row>
    <row r="79" spans="3:10" x14ac:dyDescent="0.15">
      <c r="C79" s="17"/>
      <c r="D79" s="17"/>
      <c r="E79" s="17"/>
      <c r="F79" s="17"/>
      <c r="J79" s="23" t="s">
        <v>22</v>
      </c>
    </row>
    <row r="80" spans="3:10" x14ac:dyDescent="0.15">
      <c r="C80" s="17"/>
      <c r="D80" s="17"/>
      <c r="E80" s="17"/>
      <c r="F80" s="17"/>
      <c r="J80" s="25" t="str">
        <f>Содержание!B9</f>
        <v>HotKeys</v>
      </c>
    </row>
    <row r="81" spans="3:6" x14ac:dyDescent="0.15">
      <c r="C81" s="17"/>
      <c r="D81" s="17"/>
      <c r="E81" s="17"/>
      <c r="F81" s="17"/>
    </row>
    <row r="82" spans="3:6" x14ac:dyDescent="0.15">
      <c r="C82" s="17"/>
      <c r="D82" s="17"/>
      <c r="E82" s="17"/>
      <c r="F82" s="17"/>
    </row>
    <row r="83" spans="3:6" x14ac:dyDescent="0.15">
      <c r="C83" s="17"/>
      <c r="D83" s="17"/>
      <c r="E83" s="17"/>
      <c r="F83" s="17"/>
    </row>
    <row r="84" spans="3:6" x14ac:dyDescent="0.15">
      <c r="C84" s="17"/>
      <c r="D84" s="17"/>
      <c r="E84" s="17"/>
      <c r="F84" s="17"/>
    </row>
    <row r="85" spans="3:6" x14ac:dyDescent="0.15">
      <c r="C85" s="17"/>
      <c r="D85" s="17"/>
      <c r="E85" s="17"/>
      <c r="F85" s="17"/>
    </row>
    <row r="86" spans="3:6" x14ac:dyDescent="0.15">
      <c r="C86" s="17"/>
      <c r="D86" s="17"/>
      <c r="E86" s="17"/>
      <c r="F86" s="17"/>
    </row>
    <row r="87" spans="3:6" x14ac:dyDescent="0.15">
      <c r="C87" s="17"/>
      <c r="D87" s="17"/>
      <c r="E87" s="17"/>
      <c r="F87" s="17"/>
    </row>
    <row r="88" spans="3:6" x14ac:dyDescent="0.15">
      <c r="C88" s="17"/>
      <c r="D88" s="17"/>
      <c r="E88" s="17"/>
      <c r="F88" s="17"/>
    </row>
  </sheetData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tabColor theme="9" tint="0.79998168889431442"/>
  </sheetPr>
  <dimension ref="A1:O56"/>
  <sheetViews>
    <sheetView showGridLines="0" zoomScaleNormal="100" workbookViewId="0">
      <pane xSplit="2" ySplit="2" topLeftCell="C21" activePane="bottomRight" state="frozen"/>
      <selection activeCell="C15" sqref="C15"/>
      <selection pane="topRight" activeCell="C15" sqref="C15"/>
      <selection pane="bottomLeft" activeCell="C15" sqref="C15"/>
      <selection pane="bottomRight" activeCell="C52" sqref="C52"/>
    </sheetView>
  </sheetViews>
  <sheetFormatPr defaultColWidth="11" defaultRowHeight="11.25" x14ac:dyDescent="0.15"/>
  <cols>
    <col min="1" max="1" width="5.875" style="12" customWidth="1"/>
    <col min="2" max="2" width="38.5" style="12" customWidth="1"/>
    <col min="3" max="3" width="55.375" style="12" customWidth="1"/>
    <col min="4" max="16384" width="11" style="12"/>
  </cols>
  <sheetData>
    <row r="1" spans="1:15" x14ac:dyDescent="0.15">
      <c r="A1" s="225" t="s">
        <v>31</v>
      </c>
    </row>
    <row r="2" spans="1:15" x14ac:dyDescent="0.15">
      <c r="A2" s="11"/>
      <c r="B2" s="22" t="s">
        <v>31</v>
      </c>
      <c r="C2" s="22" t="s">
        <v>32</v>
      </c>
    </row>
    <row r="3" spans="1:15" x14ac:dyDescent="0.15">
      <c r="B3" s="1" t="s">
        <v>33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15">
      <c r="B4" s="234" t="s">
        <v>34</v>
      </c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</row>
    <row r="6" spans="1:15" x14ac:dyDescent="0.15">
      <c r="B6" s="17" t="s">
        <v>35</v>
      </c>
      <c r="C6" s="12" t="s">
        <v>36</v>
      </c>
      <c r="E6" s="26" t="s">
        <v>37</v>
      </c>
      <c r="F6" s="27">
        <v>2018</v>
      </c>
      <c r="G6" s="27">
        <f>F6+1</f>
        <v>2019</v>
      </c>
      <c r="H6" s="27">
        <f>G6+1</f>
        <v>2020</v>
      </c>
      <c r="I6" s="27">
        <f t="shared" ref="I6:L6" si="0">H6+1</f>
        <v>2021</v>
      </c>
      <c r="J6" s="27">
        <f t="shared" si="0"/>
        <v>2022</v>
      </c>
      <c r="K6" s="27">
        <f t="shared" si="0"/>
        <v>2023</v>
      </c>
      <c r="L6" s="27">
        <f t="shared" si="0"/>
        <v>2024</v>
      </c>
      <c r="M6" s="28"/>
      <c r="O6" s="27">
        <v>2030</v>
      </c>
    </row>
    <row r="7" spans="1:15" x14ac:dyDescent="0.15">
      <c r="B7" s="17" t="s">
        <v>38</v>
      </c>
      <c r="C7" s="12" t="s">
        <v>39</v>
      </c>
      <c r="E7" s="29" t="s">
        <v>40</v>
      </c>
      <c r="F7" s="38">
        <v>1</v>
      </c>
      <c r="G7" s="38">
        <f t="shared" ref="G7:L7" si="1">F7*2</f>
        <v>2</v>
      </c>
      <c r="H7" s="38">
        <f t="shared" si="1"/>
        <v>4</v>
      </c>
      <c r="I7" s="38">
        <f t="shared" si="1"/>
        <v>8</v>
      </c>
      <c r="J7" s="38">
        <f t="shared" si="1"/>
        <v>16</v>
      </c>
      <c r="K7" s="38">
        <f t="shared" si="1"/>
        <v>32</v>
      </c>
      <c r="L7" s="38">
        <f t="shared" si="1"/>
        <v>64</v>
      </c>
      <c r="O7" s="12">
        <f>L7*2</f>
        <v>128</v>
      </c>
    </row>
    <row r="8" spans="1:15" x14ac:dyDescent="0.15">
      <c r="B8" s="17" t="s">
        <v>41</v>
      </c>
      <c r="C8" s="12" t="s">
        <v>42</v>
      </c>
      <c r="E8" s="29" t="s">
        <v>50</v>
      </c>
      <c r="F8" s="38">
        <f t="shared" ref="F8:L9" si="2">F7+2</f>
        <v>3</v>
      </c>
      <c r="G8" s="38">
        <f t="shared" si="2"/>
        <v>4</v>
      </c>
      <c r="H8" s="38">
        <f t="shared" si="2"/>
        <v>6</v>
      </c>
      <c r="I8" s="38">
        <f t="shared" si="2"/>
        <v>10</v>
      </c>
      <c r="J8" s="38">
        <f t="shared" si="2"/>
        <v>18</v>
      </c>
      <c r="K8" s="38">
        <f t="shared" si="2"/>
        <v>34</v>
      </c>
      <c r="L8" s="38">
        <f t="shared" si="2"/>
        <v>66</v>
      </c>
      <c r="O8" s="12">
        <f>L8+2</f>
        <v>68</v>
      </c>
    </row>
    <row r="9" spans="1:15" x14ac:dyDescent="0.15">
      <c r="B9" s="17" t="s">
        <v>44</v>
      </c>
      <c r="C9" s="12" t="s">
        <v>45</v>
      </c>
      <c r="E9" s="29" t="s">
        <v>46</v>
      </c>
      <c r="F9" s="38">
        <f t="shared" si="2"/>
        <v>5</v>
      </c>
      <c r="G9" s="38">
        <f t="shared" si="2"/>
        <v>6</v>
      </c>
      <c r="H9" s="38">
        <f t="shared" si="2"/>
        <v>8</v>
      </c>
      <c r="I9" s="38">
        <f t="shared" si="2"/>
        <v>12</v>
      </c>
      <c r="J9" s="38">
        <f t="shared" si="2"/>
        <v>20</v>
      </c>
      <c r="K9" s="38">
        <f t="shared" si="2"/>
        <v>36</v>
      </c>
      <c r="L9" s="38">
        <f t="shared" si="2"/>
        <v>68</v>
      </c>
      <c r="O9" s="12">
        <f>L9+2</f>
        <v>70</v>
      </c>
    </row>
    <row r="10" spans="1:15" x14ac:dyDescent="0.15">
      <c r="B10" s="17" t="s">
        <v>47</v>
      </c>
      <c r="C10" s="12" t="s">
        <v>48</v>
      </c>
      <c r="E10" s="29" t="s">
        <v>43</v>
      </c>
      <c r="F10" s="38">
        <f>F9*F7</f>
        <v>5</v>
      </c>
      <c r="G10" s="38">
        <f t="shared" ref="G10:L10" si="3">G9*G7</f>
        <v>12</v>
      </c>
      <c r="H10" s="38">
        <f t="shared" si="3"/>
        <v>32</v>
      </c>
      <c r="I10" s="38">
        <f t="shared" si="3"/>
        <v>96</v>
      </c>
      <c r="J10" s="38">
        <f t="shared" si="3"/>
        <v>320</v>
      </c>
      <c r="K10" s="38">
        <f t="shared" si="3"/>
        <v>1152</v>
      </c>
      <c r="L10" s="38">
        <f t="shared" si="3"/>
        <v>4352</v>
      </c>
      <c r="O10" s="12">
        <f>L10+2</f>
        <v>4354</v>
      </c>
    </row>
    <row r="11" spans="1:15" x14ac:dyDescent="0.15">
      <c r="B11" s="17" t="s">
        <v>49</v>
      </c>
      <c r="C11" s="30" t="s">
        <v>2349</v>
      </c>
      <c r="E11" s="116"/>
      <c r="F11" s="116"/>
      <c r="G11" s="116"/>
      <c r="H11" s="116"/>
      <c r="I11" s="116"/>
      <c r="J11" s="116"/>
      <c r="K11" s="116"/>
      <c r="L11" s="116"/>
      <c r="M11" s="116"/>
      <c r="O11" s="12">
        <f>L11+2</f>
        <v>2</v>
      </c>
    </row>
    <row r="12" spans="1:15" x14ac:dyDescent="0.15">
      <c r="B12" s="17" t="s">
        <v>2347</v>
      </c>
      <c r="C12" s="30" t="s">
        <v>2348</v>
      </c>
      <c r="E12" s="116"/>
      <c r="F12" s="116"/>
      <c r="G12" s="116"/>
      <c r="H12" s="116"/>
      <c r="I12" s="116"/>
      <c r="J12" s="116"/>
      <c r="K12" s="116"/>
      <c r="L12" s="116"/>
      <c r="M12" s="116"/>
    </row>
    <row r="13" spans="1:15" x14ac:dyDescent="0.15">
      <c r="B13" s="17" t="s">
        <v>51</v>
      </c>
      <c r="C13" s="12" t="s">
        <v>52</v>
      </c>
      <c r="E13" s="116"/>
      <c r="F13" s="116"/>
      <c r="G13" s="116"/>
      <c r="H13" s="116"/>
      <c r="I13" s="116"/>
      <c r="J13" s="116"/>
      <c r="K13" s="116"/>
      <c r="L13" s="116"/>
      <c r="M13" s="116"/>
    </row>
    <row r="14" spans="1:15" x14ac:dyDescent="0.15">
      <c r="B14" s="17" t="s">
        <v>53</v>
      </c>
      <c r="C14" s="12" t="s">
        <v>54</v>
      </c>
      <c r="E14" s="116"/>
      <c r="F14" s="116"/>
      <c r="G14" s="116"/>
      <c r="H14" s="116"/>
      <c r="I14" s="116"/>
      <c r="J14" s="116"/>
      <c r="K14" s="116"/>
      <c r="L14" s="116"/>
      <c r="M14" s="116"/>
    </row>
    <row r="15" spans="1:15" x14ac:dyDescent="0.15">
      <c r="E15" s="116"/>
      <c r="F15" s="116"/>
      <c r="G15" s="116"/>
      <c r="H15" s="116"/>
      <c r="I15" s="116"/>
      <c r="J15" s="116"/>
      <c r="K15" s="116"/>
      <c r="L15" s="116"/>
      <c r="M15" s="116"/>
    </row>
    <row r="16" spans="1:15" x14ac:dyDescent="0.15">
      <c r="B16" s="234" t="s">
        <v>55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</row>
    <row r="17" spans="2:15" x14ac:dyDescent="0.15">
      <c r="E17" s="116"/>
      <c r="F17" s="116"/>
      <c r="G17" s="116"/>
      <c r="H17" s="116"/>
      <c r="I17" s="116"/>
      <c r="J17" s="116"/>
      <c r="K17" s="116"/>
      <c r="L17" s="116"/>
      <c r="M17" s="116"/>
    </row>
    <row r="18" spans="2:15" x14ac:dyDescent="0.15">
      <c r="B18" s="17" t="s">
        <v>56</v>
      </c>
      <c r="C18" s="12" t="s">
        <v>57</v>
      </c>
      <c r="E18" s="116"/>
      <c r="F18" s="116"/>
      <c r="G18" s="116"/>
      <c r="H18" s="116"/>
      <c r="I18" s="116"/>
      <c r="J18" s="116"/>
      <c r="K18" s="116"/>
      <c r="L18" s="116"/>
      <c r="M18" s="116"/>
    </row>
    <row r="19" spans="2:15" x14ac:dyDescent="0.15">
      <c r="B19" s="17" t="s">
        <v>58</v>
      </c>
      <c r="C19" s="12" t="s">
        <v>59</v>
      </c>
      <c r="E19" s="116"/>
      <c r="F19" s="116"/>
      <c r="G19" s="116"/>
      <c r="H19" s="116"/>
      <c r="I19" s="116"/>
      <c r="J19" s="116"/>
      <c r="K19" s="116"/>
      <c r="L19" s="116"/>
      <c r="M19" s="116"/>
    </row>
    <row r="20" spans="2:15" x14ac:dyDescent="0.15">
      <c r="B20" s="17" t="s">
        <v>60</v>
      </c>
      <c r="C20" s="12" t="s">
        <v>61</v>
      </c>
      <c r="E20" s="116"/>
      <c r="F20" s="116"/>
      <c r="G20" s="116"/>
      <c r="H20" s="116"/>
      <c r="I20" s="116"/>
      <c r="J20" s="116"/>
      <c r="K20" s="116"/>
      <c r="L20" s="116"/>
      <c r="M20" s="116"/>
    </row>
    <row r="21" spans="2:15" x14ac:dyDescent="0.15">
      <c r="B21" s="17" t="s">
        <v>62</v>
      </c>
      <c r="C21" s="12" t="s">
        <v>63</v>
      </c>
      <c r="E21" s="116"/>
      <c r="F21" s="116"/>
      <c r="G21" s="116"/>
      <c r="H21" s="116"/>
      <c r="I21" s="116"/>
      <c r="J21" s="116"/>
      <c r="K21" s="116"/>
      <c r="L21" s="116"/>
      <c r="M21" s="116"/>
    </row>
    <row r="22" spans="2:15" x14ac:dyDescent="0.15">
      <c r="B22" s="17" t="s">
        <v>64</v>
      </c>
      <c r="C22" s="12" t="s">
        <v>2346</v>
      </c>
      <c r="E22" s="116"/>
      <c r="F22" s="116"/>
      <c r="G22" s="116"/>
      <c r="H22" s="116"/>
      <c r="I22" s="116"/>
      <c r="J22" s="116"/>
      <c r="K22" s="116"/>
      <c r="L22" s="116"/>
      <c r="M22" s="116"/>
    </row>
    <row r="23" spans="2:15" x14ac:dyDescent="0.15">
      <c r="E23" s="116"/>
      <c r="F23" s="116"/>
      <c r="G23" s="116"/>
      <c r="H23" s="116"/>
      <c r="I23" s="116"/>
      <c r="J23" s="116"/>
      <c r="K23" s="116"/>
      <c r="L23" s="116"/>
      <c r="M23" s="116"/>
    </row>
    <row r="24" spans="2:15" x14ac:dyDescent="0.15">
      <c r="B24" s="1" t="s">
        <v>65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2:15" x14ac:dyDescent="0.15">
      <c r="B25" s="234" t="s">
        <v>66</v>
      </c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</row>
    <row r="27" spans="2:15" x14ac:dyDescent="0.15">
      <c r="B27" s="17" t="s">
        <v>67</v>
      </c>
      <c r="C27" s="32" t="s">
        <v>68</v>
      </c>
    </row>
    <row r="28" spans="2:15" x14ac:dyDescent="0.15">
      <c r="B28" s="17" t="s">
        <v>69</v>
      </c>
      <c r="C28" s="12" t="s">
        <v>70</v>
      </c>
    </row>
    <row r="30" spans="2:15" x14ac:dyDescent="0.15">
      <c r="B30" s="234" t="s">
        <v>71</v>
      </c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</row>
    <row r="32" spans="2:15" x14ac:dyDescent="0.15">
      <c r="B32" s="17" t="s">
        <v>72</v>
      </c>
      <c r="C32" s="12" t="s">
        <v>73</v>
      </c>
    </row>
    <row r="33" spans="2:15" x14ac:dyDescent="0.15">
      <c r="B33" s="17" t="s">
        <v>74</v>
      </c>
      <c r="C33" s="12" t="s">
        <v>75</v>
      </c>
    </row>
    <row r="34" spans="2:15" x14ac:dyDescent="0.15">
      <c r="B34" s="17" t="s">
        <v>76</v>
      </c>
      <c r="C34" s="12" t="s">
        <v>77</v>
      </c>
    </row>
    <row r="35" spans="2:15" x14ac:dyDescent="0.15">
      <c r="B35" s="17" t="s">
        <v>78</v>
      </c>
      <c r="C35" s="12" t="s">
        <v>79</v>
      </c>
    </row>
    <row r="36" spans="2:15" x14ac:dyDescent="0.15">
      <c r="B36" s="17" t="s">
        <v>80</v>
      </c>
      <c r="C36" s="12" t="s">
        <v>81</v>
      </c>
    </row>
    <row r="37" spans="2:15" x14ac:dyDescent="0.15">
      <c r="B37" s="17" t="s">
        <v>82</v>
      </c>
      <c r="C37" s="12" t="s">
        <v>83</v>
      </c>
    </row>
    <row r="39" spans="2:15" x14ac:dyDescent="0.15">
      <c r="B39" s="1" t="s">
        <v>84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1" spans="2:15" x14ac:dyDescent="0.15">
      <c r="B41" s="17" t="s">
        <v>2343</v>
      </c>
      <c r="C41" s="12" t="s">
        <v>2353</v>
      </c>
    </row>
    <row r="42" spans="2:15" x14ac:dyDescent="0.15">
      <c r="B42" s="17" t="s">
        <v>2344</v>
      </c>
      <c r="C42" s="12" t="s">
        <v>2354</v>
      </c>
    </row>
    <row r="43" spans="2:15" x14ac:dyDescent="0.15">
      <c r="B43" s="17" t="s">
        <v>2350</v>
      </c>
      <c r="C43" s="12" t="s">
        <v>2355</v>
      </c>
    </row>
    <row r="44" spans="2:15" x14ac:dyDescent="0.15">
      <c r="B44" s="17" t="s">
        <v>85</v>
      </c>
      <c r="C44" s="12" t="s">
        <v>86</v>
      </c>
    </row>
    <row r="45" spans="2:15" x14ac:dyDescent="0.15">
      <c r="B45" s="17" t="s">
        <v>87</v>
      </c>
      <c r="C45" s="12" t="s">
        <v>88</v>
      </c>
    </row>
    <row r="46" spans="2:15" x14ac:dyDescent="0.15">
      <c r="B46" s="17" t="s">
        <v>2345</v>
      </c>
      <c r="C46" s="12" t="s">
        <v>89</v>
      </c>
    </row>
    <row r="47" spans="2:15" x14ac:dyDescent="0.15">
      <c r="B47" s="17" t="s">
        <v>90</v>
      </c>
      <c r="C47" s="12" t="s">
        <v>91</v>
      </c>
    </row>
    <row r="48" spans="2:15" x14ac:dyDescent="0.15">
      <c r="B48" s="17" t="s">
        <v>2351</v>
      </c>
      <c r="C48" s="32" t="s">
        <v>2352</v>
      </c>
    </row>
    <row r="49" spans="2:15" x14ac:dyDescent="0.15">
      <c r="B49" s="17" t="s">
        <v>92</v>
      </c>
      <c r="C49" s="12" t="s">
        <v>2336</v>
      </c>
    </row>
    <row r="50" spans="2:15" x14ac:dyDescent="0.15">
      <c r="B50" s="17" t="s">
        <v>203</v>
      </c>
      <c r="C50" s="12" t="s">
        <v>2356</v>
      </c>
    </row>
    <row r="51" spans="2:15" x14ac:dyDescent="0.15">
      <c r="B51" s="17" t="s">
        <v>2358</v>
      </c>
      <c r="C51" s="12" t="s">
        <v>2359</v>
      </c>
      <c r="D51" s="131"/>
    </row>
    <row r="52" spans="2:15" x14ac:dyDescent="0.15">
      <c r="B52" s="17" t="s">
        <v>2357</v>
      </c>
      <c r="C52" s="12" t="s">
        <v>2360</v>
      </c>
    </row>
    <row r="53" spans="2:15" x14ac:dyDescent="0.15">
      <c r="B53" s="17"/>
    </row>
    <row r="54" spans="2:15" x14ac:dyDescent="0.15">
      <c r="B54" s="1" t="s">
        <v>93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5" x14ac:dyDescent="0.15">
      <c r="B55" s="33"/>
    </row>
    <row r="56" spans="2:15" ht="12.75" x14ac:dyDescent="0.15">
      <c r="B56" s="34" t="s">
        <v>94</v>
      </c>
    </row>
  </sheetData>
  <autoFilter ref="E6:L11">
    <sortState ref="E7:L11">
      <sortCondition ref="G6:G1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>
    <tabColor theme="9" tint="0.79998168889431442"/>
  </sheetPr>
  <dimension ref="A1:P134"/>
  <sheetViews>
    <sheetView showGridLines="0" zoomScaleNormal="100" workbookViewId="0">
      <pane xSplit="1" ySplit="1" topLeftCell="B2" activePane="bottomRight" state="frozen"/>
      <selection activeCell="C15" sqref="C15"/>
      <selection pane="topRight" activeCell="C15" sqref="C15"/>
      <selection pane="bottomLeft" activeCell="C15" sqref="C15"/>
      <selection pane="bottomRight" activeCell="B2" sqref="B2"/>
    </sheetView>
  </sheetViews>
  <sheetFormatPr defaultColWidth="11" defaultRowHeight="11.25" outlineLevelRow="1" x14ac:dyDescent="0.15"/>
  <cols>
    <col min="1" max="2" width="5.125" style="12" customWidth="1"/>
    <col min="3" max="3" width="20.875" style="12" customWidth="1"/>
    <col min="4" max="4" width="11" style="12" customWidth="1"/>
    <col min="5" max="5" width="11" style="12"/>
    <col min="6" max="6" width="20.875" style="12" customWidth="1"/>
    <col min="7" max="16384" width="11" style="12"/>
  </cols>
  <sheetData>
    <row r="1" spans="1:8" x14ac:dyDescent="0.15">
      <c r="A1" s="225" t="s">
        <v>95</v>
      </c>
    </row>
    <row r="3" spans="1:8" x14ac:dyDescent="0.15">
      <c r="B3" s="235" t="s">
        <v>96</v>
      </c>
      <c r="C3" s="1"/>
      <c r="D3" s="1"/>
      <c r="E3" s="1"/>
      <c r="F3" s="1"/>
      <c r="G3" s="1"/>
      <c r="H3" s="1"/>
    </row>
    <row r="5" spans="1:8" x14ac:dyDescent="0.15">
      <c r="B5" s="35" t="s">
        <v>97</v>
      </c>
      <c r="C5" s="22" t="s">
        <v>98</v>
      </c>
    </row>
    <row r="7" spans="1:8" x14ac:dyDescent="0.15">
      <c r="B7" s="35" t="s">
        <v>97</v>
      </c>
      <c r="C7" s="22" t="s">
        <v>99</v>
      </c>
    </row>
    <row r="9" spans="1:8" x14ac:dyDescent="0.15">
      <c r="B9" s="35" t="s">
        <v>97</v>
      </c>
      <c r="C9" s="22" t="s">
        <v>100</v>
      </c>
    </row>
    <row r="11" spans="1:8" x14ac:dyDescent="0.15">
      <c r="B11" s="235" t="s">
        <v>101</v>
      </c>
      <c r="C11" s="1"/>
      <c r="D11" s="1"/>
      <c r="E11" s="1"/>
      <c r="F11" s="1"/>
      <c r="G11" s="1"/>
      <c r="H11" s="1"/>
    </row>
    <row r="13" spans="1:8" x14ac:dyDescent="0.15">
      <c r="D13" s="36" t="s">
        <v>102</v>
      </c>
      <c r="E13" s="37" t="s">
        <v>103</v>
      </c>
    </row>
    <row r="14" spans="1:8" x14ac:dyDescent="0.15">
      <c r="C14" s="12" t="s">
        <v>104</v>
      </c>
      <c r="D14" s="28">
        <v>158910.111</v>
      </c>
      <c r="E14" s="38">
        <f>D14</f>
        <v>158910.111</v>
      </c>
    </row>
    <row r="15" spans="1:8" x14ac:dyDescent="0.15">
      <c r="C15" s="12" t="s">
        <v>105</v>
      </c>
      <c r="D15" s="28">
        <v>-174801.489</v>
      </c>
      <c r="E15" s="38">
        <f>D15</f>
        <v>-174801.489</v>
      </c>
    </row>
    <row r="16" spans="1:8" x14ac:dyDescent="0.15">
      <c r="C16" s="12" t="s">
        <v>106</v>
      </c>
      <c r="D16" s="28">
        <f>SUM(D14:D15)</f>
        <v>-15891.377999999997</v>
      </c>
      <c r="E16" s="38">
        <f>SUM(E14:E15)</f>
        <v>-15891.377999999997</v>
      </c>
    </row>
    <row r="17" spans="2:16" x14ac:dyDescent="0.15">
      <c r="C17" s="12" t="s">
        <v>107</v>
      </c>
      <c r="D17" s="28">
        <f>D16/D14</f>
        <v>-0.10000230885245556</v>
      </c>
      <c r="E17" s="39">
        <f>E16/E14</f>
        <v>-0.10000230885245556</v>
      </c>
      <c r="F17" s="39"/>
    </row>
    <row r="18" spans="2:16" x14ac:dyDescent="0.15">
      <c r="J18" s="38"/>
      <c r="K18" s="38"/>
      <c r="L18" s="38"/>
      <c r="M18" s="38"/>
      <c r="N18" s="38"/>
      <c r="O18" s="38"/>
      <c r="P18" s="38"/>
    </row>
    <row r="19" spans="2:16" x14ac:dyDescent="0.15">
      <c r="B19" s="235" t="s">
        <v>108</v>
      </c>
      <c r="C19" s="1"/>
      <c r="D19" s="1"/>
      <c r="E19" s="1"/>
      <c r="F19" s="1"/>
      <c r="G19" s="1"/>
      <c r="H19" s="1"/>
    </row>
    <row r="20" spans="2:16" x14ac:dyDescent="0.15">
      <c r="H20" s="21"/>
    </row>
    <row r="21" spans="2:16" x14ac:dyDescent="0.15">
      <c r="C21" s="40" t="s">
        <v>102</v>
      </c>
    </row>
    <row r="22" spans="2:16" x14ac:dyDescent="0.15">
      <c r="C22" s="22" t="s">
        <v>0</v>
      </c>
      <c r="D22" s="41">
        <v>2021</v>
      </c>
      <c r="E22" s="41">
        <v>2022</v>
      </c>
    </row>
    <row r="23" spans="2:16" x14ac:dyDescent="0.15">
      <c r="C23" s="12" t="s">
        <v>104</v>
      </c>
      <c r="D23" s="38">
        <v>200</v>
      </c>
      <c r="E23" s="38">
        <v>250</v>
      </c>
    </row>
    <row r="24" spans="2:16" x14ac:dyDescent="0.15">
      <c r="C24" s="12" t="s">
        <v>105</v>
      </c>
      <c r="D24" s="247">
        <v>-200</v>
      </c>
      <c r="E24" s="247"/>
      <c r="F24" s="38"/>
      <c r="G24" s="38"/>
      <c r="H24" s="38"/>
    </row>
    <row r="25" spans="2:16" x14ac:dyDescent="0.15">
      <c r="C25" s="12" t="s">
        <v>106</v>
      </c>
      <c r="D25" s="42">
        <f>SUM(D23:D24)</f>
        <v>0</v>
      </c>
      <c r="E25" s="38">
        <f>SUM(E23:E24)</f>
        <v>250</v>
      </c>
    </row>
    <row r="27" spans="2:16" x14ac:dyDescent="0.15">
      <c r="B27" s="235" t="s">
        <v>109</v>
      </c>
      <c r="C27" s="1"/>
      <c r="D27" s="1"/>
      <c r="E27" s="1"/>
      <c r="F27" s="1"/>
      <c r="G27" s="1"/>
      <c r="H27" s="1"/>
    </row>
    <row r="29" spans="2:16" ht="11.45" customHeight="1" x14ac:dyDescent="0.15">
      <c r="C29" s="43" t="s">
        <v>104</v>
      </c>
      <c r="D29" s="38">
        <v>158910</v>
      </c>
      <c r="E29" s="44" t="s">
        <v>102</v>
      </c>
    </row>
    <row r="30" spans="2:16" ht="57" customHeight="1" x14ac:dyDescent="0.15">
      <c r="C30" s="43" t="s">
        <v>105</v>
      </c>
      <c r="D30" s="45">
        <f>-D29*1.1</f>
        <v>-174801</v>
      </c>
      <c r="E30" s="46" t="s">
        <v>102</v>
      </c>
    </row>
    <row r="31" spans="2:16" ht="29.45" customHeight="1" x14ac:dyDescent="0.15">
      <c r="C31" s="12" t="s">
        <v>106</v>
      </c>
      <c r="D31" s="38">
        <f>D29+D30</f>
        <v>-15891</v>
      </c>
    </row>
    <row r="33" spans="2:8" x14ac:dyDescent="0.15">
      <c r="B33" s="235" t="s">
        <v>110</v>
      </c>
      <c r="C33" s="1"/>
      <c r="D33" s="1"/>
      <c r="E33" s="1"/>
      <c r="F33" s="1"/>
      <c r="G33" s="1"/>
      <c r="H33" s="1"/>
    </row>
    <row r="35" spans="2:8" x14ac:dyDescent="0.15">
      <c r="C35" s="40" t="s">
        <v>102</v>
      </c>
      <c r="D35" s="47"/>
      <c r="F35" s="48" t="s">
        <v>103</v>
      </c>
      <c r="G35" s="49"/>
    </row>
    <row r="37" spans="2:8" x14ac:dyDescent="0.15">
      <c r="C37" s="12" t="s">
        <v>111</v>
      </c>
      <c r="F37" s="50" t="s">
        <v>111</v>
      </c>
      <c r="G37" s="51"/>
    </row>
    <row r="38" spans="2:8" x14ac:dyDescent="0.15">
      <c r="C38" s="12" t="s">
        <v>104</v>
      </c>
      <c r="D38" s="38">
        <f>SUM(D39:D42)</f>
        <v>750</v>
      </c>
      <c r="F38" s="22" t="s">
        <v>104</v>
      </c>
      <c r="G38" s="52">
        <f>SUM(G39:G42)</f>
        <v>750</v>
      </c>
    </row>
    <row r="39" spans="2:8" x14ac:dyDescent="0.15">
      <c r="C39" s="12" t="s">
        <v>112</v>
      </c>
      <c r="D39" s="38">
        <v>50</v>
      </c>
      <c r="F39" s="29" t="s">
        <v>112</v>
      </c>
      <c r="G39" s="38">
        <v>50</v>
      </c>
    </row>
    <row r="40" spans="2:8" x14ac:dyDescent="0.15">
      <c r="C40" s="12" t="s">
        <v>113</v>
      </c>
      <c r="D40" s="38">
        <f>D39*2</f>
        <v>100</v>
      </c>
      <c r="F40" s="29" t="s">
        <v>113</v>
      </c>
      <c r="G40" s="38">
        <f>G39*2</f>
        <v>100</v>
      </c>
    </row>
    <row r="41" spans="2:8" x14ac:dyDescent="0.15">
      <c r="C41" s="12" t="s">
        <v>114</v>
      </c>
      <c r="D41" s="38">
        <f>D40*2</f>
        <v>200</v>
      </c>
      <c r="F41" s="29" t="s">
        <v>114</v>
      </c>
      <c r="G41" s="38">
        <f>G40*2</f>
        <v>200</v>
      </c>
    </row>
    <row r="42" spans="2:8" x14ac:dyDescent="0.15">
      <c r="C42" s="12" t="s">
        <v>115</v>
      </c>
      <c r="D42" s="38">
        <f>D41*2</f>
        <v>400</v>
      </c>
      <c r="F42" s="29" t="s">
        <v>115</v>
      </c>
      <c r="G42" s="38">
        <f>G41*2</f>
        <v>400</v>
      </c>
    </row>
    <row r="43" spans="2:8" x14ac:dyDescent="0.15">
      <c r="C43" s="12" t="s">
        <v>105</v>
      </c>
      <c r="D43" s="38">
        <v>-200</v>
      </c>
      <c r="F43" s="12" t="s">
        <v>105</v>
      </c>
      <c r="G43" s="38">
        <v>-200</v>
      </c>
    </row>
    <row r="44" spans="2:8" x14ac:dyDescent="0.15">
      <c r="C44" s="12" t="s">
        <v>106</v>
      </c>
      <c r="D44" s="38">
        <f>D38+D43</f>
        <v>550</v>
      </c>
      <c r="F44" s="53" t="s">
        <v>106</v>
      </c>
      <c r="G44" s="54">
        <f>G38+G43</f>
        <v>550</v>
      </c>
    </row>
    <row r="46" spans="2:8" x14ac:dyDescent="0.15">
      <c r="C46" s="12" t="s">
        <v>116</v>
      </c>
      <c r="F46" s="50" t="s">
        <v>116</v>
      </c>
      <c r="G46" s="51"/>
    </row>
    <row r="47" spans="2:8" x14ac:dyDescent="0.15">
      <c r="C47" s="12" t="s">
        <v>104</v>
      </c>
      <c r="D47" s="38">
        <f>SUM(D48:D51)</f>
        <v>750</v>
      </c>
      <c r="F47" s="22" t="s">
        <v>104</v>
      </c>
      <c r="G47" s="52">
        <f>SUM(G48:G51)</f>
        <v>750</v>
      </c>
    </row>
    <row r="48" spans="2:8" x14ac:dyDescent="0.15">
      <c r="C48" s="12" t="s">
        <v>112</v>
      </c>
      <c r="D48" s="38">
        <v>50</v>
      </c>
      <c r="F48" s="29" t="s">
        <v>112</v>
      </c>
      <c r="G48" s="38">
        <v>50</v>
      </c>
    </row>
    <row r="49" spans="2:8" x14ac:dyDescent="0.15">
      <c r="C49" s="12" t="s">
        <v>113</v>
      </c>
      <c r="D49" s="38">
        <f>D48*2</f>
        <v>100</v>
      </c>
      <c r="F49" s="29" t="s">
        <v>113</v>
      </c>
      <c r="G49" s="38">
        <f>G48*2</f>
        <v>100</v>
      </c>
    </row>
    <row r="50" spans="2:8" x14ac:dyDescent="0.15">
      <c r="C50" s="12" t="s">
        <v>114</v>
      </c>
      <c r="D50" s="38">
        <f>D49*2</f>
        <v>200</v>
      </c>
      <c r="F50" s="29" t="s">
        <v>114</v>
      </c>
      <c r="G50" s="38">
        <f>G49*2</f>
        <v>200</v>
      </c>
    </row>
    <row r="51" spans="2:8" x14ac:dyDescent="0.15">
      <c r="C51" s="12" t="s">
        <v>115</v>
      </c>
      <c r="D51" s="38">
        <f>D50*2</f>
        <v>400</v>
      </c>
      <c r="F51" s="29" t="s">
        <v>115</v>
      </c>
      <c r="G51" s="38">
        <f>G50*2</f>
        <v>400</v>
      </c>
    </row>
    <row r="52" spans="2:8" x14ac:dyDescent="0.15">
      <c r="C52" s="55" t="s">
        <v>105</v>
      </c>
      <c r="D52" s="38">
        <v>-200</v>
      </c>
      <c r="F52" s="12" t="s">
        <v>105</v>
      </c>
      <c r="G52" s="38">
        <v>-200</v>
      </c>
    </row>
    <row r="53" spans="2:8" x14ac:dyDescent="0.15">
      <c r="C53" s="12" t="s">
        <v>106</v>
      </c>
      <c r="D53" s="38">
        <f>D47+D52</f>
        <v>550</v>
      </c>
      <c r="F53" s="53" t="s">
        <v>106</v>
      </c>
      <c r="G53" s="54">
        <f>G47+G52</f>
        <v>550</v>
      </c>
    </row>
    <row r="55" spans="2:8" x14ac:dyDescent="0.15">
      <c r="C55" s="12" t="s">
        <v>117</v>
      </c>
      <c r="D55" s="38">
        <f>D38+D47</f>
        <v>1500</v>
      </c>
      <c r="F55" s="56" t="s">
        <v>117</v>
      </c>
      <c r="G55" s="57">
        <f>G38+G47</f>
        <v>1500</v>
      </c>
    </row>
    <row r="58" spans="2:8" x14ac:dyDescent="0.15">
      <c r="B58" s="235" t="s">
        <v>118</v>
      </c>
      <c r="C58" s="1"/>
      <c r="D58" s="1"/>
      <c r="E58" s="1"/>
      <c r="F58" s="1"/>
      <c r="G58" s="1"/>
      <c r="H58" s="1"/>
    </row>
    <row r="60" spans="2:8" x14ac:dyDescent="0.15">
      <c r="C60" s="40" t="s">
        <v>102</v>
      </c>
      <c r="D60" s="47"/>
      <c r="F60" s="48" t="s">
        <v>103</v>
      </c>
      <c r="G60" s="49"/>
    </row>
    <row r="62" spans="2:8" x14ac:dyDescent="0.15">
      <c r="C62" s="50" t="s">
        <v>111</v>
      </c>
      <c r="D62" s="51"/>
      <c r="F62" s="50" t="s">
        <v>111</v>
      </c>
      <c r="G62" s="51"/>
    </row>
    <row r="63" spans="2:8" x14ac:dyDescent="0.15">
      <c r="C63" s="12" t="s">
        <v>104</v>
      </c>
      <c r="D63" s="38">
        <f>SUM(D64:D67)</f>
        <v>750</v>
      </c>
      <c r="F63" s="22" t="s">
        <v>104</v>
      </c>
      <c r="G63" s="52">
        <f>SUM(G64:G67)</f>
        <v>750</v>
      </c>
    </row>
    <row r="64" spans="2:8" x14ac:dyDescent="0.15">
      <c r="C64" s="29" t="s">
        <v>112</v>
      </c>
      <c r="D64" s="38">
        <v>50</v>
      </c>
      <c r="F64" s="29" t="s">
        <v>112</v>
      </c>
      <c r="G64" s="38">
        <v>50</v>
      </c>
    </row>
    <row r="65" spans="3:7" x14ac:dyDescent="0.15">
      <c r="C65" s="29" t="s">
        <v>113</v>
      </c>
      <c r="D65" s="38">
        <f>D64*2</f>
        <v>100</v>
      </c>
      <c r="F65" s="29" t="s">
        <v>113</v>
      </c>
      <c r="G65" s="38">
        <f>G64*2</f>
        <v>100</v>
      </c>
    </row>
    <row r="66" spans="3:7" x14ac:dyDescent="0.15">
      <c r="C66" s="29" t="s">
        <v>114</v>
      </c>
      <c r="D66" s="38">
        <f>D65*2</f>
        <v>200</v>
      </c>
      <c r="F66" s="29" t="s">
        <v>114</v>
      </c>
      <c r="G66" s="38">
        <f>G65*2</f>
        <v>200</v>
      </c>
    </row>
    <row r="67" spans="3:7" x14ac:dyDescent="0.15">
      <c r="C67" s="29" t="s">
        <v>115</v>
      </c>
      <c r="D67" s="38">
        <f>D66*2</f>
        <v>400</v>
      </c>
      <c r="F67" s="29" t="s">
        <v>115</v>
      </c>
      <c r="G67" s="38">
        <f>G66*2</f>
        <v>400</v>
      </c>
    </row>
    <row r="68" spans="3:7" x14ac:dyDescent="0.15">
      <c r="C68" s="12" t="s">
        <v>105</v>
      </c>
      <c r="D68" s="38">
        <v>-200</v>
      </c>
      <c r="F68" s="12" t="s">
        <v>105</v>
      </c>
      <c r="G68" s="38">
        <v>-200</v>
      </c>
    </row>
    <row r="69" spans="3:7" x14ac:dyDescent="0.15">
      <c r="C69" s="53" t="s">
        <v>106</v>
      </c>
      <c r="D69" s="54">
        <f>D63+D68</f>
        <v>550</v>
      </c>
      <c r="F69" s="53" t="s">
        <v>106</v>
      </c>
      <c r="G69" s="54">
        <f>G63+G68</f>
        <v>550</v>
      </c>
    </row>
    <row r="71" spans="3:7" x14ac:dyDescent="0.15">
      <c r="C71" s="58" t="s">
        <v>116</v>
      </c>
      <c r="D71" s="59"/>
      <c r="F71" s="50" t="s">
        <v>116</v>
      </c>
      <c r="G71" s="51"/>
    </row>
    <row r="72" spans="3:7" x14ac:dyDescent="0.15">
      <c r="C72" s="12" t="s">
        <v>104</v>
      </c>
      <c r="D72" s="38">
        <f>SUM(D73:D76)</f>
        <v>750</v>
      </c>
      <c r="F72" s="22" t="s">
        <v>104</v>
      </c>
      <c r="G72" s="52">
        <f>SUM(G73:G76)</f>
        <v>750</v>
      </c>
    </row>
    <row r="73" spans="3:7" x14ac:dyDescent="0.15">
      <c r="C73" s="60" t="s">
        <v>112</v>
      </c>
      <c r="D73" s="61">
        <v>50</v>
      </c>
      <c r="F73" s="29" t="s">
        <v>112</v>
      </c>
      <c r="G73" s="38">
        <v>50</v>
      </c>
    </row>
    <row r="74" spans="3:7" x14ac:dyDescent="0.15">
      <c r="C74" s="60" t="s">
        <v>113</v>
      </c>
      <c r="D74" s="61">
        <f>D73*2</f>
        <v>100</v>
      </c>
      <c r="F74" s="29" t="s">
        <v>113</v>
      </c>
      <c r="G74" s="38">
        <f>G73*2</f>
        <v>100</v>
      </c>
    </row>
    <row r="75" spans="3:7" x14ac:dyDescent="0.15">
      <c r="C75" s="60" t="s">
        <v>114</v>
      </c>
      <c r="D75" s="61">
        <f>D74*2</f>
        <v>200</v>
      </c>
      <c r="F75" s="29" t="s">
        <v>114</v>
      </c>
      <c r="G75" s="38">
        <f>G74*2</f>
        <v>200</v>
      </c>
    </row>
    <row r="76" spans="3:7" x14ac:dyDescent="0.15">
      <c r="C76" s="60" t="s">
        <v>115</v>
      </c>
      <c r="D76" s="61">
        <f>D75*2</f>
        <v>400</v>
      </c>
      <c r="F76" s="29" t="s">
        <v>115</v>
      </c>
      <c r="G76" s="38">
        <f>G75*2</f>
        <v>400</v>
      </c>
    </row>
    <row r="77" spans="3:7" x14ac:dyDescent="0.15">
      <c r="C77" s="12" t="s">
        <v>105</v>
      </c>
      <c r="D77" s="38">
        <v>-200</v>
      </c>
      <c r="F77" s="12" t="s">
        <v>105</v>
      </c>
      <c r="G77" s="38">
        <v>-200</v>
      </c>
    </row>
    <row r="78" spans="3:7" x14ac:dyDescent="0.15">
      <c r="C78" s="62" t="s">
        <v>106</v>
      </c>
      <c r="D78" s="63">
        <f>D72+D77</f>
        <v>550</v>
      </c>
      <c r="F78" s="53" t="s">
        <v>106</v>
      </c>
      <c r="G78" s="54">
        <f>G72+G77</f>
        <v>550</v>
      </c>
    </row>
    <row r="80" spans="3:7" x14ac:dyDescent="0.15">
      <c r="C80" s="56" t="s">
        <v>117</v>
      </c>
      <c r="D80" s="57">
        <f>D63+D72</f>
        <v>1500</v>
      </c>
      <c r="F80" s="56" t="s">
        <v>117</v>
      </c>
      <c r="G80" s="57">
        <f>G63+G72</f>
        <v>1500</v>
      </c>
    </row>
    <row r="82" spans="2:8" x14ac:dyDescent="0.15">
      <c r="B82" s="235" t="s">
        <v>119</v>
      </c>
      <c r="C82" s="1"/>
      <c r="D82" s="1"/>
      <c r="E82" s="1"/>
      <c r="F82" s="1"/>
      <c r="G82" s="1"/>
      <c r="H82" s="1"/>
    </row>
    <row r="84" spans="2:8" x14ac:dyDescent="0.15">
      <c r="C84" s="40" t="s">
        <v>102</v>
      </c>
    </row>
    <row r="85" spans="2:8" x14ac:dyDescent="0.15">
      <c r="C85" s="50" t="s">
        <v>116</v>
      </c>
      <c r="D85" s="51"/>
    </row>
    <row r="86" spans="2:8" x14ac:dyDescent="0.15">
      <c r="C86" s="64" t="s">
        <v>104</v>
      </c>
      <c r="D86" s="65">
        <f>SUM(D87:D90)</f>
        <v>750</v>
      </c>
    </row>
    <row r="87" spans="2:8" x14ac:dyDescent="0.15">
      <c r="C87" s="66" t="s">
        <v>112</v>
      </c>
      <c r="D87" s="67">
        <v>50</v>
      </c>
    </row>
    <row r="88" spans="2:8" x14ac:dyDescent="0.15">
      <c r="C88" s="66" t="s">
        <v>113</v>
      </c>
      <c r="D88" s="67">
        <f>D87*2</f>
        <v>100</v>
      </c>
    </row>
    <row r="89" spans="2:8" x14ac:dyDescent="0.15">
      <c r="C89" s="66" t="s">
        <v>114</v>
      </c>
      <c r="D89" s="67">
        <f>D88*2</f>
        <v>200</v>
      </c>
    </row>
    <row r="90" spans="2:8" x14ac:dyDescent="0.15">
      <c r="C90" s="66" t="s">
        <v>115</v>
      </c>
      <c r="D90" s="67">
        <f>D89*2</f>
        <v>400</v>
      </c>
    </row>
    <row r="91" spans="2:8" x14ac:dyDescent="0.15">
      <c r="C91" s="68" t="s">
        <v>105</v>
      </c>
      <c r="D91" s="69">
        <v>-200</v>
      </c>
    </row>
    <row r="92" spans="2:8" x14ac:dyDescent="0.15">
      <c r="C92" s="70" t="s">
        <v>106</v>
      </c>
      <c r="D92" s="71">
        <f>D86+D91</f>
        <v>550</v>
      </c>
    </row>
    <row r="94" spans="2:8" x14ac:dyDescent="0.15">
      <c r="C94" s="40" t="s">
        <v>102</v>
      </c>
      <c r="D94" s="12" t="s">
        <v>120</v>
      </c>
    </row>
    <row r="95" spans="2:8" s="72" customFormat="1" x14ac:dyDescent="0.15">
      <c r="C95" s="72" t="s">
        <v>104</v>
      </c>
      <c r="D95" s="72">
        <v>614</v>
      </c>
    </row>
    <row r="97" spans="1:8" x14ac:dyDescent="0.15">
      <c r="B97" s="235" t="s">
        <v>121</v>
      </c>
      <c r="C97" s="1"/>
      <c r="D97" s="1"/>
      <c r="E97" s="1"/>
      <c r="F97" s="1"/>
      <c r="G97" s="1"/>
      <c r="H97" s="1"/>
    </row>
    <row r="99" spans="1:8" x14ac:dyDescent="0.15">
      <c r="C99" s="40" t="s">
        <v>102</v>
      </c>
    </row>
    <row r="100" spans="1:8" x14ac:dyDescent="0.15">
      <c r="A100" s="73"/>
      <c r="C100" s="12" t="s">
        <v>104</v>
      </c>
      <c r="D100" s="38">
        <f>SUM(D101:D104)</f>
        <v>750</v>
      </c>
    </row>
    <row r="101" spans="1:8" hidden="1" x14ac:dyDescent="0.15">
      <c r="A101" s="73"/>
      <c r="C101" s="29" t="s">
        <v>112</v>
      </c>
      <c r="D101" s="38">
        <v>50</v>
      </c>
    </row>
    <row r="102" spans="1:8" hidden="1" x14ac:dyDescent="0.15">
      <c r="A102" s="73"/>
      <c r="C102" s="29" t="s">
        <v>113</v>
      </c>
      <c r="D102" s="38">
        <f>D101*2</f>
        <v>100</v>
      </c>
    </row>
    <row r="103" spans="1:8" hidden="1" x14ac:dyDescent="0.15">
      <c r="A103" s="73"/>
      <c r="C103" s="29" t="s">
        <v>114</v>
      </c>
      <c r="D103" s="38">
        <f>D102*2</f>
        <v>200</v>
      </c>
    </row>
    <row r="104" spans="1:8" hidden="1" x14ac:dyDescent="0.15">
      <c r="A104" s="73"/>
      <c r="C104" s="29" t="s">
        <v>115</v>
      </c>
      <c r="D104" s="38">
        <f>D103*2</f>
        <v>400</v>
      </c>
    </row>
    <row r="105" spans="1:8" x14ac:dyDescent="0.15">
      <c r="A105" s="73"/>
      <c r="C105" s="12" t="s">
        <v>105</v>
      </c>
      <c r="D105" s="38">
        <v>-750</v>
      </c>
    </row>
    <row r="106" spans="1:8" x14ac:dyDescent="0.15">
      <c r="C106" s="12" t="s">
        <v>106</v>
      </c>
      <c r="D106" s="38">
        <f>SUM(D100:D105)</f>
        <v>750</v>
      </c>
    </row>
    <row r="108" spans="1:8" x14ac:dyDescent="0.15">
      <c r="C108" s="49" t="s">
        <v>103</v>
      </c>
    </row>
    <row r="109" spans="1:8" x14ac:dyDescent="0.15">
      <c r="C109" s="12" t="s">
        <v>104</v>
      </c>
      <c r="D109" s="38">
        <f>SUM(D110:D113)</f>
        <v>750</v>
      </c>
    </row>
    <row r="110" spans="1:8" hidden="1" outlineLevel="1" x14ac:dyDescent="0.15">
      <c r="C110" s="29" t="s">
        <v>112</v>
      </c>
      <c r="D110" s="38">
        <v>50</v>
      </c>
    </row>
    <row r="111" spans="1:8" hidden="1" outlineLevel="1" x14ac:dyDescent="0.15">
      <c r="C111" s="29" t="s">
        <v>113</v>
      </c>
      <c r="D111" s="38">
        <f>D110*2</f>
        <v>100</v>
      </c>
    </row>
    <row r="112" spans="1:8" hidden="1" outlineLevel="1" x14ac:dyDescent="0.15">
      <c r="C112" s="29" t="s">
        <v>114</v>
      </c>
      <c r="D112" s="38">
        <f>D111*2</f>
        <v>200</v>
      </c>
    </row>
    <row r="113" spans="2:8" hidden="1" outlineLevel="1" x14ac:dyDescent="0.15">
      <c r="C113" s="29" t="s">
        <v>115</v>
      </c>
      <c r="D113" s="38">
        <f>D112*2</f>
        <v>400</v>
      </c>
    </row>
    <row r="114" spans="2:8" collapsed="1" x14ac:dyDescent="0.15">
      <c r="C114" s="12" t="s">
        <v>105</v>
      </c>
      <c r="D114" s="38">
        <v>-750</v>
      </c>
    </row>
    <row r="115" spans="2:8" x14ac:dyDescent="0.15">
      <c r="C115" s="12" t="s">
        <v>106</v>
      </c>
      <c r="D115" s="38">
        <f>D109+D114</f>
        <v>0</v>
      </c>
    </row>
    <row r="117" spans="2:8" x14ac:dyDescent="0.15">
      <c r="B117" s="235" t="s">
        <v>122</v>
      </c>
      <c r="C117" s="1"/>
      <c r="D117" s="1"/>
      <c r="E117" s="1"/>
      <c r="F117" s="1"/>
      <c r="G117" s="1"/>
      <c r="H117" s="1"/>
    </row>
    <row r="119" spans="2:8" x14ac:dyDescent="0.15">
      <c r="C119" s="12" t="s">
        <v>123</v>
      </c>
      <c r="D119" s="40" t="s">
        <v>102</v>
      </c>
    </row>
    <row r="120" spans="2:8" x14ac:dyDescent="0.15">
      <c r="C120" s="12" t="s">
        <v>124</v>
      </c>
      <c r="D120" s="40" t="s">
        <v>102</v>
      </c>
    </row>
    <row r="121" spans="2:8" x14ac:dyDescent="0.15">
      <c r="C121" s="12" t="s">
        <v>125</v>
      </c>
      <c r="D121" s="40" t="s">
        <v>102</v>
      </c>
    </row>
    <row r="123" spans="2:8" x14ac:dyDescent="0.15">
      <c r="B123" s="235" t="s">
        <v>126</v>
      </c>
      <c r="C123" s="1"/>
      <c r="D123" s="1"/>
      <c r="E123" s="1"/>
      <c r="F123" s="1"/>
      <c r="G123" s="1"/>
      <c r="H123" s="1"/>
    </row>
    <row r="125" spans="2:8" x14ac:dyDescent="0.15">
      <c r="C125" s="12">
        <v>1</v>
      </c>
      <c r="D125" s="12">
        <v>2</v>
      </c>
      <c r="E125" s="12">
        <v>3</v>
      </c>
      <c r="F125" s="12">
        <v>4</v>
      </c>
    </row>
    <row r="126" spans="2:8" x14ac:dyDescent="0.15">
      <c r="B126" s="40" t="s">
        <v>102</v>
      </c>
      <c r="C126" s="12">
        <f>C$125^2</f>
        <v>1</v>
      </c>
      <c r="D126" s="12">
        <f>D$125^2</f>
        <v>4</v>
      </c>
      <c r="E126" s="12">
        <f>E$125^3</f>
        <v>27</v>
      </c>
      <c r="F126" s="12">
        <f>F$125^3</f>
        <v>64</v>
      </c>
    </row>
    <row r="128" spans="2:8" x14ac:dyDescent="0.15">
      <c r="B128" s="49" t="s">
        <v>103</v>
      </c>
      <c r="C128" s="12">
        <f>C$125^2</f>
        <v>1</v>
      </c>
      <c r="D128" s="12">
        <f>D$125^2</f>
        <v>4</v>
      </c>
      <c r="E128" s="74">
        <f>E$125^3</f>
        <v>27</v>
      </c>
      <c r="F128" s="12">
        <f>F$125^2</f>
        <v>16</v>
      </c>
    </row>
    <row r="130" spans="2:8" x14ac:dyDescent="0.15">
      <c r="B130" s="235" t="s">
        <v>127</v>
      </c>
      <c r="C130" s="1"/>
      <c r="D130" s="1"/>
      <c r="E130" s="1"/>
      <c r="F130" s="1"/>
      <c r="G130" s="1"/>
      <c r="H130" s="1"/>
    </row>
    <row r="132" spans="2:8" x14ac:dyDescent="0.15">
      <c r="C132" s="12" t="s">
        <v>2338</v>
      </c>
    </row>
    <row r="134" spans="2:8" x14ac:dyDescent="0.15">
      <c r="C134" s="12" t="s">
        <v>128</v>
      </c>
    </row>
  </sheetData>
  <autoFilter ref="C22:E25"/>
  <mergeCells count="1">
    <mergeCell ref="D24:E24"/>
  </mergeCells>
  <pageMargins left="0.7" right="0.7" top="0.75" bottom="0.75" header="0.3" footer="0.3"/>
  <pageSetup paperSize="9"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>
    <tabColor theme="9" tint="0.79998168889431442"/>
  </sheetPr>
  <dimension ref="A1:W97"/>
  <sheetViews>
    <sheetView showGridLines="0" zoomScaleNormal="100" workbookViewId="0">
      <pane xSplit="6" ySplit="2" topLeftCell="G3" activePane="bottomRight" state="frozen"/>
      <selection activeCell="C15" sqref="C15"/>
      <selection pane="topRight" activeCell="C15" sqref="C15"/>
      <selection pane="bottomLeft" activeCell="C15" sqref="C15"/>
      <selection pane="bottomRight" activeCell="G3" sqref="G3"/>
    </sheetView>
  </sheetViews>
  <sheetFormatPr defaultColWidth="0" defaultRowHeight="11.25" outlineLevelRow="2" x14ac:dyDescent="0.15"/>
  <cols>
    <col min="1" max="1" width="3.625" style="12" customWidth="1"/>
    <col min="2" max="4" width="2.75" style="12" customWidth="1"/>
    <col min="5" max="5" width="16" style="12" customWidth="1"/>
    <col min="6" max="6" width="11" style="75" customWidth="1"/>
    <col min="7" max="23" width="11" style="12" customWidth="1"/>
    <col min="24" max="16384" width="0" style="12" hidden="1"/>
  </cols>
  <sheetData>
    <row r="1" spans="1:22" x14ac:dyDescent="0.15">
      <c r="A1" s="225" t="s">
        <v>129</v>
      </c>
      <c r="J1" s="41">
        <v>2018</v>
      </c>
      <c r="K1" s="41">
        <f>J1+1</f>
        <v>2019</v>
      </c>
      <c r="L1" s="41">
        <f t="shared" ref="L1:V1" si="0">K1+1</f>
        <v>2020</v>
      </c>
      <c r="M1" s="41">
        <f t="shared" si="0"/>
        <v>2021</v>
      </c>
      <c r="N1" s="41">
        <f t="shared" si="0"/>
        <v>2022</v>
      </c>
      <c r="O1" s="41">
        <f t="shared" si="0"/>
        <v>2023</v>
      </c>
      <c r="P1" s="41">
        <f t="shared" si="0"/>
        <v>2024</v>
      </c>
      <c r="Q1" s="41">
        <f t="shared" si="0"/>
        <v>2025</v>
      </c>
      <c r="R1" s="41">
        <f t="shared" si="0"/>
        <v>2026</v>
      </c>
      <c r="S1" s="41">
        <f t="shared" si="0"/>
        <v>2027</v>
      </c>
      <c r="T1" s="41">
        <f t="shared" si="0"/>
        <v>2028</v>
      </c>
      <c r="U1" s="41">
        <f t="shared" si="0"/>
        <v>2029</v>
      </c>
      <c r="V1" s="41">
        <f t="shared" si="0"/>
        <v>2030</v>
      </c>
    </row>
    <row r="2" spans="1:22" x14ac:dyDescent="0.15">
      <c r="B2" s="22" t="s">
        <v>0</v>
      </c>
      <c r="F2" s="76" t="s">
        <v>1</v>
      </c>
      <c r="G2" s="22" t="s">
        <v>2</v>
      </c>
      <c r="H2" s="22" t="s">
        <v>130</v>
      </c>
    </row>
    <row r="4" spans="1:22" x14ac:dyDescent="0.15">
      <c r="B4" s="1" t="s">
        <v>131</v>
      </c>
      <c r="C4" s="1"/>
      <c r="D4" s="1"/>
      <c r="E4" s="1"/>
      <c r="F4" s="7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outlineLevel="1" x14ac:dyDescent="0.15"/>
    <row r="6" spans="1:22" outlineLevel="1" x14ac:dyDescent="0.15">
      <c r="B6" s="22" t="s">
        <v>132</v>
      </c>
    </row>
    <row r="7" spans="1:22" outlineLevel="1" x14ac:dyDescent="0.15">
      <c r="C7" s="12" t="s">
        <v>133</v>
      </c>
    </row>
    <row r="8" spans="1:22" outlineLevel="1" x14ac:dyDescent="0.15">
      <c r="C8" s="12" t="s">
        <v>134</v>
      </c>
    </row>
    <row r="9" spans="1:22" outlineLevel="1" x14ac:dyDescent="0.15">
      <c r="C9" s="12" t="s">
        <v>135</v>
      </c>
    </row>
    <row r="10" spans="1:22" outlineLevel="1" x14ac:dyDescent="0.15">
      <c r="C10" s="12" t="s">
        <v>136</v>
      </c>
    </row>
    <row r="11" spans="1:22" outlineLevel="1" x14ac:dyDescent="0.15"/>
    <row r="12" spans="1:22" outlineLevel="1" x14ac:dyDescent="0.15">
      <c r="B12" s="22" t="s">
        <v>137</v>
      </c>
    </row>
    <row r="13" spans="1:22" outlineLevel="1" x14ac:dyDescent="0.15">
      <c r="C13" s="12" t="s">
        <v>138</v>
      </c>
    </row>
    <row r="14" spans="1:22" outlineLevel="1" x14ac:dyDescent="0.15">
      <c r="C14" s="12" t="s">
        <v>139</v>
      </c>
    </row>
    <row r="15" spans="1:22" outlineLevel="1" x14ac:dyDescent="0.15">
      <c r="C15" s="12" t="s">
        <v>140</v>
      </c>
    </row>
    <row r="16" spans="1:22" outlineLevel="1" x14ac:dyDescent="0.15"/>
    <row r="17" spans="2:22" x14ac:dyDescent="0.15">
      <c r="B17" s="1" t="s">
        <v>141</v>
      </c>
      <c r="C17" s="1"/>
      <c r="D17" s="1"/>
      <c r="E17" s="1"/>
      <c r="F17" s="7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2:22" outlineLevel="1" x14ac:dyDescent="0.15"/>
    <row r="19" spans="2:22" outlineLevel="1" x14ac:dyDescent="0.15">
      <c r="C19" s="12" t="s">
        <v>142</v>
      </c>
    </row>
    <row r="20" spans="2:22" outlineLevel="1" x14ac:dyDescent="0.15">
      <c r="C20" s="12" t="s">
        <v>143</v>
      </c>
    </row>
    <row r="21" spans="2:22" outlineLevel="1" x14ac:dyDescent="0.15"/>
    <row r="22" spans="2:22" outlineLevel="1" x14ac:dyDescent="0.15">
      <c r="C22" s="22" t="s">
        <v>144</v>
      </c>
    </row>
    <row r="23" spans="2:22" outlineLevel="1" x14ac:dyDescent="0.15">
      <c r="D23" s="12" t="s">
        <v>145</v>
      </c>
      <c r="G23" s="5">
        <v>100</v>
      </c>
    </row>
    <row r="24" spans="2:22" outlineLevel="1" x14ac:dyDescent="0.15">
      <c r="D24" s="12" t="s">
        <v>146</v>
      </c>
      <c r="G24" s="6">
        <v>100</v>
      </c>
    </row>
    <row r="25" spans="2:22" outlineLevel="1" x14ac:dyDescent="0.15">
      <c r="D25" s="12" t="s">
        <v>147</v>
      </c>
      <c r="G25" s="4">
        <v>100</v>
      </c>
    </row>
    <row r="26" spans="2:22" outlineLevel="1" x14ac:dyDescent="0.15">
      <c r="D26" s="12" t="s">
        <v>148</v>
      </c>
      <c r="G26" s="227">
        <v>100</v>
      </c>
      <c r="J26" s="2">
        <v>561161</v>
      </c>
    </row>
    <row r="27" spans="2:22" outlineLevel="1" x14ac:dyDescent="0.15">
      <c r="D27" s="12" t="s">
        <v>149</v>
      </c>
      <c r="G27" s="228">
        <v>100</v>
      </c>
    </row>
    <row r="28" spans="2:22" outlineLevel="1" x14ac:dyDescent="0.15">
      <c r="D28" s="12" t="s">
        <v>150</v>
      </c>
      <c r="G28" s="2">
        <v>100</v>
      </c>
    </row>
    <row r="29" spans="2:22" outlineLevel="1" x14ac:dyDescent="0.15"/>
    <row r="30" spans="2:22" outlineLevel="1" x14ac:dyDescent="0.15">
      <c r="C30" s="22" t="s">
        <v>2337</v>
      </c>
    </row>
    <row r="31" spans="2:22" outlineLevel="1" x14ac:dyDescent="0.15">
      <c r="D31" s="12" t="s">
        <v>151</v>
      </c>
    </row>
    <row r="32" spans="2:22" outlineLevel="1" x14ac:dyDescent="0.15">
      <c r="D32" s="12" t="s">
        <v>152</v>
      </c>
    </row>
    <row r="33" spans="2:22" outlineLevel="1" x14ac:dyDescent="0.15">
      <c r="D33" s="12" t="s">
        <v>153</v>
      </c>
    </row>
    <row r="34" spans="2:22" outlineLevel="1" x14ac:dyDescent="0.15"/>
    <row r="35" spans="2:22" x14ac:dyDescent="0.15">
      <c r="B35" s="1" t="s">
        <v>31</v>
      </c>
      <c r="C35" s="1"/>
      <c r="D35" s="1"/>
      <c r="E35" s="1"/>
      <c r="F35" s="7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2:22" outlineLevel="1" x14ac:dyDescent="0.15"/>
    <row r="37" spans="2:22" outlineLevel="1" x14ac:dyDescent="0.15">
      <c r="E37" s="81" t="s">
        <v>154</v>
      </c>
      <c r="F37" s="12" t="s">
        <v>155</v>
      </c>
    </row>
    <row r="38" spans="2:22" outlineLevel="1" x14ac:dyDescent="0.15">
      <c r="E38" s="81" t="s">
        <v>156</v>
      </c>
      <c r="F38" s="12" t="s">
        <v>157</v>
      </c>
    </row>
    <row r="39" spans="2:22" outlineLevel="1" x14ac:dyDescent="0.15"/>
    <row r="40" spans="2:22" x14ac:dyDescent="0.15">
      <c r="B40" s="1" t="s">
        <v>22</v>
      </c>
      <c r="C40" s="1"/>
      <c r="D40" s="1"/>
      <c r="E40" s="1"/>
      <c r="F40" s="7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2" spans="2:22" x14ac:dyDescent="0.15">
      <c r="B42" s="115" t="s">
        <v>104</v>
      </c>
      <c r="C42" s="115"/>
      <c r="D42" s="115"/>
      <c r="E42" s="115"/>
      <c r="F42" s="230"/>
      <c r="G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</row>
    <row r="43" spans="2:22" outlineLevel="1" x14ac:dyDescent="0.15">
      <c r="B43" s="224"/>
      <c r="C43" s="224" t="s">
        <v>158</v>
      </c>
      <c r="D43" s="224"/>
      <c r="E43" s="224"/>
      <c r="F43" s="229"/>
      <c r="G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</row>
    <row r="44" spans="2:22" s="16" customFormat="1" outlineLevel="2" x14ac:dyDescent="0.15">
      <c r="B44" s="15"/>
      <c r="C44" s="15"/>
      <c r="D44" s="238" t="s">
        <v>159</v>
      </c>
      <c r="E44" s="238"/>
      <c r="F44" s="239"/>
      <c r="G44" s="238"/>
    </row>
    <row r="45" spans="2:22" outlineLevel="2" x14ac:dyDescent="0.15">
      <c r="E45" s="12" t="s">
        <v>160</v>
      </c>
      <c r="F45" s="75" t="s">
        <v>161</v>
      </c>
      <c r="G45" s="5">
        <v>20</v>
      </c>
      <c r="H45" s="12" t="s">
        <v>162</v>
      </c>
      <c r="I45" s="12" t="s">
        <v>163</v>
      </c>
    </row>
    <row r="46" spans="2:22" outlineLevel="2" x14ac:dyDescent="0.15">
      <c r="E46" s="12" t="s">
        <v>164</v>
      </c>
      <c r="F46" s="75" t="s">
        <v>161</v>
      </c>
      <c r="G46" s="5">
        <v>30</v>
      </c>
      <c r="H46" s="12" t="s">
        <v>162</v>
      </c>
      <c r="I46" s="12" t="s">
        <v>163</v>
      </c>
    </row>
    <row r="47" spans="2:22" outlineLevel="2" x14ac:dyDescent="0.15">
      <c r="I47" s="12" t="s">
        <v>163</v>
      </c>
    </row>
    <row r="48" spans="2:22" s="16" customFormat="1" outlineLevel="2" x14ac:dyDescent="0.15">
      <c r="B48" s="15"/>
      <c r="C48" s="15"/>
      <c r="D48" s="238" t="s">
        <v>165</v>
      </c>
      <c r="E48" s="238"/>
      <c r="F48" s="239"/>
      <c r="G48" s="244"/>
      <c r="H48" s="244"/>
      <c r="I48" s="245" t="s">
        <v>163</v>
      </c>
      <c r="J48" s="240"/>
      <c r="K48" s="240"/>
      <c r="L48" s="240"/>
      <c r="M48" s="240"/>
      <c r="N48" s="240"/>
      <c r="O48" s="240"/>
      <c r="P48" s="240"/>
      <c r="Q48" s="240"/>
      <c r="R48" s="240"/>
      <c r="S48" s="240"/>
      <c r="T48" s="240"/>
      <c r="U48" s="240"/>
      <c r="V48" s="240"/>
    </row>
    <row r="49" spans="4:22" outlineLevel="2" x14ac:dyDescent="0.15">
      <c r="E49" s="12" t="s">
        <v>160</v>
      </c>
      <c r="F49" s="75" t="s">
        <v>166</v>
      </c>
      <c r="G49" s="31"/>
      <c r="H49" s="31" t="s">
        <v>162</v>
      </c>
      <c r="I49" s="31" t="s">
        <v>163</v>
      </c>
      <c r="J49" s="242">
        <v>0</v>
      </c>
      <c r="K49" s="3">
        <v>0</v>
      </c>
      <c r="L49" s="3">
        <v>0.1</v>
      </c>
      <c r="M49" s="3">
        <v>0.3</v>
      </c>
      <c r="N49" s="3">
        <v>0.7</v>
      </c>
      <c r="O49" s="3">
        <v>1</v>
      </c>
      <c r="P49" s="3">
        <v>1</v>
      </c>
      <c r="Q49" s="3">
        <v>1</v>
      </c>
      <c r="R49" s="3">
        <v>1</v>
      </c>
      <c r="S49" s="3">
        <v>1</v>
      </c>
      <c r="T49" s="3">
        <v>1</v>
      </c>
      <c r="U49" s="3">
        <v>1</v>
      </c>
      <c r="V49" s="3">
        <v>1</v>
      </c>
    </row>
    <row r="50" spans="4:22" outlineLevel="2" x14ac:dyDescent="0.15">
      <c r="E50" s="12" t="s">
        <v>164</v>
      </c>
      <c r="F50" s="75" t="s">
        <v>166</v>
      </c>
      <c r="G50" s="31"/>
      <c r="H50" s="31" t="s">
        <v>162</v>
      </c>
      <c r="I50" s="31" t="s">
        <v>163</v>
      </c>
      <c r="J50" s="242">
        <v>0</v>
      </c>
      <c r="K50" s="3">
        <v>0</v>
      </c>
      <c r="L50" s="3">
        <v>0</v>
      </c>
      <c r="M50" s="3">
        <v>0.5</v>
      </c>
      <c r="N50" s="3">
        <v>0.7</v>
      </c>
      <c r="O50" s="3">
        <v>1</v>
      </c>
      <c r="P50" s="3">
        <v>1</v>
      </c>
      <c r="Q50" s="3">
        <v>1</v>
      </c>
      <c r="R50" s="3">
        <v>1</v>
      </c>
      <c r="S50" s="3">
        <v>1</v>
      </c>
      <c r="T50" s="3">
        <v>1</v>
      </c>
      <c r="U50" s="3">
        <v>1</v>
      </c>
      <c r="V50" s="3">
        <v>1</v>
      </c>
    </row>
    <row r="51" spans="4:22" outlineLevel="2" x14ac:dyDescent="0.15">
      <c r="G51" s="31"/>
      <c r="H51" s="31"/>
      <c r="I51" s="31" t="s">
        <v>163</v>
      </c>
    </row>
    <row r="52" spans="4:22" outlineLevel="2" x14ac:dyDescent="0.15">
      <c r="D52" s="238" t="s">
        <v>167</v>
      </c>
      <c r="E52" s="240"/>
      <c r="F52" s="241"/>
      <c r="G52" s="245"/>
      <c r="H52" s="245"/>
      <c r="I52" s="245" t="s">
        <v>163</v>
      </c>
      <c r="J52" s="240"/>
      <c r="K52" s="240"/>
      <c r="L52" s="240"/>
      <c r="M52" s="240"/>
      <c r="N52" s="240"/>
      <c r="O52" s="240"/>
      <c r="P52" s="240"/>
      <c r="Q52" s="240"/>
      <c r="R52" s="240"/>
      <c r="S52" s="240"/>
      <c r="T52" s="240"/>
      <c r="U52" s="240"/>
      <c r="V52" s="240"/>
    </row>
    <row r="53" spans="4:22" outlineLevel="2" x14ac:dyDescent="0.15">
      <c r="D53" s="12" t="s">
        <v>160</v>
      </c>
      <c r="G53" s="31"/>
      <c r="H53" s="31"/>
      <c r="I53" s="31" t="s">
        <v>163</v>
      </c>
    </row>
    <row r="54" spans="4:22" outlineLevel="2" x14ac:dyDescent="0.15">
      <c r="E54" s="12" t="s">
        <v>112</v>
      </c>
      <c r="F54" s="75" t="s">
        <v>168</v>
      </c>
      <c r="G54" s="243">
        <v>0.08</v>
      </c>
      <c r="H54" s="12" t="s">
        <v>169</v>
      </c>
      <c r="I54" s="12" t="s">
        <v>163</v>
      </c>
      <c r="J54" s="89">
        <f t="shared" ref="J54:V58" si="1">$G$45*J$49*$G54</f>
        <v>0</v>
      </c>
      <c r="K54" s="89">
        <f t="shared" si="1"/>
        <v>0</v>
      </c>
      <c r="L54" s="89">
        <f t="shared" si="1"/>
        <v>0.16</v>
      </c>
      <c r="M54" s="89">
        <f t="shared" si="1"/>
        <v>0.48</v>
      </c>
      <c r="N54" s="89">
        <f t="shared" si="1"/>
        <v>1.1200000000000001</v>
      </c>
      <c r="O54" s="89">
        <f t="shared" si="1"/>
        <v>1.6</v>
      </c>
      <c r="P54" s="89">
        <f t="shared" si="1"/>
        <v>1.6</v>
      </c>
      <c r="Q54" s="89">
        <f t="shared" si="1"/>
        <v>1.6</v>
      </c>
      <c r="R54" s="89">
        <f t="shared" si="1"/>
        <v>1.6</v>
      </c>
      <c r="S54" s="89">
        <f t="shared" si="1"/>
        <v>1.6</v>
      </c>
      <c r="T54" s="89">
        <f t="shared" si="1"/>
        <v>1.6</v>
      </c>
      <c r="U54" s="89">
        <f t="shared" si="1"/>
        <v>1.6</v>
      </c>
      <c r="V54" s="89">
        <f t="shared" si="1"/>
        <v>1.6</v>
      </c>
    </row>
    <row r="55" spans="4:22" outlineLevel="2" x14ac:dyDescent="0.15">
      <c r="E55" s="12" t="s">
        <v>113</v>
      </c>
      <c r="F55" s="75" t="s">
        <v>168</v>
      </c>
      <c r="G55" s="3">
        <v>0.15</v>
      </c>
      <c r="H55" s="12" t="s">
        <v>169</v>
      </c>
      <c r="I55" s="12" t="s">
        <v>163</v>
      </c>
      <c r="J55" s="89">
        <f t="shared" si="1"/>
        <v>0</v>
      </c>
      <c r="K55" s="89">
        <f t="shared" si="1"/>
        <v>0</v>
      </c>
      <c r="L55" s="89">
        <f t="shared" si="1"/>
        <v>0.3</v>
      </c>
      <c r="M55" s="89">
        <f t="shared" si="1"/>
        <v>0.89999999999999991</v>
      </c>
      <c r="N55" s="89">
        <f t="shared" si="1"/>
        <v>2.1</v>
      </c>
      <c r="O55" s="89">
        <f t="shared" si="1"/>
        <v>3</v>
      </c>
      <c r="P55" s="89">
        <f t="shared" si="1"/>
        <v>3</v>
      </c>
      <c r="Q55" s="89">
        <f t="shared" si="1"/>
        <v>3</v>
      </c>
      <c r="R55" s="89">
        <f t="shared" si="1"/>
        <v>3</v>
      </c>
      <c r="S55" s="89">
        <f t="shared" si="1"/>
        <v>3</v>
      </c>
      <c r="T55" s="89">
        <f t="shared" si="1"/>
        <v>3</v>
      </c>
      <c r="U55" s="89">
        <f t="shared" si="1"/>
        <v>3</v>
      </c>
      <c r="V55" s="89">
        <f t="shared" si="1"/>
        <v>3</v>
      </c>
    </row>
    <row r="56" spans="4:22" outlineLevel="2" x14ac:dyDescent="0.15">
      <c r="E56" s="12" t="s">
        <v>114</v>
      </c>
      <c r="F56" s="75" t="s">
        <v>168</v>
      </c>
      <c r="G56" s="3">
        <v>0.19</v>
      </c>
      <c r="H56" s="12" t="s">
        <v>169</v>
      </c>
      <c r="I56" s="12" t="s">
        <v>163</v>
      </c>
      <c r="J56" s="89">
        <f t="shared" si="1"/>
        <v>0</v>
      </c>
      <c r="K56" s="89">
        <f t="shared" si="1"/>
        <v>0</v>
      </c>
      <c r="L56" s="89">
        <f t="shared" si="1"/>
        <v>0.38</v>
      </c>
      <c r="M56" s="89">
        <f t="shared" si="1"/>
        <v>1.1400000000000001</v>
      </c>
      <c r="N56" s="89">
        <f t="shared" si="1"/>
        <v>2.66</v>
      </c>
      <c r="O56" s="89">
        <f t="shared" si="1"/>
        <v>3.8</v>
      </c>
      <c r="P56" s="89">
        <f t="shared" si="1"/>
        <v>3.8</v>
      </c>
      <c r="Q56" s="89">
        <f t="shared" si="1"/>
        <v>3.8</v>
      </c>
      <c r="R56" s="89">
        <f t="shared" si="1"/>
        <v>3.8</v>
      </c>
      <c r="S56" s="89">
        <f t="shared" si="1"/>
        <v>3.8</v>
      </c>
      <c r="T56" s="89">
        <f t="shared" si="1"/>
        <v>3.8</v>
      </c>
      <c r="U56" s="89">
        <f t="shared" si="1"/>
        <v>3.8</v>
      </c>
      <c r="V56" s="89">
        <f t="shared" si="1"/>
        <v>3.8</v>
      </c>
    </row>
    <row r="57" spans="4:22" outlineLevel="2" x14ac:dyDescent="0.15">
      <c r="E57" s="12" t="s">
        <v>115</v>
      </c>
      <c r="F57" s="75" t="s">
        <v>168</v>
      </c>
      <c r="G57" s="3">
        <v>0.28999999999999998</v>
      </c>
      <c r="H57" s="12" t="s">
        <v>169</v>
      </c>
      <c r="I57" s="12" t="s">
        <v>163</v>
      </c>
      <c r="J57" s="89">
        <f t="shared" si="1"/>
        <v>0</v>
      </c>
      <c r="K57" s="89">
        <f t="shared" si="1"/>
        <v>0</v>
      </c>
      <c r="L57" s="89">
        <f t="shared" si="1"/>
        <v>0.57999999999999996</v>
      </c>
      <c r="M57" s="89">
        <f t="shared" si="1"/>
        <v>1.7399999999999998</v>
      </c>
      <c r="N57" s="89">
        <f t="shared" si="1"/>
        <v>4.0599999999999996</v>
      </c>
      <c r="O57" s="89">
        <f t="shared" si="1"/>
        <v>5.8</v>
      </c>
      <c r="P57" s="89">
        <f t="shared" si="1"/>
        <v>5.8</v>
      </c>
      <c r="Q57" s="89">
        <f t="shared" si="1"/>
        <v>5.8</v>
      </c>
      <c r="R57" s="89">
        <f t="shared" si="1"/>
        <v>5.8</v>
      </c>
      <c r="S57" s="89">
        <f t="shared" si="1"/>
        <v>5.8</v>
      </c>
      <c r="T57" s="89">
        <f t="shared" si="1"/>
        <v>5.8</v>
      </c>
      <c r="U57" s="89">
        <f t="shared" si="1"/>
        <v>5.8</v>
      </c>
      <c r="V57" s="89">
        <f t="shared" si="1"/>
        <v>5.8</v>
      </c>
    </row>
    <row r="58" spans="4:22" outlineLevel="2" x14ac:dyDescent="0.15">
      <c r="E58" s="12" t="s">
        <v>170</v>
      </c>
      <c r="F58" s="75" t="s">
        <v>168</v>
      </c>
      <c r="G58" s="3">
        <v>0.29000000000000004</v>
      </c>
      <c r="H58" s="12" t="s">
        <v>169</v>
      </c>
      <c r="I58" s="12" t="s">
        <v>163</v>
      </c>
      <c r="J58" s="89">
        <f t="shared" si="1"/>
        <v>0</v>
      </c>
      <c r="K58" s="89">
        <f t="shared" si="1"/>
        <v>0</v>
      </c>
      <c r="L58" s="89">
        <f t="shared" si="1"/>
        <v>0.58000000000000007</v>
      </c>
      <c r="M58" s="89">
        <f t="shared" si="1"/>
        <v>1.7400000000000002</v>
      </c>
      <c r="N58" s="89">
        <f t="shared" si="1"/>
        <v>4.0600000000000005</v>
      </c>
      <c r="O58" s="89">
        <f t="shared" si="1"/>
        <v>5.8000000000000007</v>
      </c>
      <c r="P58" s="89">
        <f t="shared" si="1"/>
        <v>5.8000000000000007</v>
      </c>
      <c r="Q58" s="89">
        <f t="shared" si="1"/>
        <v>5.8000000000000007</v>
      </c>
      <c r="R58" s="89">
        <f t="shared" si="1"/>
        <v>5.8000000000000007</v>
      </c>
      <c r="S58" s="89">
        <f t="shared" si="1"/>
        <v>5.8000000000000007</v>
      </c>
      <c r="T58" s="89">
        <f t="shared" si="1"/>
        <v>5.8000000000000007</v>
      </c>
      <c r="U58" s="89">
        <f t="shared" si="1"/>
        <v>5.8000000000000007</v>
      </c>
      <c r="V58" s="89">
        <f t="shared" si="1"/>
        <v>5.8000000000000007</v>
      </c>
    </row>
    <row r="59" spans="4:22" s="22" customFormat="1" outlineLevel="2" x14ac:dyDescent="0.15">
      <c r="D59" s="228"/>
      <c r="E59" s="228" t="s">
        <v>171</v>
      </c>
      <c r="F59" s="236" t="s">
        <v>168</v>
      </c>
      <c r="G59" s="228"/>
      <c r="I59" s="22" t="s">
        <v>163</v>
      </c>
      <c r="J59" s="233">
        <f>SUM(J54:J58)</f>
        <v>0</v>
      </c>
      <c r="K59" s="233">
        <f t="shared" ref="K59:V59" si="2">SUM(K54:K58)</f>
        <v>0</v>
      </c>
      <c r="L59" s="233">
        <f t="shared" si="2"/>
        <v>2</v>
      </c>
      <c r="M59" s="233">
        <f t="shared" si="2"/>
        <v>6</v>
      </c>
      <c r="N59" s="233">
        <f t="shared" si="2"/>
        <v>14.000000000000002</v>
      </c>
      <c r="O59" s="233">
        <f t="shared" si="2"/>
        <v>20</v>
      </c>
      <c r="P59" s="233">
        <f t="shared" si="2"/>
        <v>20</v>
      </c>
      <c r="Q59" s="233">
        <f t="shared" si="2"/>
        <v>20</v>
      </c>
      <c r="R59" s="233">
        <f t="shared" si="2"/>
        <v>20</v>
      </c>
      <c r="S59" s="233">
        <f t="shared" si="2"/>
        <v>20</v>
      </c>
      <c r="T59" s="233">
        <f t="shared" si="2"/>
        <v>20</v>
      </c>
      <c r="U59" s="233">
        <f t="shared" si="2"/>
        <v>20</v>
      </c>
      <c r="V59" s="233">
        <f t="shared" si="2"/>
        <v>20</v>
      </c>
    </row>
    <row r="60" spans="4:22" outlineLevel="2" x14ac:dyDescent="0.15">
      <c r="G60" s="75"/>
    </row>
    <row r="61" spans="4:22" outlineLevel="2" x14ac:dyDescent="0.15">
      <c r="D61" s="12" t="s">
        <v>164</v>
      </c>
      <c r="G61" s="75"/>
      <c r="I61" s="12" t="s">
        <v>163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</row>
    <row r="62" spans="4:22" outlineLevel="2" x14ac:dyDescent="0.15">
      <c r="E62" s="12" t="s">
        <v>112</v>
      </c>
      <c r="F62" s="75" t="s">
        <v>166</v>
      </c>
      <c r="G62" s="3">
        <v>8.8000000000000009E-2</v>
      </c>
      <c r="H62" s="12" t="s">
        <v>169</v>
      </c>
      <c r="I62" s="12" t="s">
        <v>163</v>
      </c>
      <c r="J62" s="89">
        <f>$G$46*J$50*$G62</f>
        <v>0</v>
      </c>
      <c r="K62" s="89">
        <f t="shared" ref="K62:V66" si="3">$G$46*K$50*$G62</f>
        <v>0</v>
      </c>
      <c r="L62" s="89">
        <f t="shared" si="3"/>
        <v>0</v>
      </c>
      <c r="M62" s="89">
        <f t="shared" si="3"/>
        <v>1.32</v>
      </c>
      <c r="N62" s="89">
        <f t="shared" si="3"/>
        <v>1.8480000000000001</v>
      </c>
      <c r="O62" s="89">
        <f t="shared" si="3"/>
        <v>2.64</v>
      </c>
      <c r="P62" s="89">
        <f t="shared" si="3"/>
        <v>2.64</v>
      </c>
      <c r="Q62" s="89">
        <f t="shared" si="3"/>
        <v>2.64</v>
      </c>
      <c r="R62" s="89">
        <f t="shared" si="3"/>
        <v>2.64</v>
      </c>
      <c r="S62" s="89">
        <f t="shared" si="3"/>
        <v>2.64</v>
      </c>
      <c r="T62" s="89">
        <f t="shared" si="3"/>
        <v>2.64</v>
      </c>
      <c r="U62" s="89">
        <f t="shared" si="3"/>
        <v>2.64</v>
      </c>
      <c r="V62" s="89">
        <f t="shared" si="3"/>
        <v>2.64</v>
      </c>
    </row>
    <row r="63" spans="4:22" outlineLevel="2" x14ac:dyDescent="0.15">
      <c r="E63" s="12" t="s">
        <v>113</v>
      </c>
      <c r="F63" s="75" t="s">
        <v>166</v>
      </c>
      <c r="G63" s="3">
        <v>0.16500000000000001</v>
      </c>
      <c r="H63" s="12" t="s">
        <v>169</v>
      </c>
      <c r="J63" s="89">
        <f t="shared" ref="J63:J66" si="4">$G$46*J$50*$G63</f>
        <v>0</v>
      </c>
      <c r="K63" s="89">
        <f t="shared" si="3"/>
        <v>0</v>
      </c>
      <c r="L63" s="89">
        <f t="shared" si="3"/>
        <v>0</v>
      </c>
      <c r="M63" s="89">
        <f t="shared" si="3"/>
        <v>2.4750000000000001</v>
      </c>
      <c r="N63" s="89">
        <f t="shared" si="3"/>
        <v>3.4650000000000003</v>
      </c>
      <c r="O63" s="89">
        <f t="shared" si="3"/>
        <v>4.95</v>
      </c>
      <c r="P63" s="89">
        <f t="shared" si="3"/>
        <v>4.95</v>
      </c>
      <c r="Q63" s="89">
        <f t="shared" si="3"/>
        <v>4.95</v>
      </c>
      <c r="R63" s="89">
        <f t="shared" si="3"/>
        <v>4.95</v>
      </c>
      <c r="S63" s="89">
        <f t="shared" si="3"/>
        <v>4.95</v>
      </c>
      <c r="T63" s="89">
        <f t="shared" si="3"/>
        <v>4.95</v>
      </c>
      <c r="U63" s="89">
        <f t="shared" si="3"/>
        <v>4.95</v>
      </c>
      <c r="V63" s="89">
        <f t="shared" si="3"/>
        <v>4.95</v>
      </c>
    </row>
    <row r="64" spans="4:22" outlineLevel="2" x14ac:dyDescent="0.15">
      <c r="E64" s="12" t="s">
        <v>114</v>
      </c>
      <c r="F64" s="75" t="s">
        <v>166</v>
      </c>
      <c r="G64" s="3">
        <v>0.20900000000000002</v>
      </c>
      <c r="H64" s="12" t="s">
        <v>169</v>
      </c>
      <c r="J64" s="89">
        <f t="shared" si="4"/>
        <v>0</v>
      </c>
      <c r="K64" s="89">
        <f t="shared" si="3"/>
        <v>0</v>
      </c>
      <c r="L64" s="89">
        <f t="shared" si="3"/>
        <v>0</v>
      </c>
      <c r="M64" s="89">
        <f t="shared" si="3"/>
        <v>3.1350000000000002</v>
      </c>
      <c r="N64" s="89">
        <f t="shared" si="3"/>
        <v>4.3890000000000002</v>
      </c>
      <c r="O64" s="89">
        <f t="shared" si="3"/>
        <v>6.2700000000000005</v>
      </c>
      <c r="P64" s="89">
        <f t="shared" si="3"/>
        <v>6.2700000000000005</v>
      </c>
      <c r="Q64" s="89">
        <f t="shared" si="3"/>
        <v>6.2700000000000005</v>
      </c>
      <c r="R64" s="89">
        <f t="shared" si="3"/>
        <v>6.2700000000000005</v>
      </c>
      <c r="S64" s="89">
        <f t="shared" si="3"/>
        <v>6.2700000000000005</v>
      </c>
      <c r="T64" s="89">
        <f t="shared" si="3"/>
        <v>6.2700000000000005</v>
      </c>
      <c r="U64" s="89">
        <f t="shared" si="3"/>
        <v>6.2700000000000005</v>
      </c>
      <c r="V64" s="89">
        <f t="shared" si="3"/>
        <v>6.2700000000000005</v>
      </c>
    </row>
    <row r="65" spans="2:22" outlineLevel="2" x14ac:dyDescent="0.15">
      <c r="E65" s="12" t="s">
        <v>115</v>
      </c>
      <c r="F65" s="75" t="s">
        <v>166</v>
      </c>
      <c r="G65" s="3">
        <v>0.31900000000000001</v>
      </c>
      <c r="H65" s="12" t="s">
        <v>169</v>
      </c>
      <c r="J65" s="89">
        <f t="shared" si="4"/>
        <v>0</v>
      </c>
      <c r="K65" s="89">
        <f t="shared" si="3"/>
        <v>0</v>
      </c>
      <c r="L65" s="89">
        <f t="shared" si="3"/>
        <v>0</v>
      </c>
      <c r="M65" s="89">
        <f t="shared" si="3"/>
        <v>4.7850000000000001</v>
      </c>
      <c r="N65" s="89">
        <f t="shared" si="3"/>
        <v>6.6989999999999998</v>
      </c>
      <c r="O65" s="89">
        <f t="shared" si="3"/>
        <v>9.57</v>
      </c>
      <c r="P65" s="89">
        <f t="shared" si="3"/>
        <v>9.57</v>
      </c>
      <c r="Q65" s="89">
        <f t="shared" si="3"/>
        <v>9.57</v>
      </c>
      <c r="R65" s="89">
        <f t="shared" si="3"/>
        <v>9.57</v>
      </c>
      <c r="S65" s="89">
        <f t="shared" si="3"/>
        <v>9.57</v>
      </c>
      <c r="T65" s="89">
        <f t="shared" si="3"/>
        <v>9.57</v>
      </c>
      <c r="U65" s="89">
        <f t="shared" si="3"/>
        <v>9.57</v>
      </c>
      <c r="V65" s="89">
        <f t="shared" si="3"/>
        <v>9.57</v>
      </c>
    </row>
    <row r="66" spans="2:22" outlineLevel="2" x14ac:dyDescent="0.15">
      <c r="E66" s="12" t="s">
        <v>170</v>
      </c>
      <c r="F66" s="75" t="s">
        <v>166</v>
      </c>
      <c r="G66" s="3">
        <v>0.21899999999999997</v>
      </c>
      <c r="H66" s="12" t="s">
        <v>169</v>
      </c>
      <c r="J66" s="89">
        <f t="shared" si="4"/>
        <v>0</v>
      </c>
      <c r="K66" s="89">
        <f t="shared" si="3"/>
        <v>0</v>
      </c>
      <c r="L66" s="89">
        <f t="shared" si="3"/>
        <v>0</v>
      </c>
      <c r="M66" s="89">
        <f t="shared" si="3"/>
        <v>3.2849999999999997</v>
      </c>
      <c r="N66" s="89">
        <f t="shared" si="3"/>
        <v>4.5989999999999993</v>
      </c>
      <c r="O66" s="89">
        <f t="shared" si="3"/>
        <v>6.5699999999999994</v>
      </c>
      <c r="P66" s="89">
        <f t="shared" si="3"/>
        <v>6.5699999999999994</v>
      </c>
      <c r="Q66" s="89">
        <f t="shared" si="3"/>
        <v>6.5699999999999994</v>
      </c>
      <c r="R66" s="89">
        <f t="shared" si="3"/>
        <v>6.5699999999999994</v>
      </c>
      <c r="S66" s="89">
        <f t="shared" si="3"/>
        <v>6.5699999999999994</v>
      </c>
      <c r="T66" s="89">
        <f t="shared" si="3"/>
        <v>6.5699999999999994</v>
      </c>
      <c r="U66" s="89">
        <f t="shared" si="3"/>
        <v>6.5699999999999994</v>
      </c>
      <c r="V66" s="89">
        <f t="shared" si="3"/>
        <v>6.5699999999999994</v>
      </c>
    </row>
    <row r="67" spans="2:22" s="22" customFormat="1" outlineLevel="2" x14ac:dyDescent="0.15">
      <c r="D67" s="228"/>
      <c r="E67" s="228" t="s">
        <v>171</v>
      </c>
      <c r="F67" s="236" t="s">
        <v>168</v>
      </c>
      <c r="G67" s="53"/>
      <c r="I67" s="12"/>
      <c r="J67" s="233">
        <f>SUM(J62:J66)</f>
        <v>0</v>
      </c>
      <c r="K67" s="233">
        <f t="shared" ref="K67:V67" si="5">SUM(K62:K66)</f>
        <v>0</v>
      </c>
      <c r="L67" s="233">
        <f t="shared" si="5"/>
        <v>0</v>
      </c>
      <c r="M67" s="233">
        <f t="shared" si="5"/>
        <v>15</v>
      </c>
      <c r="N67" s="233">
        <f t="shared" si="5"/>
        <v>21.000000000000004</v>
      </c>
      <c r="O67" s="233">
        <f t="shared" si="5"/>
        <v>30</v>
      </c>
      <c r="P67" s="233">
        <f t="shared" si="5"/>
        <v>30</v>
      </c>
      <c r="Q67" s="233">
        <f t="shared" si="5"/>
        <v>30</v>
      </c>
      <c r="R67" s="233">
        <f t="shared" si="5"/>
        <v>30</v>
      </c>
      <c r="S67" s="233">
        <f t="shared" si="5"/>
        <v>30</v>
      </c>
      <c r="T67" s="233">
        <f t="shared" si="5"/>
        <v>30</v>
      </c>
      <c r="U67" s="233">
        <f t="shared" si="5"/>
        <v>30</v>
      </c>
      <c r="V67" s="233">
        <f t="shared" si="5"/>
        <v>30</v>
      </c>
    </row>
    <row r="68" spans="2:22" outlineLevel="2" x14ac:dyDescent="0.15">
      <c r="G68" s="75"/>
    </row>
    <row r="69" spans="2:22" s="22" customFormat="1" outlineLevel="2" x14ac:dyDescent="0.15">
      <c r="D69" s="2" t="s">
        <v>172</v>
      </c>
      <c r="E69" s="2"/>
      <c r="F69" s="237" t="s">
        <v>168</v>
      </c>
      <c r="G69" s="76"/>
      <c r="I69" s="12"/>
      <c r="J69" s="232">
        <f>J59+J67</f>
        <v>0</v>
      </c>
      <c r="K69" s="232">
        <f t="shared" ref="K69:V69" si="6">K59+K67</f>
        <v>0</v>
      </c>
      <c r="L69" s="232">
        <f t="shared" si="6"/>
        <v>2</v>
      </c>
      <c r="M69" s="232">
        <f t="shared" si="6"/>
        <v>21</v>
      </c>
      <c r="N69" s="232">
        <f t="shared" si="6"/>
        <v>35.000000000000007</v>
      </c>
      <c r="O69" s="232">
        <f t="shared" si="6"/>
        <v>50</v>
      </c>
      <c r="P69" s="232">
        <f t="shared" si="6"/>
        <v>50</v>
      </c>
      <c r="Q69" s="232">
        <f t="shared" si="6"/>
        <v>50</v>
      </c>
      <c r="R69" s="232">
        <f t="shared" si="6"/>
        <v>50</v>
      </c>
      <c r="S69" s="232">
        <f t="shared" si="6"/>
        <v>50</v>
      </c>
      <c r="T69" s="232">
        <f t="shared" si="6"/>
        <v>50</v>
      </c>
      <c r="U69" s="232">
        <f t="shared" si="6"/>
        <v>50</v>
      </c>
      <c r="V69" s="232">
        <f t="shared" si="6"/>
        <v>50</v>
      </c>
    </row>
    <row r="70" spans="2:22" outlineLevel="2" x14ac:dyDescent="0.15">
      <c r="G70" s="75"/>
    </row>
    <row r="71" spans="2:22" outlineLevel="1" x14ac:dyDescent="0.15">
      <c r="B71" s="224"/>
      <c r="C71" s="224" t="s">
        <v>173</v>
      </c>
      <c r="D71" s="224"/>
      <c r="E71" s="224"/>
      <c r="F71" s="229"/>
      <c r="G71" s="224"/>
      <c r="I71" s="12" t="s">
        <v>163</v>
      </c>
      <c r="J71" s="224"/>
      <c r="K71" s="224"/>
      <c r="L71" s="224"/>
      <c r="M71" s="224"/>
      <c r="N71" s="224"/>
      <c r="O71" s="224"/>
      <c r="P71" s="224"/>
      <c r="Q71" s="224"/>
      <c r="R71" s="224"/>
      <c r="S71" s="224"/>
      <c r="T71" s="224"/>
      <c r="U71" s="224"/>
      <c r="V71" s="224"/>
    </row>
    <row r="72" spans="2:22" outlineLevel="2" x14ac:dyDescent="0.15">
      <c r="I72" s="12" t="s">
        <v>163</v>
      </c>
    </row>
    <row r="73" spans="2:22" outlineLevel="2" x14ac:dyDescent="0.15">
      <c r="C73" s="22" t="s">
        <v>174</v>
      </c>
      <c r="I73" s="12" t="s">
        <v>163</v>
      </c>
    </row>
    <row r="74" spans="2:22" outlineLevel="2" x14ac:dyDescent="0.15">
      <c r="E74" s="12" t="s">
        <v>112</v>
      </c>
      <c r="F74" s="75" t="s">
        <v>175</v>
      </c>
      <c r="G74" s="231">
        <v>12</v>
      </c>
      <c r="H74" s="12" t="s">
        <v>176</v>
      </c>
      <c r="I74" s="12" t="s">
        <v>163</v>
      </c>
    </row>
    <row r="75" spans="2:22" outlineLevel="2" x14ac:dyDescent="0.15">
      <c r="E75" s="12" t="s">
        <v>113</v>
      </c>
      <c r="F75" s="75" t="s">
        <v>175</v>
      </c>
      <c r="G75" s="231">
        <v>13.200000000000001</v>
      </c>
      <c r="H75" s="12" t="s">
        <v>176</v>
      </c>
      <c r="I75" s="12" t="s">
        <v>163</v>
      </c>
    </row>
    <row r="76" spans="2:22" outlineLevel="2" x14ac:dyDescent="0.15">
      <c r="E76" s="12" t="s">
        <v>114</v>
      </c>
      <c r="F76" s="75" t="s">
        <v>175</v>
      </c>
      <c r="G76" s="231">
        <v>14.520000000000003</v>
      </c>
      <c r="H76" s="12" t="s">
        <v>176</v>
      </c>
      <c r="I76" s="12" t="s">
        <v>163</v>
      </c>
    </row>
    <row r="77" spans="2:22" outlineLevel="2" x14ac:dyDescent="0.15">
      <c r="E77" s="12" t="s">
        <v>115</v>
      </c>
      <c r="F77" s="75" t="s">
        <v>175</v>
      </c>
      <c r="G77" s="231">
        <v>15.972000000000005</v>
      </c>
      <c r="H77" s="12" t="s">
        <v>176</v>
      </c>
      <c r="I77" s="12" t="s">
        <v>163</v>
      </c>
    </row>
    <row r="78" spans="2:22" outlineLevel="2" x14ac:dyDescent="0.15">
      <c r="E78" s="12" t="s">
        <v>170</v>
      </c>
      <c r="F78" s="75" t="s">
        <v>175</v>
      </c>
      <c r="G78" s="231">
        <v>17.569200000000006</v>
      </c>
      <c r="H78" s="12" t="s">
        <v>176</v>
      </c>
      <c r="I78" s="12" t="s">
        <v>163</v>
      </c>
    </row>
    <row r="79" spans="2:22" outlineLevel="2" x14ac:dyDescent="0.15"/>
    <row r="80" spans="2:22" outlineLevel="1" x14ac:dyDescent="0.15"/>
    <row r="81" spans="1:23" x14ac:dyDescent="0.15">
      <c r="B81" s="115" t="s">
        <v>177</v>
      </c>
      <c r="C81" s="115"/>
      <c r="D81" s="115"/>
      <c r="E81" s="115"/>
      <c r="F81" s="230"/>
      <c r="G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</row>
    <row r="82" spans="1:23" outlineLevel="1" x14ac:dyDescent="0.15"/>
    <row r="83" spans="1:23" outlineLevel="1" x14ac:dyDescent="0.15">
      <c r="B83" s="224"/>
      <c r="C83" s="224" t="s">
        <v>178</v>
      </c>
      <c r="D83" s="224"/>
      <c r="E83" s="224"/>
      <c r="F83" s="229"/>
      <c r="G83" s="224"/>
      <c r="J83" s="224"/>
      <c r="K83" s="224"/>
      <c r="L83" s="224"/>
      <c r="M83" s="224"/>
      <c r="N83" s="224"/>
      <c r="O83" s="224"/>
      <c r="P83" s="224"/>
      <c r="Q83" s="224"/>
      <c r="R83" s="224"/>
      <c r="S83" s="224"/>
      <c r="T83" s="224"/>
      <c r="U83" s="224"/>
      <c r="V83" s="224"/>
    </row>
    <row r="84" spans="1:23" outlineLevel="2" x14ac:dyDescent="0.15"/>
    <row r="85" spans="1:23" outlineLevel="2" x14ac:dyDescent="0.15">
      <c r="E85" s="12" t="s">
        <v>179</v>
      </c>
    </row>
    <row r="86" spans="1:23" outlineLevel="2" x14ac:dyDescent="0.15">
      <c r="E86" s="12" t="s">
        <v>179</v>
      </c>
    </row>
    <row r="87" spans="1:23" outlineLevel="2" x14ac:dyDescent="0.15">
      <c r="E87" s="12" t="s">
        <v>179</v>
      </c>
    </row>
    <row r="88" spans="1:23" outlineLevel="2" x14ac:dyDescent="0.15"/>
    <row r="89" spans="1:23" outlineLevel="1" x14ac:dyDescent="0.15">
      <c r="B89" s="224"/>
      <c r="C89" s="224" t="s">
        <v>180</v>
      </c>
      <c r="D89" s="224"/>
      <c r="E89" s="224"/>
      <c r="F89" s="229"/>
      <c r="G89" s="224"/>
      <c r="J89" s="224"/>
      <c r="K89" s="224"/>
      <c r="L89" s="224"/>
      <c r="M89" s="224"/>
      <c r="N89" s="224"/>
      <c r="O89" s="224"/>
      <c r="P89" s="224"/>
      <c r="Q89" s="224"/>
      <c r="R89" s="224"/>
      <c r="S89" s="224"/>
      <c r="T89" s="224"/>
      <c r="U89" s="224"/>
      <c r="V89" s="224"/>
    </row>
    <row r="90" spans="1:23" s="75" customFormat="1" outlineLevel="2" x14ac:dyDescent="0.15">
      <c r="A90" s="12"/>
      <c r="B90" s="12"/>
      <c r="C90" s="12"/>
      <c r="D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</row>
    <row r="91" spans="1:23" s="75" customFormat="1" outlineLevel="2" x14ac:dyDescent="0.15">
      <c r="A91" s="12"/>
      <c r="B91" s="12"/>
      <c r="C91" s="12"/>
      <c r="D91" s="12"/>
      <c r="E91" s="12" t="s">
        <v>179</v>
      </c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</row>
    <row r="92" spans="1:23" s="75" customFormat="1" outlineLevel="2" x14ac:dyDescent="0.15">
      <c r="A92" s="12"/>
      <c r="B92" s="12"/>
      <c r="C92" s="12"/>
      <c r="D92" s="12"/>
      <c r="E92" s="12" t="s">
        <v>179</v>
      </c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</row>
    <row r="93" spans="1:23" s="75" customFormat="1" outlineLevel="2" x14ac:dyDescent="0.15">
      <c r="A93" s="12"/>
      <c r="B93" s="12"/>
      <c r="C93" s="12"/>
      <c r="D93" s="12"/>
      <c r="E93" s="12" t="s">
        <v>179</v>
      </c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</row>
    <row r="94" spans="1:23" outlineLevel="2" x14ac:dyDescent="0.15"/>
    <row r="95" spans="1:23" outlineLevel="1" x14ac:dyDescent="0.15"/>
    <row r="97" spans="2:22" x14ac:dyDescent="0.15">
      <c r="B97" s="115" t="s">
        <v>124</v>
      </c>
      <c r="C97" s="115"/>
      <c r="D97" s="115"/>
      <c r="E97" s="115"/>
      <c r="F97" s="230"/>
      <c r="G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</row>
  </sheetData>
  <dataValidations disablePrompts="1" count="1">
    <dataValidation type="list" allowBlank="1" showInputMessage="1" showErrorMessage="1" sqref="G26">
      <formula1>"100,200"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>
    <tabColor theme="9" tint="0.79998168889431442"/>
  </sheetPr>
  <dimension ref="A1:K43"/>
  <sheetViews>
    <sheetView showGridLines="0" workbookViewId="0"/>
  </sheetViews>
  <sheetFormatPr defaultColWidth="11" defaultRowHeight="11.25" outlineLevelRow="1" x14ac:dyDescent="0.15"/>
  <cols>
    <col min="1" max="1" width="3.625" style="12" customWidth="1"/>
    <col min="2" max="2" width="5.625" style="12" customWidth="1"/>
    <col min="3" max="6" width="17.625" style="12" customWidth="1"/>
    <col min="7" max="16384" width="11" style="12"/>
  </cols>
  <sheetData>
    <row r="1" spans="1:11" x14ac:dyDescent="0.15">
      <c r="A1" s="225" t="s">
        <v>181</v>
      </c>
    </row>
    <row r="3" spans="1:11" x14ac:dyDescent="0.15">
      <c r="B3" s="13" t="s">
        <v>182</v>
      </c>
      <c r="C3" s="14"/>
      <c r="D3" s="14"/>
      <c r="E3" s="14"/>
      <c r="F3" s="14"/>
      <c r="G3" s="14"/>
      <c r="H3" s="14"/>
      <c r="I3" s="14"/>
      <c r="J3" s="14"/>
      <c r="K3" s="14"/>
    </row>
    <row r="4" spans="1:11" outlineLevel="1" x14ac:dyDescent="0.15"/>
    <row r="5" spans="1:11" outlineLevel="1" x14ac:dyDescent="0.15">
      <c r="C5" s="26" t="s">
        <v>183</v>
      </c>
      <c r="D5" s="91" t="s">
        <v>184</v>
      </c>
      <c r="E5" s="91" t="s">
        <v>185</v>
      </c>
      <c r="F5" s="92" t="s">
        <v>186</v>
      </c>
      <c r="G5" s="92"/>
    </row>
    <row r="6" spans="1:11" outlineLevel="1" x14ac:dyDescent="0.15">
      <c r="C6" s="93" t="s">
        <v>187</v>
      </c>
      <c r="D6" s="94">
        <v>100500</v>
      </c>
      <c r="E6" s="94">
        <v>-100500</v>
      </c>
      <c r="F6" s="94">
        <v>0</v>
      </c>
      <c r="G6" s="96" t="s">
        <v>188</v>
      </c>
    </row>
    <row r="7" spans="1:11" outlineLevel="1" x14ac:dyDescent="0.15">
      <c r="C7" s="31" t="s">
        <v>187</v>
      </c>
      <c r="D7" s="97">
        <v>1.05</v>
      </c>
      <c r="E7" s="97">
        <v>-1.05</v>
      </c>
      <c r="F7" s="97">
        <v>0</v>
      </c>
      <c r="G7" s="98" t="s">
        <v>188</v>
      </c>
    </row>
    <row r="8" spans="1:11" outlineLevel="1" x14ac:dyDescent="0.15">
      <c r="C8" s="31" t="s">
        <v>189</v>
      </c>
      <c r="D8" s="99">
        <v>100500</v>
      </c>
      <c r="E8" s="99">
        <v>-100500</v>
      </c>
      <c r="F8" s="99">
        <v>0</v>
      </c>
      <c r="G8" s="100" t="s">
        <v>190</v>
      </c>
    </row>
    <row r="9" spans="1:11" outlineLevel="1" x14ac:dyDescent="0.15">
      <c r="C9" s="31" t="s">
        <v>191</v>
      </c>
      <c r="D9" s="101">
        <v>1.05</v>
      </c>
      <c r="E9" s="101">
        <v>-1.05</v>
      </c>
      <c r="F9" s="101">
        <v>0</v>
      </c>
      <c r="G9" s="102" t="s">
        <v>190</v>
      </c>
    </row>
    <row r="10" spans="1:11" outlineLevel="1" x14ac:dyDescent="0.15">
      <c r="C10" s="103" t="s">
        <v>192</v>
      </c>
      <c r="D10" s="104">
        <v>105</v>
      </c>
      <c r="E10" s="104">
        <v>-105</v>
      </c>
      <c r="F10" s="104">
        <v>0</v>
      </c>
      <c r="G10" s="105" t="s">
        <v>190</v>
      </c>
    </row>
    <row r="11" spans="1:11" outlineLevel="1" x14ac:dyDescent="0.15"/>
    <row r="12" spans="1:11" outlineLevel="1" x14ac:dyDescent="0.15"/>
    <row r="13" spans="1:11" x14ac:dyDescent="0.15">
      <c r="B13" s="13" t="s">
        <v>193</v>
      </c>
      <c r="C13" s="14"/>
      <c r="D13" s="14"/>
      <c r="E13" s="14"/>
      <c r="F13" s="14"/>
      <c r="G13" s="14"/>
      <c r="H13" s="14"/>
      <c r="I13" s="14"/>
      <c r="J13" s="14"/>
      <c r="K13" s="14"/>
    </row>
    <row r="14" spans="1:11" outlineLevel="1" x14ac:dyDescent="0.15"/>
    <row r="15" spans="1:11" outlineLevel="1" x14ac:dyDescent="0.15">
      <c r="C15" s="106" t="s">
        <v>183</v>
      </c>
      <c r="D15" s="92" t="s">
        <v>194</v>
      </c>
    </row>
    <row r="16" spans="1:11" outlineLevel="1" x14ac:dyDescent="0.15">
      <c r="C16" s="12" t="s">
        <v>195</v>
      </c>
      <c r="D16" s="107">
        <f ca="1">TODAY()</f>
        <v>46078</v>
      </c>
    </row>
    <row r="17" spans="2:11" outlineLevel="1" x14ac:dyDescent="0.15">
      <c r="C17" s="12" t="s">
        <v>196</v>
      </c>
      <c r="D17" s="108">
        <f t="shared" ref="D17:D21" ca="1" si="0">TODAY()</f>
        <v>46078</v>
      </c>
    </row>
    <row r="18" spans="2:11" outlineLevel="1" x14ac:dyDescent="0.15">
      <c r="C18" s="12" t="s">
        <v>197</v>
      </c>
      <c r="D18" s="109">
        <f t="shared" ca="1" si="0"/>
        <v>46078</v>
      </c>
      <c r="F18" s="28"/>
    </row>
    <row r="19" spans="2:11" outlineLevel="1" x14ac:dyDescent="0.15">
      <c r="C19" s="12" t="s">
        <v>198</v>
      </c>
      <c r="D19" s="110">
        <f t="shared" ca="1" si="0"/>
        <v>46078</v>
      </c>
    </row>
    <row r="20" spans="2:11" outlineLevel="1" x14ac:dyDescent="0.15">
      <c r="C20" s="12" t="s">
        <v>199</v>
      </c>
      <c r="D20" s="111">
        <f t="shared" ca="1" si="0"/>
        <v>46078</v>
      </c>
    </row>
    <row r="21" spans="2:11" outlineLevel="1" x14ac:dyDescent="0.15">
      <c r="C21" s="12" t="s">
        <v>200</v>
      </c>
      <c r="D21" s="112">
        <f t="shared" ca="1" si="0"/>
        <v>46078</v>
      </c>
    </row>
    <row r="22" spans="2:11" outlineLevel="1" x14ac:dyDescent="0.15"/>
    <row r="23" spans="2:11" x14ac:dyDescent="0.15">
      <c r="B23" s="13" t="s">
        <v>31</v>
      </c>
      <c r="C23" s="14"/>
      <c r="D23" s="14"/>
      <c r="E23" s="14"/>
      <c r="F23" s="14"/>
      <c r="G23" s="14"/>
      <c r="H23" s="14"/>
      <c r="I23" s="14"/>
      <c r="J23" s="14"/>
      <c r="K23" s="14"/>
    </row>
    <row r="24" spans="2:11" outlineLevel="1" x14ac:dyDescent="0.15">
      <c r="D24" s="21"/>
    </row>
    <row r="25" spans="2:11" outlineLevel="1" x14ac:dyDescent="0.15">
      <c r="C25" s="81" t="s">
        <v>201</v>
      </c>
      <c r="D25" s="12" t="s">
        <v>202</v>
      </c>
      <c r="F25" s="17"/>
      <c r="G25" s="17"/>
      <c r="H25" s="17"/>
      <c r="I25" s="17"/>
    </row>
    <row r="26" spans="2:11" outlineLevel="1" x14ac:dyDescent="0.15">
      <c r="C26" s="81" t="s">
        <v>203</v>
      </c>
      <c r="D26" s="12" t="s">
        <v>204</v>
      </c>
      <c r="F26" s="17"/>
      <c r="G26" s="17"/>
      <c r="H26" s="17"/>
      <c r="I26" s="17"/>
    </row>
    <row r="27" spans="2:11" outlineLevel="1" x14ac:dyDescent="0.15">
      <c r="C27" s="81" t="s">
        <v>205</v>
      </c>
      <c r="D27" s="12" t="s">
        <v>206</v>
      </c>
      <c r="F27" s="17"/>
      <c r="G27" s="17"/>
      <c r="H27" s="17"/>
      <c r="I27" s="17"/>
    </row>
    <row r="28" spans="2:11" outlineLevel="1" x14ac:dyDescent="0.15">
      <c r="C28" s="81" t="s">
        <v>207</v>
      </c>
      <c r="D28" s="12" t="s">
        <v>208</v>
      </c>
      <c r="F28" s="17"/>
      <c r="G28" s="17"/>
      <c r="H28" s="17"/>
      <c r="I28" s="17"/>
    </row>
    <row r="29" spans="2:11" outlineLevel="1" x14ac:dyDescent="0.15">
      <c r="C29" s="81" t="s">
        <v>209</v>
      </c>
      <c r="D29" s="12" t="s">
        <v>210</v>
      </c>
      <c r="F29" s="17"/>
      <c r="G29" s="17"/>
      <c r="H29" s="17"/>
      <c r="I29" s="17"/>
    </row>
    <row r="30" spans="2:11" outlineLevel="1" x14ac:dyDescent="0.15">
      <c r="F30" s="17"/>
      <c r="G30" s="17"/>
      <c r="H30" s="17"/>
      <c r="I30" s="17"/>
    </row>
    <row r="31" spans="2:11" outlineLevel="1" x14ac:dyDescent="0.15">
      <c r="F31" s="17"/>
      <c r="G31" s="17"/>
      <c r="H31" s="17"/>
      <c r="I31" s="17"/>
    </row>
    <row r="32" spans="2:11" outlineLevel="1" x14ac:dyDescent="0.15">
      <c r="F32" s="17"/>
      <c r="G32" s="17"/>
      <c r="H32" s="17"/>
      <c r="I32" s="17"/>
    </row>
    <row r="33" spans="6:9" outlineLevel="1" x14ac:dyDescent="0.15">
      <c r="F33" s="17"/>
      <c r="G33" s="17"/>
      <c r="H33" s="17"/>
      <c r="I33" s="17"/>
    </row>
    <row r="34" spans="6:9" outlineLevel="1" x14ac:dyDescent="0.15">
      <c r="F34" s="17"/>
      <c r="G34" s="17"/>
      <c r="H34" s="17"/>
      <c r="I34" s="17"/>
    </row>
    <row r="35" spans="6:9" outlineLevel="1" x14ac:dyDescent="0.15">
      <c r="F35" s="17"/>
      <c r="G35" s="17"/>
      <c r="H35" s="17"/>
      <c r="I35" s="17"/>
    </row>
    <row r="36" spans="6:9" outlineLevel="1" x14ac:dyDescent="0.15">
      <c r="F36" s="17"/>
      <c r="G36" s="17"/>
      <c r="H36" s="17"/>
      <c r="I36" s="17"/>
    </row>
    <row r="37" spans="6:9" outlineLevel="1" x14ac:dyDescent="0.15">
      <c r="F37" s="17"/>
      <c r="G37" s="17"/>
      <c r="H37" s="17"/>
      <c r="I37" s="17"/>
    </row>
    <row r="38" spans="6:9" outlineLevel="1" x14ac:dyDescent="0.15">
      <c r="F38" s="17"/>
      <c r="G38" s="17"/>
      <c r="H38" s="17"/>
      <c r="I38" s="17"/>
    </row>
    <row r="39" spans="6:9" outlineLevel="1" x14ac:dyDescent="0.15">
      <c r="F39" s="17"/>
      <c r="G39" s="17"/>
      <c r="H39" s="17"/>
      <c r="I39" s="17"/>
    </row>
    <row r="40" spans="6:9" outlineLevel="1" x14ac:dyDescent="0.15">
      <c r="F40" s="17"/>
      <c r="G40" s="17"/>
      <c r="H40" s="17"/>
      <c r="I40" s="17"/>
    </row>
    <row r="41" spans="6:9" outlineLevel="1" x14ac:dyDescent="0.15">
      <c r="F41" s="17"/>
      <c r="G41" s="17"/>
      <c r="H41" s="17"/>
      <c r="I41" s="17"/>
    </row>
    <row r="42" spans="6:9" outlineLevel="1" x14ac:dyDescent="0.15">
      <c r="F42" s="17"/>
      <c r="G42" s="17"/>
      <c r="H42" s="17"/>
      <c r="I42" s="17"/>
    </row>
    <row r="43" spans="6:9" outlineLevel="1" x14ac:dyDescent="0.15"/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>
    <tabColor theme="8" tint="0.39997558519241921"/>
  </sheetPr>
  <dimension ref="A1"/>
  <sheetViews>
    <sheetView showGridLines="0" workbookViewId="0">
      <selection activeCell="C15" sqref="C15"/>
    </sheetView>
  </sheetViews>
  <sheetFormatPr defaultColWidth="9" defaultRowHeight="11.25" x14ac:dyDescent="0.15"/>
  <cols>
    <col min="1" max="16384" width="9" style="10"/>
  </cols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>
    <tabColor theme="8" tint="0.79998168889431442"/>
  </sheetPr>
  <dimension ref="A1:AL96"/>
  <sheetViews>
    <sheetView showGridLines="0" workbookViewId="0">
      <pane xSplit="5" ySplit="2" topLeftCell="F3" activePane="bottomRight" state="frozen"/>
      <selection activeCell="C15" sqref="C15"/>
      <selection pane="topRight" activeCell="C15" sqref="C15"/>
      <selection pane="bottomLeft" activeCell="C15" sqref="C15"/>
      <selection pane="bottomRight" activeCell="F3" sqref="F3"/>
    </sheetView>
  </sheetViews>
  <sheetFormatPr defaultColWidth="11" defaultRowHeight="11.25" outlineLevelRow="1" x14ac:dyDescent="0.15"/>
  <cols>
    <col min="1" max="1" width="2.875" style="12" customWidth="1"/>
    <col min="2" max="2" width="19.125" style="12" customWidth="1"/>
    <col min="3" max="3" width="30" style="12" customWidth="1"/>
    <col min="4" max="4" width="21.375" style="113" customWidth="1"/>
    <col min="5" max="5" width="14.25" style="113" customWidth="1"/>
    <col min="6" max="6" width="23.875" style="12" customWidth="1"/>
    <col min="7" max="7" width="4" style="12" customWidth="1"/>
    <col min="8" max="11" width="11.875" style="12" customWidth="1"/>
    <col min="12" max="16384" width="11" style="12"/>
  </cols>
  <sheetData>
    <row r="1" spans="1:19" x14ac:dyDescent="0.15">
      <c r="A1" s="11" t="s">
        <v>211</v>
      </c>
    </row>
    <row r="2" spans="1:19" s="22" customFormat="1" x14ac:dyDescent="0.15">
      <c r="A2" s="11"/>
      <c r="B2" s="22" t="s">
        <v>212</v>
      </c>
      <c r="C2" s="22" t="s">
        <v>32</v>
      </c>
      <c r="D2" s="114" t="s">
        <v>213</v>
      </c>
      <c r="E2" s="114" t="s">
        <v>214</v>
      </c>
      <c r="F2" s="22" t="s">
        <v>215</v>
      </c>
      <c r="H2" s="22" t="s">
        <v>216</v>
      </c>
    </row>
    <row r="3" spans="1:19" x14ac:dyDescent="0.15">
      <c r="B3" s="1" t="s">
        <v>217</v>
      </c>
      <c r="C3" s="1"/>
      <c r="D3" s="1"/>
      <c r="E3" s="117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</row>
    <row r="4" spans="1:19" outlineLevel="1" x14ac:dyDescent="0.15"/>
    <row r="5" spans="1:19" outlineLevel="1" x14ac:dyDescent="0.15">
      <c r="B5" s="22" t="s">
        <v>218</v>
      </c>
      <c r="D5" s="113" t="b">
        <f>AND(H5&gt;=100,I5&gt;=100)</f>
        <v>1</v>
      </c>
      <c r="E5" s="113" t="b">
        <f>AND(H5&gt;=200,I5&gt;=100)</f>
        <v>0</v>
      </c>
      <c r="H5" s="100">
        <v>100</v>
      </c>
      <c r="I5" s="100">
        <v>200</v>
      </c>
    </row>
    <row r="6" spans="1:19" outlineLevel="1" x14ac:dyDescent="0.15">
      <c r="B6" s="22" t="s">
        <v>219</v>
      </c>
      <c r="D6" s="113" t="b">
        <f>OR(H6&gt;=100,I6&gt;=100)</f>
        <v>1</v>
      </c>
      <c r="E6" s="113" t="b">
        <f>OR(H6&gt;200,I6&gt;200)</f>
        <v>0</v>
      </c>
      <c r="H6" s="100">
        <v>100</v>
      </c>
      <c r="I6" s="100">
        <v>200</v>
      </c>
    </row>
    <row r="7" spans="1:19" outlineLevel="1" x14ac:dyDescent="0.15"/>
    <row r="8" spans="1:19" outlineLevel="1" x14ac:dyDescent="0.15">
      <c r="B8" s="22" t="s">
        <v>220</v>
      </c>
      <c r="D8" s="113">
        <f>IF(H8&gt;0,1,0)</f>
        <v>1</v>
      </c>
      <c r="E8" s="113">
        <f>IF(H8&lt;0,1,0)</f>
        <v>0</v>
      </c>
      <c r="H8" s="100">
        <v>100</v>
      </c>
    </row>
    <row r="9" spans="1:19" outlineLevel="1" x14ac:dyDescent="0.15">
      <c r="B9" s="22" t="s">
        <v>220</v>
      </c>
      <c r="D9" s="113" t="str">
        <f>IF(H9&gt;0,"Верно","Не верно")</f>
        <v>Верно</v>
      </c>
      <c r="E9" s="113" t="str">
        <f>IF(H9&lt;0,"Верно","Не верно")</f>
        <v>Не верно</v>
      </c>
      <c r="H9" s="100">
        <v>100</v>
      </c>
    </row>
    <row r="10" spans="1:19" outlineLevel="1" x14ac:dyDescent="0.15">
      <c r="B10" s="22" t="s">
        <v>221</v>
      </c>
      <c r="C10" s="12" t="s">
        <v>222</v>
      </c>
      <c r="D10" s="113">
        <f>IF(AND(H10&gt;0,I10&gt;0),1,0)</f>
        <v>1</v>
      </c>
      <c r="E10" s="113">
        <f>IF(AND(H10&lt;0,I10&lt;0),1,0)</f>
        <v>0</v>
      </c>
      <c r="H10" s="100">
        <v>100</v>
      </c>
      <c r="I10" s="100">
        <v>200</v>
      </c>
    </row>
    <row r="11" spans="1:19" outlineLevel="1" x14ac:dyDescent="0.15">
      <c r="B11" s="22" t="s">
        <v>223</v>
      </c>
      <c r="C11" s="12" t="s">
        <v>224</v>
      </c>
      <c r="D11" s="113">
        <f>IF(H11&gt;0,IF(I11&gt;0,1,0),0)</f>
        <v>1</v>
      </c>
      <c r="E11" s="113">
        <f>IF(H11&lt;0,IF(I11&lt;0,1,0),0)</f>
        <v>0</v>
      </c>
      <c r="H11" s="100">
        <v>100</v>
      </c>
      <c r="I11" s="100">
        <v>200</v>
      </c>
    </row>
    <row r="12" spans="1:19" outlineLevel="1" x14ac:dyDescent="0.15"/>
    <row r="13" spans="1:19" outlineLevel="1" x14ac:dyDescent="0.15">
      <c r="B13" s="22" t="s">
        <v>225</v>
      </c>
      <c r="D13" s="113">
        <f>IFERROR(H13,0)</f>
        <v>0</v>
      </c>
      <c r="E13" s="113" t="str">
        <f>IFERROR(H13,"Ошибка")</f>
        <v>Ошибка</v>
      </c>
      <c r="H13" s="100" t="e">
        <f>ыва/2</f>
        <v>#NAME?</v>
      </c>
    </row>
    <row r="14" spans="1:19" outlineLevel="1" x14ac:dyDescent="0.15">
      <c r="B14" s="22" t="s">
        <v>225</v>
      </c>
      <c r="D14" s="113">
        <f t="shared" ref="D14:D16" si="0">IFERROR(H14,0)</f>
        <v>0</v>
      </c>
      <c r="E14" s="113" t="str">
        <f>IFERROR(H14,"Ошибка")</f>
        <v>Ошибка</v>
      </c>
      <c r="H14" s="100" t="e">
        <f>"ыва"/2</f>
        <v>#VALUE!</v>
      </c>
    </row>
    <row r="15" spans="1:19" outlineLevel="1" x14ac:dyDescent="0.15">
      <c r="B15" s="22" t="s">
        <v>225</v>
      </c>
      <c r="D15" s="113">
        <f t="shared" si="0"/>
        <v>0</v>
      </c>
      <c r="E15" s="113" t="str">
        <f>IFERROR(H15,"Ошибка")</f>
        <v>Ошибка</v>
      </c>
      <c r="H15" s="100" t="e">
        <f>2/0</f>
        <v>#DIV/0!</v>
      </c>
    </row>
    <row r="16" spans="1:19" outlineLevel="1" x14ac:dyDescent="0.15">
      <c r="B16" s="22" t="s">
        <v>225</v>
      </c>
      <c r="D16" s="113">
        <f t="shared" si="0"/>
        <v>0</v>
      </c>
      <c r="E16" s="113" t="str">
        <f>IFERROR(H16,"Ошибка")</f>
        <v>Ошибка</v>
      </c>
      <c r="H16" s="100" t="e">
        <f>#REF!</f>
        <v>#REF!</v>
      </c>
    </row>
    <row r="17" spans="2:19" outlineLevel="1" x14ac:dyDescent="0.15"/>
    <row r="18" spans="2:19" x14ac:dyDescent="0.15">
      <c r="B18" s="1" t="s">
        <v>226</v>
      </c>
      <c r="C18" s="1"/>
      <c r="D18" s="226"/>
      <c r="E18" s="117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</row>
    <row r="19" spans="2:19" outlineLevel="1" x14ac:dyDescent="0.15"/>
    <row r="20" spans="2:19" outlineLevel="1" x14ac:dyDescent="0.15">
      <c r="B20" s="22" t="s">
        <v>227</v>
      </c>
      <c r="C20" s="12" t="s">
        <v>228</v>
      </c>
      <c r="D20" s="113">
        <f>SUMIF($H$20:$H$24,"Продукт 1",$K$20:$K$24)</f>
        <v>1</v>
      </c>
      <c r="H20" s="118" t="s">
        <v>112</v>
      </c>
      <c r="I20" s="118" t="s">
        <v>229</v>
      </c>
      <c r="J20" s="118" t="s">
        <v>230</v>
      </c>
      <c r="K20" s="118">
        <v>1</v>
      </c>
    </row>
    <row r="21" spans="2:19" outlineLevel="1" x14ac:dyDescent="0.15">
      <c r="B21" s="22" t="s">
        <v>227</v>
      </c>
      <c r="C21" s="12" t="s">
        <v>231</v>
      </c>
      <c r="D21" s="113">
        <f>SUMIF($K$20:$K$24,"&gt;3")</f>
        <v>4</v>
      </c>
      <c r="E21" s="113">
        <f>SUMIF($K$20:$K$25,"&lt;&gt;0")</f>
        <v>11</v>
      </c>
      <c r="H21" s="118" t="s">
        <v>113</v>
      </c>
      <c r="I21" s="118" t="s">
        <v>229</v>
      </c>
      <c r="J21" s="118" t="s">
        <v>232</v>
      </c>
      <c r="K21" s="118">
        <v>-2</v>
      </c>
    </row>
    <row r="22" spans="2:19" outlineLevel="1" x14ac:dyDescent="0.15">
      <c r="B22" s="22" t="s">
        <v>227</v>
      </c>
      <c r="C22" s="12" t="s">
        <v>233</v>
      </c>
      <c r="D22" s="113">
        <f>SUMIF($J$20:$J$24,"Моск" &amp; "*",$K$20:$K$24)</f>
        <v>5</v>
      </c>
      <c r="F22" s="12" t="s">
        <v>234</v>
      </c>
      <c r="G22" s="12" t="s">
        <v>163</v>
      </c>
      <c r="H22" s="118" t="s">
        <v>114</v>
      </c>
      <c r="I22" s="118" t="s">
        <v>229</v>
      </c>
      <c r="J22" s="118" t="s">
        <v>235</v>
      </c>
      <c r="K22" s="118">
        <v>3</v>
      </c>
    </row>
    <row r="23" spans="2:19" outlineLevel="1" x14ac:dyDescent="0.15">
      <c r="B23" s="22" t="s">
        <v>236</v>
      </c>
      <c r="C23" s="12" t="s">
        <v>237</v>
      </c>
      <c r="D23" s="113">
        <f>SUMIFS($K$20:$K$24,$H$20:$H$24,"Продукт 1",$I$20:$I$24,"Категория А")</f>
        <v>1</v>
      </c>
      <c r="H23" s="118" t="s">
        <v>115</v>
      </c>
      <c r="I23" s="118" t="s">
        <v>229</v>
      </c>
      <c r="J23" s="118" t="s">
        <v>238</v>
      </c>
      <c r="K23" s="118">
        <v>4</v>
      </c>
    </row>
    <row r="24" spans="2:19" outlineLevel="1" x14ac:dyDescent="0.15">
      <c r="H24" s="118" t="s">
        <v>112</v>
      </c>
      <c r="I24" s="118" t="s">
        <v>239</v>
      </c>
      <c r="J24" s="118" t="s">
        <v>240</v>
      </c>
      <c r="K24" s="118">
        <v>0</v>
      </c>
    </row>
    <row r="25" spans="2:19" outlineLevel="1" x14ac:dyDescent="0.15">
      <c r="B25" s="22" t="s">
        <v>241</v>
      </c>
      <c r="C25" s="12" t="s">
        <v>242</v>
      </c>
      <c r="D25" s="113">
        <f>COUNTIF(K20:K25,"&lt;&gt;0")</f>
        <v>5</v>
      </c>
      <c r="H25" s="118" t="s">
        <v>112</v>
      </c>
      <c r="I25" s="118"/>
      <c r="J25" s="118" t="s">
        <v>243</v>
      </c>
      <c r="K25" s="118">
        <v>5</v>
      </c>
    </row>
    <row r="26" spans="2:19" outlineLevel="1" x14ac:dyDescent="0.15">
      <c r="B26" s="22" t="s">
        <v>244</v>
      </c>
      <c r="D26" s="113">
        <f>COUNTIFS($K$20:$K$25,"&gt;0",$I$20:$I$25,"&lt;&gt;0")</f>
        <v>4</v>
      </c>
    </row>
    <row r="27" spans="2:19" outlineLevel="1" x14ac:dyDescent="0.15"/>
    <row r="28" spans="2:19" outlineLevel="1" x14ac:dyDescent="0.15">
      <c r="B28" s="22" t="s">
        <v>245</v>
      </c>
      <c r="D28" s="113">
        <f>AVERAGEIF($H$20:$H$25,"Продукт 1",$K$20:$K$25)</f>
        <v>2</v>
      </c>
    </row>
    <row r="29" spans="2:19" outlineLevel="1" x14ac:dyDescent="0.15">
      <c r="B29" s="22" t="s">
        <v>246</v>
      </c>
      <c r="D29" s="113">
        <f>AVERAGEIFS($K$20:$K$25,$I$20:$I$25,"Категория А",$J$20:$J$25,"Моск" &amp; "*")</f>
        <v>2.5</v>
      </c>
    </row>
    <row r="30" spans="2:19" outlineLevel="1" x14ac:dyDescent="0.15"/>
    <row r="31" spans="2:19" outlineLevel="1" x14ac:dyDescent="0.15">
      <c r="B31" s="119" t="s">
        <v>247</v>
      </c>
      <c r="C31" s="119"/>
      <c r="D31" s="119"/>
    </row>
    <row r="32" spans="2:19" outlineLevel="1" x14ac:dyDescent="0.15">
      <c r="B32" s="12" t="s">
        <v>248</v>
      </c>
    </row>
    <row r="33" spans="2:19" outlineLevel="1" x14ac:dyDescent="0.15">
      <c r="B33" s="12" t="s">
        <v>249</v>
      </c>
    </row>
    <row r="34" spans="2:19" outlineLevel="1" x14ac:dyDescent="0.15"/>
    <row r="35" spans="2:19" x14ac:dyDescent="0.15">
      <c r="B35" s="1" t="s">
        <v>250</v>
      </c>
      <c r="C35" s="1"/>
      <c r="D35" s="226"/>
      <c r="E35" s="117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</row>
    <row r="36" spans="2:19" outlineLevel="1" x14ac:dyDescent="0.15"/>
    <row r="37" spans="2:19" outlineLevel="1" x14ac:dyDescent="0.15">
      <c r="B37" s="22" t="s">
        <v>251</v>
      </c>
      <c r="D37" s="120" t="s">
        <v>170</v>
      </c>
      <c r="E37" s="113" t="str">
        <f>VLOOKUP($D$37,$H$37:$I$42,2,FALSE)</f>
        <v>Томаты</v>
      </c>
      <c r="H37" s="118" t="s">
        <v>112</v>
      </c>
      <c r="I37" s="118" t="s">
        <v>252</v>
      </c>
      <c r="J37" s="118" t="s">
        <v>253</v>
      </c>
      <c r="L37" s="12" t="s">
        <v>254</v>
      </c>
      <c r="M37" s="12" t="s">
        <v>255</v>
      </c>
      <c r="N37" s="12" t="s">
        <v>256</v>
      </c>
      <c r="O37" s="12" t="s">
        <v>257</v>
      </c>
    </row>
    <row r="38" spans="2:19" outlineLevel="1" x14ac:dyDescent="0.15">
      <c r="B38" s="22" t="s">
        <v>258</v>
      </c>
      <c r="D38" s="120" t="s">
        <v>256</v>
      </c>
      <c r="E38" s="113">
        <f>HLOOKUP($D$38,$L$37:$O$38,2,FALSE)</f>
        <v>15</v>
      </c>
      <c r="H38" s="118" t="s">
        <v>113</v>
      </c>
      <c r="I38" s="118" t="s">
        <v>259</v>
      </c>
      <c r="J38" s="118" t="s">
        <v>260</v>
      </c>
      <c r="L38" s="118">
        <v>5</v>
      </c>
      <c r="M38" s="118">
        <v>10</v>
      </c>
      <c r="N38" s="118">
        <v>15</v>
      </c>
      <c r="O38" s="118">
        <v>20</v>
      </c>
    </row>
    <row r="39" spans="2:19" outlineLevel="1" x14ac:dyDescent="0.15">
      <c r="B39" s="22"/>
      <c r="H39" s="118" t="s">
        <v>114</v>
      </c>
      <c r="I39" s="118" t="s">
        <v>261</v>
      </c>
      <c r="J39" s="118" t="s">
        <v>262</v>
      </c>
    </row>
    <row r="40" spans="2:19" outlineLevel="1" x14ac:dyDescent="0.15">
      <c r="B40" s="22" t="s">
        <v>263</v>
      </c>
      <c r="D40" s="120" t="s">
        <v>170</v>
      </c>
      <c r="E40" s="113" t="str">
        <f>INDEX($J$37:$J$42,MATCH($D$40,$H$37:$H$42,0))</f>
        <v>15 ккал</v>
      </c>
      <c r="H40" s="118" t="s">
        <v>115</v>
      </c>
      <c r="I40" s="118" t="s">
        <v>264</v>
      </c>
      <c r="J40" s="118" t="s">
        <v>265</v>
      </c>
    </row>
    <row r="41" spans="2:19" outlineLevel="1" x14ac:dyDescent="0.15">
      <c r="H41" s="118" t="s">
        <v>170</v>
      </c>
      <c r="I41" s="118" t="s">
        <v>266</v>
      </c>
      <c r="J41" s="118" t="s">
        <v>267</v>
      </c>
    </row>
    <row r="42" spans="2:19" outlineLevel="1" x14ac:dyDescent="0.15">
      <c r="H42" s="118" t="s">
        <v>268</v>
      </c>
      <c r="I42" s="118" t="s">
        <v>269</v>
      </c>
      <c r="J42" s="118" t="s">
        <v>270</v>
      </c>
    </row>
    <row r="43" spans="2:19" outlineLevel="1" x14ac:dyDescent="0.15">
      <c r="B43" s="119" t="s">
        <v>247</v>
      </c>
      <c r="C43" s="119"/>
      <c r="D43" s="119"/>
    </row>
    <row r="44" spans="2:19" outlineLevel="1" x14ac:dyDescent="0.15">
      <c r="B44" s="12" t="s">
        <v>271</v>
      </c>
      <c r="D44" s="12"/>
    </row>
    <row r="45" spans="2:19" outlineLevel="1" x14ac:dyDescent="0.15">
      <c r="B45" s="12" t="s">
        <v>272</v>
      </c>
      <c r="D45" s="12"/>
    </row>
    <row r="46" spans="2:19" outlineLevel="1" x14ac:dyDescent="0.15">
      <c r="B46" s="12" t="s">
        <v>273</v>
      </c>
      <c r="D46" s="12"/>
    </row>
    <row r="47" spans="2:19" outlineLevel="1" x14ac:dyDescent="0.15">
      <c r="B47" s="12" t="s">
        <v>274</v>
      </c>
      <c r="D47" s="12"/>
    </row>
    <row r="48" spans="2:19" outlineLevel="1" x14ac:dyDescent="0.15"/>
    <row r="49" spans="2:19" outlineLevel="1" x14ac:dyDescent="0.15">
      <c r="B49" s="12" t="s">
        <v>275</v>
      </c>
      <c r="I49" s="114" t="s">
        <v>104</v>
      </c>
      <c r="J49" s="121" t="s">
        <v>2339</v>
      </c>
    </row>
    <row r="50" spans="2:19" outlineLevel="1" x14ac:dyDescent="0.15">
      <c r="B50" s="22" t="s">
        <v>251</v>
      </c>
      <c r="D50" s="120">
        <v>21</v>
      </c>
      <c r="E50" s="113" t="str">
        <f>VLOOKUP($D$50,$I$50:$J$54,2,TRUE)</f>
        <v>Маленькая</v>
      </c>
      <c r="I50" s="118">
        <v>0</v>
      </c>
      <c r="J50" s="118" t="s">
        <v>276</v>
      </c>
    </row>
    <row r="51" spans="2:19" outlineLevel="1" x14ac:dyDescent="0.15">
      <c r="B51" s="22" t="s">
        <v>263</v>
      </c>
      <c r="D51" s="120">
        <v>74</v>
      </c>
      <c r="E51" s="113" t="str">
        <f>INDEX($J$50:$J$54,MATCH($D$51,$I$50:$I$54,1))</f>
        <v>Большая</v>
      </c>
      <c r="I51" s="118">
        <v>20</v>
      </c>
      <c r="J51" s="118" t="s">
        <v>277</v>
      </c>
    </row>
    <row r="52" spans="2:19" outlineLevel="1" x14ac:dyDescent="0.15">
      <c r="I52" s="118">
        <v>40</v>
      </c>
      <c r="J52" s="118" t="s">
        <v>278</v>
      </c>
    </row>
    <row r="53" spans="2:19" outlineLevel="1" x14ac:dyDescent="0.15">
      <c r="I53" s="118">
        <v>60</v>
      </c>
      <c r="J53" s="118" t="s">
        <v>279</v>
      </c>
    </row>
    <row r="54" spans="2:19" outlineLevel="1" x14ac:dyDescent="0.15">
      <c r="I54" s="118">
        <v>80</v>
      </c>
      <c r="J54" s="118" t="s">
        <v>280</v>
      </c>
    </row>
    <row r="55" spans="2:19" outlineLevel="1" x14ac:dyDescent="0.15"/>
    <row r="56" spans="2:19" x14ac:dyDescent="0.15">
      <c r="B56" s="1" t="s">
        <v>281</v>
      </c>
      <c r="C56" s="1"/>
      <c r="D56" s="226"/>
      <c r="E56" s="117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</row>
    <row r="57" spans="2:19" outlineLevel="1" x14ac:dyDescent="0.15"/>
    <row r="58" spans="2:19" outlineLevel="1" x14ac:dyDescent="0.15">
      <c r="B58" s="22" t="s">
        <v>282</v>
      </c>
      <c r="C58" s="12" t="s">
        <v>283</v>
      </c>
      <c r="D58" s="113" t="str">
        <f>RIGHT(H58,E58)</f>
        <v>FOC</v>
      </c>
      <c r="E58" s="120">
        <v>3</v>
      </c>
      <c r="H58" s="118" t="s">
        <v>284</v>
      </c>
    </row>
    <row r="59" spans="2:19" outlineLevel="1" x14ac:dyDescent="0.15">
      <c r="B59" s="22" t="s">
        <v>285</v>
      </c>
      <c r="C59" s="12" t="s">
        <v>286</v>
      </c>
      <c r="D59" s="113" t="str">
        <f>LEFT(H59,E59)</f>
        <v>123</v>
      </c>
      <c r="E59" s="120">
        <v>3</v>
      </c>
      <c r="H59" s="118" t="s">
        <v>284</v>
      </c>
    </row>
    <row r="60" spans="2:19" outlineLevel="1" x14ac:dyDescent="0.15">
      <c r="B60" s="22" t="s">
        <v>287</v>
      </c>
      <c r="C60" s="12" t="s">
        <v>288</v>
      </c>
      <c r="D60" s="12">
        <f>LEN(H60)</f>
        <v>19</v>
      </c>
      <c r="H60" s="118" t="s">
        <v>284</v>
      </c>
    </row>
    <row r="61" spans="2:19" outlineLevel="1" x14ac:dyDescent="0.15"/>
    <row r="62" spans="2:19" outlineLevel="1" x14ac:dyDescent="0.15">
      <c r="B62" s="22" t="s">
        <v>289</v>
      </c>
      <c r="C62" s="12" t="s">
        <v>290</v>
      </c>
      <c r="D62" s="113" t="str">
        <f>MID(H62,5,7)</f>
        <v>Продукт</v>
      </c>
      <c r="H62" s="118" t="s">
        <v>284</v>
      </c>
    </row>
    <row r="63" spans="2:19" outlineLevel="1" x14ac:dyDescent="0.15">
      <c r="B63" s="22" t="s">
        <v>291</v>
      </c>
      <c r="C63" s="12" t="s">
        <v>292</v>
      </c>
      <c r="D63" s="113" t="str">
        <f>LEFT(H63,LEN(H63)-E63)</f>
        <v>123-Продукт/17А</v>
      </c>
      <c r="E63" s="120">
        <v>4</v>
      </c>
      <c r="H63" s="118" t="s">
        <v>284</v>
      </c>
    </row>
    <row r="64" spans="2:19" outlineLevel="1" x14ac:dyDescent="0.15">
      <c r="B64" s="22" t="s">
        <v>293</v>
      </c>
      <c r="C64" s="12" t="s">
        <v>294</v>
      </c>
      <c r="D64" s="113" t="str">
        <f>RIGHT(H64,LEN(H64)-E64)</f>
        <v>Продукт/17А-FOC</v>
      </c>
      <c r="E64" s="120">
        <v>4</v>
      </c>
      <c r="H64" s="118" t="s">
        <v>284</v>
      </c>
    </row>
    <row r="65" spans="2:35" outlineLevel="1" x14ac:dyDescent="0.15"/>
    <row r="66" spans="2:35" outlineLevel="1" x14ac:dyDescent="0.15">
      <c r="B66" s="22" t="s">
        <v>295</v>
      </c>
      <c r="C66" s="12" t="s">
        <v>296</v>
      </c>
      <c r="D66" s="12" t="str">
        <f>MID(H66,SEARCH("/",H66)+E66-2,E66)</f>
        <v>17А</v>
      </c>
      <c r="E66" s="120">
        <v>3</v>
      </c>
      <c r="H66" s="118" t="s">
        <v>284</v>
      </c>
    </row>
    <row r="67" spans="2:35" outlineLevel="1" x14ac:dyDescent="0.15">
      <c r="B67" s="22" t="s">
        <v>295</v>
      </c>
      <c r="C67" s="12" t="s">
        <v>297</v>
      </c>
      <c r="D67" s="12" t="str">
        <f>MID(H67,SEARCH("/",H67)-E67,E67)</f>
        <v>Продукт</v>
      </c>
      <c r="E67" s="120">
        <v>7</v>
      </c>
      <c r="H67" s="118" t="s">
        <v>284</v>
      </c>
    </row>
    <row r="68" spans="2:35" outlineLevel="1" x14ac:dyDescent="0.15"/>
    <row r="69" spans="2:35" outlineLevel="1" x14ac:dyDescent="0.15">
      <c r="D69" s="113" t="s">
        <v>298</v>
      </c>
      <c r="E69" s="113" t="s">
        <v>299</v>
      </c>
    </row>
    <row r="70" spans="2:35" outlineLevel="1" x14ac:dyDescent="0.15">
      <c r="B70" s="22" t="s">
        <v>300</v>
      </c>
      <c r="C70" s="12" t="s">
        <v>301</v>
      </c>
      <c r="D70" s="113">
        <f>MIN(1,IFERROR(SEARCH(D69,H70),0))</f>
        <v>1</v>
      </c>
      <c r="E70" s="113">
        <f>MIN(1,IFERROR(SEARCH(E69,H70),0))</f>
        <v>0</v>
      </c>
      <c r="H70" s="118" t="s">
        <v>302</v>
      </c>
      <c r="I70" s="12" t="s">
        <v>163</v>
      </c>
    </row>
    <row r="71" spans="2:35" outlineLevel="1" x14ac:dyDescent="0.15"/>
    <row r="72" spans="2:35" x14ac:dyDescent="0.15">
      <c r="B72" s="1" t="s">
        <v>303</v>
      </c>
      <c r="C72" s="1"/>
      <c r="D72" s="226"/>
      <c r="E72" s="117"/>
      <c r="F72" s="116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  <c r="S72" s="116"/>
    </row>
    <row r="73" spans="2:35" outlineLevel="1" x14ac:dyDescent="0.15"/>
    <row r="74" spans="2:35" outlineLevel="1" x14ac:dyDescent="0.15">
      <c r="B74" s="22" t="s">
        <v>304</v>
      </c>
      <c r="C74" s="12" t="s">
        <v>305</v>
      </c>
      <c r="D74" s="113" t="str">
        <f>H74 &amp; "_" &amp; I74</f>
        <v>Продукт_123</v>
      </c>
      <c r="E74" s="113" t="str">
        <f>CONCATENATE(H74,"_",I74)</f>
        <v>Продукт_123</v>
      </c>
      <c r="H74" s="118" t="s">
        <v>37</v>
      </c>
      <c r="I74" s="118">
        <v>123</v>
      </c>
    </row>
    <row r="75" spans="2:35" outlineLevel="1" x14ac:dyDescent="0.15">
      <c r="B75" s="22" t="s">
        <v>304</v>
      </c>
      <c r="C75" s="12" t="s">
        <v>306</v>
      </c>
      <c r="D75" s="113" t="str">
        <f ca="1">CONCATENATE(H75,"_",TEXT(I75,"ДД.ММ.ГГГ"))</f>
        <v>Договор_25.02.2026</v>
      </c>
      <c r="F75" s="12" t="s">
        <v>307</v>
      </c>
      <c r="H75" s="118" t="s">
        <v>308</v>
      </c>
      <c r="I75" s="122">
        <f ca="1">TODAY()</f>
        <v>46078</v>
      </c>
    </row>
    <row r="76" spans="2:35" outlineLevel="1" x14ac:dyDescent="0.15">
      <c r="B76" s="22" t="s">
        <v>304</v>
      </c>
      <c r="C76" s="12" t="s">
        <v>309</v>
      </c>
      <c r="D76" s="113" t="str">
        <f>CONCATENATE(H76,"_",TEXT(I76,"# ##0,0;(# ##0,0);-")," руб.")</f>
        <v>Остаток_1,7 руб.</v>
      </c>
      <c r="F76" s="12" t="s">
        <v>310</v>
      </c>
      <c r="G76" s="12" t="s">
        <v>163</v>
      </c>
      <c r="H76" s="118" t="s">
        <v>311</v>
      </c>
      <c r="I76" s="123">
        <f>5/3</f>
        <v>1.6666666666666667</v>
      </c>
    </row>
    <row r="77" spans="2:35" outlineLevel="1" x14ac:dyDescent="0.15"/>
    <row r="78" spans="2:35" x14ac:dyDescent="0.15">
      <c r="B78" s="1" t="s">
        <v>312</v>
      </c>
      <c r="C78" s="1"/>
      <c r="D78" s="226"/>
      <c r="E78" s="117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</row>
    <row r="79" spans="2:35" outlineLevel="1" x14ac:dyDescent="0.15"/>
    <row r="80" spans="2:35" outlineLevel="1" x14ac:dyDescent="0.15">
      <c r="B80" s="22" t="s">
        <v>313</v>
      </c>
      <c r="C80" s="53" t="s">
        <v>314</v>
      </c>
      <c r="D80" s="95"/>
      <c r="E80" s="95"/>
      <c r="F80" s="93"/>
      <c r="G80" s="93" t="s">
        <v>315</v>
      </c>
      <c r="H80" s="93">
        <v>1</v>
      </c>
      <c r="I80" s="93">
        <f>H80+1</f>
        <v>2</v>
      </c>
      <c r="J80" s="93">
        <f t="shared" ref="J80:K80" si="1">I80+1</f>
        <v>3</v>
      </c>
      <c r="K80" s="93">
        <f t="shared" si="1"/>
        <v>4</v>
      </c>
      <c r="L80" s="93">
        <f>H80</f>
        <v>1</v>
      </c>
      <c r="M80" s="93">
        <f t="shared" ref="M80:AI80" si="2">I80</f>
        <v>2</v>
      </c>
      <c r="N80" s="93">
        <f t="shared" si="2"/>
        <v>3</v>
      </c>
      <c r="O80" s="93">
        <f t="shared" si="2"/>
        <v>4</v>
      </c>
      <c r="P80" s="93">
        <f t="shared" si="2"/>
        <v>1</v>
      </c>
      <c r="Q80" s="93">
        <f t="shared" si="2"/>
        <v>2</v>
      </c>
      <c r="R80" s="93">
        <f t="shared" si="2"/>
        <v>3</v>
      </c>
      <c r="S80" s="93">
        <f t="shared" si="2"/>
        <v>4</v>
      </c>
      <c r="T80" s="93">
        <f t="shared" si="2"/>
        <v>1</v>
      </c>
      <c r="U80" s="93">
        <f t="shared" si="2"/>
        <v>2</v>
      </c>
      <c r="V80" s="93">
        <f t="shared" si="2"/>
        <v>3</v>
      </c>
      <c r="W80" s="93">
        <f t="shared" si="2"/>
        <v>4</v>
      </c>
      <c r="X80" s="93">
        <f t="shared" si="2"/>
        <v>1</v>
      </c>
      <c r="Y80" s="93">
        <f t="shared" si="2"/>
        <v>2</v>
      </c>
      <c r="Z80" s="93">
        <f t="shared" si="2"/>
        <v>3</v>
      </c>
      <c r="AA80" s="93">
        <f t="shared" si="2"/>
        <v>4</v>
      </c>
      <c r="AB80" s="93">
        <f t="shared" si="2"/>
        <v>1</v>
      </c>
      <c r="AC80" s="93">
        <f t="shared" si="2"/>
        <v>2</v>
      </c>
      <c r="AD80" s="93">
        <f t="shared" si="2"/>
        <v>3</v>
      </c>
      <c r="AE80" s="93">
        <f t="shared" si="2"/>
        <v>4</v>
      </c>
      <c r="AF80" s="93">
        <f t="shared" si="2"/>
        <v>1</v>
      </c>
      <c r="AG80" s="93">
        <f t="shared" si="2"/>
        <v>2</v>
      </c>
      <c r="AH80" s="93">
        <f t="shared" si="2"/>
        <v>3</v>
      </c>
      <c r="AI80" s="93">
        <f t="shared" si="2"/>
        <v>4</v>
      </c>
    </row>
    <row r="81" spans="2:38" outlineLevel="1" x14ac:dyDescent="0.15">
      <c r="C81" s="31"/>
      <c r="D81" s="124"/>
      <c r="E81" s="124"/>
      <c r="F81" s="31"/>
      <c r="G81" s="31" t="s">
        <v>316</v>
      </c>
      <c r="H81" s="125">
        <v>2024</v>
      </c>
      <c r="I81" s="125">
        <v>2024</v>
      </c>
      <c r="J81" s="125">
        <v>2024</v>
      </c>
      <c r="K81" s="125">
        <v>2024</v>
      </c>
      <c r="L81" s="125">
        <f>H81+1</f>
        <v>2025</v>
      </c>
      <c r="M81" s="125">
        <f t="shared" ref="M81:AI81" si="3">I81+1</f>
        <v>2025</v>
      </c>
      <c r="N81" s="125">
        <f t="shared" si="3"/>
        <v>2025</v>
      </c>
      <c r="O81" s="125">
        <f t="shared" si="3"/>
        <v>2025</v>
      </c>
      <c r="P81" s="125">
        <f t="shared" si="3"/>
        <v>2026</v>
      </c>
      <c r="Q81" s="125">
        <f t="shared" si="3"/>
        <v>2026</v>
      </c>
      <c r="R81" s="125">
        <f t="shared" si="3"/>
        <v>2026</v>
      </c>
      <c r="S81" s="125">
        <f t="shared" si="3"/>
        <v>2026</v>
      </c>
      <c r="T81" s="125">
        <f t="shared" si="3"/>
        <v>2027</v>
      </c>
      <c r="U81" s="125">
        <f t="shared" si="3"/>
        <v>2027</v>
      </c>
      <c r="V81" s="125">
        <f t="shared" si="3"/>
        <v>2027</v>
      </c>
      <c r="W81" s="125">
        <f t="shared" si="3"/>
        <v>2027</v>
      </c>
      <c r="X81" s="125">
        <f t="shared" si="3"/>
        <v>2028</v>
      </c>
      <c r="Y81" s="125">
        <f t="shared" si="3"/>
        <v>2028</v>
      </c>
      <c r="Z81" s="125">
        <f t="shared" si="3"/>
        <v>2028</v>
      </c>
      <c r="AA81" s="125">
        <f t="shared" si="3"/>
        <v>2028</v>
      </c>
      <c r="AB81" s="125">
        <f t="shared" si="3"/>
        <v>2029</v>
      </c>
      <c r="AC81" s="125">
        <f t="shared" si="3"/>
        <v>2029</v>
      </c>
      <c r="AD81" s="125">
        <f t="shared" si="3"/>
        <v>2029</v>
      </c>
      <c r="AE81" s="125">
        <f t="shared" si="3"/>
        <v>2029</v>
      </c>
      <c r="AF81" s="125">
        <f t="shared" si="3"/>
        <v>2030</v>
      </c>
      <c r="AG81" s="125">
        <f t="shared" si="3"/>
        <v>2030</v>
      </c>
      <c r="AH81" s="125">
        <f t="shared" si="3"/>
        <v>2030</v>
      </c>
      <c r="AI81" s="125">
        <f t="shared" si="3"/>
        <v>2030</v>
      </c>
      <c r="AJ81" s="28"/>
      <c r="AK81" s="28"/>
      <c r="AL81" s="28"/>
    </row>
    <row r="82" spans="2:38" outlineLevel="1" x14ac:dyDescent="0.15">
      <c r="C82" s="31" t="s">
        <v>317</v>
      </c>
      <c r="D82" s="124"/>
      <c r="E82" s="124"/>
      <c r="F82" s="31"/>
      <c r="G82" s="31"/>
      <c r="H82" s="31"/>
      <c r="I82" s="31"/>
      <c r="J82" s="126">
        <v>1</v>
      </c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</row>
    <row r="83" spans="2:38" outlineLevel="1" x14ac:dyDescent="0.15">
      <c r="C83" s="31" t="s">
        <v>318</v>
      </c>
      <c r="D83" s="127">
        <v>2</v>
      </c>
      <c r="E83" s="124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</row>
    <row r="84" spans="2:38" outlineLevel="1" x14ac:dyDescent="0.15">
      <c r="C84" s="103" t="s">
        <v>319</v>
      </c>
      <c r="D84" s="128"/>
      <c r="E84" s="103"/>
      <c r="F84" s="103"/>
      <c r="G84" s="103"/>
      <c r="H84" s="103">
        <f ca="1">OFFSET(H82,0,-$D$83,1,1)</f>
        <v>0</v>
      </c>
      <c r="I84" s="103">
        <f t="shared" ref="I84:AI84" ca="1" si="4">OFFSET(I82,0,-$D$83,1,1)</f>
        <v>0</v>
      </c>
      <c r="J84" s="103">
        <f t="shared" ca="1" si="4"/>
        <v>0</v>
      </c>
      <c r="K84" s="103">
        <f t="shared" ca="1" si="4"/>
        <v>0</v>
      </c>
      <c r="L84" s="103">
        <f t="shared" ca="1" si="4"/>
        <v>1</v>
      </c>
      <c r="M84" s="103">
        <f t="shared" ca="1" si="4"/>
        <v>0</v>
      </c>
      <c r="N84" s="103">
        <f t="shared" ca="1" si="4"/>
        <v>0</v>
      </c>
      <c r="O84" s="103">
        <f t="shared" ca="1" si="4"/>
        <v>0</v>
      </c>
      <c r="P84" s="103">
        <f t="shared" ca="1" si="4"/>
        <v>0</v>
      </c>
      <c r="Q84" s="103">
        <f t="shared" ca="1" si="4"/>
        <v>0</v>
      </c>
      <c r="R84" s="103">
        <f t="shared" ca="1" si="4"/>
        <v>0</v>
      </c>
      <c r="S84" s="103">
        <f t="shared" ca="1" si="4"/>
        <v>0</v>
      </c>
      <c r="T84" s="103">
        <f t="shared" ca="1" si="4"/>
        <v>0</v>
      </c>
      <c r="U84" s="103">
        <f t="shared" ca="1" si="4"/>
        <v>0</v>
      </c>
      <c r="V84" s="103">
        <f t="shared" ca="1" si="4"/>
        <v>0</v>
      </c>
      <c r="W84" s="103">
        <f t="shared" ca="1" si="4"/>
        <v>0</v>
      </c>
      <c r="X84" s="103">
        <f t="shared" ca="1" si="4"/>
        <v>0</v>
      </c>
      <c r="Y84" s="103">
        <f t="shared" ca="1" si="4"/>
        <v>0</v>
      </c>
      <c r="Z84" s="103">
        <f t="shared" ca="1" si="4"/>
        <v>0</v>
      </c>
      <c r="AA84" s="103">
        <f t="shared" ca="1" si="4"/>
        <v>0</v>
      </c>
      <c r="AB84" s="103">
        <f t="shared" ca="1" si="4"/>
        <v>0</v>
      </c>
      <c r="AC84" s="103">
        <f t="shared" ca="1" si="4"/>
        <v>0</v>
      </c>
      <c r="AD84" s="103">
        <f t="shared" ca="1" si="4"/>
        <v>0</v>
      </c>
      <c r="AE84" s="103">
        <f t="shared" ca="1" si="4"/>
        <v>0</v>
      </c>
      <c r="AF84" s="103">
        <f t="shared" ca="1" si="4"/>
        <v>0</v>
      </c>
      <c r="AG84" s="103">
        <f t="shared" ca="1" si="4"/>
        <v>0</v>
      </c>
      <c r="AH84" s="103">
        <f t="shared" ca="1" si="4"/>
        <v>0</v>
      </c>
      <c r="AI84" s="103">
        <f t="shared" ca="1" si="4"/>
        <v>0</v>
      </c>
    </row>
    <row r="85" spans="2:38" outlineLevel="1" x14ac:dyDescent="0.15"/>
    <row r="86" spans="2:38" outlineLevel="1" x14ac:dyDescent="0.15">
      <c r="B86" s="22" t="s">
        <v>320</v>
      </c>
      <c r="C86" s="53" t="s">
        <v>321</v>
      </c>
      <c r="D86" s="95"/>
      <c r="E86" s="95"/>
      <c r="F86" s="93"/>
      <c r="G86" s="93" t="s">
        <v>315</v>
      </c>
      <c r="H86" s="93">
        <v>1</v>
      </c>
      <c r="I86" s="93">
        <f>H86+1</f>
        <v>2</v>
      </c>
      <c r="J86" s="93">
        <f t="shared" ref="J86:K86" si="5">I86+1</f>
        <v>3</v>
      </c>
      <c r="K86" s="93">
        <f t="shared" si="5"/>
        <v>4</v>
      </c>
      <c r="L86" s="93">
        <f>H86</f>
        <v>1</v>
      </c>
      <c r="M86" s="93">
        <f t="shared" ref="M86:AI86" si="6">I86</f>
        <v>2</v>
      </c>
      <c r="N86" s="93">
        <f t="shared" si="6"/>
        <v>3</v>
      </c>
      <c r="O86" s="93">
        <f t="shared" si="6"/>
        <v>4</v>
      </c>
      <c r="P86" s="93">
        <f t="shared" si="6"/>
        <v>1</v>
      </c>
      <c r="Q86" s="93">
        <f t="shared" si="6"/>
        <v>2</v>
      </c>
      <c r="R86" s="93">
        <f t="shared" si="6"/>
        <v>3</v>
      </c>
      <c r="S86" s="93">
        <f t="shared" si="6"/>
        <v>4</v>
      </c>
      <c r="T86" s="93">
        <f t="shared" si="6"/>
        <v>1</v>
      </c>
      <c r="U86" s="93">
        <f t="shared" si="6"/>
        <v>2</v>
      </c>
      <c r="V86" s="93">
        <f t="shared" si="6"/>
        <v>3</v>
      </c>
      <c r="W86" s="93">
        <f t="shared" si="6"/>
        <v>4</v>
      </c>
      <c r="X86" s="93">
        <f t="shared" si="6"/>
        <v>1</v>
      </c>
      <c r="Y86" s="93">
        <f t="shared" si="6"/>
        <v>2</v>
      </c>
      <c r="Z86" s="93">
        <f t="shared" si="6"/>
        <v>3</v>
      </c>
      <c r="AA86" s="93">
        <f t="shared" si="6"/>
        <v>4</v>
      </c>
      <c r="AB86" s="93">
        <f t="shared" si="6"/>
        <v>1</v>
      </c>
      <c r="AC86" s="93">
        <f t="shared" si="6"/>
        <v>2</v>
      </c>
      <c r="AD86" s="93">
        <f t="shared" si="6"/>
        <v>3</v>
      </c>
      <c r="AE86" s="93">
        <f t="shared" si="6"/>
        <v>4</v>
      </c>
      <c r="AF86" s="93">
        <f t="shared" si="6"/>
        <v>1</v>
      </c>
      <c r="AG86" s="93">
        <f t="shared" si="6"/>
        <v>2</v>
      </c>
      <c r="AH86" s="93">
        <f t="shared" si="6"/>
        <v>3</v>
      </c>
      <c r="AI86" s="93">
        <f t="shared" si="6"/>
        <v>4</v>
      </c>
    </row>
    <row r="87" spans="2:38" outlineLevel="1" x14ac:dyDescent="0.15">
      <c r="C87" s="31"/>
      <c r="D87" s="124"/>
      <c r="E87" s="124"/>
      <c r="F87" s="31"/>
      <c r="G87" s="31" t="s">
        <v>316</v>
      </c>
      <c r="H87" s="125">
        <v>2024</v>
      </c>
      <c r="I87" s="125">
        <v>2024</v>
      </c>
      <c r="J87" s="125">
        <v>2024</v>
      </c>
      <c r="K87" s="125">
        <v>2024</v>
      </c>
      <c r="L87" s="125">
        <f>H87+1</f>
        <v>2025</v>
      </c>
      <c r="M87" s="125">
        <f t="shared" ref="M87:AI87" si="7">I87+1</f>
        <v>2025</v>
      </c>
      <c r="N87" s="125">
        <f t="shared" si="7"/>
        <v>2025</v>
      </c>
      <c r="O87" s="125">
        <f t="shared" si="7"/>
        <v>2025</v>
      </c>
      <c r="P87" s="125">
        <f t="shared" si="7"/>
        <v>2026</v>
      </c>
      <c r="Q87" s="125">
        <f t="shared" si="7"/>
        <v>2026</v>
      </c>
      <c r="R87" s="125">
        <f t="shared" si="7"/>
        <v>2026</v>
      </c>
      <c r="S87" s="125">
        <f t="shared" si="7"/>
        <v>2026</v>
      </c>
      <c r="T87" s="125">
        <f t="shared" si="7"/>
        <v>2027</v>
      </c>
      <c r="U87" s="125">
        <f t="shared" si="7"/>
        <v>2027</v>
      </c>
      <c r="V87" s="125">
        <f t="shared" si="7"/>
        <v>2027</v>
      </c>
      <c r="W87" s="125">
        <f t="shared" si="7"/>
        <v>2027</v>
      </c>
      <c r="X87" s="125">
        <f t="shared" si="7"/>
        <v>2028</v>
      </c>
      <c r="Y87" s="125">
        <f t="shared" si="7"/>
        <v>2028</v>
      </c>
      <c r="Z87" s="125">
        <f t="shared" si="7"/>
        <v>2028</v>
      </c>
      <c r="AA87" s="125">
        <f t="shared" si="7"/>
        <v>2028</v>
      </c>
      <c r="AB87" s="125">
        <f t="shared" si="7"/>
        <v>2029</v>
      </c>
      <c r="AC87" s="125">
        <f t="shared" si="7"/>
        <v>2029</v>
      </c>
      <c r="AD87" s="125">
        <f t="shared" si="7"/>
        <v>2029</v>
      </c>
      <c r="AE87" s="125">
        <f t="shared" si="7"/>
        <v>2029</v>
      </c>
      <c r="AF87" s="125">
        <f t="shared" si="7"/>
        <v>2030</v>
      </c>
      <c r="AG87" s="125">
        <f t="shared" si="7"/>
        <v>2030</v>
      </c>
      <c r="AH87" s="125">
        <f t="shared" si="7"/>
        <v>2030</v>
      </c>
      <c r="AI87" s="125">
        <f t="shared" si="7"/>
        <v>2030</v>
      </c>
    </row>
    <row r="88" spans="2:38" outlineLevel="1" x14ac:dyDescent="0.15">
      <c r="C88" s="31"/>
      <c r="D88" s="124"/>
      <c r="E88" s="124"/>
      <c r="F88" s="31"/>
      <c r="G88" s="31" t="s">
        <v>3</v>
      </c>
      <c r="H88" s="129">
        <v>0.25</v>
      </c>
      <c r="I88" s="129">
        <v>0.25</v>
      </c>
      <c r="J88" s="129">
        <v>0.25</v>
      </c>
      <c r="K88" s="129">
        <v>0.25</v>
      </c>
      <c r="L88" s="129">
        <v>0.25</v>
      </c>
      <c r="M88" s="129">
        <v>0.25</v>
      </c>
      <c r="N88" s="129">
        <v>0.25</v>
      </c>
      <c r="O88" s="129">
        <v>0.25</v>
      </c>
      <c r="P88" s="129">
        <v>0.25</v>
      </c>
      <c r="Q88" s="129">
        <v>0.25</v>
      </c>
      <c r="R88" s="129">
        <v>0.25</v>
      </c>
      <c r="S88" s="129">
        <v>0.25</v>
      </c>
      <c r="T88" s="129">
        <v>0.25</v>
      </c>
      <c r="U88" s="129">
        <v>0.25</v>
      </c>
      <c r="V88" s="129">
        <v>0.25</v>
      </c>
      <c r="W88" s="129">
        <v>0.25</v>
      </c>
      <c r="X88" s="129">
        <v>0.25</v>
      </c>
      <c r="Y88" s="129">
        <v>0.25</v>
      </c>
      <c r="Z88" s="129">
        <v>0.25</v>
      </c>
      <c r="AA88" s="129">
        <v>0.25</v>
      </c>
      <c r="AB88" s="129">
        <v>0.25</v>
      </c>
      <c r="AC88" s="129">
        <v>0.25</v>
      </c>
      <c r="AD88" s="129">
        <v>0.25</v>
      </c>
      <c r="AE88" s="129">
        <v>0.25</v>
      </c>
      <c r="AF88" s="129">
        <v>0.25</v>
      </c>
      <c r="AG88" s="129">
        <v>0.25</v>
      </c>
      <c r="AH88" s="129">
        <v>0.25</v>
      </c>
      <c r="AI88" s="129">
        <v>0.25</v>
      </c>
    </row>
    <row r="89" spans="2:38" outlineLevel="1" x14ac:dyDescent="0.15">
      <c r="C89" s="31"/>
      <c r="D89" s="124"/>
      <c r="E89" s="124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</row>
    <row r="90" spans="2:38" outlineLevel="1" x14ac:dyDescent="0.15">
      <c r="C90" s="31" t="s">
        <v>322</v>
      </c>
      <c r="D90" s="127">
        <v>1600</v>
      </c>
      <c r="E90" s="124"/>
      <c r="F90" s="31"/>
      <c r="G90" s="31">
        <f>G82*$D90</f>
        <v>0</v>
      </c>
      <c r="H90" s="31">
        <f>H82*$D90</f>
        <v>0</v>
      </c>
      <c r="I90" s="31">
        <f t="shared" ref="I90:AI90" si="8">I82*$D90</f>
        <v>0</v>
      </c>
      <c r="J90" s="31">
        <f t="shared" si="8"/>
        <v>1600</v>
      </c>
      <c r="K90" s="31">
        <f t="shared" si="8"/>
        <v>0</v>
      </c>
      <c r="L90" s="31">
        <f t="shared" si="8"/>
        <v>0</v>
      </c>
      <c r="M90" s="31">
        <f t="shared" si="8"/>
        <v>0</v>
      </c>
      <c r="N90" s="31">
        <f t="shared" si="8"/>
        <v>0</v>
      </c>
      <c r="O90" s="31">
        <f t="shared" si="8"/>
        <v>0</v>
      </c>
      <c r="P90" s="31">
        <f t="shared" si="8"/>
        <v>0</v>
      </c>
      <c r="Q90" s="31">
        <f t="shared" si="8"/>
        <v>0</v>
      </c>
      <c r="R90" s="31">
        <f t="shared" si="8"/>
        <v>0</v>
      </c>
      <c r="S90" s="31">
        <f t="shared" si="8"/>
        <v>0</v>
      </c>
      <c r="T90" s="31">
        <f t="shared" si="8"/>
        <v>0</v>
      </c>
      <c r="U90" s="31">
        <f t="shared" si="8"/>
        <v>0</v>
      </c>
      <c r="V90" s="31">
        <f t="shared" si="8"/>
        <v>0</v>
      </c>
      <c r="W90" s="31">
        <f t="shared" si="8"/>
        <v>0</v>
      </c>
      <c r="X90" s="31">
        <f t="shared" si="8"/>
        <v>0</v>
      </c>
      <c r="Y90" s="31">
        <f t="shared" si="8"/>
        <v>0</v>
      </c>
      <c r="Z90" s="31">
        <f t="shared" si="8"/>
        <v>0</v>
      </c>
      <c r="AA90" s="31">
        <f t="shared" si="8"/>
        <v>0</v>
      </c>
      <c r="AB90" s="31">
        <f t="shared" si="8"/>
        <v>0</v>
      </c>
      <c r="AC90" s="31">
        <f t="shared" si="8"/>
        <v>0</v>
      </c>
      <c r="AD90" s="31">
        <f t="shared" si="8"/>
        <v>0</v>
      </c>
      <c r="AE90" s="31">
        <f t="shared" si="8"/>
        <v>0</v>
      </c>
      <c r="AF90" s="31">
        <f t="shared" si="8"/>
        <v>0</v>
      </c>
      <c r="AG90" s="31">
        <f t="shared" si="8"/>
        <v>0</v>
      </c>
      <c r="AH90" s="31">
        <f t="shared" si="8"/>
        <v>0</v>
      </c>
      <c r="AI90" s="31">
        <f t="shared" si="8"/>
        <v>0</v>
      </c>
    </row>
    <row r="91" spans="2:38" outlineLevel="1" x14ac:dyDescent="0.15">
      <c r="C91" s="31" t="s">
        <v>323</v>
      </c>
      <c r="D91" s="127">
        <v>2</v>
      </c>
      <c r="E91" s="124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</row>
    <row r="92" spans="2:38" outlineLevel="1" x14ac:dyDescent="0.15">
      <c r="C92" s="103" t="s">
        <v>324</v>
      </c>
      <c r="D92" s="128"/>
      <c r="E92" s="128"/>
      <c r="F92" s="103"/>
      <c r="G92" s="103"/>
      <c r="H92" s="103">
        <f ca="1">IFERROR(SUM(OFFSET(H90,,-1,1,-MIN(COUNT($H88:H88),$D91*(1/H$88))))/($D91*(1/H$88)),0)</f>
        <v>0</v>
      </c>
      <c r="I92" s="103">
        <f ca="1">IFERROR(SUM(OFFSET(I90,,-1,1,-MIN(COUNT($H88:I88),$D91*(1/I$88))))/($D91*(1/I$88)),0)</f>
        <v>0</v>
      </c>
      <c r="J92" s="103">
        <f ca="1">IFERROR(SUM(OFFSET(J90,,-1,1,-MIN(COUNT($H88:J88),$D91*(1/J$88))))/($D91*(1/J$88)),0)</f>
        <v>0</v>
      </c>
      <c r="K92" s="103">
        <f ca="1">IFERROR(SUM(OFFSET(K90,,-1,1,-MIN(COUNT($H88:K88),$D91*(1/K$88))))/($D91*(1/K$88)),0)</f>
        <v>200</v>
      </c>
      <c r="L92" s="103">
        <f ca="1">IFERROR(SUM(OFFSET(L90,,-1,1,-MIN(COUNT($H88:L88),$D91*(1/L$88))))/($D91*(1/L$88)),0)</f>
        <v>200</v>
      </c>
      <c r="M92" s="103">
        <f ca="1">IFERROR(SUM(OFFSET(M90,,-1,1,-MIN(COUNT($H88:M88),$D91*(1/M$88))))/($D91*(1/M$88)),0)</f>
        <v>200</v>
      </c>
      <c r="N92" s="103">
        <f ca="1">IFERROR(SUM(OFFSET(N90,,-1,1,-MIN(COUNT($H88:N88),$D91*(1/N$88))))/($D91*(1/N$88)),0)</f>
        <v>200</v>
      </c>
      <c r="O92" s="103">
        <f ca="1">IFERROR(SUM(OFFSET(O90,,-1,1,-MIN(COUNT($H88:O88),$D91*(1/O$88))))/($D91*(1/O$88)),0)</f>
        <v>200</v>
      </c>
      <c r="P92" s="103">
        <f ca="1">IFERROR(SUM(OFFSET(P90,,-1,1,-MIN(COUNT($H88:P88),$D91*(1/P$88))))/($D91*(1/P$88)),0)</f>
        <v>200</v>
      </c>
      <c r="Q92" s="103">
        <f ca="1">IFERROR(SUM(OFFSET(Q90,,-1,1,-MIN(COUNT($H88:Q88),$D91*(1/Q$88))))/($D91*(1/Q$88)),0)</f>
        <v>200</v>
      </c>
      <c r="R92" s="103">
        <f ca="1">IFERROR(SUM(OFFSET(R90,,-1,1,-MIN(COUNT($H88:R88),$D91*(1/R$88))))/($D91*(1/R$88)),0)</f>
        <v>200</v>
      </c>
      <c r="S92" s="103">
        <f ca="1">IFERROR(SUM(OFFSET(S90,,-1,1,-MIN(COUNT($H88:S88),$D91*(1/S$88))))/($D91*(1/S$88)),0)</f>
        <v>0</v>
      </c>
      <c r="T92" s="103">
        <f ca="1">IFERROR(SUM(OFFSET(T90,,-1,1,-MIN(COUNT($H88:T88),$D91*(1/T$88))))/($D91*(1/T$88)),0)</f>
        <v>0</v>
      </c>
      <c r="U92" s="103">
        <f ca="1">IFERROR(SUM(OFFSET(U90,,-1,1,-MIN(COUNT($H88:U88),$D91*(1/U$88))))/($D91*(1/U$88)),0)</f>
        <v>0</v>
      </c>
      <c r="V92" s="103">
        <f ca="1">IFERROR(SUM(OFFSET(V90,,-1,1,-MIN(COUNT($H88:V88),$D91*(1/V$88))))/($D91*(1/V$88)),0)</f>
        <v>0</v>
      </c>
      <c r="W92" s="103">
        <f ca="1">IFERROR(SUM(OFFSET(W90,,-1,1,-MIN(COUNT($H88:W88),$D91*(1/W$88))))/($D91*(1/W$88)),0)</f>
        <v>0</v>
      </c>
      <c r="X92" s="103">
        <f ca="1">IFERROR(SUM(OFFSET(X90,,-1,1,-MIN(COUNT($H88:X88),$D91*(1/X$88))))/($D91*(1/X$88)),0)</f>
        <v>0</v>
      </c>
      <c r="Y92" s="103">
        <f ca="1">IFERROR(SUM(OFFSET(Y90,,-1,1,-MIN(COUNT($H88:Y88),$D91*(1/Y$88))))/($D91*(1/Y$88)),0)</f>
        <v>0</v>
      </c>
      <c r="Z92" s="103">
        <f ca="1">IFERROR(SUM(OFFSET(Z90,,-1,1,-MIN(COUNT($H88:Z88),$D91*(1/Z$88))))/($D91*(1/Z$88)),0)</f>
        <v>0</v>
      </c>
      <c r="AA92" s="103">
        <f ca="1">IFERROR(SUM(OFFSET(AA90,,-1,1,-MIN(COUNT($H88:AA88),$D91*(1/AA$88))))/($D91*(1/AA$88)),0)</f>
        <v>0</v>
      </c>
      <c r="AB92" s="103">
        <f ca="1">IFERROR(SUM(OFFSET(AB90,,-1,1,-MIN(COUNT($H88:AB88),$D91*(1/AB$88))))/($D91*(1/AB$88)),0)</f>
        <v>0</v>
      </c>
      <c r="AC92" s="103">
        <f ca="1">IFERROR(SUM(OFFSET(AC90,,-1,1,-MIN(COUNT($H88:AC88),$D91*(1/AC$88))))/($D91*(1/AC$88)),0)</f>
        <v>0</v>
      </c>
      <c r="AD92" s="103">
        <f ca="1">IFERROR(SUM(OFFSET(AD90,,-1,1,-MIN(COUNT($H88:AD88),$D91*(1/AD$88))))/($D91*(1/AD$88)),0)</f>
        <v>0</v>
      </c>
      <c r="AE92" s="103">
        <f ca="1">IFERROR(SUM(OFFSET(AE90,,-1,1,-MIN(COUNT($H88:AE88),$D91*(1/AE$88))))/($D91*(1/AE$88)),0)</f>
        <v>0</v>
      </c>
      <c r="AF92" s="103">
        <f ca="1">IFERROR(SUM(OFFSET(AF90,,-1,1,-MIN(COUNT($H88:AF88),$D91*(1/AF$88))))/($D91*(1/AF$88)),0)</f>
        <v>0</v>
      </c>
      <c r="AG92" s="103">
        <f ca="1">IFERROR(SUM(OFFSET(AG90,,-1,1,-MIN(COUNT($H88:AG88),$D91*(1/AG$88))))/($D91*(1/AG$88)),0)</f>
        <v>0</v>
      </c>
      <c r="AH92" s="103">
        <f ca="1">IFERROR(SUM(OFFSET(AH90,,-1,1,-MIN(COUNT($H88:AH88),$D91*(1/AH$88))))/($D91*(1/AH$88)),0)</f>
        <v>0</v>
      </c>
      <c r="AI92" s="103">
        <f ca="1">IFERROR(SUM(OFFSET(AI90,,-1,1,-MIN(COUNT($H88:AI88),$D91*(1/AI$88))))/($D91*(1/AI$88)),0)</f>
        <v>0</v>
      </c>
    </row>
    <row r="93" spans="2:38" outlineLevel="1" x14ac:dyDescent="0.15"/>
    <row r="94" spans="2:38" outlineLevel="1" x14ac:dyDescent="0.15">
      <c r="B94" s="119" t="s">
        <v>247</v>
      </c>
      <c r="C94" s="119"/>
      <c r="D94" s="119"/>
    </row>
    <row r="95" spans="2:38" outlineLevel="1" x14ac:dyDescent="0.15">
      <c r="B95" s="12" t="s">
        <v>325</v>
      </c>
    </row>
    <row r="96" spans="2:38" outlineLevel="1" x14ac:dyDescent="0.15"/>
  </sheetData>
  <pageMargins left="0.7" right="0.7" top="0.75" bottom="0.75" header="0.3" footer="0.3"/>
  <pageSetup paperSize="9"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>
    <tabColor theme="8" tint="0.79998168889431442"/>
  </sheetPr>
  <dimension ref="A1:V42"/>
  <sheetViews>
    <sheetView zoomScaleNormal="100" workbookViewId="0">
      <pane xSplit="3" ySplit="1" topLeftCell="D2" activePane="bottomRight" state="frozen"/>
      <selection activeCell="C15" sqref="C15"/>
      <selection pane="topRight" activeCell="C15" sqref="C15"/>
      <selection pane="bottomLeft" activeCell="C15" sqref="C15"/>
      <selection pane="bottomRight" activeCell="D2" sqref="D2"/>
    </sheetView>
  </sheetViews>
  <sheetFormatPr defaultColWidth="11" defaultRowHeight="11.25" outlineLevelRow="1" x14ac:dyDescent="0.15"/>
  <cols>
    <col min="1" max="1" width="4.375" style="12" customWidth="1"/>
    <col min="2" max="3" width="11" style="12"/>
    <col min="4" max="4" width="6.375" style="12" customWidth="1"/>
    <col min="5" max="5" width="23.25" style="12" customWidth="1"/>
    <col min="6" max="6" width="21.5" style="12" customWidth="1"/>
    <col min="7" max="7" width="6" style="12" customWidth="1"/>
    <col min="8" max="18" width="11" style="12"/>
    <col min="19" max="19" width="12.375" style="12" bestFit="1" customWidth="1"/>
    <col min="20" max="16384" width="11" style="12"/>
  </cols>
  <sheetData>
    <row r="1" spans="1:22" x14ac:dyDescent="0.15">
      <c r="A1" s="11" t="s">
        <v>326</v>
      </c>
    </row>
    <row r="2" spans="1:22" x14ac:dyDescent="0.15">
      <c r="B2" s="130" t="s">
        <v>326</v>
      </c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</row>
    <row r="3" spans="1:22" outlineLevel="1" x14ac:dyDescent="0.15"/>
    <row r="4" spans="1:22" outlineLevel="1" x14ac:dyDescent="0.15">
      <c r="B4" s="1" t="s">
        <v>216</v>
      </c>
      <c r="C4" s="1"/>
      <c r="E4" s="1" t="s">
        <v>327</v>
      </c>
      <c r="F4" s="1"/>
      <c r="H4" s="1" t="s">
        <v>328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2" outlineLevel="1" x14ac:dyDescent="0.15">
      <c r="B5" s="12" t="s">
        <v>329</v>
      </c>
      <c r="C5" s="12" t="s">
        <v>163</v>
      </c>
      <c r="H5" s="12" t="s">
        <v>330</v>
      </c>
      <c r="I5" s="12" t="s">
        <v>331</v>
      </c>
      <c r="J5" s="12" t="s">
        <v>332</v>
      </c>
      <c r="K5" s="12" t="s">
        <v>333</v>
      </c>
      <c r="L5" s="12" t="s">
        <v>334</v>
      </c>
      <c r="M5" s="12" t="s">
        <v>335</v>
      </c>
      <c r="N5" s="12" t="s">
        <v>336</v>
      </c>
      <c r="O5" s="12" t="s">
        <v>337</v>
      </c>
      <c r="P5" s="12" t="s">
        <v>338</v>
      </c>
      <c r="Q5" s="12" t="s">
        <v>339</v>
      </c>
      <c r="R5" s="12" t="s">
        <v>340</v>
      </c>
      <c r="S5" s="12" t="s">
        <v>341</v>
      </c>
      <c r="T5" s="12" t="s">
        <v>342</v>
      </c>
      <c r="U5" s="12" t="s">
        <v>343</v>
      </c>
    </row>
    <row r="6" spans="1:22" outlineLevel="1" x14ac:dyDescent="0.15">
      <c r="B6" s="12" t="s">
        <v>344</v>
      </c>
      <c r="C6" s="12" t="s">
        <v>163</v>
      </c>
      <c r="E6" s="12" t="s">
        <v>345</v>
      </c>
      <c r="H6" s="12" t="s">
        <v>346</v>
      </c>
      <c r="I6" s="12" t="s">
        <v>347</v>
      </c>
      <c r="J6" s="12">
        <v>8</v>
      </c>
      <c r="K6" s="12" t="s">
        <v>348</v>
      </c>
      <c r="L6" s="12">
        <v>5510</v>
      </c>
      <c r="M6" s="12" t="s">
        <v>349</v>
      </c>
      <c r="N6" s="12">
        <v>1234</v>
      </c>
      <c r="O6" s="12" t="s">
        <v>350</v>
      </c>
      <c r="P6" s="28">
        <v>2020</v>
      </c>
      <c r="Q6" s="28">
        <v>2020</v>
      </c>
      <c r="R6" s="12" t="s">
        <v>351</v>
      </c>
      <c r="S6" s="131">
        <v>313109</v>
      </c>
      <c r="T6" s="12" t="s">
        <v>352</v>
      </c>
      <c r="U6" s="12" t="s">
        <v>353</v>
      </c>
    </row>
    <row r="7" spans="1:22" outlineLevel="1" x14ac:dyDescent="0.15">
      <c r="B7" s="12" t="s">
        <v>354</v>
      </c>
      <c r="C7" s="12" t="s">
        <v>163</v>
      </c>
      <c r="E7" s="12" t="s">
        <v>355</v>
      </c>
      <c r="H7" s="12" t="s">
        <v>346</v>
      </c>
      <c r="I7" s="12" t="s">
        <v>347</v>
      </c>
      <c r="J7" s="12">
        <v>8</v>
      </c>
      <c r="K7" s="12" t="s">
        <v>348</v>
      </c>
      <c r="L7" s="12">
        <v>5510</v>
      </c>
      <c r="M7" s="12" t="s">
        <v>349</v>
      </c>
      <c r="N7" s="12">
        <v>1234</v>
      </c>
      <c r="O7" s="12" t="s">
        <v>350</v>
      </c>
      <c r="P7" s="28">
        <v>2021</v>
      </c>
      <c r="Q7" s="28">
        <v>2021</v>
      </c>
      <c r="R7" s="12" t="s">
        <v>351</v>
      </c>
      <c r="S7" s="131">
        <v>314470.09999999998</v>
      </c>
      <c r="T7" s="12" t="s">
        <v>352</v>
      </c>
      <c r="U7" s="12" t="s">
        <v>353</v>
      </c>
    </row>
    <row r="8" spans="1:22" outlineLevel="1" x14ac:dyDescent="0.15">
      <c r="B8" s="12" t="s">
        <v>356</v>
      </c>
      <c r="C8" s="12" t="s">
        <v>163</v>
      </c>
      <c r="H8" s="12" t="s">
        <v>346</v>
      </c>
      <c r="I8" s="12" t="s">
        <v>347</v>
      </c>
      <c r="J8" s="12">
        <v>8</v>
      </c>
      <c r="K8" s="12" t="s">
        <v>348</v>
      </c>
      <c r="L8" s="12">
        <v>5510</v>
      </c>
      <c r="M8" s="12" t="s">
        <v>349</v>
      </c>
      <c r="N8" s="12">
        <v>1234</v>
      </c>
      <c r="O8" s="12" t="s">
        <v>350</v>
      </c>
      <c r="P8" s="28">
        <v>2022</v>
      </c>
      <c r="Q8" s="28">
        <v>2022</v>
      </c>
      <c r="R8" s="12" t="s">
        <v>351</v>
      </c>
      <c r="S8" s="131">
        <v>315057.3</v>
      </c>
      <c r="T8" s="12" t="s">
        <v>352</v>
      </c>
      <c r="U8" s="12" t="s">
        <v>353</v>
      </c>
    </row>
    <row r="9" spans="1:22" outlineLevel="1" x14ac:dyDescent="0.15">
      <c r="B9" s="12" t="s">
        <v>357</v>
      </c>
      <c r="C9" s="12" t="s">
        <v>163</v>
      </c>
      <c r="H9" s="12" t="s">
        <v>346</v>
      </c>
      <c r="I9" s="12" t="s">
        <v>347</v>
      </c>
      <c r="J9" s="12">
        <v>12</v>
      </c>
      <c r="K9" s="12" t="s">
        <v>358</v>
      </c>
      <c r="L9" s="12">
        <v>5510</v>
      </c>
      <c r="M9" s="12" t="s">
        <v>349</v>
      </c>
      <c r="N9" s="12">
        <v>1234</v>
      </c>
      <c r="O9" s="12" t="s">
        <v>350</v>
      </c>
      <c r="P9" s="28">
        <v>2020</v>
      </c>
      <c r="Q9" s="28">
        <v>2020</v>
      </c>
      <c r="R9" s="12" t="s">
        <v>351</v>
      </c>
      <c r="S9" s="131">
        <v>1635616.3</v>
      </c>
      <c r="T9" s="12" t="s">
        <v>352</v>
      </c>
      <c r="U9" s="12" t="s">
        <v>353</v>
      </c>
    </row>
    <row r="10" spans="1:22" outlineLevel="1" x14ac:dyDescent="0.15">
      <c r="B10" s="12" t="s">
        <v>359</v>
      </c>
      <c r="C10" s="12" t="s">
        <v>163</v>
      </c>
      <c r="E10" s="248" t="s">
        <v>360</v>
      </c>
      <c r="F10" s="248"/>
      <c r="H10" s="12" t="s">
        <v>346</v>
      </c>
      <c r="I10" s="12" t="s">
        <v>347</v>
      </c>
      <c r="J10" s="12">
        <v>12</v>
      </c>
      <c r="K10" s="12" t="s">
        <v>358</v>
      </c>
      <c r="L10" s="12">
        <v>5510</v>
      </c>
      <c r="M10" s="12" t="s">
        <v>349</v>
      </c>
      <c r="N10" s="12">
        <v>1234</v>
      </c>
      <c r="O10" s="12" t="s">
        <v>350</v>
      </c>
      <c r="P10" s="28">
        <v>2021</v>
      </c>
      <c r="Q10" s="28">
        <v>2021</v>
      </c>
      <c r="R10" s="12" t="s">
        <v>351</v>
      </c>
      <c r="S10" s="131">
        <v>1641636</v>
      </c>
      <c r="T10" s="12" t="s">
        <v>352</v>
      </c>
      <c r="U10" s="12" t="s">
        <v>353</v>
      </c>
    </row>
    <row r="11" spans="1:22" outlineLevel="1" x14ac:dyDescent="0.15">
      <c r="B11" s="12" t="s">
        <v>361</v>
      </c>
      <c r="C11" s="12" t="s">
        <v>163</v>
      </c>
      <c r="E11" s="248"/>
      <c r="F11" s="248"/>
      <c r="H11" s="12" t="s">
        <v>346</v>
      </c>
      <c r="I11" s="12" t="s">
        <v>347</v>
      </c>
      <c r="J11" s="12">
        <v>12</v>
      </c>
      <c r="K11" s="12" t="s">
        <v>358</v>
      </c>
      <c r="L11" s="12">
        <v>5510</v>
      </c>
      <c r="M11" s="12" t="s">
        <v>349</v>
      </c>
      <c r="N11" s="12">
        <v>1234</v>
      </c>
      <c r="O11" s="12" t="s">
        <v>350</v>
      </c>
      <c r="P11" s="28">
        <v>2022</v>
      </c>
      <c r="Q11" s="28">
        <v>2022</v>
      </c>
      <c r="R11" s="12" t="s">
        <v>351</v>
      </c>
      <c r="S11" s="131">
        <v>1661664.37</v>
      </c>
      <c r="T11" s="12" t="s">
        <v>362</v>
      </c>
      <c r="U11" s="12" t="s">
        <v>363</v>
      </c>
    </row>
    <row r="12" spans="1:22" outlineLevel="1" x14ac:dyDescent="0.15">
      <c r="B12" s="12" t="s">
        <v>364</v>
      </c>
      <c r="C12" s="12" t="s">
        <v>163</v>
      </c>
      <c r="H12" s="12" t="s">
        <v>346</v>
      </c>
      <c r="I12" s="12" t="s">
        <v>347</v>
      </c>
      <c r="J12" s="12">
        <v>24</v>
      </c>
      <c r="K12" s="12" t="s">
        <v>365</v>
      </c>
      <c r="L12" s="12">
        <v>5510</v>
      </c>
      <c r="M12" s="12" t="s">
        <v>349</v>
      </c>
      <c r="N12" s="12">
        <v>1234</v>
      </c>
      <c r="O12" s="12" t="s">
        <v>350</v>
      </c>
      <c r="P12" s="28">
        <v>2020</v>
      </c>
      <c r="Q12" s="28">
        <v>2020</v>
      </c>
      <c r="R12" s="12" t="s">
        <v>351</v>
      </c>
      <c r="S12" s="131">
        <v>589664</v>
      </c>
      <c r="T12" s="12" t="s">
        <v>352</v>
      </c>
      <c r="U12" s="12" t="s">
        <v>353</v>
      </c>
    </row>
    <row r="13" spans="1:22" outlineLevel="1" x14ac:dyDescent="0.15">
      <c r="B13" s="12" t="s">
        <v>366</v>
      </c>
      <c r="C13" s="12" t="s">
        <v>163</v>
      </c>
      <c r="H13" s="12" t="s">
        <v>346</v>
      </c>
      <c r="I13" s="12" t="s">
        <v>347</v>
      </c>
      <c r="J13" s="12">
        <v>24</v>
      </c>
      <c r="K13" s="12" t="s">
        <v>365</v>
      </c>
      <c r="L13" s="12">
        <v>5510</v>
      </c>
      <c r="M13" s="12" t="s">
        <v>349</v>
      </c>
      <c r="N13" s="12">
        <v>1234</v>
      </c>
      <c r="O13" s="12" t="s">
        <v>350</v>
      </c>
      <c r="P13" s="28">
        <v>2021</v>
      </c>
      <c r="Q13" s="28">
        <v>2021</v>
      </c>
      <c r="R13" s="12" t="s">
        <v>351</v>
      </c>
      <c r="S13" s="131">
        <v>561666</v>
      </c>
      <c r="T13" s="12" t="s">
        <v>352</v>
      </c>
      <c r="U13" s="12" t="s">
        <v>353</v>
      </c>
    </row>
    <row r="14" spans="1:22" outlineLevel="1" x14ac:dyDescent="0.15">
      <c r="B14" s="12" t="s">
        <v>367</v>
      </c>
      <c r="C14" s="12" t="s">
        <v>163</v>
      </c>
      <c r="H14" s="12" t="s">
        <v>346</v>
      </c>
      <c r="I14" s="12" t="s">
        <v>347</v>
      </c>
      <c r="J14" s="12">
        <v>24</v>
      </c>
      <c r="K14" s="12" t="s">
        <v>365</v>
      </c>
      <c r="L14" s="12">
        <v>5510</v>
      </c>
      <c r="M14" s="12" t="s">
        <v>349</v>
      </c>
      <c r="N14" s="12">
        <v>1234</v>
      </c>
      <c r="O14" s="12" t="s">
        <v>350</v>
      </c>
      <c r="P14" s="28">
        <v>2022</v>
      </c>
      <c r="Q14" s="28">
        <v>2022</v>
      </c>
      <c r="R14" s="12" t="s">
        <v>351</v>
      </c>
      <c r="S14" s="131">
        <v>587785</v>
      </c>
      <c r="T14" s="12" t="s">
        <v>352</v>
      </c>
      <c r="U14" s="12" t="s">
        <v>353</v>
      </c>
    </row>
    <row r="15" spans="1:22" outlineLevel="1" x14ac:dyDescent="0.15">
      <c r="B15" s="12" t="s">
        <v>368</v>
      </c>
      <c r="C15" s="12" t="s">
        <v>163</v>
      </c>
      <c r="H15" s="12" t="s">
        <v>346</v>
      </c>
      <c r="I15" s="12" t="s">
        <v>347</v>
      </c>
      <c r="J15" s="12">
        <v>28</v>
      </c>
      <c r="K15" s="12" t="s">
        <v>369</v>
      </c>
      <c r="L15" s="12">
        <v>5510</v>
      </c>
      <c r="M15" s="12" t="s">
        <v>349</v>
      </c>
      <c r="N15" s="12">
        <v>1234</v>
      </c>
      <c r="O15" s="12" t="s">
        <v>350</v>
      </c>
      <c r="P15" s="28">
        <v>2020</v>
      </c>
      <c r="Q15" s="28">
        <v>2020</v>
      </c>
      <c r="R15" s="12" t="s">
        <v>351</v>
      </c>
      <c r="S15" s="131">
        <v>34.700000000000003</v>
      </c>
      <c r="T15" s="12" t="s">
        <v>352</v>
      </c>
      <c r="U15" s="12" t="s">
        <v>353</v>
      </c>
    </row>
    <row r="16" spans="1:22" outlineLevel="1" x14ac:dyDescent="0.15">
      <c r="B16" s="12" t="s">
        <v>370</v>
      </c>
      <c r="C16" s="12" t="s">
        <v>163</v>
      </c>
      <c r="H16" s="12" t="s">
        <v>346</v>
      </c>
      <c r="I16" s="12" t="s">
        <v>347</v>
      </c>
      <c r="J16" s="12">
        <v>28</v>
      </c>
      <c r="K16" s="12" t="s">
        <v>369</v>
      </c>
      <c r="L16" s="12">
        <v>5510</v>
      </c>
      <c r="M16" s="12" t="s">
        <v>349</v>
      </c>
      <c r="N16" s="12">
        <v>1234</v>
      </c>
      <c r="O16" s="12" t="s">
        <v>350</v>
      </c>
      <c r="P16" s="28">
        <v>2021</v>
      </c>
      <c r="Q16" s="28">
        <v>2021</v>
      </c>
      <c r="R16" s="12" t="s">
        <v>351</v>
      </c>
      <c r="S16" s="131">
        <v>71.45</v>
      </c>
      <c r="T16" s="12" t="s">
        <v>352</v>
      </c>
      <c r="U16" s="12" t="s">
        <v>353</v>
      </c>
    </row>
    <row r="17" spans="2:22" outlineLevel="1" x14ac:dyDescent="0.15">
      <c r="B17" s="12" t="s">
        <v>371</v>
      </c>
      <c r="C17" s="12" t="s">
        <v>163</v>
      </c>
      <c r="H17" s="12" t="s">
        <v>346</v>
      </c>
      <c r="I17" s="12" t="s">
        <v>347</v>
      </c>
      <c r="J17" s="12">
        <v>28</v>
      </c>
      <c r="K17" s="12" t="s">
        <v>369</v>
      </c>
      <c r="L17" s="12">
        <v>5510</v>
      </c>
      <c r="M17" s="12" t="s">
        <v>349</v>
      </c>
      <c r="N17" s="12">
        <v>1234</v>
      </c>
      <c r="O17" s="12" t="s">
        <v>350</v>
      </c>
      <c r="P17" s="28">
        <v>2022</v>
      </c>
      <c r="Q17" s="28">
        <v>2022</v>
      </c>
      <c r="R17" s="12" t="s">
        <v>351</v>
      </c>
      <c r="S17" s="131">
        <v>90.5</v>
      </c>
      <c r="T17" s="12" t="s">
        <v>352</v>
      </c>
      <c r="U17" s="12" t="s">
        <v>353</v>
      </c>
    </row>
    <row r="18" spans="2:22" outlineLevel="1" x14ac:dyDescent="0.15">
      <c r="B18" s="12" t="s">
        <v>372</v>
      </c>
      <c r="C18" s="12" t="s">
        <v>163</v>
      </c>
      <c r="H18" s="12" t="s">
        <v>346</v>
      </c>
      <c r="I18" s="12" t="s">
        <v>347</v>
      </c>
      <c r="J18" s="12">
        <v>32</v>
      </c>
      <c r="K18" s="12" t="s">
        <v>373</v>
      </c>
      <c r="L18" s="12">
        <v>5510</v>
      </c>
      <c r="M18" s="12" t="s">
        <v>349</v>
      </c>
      <c r="N18" s="12">
        <v>1234</v>
      </c>
      <c r="O18" s="12" t="s">
        <v>350</v>
      </c>
      <c r="P18" s="28">
        <v>2020</v>
      </c>
      <c r="Q18" s="28">
        <v>2020</v>
      </c>
      <c r="R18" s="12" t="s">
        <v>351</v>
      </c>
      <c r="S18" s="131">
        <v>1221000</v>
      </c>
      <c r="T18" s="12" t="s">
        <v>352</v>
      </c>
      <c r="U18" s="12" t="s">
        <v>353</v>
      </c>
    </row>
    <row r="19" spans="2:22" outlineLevel="1" x14ac:dyDescent="0.15">
      <c r="B19" s="12" t="s">
        <v>374</v>
      </c>
      <c r="C19" s="12" t="s">
        <v>163</v>
      </c>
      <c r="H19" s="12" t="s">
        <v>346</v>
      </c>
      <c r="I19" s="12" t="s">
        <v>347</v>
      </c>
      <c r="J19" s="12">
        <v>32</v>
      </c>
      <c r="K19" s="12" t="s">
        <v>373</v>
      </c>
      <c r="L19" s="12">
        <v>5510</v>
      </c>
      <c r="M19" s="12" t="s">
        <v>349</v>
      </c>
      <c r="N19" s="12">
        <v>1234</v>
      </c>
      <c r="O19" s="12" t="s">
        <v>350</v>
      </c>
      <c r="P19" s="28">
        <v>2021</v>
      </c>
      <c r="Q19" s="28">
        <v>2021</v>
      </c>
      <c r="R19" s="12" t="s">
        <v>351</v>
      </c>
      <c r="S19" s="131">
        <v>1362000</v>
      </c>
      <c r="T19" s="12" t="s">
        <v>352</v>
      </c>
      <c r="U19" s="12" t="s">
        <v>353</v>
      </c>
    </row>
    <row r="20" spans="2:22" outlineLevel="1" x14ac:dyDescent="0.15">
      <c r="B20" s="12" t="s">
        <v>375</v>
      </c>
      <c r="C20" s="12" t="s">
        <v>163</v>
      </c>
      <c r="H20" s="12" t="s">
        <v>346</v>
      </c>
      <c r="I20" s="12" t="s">
        <v>347</v>
      </c>
      <c r="J20" s="12">
        <v>32</v>
      </c>
      <c r="K20" s="12" t="s">
        <v>373</v>
      </c>
      <c r="L20" s="12">
        <v>5510</v>
      </c>
      <c r="M20" s="12" t="s">
        <v>349</v>
      </c>
      <c r="N20" s="12">
        <v>1234</v>
      </c>
      <c r="O20" s="12" t="s">
        <v>350</v>
      </c>
      <c r="P20" s="28">
        <v>2022</v>
      </c>
      <c r="Q20" s="28">
        <v>2022</v>
      </c>
      <c r="R20" s="12" t="s">
        <v>351</v>
      </c>
      <c r="S20" s="131">
        <v>1393000</v>
      </c>
      <c r="T20" s="12" t="s">
        <v>352</v>
      </c>
      <c r="U20" s="12" t="s">
        <v>353</v>
      </c>
    </row>
    <row r="21" spans="2:22" outlineLevel="1" x14ac:dyDescent="0.15">
      <c r="B21" s="12" t="s">
        <v>376</v>
      </c>
      <c r="C21" s="12" t="s">
        <v>163</v>
      </c>
      <c r="H21" s="12" t="s">
        <v>346</v>
      </c>
      <c r="I21" s="12" t="s">
        <v>347</v>
      </c>
      <c r="J21" s="12">
        <v>51</v>
      </c>
      <c r="K21" s="12" t="s">
        <v>377</v>
      </c>
      <c r="L21" s="12">
        <v>5510</v>
      </c>
      <c r="M21" s="12" t="s">
        <v>349</v>
      </c>
      <c r="N21" s="12">
        <v>1234</v>
      </c>
      <c r="O21" s="12" t="s">
        <v>350</v>
      </c>
      <c r="P21" s="28">
        <v>2020</v>
      </c>
      <c r="Q21" s="28">
        <v>2020</v>
      </c>
      <c r="R21" s="12" t="s">
        <v>351</v>
      </c>
      <c r="S21" s="131">
        <v>183656.9</v>
      </c>
      <c r="T21" s="12" t="s">
        <v>352</v>
      </c>
      <c r="U21" s="12" t="s">
        <v>353</v>
      </c>
    </row>
    <row r="22" spans="2:22" outlineLevel="1" x14ac:dyDescent="0.15">
      <c r="B22" s="12" t="s">
        <v>378</v>
      </c>
      <c r="C22" s="12" t="s">
        <v>163</v>
      </c>
      <c r="H22" s="12" t="s">
        <v>346</v>
      </c>
      <c r="I22" s="12" t="s">
        <v>347</v>
      </c>
      <c r="J22" s="12">
        <v>51</v>
      </c>
      <c r="K22" s="12" t="s">
        <v>377</v>
      </c>
      <c r="L22" s="12">
        <v>5510</v>
      </c>
      <c r="M22" s="12" t="s">
        <v>349</v>
      </c>
      <c r="N22" s="12">
        <v>1234</v>
      </c>
      <c r="O22" s="12" t="s">
        <v>350</v>
      </c>
      <c r="P22" s="28">
        <v>2021</v>
      </c>
      <c r="Q22" s="28">
        <v>2021</v>
      </c>
      <c r="R22" s="12" t="s">
        <v>351</v>
      </c>
      <c r="S22" s="131">
        <v>206085.5</v>
      </c>
      <c r="T22" s="12" t="s">
        <v>352</v>
      </c>
      <c r="U22" s="12" t="s">
        <v>353</v>
      </c>
    </row>
    <row r="23" spans="2:22" outlineLevel="1" x14ac:dyDescent="0.15">
      <c r="B23" s="12" t="s">
        <v>379</v>
      </c>
      <c r="C23" s="12" t="s">
        <v>163</v>
      </c>
      <c r="H23" s="12" t="s">
        <v>346</v>
      </c>
      <c r="I23" s="12" t="s">
        <v>347</v>
      </c>
      <c r="J23" s="12">
        <v>51</v>
      </c>
      <c r="K23" s="12" t="s">
        <v>377</v>
      </c>
      <c r="L23" s="12">
        <v>5510</v>
      </c>
      <c r="M23" s="12" t="s">
        <v>349</v>
      </c>
      <c r="N23" s="12">
        <v>1234</v>
      </c>
      <c r="O23" s="12" t="s">
        <v>350</v>
      </c>
      <c r="P23" s="28">
        <v>2022</v>
      </c>
      <c r="Q23" s="28">
        <v>2022</v>
      </c>
      <c r="R23" s="12" t="s">
        <v>351</v>
      </c>
      <c r="S23" s="131">
        <v>186080</v>
      </c>
      <c r="T23" s="12" t="s">
        <v>352</v>
      </c>
      <c r="U23" s="12" t="s">
        <v>353</v>
      </c>
    </row>
    <row r="24" spans="2:22" outlineLevel="1" x14ac:dyDescent="0.15">
      <c r="B24" s="12" t="s">
        <v>380</v>
      </c>
      <c r="C24" s="12" t="s">
        <v>163</v>
      </c>
      <c r="H24" s="12" t="s">
        <v>346</v>
      </c>
      <c r="I24" s="12" t="s">
        <v>347</v>
      </c>
      <c r="J24" s="12">
        <v>36</v>
      </c>
      <c r="K24" s="12" t="s">
        <v>381</v>
      </c>
      <c r="L24" s="12">
        <v>5510</v>
      </c>
      <c r="M24" s="12" t="s">
        <v>349</v>
      </c>
      <c r="N24" s="12">
        <v>1234</v>
      </c>
      <c r="O24" s="12" t="s">
        <v>350</v>
      </c>
      <c r="P24" s="28">
        <v>2020</v>
      </c>
      <c r="Q24" s="28">
        <v>2020</v>
      </c>
      <c r="R24" s="12" t="s">
        <v>351</v>
      </c>
      <c r="S24" s="131">
        <v>297474.45</v>
      </c>
      <c r="T24" s="12" t="s">
        <v>352</v>
      </c>
      <c r="U24" s="12" t="s">
        <v>353</v>
      </c>
    </row>
    <row r="25" spans="2:22" outlineLevel="1" x14ac:dyDescent="0.15">
      <c r="B25" s="12" t="s">
        <v>382</v>
      </c>
      <c r="C25" s="12" t="s">
        <v>163</v>
      </c>
      <c r="H25" s="12" t="s">
        <v>346</v>
      </c>
      <c r="I25" s="12" t="s">
        <v>347</v>
      </c>
      <c r="J25" s="12">
        <v>36</v>
      </c>
      <c r="K25" s="12" t="s">
        <v>381</v>
      </c>
      <c r="L25" s="12">
        <v>5510</v>
      </c>
      <c r="M25" s="12" t="s">
        <v>349</v>
      </c>
      <c r="N25" s="12">
        <v>1234</v>
      </c>
      <c r="O25" s="12" t="s">
        <v>350</v>
      </c>
      <c r="P25" s="28">
        <v>2021</v>
      </c>
      <c r="Q25" s="28">
        <v>2021</v>
      </c>
      <c r="R25" s="12" t="s">
        <v>351</v>
      </c>
      <c r="S25" s="131">
        <v>336888.47</v>
      </c>
      <c r="T25" s="12" t="s">
        <v>352</v>
      </c>
      <c r="U25" s="12" t="s">
        <v>353</v>
      </c>
    </row>
    <row r="26" spans="2:22" outlineLevel="1" x14ac:dyDescent="0.15">
      <c r="B26" s="12" t="s">
        <v>383</v>
      </c>
      <c r="C26" s="12" t="s">
        <v>163</v>
      </c>
      <c r="H26" s="12" t="s">
        <v>346</v>
      </c>
      <c r="I26" s="12" t="s">
        <v>347</v>
      </c>
      <c r="J26" s="12">
        <v>36</v>
      </c>
      <c r="K26" s="12" t="s">
        <v>381</v>
      </c>
      <c r="L26" s="12">
        <v>5510</v>
      </c>
      <c r="M26" s="12" t="s">
        <v>349</v>
      </c>
      <c r="N26" s="12">
        <v>1234</v>
      </c>
      <c r="O26" s="12" t="s">
        <v>350</v>
      </c>
      <c r="P26" s="28">
        <v>2022</v>
      </c>
      <c r="Q26" s="28">
        <v>2022</v>
      </c>
      <c r="R26" s="12" t="s">
        <v>351</v>
      </c>
      <c r="S26" s="131">
        <v>325000</v>
      </c>
      <c r="T26" s="12" t="s">
        <v>352</v>
      </c>
      <c r="U26" s="12" t="s">
        <v>353</v>
      </c>
    </row>
    <row r="27" spans="2:22" outlineLevel="1" x14ac:dyDescent="0.15">
      <c r="B27" s="12" t="s">
        <v>384</v>
      </c>
      <c r="C27" s="12" t="s">
        <v>163</v>
      </c>
      <c r="H27" s="12" t="s">
        <v>346</v>
      </c>
      <c r="I27" s="12" t="s">
        <v>347</v>
      </c>
      <c r="J27" s="12">
        <v>40</v>
      </c>
      <c r="K27" s="12" t="s">
        <v>385</v>
      </c>
      <c r="L27" s="12">
        <v>5510</v>
      </c>
      <c r="M27" s="12" t="s">
        <v>349</v>
      </c>
      <c r="N27" s="12">
        <v>1234</v>
      </c>
      <c r="O27" s="12" t="s">
        <v>350</v>
      </c>
      <c r="P27" s="28">
        <v>2020</v>
      </c>
      <c r="Q27" s="28">
        <v>2020</v>
      </c>
      <c r="R27" s="12" t="s">
        <v>351</v>
      </c>
      <c r="S27" s="131">
        <v>58670</v>
      </c>
      <c r="T27" s="12" t="s">
        <v>352</v>
      </c>
      <c r="U27" s="12" t="s">
        <v>353</v>
      </c>
    </row>
    <row r="28" spans="2:22" outlineLevel="1" x14ac:dyDescent="0.15">
      <c r="B28" s="12" t="s">
        <v>386</v>
      </c>
      <c r="C28" s="12" t="s">
        <v>163</v>
      </c>
      <c r="H28" s="12" t="s">
        <v>346</v>
      </c>
      <c r="I28" s="12" t="s">
        <v>347</v>
      </c>
      <c r="J28" s="12">
        <v>40</v>
      </c>
      <c r="K28" s="12" t="s">
        <v>385</v>
      </c>
      <c r="L28" s="12">
        <v>5510</v>
      </c>
      <c r="M28" s="12" t="s">
        <v>349</v>
      </c>
      <c r="N28" s="12">
        <v>1234</v>
      </c>
      <c r="O28" s="12" t="s">
        <v>350</v>
      </c>
      <c r="P28" s="28">
        <v>2021</v>
      </c>
      <c r="Q28" s="28">
        <v>2021</v>
      </c>
      <c r="R28" s="12" t="s">
        <v>351</v>
      </c>
      <c r="S28" s="131">
        <v>59770</v>
      </c>
      <c r="T28" s="12" t="s">
        <v>352</v>
      </c>
      <c r="U28" s="12" t="s">
        <v>353</v>
      </c>
    </row>
    <row r="29" spans="2:22" outlineLevel="1" x14ac:dyDescent="0.15">
      <c r="B29" s="12" t="s">
        <v>387</v>
      </c>
      <c r="C29" s="12" t="s">
        <v>163</v>
      </c>
      <c r="E29" s="12" t="s">
        <v>388</v>
      </c>
      <c r="H29" s="12" t="s">
        <v>346</v>
      </c>
      <c r="I29" s="12" t="s">
        <v>347</v>
      </c>
      <c r="J29" s="12">
        <v>44</v>
      </c>
      <c r="K29" s="12" t="s">
        <v>389</v>
      </c>
      <c r="L29" s="12">
        <v>5510</v>
      </c>
      <c r="M29" s="12" t="s">
        <v>349</v>
      </c>
      <c r="N29" s="12">
        <v>1234</v>
      </c>
      <c r="O29" s="12" t="s">
        <v>350</v>
      </c>
      <c r="P29" s="28">
        <v>2020</v>
      </c>
      <c r="Q29" s="28">
        <v>2020</v>
      </c>
      <c r="R29" s="12" t="s">
        <v>351</v>
      </c>
      <c r="S29" s="131">
        <v>7642.44</v>
      </c>
      <c r="T29" s="12" t="s">
        <v>390</v>
      </c>
      <c r="U29" s="12" t="s">
        <v>391</v>
      </c>
    </row>
    <row r="30" spans="2:22" outlineLevel="1" x14ac:dyDescent="0.15">
      <c r="B30" s="12" t="s">
        <v>392</v>
      </c>
      <c r="C30" s="12" t="s">
        <v>163</v>
      </c>
      <c r="H30" s="12" t="s">
        <v>346</v>
      </c>
      <c r="I30" s="12" t="s">
        <v>347</v>
      </c>
      <c r="J30" s="12">
        <v>44</v>
      </c>
      <c r="K30" s="12" t="s">
        <v>389</v>
      </c>
      <c r="L30" s="12">
        <v>5510</v>
      </c>
      <c r="M30" s="12" t="s">
        <v>349</v>
      </c>
      <c r="N30" s="12">
        <v>1234</v>
      </c>
      <c r="O30" s="12" t="s">
        <v>350</v>
      </c>
      <c r="P30" s="28">
        <v>2021</v>
      </c>
      <c r="Q30" s="28">
        <v>2021</v>
      </c>
      <c r="R30" s="12" t="s">
        <v>351</v>
      </c>
      <c r="S30" s="131">
        <v>7512.81</v>
      </c>
      <c r="T30" s="12" t="s">
        <v>390</v>
      </c>
      <c r="U30" s="12" t="s">
        <v>391</v>
      </c>
    </row>
    <row r="31" spans="2:22" outlineLevel="1" x14ac:dyDescent="0.15"/>
    <row r="32" spans="2:22" x14ac:dyDescent="0.15">
      <c r="B32" s="130" t="s">
        <v>303</v>
      </c>
      <c r="C32" s="130"/>
      <c r="D32" s="130"/>
      <c r="E32" s="130"/>
      <c r="F32" s="130"/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</row>
    <row r="33" spans="2:6" outlineLevel="1" x14ac:dyDescent="0.15"/>
    <row r="34" spans="2:6" outlineLevel="1" x14ac:dyDescent="0.15">
      <c r="B34" s="1" t="s">
        <v>216</v>
      </c>
      <c r="C34" s="1"/>
      <c r="E34" s="1" t="s">
        <v>393</v>
      </c>
      <c r="F34" s="1" t="s">
        <v>394</v>
      </c>
    </row>
    <row r="35" spans="2:6" outlineLevel="1" x14ac:dyDescent="0.15"/>
    <row r="36" spans="2:6" outlineLevel="1" x14ac:dyDescent="0.15">
      <c r="B36" s="22" t="s">
        <v>395</v>
      </c>
      <c r="C36" s="22" t="s">
        <v>396</v>
      </c>
      <c r="E36" s="12" t="s">
        <v>397</v>
      </c>
      <c r="F36" s="12" t="s">
        <v>397</v>
      </c>
    </row>
    <row r="37" spans="2:6" outlineLevel="1" x14ac:dyDescent="0.15">
      <c r="B37" s="12" t="s">
        <v>398</v>
      </c>
      <c r="C37" s="12" t="s">
        <v>399</v>
      </c>
      <c r="E37" s="12" t="str">
        <f>B37 &amp; "_" &amp; C37</f>
        <v>Имя1_Фамилия1</v>
      </c>
      <c r="F37" s="12" t="str">
        <f>CONCATENATE(B37,"_",C37)</f>
        <v>Имя1_Фамилия1</v>
      </c>
    </row>
    <row r="38" spans="2:6" outlineLevel="1" x14ac:dyDescent="0.15">
      <c r="B38" s="12" t="s">
        <v>400</v>
      </c>
      <c r="C38" s="12" t="s">
        <v>401</v>
      </c>
      <c r="E38" s="12" t="str">
        <f t="shared" ref="E38:E41" si="0">B38 &amp; "_" &amp; C38</f>
        <v>Имя2_Фамилия2</v>
      </c>
      <c r="F38" s="12" t="str">
        <f t="shared" ref="F38:F41" si="1">CONCATENATE(B38,"_",C38)</f>
        <v>Имя2_Фамилия2</v>
      </c>
    </row>
    <row r="39" spans="2:6" outlineLevel="1" x14ac:dyDescent="0.15">
      <c r="B39" s="12" t="s">
        <v>402</v>
      </c>
      <c r="C39" s="12" t="s">
        <v>403</v>
      </c>
      <c r="E39" s="12" t="str">
        <f t="shared" si="0"/>
        <v>Имя3_Фамилия3</v>
      </c>
      <c r="F39" s="12" t="str">
        <f t="shared" si="1"/>
        <v>Имя3_Фамилия3</v>
      </c>
    </row>
    <row r="40" spans="2:6" outlineLevel="1" x14ac:dyDescent="0.15">
      <c r="B40" s="12" t="s">
        <v>404</v>
      </c>
      <c r="C40" s="12" t="s">
        <v>405</v>
      </c>
      <c r="E40" s="12" t="str">
        <f t="shared" si="0"/>
        <v>Имя4_Фамилия4</v>
      </c>
      <c r="F40" s="12" t="str">
        <f t="shared" si="1"/>
        <v>Имя4_Фамилия4</v>
      </c>
    </row>
    <row r="41" spans="2:6" outlineLevel="1" x14ac:dyDescent="0.15">
      <c r="B41" s="12" t="s">
        <v>406</v>
      </c>
      <c r="C41" s="12" t="s">
        <v>407</v>
      </c>
      <c r="E41" s="12" t="str">
        <f t="shared" si="0"/>
        <v>Имя5_Фамилия5</v>
      </c>
      <c r="F41" s="12" t="str">
        <f t="shared" si="1"/>
        <v>Имя5_Фамилия5</v>
      </c>
    </row>
    <row r="42" spans="2:6" outlineLevel="1" x14ac:dyDescent="0.15"/>
  </sheetData>
  <mergeCells count="1">
    <mergeCell ref="E10:F11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tabColor theme="8" tint="0.79998168889431442"/>
  </sheetPr>
  <dimension ref="A1:V137"/>
  <sheetViews>
    <sheetView showGridLines="0" workbookViewId="0">
      <pane xSplit="8" ySplit="2" topLeftCell="I3" activePane="bottomRight" state="frozen"/>
      <selection activeCell="C15" sqref="C15"/>
      <selection pane="topRight" activeCell="C15" sqref="C15"/>
      <selection pane="bottomLeft" activeCell="C15" sqref="C15"/>
      <selection pane="bottomRight" activeCell="I3" sqref="I3"/>
    </sheetView>
  </sheetViews>
  <sheetFormatPr defaultColWidth="11" defaultRowHeight="11.25" outlineLevelRow="1" x14ac:dyDescent="0.15"/>
  <cols>
    <col min="1" max="5" width="2.75" style="12" customWidth="1"/>
    <col min="6" max="6" width="22.25" style="12" customWidth="1"/>
    <col min="7" max="8" width="11" style="12"/>
    <col min="9" max="13" width="13.375" style="12" customWidth="1"/>
    <col min="14" max="16384" width="11" style="12"/>
  </cols>
  <sheetData>
    <row r="1" spans="1:22" x14ac:dyDescent="0.15">
      <c r="A1" s="11" t="s">
        <v>408</v>
      </c>
    </row>
    <row r="2" spans="1:22" x14ac:dyDescent="0.15">
      <c r="B2" s="22" t="s">
        <v>0</v>
      </c>
      <c r="C2" s="22"/>
      <c r="D2" s="22"/>
      <c r="E2" s="22"/>
      <c r="F2" s="22"/>
      <c r="G2" s="22" t="s">
        <v>1</v>
      </c>
      <c r="H2" s="22" t="s">
        <v>2</v>
      </c>
    </row>
    <row r="3" spans="1:22" x14ac:dyDescent="0.15">
      <c r="B3" s="1" t="s">
        <v>409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outlineLevel="1" x14ac:dyDescent="0.15"/>
    <row r="5" spans="1:22" outlineLevel="1" x14ac:dyDescent="0.15">
      <c r="C5" s="12">
        <v>1</v>
      </c>
      <c r="D5" s="12" t="s">
        <v>410</v>
      </c>
    </row>
    <row r="6" spans="1:22" outlineLevel="1" x14ac:dyDescent="0.15">
      <c r="C6" s="12">
        <v>2</v>
      </c>
      <c r="D6" s="12" t="s">
        <v>411</v>
      </c>
    </row>
    <row r="7" spans="1:22" outlineLevel="1" x14ac:dyDescent="0.15">
      <c r="C7" s="12">
        <v>3</v>
      </c>
      <c r="D7" s="12" t="s">
        <v>412</v>
      </c>
    </row>
    <row r="8" spans="1:22" outlineLevel="1" x14ac:dyDescent="0.15">
      <c r="C8" s="12">
        <v>4</v>
      </c>
      <c r="D8" s="12" t="s">
        <v>413</v>
      </c>
    </row>
    <row r="9" spans="1:22" outlineLevel="1" x14ac:dyDescent="0.15">
      <c r="C9" s="12">
        <v>5</v>
      </c>
      <c r="D9" s="12" t="s">
        <v>414</v>
      </c>
    </row>
    <row r="10" spans="1:22" outlineLevel="1" x14ac:dyDescent="0.15">
      <c r="C10" s="12">
        <v>6</v>
      </c>
      <c r="D10" s="12" t="s">
        <v>415</v>
      </c>
    </row>
    <row r="11" spans="1:22" outlineLevel="1" x14ac:dyDescent="0.15"/>
    <row r="12" spans="1:22" x14ac:dyDescent="0.15">
      <c r="B12" s="1" t="s">
        <v>416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outlineLevel="1" x14ac:dyDescent="0.15">
      <c r="C13" s="115" t="s">
        <v>417</v>
      </c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</row>
    <row r="14" spans="1:22" outlineLevel="1" x14ac:dyDescent="0.15">
      <c r="I14" s="22" t="s">
        <v>418</v>
      </c>
      <c r="L14" s="121" t="s">
        <v>419</v>
      </c>
    </row>
    <row r="15" spans="1:22" outlineLevel="1" x14ac:dyDescent="0.15">
      <c r="D15" s="22" t="s">
        <v>420</v>
      </c>
      <c r="I15" s="113" t="s">
        <v>227</v>
      </c>
      <c r="J15" s="113" t="s">
        <v>236</v>
      </c>
      <c r="L15" s="113" t="s">
        <v>227</v>
      </c>
      <c r="M15" s="113" t="s">
        <v>236</v>
      </c>
    </row>
    <row r="16" spans="1:22" outlineLevel="1" x14ac:dyDescent="0.15">
      <c r="E16" s="12" t="s">
        <v>421</v>
      </c>
      <c r="G16" s="12" t="s">
        <v>422</v>
      </c>
      <c r="I16" s="99">
        <f>SUMIF('Декларации_Исх. данные'!$I$3:$I$343,$E16,'Декларации_Исх. данные'!$CA$3:$CA$343)/1000</f>
        <v>18515.599999999999</v>
      </c>
      <c r="J16" s="99">
        <f>SUMIFS('Декларации_Исх. данные'!$CA$3:$CA$343,'Декларации_Исх. данные'!$I$3:$I$343,$E16)/1000</f>
        <v>18515.599999999999</v>
      </c>
      <c r="L16" s="99">
        <f>SUMIF('Декларации_Исх. данные'!$I:$I,$E16,'Декларации_Исх. данные'!$CA:$CA)/1000</f>
        <v>18515.599999999999</v>
      </c>
      <c r="M16" s="99">
        <f>SUMIFS('Декларации_Исх. данные'!$CA:$CA,'Декларации_Исх. данные'!$I:$I,$E16)/1000</f>
        <v>18515.599999999999</v>
      </c>
    </row>
    <row r="17" spans="3:22" outlineLevel="1" x14ac:dyDescent="0.15">
      <c r="E17" s="12" t="s">
        <v>423</v>
      </c>
      <c r="G17" s="12" t="s">
        <v>422</v>
      </c>
      <c r="I17" s="99">
        <f>SUMIF('Декларации_Исх. данные'!$I$3:$I$343,$E17,'Декларации_Исх. данные'!$CA$3:$CA$343)/1000</f>
        <v>1152</v>
      </c>
      <c r="J17" s="99">
        <f>SUMIFS('Декларации_Исх. данные'!$CA$3:$CA$343,'Декларации_Исх. данные'!$I$3:$I$343,$E17)/1000</f>
        <v>1152</v>
      </c>
      <c r="L17" s="99">
        <f>SUMIF('Декларации_Исх. данные'!$I:$I,$E17,'Декларации_Исх. данные'!$CA:$CA)/1000</f>
        <v>1152</v>
      </c>
      <c r="M17" s="99">
        <f>SUMIFS('Декларации_Исх. данные'!$CA:$CA,'Декларации_Исх. данные'!$I:$I,$E17)/1000</f>
        <v>1152</v>
      </c>
    </row>
    <row r="18" spans="3:22" outlineLevel="1" x14ac:dyDescent="0.15"/>
    <row r="19" spans="3:22" outlineLevel="1" x14ac:dyDescent="0.15">
      <c r="C19" s="119" t="s">
        <v>247</v>
      </c>
      <c r="D19" s="119"/>
      <c r="E19" s="119"/>
    </row>
    <row r="20" spans="3:22" outlineLevel="1" x14ac:dyDescent="0.15">
      <c r="E20" s="12" t="s">
        <v>248</v>
      </c>
    </row>
    <row r="21" spans="3:22" outlineLevel="1" x14ac:dyDescent="0.15">
      <c r="E21" s="12" t="s">
        <v>249</v>
      </c>
    </row>
    <row r="22" spans="3:22" outlineLevel="1" x14ac:dyDescent="0.15"/>
    <row r="23" spans="3:22" outlineLevel="1" x14ac:dyDescent="0.15">
      <c r="C23" s="115" t="s">
        <v>424</v>
      </c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</row>
    <row r="24" spans="3:22" outlineLevel="1" x14ac:dyDescent="0.15"/>
    <row r="25" spans="3:22" outlineLevel="1" x14ac:dyDescent="0.15">
      <c r="C25" s="12">
        <v>1</v>
      </c>
      <c r="D25" s="12" t="s">
        <v>425</v>
      </c>
    </row>
    <row r="26" spans="3:22" outlineLevel="1" x14ac:dyDescent="0.15">
      <c r="C26" s="12">
        <v>2</v>
      </c>
      <c r="D26" s="12" t="s">
        <v>426</v>
      </c>
    </row>
    <row r="27" spans="3:22" outlineLevel="1" x14ac:dyDescent="0.15">
      <c r="C27" s="12">
        <v>3</v>
      </c>
      <c r="D27" s="12" t="s">
        <v>427</v>
      </c>
    </row>
    <row r="28" spans="3:22" outlineLevel="1" x14ac:dyDescent="0.15"/>
    <row r="29" spans="3:22" outlineLevel="1" x14ac:dyDescent="0.15">
      <c r="D29" s="22" t="s">
        <v>428</v>
      </c>
    </row>
    <row r="30" spans="3:22" outlineLevel="1" x14ac:dyDescent="0.15">
      <c r="D30" s="12" t="s">
        <v>421</v>
      </c>
      <c r="E30" s="12" t="s">
        <v>429</v>
      </c>
      <c r="G30" s="12" t="s">
        <v>422</v>
      </c>
      <c r="I30" s="99">
        <f>SUMIFS('Декларации_Исх. данные'!$CA:$CA,'Декларации_Исх. данные'!$I:$I,$D30,'Декларации_Исх. данные'!$AR:$AR,$E30)/1000</f>
        <v>3113.7</v>
      </c>
    </row>
    <row r="31" spans="3:22" outlineLevel="1" x14ac:dyDescent="0.15">
      <c r="D31" s="12" t="s">
        <v>421</v>
      </c>
      <c r="E31" s="12" t="s">
        <v>430</v>
      </c>
      <c r="G31" s="12" t="s">
        <v>422</v>
      </c>
      <c r="I31" s="99">
        <f>SUMIFS('Декларации_Исх. данные'!$CA:$CA,'Декларации_Исх. данные'!$I:$I,$D31,'Декларации_Исх. данные'!$AR:$AR,$E31)/1000</f>
        <v>5626.2</v>
      </c>
    </row>
    <row r="32" spans="3:22" outlineLevel="1" x14ac:dyDescent="0.15">
      <c r="D32" s="12" t="s">
        <v>421</v>
      </c>
      <c r="E32" s="12" t="s">
        <v>431</v>
      </c>
      <c r="G32" s="12" t="s">
        <v>422</v>
      </c>
      <c r="I32" s="99">
        <f>SUMIFS('Декларации_Исх. данные'!$CA:$CA,'Декларации_Исх. данные'!$I:$I,$D32,'Декларации_Исх. данные'!$AR:$AR,$E32)/1000</f>
        <v>644.6</v>
      </c>
    </row>
    <row r="33" spans="3:22" outlineLevel="1" x14ac:dyDescent="0.15">
      <c r="D33" s="12" t="s">
        <v>421</v>
      </c>
      <c r="E33" s="12" t="s">
        <v>432</v>
      </c>
      <c r="G33" s="12" t="s">
        <v>422</v>
      </c>
      <c r="I33" s="99">
        <f>SUMIFS('Декларации_Исх. данные'!$CA:$CA,'Декларации_Исх. данные'!$I:$I,$D33,'Декларации_Исх. данные'!$AR:$AR,$E33)/1000</f>
        <v>5140.8999999999996</v>
      </c>
    </row>
    <row r="34" spans="3:22" outlineLevel="1" x14ac:dyDescent="0.15">
      <c r="D34" s="12" t="s">
        <v>421</v>
      </c>
      <c r="E34" s="12" t="s">
        <v>433</v>
      </c>
      <c r="G34" s="12" t="s">
        <v>422</v>
      </c>
      <c r="I34" s="99">
        <f>SUMIFS('Декларации_Исх. данные'!$CA:$CA,'Декларации_Исх. данные'!$I:$I,$D34,'Декларации_Исх. данные'!$AR:$AR,$E34)/1000</f>
        <v>1530</v>
      </c>
    </row>
    <row r="35" spans="3:22" outlineLevel="1" x14ac:dyDescent="0.15">
      <c r="D35" s="12" t="s">
        <v>421</v>
      </c>
      <c r="E35" s="12" t="s">
        <v>434</v>
      </c>
      <c r="G35" s="12" t="s">
        <v>422</v>
      </c>
      <c r="I35" s="99">
        <f>SUMIFS('Декларации_Исх. данные'!$CA:$CA,'Декларации_Исх. данные'!$I:$I,$D35,'Декларации_Исх. данные'!$AR:$AR,$E35)/1000</f>
        <v>1941.2</v>
      </c>
    </row>
    <row r="36" spans="3:22" outlineLevel="1" x14ac:dyDescent="0.15">
      <c r="D36" s="12" t="s">
        <v>421</v>
      </c>
      <c r="E36" s="12" t="s">
        <v>435</v>
      </c>
      <c r="G36" s="12" t="s">
        <v>422</v>
      </c>
      <c r="I36" s="99">
        <f>SUMIFS('Декларации_Исх. данные'!$CA:$CA,'Декларации_Исх. данные'!$I:$I,$D36,'Декларации_Исх. данные'!$AR:$AR,$E36)/1000</f>
        <v>156</v>
      </c>
    </row>
    <row r="37" spans="3:22" outlineLevel="1" x14ac:dyDescent="0.15">
      <c r="D37" s="12" t="s">
        <v>421</v>
      </c>
      <c r="E37" s="12" t="s">
        <v>436</v>
      </c>
      <c r="G37" s="12" t="s">
        <v>422</v>
      </c>
      <c r="I37" s="99">
        <f>SUMIFS('Декларации_Исх. данные'!$CA:$CA,'Декларации_Исх. данные'!$I:$I,$D37,'Декларации_Исх. данные'!$AR:$AR,$E37)/1000</f>
        <v>363</v>
      </c>
    </row>
    <row r="38" spans="3:22" outlineLevel="1" x14ac:dyDescent="0.15">
      <c r="D38" s="12" t="s">
        <v>421</v>
      </c>
      <c r="E38" s="12" t="s">
        <v>437</v>
      </c>
      <c r="G38" s="12" t="s">
        <v>422</v>
      </c>
      <c r="I38" s="99">
        <f>SUMIFS('Декларации_Исх. данные'!$CA:$CA,'Декларации_Исх. данные'!$I:$I,$D38,'Декларации_Исх. данные'!$AR:$AR,$E38)/1000</f>
        <v>0</v>
      </c>
    </row>
    <row r="39" spans="3:22" outlineLevel="1" x14ac:dyDescent="0.15">
      <c r="E39" s="53" t="s">
        <v>171</v>
      </c>
      <c r="F39" s="53"/>
      <c r="G39" s="53" t="s">
        <v>422</v>
      </c>
      <c r="H39" s="54"/>
      <c r="I39" s="54">
        <f>SUM(I30:I38)</f>
        <v>18515.599999999999</v>
      </c>
    </row>
    <row r="40" spans="3:22" outlineLevel="1" x14ac:dyDescent="0.15">
      <c r="F40" s="132" t="s">
        <v>438</v>
      </c>
      <c r="G40" s="132"/>
      <c r="I40" s="61">
        <f>I39-I16</f>
        <v>0</v>
      </c>
    </row>
    <row r="41" spans="3:22" outlineLevel="1" x14ac:dyDescent="0.15"/>
    <row r="42" spans="3:22" outlineLevel="1" x14ac:dyDescent="0.15">
      <c r="C42" s="115" t="s">
        <v>439</v>
      </c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</row>
    <row r="43" spans="3:22" outlineLevel="1" x14ac:dyDescent="0.15"/>
    <row r="44" spans="3:22" outlineLevel="1" x14ac:dyDescent="0.15">
      <c r="D44" s="22" t="s">
        <v>440</v>
      </c>
    </row>
    <row r="45" spans="3:22" outlineLevel="1" x14ac:dyDescent="0.15">
      <c r="D45" s="12" t="s">
        <v>421</v>
      </c>
      <c r="E45" s="12" t="s">
        <v>441</v>
      </c>
      <c r="G45" s="12" t="s">
        <v>422</v>
      </c>
      <c r="I45" s="99">
        <f>SUMIFS('Декларации_Исх. данные'!$CA:$CA,'Декларации_Исх. данные'!$I:$I,$D45,'Декларации_Исх. данные'!$BX:$BX,$E45)/1000</f>
        <v>5341.4</v>
      </c>
    </row>
    <row r="46" spans="3:22" outlineLevel="1" x14ac:dyDescent="0.15">
      <c r="D46" s="12" t="s">
        <v>421</v>
      </c>
      <c r="E46" s="12" t="s">
        <v>442</v>
      </c>
      <c r="G46" s="12" t="s">
        <v>422</v>
      </c>
      <c r="I46" s="99">
        <f>SUMIFS('Декларации_Исх. данные'!$CA:$CA,'Декларации_Исх. данные'!$I:$I,$D46,'Декларации_Исх. данные'!$BX:$BX,$E46)/1000</f>
        <v>24</v>
      </c>
    </row>
    <row r="47" spans="3:22" outlineLevel="1" x14ac:dyDescent="0.15">
      <c r="D47" s="12" t="s">
        <v>421</v>
      </c>
      <c r="E47" s="12" t="s">
        <v>443</v>
      </c>
      <c r="G47" s="12" t="s">
        <v>422</v>
      </c>
      <c r="I47" s="99">
        <f>SUMIFS('Декларации_Исх. данные'!$CA:$CA,'Декларации_Исх. данные'!$I:$I,$D47,'Декларации_Исх. данные'!$BX:$BX,$E47)/1000</f>
        <v>611.6</v>
      </c>
    </row>
    <row r="48" spans="3:22" outlineLevel="1" x14ac:dyDescent="0.15">
      <c r="D48" s="12" t="s">
        <v>421</v>
      </c>
      <c r="E48" s="12" t="s">
        <v>444</v>
      </c>
      <c r="G48" s="12" t="s">
        <v>422</v>
      </c>
      <c r="I48" s="99">
        <f>SUMIFS('Декларации_Исх. данные'!$CA:$CA,'Декларации_Исх. данные'!$I:$I,$D48,'Декларации_Исх. данные'!$BX:$BX,$E48)/1000</f>
        <v>148.19999999999999</v>
      </c>
    </row>
    <row r="49" spans="3:22" outlineLevel="1" x14ac:dyDescent="0.15"/>
    <row r="50" spans="3:22" outlineLevel="1" x14ac:dyDescent="0.15">
      <c r="D50" s="22" t="s">
        <v>445</v>
      </c>
    </row>
    <row r="51" spans="3:22" outlineLevel="1" x14ac:dyDescent="0.15">
      <c r="D51" s="12" t="s">
        <v>421</v>
      </c>
      <c r="E51" s="12" t="s">
        <v>446</v>
      </c>
      <c r="G51" s="12" t="s">
        <v>422</v>
      </c>
      <c r="I51" s="99">
        <f>SUMIFS('Декларации_Исх. данные'!$CA:$CA,'Декларации_Исх. данные'!$I:$I,$D51,'Декларации_Исх. данные'!$BX:$BX,$E51 &amp; "*")/1000</f>
        <v>5593.4</v>
      </c>
    </row>
    <row r="52" spans="3:22" outlineLevel="1" x14ac:dyDescent="0.15">
      <c r="D52" s="12" t="s">
        <v>421</v>
      </c>
      <c r="E52" s="12" t="s">
        <v>447</v>
      </c>
      <c r="G52" s="12" t="s">
        <v>422</v>
      </c>
      <c r="I52" s="99">
        <f>SUMIFS('Декларации_Исх. данные'!$CA:$CA,'Декларации_Исх. данные'!$I:$I,$D52,'Декларации_Исх. данные'!$BX:$BX,$E52 &amp; "*")/1000</f>
        <v>759.8</v>
      </c>
    </row>
    <row r="53" spans="3:22" outlineLevel="1" x14ac:dyDescent="0.15"/>
    <row r="54" spans="3:22" outlineLevel="1" x14ac:dyDescent="0.15">
      <c r="C54" s="119" t="s">
        <v>247</v>
      </c>
      <c r="D54" s="119"/>
      <c r="E54" s="119"/>
    </row>
    <row r="55" spans="3:22" outlineLevel="1" x14ac:dyDescent="0.15">
      <c r="D55" s="12" t="s">
        <v>234</v>
      </c>
    </row>
    <row r="56" spans="3:22" outlineLevel="1" x14ac:dyDescent="0.15"/>
    <row r="57" spans="3:22" outlineLevel="1" x14ac:dyDescent="0.15">
      <c r="C57" s="115" t="s">
        <v>448</v>
      </c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</row>
    <row r="58" spans="3:22" outlineLevel="1" x14ac:dyDescent="0.15"/>
    <row r="59" spans="3:22" outlineLevel="1" x14ac:dyDescent="0.15">
      <c r="D59" s="22" t="s">
        <v>449</v>
      </c>
      <c r="G59" s="12" t="s">
        <v>450</v>
      </c>
      <c r="I59" s="100">
        <v>100000</v>
      </c>
    </row>
    <row r="60" spans="3:22" outlineLevel="1" x14ac:dyDescent="0.15">
      <c r="D60" s="12" t="s">
        <v>421</v>
      </c>
      <c r="E60" s="12" t="s">
        <v>446</v>
      </c>
      <c r="G60" s="12" t="s">
        <v>422</v>
      </c>
      <c r="I60" s="99">
        <f>SUMIFS('Декларации_Исх. данные'!$CA:$CA,'Декларации_Исх. данные'!$I:$I,$D60,'Декларации_Исх. данные'!$BX:$BX,$E60 &amp; "*",'Декларации_Исх. данные'!$CA:$CA,"&gt;"&amp;$I$59)/1000</f>
        <v>1471.6</v>
      </c>
    </row>
    <row r="61" spans="3:22" outlineLevel="1" x14ac:dyDescent="0.15">
      <c r="D61" s="12" t="s">
        <v>421</v>
      </c>
      <c r="E61" s="12" t="s">
        <v>447</v>
      </c>
      <c r="G61" s="12" t="s">
        <v>422</v>
      </c>
      <c r="I61" s="99">
        <f>SUMIFS('Декларации_Исх. данные'!$CA:$CA,'Декларации_Исх. данные'!$I:$I,$D61,'Декларации_Исх. данные'!$BX:$BX,$E61 &amp; "*",'Декларации_Исх. данные'!$CA:$CA,"&gt;"&amp;$I$59)/1000</f>
        <v>112.8</v>
      </c>
    </row>
    <row r="62" spans="3:22" outlineLevel="1" x14ac:dyDescent="0.15"/>
    <row r="63" spans="3:22" outlineLevel="1" x14ac:dyDescent="0.15">
      <c r="C63" s="115" t="s">
        <v>451</v>
      </c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</row>
    <row r="64" spans="3:22" outlineLevel="1" x14ac:dyDescent="0.15"/>
    <row r="65" spans="3:5" outlineLevel="1" x14ac:dyDescent="0.15">
      <c r="D65" s="12" t="s">
        <v>452</v>
      </c>
    </row>
    <row r="66" spans="3:5" outlineLevel="1" x14ac:dyDescent="0.15"/>
    <row r="67" spans="3:5" outlineLevel="1" x14ac:dyDescent="0.15"/>
    <row r="68" spans="3:5" outlineLevel="1" x14ac:dyDescent="0.15"/>
    <row r="69" spans="3:5" outlineLevel="1" x14ac:dyDescent="0.15"/>
    <row r="70" spans="3:5" outlineLevel="1" x14ac:dyDescent="0.15"/>
    <row r="71" spans="3:5" outlineLevel="1" x14ac:dyDescent="0.15"/>
    <row r="72" spans="3:5" outlineLevel="1" x14ac:dyDescent="0.15"/>
    <row r="73" spans="3:5" outlineLevel="1" x14ac:dyDescent="0.15"/>
    <row r="74" spans="3:5" outlineLevel="1" x14ac:dyDescent="0.15"/>
    <row r="75" spans="3:5" outlineLevel="1" x14ac:dyDescent="0.15"/>
    <row r="76" spans="3:5" outlineLevel="1" x14ac:dyDescent="0.15"/>
    <row r="77" spans="3:5" outlineLevel="1" x14ac:dyDescent="0.15"/>
    <row r="78" spans="3:5" outlineLevel="1" x14ac:dyDescent="0.15"/>
    <row r="79" spans="3:5" outlineLevel="1" x14ac:dyDescent="0.15">
      <c r="C79" s="119" t="s">
        <v>247</v>
      </c>
      <c r="D79" s="119"/>
      <c r="E79" s="119"/>
    </row>
    <row r="80" spans="3:5" outlineLevel="1" x14ac:dyDescent="0.15">
      <c r="D80" s="12" t="s">
        <v>453</v>
      </c>
    </row>
    <row r="81" spans="2:22" outlineLevel="1" x14ac:dyDescent="0.15">
      <c r="D81" s="12" t="s">
        <v>454</v>
      </c>
    </row>
    <row r="82" spans="2:22" outlineLevel="1" x14ac:dyDescent="0.15">
      <c r="D82" s="12" t="s">
        <v>455</v>
      </c>
    </row>
    <row r="83" spans="2:22" outlineLevel="1" x14ac:dyDescent="0.15">
      <c r="D83" s="12" t="s">
        <v>456</v>
      </c>
    </row>
    <row r="84" spans="2:22" outlineLevel="1" x14ac:dyDescent="0.15"/>
    <row r="85" spans="2:22" x14ac:dyDescent="0.15">
      <c r="B85" s="1" t="s">
        <v>457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2:22" outlineLevel="1" x14ac:dyDescent="0.15"/>
    <row r="87" spans="2:22" outlineLevel="1" x14ac:dyDescent="0.15">
      <c r="C87" s="133" t="str">
        <f>'Декларации_Исх. данные'!$BT$1</f>
        <v>Пример</v>
      </c>
      <c r="F87" s="12" t="s">
        <v>458</v>
      </c>
    </row>
    <row r="88" spans="2:22" outlineLevel="1" x14ac:dyDescent="0.15"/>
    <row r="89" spans="2:22" outlineLevel="1" x14ac:dyDescent="0.15">
      <c r="D89" s="22" t="s">
        <v>459</v>
      </c>
    </row>
    <row r="90" spans="2:22" outlineLevel="1" x14ac:dyDescent="0.15">
      <c r="E90" s="12" t="s">
        <v>421</v>
      </c>
      <c r="G90" s="12" t="s">
        <v>422</v>
      </c>
      <c r="I90" s="99">
        <f>SUMIFS('Декларации_Исх. данные'!$CM:$CM,'Декларации_Исх. данные'!$I:$I,$E90,'Декларации_Исх. данные'!$BV:$BV,1)/1000</f>
        <v>1237.3979999999999</v>
      </c>
    </row>
    <row r="91" spans="2:22" outlineLevel="1" x14ac:dyDescent="0.15">
      <c r="E91" s="12" t="s">
        <v>423</v>
      </c>
      <c r="G91" s="12" t="s">
        <v>422</v>
      </c>
      <c r="I91" s="99">
        <f>SUMIFS('Декларации_Исх. данные'!$CM:$CM,'Декларации_Исх. данные'!$I:$I,$E91,'Декларации_Исх. данные'!$BV:$BV,1)/1000</f>
        <v>0</v>
      </c>
    </row>
    <row r="92" spans="2:22" outlineLevel="1" x14ac:dyDescent="0.15"/>
    <row r="93" spans="2:22" outlineLevel="1" x14ac:dyDescent="0.15">
      <c r="D93" s="22" t="s">
        <v>460</v>
      </c>
    </row>
    <row r="94" spans="2:22" outlineLevel="1" x14ac:dyDescent="0.15">
      <c r="E94" s="12" t="s">
        <v>421</v>
      </c>
      <c r="G94" s="12" t="s">
        <v>422</v>
      </c>
      <c r="I94" s="99">
        <f>SUMIFS('Декларации_Исх. данные'!$CM:$CM,'Декларации_Исх. данные'!$I:$I,$E94,'Декларации_Исх. данные'!$BV:$BV,1)/1000</f>
        <v>1237.3979999999999</v>
      </c>
    </row>
    <row r="95" spans="2:22" outlineLevel="1" x14ac:dyDescent="0.15">
      <c r="E95" s="12" t="s">
        <v>423</v>
      </c>
      <c r="G95" s="12" t="s">
        <v>422</v>
      </c>
      <c r="I95" s="99">
        <f>SUMIFS('Декларации_Исх. данные'!$CM:$CM,'Декларации_Исх. данные'!$I:$I,$E95,'Декларации_Исх. данные'!$BV:$BV,1)/1000</f>
        <v>0</v>
      </c>
    </row>
    <row r="96" spans="2:22" outlineLevel="1" x14ac:dyDescent="0.15"/>
    <row r="97" spans="2:22" x14ac:dyDescent="0.15">
      <c r="B97" s="1" t="s">
        <v>461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2:22" outlineLevel="1" x14ac:dyDescent="0.15"/>
    <row r="99" spans="2:22" outlineLevel="1" x14ac:dyDescent="0.15">
      <c r="C99" s="22" t="s">
        <v>216</v>
      </c>
    </row>
    <row r="100" spans="2:22" outlineLevel="1" x14ac:dyDescent="0.15">
      <c r="C100" s="12" t="s">
        <v>428</v>
      </c>
      <c r="I100" s="113" t="s">
        <v>462</v>
      </c>
    </row>
    <row r="101" spans="2:22" outlineLevel="1" x14ac:dyDescent="0.15">
      <c r="D101" s="12" t="s">
        <v>421</v>
      </c>
      <c r="E101" s="12" t="s">
        <v>429</v>
      </c>
      <c r="G101" s="12" t="s">
        <v>422</v>
      </c>
      <c r="H101" s="99">
        <f>SUMIFS('Декларации_Исх. данные'!$CA:$CA,'Декларации_Исх. данные'!$I:$I,$D101,'Декларации_Исх. данные'!$AR:$AR,$E101)/1000</f>
        <v>3113.7</v>
      </c>
      <c r="I101" s="99">
        <f>IFERROR(_xlfn.RANK.EQ(H101,$H$101:$H$109,0),0)</f>
        <v>3</v>
      </c>
      <c r="J101" s="99">
        <f>H101</f>
        <v>3113.7</v>
      </c>
    </row>
    <row r="102" spans="2:22" outlineLevel="1" x14ac:dyDescent="0.15">
      <c r="D102" s="12" t="s">
        <v>421</v>
      </c>
      <c r="E102" s="12" t="s">
        <v>430</v>
      </c>
      <c r="G102" s="12" t="s">
        <v>422</v>
      </c>
      <c r="H102" s="99">
        <f>SUMIFS('Декларации_Исх. данные'!$CA:$CA,'Декларации_Исх. данные'!$I:$I,$D102,'Декларации_Исх. данные'!$AR:$AR,$E102)/1000</f>
        <v>5626.2</v>
      </c>
      <c r="I102" s="99">
        <f t="shared" ref="I102:I109" si="0">IFERROR(_xlfn.RANK.EQ(H102,$H$101:$H$109,0),0)</f>
        <v>1</v>
      </c>
      <c r="J102" s="99">
        <f t="shared" ref="J102:J109" si="1">H102</f>
        <v>5626.2</v>
      </c>
    </row>
    <row r="103" spans="2:22" outlineLevel="1" x14ac:dyDescent="0.15">
      <c r="D103" s="12" t="s">
        <v>421</v>
      </c>
      <c r="E103" s="12" t="s">
        <v>431</v>
      </c>
      <c r="G103" s="12" t="s">
        <v>422</v>
      </c>
      <c r="H103" s="99">
        <f>SUMIFS('Декларации_Исх. данные'!$CA:$CA,'Декларации_Исх. данные'!$I:$I,$D103,'Декларации_Исх. данные'!$AR:$AR,$E103)/1000</f>
        <v>644.6</v>
      </c>
      <c r="I103" s="99">
        <f t="shared" si="0"/>
        <v>6</v>
      </c>
      <c r="J103" s="99">
        <f t="shared" si="1"/>
        <v>644.6</v>
      </c>
    </row>
    <row r="104" spans="2:22" outlineLevel="1" x14ac:dyDescent="0.15">
      <c r="D104" s="12" t="s">
        <v>421</v>
      </c>
      <c r="E104" s="12" t="s">
        <v>432</v>
      </c>
      <c r="G104" s="12" t="s">
        <v>422</v>
      </c>
      <c r="H104" s="99">
        <f>SUMIFS('Декларации_Исх. данные'!$CA:$CA,'Декларации_Исх. данные'!$I:$I,$D104,'Декларации_Исх. данные'!$AR:$AR,$E104)/1000</f>
        <v>5140.8999999999996</v>
      </c>
      <c r="I104" s="99">
        <f t="shared" si="0"/>
        <v>2</v>
      </c>
      <c r="J104" s="99">
        <f t="shared" si="1"/>
        <v>5140.8999999999996</v>
      </c>
    </row>
    <row r="105" spans="2:22" outlineLevel="1" x14ac:dyDescent="0.15">
      <c r="D105" s="12" t="s">
        <v>421</v>
      </c>
      <c r="E105" s="12" t="s">
        <v>433</v>
      </c>
      <c r="G105" s="12" t="s">
        <v>422</v>
      </c>
      <c r="H105" s="99">
        <f>SUMIFS('Декларации_Исх. данные'!$CA:$CA,'Декларации_Исх. данные'!$I:$I,$D105,'Декларации_Исх. данные'!$AR:$AR,$E105)/1000</f>
        <v>1530</v>
      </c>
      <c r="I105" s="99">
        <f t="shared" si="0"/>
        <v>5</v>
      </c>
      <c r="J105" s="99">
        <f t="shared" si="1"/>
        <v>1530</v>
      </c>
    </row>
    <row r="106" spans="2:22" outlineLevel="1" x14ac:dyDescent="0.15">
      <c r="D106" s="12" t="s">
        <v>421</v>
      </c>
      <c r="E106" s="12" t="s">
        <v>434</v>
      </c>
      <c r="G106" s="12" t="s">
        <v>422</v>
      </c>
      <c r="H106" s="99">
        <f>SUMIFS('Декларации_Исх. данные'!$CA:$CA,'Декларации_Исх. данные'!$I:$I,$D106,'Декларации_Исх. данные'!$AR:$AR,$E106)/1000</f>
        <v>1941.2</v>
      </c>
      <c r="I106" s="99">
        <f t="shared" si="0"/>
        <v>4</v>
      </c>
      <c r="J106" s="99">
        <f t="shared" si="1"/>
        <v>1941.2</v>
      </c>
    </row>
    <row r="107" spans="2:22" outlineLevel="1" x14ac:dyDescent="0.15">
      <c r="D107" s="12" t="s">
        <v>421</v>
      </c>
      <c r="E107" s="12" t="s">
        <v>435</v>
      </c>
      <c r="G107" s="12" t="s">
        <v>422</v>
      </c>
      <c r="H107" s="99">
        <f>SUMIFS('Декларации_Исх. данные'!$CA:$CA,'Декларации_Исх. данные'!$I:$I,$D107,'Декларации_Исх. данные'!$AR:$AR,$E107)/1000</f>
        <v>156</v>
      </c>
      <c r="I107" s="99">
        <f t="shared" si="0"/>
        <v>8</v>
      </c>
      <c r="J107" s="99">
        <f t="shared" si="1"/>
        <v>156</v>
      </c>
    </row>
    <row r="108" spans="2:22" outlineLevel="1" x14ac:dyDescent="0.15">
      <c r="D108" s="12" t="s">
        <v>421</v>
      </c>
      <c r="E108" s="12" t="s">
        <v>436</v>
      </c>
      <c r="G108" s="12" t="s">
        <v>422</v>
      </c>
      <c r="H108" s="99">
        <f>SUMIFS('Декларации_Исх. данные'!$CA:$CA,'Декларации_Исх. данные'!$I:$I,$D108,'Декларации_Исх. данные'!$AR:$AR,$E108)/1000</f>
        <v>363</v>
      </c>
      <c r="I108" s="99">
        <f t="shared" si="0"/>
        <v>7</v>
      </c>
      <c r="J108" s="99">
        <f t="shared" si="1"/>
        <v>363</v>
      </c>
    </row>
    <row r="109" spans="2:22" outlineLevel="1" x14ac:dyDescent="0.15">
      <c r="D109" s="12" t="s">
        <v>421</v>
      </c>
      <c r="E109" s="12" t="s">
        <v>437</v>
      </c>
      <c r="G109" s="12" t="s">
        <v>422</v>
      </c>
      <c r="H109" s="99">
        <f>SUMIFS('Декларации_Исх. данные'!$CA:$CA,'Декларации_Исх. данные'!$I:$I,$D109,'Декларации_Исх. данные'!$AR:$AR,$E109)/1000</f>
        <v>0</v>
      </c>
      <c r="I109" s="99">
        <f t="shared" si="0"/>
        <v>9</v>
      </c>
      <c r="J109" s="99">
        <f t="shared" si="1"/>
        <v>0</v>
      </c>
    </row>
    <row r="110" spans="2:22" outlineLevel="1" x14ac:dyDescent="0.15">
      <c r="E110" s="53" t="s">
        <v>171</v>
      </c>
      <c r="F110" s="53"/>
      <c r="G110" s="53" t="s">
        <v>422</v>
      </c>
      <c r="H110" s="54">
        <f>SUM(H101:H109)</f>
        <v>18515.599999999999</v>
      </c>
      <c r="I110" s="54"/>
      <c r="J110" s="54"/>
    </row>
    <row r="111" spans="2:22" outlineLevel="1" x14ac:dyDescent="0.15"/>
    <row r="112" spans="2:22" outlineLevel="1" x14ac:dyDescent="0.15">
      <c r="C112" s="12" t="s">
        <v>463</v>
      </c>
    </row>
    <row r="113" spans="3:10" outlineLevel="1" x14ac:dyDescent="0.15">
      <c r="C113" s="12" t="s">
        <v>428</v>
      </c>
      <c r="I113" s="114" t="s">
        <v>251</v>
      </c>
      <c r="J113" s="121" t="s">
        <v>464</v>
      </c>
    </row>
    <row r="114" spans="3:10" outlineLevel="1" x14ac:dyDescent="0.15">
      <c r="D114" s="12" t="s">
        <v>421</v>
      </c>
      <c r="E114" s="12" t="str">
        <f>INDEX($E$101:$E$109,MATCH($H114,$I$101:$I$109,0))</f>
        <v>КАНАДА</v>
      </c>
      <c r="G114" s="12" t="s">
        <v>422</v>
      </c>
      <c r="H114" s="12">
        <v>1</v>
      </c>
      <c r="I114" s="99">
        <f>VLOOKUP($H114,$I$101:$J$109,2,FALSE)</f>
        <v>5626.2</v>
      </c>
      <c r="J114" s="99">
        <f>INDEX($J$101:$J$109,MATCH($H114,$I$101:$I$109,0))</f>
        <v>5626.2</v>
      </c>
    </row>
    <row r="115" spans="3:10" outlineLevel="1" x14ac:dyDescent="0.15">
      <c r="D115" s="12" t="s">
        <v>421</v>
      </c>
      <c r="E115" s="12" t="str">
        <f t="shared" ref="E115:E122" si="2">INDEX($E$101:$E$109,MATCH($H115,$I$101:$I$109,0))</f>
        <v>ГЕРМАНИЯ</v>
      </c>
      <c r="G115" s="12" t="s">
        <v>422</v>
      </c>
      <c r="H115" s="12">
        <f>H114+1</f>
        <v>2</v>
      </c>
      <c r="I115" s="99">
        <f t="shared" ref="I115:I122" si="3">VLOOKUP($H115,$I$101:$J$109,2,FALSE)</f>
        <v>5140.8999999999996</v>
      </c>
      <c r="J115" s="99">
        <f t="shared" ref="J115:J122" si="4">INDEX($J$101:$J$109,MATCH($H115,$I$101:$I$109,0))</f>
        <v>5140.8999999999996</v>
      </c>
    </row>
    <row r="116" spans="3:10" outlineLevel="1" x14ac:dyDescent="0.15">
      <c r="D116" s="12" t="s">
        <v>421</v>
      </c>
      <c r="E116" s="12" t="str">
        <f t="shared" si="2"/>
        <v>ВЕНГРИЯ</v>
      </c>
      <c r="G116" s="12" t="s">
        <v>422</v>
      </c>
      <c r="H116" s="12">
        <f t="shared" ref="H116:H122" si="5">H115+1</f>
        <v>3</v>
      </c>
      <c r="I116" s="99">
        <f t="shared" si="3"/>
        <v>3113.7</v>
      </c>
      <c r="J116" s="99">
        <f t="shared" si="4"/>
        <v>3113.7</v>
      </c>
    </row>
    <row r="117" spans="3:10" outlineLevel="1" x14ac:dyDescent="0.15">
      <c r="D117" s="12" t="s">
        <v>421</v>
      </c>
      <c r="E117" s="12" t="str">
        <f t="shared" si="2"/>
        <v>СЛОВАКИЯ</v>
      </c>
      <c r="G117" s="12" t="s">
        <v>422</v>
      </c>
      <c r="H117" s="12">
        <f t="shared" si="5"/>
        <v>4</v>
      </c>
      <c r="I117" s="99">
        <f t="shared" si="3"/>
        <v>1941.2</v>
      </c>
      <c r="J117" s="99">
        <f t="shared" si="4"/>
        <v>1941.2</v>
      </c>
    </row>
    <row r="118" spans="3:10" outlineLevel="1" x14ac:dyDescent="0.15">
      <c r="D118" s="12" t="s">
        <v>421</v>
      </c>
      <c r="E118" s="12" t="str">
        <f t="shared" si="2"/>
        <v>ФРАНЦИЯ</v>
      </c>
      <c r="G118" s="12" t="s">
        <v>422</v>
      </c>
      <c r="H118" s="12">
        <f t="shared" si="5"/>
        <v>5</v>
      </c>
      <c r="I118" s="99">
        <f t="shared" si="3"/>
        <v>1530</v>
      </c>
      <c r="J118" s="99">
        <f t="shared" si="4"/>
        <v>1530</v>
      </c>
    </row>
    <row r="119" spans="3:10" outlineLevel="1" x14ac:dyDescent="0.15">
      <c r="D119" s="12" t="s">
        <v>421</v>
      </c>
      <c r="E119" s="12" t="str">
        <f t="shared" si="2"/>
        <v>СОЕДИНЕННОЕ КОРОЛЕВСТВО</v>
      </c>
      <c r="G119" s="12" t="s">
        <v>422</v>
      </c>
      <c r="H119" s="12">
        <f t="shared" si="5"/>
        <v>6</v>
      </c>
      <c r="I119" s="99">
        <f t="shared" si="3"/>
        <v>644.6</v>
      </c>
      <c r="J119" s="99">
        <f t="shared" si="4"/>
        <v>644.6</v>
      </c>
    </row>
    <row r="120" spans="3:10" outlineLevel="1" x14ac:dyDescent="0.15">
      <c r="D120" s="12" t="s">
        <v>421</v>
      </c>
      <c r="E120" s="12" t="str">
        <f t="shared" si="2"/>
        <v>ИТАЛИЯ</v>
      </c>
      <c r="G120" s="12" t="s">
        <v>422</v>
      </c>
      <c r="H120" s="12">
        <f t="shared" si="5"/>
        <v>7</v>
      </c>
      <c r="I120" s="99">
        <f t="shared" si="3"/>
        <v>363</v>
      </c>
      <c r="J120" s="99">
        <f t="shared" si="4"/>
        <v>363</v>
      </c>
    </row>
    <row r="121" spans="3:10" outlineLevel="1" x14ac:dyDescent="0.15">
      <c r="D121" s="12" t="s">
        <v>421</v>
      </c>
      <c r="E121" s="12" t="str">
        <f t="shared" si="2"/>
        <v>ИСПАНИЯ</v>
      </c>
      <c r="G121" s="12" t="s">
        <v>422</v>
      </c>
      <c r="H121" s="12">
        <f t="shared" si="5"/>
        <v>8</v>
      </c>
      <c r="I121" s="99">
        <f t="shared" si="3"/>
        <v>156</v>
      </c>
      <c r="J121" s="99">
        <f t="shared" si="4"/>
        <v>156</v>
      </c>
    </row>
    <row r="122" spans="3:10" outlineLevel="1" x14ac:dyDescent="0.15">
      <c r="D122" s="12" t="s">
        <v>421</v>
      </c>
      <c r="E122" s="12" t="str">
        <f t="shared" si="2"/>
        <v>РОССИЯ</v>
      </c>
      <c r="G122" s="12" t="s">
        <v>422</v>
      </c>
      <c r="H122" s="12">
        <f t="shared" si="5"/>
        <v>9</v>
      </c>
      <c r="I122" s="99">
        <f t="shared" si="3"/>
        <v>0</v>
      </c>
      <c r="J122" s="99">
        <f t="shared" si="4"/>
        <v>0</v>
      </c>
    </row>
    <row r="123" spans="3:10" outlineLevel="1" x14ac:dyDescent="0.15">
      <c r="E123" s="53" t="s">
        <v>171</v>
      </c>
      <c r="F123" s="53"/>
      <c r="G123" s="53" t="s">
        <v>422</v>
      </c>
      <c r="H123" s="54"/>
      <c r="I123" s="54">
        <f>SUM(I114:I122)</f>
        <v>18515.599999999999</v>
      </c>
      <c r="J123" s="54"/>
    </row>
    <row r="124" spans="3:10" outlineLevel="1" x14ac:dyDescent="0.15"/>
    <row r="125" spans="3:10" outlineLevel="1" x14ac:dyDescent="0.15">
      <c r="C125" s="119" t="s">
        <v>247</v>
      </c>
      <c r="D125" s="119"/>
      <c r="E125" s="119"/>
    </row>
    <row r="126" spans="3:10" outlineLevel="1" x14ac:dyDescent="0.15">
      <c r="D126" s="12" t="s">
        <v>271</v>
      </c>
    </row>
    <row r="127" spans="3:10" outlineLevel="1" x14ac:dyDescent="0.15">
      <c r="D127" s="12" t="s">
        <v>272</v>
      </c>
    </row>
    <row r="128" spans="3:10" outlineLevel="1" x14ac:dyDescent="0.15">
      <c r="D128" s="12" t="s">
        <v>465</v>
      </c>
    </row>
    <row r="129" spans="2:22" outlineLevel="1" x14ac:dyDescent="0.15">
      <c r="D129" s="12" t="s">
        <v>274</v>
      </c>
    </row>
    <row r="130" spans="2:22" outlineLevel="1" x14ac:dyDescent="0.15"/>
    <row r="131" spans="2:22" x14ac:dyDescent="0.15">
      <c r="B131" s="1" t="s">
        <v>466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2:22" outlineLevel="1" x14ac:dyDescent="0.15"/>
    <row r="133" spans="2:22" outlineLevel="1" x14ac:dyDescent="0.15">
      <c r="C133" s="12">
        <v>1</v>
      </c>
      <c r="D133" s="12" t="s">
        <v>467</v>
      </c>
    </row>
    <row r="134" spans="2:22" outlineLevel="1" x14ac:dyDescent="0.15">
      <c r="E134" s="12" t="s">
        <v>468</v>
      </c>
    </row>
    <row r="135" spans="2:22" outlineLevel="1" x14ac:dyDescent="0.15">
      <c r="E135" s="12" t="s">
        <v>469</v>
      </c>
    </row>
    <row r="136" spans="2:22" outlineLevel="1" x14ac:dyDescent="0.15">
      <c r="E136" s="12" t="s">
        <v>470</v>
      </c>
    </row>
    <row r="137" spans="2:22" outlineLevel="1" x14ac:dyDescent="0.15"/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B1:DD343"/>
  <sheetViews>
    <sheetView workbookViewId="0">
      <pane xSplit="1" ySplit="2" topLeftCell="C3" activePane="bottomRight" state="frozen"/>
      <selection activeCell="C15" sqref="C15"/>
      <selection pane="topRight" activeCell="C15" sqref="C15"/>
      <selection pane="bottomLeft" activeCell="C15" sqref="C15"/>
      <selection pane="bottomRight" activeCell="C3" sqref="C3"/>
    </sheetView>
  </sheetViews>
  <sheetFormatPr defaultColWidth="11" defaultRowHeight="11.25" outlineLevelCol="1" x14ac:dyDescent="0.15"/>
  <cols>
    <col min="1" max="1" width="4.75" style="12" customWidth="1"/>
    <col min="2" max="2" width="5.75" style="12" hidden="1" customWidth="1" outlineLevel="1"/>
    <col min="3" max="3" width="15.75" style="12" customWidth="1" collapsed="1"/>
    <col min="4" max="4" width="15.75" style="12" customWidth="1"/>
    <col min="5" max="5" width="22.875" style="12" hidden="1" customWidth="1" outlineLevel="1"/>
    <col min="6" max="6" width="20.375" style="12" hidden="1" customWidth="1" outlineLevel="1"/>
    <col min="7" max="7" width="9.625" style="12" hidden="1" customWidth="1" outlineLevel="1"/>
    <col min="8" max="8" width="16.25" style="12" hidden="1" customWidth="1" outlineLevel="1"/>
    <col min="9" max="9" width="27" style="12" customWidth="1" collapsed="1"/>
    <col min="10" max="10" width="23.75" style="12" hidden="1" customWidth="1" outlineLevel="1"/>
    <col min="11" max="11" width="20.875" style="12" hidden="1" customWidth="1" outlineLevel="1"/>
    <col min="12" max="12" width="21.25" style="12" hidden="1" customWidth="1" outlineLevel="1"/>
    <col min="13" max="13" width="15.5" style="12" hidden="1" customWidth="1" outlineLevel="1"/>
    <col min="14" max="14" width="25" style="12" customWidth="1" collapsed="1"/>
    <col min="15" max="15" width="16.625" style="12" hidden="1" customWidth="1" outlineLevel="1"/>
    <col min="16" max="16" width="16.875" style="12" hidden="1" customWidth="1" outlineLevel="1"/>
    <col min="17" max="17" width="15.375" style="12" hidden="1" customWidth="1" outlineLevel="1"/>
    <col min="18" max="18" width="10.375" style="12" hidden="1" customWidth="1" outlineLevel="1"/>
    <col min="19" max="19" width="15.125" style="12" hidden="1" customWidth="1" outlineLevel="1"/>
    <col min="20" max="20" width="12.75" style="12" hidden="1" customWidth="1" outlineLevel="1"/>
    <col min="21" max="21" width="15.25" style="12" hidden="1" customWidth="1" outlineLevel="1"/>
    <col min="22" max="22" width="20.625" style="12" hidden="1" customWidth="1" outlineLevel="1"/>
    <col min="23" max="23" width="14.875" style="12" hidden="1" customWidth="1" outlineLevel="1"/>
    <col min="24" max="24" width="24.375" style="12" customWidth="1" collapsed="1"/>
    <col min="25" max="25" width="16" style="12" hidden="1" customWidth="1" outlineLevel="1"/>
    <col min="26" max="26" width="16.25" style="12" hidden="1" customWidth="1" outlineLevel="1"/>
    <col min="27" max="27" width="14.75" style="12" hidden="1" customWidth="1" outlineLevel="1"/>
    <col min="28" max="28" width="26.25" style="12" hidden="1" customWidth="1" outlineLevel="1"/>
    <col min="29" max="29" width="20.5" style="12" hidden="1" customWidth="1" outlineLevel="1"/>
    <col min="30" max="30" width="30" style="12" hidden="1" customWidth="1" outlineLevel="1"/>
    <col min="31" max="31" width="21.625" style="12" hidden="1" customWidth="1" outlineLevel="1"/>
    <col min="32" max="32" width="21.875" style="12" hidden="1" customWidth="1" outlineLevel="1"/>
    <col min="33" max="34" width="20.375" style="12" hidden="1" customWidth="1" outlineLevel="1"/>
    <col min="35" max="35" width="15.25" style="12" hidden="1" customWidth="1" outlineLevel="1"/>
    <col min="36" max="36" width="22.5" style="12" hidden="1" customWidth="1" outlineLevel="1"/>
    <col min="37" max="37" width="20.625" style="12" hidden="1" customWidth="1" outlineLevel="1"/>
    <col min="38" max="38" width="20.5" style="12" hidden="1" customWidth="1" outlineLevel="1"/>
    <col min="39" max="39" width="24.375" style="12" hidden="1" customWidth="1" outlineLevel="1"/>
    <col min="40" max="40" width="21.625" style="12" hidden="1" customWidth="1" outlineLevel="1"/>
    <col min="41" max="41" width="21.875" style="12" hidden="1" customWidth="1" outlineLevel="1"/>
    <col min="42" max="43" width="20.375" style="12" hidden="1" customWidth="1" outlineLevel="1"/>
    <col min="44" max="44" width="16.375" style="12" customWidth="1" collapsed="1"/>
    <col min="45" max="45" width="18.375" style="12" customWidth="1"/>
    <col min="46" max="46" width="18.375" style="12" hidden="1" customWidth="1" outlineLevel="1"/>
    <col min="47" max="47" width="15.625" style="12" customWidth="1" collapsed="1"/>
    <col min="48" max="48" width="25.875" style="12" hidden="1" customWidth="1" outlineLevel="1"/>
    <col min="49" max="49" width="27.875" style="12" hidden="1" customWidth="1" outlineLevel="1"/>
    <col min="50" max="50" width="15.75" style="12" hidden="1" customWidth="1" outlineLevel="1"/>
    <col min="51" max="51" width="19" style="12" hidden="1" customWidth="1" outlineLevel="1"/>
    <col min="52" max="52" width="19.5" style="12" hidden="1" customWidth="1" outlineLevel="1"/>
    <col min="53" max="53" width="15.5" style="12" hidden="1" customWidth="1" outlineLevel="1"/>
    <col min="54" max="54" width="21.875" style="12" hidden="1" customWidth="1" outlineLevel="1"/>
    <col min="55" max="55" width="25.375" style="12" hidden="1" customWidth="1" outlineLevel="1"/>
    <col min="56" max="56" width="27.375" style="12" hidden="1" customWidth="1" outlineLevel="1"/>
    <col min="57" max="57" width="12" style="12" hidden="1" customWidth="1" outlineLevel="1"/>
    <col min="58" max="58" width="14.375" style="12" hidden="1" customWidth="1" outlineLevel="1"/>
    <col min="59" max="59" width="21.25" style="12" hidden="1" customWidth="1" outlineLevel="1"/>
    <col min="60" max="60" width="21.125" style="12" hidden="1" customWidth="1" outlineLevel="1"/>
    <col min="61" max="61" width="16.625" style="12" hidden="1" customWidth="1" outlineLevel="1"/>
    <col min="62" max="62" width="15.375" style="12" hidden="1" customWidth="1" outlineLevel="1"/>
    <col min="63" max="63" width="19.75" style="12" hidden="1" customWidth="1" outlineLevel="1"/>
    <col min="64" max="64" width="18.375" style="12" hidden="1" customWidth="1" outlineLevel="1"/>
    <col min="65" max="65" width="27.25" style="12" hidden="1" customWidth="1" outlineLevel="1"/>
    <col min="66" max="66" width="11.875" style="12" hidden="1" customWidth="1" outlineLevel="1"/>
    <col min="67" max="67" width="18.125" style="12" hidden="1" customWidth="1" outlineLevel="1"/>
    <col min="68" max="68" width="27.5" style="12" hidden="1" customWidth="1" outlineLevel="1"/>
    <col min="69" max="69" width="24.125" style="12" hidden="1" customWidth="1" outlineLevel="1"/>
    <col min="70" max="70" width="18.25" style="12" hidden="1" customWidth="1" outlineLevel="1"/>
    <col min="71" max="71" width="26.25" style="12" customWidth="1" collapsed="1"/>
    <col min="72" max="74" width="12.625" style="12" customWidth="1"/>
    <col min="75" max="75" width="15.375" style="12" customWidth="1"/>
    <col min="76" max="76" width="28.375" style="12" customWidth="1"/>
    <col min="77" max="77" width="17.125" style="12" hidden="1" customWidth="1" outlineLevel="1"/>
    <col min="78" max="78" width="17.875" style="12" hidden="1" customWidth="1" outlineLevel="1"/>
    <col min="79" max="79" width="26.5" style="12" customWidth="1" collapsed="1"/>
    <col min="80" max="80" width="22" style="12" hidden="1" customWidth="1" outlineLevel="1"/>
    <col min="81" max="81" width="22.875" style="12" hidden="1" customWidth="1" outlineLevel="1"/>
    <col min="82" max="82" width="22" style="12" hidden="1" customWidth="1" outlineLevel="1"/>
    <col min="83" max="83" width="16.25" style="12" hidden="1" customWidth="1" outlineLevel="1"/>
    <col min="84" max="84" width="19" style="12" hidden="1" customWidth="1" outlineLevel="1"/>
    <col min="85" max="85" width="27.5" style="12" hidden="1" customWidth="1" outlineLevel="1"/>
    <col min="86" max="86" width="30.625" style="12" hidden="1" customWidth="1" outlineLevel="1"/>
    <col min="87" max="87" width="21.125" style="12" hidden="1" customWidth="1" outlineLevel="1"/>
    <col min="88" max="88" width="12.5" style="12" hidden="1" customWidth="1" outlineLevel="1"/>
    <col min="89" max="89" width="13" style="12" hidden="1" customWidth="1" outlineLevel="1"/>
    <col min="90" max="90" width="11.125" style="12" hidden="1" customWidth="1" outlineLevel="1"/>
    <col min="91" max="91" width="11.875" style="12" customWidth="1" collapsed="1"/>
    <col min="92" max="92" width="0" style="12" hidden="1" customWidth="1" outlineLevel="1"/>
    <col min="93" max="93" width="16" style="12" hidden="1" customWidth="1" outlineLevel="1"/>
    <col min="94" max="94" width="21" style="12" hidden="1" customWidth="1" outlineLevel="1"/>
    <col min="95" max="95" width="17" style="12" hidden="1" customWidth="1" outlineLevel="1"/>
    <col min="96" max="96" width="20.5" style="12" hidden="1" customWidth="1" outlineLevel="1"/>
    <col min="97" max="97" width="36.25" style="12" hidden="1" customWidth="1" outlineLevel="1"/>
    <col min="98" max="98" width="32" style="12" hidden="1" customWidth="1" outlineLevel="1"/>
    <col min="99" max="99" width="18.375" style="12" hidden="1" customWidth="1" outlineLevel="1"/>
    <col min="100" max="100" width="19.75" style="12" customWidth="1" collapsed="1"/>
    <col min="101" max="101" width="30" style="12" hidden="1" customWidth="1" outlineLevel="1"/>
    <col min="102" max="102" width="34.125" style="12" hidden="1" customWidth="1" outlineLevel="1"/>
    <col min="103" max="103" width="27.625" style="12" hidden="1" customWidth="1" outlineLevel="1"/>
    <col min="104" max="104" width="25.25" style="12" hidden="1" customWidth="1" outlineLevel="1"/>
    <col min="105" max="105" width="19.375" style="12" hidden="1" customWidth="1" outlineLevel="1"/>
    <col min="106" max="106" width="21.75" style="12" hidden="1" customWidth="1" outlineLevel="1"/>
    <col min="107" max="107" width="25.75" style="12" hidden="1" customWidth="1" outlineLevel="1"/>
    <col min="108" max="108" width="11" style="12" collapsed="1"/>
    <col min="109" max="16384" width="11" style="12"/>
  </cols>
  <sheetData>
    <row r="1" spans="2:107" x14ac:dyDescent="0.15">
      <c r="BT1" s="12" t="s">
        <v>22</v>
      </c>
    </row>
    <row r="2" spans="2:107" s="32" customFormat="1" ht="33.75" x14ac:dyDescent="0.15">
      <c r="B2" s="134" t="s">
        <v>471</v>
      </c>
      <c r="C2" s="135" t="s">
        <v>472</v>
      </c>
      <c r="D2" s="135" t="s">
        <v>473</v>
      </c>
      <c r="E2" s="136" t="s">
        <v>474</v>
      </c>
      <c r="F2" s="136" t="s">
        <v>475</v>
      </c>
      <c r="G2" s="135" t="s">
        <v>476</v>
      </c>
      <c r="H2" s="136" t="s">
        <v>477</v>
      </c>
      <c r="I2" s="135" t="s">
        <v>478</v>
      </c>
      <c r="J2" s="136" t="s">
        <v>479</v>
      </c>
      <c r="K2" s="136" t="s">
        <v>480</v>
      </c>
      <c r="L2" s="136" t="s">
        <v>481</v>
      </c>
      <c r="M2" s="136" t="s">
        <v>482</v>
      </c>
      <c r="N2" s="136" t="s">
        <v>483</v>
      </c>
      <c r="O2" s="136" t="s">
        <v>484</v>
      </c>
      <c r="P2" s="136" t="s">
        <v>485</v>
      </c>
      <c r="Q2" s="136" t="s">
        <v>486</v>
      </c>
      <c r="R2" s="135" t="s">
        <v>487</v>
      </c>
      <c r="S2" s="135" t="s">
        <v>488</v>
      </c>
      <c r="T2" s="135" t="s">
        <v>489</v>
      </c>
      <c r="U2" s="135" t="s">
        <v>490</v>
      </c>
      <c r="V2" s="136" t="s">
        <v>491</v>
      </c>
      <c r="W2" s="136" t="s">
        <v>492</v>
      </c>
      <c r="X2" s="136" t="s">
        <v>493</v>
      </c>
      <c r="Y2" s="136" t="s">
        <v>494</v>
      </c>
      <c r="Z2" s="136" t="s">
        <v>495</v>
      </c>
      <c r="AA2" s="136" t="s">
        <v>496</v>
      </c>
      <c r="AB2" s="136" t="s">
        <v>497</v>
      </c>
      <c r="AC2" s="136" t="s">
        <v>498</v>
      </c>
      <c r="AD2" s="136" t="s">
        <v>499</v>
      </c>
      <c r="AE2" s="136" t="s">
        <v>500</v>
      </c>
      <c r="AF2" s="136" t="s">
        <v>501</v>
      </c>
      <c r="AG2" s="136" t="s">
        <v>502</v>
      </c>
      <c r="AH2" s="136" t="s">
        <v>503</v>
      </c>
      <c r="AI2" s="136" t="s">
        <v>504</v>
      </c>
      <c r="AJ2" s="135" t="s">
        <v>505</v>
      </c>
      <c r="AK2" s="136" t="s">
        <v>506</v>
      </c>
      <c r="AL2" s="136" t="s">
        <v>507</v>
      </c>
      <c r="AM2" s="136" t="s">
        <v>508</v>
      </c>
      <c r="AN2" s="136" t="s">
        <v>509</v>
      </c>
      <c r="AO2" s="136" t="s">
        <v>510</v>
      </c>
      <c r="AP2" s="136" t="s">
        <v>511</v>
      </c>
      <c r="AQ2" s="136" t="s">
        <v>512</v>
      </c>
      <c r="AR2" s="136" t="s">
        <v>513</v>
      </c>
      <c r="AS2" s="136" t="s">
        <v>514</v>
      </c>
      <c r="AT2" s="136" t="s">
        <v>515</v>
      </c>
      <c r="AU2" s="136" t="s">
        <v>516</v>
      </c>
      <c r="AV2" s="135" t="s">
        <v>517</v>
      </c>
      <c r="AW2" s="136" t="s">
        <v>518</v>
      </c>
      <c r="AX2" s="136" t="s">
        <v>519</v>
      </c>
      <c r="AY2" s="136" t="s">
        <v>520</v>
      </c>
      <c r="AZ2" s="135" t="s">
        <v>521</v>
      </c>
      <c r="BA2" s="136" t="s">
        <v>522</v>
      </c>
      <c r="BB2" s="135" t="s">
        <v>523</v>
      </c>
      <c r="BC2" s="135" t="s">
        <v>524</v>
      </c>
      <c r="BD2" s="135" t="s">
        <v>525</v>
      </c>
      <c r="BE2" s="135" t="s">
        <v>526</v>
      </c>
      <c r="BF2" s="136" t="s">
        <v>527</v>
      </c>
      <c r="BG2" s="136" t="s">
        <v>528</v>
      </c>
      <c r="BH2" s="136" t="s">
        <v>529</v>
      </c>
      <c r="BI2" s="136" t="s">
        <v>530</v>
      </c>
      <c r="BJ2" s="136" t="s">
        <v>531</v>
      </c>
      <c r="BK2" s="136" t="s">
        <v>532</v>
      </c>
      <c r="BL2" s="136" t="s">
        <v>533</v>
      </c>
      <c r="BM2" s="136" t="s">
        <v>534</v>
      </c>
      <c r="BN2" s="136" t="s">
        <v>535</v>
      </c>
      <c r="BO2" s="136" t="s">
        <v>536</v>
      </c>
      <c r="BP2" s="136" t="s">
        <v>537</v>
      </c>
      <c r="BQ2" s="136" t="s">
        <v>538</v>
      </c>
      <c r="BR2" s="135" t="s">
        <v>539</v>
      </c>
      <c r="BS2" s="136" t="s">
        <v>540</v>
      </c>
      <c r="BT2" s="137" t="s">
        <v>541</v>
      </c>
      <c r="BU2" s="137" t="s">
        <v>542</v>
      </c>
      <c r="BV2" s="138" t="s">
        <v>543</v>
      </c>
      <c r="BW2" s="136" t="s">
        <v>544</v>
      </c>
      <c r="BX2" s="136" t="s">
        <v>545</v>
      </c>
      <c r="BY2" s="135" t="s">
        <v>546</v>
      </c>
      <c r="BZ2" s="135" t="s">
        <v>547</v>
      </c>
      <c r="CA2" s="135" t="s">
        <v>548</v>
      </c>
      <c r="CB2" s="135" t="s">
        <v>549</v>
      </c>
      <c r="CC2" s="135" t="s">
        <v>550</v>
      </c>
      <c r="CD2" s="135" t="s">
        <v>551</v>
      </c>
      <c r="CE2" s="136" t="s">
        <v>552</v>
      </c>
      <c r="CF2" s="136" t="s">
        <v>553</v>
      </c>
      <c r="CG2" s="136" t="s">
        <v>554</v>
      </c>
      <c r="CH2" s="136" t="s">
        <v>555</v>
      </c>
      <c r="CI2" s="136" t="s">
        <v>556</v>
      </c>
      <c r="CJ2" s="135" t="s">
        <v>557</v>
      </c>
      <c r="CK2" s="135" t="s">
        <v>558</v>
      </c>
      <c r="CL2" s="135" t="s">
        <v>559</v>
      </c>
      <c r="CM2" s="135" t="s">
        <v>560</v>
      </c>
      <c r="CN2" s="135" t="s">
        <v>561</v>
      </c>
      <c r="CO2" s="136" t="s">
        <v>562</v>
      </c>
      <c r="CP2" s="136" t="s">
        <v>563</v>
      </c>
      <c r="CQ2" s="135" t="s">
        <v>564</v>
      </c>
      <c r="CR2" s="135" t="s">
        <v>565</v>
      </c>
      <c r="CS2" s="135" t="s">
        <v>566</v>
      </c>
      <c r="CT2" s="135" t="s">
        <v>567</v>
      </c>
      <c r="CU2" s="135" t="s">
        <v>568</v>
      </c>
      <c r="CV2" s="135" t="s">
        <v>569</v>
      </c>
      <c r="CW2" s="136" t="s">
        <v>570</v>
      </c>
      <c r="CX2" s="135" t="s">
        <v>571</v>
      </c>
      <c r="CY2" s="135" t="s">
        <v>572</v>
      </c>
      <c r="CZ2" s="135" t="s">
        <v>573</v>
      </c>
      <c r="DA2" s="135" t="s">
        <v>574</v>
      </c>
      <c r="DB2" s="135" t="s">
        <v>575</v>
      </c>
      <c r="DC2" s="135" t="s">
        <v>576</v>
      </c>
    </row>
    <row r="3" spans="2:107" x14ac:dyDescent="0.15">
      <c r="B3" s="139" t="s">
        <v>577</v>
      </c>
      <c r="C3" s="140" t="s">
        <v>578</v>
      </c>
      <c r="D3" s="140">
        <v>8</v>
      </c>
      <c r="E3" s="139" t="s">
        <v>579</v>
      </c>
      <c r="F3" s="139" t="s">
        <v>580</v>
      </c>
      <c r="G3" s="140" t="s">
        <v>578</v>
      </c>
      <c r="H3" s="139" t="s">
        <v>581</v>
      </c>
      <c r="I3" s="140" t="s">
        <v>421</v>
      </c>
      <c r="J3" s="139" t="s">
        <v>582</v>
      </c>
      <c r="K3" s="139" t="s">
        <v>583</v>
      </c>
      <c r="L3" s="139" t="s">
        <v>583</v>
      </c>
      <c r="M3" s="139" t="s">
        <v>583</v>
      </c>
      <c r="N3" s="139" t="s">
        <v>584</v>
      </c>
      <c r="O3" s="139" t="s">
        <v>585</v>
      </c>
      <c r="P3" s="139" t="s">
        <v>583</v>
      </c>
      <c r="Q3" s="139" t="s">
        <v>583</v>
      </c>
      <c r="R3" s="140"/>
      <c r="S3" s="140"/>
      <c r="T3" s="140">
        <v>1</v>
      </c>
      <c r="U3" s="140">
        <v>591</v>
      </c>
      <c r="V3" s="139" t="s">
        <v>586</v>
      </c>
      <c r="W3" s="139" t="s">
        <v>587</v>
      </c>
      <c r="X3" s="139" t="s">
        <v>588</v>
      </c>
      <c r="Y3" s="139" t="s">
        <v>589</v>
      </c>
      <c r="Z3" s="139" t="s">
        <v>590</v>
      </c>
      <c r="AA3" s="139" t="s">
        <v>591</v>
      </c>
      <c r="AB3" s="139" t="s">
        <v>586</v>
      </c>
      <c r="AC3" s="139" t="s">
        <v>587</v>
      </c>
      <c r="AD3" s="139" t="s">
        <v>588</v>
      </c>
      <c r="AE3" s="139" t="s">
        <v>589</v>
      </c>
      <c r="AF3" s="139" t="s">
        <v>590</v>
      </c>
      <c r="AG3" s="139" t="s">
        <v>591</v>
      </c>
      <c r="AH3" s="139" t="s">
        <v>592</v>
      </c>
      <c r="AI3" s="139" t="s">
        <v>429</v>
      </c>
      <c r="AJ3" s="140">
        <v>15945264.01</v>
      </c>
      <c r="AK3" s="139" t="s">
        <v>586</v>
      </c>
      <c r="AL3" s="139" t="s">
        <v>587</v>
      </c>
      <c r="AM3" s="139" t="s">
        <v>588</v>
      </c>
      <c r="AN3" s="139" t="s">
        <v>589</v>
      </c>
      <c r="AO3" s="139" t="s">
        <v>590</v>
      </c>
      <c r="AP3" s="139" t="s">
        <v>591</v>
      </c>
      <c r="AQ3" s="139" t="s">
        <v>592</v>
      </c>
      <c r="AR3" s="139" t="s">
        <v>429</v>
      </c>
      <c r="AS3" s="139" t="s">
        <v>429</v>
      </c>
      <c r="AT3" s="139" t="s">
        <v>593</v>
      </c>
      <c r="AU3" s="139" t="s">
        <v>437</v>
      </c>
      <c r="AV3" s="140"/>
      <c r="AW3" s="139" t="s">
        <v>594</v>
      </c>
      <c r="AX3" s="139" t="s">
        <v>595</v>
      </c>
      <c r="AY3" s="139" t="s">
        <v>596</v>
      </c>
      <c r="AZ3" s="140"/>
      <c r="BA3" s="139" t="s">
        <v>597</v>
      </c>
      <c r="BB3" s="140">
        <v>147750</v>
      </c>
      <c r="BC3" s="140"/>
      <c r="BD3" s="140"/>
      <c r="BE3" s="140">
        <v>106.0543</v>
      </c>
      <c r="BF3" s="139" t="s">
        <v>583</v>
      </c>
      <c r="BG3" s="139" t="s">
        <v>583</v>
      </c>
      <c r="BH3" s="139" t="s">
        <v>583</v>
      </c>
      <c r="BI3" s="139" t="s">
        <v>598</v>
      </c>
      <c r="BJ3" s="139" t="s">
        <v>599</v>
      </c>
      <c r="BK3" s="139" t="s">
        <v>583</v>
      </c>
      <c r="BL3" s="139" t="s">
        <v>583</v>
      </c>
      <c r="BM3" s="139" t="s">
        <v>583</v>
      </c>
      <c r="BN3" s="139" t="s">
        <v>583</v>
      </c>
      <c r="BO3" s="139" t="s">
        <v>583</v>
      </c>
      <c r="BP3" s="139" t="s">
        <v>583</v>
      </c>
      <c r="BQ3" s="139" t="s">
        <v>600</v>
      </c>
      <c r="BR3" s="140"/>
      <c r="BS3" s="139" t="s">
        <v>601</v>
      </c>
      <c r="BT3" s="99">
        <f>MIN(1,IFERROR(SEARCH(BT$2,$BS3),0))</f>
        <v>0</v>
      </c>
      <c r="BU3" s="99">
        <f t="shared" ref="BU3:BU66" si="0">MIN(1,IFERROR(SEARCH(BU$2,$BS3),0))</f>
        <v>1</v>
      </c>
      <c r="BV3" s="99">
        <f>MAX(BT3,BU3)</f>
        <v>1</v>
      </c>
      <c r="BW3" s="139" t="s">
        <v>602</v>
      </c>
      <c r="BX3" s="139" t="s">
        <v>584</v>
      </c>
      <c r="BY3" s="140">
        <v>591</v>
      </c>
      <c r="BZ3" s="140">
        <v>0</v>
      </c>
      <c r="CA3" s="99">
        <v>118200</v>
      </c>
      <c r="CB3" s="140" t="s">
        <v>603</v>
      </c>
      <c r="CC3" s="140"/>
      <c r="CD3" s="140"/>
      <c r="CE3" s="139" t="s">
        <v>577</v>
      </c>
      <c r="CF3" s="139" t="s">
        <v>604</v>
      </c>
      <c r="CG3" s="139" t="s">
        <v>583</v>
      </c>
      <c r="CH3" s="139" t="s">
        <v>583</v>
      </c>
      <c r="CI3" s="139" t="s">
        <v>592</v>
      </c>
      <c r="CJ3" s="140">
        <v>13002</v>
      </c>
      <c r="CK3" s="140" t="s">
        <v>605</v>
      </c>
      <c r="CL3" s="140">
        <v>4000000</v>
      </c>
      <c r="CM3" s="99">
        <v>12411</v>
      </c>
      <c r="CN3" s="140">
        <v>0</v>
      </c>
      <c r="CO3" s="139" t="s">
        <v>583</v>
      </c>
      <c r="CP3" s="139" t="s">
        <v>583</v>
      </c>
      <c r="CQ3" s="140">
        <v>147750</v>
      </c>
      <c r="CR3" s="140"/>
      <c r="CS3" s="140">
        <v>0</v>
      </c>
      <c r="CT3" s="140">
        <v>1</v>
      </c>
      <c r="CU3" s="140">
        <v>15945264.01</v>
      </c>
      <c r="CV3" s="99">
        <v>165121.59</v>
      </c>
      <c r="CW3" s="139" t="s">
        <v>606</v>
      </c>
      <c r="CX3" s="140">
        <v>13.3</v>
      </c>
      <c r="CY3" s="140"/>
      <c r="CZ3" s="140"/>
      <c r="DA3" s="140"/>
      <c r="DB3" s="140">
        <v>1432</v>
      </c>
      <c r="DC3" s="140"/>
    </row>
    <row r="4" spans="2:107" ht="11.25" customHeight="1" x14ac:dyDescent="0.15">
      <c r="B4" s="139" t="s">
        <v>577</v>
      </c>
      <c r="C4" s="140" t="s">
        <v>607</v>
      </c>
      <c r="D4" s="140">
        <v>8</v>
      </c>
      <c r="E4" s="139" t="s">
        <v>608</v>
      </c>
      <c r="F4" s="139" t="s">
        <v>580</v>
      </c>
      <c r="G4" s="140" t="s">
        <v>607</v>
      </c>
      <c r="H4" s="139" t="s">
        <v>609</v>
      </c>
      <c r="I4" s="140" t="s">
        <v>421</v>
      </c>
      <c r="J4" s="139" t="s">
        <v>582</v>
      </c>
      <c r="K4" s="139" t="s">
        <v>583</v>
      </c>
      <c r="L4" s="139" t="s">
        <v>583</v>
      </c>
      <c r="M4" s="139" t="s">
        <v>583</v>
      </c>
      <c r="N4" s="139" t="s">
        <v>584</v>
      </c>
      <c r="O4" s="139" t="s">
        <v>585</v>
      </c>
      <c r="P4" s="139" t="s">
        <v>583</v>
      </c>
      <c r="Q4" s="139" t="s">
        <v>583</v>
      </c>
      <c r="R4" s="140"/>
      <c r="S4" s="140"/>
      <c r="T4" s="140">
        <v>1</v>
      </c>
      <c r="U4" s="140">
        <v>326</v>
      </c>
      <c r="V4" s="139" t="s">
        <v>586</v>
      </c>
      <c r="W4" s="139" t="s">
        <v>587</v>
      </c>
      <c r="X4" s="139" t="s">
        <v>588</v>
      </c>
      <c r="Y4" s="139" t="s">
        <v>589</v>
      </c>
      <c r="Z4" s="139" t="s">
        <v>590</v>
      </c>
      <c r="AA4" s="139" t="s">
        <v>591</v>
      </c>
      <c r="AB4" s="139" t="s">
        <v>586</v>
      </c>
      <c r="AC4" s="139" t="s">
        <v>587</v>
      </c>
      <c r="AD4" s="139" t="s">
        <v>588</v>
      </c>
      <c r="AE4" s="139" t="s">
        <v>589</v>
      </c>
      <c r="AF4" s="139" t="s">
        <v>590</v>
      </c>
      <c r="AG4" s="139" t="s">
        <v>591</v>
      </c>
      <c r="AH4" s="139" t="s">
        <v>592</v>
      </c>
      <c r="AI4" s="139" t="s">
        <v>429</v>
      </c>
      <c r="AJ4" s="140">
        <v>8920298.6400000006</v>
      </c>
      <c r="AK4" s="139" t="s">
        <v>586</v>
      </c>
      <c r="AL4" s="139" t="s">
        <v>587</v>
      </c>
      <c r="AM4" s="139" t="s">
        <v>588</v>
      </c>
      <c r="AN4" s="139" t="s">
        <v>589</v>
      </c>
      <c r="AO4" s="139" t="s">
        <v>590</v>
      </c>
      <c r="AP4" s="139" t="s">
        <v>591</v>
      </c>
      <c r="AQ4" s="139" t="s">
        <v>592</v>
      </c>
      <c r="AR4" s="139" t="s">
        <v>429</v>
      </c>
      <c r="AS4" s="139" t="s">
        <v>429</v>
      </c>
      <c r="AT4" s="139" t="s">
        <v>593</v>
      </c>
      <c r="AU4" s="139" t="s">
        <v>437</v>
      </c>
      <c r="AV4" s="140"/>
      <c r="AW4" s="139" t="s">
        <v>594</v>
      </c>
      <c r="AX4" s="139" t="s">
        <v>595</v>
      </c>
      <c r="AY4" s="139" t="s">
        <v>596</v>
      </c>
      <c r="AZ4" s="140"/>
      <c r="BA4" s="139" t="s">
        <v>597</v>
      </c>
      <c r="BB4" s="140">
        <v>83456</v>
      </c>
      <c r="BC4" s="140"/>
      <c r="BD4" s="140"/>
      <c r="BE4" s="140">
        <v>103.8379</v>
      </c>
      <c r="BF4" s="139" t="s">
        <v>583</v>
      </c>
      <c r="BG4" s="139" t="s">
        <v>583</v>
      </c>
      <c r="BH4" s="139" t="s">
        <v>583</v>
      </c>
      <c r="BI4" s="139" t="s">
        <v>598</v>
      </c>
      <c r="BJ4" s="139" t="s">
        <v>610</v>
      </c>
      <c r="BK4" s="139" t="s">
        <v>583</v>
      </c>
      <c r="BL4" s="139" t="s">
        <v>583</v>
      </c>
      <c r="BM4" s="139" t="s">
        <v>583</v>
      </c>
      <c r="BN4" s="139" t="s">
        <v>583</v>
      </c>
      <c r="BO4" s="139" t="s">
        <v>583</v>
      </c>
      <c r="BP4" s="139" t="s">
        <v>583</v>
      </c>
      <c r="BQ4" s="139" t="s">
        <v>611</v>
      </c>
      <c r="BR4" s="140"/>
      <c r="BS4" s="139" t="s">
        <v>601</v>
      </c>
      <c r="BT4" s="99">
        <f t="shared" ref="BT4:BU67" si="1">MIN(1,IFERROR(SEARCH(BT$2,$BS4),0))</f>
        <v>0</v>
      </c>
      <c r="BU4" s="99">
        <f t="shared" si="0"/>
        <v>1</v>
      </c>
      <c r="BV4" s="99">
        <f t="shared" ref="BV4:BV67" si="2">MAX(BT4,BU4)</f>
        <v>1</v>
      </c>
      <c r="BW4" s="139" t="s">
        <v>602</v>
      </c>
      <c r="BX4" s="139" t="s">
        <v>584</v>
      </c>
      <c r="BY4" s="140">
        <v>326</v>
      </c>
      <c r="BZ4" s="140"/>
      <c r="CA4" s="99">
        <v>65200</v>
      </c>
      <c r="CB4" s="140" t="s">
        <v>603</v>
      </c>
      <c r="CC4" s="140"/>
      <c r="CD4" s="140"/>
      <c r="CE4" s="139" t="s">
        <v>577</v>
      </c>
      <c r="CF4" s="139" t="s">
        <v>604</v>
      </c>
      <c r="CG4" s="139" t="s">
        <v>583</v>
      </c>
      <c r="CH4" s="139" t="s">
        <v>583</v>
      </c>
      <c r="CI4" s="139" t="s">
        <v>592</v>
      </c>
      <c r="CJ4" s="140">
        <v>7172</v>
      </c>
      <c r="CK4" s="140" t="s">
        <v>605</v>
      </c>
      <c r="CL4" s="140">
        <v>4000000</v>
      </c>
      <c r="CM4" s="99">
        <v>6846</v>
      </c>
      <c r="CN4" s="140">
        <v>0</v>
      </c>
      <c r="CO4" s="139" t="s">
        <v>583</v>
      </c>
      <c r="CP4" s="139" t="s">
        <v>583</v>
      </c>
      <c r="CQ4" s="140">
        <v>83456</v>
      </c>
      <c r="CR4" s="140"/>
      <c r="CS4" s="140"/>
      <c r="CT4" s="140"/>
      <c r="CU4" s="140">
        <v>8920298.6400000006</v>
      </c>
      <c r="CV4" s="99">
        <v>94088.43</v>
      </c>
      <c r="CW4" s="139" t="s">
        <v>606</v>
      </c>
      <c r="CX4" s="140">
        <v>13.74</v>
      </c>
      <c r="CY4" s="140"/>
      <c r="CZ4" s="140"/>
      <c r="DA4" s="140"/>
      <c r="DB4" s="140">
        <v>1390</v>
      </c>
      <c r="DC4" s="140"/>
    </row>
    <row r="5" spans="2:107" ht="11.25" customHeight="1" x14ac:dyDescent="0.15">
      <c r="B5" s="139" t="s">
        <v>577</v>
      </c>
      <c r="C5" s="140" t="s">
        <v>612</v>
      </c>
      <c r="D5" s="140">
        <v>8</v>
      </c>
      <c r="E5" s="139" t="s">
        <v>613</v>
      </c>
      <c r="F5" s="139" t="s">
        <v>580</v>
      </c>
      <c r="G5" s="140" t="s">
        <v>612</v>
      </c>
      <c r="H5" s="139" t="s">
        <v>614</v>
      </c>
      <c r="I5" s="140" t="s">
        <v>421</v>
      </c>
      <c r="J5" s="139" t="s">
        <v>582</v>
      </c>
      <c r="K5" s="139" t="s">
        <v>583</v>
      </c>
      <c r="L5" s="139" t="s">
        <v>583</v>
      </c>
      <c r="M5" s="139" t="s">
        <v>583</v>
      </c>
      <c r="N5" s="139" t="s">
        <v>584</v>
      </c>
      <c r="O5" s="139" t="s">
        <v>585</v>
      </c>
      <c r="P5" s="139" t="s">
        <v>583</v>
      </c>
      <c r="Q5" s="139" t="s">
        <v>583</v>
      </c>
      <c r="R5" s="140"/>
      <c r="S5" s="140"/>
      <c r="T5" s="140">
        <v>1</v>
      </c>
      <c r="U5" s="140">
        <v>330</v>
      </c>
      <c r="V5" s="139" t="s">
        <v>586</v>
      </c>
      <c r="W5" s="139" t="s">
        <v>587</v>
      </c>
      <c r="X5" s="139" t="s">
        <v>588</v>
      </c>
      <c r="Y5" s="139" t="s">
        <v>589</v>
      </c>
      <c r="Z5" s="139" t="s">
        <v>590</v>
      </c>
      <c r="AA5" s="139" t="s">
        <v>591</v>
      </c>
      <c r="AB5" s="139" t="s">
        <v>586</v>
      </c>
      <c r="AC5" s="139" t="s">
        <v>587</v>
      </c>
      <c r="AD5" s="139" t="s">
        <v>588</v>
      </c>
      <c r="AE5" s="139" t="s">
        <v>589</v>
      </c>
      <c r="AF5" s="139" t="s">
        <v>590</v>
      </c>
      <c r="AG5" s="139" t="s">
        <v>591</v>
      </c>
      <c r="AH5" s="139" t="s">
        <v>592</v>
      </c>
      <c r="AI5" s="139" t="s">
        <v>429</v>
      </c>
      <c r="AJ5" s="140">
        <v>8590232.2799999993</v>
      </c>
      <c r="AK5" s="139" t="s">
        <v>586</v>
      </c>
      <c r="AL5" s="139" t="s">
        <v>587</v>
      </c>
      <c r="AM5" s="139" t="s">
        <v>588</v>
      </c>
      <c r="AN5" s="139" t="s">
        <v>589</v>
      </c>
      <c r="AO5" s="139" t="s">
        <v>590</v>
      </c>
      <c r="AP5" s="139" t="s">
        <v>591</v>
      </c>
      <c r="AQ5" s="139" t="s">
        <v>592</v>
      </c>
      <c r="AR5" s="139" t="s">
        <v>429</v>
      </c>
      <c r="AS5" s="139" t="s">
        <v>429</v>
      </c>
      <c r="AT5" s="139" t="s">
        <v>593</v>
      </c>
      <c r="AU5" s="139" t="s">
        <v>437</v>
      </c>
      <c r="AV5" s="140"/>
      <c r="AW5" s="139" t="s">
        <v>594</v>
      </c>
      <c r="AX5" s="139" t="s">
        <v>595</v>
      </c>
      <c r="AY5" s="139" t="s">
        <v>596</v>
      </c>
      <c r="AZ5" s="140"/>
      <c r="BA5" s="139" t="s">
        <v>597</v>
      </c>
      <c r="BB5" s="140">
        <v>82500</v>
      </c>
      <c r="BC5" s="140"/>
      <c r="BD5" s="140"/>
      <c r="BE5" s="140">
        <v>100.94280000000001</v>
      </c>
      <c r="BF5" s="139" t="s">
        <v>583</v>
      </c>
      <c r="BG5" s="139" t="s">
        <v>583</v>
      </c>
      <c r="BH5" s="139" t="s">
        <v>583</v>
      </c>
      <c r="BI5" s="139" t="s">
        <v>598</v>
      </c>
      <c r="BJ5" s="139" t="s">
        <v>615</v>
      </c>
      <c r="BK5" s="139" t="s">
        <v>583</v>
      </c>
      <c r="BL5" s="139" t="s">
        <v>583</v>
      </c>
      <c r="BM5" s="139" t="s">
        <v>583</v>
      </c>
      <c r="BN5" s="139" t="s">
        <v>583</v>
      </c>
      <c r="BO5" s="139" t="s">
        <v>583</v>
      </c>
      <c r="BP5" s="139" t="s">
        <v>583</v>
      </c>
      <c r="BQ5" s="139" t="s">
        <v>600</v>
      </c>
      <c r="BR5" s="140"/>
      <c r="BS5" s="139" t="s">
        <v>601</v>
      </c>
      <c r="BT5" s="99">
        <f t="shared" si="1"/>
        <v>0</v>
      </c>
      <c r="BU5" s="99">
        <f t="shared" si="0"/>
        <v>1</v>
      </c>
      <c r="BV5" s="99">
        <f t="shared" si="2"/>
        <v>1</v>
      </c>
      <c r="BW5" s="139" t="s">
        <v>602</v>
      </c>
      <c r="BX5" s="139" t="s">
        <v>584</v>
      </c>
      <c r="BY5" s="140">
        <v>330</v>
      </c>
      <c r="BZ5" s="140"/>
      <c r="CA5" s="99">
        <v>66000</v>
      </c>
      <c r="CB5" s="140" t="s">
        <v>603</v>
      </c>
      <c r="CC5" s="140"/>
      <c r="CD5" s="140"/>
      <c r="CE5" s="139" t="s">
        <v>577</v>
      </c>
      <c r="CF5" s="139" t="s">
        <v>604</v>
      </c>
      <c r="CG5" s="139" t="s">
        <v>583</v>
      </c>
      <c r="CH5" s="139" t="s">
        <v>583</v>
      </c>
      <c r="CI5" s="139" t="s">
        <v>592</v>
      </c>
      <c r="CJ5" s="140">
        <v>7260</v>
      </c>
      <c r="CK5" s="140" t="s">
        <v>605</v>
      </c>
      <c r="CL5" s="140">
        <v>4000000</v>
      </c>
      <c r="CM5" s="99">
        <v>6930</v>
      </c>
      <c r="CN5" s="140">
        <v>0</v>
      </c>
      <c r="CO5" s="139" t="s">
        <v>583</v>
      </c>
      <c r="CP5" s="139" t="s">
        <v>583</v>
      </c>
      <c r="CQ5" s="140">
        <v>82500</v>
      </c>
      <c r="CR5" s="140"/>
      <c r="CS5" s="140"/>
      <c r="CT5" s="140"/>
      <c r="CU5" s="140">
        <v>8590232.2799999993</v>
      </c>
      <c r="CV5" s="99">
        <v>93787.71</v>
      </c>
      <c r="CW5" s="139" t="s">
        <v>606</v>
      </c>
      <c r="CX5" s="140">
        <v>13.53</v>
      </c>
      <c r="CY5" s="140"/>
      <c r="CZ5" s="140"/>
      <c r="DA5" s="140"/>
      <c r="DB5" s="140">
        <v>1372</v>
      </c>
      <c r="DC5" s="140"/>
    </row>
    <row r="6" spans="2:107" ht="11.25" customHeight="1" x14ac:dyDescent="0.15">
      <c r="B6" s="139" t="s">
        <v>577</v>
      </c>
      <c r="C6" s="140" t="s">
        <v>616</v>
      </c>
      <c r="D6" s="140">
        <v>8</v>
      </c>
      <c r="E6" s="139" t="s">
        <v>617</v>
      </c>
      <c r="F6" s="139" t="s">
        <v>618</v>
      </c>
      <c r="G6" s="140" t="s">
        <v>616</v>
      </c>
      <c r="H6" s="139" t="s">
        <v>619</v>
      </c>
      <c r="I6" s="140" t="s">
        <v>421</v>
      </c>
      <c r="J6" s="139" t="s">
        <v>582</v>
      </c>
      <c r="K6" s="139" t="s">
        <v>583</v>
      </c>
      <c r="L6" s="139" t="s">
        <v>583</v>
      </c>
      <c r="M6" s="139" t="s">
        <v>583</v>
      </c>
      <c r="N6" s="139" t="s">
        <v>441</v>
      </c>
      <c r="O6" s="139" t="s">
        <v>620</v>
      </c>
      <c r="P6" s="139" t="s">
        <v>583</v>
      </c>
      <c r="Q6" s="139" t="s">
        <v>583</v>
      </c>
      <c r="R6" s="140"/>
      <c r="S6" s="140"/>
      <c r="T6" s="140">
        <v>1</v>
      </c>
      <c r="U6" s="140">
        <v>543</v>
      </c>
      <c r="V6" s="139" t="s">
        <v>586</v>
      </c>
      <c r="W6" s="139" t="s">
        <v>587</v>
      </c>
      <c r="X6" s="139" t="s">
        <v>588</v>
      </c>
      <c r="Y6" s="139" t="s">
        <v>589</v>
      </c>
      <c r="Z6" s="139" t="s">
        <v>590</v>
      </c>
      <c r="AA6" s="139" t="s">
        <v>591</v>
      </c>
      <c r="AB6" s="139" t="s">
        <v>586</v>
      </c>
      <c r="AC6" s="139" t="s">
        <v>587</v>
      </c>
      <c r="AD6" s="139" t="s">
        <v>588</v>
      </c>
      <c r="AE6" s="139" t="s">
        <v>589</v>
      </c>
      <c r="AF6" s="139" t="s">
        <v>590</v>
      </c>
      <c r="AG6" s="139" t="s">
        <v>591</v>
      </c>
      <c r="AH6" s="139" t="s">
        <v>621</v>
      </c>
      <c r="AI6" s="139" t="s">
        <v>430</v>
      </c>
      <c r="AJ6" s="140">
        <v>15620191.58</v>
      </c>
      <c r="AK6" s="139" t="s">
        <v>586</v>
      </c>
      <c r="AL6" s="139" t="s">
        <v>587</v>
      </c>
      <c r="AM6" s="139" t="s">
        <v>588</v>
      </c>
      <c r="AN6" s="139" t="s">
        <v>589</v>
      </c>
      <c r="AO6" s="139" t="s">
        <v>590</v>
      </c>
      <c r="AP6" s="139" t="s">
        <v>591</v>
      </c>
      <c r="AQ6" s="139" t="s">
        <v>621</v>
      </c>
      <c r="AR6" s="139" t="s">
        <v>430</v>
      </c>
      <c r="AS6" s="139" t="s">
        <v>430</v>
      </c>
      <c r="AT6" s="139" t="s">
        <v>593</v>
      </c>
      <c r="AU6" s="139" t="s">
        <v>437</v>
      </c>
      <c r="AV6" s="140"/>
      <c r="AW6" s="139" t="s">
        <v>594</v>
      </c>
      <c r="AX6" s="139" t="s">
        <v>622</v>
      </c>
      <c r="AY6" s="139" t="s">
        <v>623</v>
      </c>
      <c r="AZ6" s="140"/>
      <c r="BA6" s="139" t="s">
        <v>597</v>
      </c>
      <c r="BB6" s="140">
        <v>150954</v>
      </c>
      <c r="BC6" s="140"/>
      <c r="BD6" s="140"/>
      <c r="BE6" s="140">
        <v>103.4765</v>
      </c>
      <c r="BF6" s="139" t="s">
        <v>583</v>
      </c>
      <c r="BG6" s="139" t="s">
        <v>582</v>
      </c>
      <c r="BH6" s="139" t="s">
        <v>583</v>
      </c>
      <c r="BI6" s="139" t="s">
        <v>598</v>
      </c>
      <c r="BJ6" s="139" t="s">
        <v>624</v>
      </c>
      <c r="BK6" s="139" t="s">
        <v>583</v>
      </c>
      <c r="BL6" s="139" t="s">
        <v>583</v>
      </c>
      <c r="BM6" s="139" t="s">
        <v>583</v>
      </c>
      <c r="BN6" s="139" t="s">
        <v>583</v>
      </c>
      <c r="BO6" s="139" t="s">
        <v>583</v>
      </c>
      <c r="BP6" s="139" t="s">
        <v>583</v>
      </c>
      <c r="BQ6" s="139" t="s">
        <v>625</v>
      </c>
      <c r="BR6" s="140"/>
      <c r="BS6" s="139" t="s">
        <v>626</v>
      </c>
      <c r="BT6" s="99">
        <f t="shared" si="1"/>
        <v>0</v>
      </c>
      <c r="BU6" s="99">
        <f t="shared" si="0"/>
        <v>1</v>
      </c>
      <c r="BV6" s="99">
        <f t="shared" si="2"/>
        <v>1</v>
      </c>
      <c r="BW6" s="139" t="s">
        <v>602</v>
      </c>
      <c r="BX6" s="139" t="s">
        <v>441</v>
      </c>
      <c r="BY6" s="140">
        <v>543</v>
      </c>
      <c r="BZ6" s="140">
        <v>0</v>
      </c>
      <c r="CA6" s="99">
        <v>108600</v>
      </c>
      <c r="CB6" s="140" t="s">
        <v>603</v>
      </c>
      <c r="CC6" s="140"/>
      <c r="CD6" s="140"/>
      <c r="CE6" s="139" t="s">
        <v>577</v>
      </c>
      <c r="CF6" s="139" t="s">
        <v>604</v>
      </c>
      <c r="CG6" s="139" t="s">
        <v>583</v>
      </c>
      <c r="CH6" s="139" t="s">
        <v>583</v>
      </c>
      <c r="CI6" s="139" t="s">
        <v>621</v>
      </c>
      <c r="CJ6" s="140">
        <v>10860</v>
      </c>
      <c r="CK6" s="140" t="s">
        <v>605</v>
      </c>
      <c r="CL6" s="140">
        <v>4000000</v>
      </c>
      <c r="CM6" s="99">
        <v>9774</v>
      </c>
      <c r="CN6" s="140">
        <v>0</v>
      </c>
      <c r="CO6" s="139" t="s">
        <v>583</v>
      </c>
      <c r="CP6" s="139" t="s">
        <v>583</v>
      </c>
      <c r="CQ6" s="140">
        <v>150954</v>
      </c>
      <c r="CR6" s="140"/>
      <c r="CS6" s="140">
        <v>0</v>
      </c>
      <c r="CT6" s="140">
        <v>1</v>
      </c>
      <c r="CU6" s="140">
        <v>15620191.58</v>
      </c>
      <c r="CV6" s="99">
        <v>163208.45000000001</v>
      </c>
      <c r="CW6" s="139" t="s">
        <v>606</v>
      </c>
      <c r="CX6" s="140">
        <v>16.7</v>
      </c>
      <c r="CY6" s="140"/>
      <c r="CZ6" s="140"/>
      <c r="DA6" s="140"/>
      <c r="DB6" s="140">
        <v>1069</v>
      </c>
      <c r="DC6" s="140"/>
    </row>
    <row r="7" spans="2:107" ht="11.25" customHeight="1" x14ac:dyDescent="0.15">
      <c r="B7" s="139" t="s">
        <v>577</v>
      </c>
      <c r="C7" s="140" t="s">
        <v>627</v>
      </c>
      <c r="D7" s="140">
        <v>8</v>
      </c>
      <c r="E7" s="139" t="s">
        <v>628</v>
      </c>
      <c r="F7" s="139" t="s">
        <v>618</v>
      </c>
      <c r="G7" s="140" t="s">
        <v>627</v>
      </c>
      <c r="H7" s="139" t="s">
        <v>629</v>
      </c>
      <c r="I7" s="140" t="s">
        <v>421</v>
      </c>
      <c r="J7" s="139" t="s">
        <v>582</v>
      </c>
      <c r="K7" s="139" t="s">
        <v>583</v>
      </c>
      <c r="L7" s="139" t="s">
        <v>583</v>
      </c>
      <c r="M7" s="139" t="s">
        <v>583</v>
      </c>
      <c r="N7" s="139" t="s">
        <v>441</v>
      </c>
      <c r="O7" s="139" t="s">
        <v>630</v>
      </c>
      <c r="P7" s="139" t="s">
        <v>583</v>
      </c>
      <c r="Q7" s="139" t="s">
        <v>583</v>
      </c>
      <c r="R7" s="140"/>
      <c r="S7" s="140"/>
      <c r="T7" s="140">
        <v>1</v>
      </c>
      <c r="U7" s="140">
        <v>282</v>
      </c>
      <c r="V7" s="139" t="s">
        <v>583</v>
      </c>
      <c r="W7" s="139" t="s">
        <v>631</v>
      </c>
      <c r="X7" s="139" t="s">
        <v>632</v>
      </c>
      <c r="Y7" s="139" t="s">
        <v>633</v>
      </c>
      <c r="Z7" s="139" t="s">
        <v>583</v>
      </c>
      <c r="AA7" s="139" t="s">
        <v>583</v>
      </c>
      <c r="AB7" s="139" t="s">
        <v>583</v>
      </c>
      <c r="AC7" s="139" t="s">
        <v>631</v>
      </c>
      <c r="AD7" s="139" t="s">
        <v>632</v>
      </c>
      <c r="AE7" s="139" t="s">
        <v>633</v>
      </c>
      <c r="AF7" s="139" t="s">
        <v>583</v>
      </c>
      <c r="AG7" s="139" t="s">
        <v>583</v>
      </c>
      <c r="AH7" s="139" t="s">
        <v>621</v>
      </c>
      <c r="AI7" s="139" t="s">
        <v>430</v>
      </c>
      <c r="AJ7" s="140">
        <v>8756929.4199999999</v>
      </c>
      <c r="AK7" s="139" t="s">
        <v>583</v>
      </c>
      <c r="AL7" s="139" t="s">
        <v>631</v>
      </c>
      <c r="AM7" s="139" t="s">
        <v>632</v>
      </c>
      <c r="AN7" s="139" t="s">
        <v>633</v>
      </c>
      <c r="AO7" s="139" t="s">
        <v>583</v>
      </c>
      <c r="AP7" s="139" t="s">
        <v>583</v>
      </c>
      <c r="AQ7" s="139" t="s">
        <v>621</v>
      </c>
      <c r="AR7" s="139" t="s">
        <v>430</v>
      </c>
      <c r="AS7" s="139" t="s">
        <v>430</v>
      </c>
      <c r="AT7" s="139" t="s">
        <v>593</v>
      </c>
      <c r="AU7" s="139" t="s">
        <v>437</v>
      </c>
      <c r="AV7" s="140"/>
      <c r="AW7" s="139" t="s">
        <v>594</v>
      </c>
      <c r="AX7" s="139" t="s">
        <v>622</v>
      </c>
      <c r="AY7" s="139" t="s">
        <v>623</v>
      </c>
      <c r="AZ7" s="140"/>
      <c r="BA7" s="139" t="s">
        <v>597</v>
      </c>
      <c r="BB7" s="140">
        <v>86292</v>
      </c>
      <c r="BC7" s="140"/>
      <c r="BD7" s="140"/>
      <c r="BE7" s="140">
        <v>101.4802</v>
      </c>
      <c r="BF7" s="139" t="s">
        <v>583</v>
      </c>
      <c r="BG7" s="139" t="s">
        <v>582</v>
      </c>
      <c r="BH7" s="139" t="s">
        <v>583</v>
      </c>
      <c r="BI7" s="139" t="s">
        <v>598</v>
      </c>
      <c r="BJ7" s="139" t="s">
        <v>624</v>
      </c>
      <c r="BK7" s="139" t="s">
        <v>583</v>
      </c>
      <c r="BL7" s="139" t="s">
        <v>583</v>
      </c>
      <c r="BM7" s="139" t="s">
        <v>583</v>
      </c>
      <c r="BN7" s="139" t="s">
        <v>583</v>
      </c>
      <c r="BO7" s="139" t="s">
        <v>583</v>
      </c>
      <c r="BP7" s="139" t="s">
        <v>583</v>
      </c>
      <c r="BQ7" s="139" t="s">
        <v>625</v>
      </c>
      <c r="BR7" s="140"/>
      <c r="BS7" s="139" t="s">
        <v>634</v>
      </c>
      <c r="BT7" s="99">
        <f t="shared" si="1"/>
        <v>0</v>
      </c>
      <c r="BU7" s="99">
        <f t="shared" si="0"/>
        <v>1</v>
      </c>
      <c r="BV7" s="99">
        <f t="shared" si="2"/>
        <v>1</v>
      </c>
      <c r="BW7" s="139" t="s">
        <v>635</v>
      </c>
      <c r="BX7" s="139" t="s">
        <v>441</v>
      </c>
      <c r="BY7" s="140">
        <v>282</v>
      </c>
      <c r="BZ7" s="140">
        <v>0</v>
      </c>
      <c r="CA7" s="99">
        <v>56400</v>
      </c>
      <c r="CB7" s="140" t="s">
        <v>603</v>
      </c>
      <c r="CC7" s="140"/>
      <c r="CD7" s="140"/>
      <c r="CE7" s="139" t="s">
        <v>577</v>
      </c>
      <c r="CF7" s="139" t="s">
        <v>604</v>
      </c>
      <c r="CG7" s="139" t="s">
        <v>583</v>
      </c>
      <c r="CH7" s="139" t="s">
        <v>583</v>
      </c>
      <c r="CI7" s="139" t="s">
        <v>621</v>
      </c>
      <c r="CJ7" s="140">
        <v>5640</v>
      </c>
      <c r="CK7" s="140" t="s">
        <v>605</v>
      </c>
      <c r="CL7" s="140">
        <v>4000000</v>
      </c>
      <c r="CM7" s="99">
        <v>5076</v>
      </c>
      <c r="CN7" s="140">
        <v>0</v>
      </c>
      <c r="CO7" s="139" t="s">
        <v>583</v>
      </c>
      <c r="CP7" s="139" t="s">
        <v>583</v>
      </c>
      <c r="CQ7" s="140">
        <v>86292</v>
      </c>
      <c r="CR7" s="140"/>
      <c r="CS7" s="140">
        <v>0</v>
      </c>
      <c r="CT7" s="140">
        <v>1</v>
      </c>
      <c r="CU7" s="140">
        <v>8756929.4199999999</v>
      </c>
      <c r="CV7" s="99">
        <v>93752.56</v>
      </c>
      <c r="CW7" s="139" t="s">
        <v>606</v>
      </c>
      <c r="CX7" s="140">
        <v>18.47</v>
      </c>
      <c r="CY7" s="140"/>
      <c r="CZ7" s="140"/>
      <c r="DA7" s="140"/>
      <c r="DB7" s="140">
        <v>473</v>
      </c>
      <c r="DC7" s="140"/>
    </row>
    <row r="8" spans="2:107" ht="11.25" customHeight="1" x14ac:dyDescent="0.15">
      <c r="B8" s="139" t="s">
        <v>577</v>
      </c>
      <c r="C8" s="140" t="s">
        <v>636</v>
      </c>
      <c r="D8" s="140">
        <v>8</v>
      </c>
      <c r="E8" s="139" t="s">
        <v>637</v>
      </c>
      <c r="F8" s="139" t="s">
        <v>618</v>
      </c>
      <c r="G8" s="140" t="s">
        <v>636</v>
      </c>
      <c r="H8" s="139" t="s">
        <v>638</v>
      </c>
      <c r="I8" s="140" t="s">
        <v>421</v>
      </c>
      <c r="J8" s="139" t="s">
        <v>582</v>
      </c>
      <c r="K8" s="139" t="s">
        <v>583</v>
      </c>
      <c r="L8" s="139" t="s">
        <v>583</v>
      </c>
      <c r="M8" s="139" t="s">
        <v>583</v>
      </c>
      <c r="N8" s="139" t="s">
        <v>441</v>
      </c>
      <c r="O8" s="139" t="s">
        <v>639</v>
      </c>
      <c r="P8" s="139" t="s">
        <v>583</v>
      </c>
      <c r="Q8" s="139" t="s">
        <v>583</v>
      </c>
      <c r="R8" s="140"/>
      <c r="S8" s="140"/>
      <c r="T8" s="140">
        <v>1</v>
      </c>
      <c r="U8" s="140">
        <v>120</v>
      </c>
      <c r="V8" s="139" t="s">
        <v>640</v>
      </c>
      <c r="W8" s="139" t="s">
        <v>641</v>
      </c>
      <c r="X8" s="139" t="s">
        <v>642</v>
      </c>
      <c r="Y8" s="139" t="s">
        <v>643</v>
      </c>
      <c r="Z8" s="139" t="s">
        <v>644</v>
      </c>
      <c r="AA8" s="139" t="s">
        <v>645</v>
      </c>
      <c r="AB8" s="139" t="s">
        <v>640</v>
      </c>
      <c r="AC8" s="139" t="s">
        <v>641</v>
      </c>
      <c r="AD8" s="139" t="s">
        <v>642</v>
      </c>
      <c r="AE8" s="139" t="s">
        <v>643</v>
      </c>
      <c r="AF8" s="139" t="s">
        <v>644</v>
      </c>
      <c r="AG8" s="139" t="s">
        <v>645</v>
      </c>
      <c r="AH8" s="139" t="s">
        <v>621</v>
      </c>
      <c r="AI8" s="139" t="s">
        <v>430</v>
      </c>
      <c r="AJ8" s="140">
        <v>3701997.7</v>
      </c>
      <c r="AK8" s="139" t="s">
        <v>640</v>
      </c>
      <c r="AL8" s="139" t="s">
        <v>641</v>
      </c>
      <c r="AM8" s="139" t="s">
        <v>642</v>
      </c>
      <c r="AN8" s="139" t="s">
        <v>643</v>
      </c>
      <c r="AO8" s="139" t="s">
        <v>644</v>
      </c>
      <c r="AP8" s="139" t="s">
        <v>645</v>
      </c>
      <c r="AQ8" s="139" t="s">
        <v>621</v>
      </c>
      <c r="AR8" s="139" t="s">
        <v>430</v>
      </c>
      <c r="AS8" s="139" t="s">
        <v>430</v>
      </c>
      <c r="AT8" s="139" t="s">
        <v>593</v>
      </c>
      <c r="AU8" s="139" t="s">
        <v>437</v>
      </c>
      <c r="AV8" s="140"/>
      <c r="AW8" s="139" t="s">
        <v>594</v>
      </c>
      <c r="AX8" s="139" t="s">
        <v>622</v>
      </c>
      <c r="AY8" s="139" t="s">
        <v>646</v>
      </c>
      <c r="AZ8" s="140"/>
      <c r="BA8" s="139" t="s">
        <v>597</v>
      </c>
      <c r="BB8" s="140">
        <v>36480</v>
      </c>
      <c r="BC8" s="140"/>
      <c r="BD8" s="140"/>
      <c r="BE8" s="140">
        <v>101.4802</v>
      </c>
      <c r="BF8" s="139" t="s">
        <v>583</v>
      </c>
      <c r="BG8" s="139" t="s">
        <v>582</v>
      </c>
      <c r="BH8" s="139" t="s">
        <v>583</v>
      </c>
      <c r="BI8" s="139" t="s">
        <v>598</v>
      </c>
      <c r="BJ8" s="139" t="s">
        <v>624</v>
      </c>
      <c r="BK8" s="139" t="s">
        <v>583</v>
      </c>
      <c r="BL8" s="139" t="s">
        <v>583</v>
      </c>
      <c r="BM8" s="139" t="s">
        <v>583</v>
      </c>
      <c r="BN8" s="139" t="s">
        <v>583</v>
      </c>
      <c r="BO8" s="139" t="s">
        <v>583</v>
      </c>
      <c r="BP8" s="139" t="s">
        <v>583</v>
      </c>
      <c r="BQ8" s="139" t="s">
        <v>625</v>
      </c>
      <c r="BR8" s="140"/>
      <c r="BS8" s="139" t="s">
        <v>647</v>
      </c>
      <c r="BT8" s="99">
        <f t="shared" si="1"/>
        <v>0</v>
      </c>
      <c r="BU8" s="99">
        <f t="shared" si="0"/>
        <v>0</v>
      </c>
      <c r="BV8" s="99">
        <f t="shared" si="2"/>
        <v>0</v>
      </c>
      <c r="BW8" s="139" t="s">
        <v>446</v>
      </c>
      <c r="BX8" s="139" t="s">
        <v>441</v>
      </c>
      <c r="BY8" s="140">
        <v>120</v>
      </c>
      <c r="BZ8" s="140">
        <v>0</v>
      </c>
      <c r="CA8" s="99">
        <v>24000</v>
      </c>
      <c r="CB8" s="140" t="s">
        <v>603</v>
      </c>
      <c r="CC8" s="140"/>
      <c r="CD8" s="140"/>
      <c r="CE8" s="139" t="s">
        <v>577</v>
      </c>
      <c r="CF8" s="139" t="s">
        <v>604</v>
      </c>
      <c r="CG8" s="139" t="s">
        <v>583</v>
      </c>
      <c r="CH8" s="139" t="s">
        <v>583</v>
      </c>
      <c r="CI8" s="139" t="s">
        <v>621</v>
      </c>
      <c r="CJ8" s="140">
        <v>2510</v>
      </c>
      <c r="CK8" s="140" t="s">
        <v>605</v>
      </c>
      <c r="CL8" s="140">
        <v>4000000</v>
      </c>
      <c r="CM8" s="99">
        <v>2160</v>
      </c>
      <c r="CN8" s="140">
        <v>0</v>
      </c>
      <c r="CO8" s="139" t="s">
        <v>583</v>
      </c>
      <c r="CP8" s="139" t="s">
        <v>583</v>
      </c>
      <c r="CQ8" s="140">
        <v>36480</v>
      </c>
      <c r="CR8" s="140"/>
      <c r="CS8" s="140">
        <v>0</v>
      </c>
      <c r="CT8" s="140">
        <v>1</v>
      </c>
      <c r="CU8" s="140">
        <v>3701997.7</v>
      </c>
      <c r="CV8" s="99">
        <v>39633.96</v>
      </c>
      <c r="CW8" s="139" t="s">
        <v>606</v>
      </c>
      <c r="CX8" s="140">
        <v>18.350000000000001</v>
      </c>
      <c r="CY8" s="140"/>
      <c r="CZ8" s="140"/>
      <c r="DA8" s="140"/>
      <c r="DB8" s="140">
        <v>610</v>
      </c>
      <c r="DC8" s="140"/>
    </row>
    <row r="9" spans="2:107" ht="11.25" customHeight="1" x14ac:dyDescent="0.15">
      <c r="B9" s="139" t="s">
        <v>577</v>
      </c>
      <c r="C9" s="140" t="s">
        <v>636</v>
      </c>
      <c r="D9" s="140">
        <v>8</v>
      </c>
      <c r="E9" s="139" t="s">
        <v>648</v>
      </c>
      <c r="F9" s="139" t="s">
        <v>618</v>
      </c>
      <c r="G9" s="140" t="s">
        <v>636</v>
      </c>
      <c r="H9" s="139" t="s">
        <v>649</v>
      </c>
      <c r="I9" s="140" t="s">
        <v>421</v>
      </c>
      <c r="J9" s="139" t="s">
        <v>582</v>
      </c>
      <c r="K9" s="139" t="s">
        <v>583</v>
      </c>
      <c r="L9" s="139" t="s">
        <v>583</v>
      </c>
      <c r="M9" s="139" t="s">
        <v>583</v>
      </c>
      <c r="N9" s="139" t="s">
        <v>650</v>
      </c>
      <c r="O9" s="139" t="s">
        <v>651</v>
      </c>
      <c r="P9" s="139" t="s">
        <v>583</v>
      </c>
      <c r="Q9" s="139" t="s">
        <v>583</v>
      </c>
      <c r="R9" s="140"/>
      <c r="S9" s="140"/>
      <c r="T9" s="140">
        <v>1</v>
      </c>
      <c r="U9" s="140">
        <v>290</v>
      </c>
      <c r="V9" s="139" t="s">
        <v>586</v>
      </c>
      <c r="W9" s="139" t="s">
        <v>587</v>
      </c>
      <c r="X9" s="139" t="s">
        <v>588</v>
      </c>
      <c r="Y9" s="139" t="s">
        <v>589</v>
      </c>
      <c r="Z9" s="139" t="s">
        <v>590</v>
      </c>
      <c r="AA9" s="139" t="s">
        <v>591</v>
      </c>
      <c r="AB9" s="139" t="s">
        <v>586</v>
      </c>
      <c r="AC9" s="139" t="s">
        <v>587</v>
      </c>
      <c r="AD9" s="139" t="s">
        <v>588</v>
      </c>
      <c r="AE9" s="139" t="s">
        <v>589</v>
      </c>
      <c r="AF9" s="139" t="s">
        <v>590</v>
      </c>
      <c r="AG9" s="139" t="s">
        <v>591</v>
      </c>
      <c r="AH9" s="139" t="s">
        <v>652</v>
      </c>
      <c r="AI9" s="139" t="s">
        <v>431</v>
      </c>
      <c r="AJ9" s="140">
        <v>39418968.890000001</v>
      </c>
      <c r="AK9" s="139" t="s">
        <v>586</v>
      </c>
      <c r="AL9" s="139" t="s">
        <v>587</v>
      </c>
      <c r="AM9" s="139" t="s">
        <v>588</v>
      </c>
      <c r="AN9" s="139" t="s">
        <v>589</v>
      </c>
      <c r="AO9" s="139" t="s">
        <v>590</v>
      </c>
      <c r="AP9" s="139" t="s">
        <v>591</v>
      </c>
      <c r="AQ9" s="139" t="s">
        <v>652</v>
      </c>
      <c r="AR9" s="139" t="s">
        <v>431</v>
      </c>
      <c r="AS9" s="139" t="s">
        <v>431</v>
      </c>
      <c r="AT9" s="139" t="s">
        <v>593</v>
      </c>
      <c r="AU9" s="139" t="s">
        <v>437</v>
      </c>
      <c r="AV9" s="140"/>
      <c r="AW9" s="139" t="s">
        <v>594</v>
      </c>
      <c r="AX9" s="139" t="s">
        <v>653</v>
      </c>
      <c r="AY9" s="139" t="s">
        <v>623</v>
      </c>
      <c r="AZ9" s="140"/>
      <c r="BA9" s="139" t="s">
        <v>597</v>
      </c>
      <c r="BB9" s="140">
        <v>388440</v>
      </c>
      <c r="BC9" s="140"/>
      <c r="BD9" s="140"/>
      <c r="BE9" s="140">
        <v>101.4802</v>
      </c>
      <c r="BF9" s="139" t="s">
        <v>583</v>
      </c>
      <c r="BG9" s="139" t="s">
        <v>582</v>
      </c>
      <c r="BH9" s="139" t="s">
        <v>583</v>
      </c>
      <c r="BI9" s="139" t="s">
        <v>598</v>
      </c>
      <c r="BJ9" s="139" t="s">
        <v>624</v>
      </c>
      <c r="BK9" s="139" t="s">
        <v>583</v>
      </c>
      <c r="BL9" s="139" t="s">
        <v>583</v>
      </c>
      <c r="BM9" s="139" t="s">
        <v>583</v>
      </c>
      <c r="BN9" s="139" t="s">
        <v>583</v>
      </c>
      <c r="BO9" s="139" t="s">
        <v>583</v>
      </c>
      <c r="BP9" s="139" t="s">
        <v>583</v>
      </c>
      <c r="BQ9" s="139" t="s">
        <v>625</v>
      </c>
      <c r="BR9" s="140"/>
      <c r="BS9" s="139" t="s">
        <v>654</v>
      </c>
      <c r="BT9" s="99">
        <f t="shared" si="1"/>
        <v>0</v>
      </c>
      <c r="BU9" s="99">
        <f t="shared" si="0"/>
        <v>1</v>
      </c>
      <c r="BV9" s="99">
        <f t="shared" si="2"/>
        <v>1</v>
      </c>
      <c r="BW9" s="139" t="s">
        <v>655</v>
      </c>
      <c r="BX9" s="139" t="s">
        <v>656</v>
      </c>
      <c r="BY9" s="140">
        <v>290</v>
      </c>
      <c r="BZ9" s="140">
        <v>0</v>
      </c>
      <c r="CA9" s="99">
        <v>58000</v>
      </c>
      <c r="CB9" s="140" t="s">
        <v>603</v>
      </c>
      <c r="CC9" s="140"/>
      <c r="CD9" s="140"/>
      <c r="CE9" s="139" t="s">
        <v>577</v>
      </c>
      <c r="CF9" s="139" t="s">
        <v>604</v>
      </c>
      <c r="CG9" s="139" t="s">
        <v>583</v>
      </c>
      <c r="CH9" s="139" t="s">
        <v>583</v>
      </c>
      <c r="CI9" s="139" t="s">
        <v>652</v>
      </c>
      <c r="CJ9" s="140">
        <v>6090</v>
      </c>
      <c r="CK9" s="140" t="s">
        <v>657</v>
      </c>
      <c r="CL9" s="140">
        <v>4000000</v>
      </c>
      <c r="CM9" s="99">
        <v>5800</v>
      </c>
      <c r="CN9" s="140">
        <v>0</v>
      </c>
      <c r="CO9" s="139" t="s">
        <v>583</v>
      </c>
      <c r="CP9" s="139" t="s">
        <v>583</v>
      </c>
      <c r="CQ9" s="140">
        <v>388440</v>
      </c>
      <c r="CR9" s="140"/>
      <c r="CS9" s="140">
        <v>0</v>
      </c>
      <c r="CT9" s="140">
        <v>1</v>
      </c>
      <c r="CU9" s="140">
        <v>39418968.890000001</v>
      </c>
      <c r="CV9" s="99">
        <v>422023.4</v>
      </c>
      <c r="CW9" s="139" t="s">
        <v>606</v>
      </c>
      <c r="CX9" s="140">
        <v>72.760000000000005</v>
      </c>
      <c r="CY9" s="140"/>
      <c r="CZ9" s="140"/>
      <c r="DA9" s="140"/>
      <c r="DB9" s="140">
        <v>678</v>
      </c>
      <c r="DC9" s="140"/>
    </row>
    <row r="10" spans="2:107" ht="11.25" customHeight="1" x14ac:dyDescent="0.15">
      <c r="B10" s="139" t="s">
        <v>577</v>
      </c>
      <c r="C10" s="140" t="s">
        <v>636</v>
      </c>
      <c r="D10" s="140">
        <v>8</v>
      </c>
      <c r="E10" s="139" t="s">
        <v>658</v>
      </c>
      <c r="F10" s="139" t="s">
        <v>618</v>
      </c>
      <c r="G10" s="140" t="s">
        <v>636</v>
      </c>
      <c r="H10" s="139" t="s">
        <v>659</v>
      </c>
      <c r="I10" s="140" t="s">
        <v>421</v>
      </c>
      <c r="J10" s="139" t="s">
        <v>582</v>
      </c>
      <c r="K10" s="139" t="s">
        <v>583</v>
      </c>
      <c r="L10" s="139" t="s">
        <v>583</v>
      </c>
      <c r="M10" s="139" t="s">
        <v>583</v>
      </c>
      <c r="N10" s="139" t="s">
        <v>660</v>
      </c>
      <c r="O10" s="139" t="s">
        <v>661</v>
      </c>
      <c r="P10" s="139" t="s">
        <v>583</v>
      </c>
      <c r="Q10" s="139" t="s">
        <v>583</v>
      </c>
      <c r="R10" s="140"/>
      <c r="S10" s="140"/>
      <c r="T10" s="140">
        <v>1</v>
      </c>
      <c r="U10" s="140">
        <v>120</v>
      </c>
      <c r="V10" s="139" t="s">
        <v>662</v>
      </c>
      <c r="W10" s="139" t="s">
        <v>663</v>
      </c>
      <c r="X10" s="139" t="s">
        <v>664</v>
      </c>
      <c r="Y10" s="139" t="s">
        <v>665</v>
      </c>
      <c r="Z10" s="139" t="s">
        <v>666</v>
      </c>
      <c r="AA10" s="139" t="s">
        <v>667</v>
      </c>
      <c r="AB10" s="139" t="s">
        <v>662</v>
      </c>
      <c r="AC10" s="139" t="s">
        <v>663</v>
      </c>
      <c r="AD10" s="139" t="s">
        <v>664</v>
      </c>
      <c r="AE10" s="139" t="s">
        <v>665</v>
      </c>
      <c r="AF10" s="139" t="s">
        <v>666</v>
      </c>
      <c r="AG10" s="139" t="s">
        <v>667</v>
      </c>
      <c r="AH10" s="139" t="s">
        <v>621</v>
      </c>
      <c r="AI10" s="139" t="s">
        <v>430</v>
      </c>
      <c r="AJ10" s="140">
        <v>3701997.7</v>
      </c>
      <c r="AK10" s="139" t="s">
        <v>662</v>
      </c>
      <c r="AL10" s="139" t="s">
        <v>663</v>
      </c>
      <c r="AM10" s="139" t="s">
        <v>664</v>
      </c>
      <c r="AN10" s="139" t="s">
        <v>665</v>
      </c>
      <c r="AO10" s="139" t="s">
        <v>666</v>
      </c>
      <c r="AP10" s="139" t="s">
        <v>667</v>
      </c>
      <c r="AQ10" s="139" t="s">
        <v>621</v>
      </c>
      <c r="AR10" s="139" t="s">
        <v>430</v>
      </c>
      <c r="AS10" s="139" t="s">
        <v>430</v>
      </c>
      <c r="AT10" s="139" t="s">
        <v>593</v>
      </c>
      <c r="AU10" s="139" t="s">
        <v>437</v>
      </c>
      <c r="AV10" s="140"/>
      <c r="AW10" s="139" t="s">
        <v>594</v>
      </c>
      <c r="AX10" s="139" t="s">
        <v>622</v>
      </c>
      <c r="AY10" s="139" t="s">
        <v>623</v>
      </c>
      <c r="AZ10" s="140"/>
      <c r="BA10" s="139" t="s">
        <v>597</v>
      </c>
      <c r="BB10" s="140">
        <v>36480</v>
      </c>
      <c r="BC10" s="140"/>
      <c r="BD10" s="140"/>
      <c r="BE10" s="140">
        <v>101.4802</v>
      </c>
      <c r="BF10" s="139" t="s">
        <v>583</v>
      </c>
      <c r="BG10" s="139" t="s">
        <v>582</v>
      </c>
      <c r="BH10" s="139" t="s">
        <v>583</v>
      </c>
      <c r="BI10" s="139" t="s">
        <v>598</v>
      </c>
      <c r="BJ10" s="139" t="s">
        <v>624</v>
      </c>
      <c r="BK10" s="139" t="s">
        <v>583</v>
      </c>
      <c r="BL10" s="139" t="s">
        <v>583</v>
      </c>
      <c r="BM10" s="139" t="s">
        <v>583</v>
      </c>
      <c r="BN10" s="139" t="s">
        <v>583</v>
      </c>
      <c r="BO10" s="139" t="s">
        <v>583</v>
      </c>
      <c r="BP10" s="139" t="s">
        <v>583</v>
      </c>
      <c r="BQ10" s="139" t="s">
        <v>625</v>
      </c>
      <c r="BR10" s="140"/>
      <c r="BS10" s="139" t="s">
        <v>668</v>
      </c>
      <c r="BT10" s="99">
        <f t="shared" si="1"/>
        <v>1</v>
      </c>
      <c r="BU10" s="99">
        <f t="shared" si="0"/>
        <v>0</v>
      </c>
      <c r="BV10" s="99">
        <f t="shared" si="2"/>
        <v>1</v>
      </c>
      <c r="BW10" s="139" t="s">
        <v>602</v>
      </c>
      <c r="BX10" s="139" t="s">
        <v>442</v>
      </c>
      <c r="BY10" s="140">
        <v>120</v>
      </c>
      <c r="BZ10" s="140">
        <v>0</v>
      </c>
      <c r="CA10" s="99">
        <v>24000</v>
      </c>
      <c r="CB10" s="140" t="s">
        <v>603</v>
      </c>
      <c r="CC10" s="140"/>
      <c r="CD10" s="140"/>
      <c r="CE10" s="139" t="s">
        <v>577</v>
      </c>
      <c r="CF10" s="139" t="s">
        <v>604</v>
      </c>
      <c r="CG10" s="139" t="s">
        <v>583</v>
      </c>
      <c r="CH10" s="139" t="s">
        <v>583</v>
      </c>
      <c r="CI10" s="139" t="s">
        <v>621</v>
      </c>
      <c r="CJ10" s="140">
        <v>2400</v>
      </c>
      <c r="CK10" s="140" t="s">
        <v>605</v>
      </c>
      <c r="CL10" s="140">
        <v>4000000</v>
      </c>
      <c r="CM10" s="99">
        <v>2160</v>
      </c>
      <c r="CN10" s="140">
        <v>0</v>
      </c>
      <c r="CO10" s="139" t="s">
        <v>583</v>
      </c>
      <c r="CP10" s="139" t="s">
        <v>583</v>
      </c>
      <c r="CQ10" s="140">
        <v>36480</v>
      </c>
      <c r="CR10" s="140"/>
      <c r="CS10" s="140">
        <v>0</v>
      </c>
      <c r="CT10" s="140">
        <v>1</v>
      </c>
      <c r="CU10" s="140">
        <v>3701997.7</v>
      </c>
      <c r="CV10" s="99">
        <v>39633.96</v>
      </c>
      <c r="CW10" s="139" t="s">
        <v>606</v>
      </c>
      <c r="CX10" s="140">
        <v>18.350000000000001</v>
      </c>
      <c r="CY10" s="140"/>
      <c r="CZ10" s="140"/>
      <c r="DA10" s="140"/>
      <c r="DB10" s="140">
        <v>636</v>
      </c>
      <c r="DC10" s="140"/>
    </row>
    <row r="11" spans="2:107" ht="11.25" customHeight="1" x14ac:dyDescent="0.15">
      <c r="B11" s="139" t="s">
        <v>577</v>
      </c>
      <c r="C11" s="140" t="s">
        <v>669</v>
      </c>
      <c r="D11" s="140">
        <v>8</v>
      </c>
      <c r="E11" s="139" t="s">
        <v>670</v>
      </c>
      <c r="F11" s="139" t="s">
        <v>618</v>
      </c>
      <c r="G11" s="140" t="s">
        <v>669</v>
      </c>
      <c r="H11" s="139" t="s">
        <v>671</v>
      </c>
      <c r="I11" s="140" t="s">
        <v>421</v>
      </c>
      <c r="J11" s="139" t="s">
        <v>582</v>
      </c>
      <c r="K11" s="139" t="s">
        <v>583</v>
      </c>
      <c r="L11" s="139" t="s">
        <v>583</v>
      </c>
      <c r="M11" s="139" t="s">
        <v>583</v>
      </c>
      <c r="N11" s="139" t="s">
        <v>441</v>
      </c>
      <c r="O11" s="139" t="s">
        <v>630</v>
      </c>
      <c r="P11" s="139" t="s">
        <v>583</v>
      </c>
      <c r="Q11" s="139" t="s">
        <v>583</v>
      </c>
      <c r="R11" s="140"/>
      <c r="S11" s="140"/>
      <c r="T11" s="140">
        <v>1</v>
      </c>
      <c r="U11" s="140">
        <v>423</v>
      </c>
      <c r="V11" s="139" t="s">
        <v>583</v>
      </c>
      <c r="W11" s="139" t="s">
        <v>631</v>
      </c>
      <c r="X11" s="139" t="s">
        <v>632</v>
      </c>
      <c r="Y11" s="139" t="s">
        <v>633</v>
      </c>
      <c r="Z11" s="139" t="s">
        <v>583</v>
      </c>
      <c r="AA11" s="139" t="s">
        <v>583</v>
      </c>
      <c r="AB11" s="139" t="s">
        <v>583</v>
      </c>
      <c r="AC11" s="139" t="s">
        <v>631</v>
      </c>
      <c r="AD11" s="139" t="s">
        <v>632</v>
      </c>
      <c r="AE11" s="139" t="s">
        <v>633</v>
      </c>
      <c r="AF11" s="139" t="s">
        <v>583</v>
      </c>
      <c r="AG11" s="139" t="s">
        <v>583</v>
      </c>
      <c r="AH11" s="139" t="s">
        <v>621</v>
      </c>
      <c r="AI11" s="139" t="s">
        <v>430</v>
      </c>
      <c r="AJ11" s="140">
        <v>13676302.59</v>
      </c>
      <c r="AK11" s="139" t="s">
        <v>583</v>
      </c>
      <c r="AL11" s="139" t="s">
        <v>631</v>
      </c>
      <c r="AM11" s="139" t="s">
        <v>632</v>
      </c>
      <c r="AN11" s="139" t="s">
        <v>633</v>
      </c>
      <c r="AO11" s="139" t="s">
        <v>583</v>
      </c>
      <c r="AP11" s="139" t="s">
        <v>583</v>
      </c>
      <c r="AQ11" s="139" t="s">
        <v>621</v>
      </c>
      <c r="AR11" s="139" t="s">
        <v>430</v>
      </c>
      <c r="AS11" s="139" t="s">
        <v>430</v>
      </c>
      <c r="AT11" s="139" t="s">
        <v>593</v>
      </c>
      <c r="AU11" s="139" t="s">
        <v>437</v>
      </c>
      <c r="AV11" s="140"/>
      <c r="AW11" s="139" t="s">
        <v>594</v>
      </c>
      <c r="AX11" s="139" t="s">
        <v>622</v>
      </c>
      <c r="AY11" s="139" t="s">
        <v>623</v>
      </c>
      <c r="AZ11" s="140"/>
      <c r="BA11" s="139" t="s">
        <v>597</v>
      </c>
      <c r="BB11" s="140">
        <v>129438</v>
      </c>
      <c r="BC11" s="140"/>
      <c r="BD11" s="140"/>
      <c r="BE11" s="140">
        <v>105.6591</v>
      </c>
      <c r="BF11" s="139" t="s">
        <v>583</v>
      </c>
      <c r="BG11" s="139" t="s">
        <v>582</v>
      </c>
      <c r="BH11" s="139" t="s">
        <v>583</v>
      </c>
      <c r="BI11" s="139" t="s">
        <v>598</v>
      </c>
      <c r="BJ11" s="139" t="s">
        <v>624</v>
      </c>
      <c r="BK11" s="139" t="s">
        <v>583</v>
      </c>
      <c r="BL11" s="139" t="s">
        <v>583</v>
      </c>
      <c r="BM11" s="139" t="s">
        <v>583</v>
      </c>
      <c r="BN11" s="139" t="s">
        <v>583</v>
      </c>
      <c r="BO11" s="139" t="s">
        <v>583</v>
      </c>
      <c r="BP11" s="139" t="s">
        <v>583</v>
      </c>
      <c r="BQ11" s="139" t="s">
        <v>625</v>
      </c>
      <c r="BR11" s="140"/>
      <c r="BS11" s="139" t="s">
        <v>634</v>
      </c>
      <c r="BT11" s="99">
        <f t="shared" si="1"/>
        <v>0</v>
      </c>
      <c r="BU11" s="99">
        <f t="shared" si="0"/>
        <v>1</v>
      </c>
      <c r="BV11" s="99">
        <f t="shared" si="2"/>
        <v>1</v>
      </c>
      <c r="BW11" s="139" t="s">
        <v>635</v>
      </c>
      <c r="BX11" s="139" t="s">
        <v>441</v>
      </c>
      <c r="BY11" s="140">
        <v>423</v>
      </c>
      <c r="BZ11" s="140">
        <v>0</v>
      </c>
      <c r="CA11" s="99">
        <v>84600</v>
      </c>
      <c r="CB11" s="140" t="s">
        <v>603</v>
      </c>
      <c r="CC11" s="140"/>
      <c r="CD11" s="140"/>
      <c r="CE11" s="139" t="s">
        <v>577</v>
      </c>
      <c r="CF11" s="139" t="s">
        <v>604</v>
      </c>
      <c r="CG11" s="139" t="s">
        <v>583</v>
      </c>
      <c r="CH11" s="139" t="s">
        <v>583</v>
      </c>
      <c r="CI11" s="139" t="s">
        <v>621</v>
      </c>
      <c r="CJ11" s="140">
        <v>8460</v>
      </c>
      <c r="CK11" s="140" t="s">
        <v>605</v>
      </c>
      <c r="CL11" s="140">
        <v>4000000</v>
      </c>
      <c r="CM11" s="99">
        <v>7614</v>
      </c>
      <c r="CN11" s="140">
        <v>0</v>
      </c>
      <c r="CO11" s="139" t="s">
        <v>583</v>
      </c>
      <c r="CP11" s="139" t="s">
        <v>583</v>
      </c>
      <c r="CQ11" s="140">
        <v>129438</v>
      </c>
      <c r="CR11" s="140"/>
      <c r="CS11" s="140">
        <v>0</v>
      </c>
      <c r="CT11" s="140">
        <v>1</v>
      </c>
      <c r="CU11" s="140">
        <v>13676302.59</v>
      </c>
      <c r="CV11" s="99">
        <v>141423.64000000001</v>
      </c>
      <c r="CW11" s="139" t="s">
        <v>606</v>
      </c>
      <c r="CX11" s="140">
        <v>18.57</v>
      </c>
      <c r="CY11" s="140"/>
      <c r="CZ11" s="140"/>
      <c r="DA11" s="140"/>
      <c r="DB11" s="140">
        <v>953</v>
      </c>
      <c r="DC11" s="140"/>
    </row>
    <row r="12" spans="2:107" ht="11.25" customHeight="1" x14ac:dyDescent="0.15">
      <c r="B12" s="139" t="s">
        <v>577</v>
      </c>
      <c r="C12" s="140" t="s">
        <v>672</v>
      </c>
      <c r="D12" s="140">
        <v>8</v>
      </c>
      <c r="E12" s="139" t="s">
        <v>673</v>
      </c>
      <c r="F12" s="139" t="s">
        <v>618</v>
      </c>
      <c r="G12" s="140" t="s">
        <v>672</v>
      </c>
      <c r="H12" s="139" t="s">
        <v>674</v>
      </c>
      <c r="I12" s="140" t="s">
        <v>421</v>
      </c>
      <c r="J12" s="139" t="s">
        <v>582</v>
      </c>
      <c r="K12" s="139" t="s">
        <v>583</v>
      </c>
      <c r="L12" s="139" t="s">
        <v>583</v>
      </c>
      <c r="M12" s="139" t="s">
        <v>583</v>
      </c>
      <c r="N12" s="139" t="s">
        <v>441</v>
      </c>
      <c r="O12" s="139" t="s">
        <v>620</v>
      </c>
      <c r="P12" s="139" t="s">
        <v>583</v>
      </c>
      <c r="Q12" s="139" t="s">
        <v>583</v>
      </c>
      <c r="R12" s="140"/>
      <c r="S12" s="140"/>
      <c r="T12" s="140">
        <v>1</v>
      </c>
      <c r="U12" s="140">
        <v>362</v>
      </c>
      <c r="V12" s="139" t="s">
        <v>586</v>
      </c>
      <c r="W12" s="139" t="s">
        <v>587</v>
      </c>
      <c r="X12" s="139" t="s">
        <v>588</v>
      </c>
      <c r="Y12" s="139" t="s">
        <v>589</v>
      </c>
      <c r="Z12" s="139" t="s">
        <v>590</v>
      </c>
      <c r="AA12" s="139" t="s">
        <v>591</v>
      </c>
      <c r="AB12" s="139" t="s">
        <v>586</v>
      </c>
      <c r="AC12" s="139" t="s">
        <v>587</v>
      </c>
      <c r="AD12" s="139" t="s">
        <v>588</v>
      </c>
      <c r="AE12" s="139" t="s">
        <v>589</v>
      </c>
      <c r="AF12" s="139" t="s">
        <v>590</v>
      </c>
      <c r="AG12" s="139" t="s">
        <v>591</v>
      </c>
      <c r="AH12" s="139" t="s">
        <v>621</v>
      </c>
      <c r="AI12" s="139" t="s">
        <v>430</v>
      </c>
      <c r="AJ12" s="140">
        <v>10865900.380000001</v>
      </c>
      <c r="AK12" s="139" t="s">
        <v>586</v>
      </c>
      <c r="AL12" s="139" t="s">
        <v>587</v>
      </c>
      <c r="AM12" s="139" t="s">
        <v>588</v>
      </c>
      <c r="AN12" s="139" t="s">
        <v>589</v>
      </c>
      <c r="AO12" s="139" t="s">
        <v>590</v>
      </c>
      <c r="AP12" s="139" t="s">
        <v>591</v>
      </c>
      <c r="AQ12" s="139" t="s">
        <v>621</v>
      </c>
      <c r="AR12" s="139" t="s">
        <v>430</v>
      </c>
      <c r="AS12" s="139" t="s">
        <v>430</v>
      </c>
      <c r="AT12" s="139" t="s">
        <v>593</v>
      </c>
      <c r="AU12" s="139" t="s">
        <v>437</v>
      </c>
      <c r="AV12" s="140"/>
      <c r="AW12" s="139" t="s">
        <v>594</v>
      </c>
      <c r="AX12" s="139" t="s">
        <v>622</v>
      </c>
      <c r="AY12" s="139" t="s">
        <v>623</v>
      </c>
      <c r="AZ12" s="140"/>
      <c r="BA12" s="139" t="s">
        <v>597</v>
      </c>
      <c r="BB12" s="140">
        <v>100636</v>
      </c>
      <c r="BC12" s="140"/>
      <c r="BD12" s="140"/>
      <c r="BE12" s="140">
        <v>107.9723</v>
      </c>
      <c r="BF12" s="139" t="s">
        <v>583</v>
      </c>
      <c r="BG12" s="139" t="s">
        <v>582</v>
      </c>
      <c r="BH12" s="139" t="s">
        <v>583</v>
      </c>
      <c r="BI12" s="139" t="s">
        <v>598</v>
      </c>
      <c r="BJ12" s="139" t="s">
        <v>624</v>
      </c>
      <c r="BK12" s="139" t="s">
        <v>583</v>
      </c>
      <c r="BL12" s="139" t="s">
        <v>583</v>
      </c>
      <c r="BM12" s="139" t="s">
        <v>583</v>
      </c>
      <c r="BN12" s="139" t="s">
        <v>583</v>
      </c>
      <c r="BO12" s="139" t="s">
        <v>583</v>
      </c>
      <c r="BP12" s="139" t="s">
        <v>583</v>
      </c>
      <c r="BQ12" s="139" t="s">
        <v>625</v>
      </c>
      <c r="BR12" s="140"/>
      <c r="BS12" s="139" t="s">
        <v>675</v>
      </c>
      <c r="BT12" s="99">
        <f t="shared" si="1"/>
        <v>0</v>
      </c>
      <c r="BU12" s="99">
        <f t="shared" si="0"/>
        <v>1</v>
      </c>
      <c r="BV12" s="99">
        <f t="shared" si="2"/>
        <v>1</v>
      </c>
      <c r="BW12" s="139" t="s">
        <v>602</v>
      </c>
      <c r="BX12" s="139" t="s">
        <v>441</v>
      </c>
      <c r="BY12" s="140">
        <v>362</v>
      </c>
      <c r="BZ12" s="140">
        <v>0</v>
      </c>
      <c r="CA12" s="99">
        <v>72400</v>
      </c>
      <c r="CB12" s="140" t="s">
        <v>603</v>
      </c>
      <c r="CC12" s="140"/>
      <c r="CD12" s="140"/>
      <c r="CE12" s="139" t="s">
        <v>577</v>
      </c>
      <c r="CF12" s="139" t="s">
        <v>604</v>
      </c>
      <c r="CG12" s="139" t="s">
        <v>583</v>
      </c>
      <c r="CH12" s="139" t="s">
        <v>583</v>
      </c>
      <c r="CI12" s="139" t="s">
        <v>621</v>
      </c>
      <c r="CJ12" s="140">
        <v>7432</v>
      </c>
      <c r="CK12" s="140" t="s">
        <v>605</v>
      </c>
      <c r="CL12" s="140">
        <v>4000000</v>
      </c>
      <c r="CM12" s="99">
        <v>6516</v>
      </c>
      <c r="CN12" s="140">
        <v>0</v>
      </c>
      <c r="CO12" s="139" t="s">
        <v>583</v>
      </c>
      <c r="CP12" s="139" t="s">
        <v>583</v>
      </c>
      <c r="CQ12" s="140">
        <v>100636</v>
      </c>
      <c r="CR12" s="140"/>
      <c r="CS12" s="140">
        <v>0</v>
      </c>
      <c r="CT12" s="140">
        <v>1</v>
      </c>
      <c r="CU12" s="140">
        <v>10865900.380000001</v>
      </c>
      <c r="CV12" s="99">
        <v>110643.28</v>
      </c>
      <c r="CW12" s="139" t="s">
        <v>606</v>
      </c>
      <c r="CX12" s="140">
        <v>16.98</v>
      </c>
      <c r="CY12" s="140"/>
      <c r="CZ12" s="140"/>
      <c r="DA12" s="140"/>
      <c r="DB12" s="140">
        <v>993</v>
      </c>
      <c r="DC12" s="140"/>
    </row>
    <row r="13" spans="2:107" ht="11.25" customHeight="1" x14ac:dyDescent="0.15">
      <c r="B13" s="139" t="s">
        <v>577</v>
      </c>
      <c r="C13" s="140" t="s">
        <v>676</v>
      </c>
      <c r="D13" s="140">
        <v>8</v>
      </c>
      <c r="E13" s="139" t="s">
        <v>677</v>
      </c>
      <c r="F13" s="139" t="s">
        <v>618</v>
      </c>
      <c r="G13" s="140" t="s">
        <v>676</v>
      </c>
      <c r="H13" s="139" t="s">
        <v>678</v>
      </c>
      <c r="I13" s="140" t="s">
        <v>421</v>
      </c>
      <c r="J13" s="139" t="s">
        <v>582</v>
      </c>
      <c r="K13" s="139" t="s">
        <v>583</v>
      </c>
      <c r="L13" s="139" t="s">
        <v>583</v>
      </c>
      <c r="M13" s="139" t="s">
        <v>583</v>
      </c>
      <c r="N13" s="139" t="s">
        <v>441</v>
      </c>
      <c r="O13" s="139" t="s">
        <v>630</v>
      </c>
      <c r="P13" s="139" t="s">
        <v>583</v>
      </c>
      <c r="Q13" s="139" t="s">
        <v>583</v>
      </c>
      <c r="R13" s="140"/>
      <c r="S13" s="140"/>
      <c r="T13" s="140">
        <v>1</v>
      </c>
      <c r="U13" s="140">
        <v>160</v>
      </c>
      <c r="V13" s="139" t="s">
        <v>679</v>
      </c>
      <c r="W13" s="139" t="s">
        <v>680</v>
      </c>
      <c r="X13" s="139" t="s">
        <v>681</v>
      </c>
      <c r="Y13" s="139" t="s">
        <v>682</v>
      </c>
      <c r="Z13" s="139" t="s">
        <v>683</v>
      </c>
      <c r="AA13" s="139" t="s">
        <v>684</v>
      </c>
      <c r="AB13" s="139" t="s">
        <v>679</v>
      </c>
      <c r="AC13" s="139" t="s">
        <v>680</v>
      </c>
      <c r="AD13" s="139" t="s">
        <v>681</v>
      </c>
      <c r="AE13" s="139" t="s">
        <v>682</v>
      </c>
      <c r="AF13" s="139" t="s">
        <v>683</v>
      </c>
      <c r="AG13" s="139" t="s">
        <v>684</v>
      </c>
      <c r="AH13" s="139" t="s">
        <v>621</v>
      </c>
      <c r="AI13" s="139" t="s">
        <v>430</v>
      </c>
      <c r="AJ13" s="140">
        <v>5182670.4000000004</v>
      </c>
      <c r="AK13" s="139" t="s">
        <v>679</v>
      </c>
      <c r="AL13" s="139" t="s">
        <v>680</v>
      </c>
      <c r="AM13" s="139" t="s">
        <v>681</v>
      </c>
      <c r="AN13" s="139" t="s">
        <v>682</v>
      </c>
      <c r="AO13" s="139" t="s">
        <v>683</v>
      </c>
      <c r="AP13" s="139" t="s">
        <v>684</v>
      </c>
      <c r="AQ13" s="139" t="s">
        <v>621</v>
      </c>
      <c r="AR13" s="139" t="s">
        <v>430</v>
      </c>
      <c r="AS13" s="139" t="s">
        <v>430</v>
      </c>
      <c r="AT13" s="139" t="s">
        <v>593</v>
      </c>
      <c r="AU13" s="139" t="s">
        <v>437</v>
      </c>
      <c r="AV13" s="140"/>
      <c r="AW13" s="139" t="s">
        <v>594</v>
      </c>
      <c r="AX13" s="139" t="s">
        <v>622</v>
      </c>
      <c r="AY13" s="139" t="s">
        <v>623</v>
      </c>
      <c r="AZ13" s="140"/>
      <c r="BA13" s="139" t="s">
        <v>597</v>
      </c>
      <c r="BB13" s="140">
        <v>48000</v>
      </c>
      <c r="BC13" s="140"/>
      <c r="BD13" s="140"/>
      <c r="BE13" s="140">
        <v>107.9723</v>
      </c>
      <c r="BF13" s="139" t="s">
        <v>583</v>
      </c>
      <c r="BG13" s="139" t="s">
        <v>582</v>
      </c>
      <c r="BH13" s="139" t="s">
        <v>583</v>
      </c>
      <c r="BI13" s="139" t="s">
        <v>598</v>
      </c>
      <c r="BJ13" s="139" t="s">
        <v>624</v>
      </c>
      <c r="BK13" s="139" t="s">
        <v>583</v>
      </c>
      <c r="BL13" s="139" t="s">
        <v>583</v>
      </c>
      <c r="BM13" s="139" t="s">
        <v>583</v>
      </c>
      <c r="BN13" s="139" t="s">
        <v>583</v>
      </c>
      <c r="BO13" s="139" t="s">
        <v>583</v>
      </c>
      <c r="BP13" s="139" t="s">
        <v>583</v>
      </c>
      <c r="BQ13" s="139" t="s">
        <v>625</v>
      </c>
      <c r="BR13" s="140"/>
      <c r="BS13" s="139" t="s">
        <v>685</v>
      </c>
      <c r="BT13" s="99">
        <f t="shared" si="1"/>
        <v>0</v>
      </c>
      <c r="BU13" s="99">
        <f t="shared" si="0"/>
        <v>1</v>
      </c>
      <c r="BV13" s="99">
        <f t="shared" si="2"/>
        <v>1</v>
      </c>
      <c r="BW13" s="139" t="s">
        <v>635</v>
      </c>
      <c r="BX13" s="139" t="s">
        <v>441</v>
      </c>
      <c r="BY13" s="140">
        <v>160</v>
      </c>
      <c r="BZ13" s="140">
        <v>0</v>
      </c>
      <c r="CA13" s="99">
        <v>32000</v>
      </c>
      <c r="CB13" s="140" t="s">
        <v>603</v>
      </c>
      <c r="CC13" s="140"/>
      <c r="CD13" s="140"/>
      <c r="CE13" s="139" t="s">
        <v>577</v>
      </c>
      <c r="CF13" s="139" t="s">
        <v>604</v>
      </c>
      <c r="CG13" s="139" t="s">
        <v>583</v>
      </c>
      <c r="CH13" s="139" t="s">
        <v>583</v>
      </c>
      <c r="CI13" s="139" t="s">
        <v>621</v>
      </c>
      <c r="CJ13" s="140">
        <v>3200</v>
      </c>
      <c r="CK13" s="140" t="s">
        <v>605</v>
      </c>
      <c r="CL13" s="140">
        <v>4000000</v>
      </c>
      <c r="CM13" s="99">
        <v>2880</v>
      </c>
      <c r="CN13" s="140">
        <v>0</v>
      </c>
      <c r="CO13" s="139" t="s">
        <v>583</v>
      </c>
      <c r="CP13" s="139" t="s">
        <v>583</v>
      </c>
      <c r="CQ13" s="140">
        <v>48000</v>
      </c>
      <c r="CR13" s="140"/>
      <c r="CS13" s="140">
        <v>0</v>
      </c>
      <c r="CT13" s="140">
        <v>1</v>
      </c>
      <c r="CU13" s="140">
        <v>5182670.4000000004</v>
      </c>
      <c r="CV13" s="99">
        <v>52773.14</v>
      </c>
      <c r="CW13" s="139" t="s">
        <v>606</v>
      </c>
      <c r="CX13" s="140">
        <v>18.32</v>
      </c>
      <c r="CY13" s="140"/>
      <c r="CZ13" s="140"/>
      <c r="DA13" s="140"/>
      <c r="DB13" s="140">
        <v>724</v>
      </c>
      <c r="DC13" s="140"/>
    </row>
    <row r="14" spans="2:107" ht="11.25" customHeight="1" x14ac:dyDescent="0.15">
      <c r="B14" s="139" t="s">
        <v>577</v>
      </c>
      <c r="C14" s="140" t="s">
        <v>686</v>
      </c>
      <c r="D14" s="140">
        <v>8</v>
      </c>
      <c r="E14" s="139" t="s">
        <v>687</v>
      </c>
      <c r="F14" s="139" t="s">
        <v>618</v>
      </c>
      <c r="G14" s="140" t="s">
        <v>686</v>
      </c>
      <c r="H14" s="139" t="s">
        <v>688</v>
      </c>
      <c r="I14" s="140" t="s">
        <v>421</v>
      </c>
      <c r="J14" s="139" t="s">
        <v>582</v>
      </c>
      <c r="K14" s="139" t="s">
        <v>583</v>
      </c>
      <c r="L14" s="139" t="s">
        <v>583</v>
      </c>
      <c r="M14" s="139" t="s">
        <v>583</v>
      </c>
      <c r="N14" s="139" t="s">
        <v>689</v>
      </c>
      <c r="O14" s="139" t="s">
        <v>690</v>
      </c>
      <c r="P14" s="139" t="s">
        <v>583</v>
      </c>
      <c r="Q14" s="139" t="s">
        <v>583</v>
      </c>
      <c r="R14" s="140"/>
      <c r="S14" s="140"/>
      <c r="T14" s="140">
        <v>1</v>
      </c>
      <c r="U14" s="140">
        <v>380</v>
      </c>
      <c r="V14" s="139" t="s">
        <v>691</v>
      </c>
      <c r="W14" s="139" t="s">
        <v>692</v>
      </c>
      <c r="X14" s="139" t="s">
        <v>693</v>
      </c>
      <c r="Y14" s="139" t="s">
        <v>694</v>
      </c>
      <c r="Z14" s="139" t="s">
        <v>695</v>
      </c>
      <c r="AA14" s="139" t="s">
        <v>696</v>
      </c>
      <c r="AB14" s="139" t="s">
        <v>691</v>
      </c>
      <c r="AC14" s="139" t="s">
        <v>692</v>
      </c>
      <c r="AD14" s="139" t="s">
        <v>693</v>
      </c>
      <c r="AE14" s="139" t="s">
        <v>694</v>
      </c>
      <c r="AF14" s="139" t="s">
        <v>695</v>
      </c>
      <c r="AG14" s="139" t="s">
        <v>696</v>
      </c>
      <c r="AH14" s="139" t="s">
        <v>621</v>
      </c>
      <c r="AI14" s="139" t="s">
        <v>430</v>
      </c>
      <c r="AJ14" s="140">
        <v>12965313.779999999</v>
      </c>
      <c r="AK14" s="139" t="s">
        <v>691</v>
      </c>
      <c r="AL14" s="139" t="s">
        <v>692</v>
      </c>
      <c r="AM14" s="139" t="s">
        <v>693</v>
      </c>
      <c r="AN14" s="139" t="s">
        <v>694</v>
      </c>
      <c r="AO14" s="139" t="s">
        <v>695</v>
      </c>
      <c r="AP14" s="139" t="s">
        <v>696</v>
      </c>
      <c r="AQ14" s="139" t="s">
        <v>621</v>
      </c>
      <c r="AR14" s="139" t="s">
        <v>430</v>
      </c>
      <c r="AS14" s="139" t="s">
        <v>430</v>
      </c>
      <c r="AT14" s="139" t="s">
        <v>593</v>
      </c>
      <c r="AU14" s="139" t="s">
        <v>437</v>
      </c>
      <c r="AV14" s="140"/>
      <c r="AW14" s="139" t="s">
        <v>594</v>
      </c>
      <c r="AX14" s="139" t="s">
        <v>622</v>
      </c>
      <c r="AY14" s="139" t="s">
        <v>623</v>
      </c>
      <c r="AZ14" s="140"/>
      <c r="BA14" s="139" t="s">
        <v>597</v>
      </c>
      <c r="BB14" s="140">
        <v>120080</v>
      </c>
      <c r="BC14" s="140"/>
      <c r="BD14" s="140"/>
      <c r="BE14" s="140">
        <v>107.9723</v>
      </c>
      <c r="BF14" s="139" t="s">
        <v>583</v>
      </c>
      <c r="BG14" s="139" t="s">
        <v>582</v>
      </c>
      <c r="BH14" s="139" t="s">
        <v>583</v>
      </c>
      <c r="BI14" s="139" t="s">
        <v>598</v>
      </c>
      <c r="BJ14" s="139" t="s">
        <v>624</v>
      </c>
      <c r="BK14" s="139" t="s">
        <v>583</v>
      </c>
      <c r="BL14" s="139" t="s">
        <v>583</v>
      </c>
      <c r="BM14" s="139" t="s">
        <v>583</v>
      </c>
      <c r="BN14" s="139" t="s">
        <v>583</v>
      </c>
      <c r="BO14" s="139" t="s">
        <v>583</v>
      </c>
      <c r="BP14" s="139" t="s">
        <v>583</v>
      </c>
      <c r="BQ14" s="139" t="s">
        <v>625</v>
      </c>
      <c r="BR14" s="140"/>
      <c r="BS14" s="139" t="s">
        <v>697</v>
      </c>
      <c r="BT14" s="99">
        <f t="shared" si="1"/>
        <v>0</v>
      </c>
      <c r="BU14" s="99">
        <f t="shared" si="0"/>
        <v>0</v>
      </c>
      <c r="BV14" s="99">
        <f t="shared" si="2"/>
        <v>0</v>
      </c>
      <c r="BW14" s="139" t="s">
        <v>446</v>
      </c>
      <c r="BX14" s="139" t="s">
        <v>635</v>
      </c>
      <c r="BY14" s="140">
        <v>380</v>
      </c>
      <c r="BZ14" s="140">
        <v>0</v>
      </c>
      <c r="CA14" s="99">
        <v>76000</v>
      </c>
      <c r="CB14" s="140" t="s">
        <v>603</v>
      </c>
      <c r="CC14" s="140"/>
      <c r="CD14" s="140"/>
      <c r="CE14" s="139" t="s">
        <v>577</v>
      </c>
      <c r="CF14" s="139" t="s">
        <v>604</v>
      </c>
      <c r="CG14" s="139" t="s">
        <v>583</v>
      </c>
      <c r="CH14" s="139" t="s">
        <v>583</v>
      </c>
      <c r="CI14" s="139" t="s">
        <v>621</v>
      </c>
      <c r="CJ14" s="140">
        <v>7790</v>
      </c>
      <c r="CK14" s="140" t="s">
        <v>605</v>
      </c>
      <c r="CL14" s="140">
        <v>4000000</v>
      </c>
      <c r="CM14" s="99">
        <v>6840</v>
      </c>
      <c r="CN14" s="140">
        <v>0</v>
      </c>
      <c r="CO14" s="139" t="s">
        <v>583</v>
      </c>
      <c r="CP14" s="139" t="s">
        <v>583</v>
      </c>
      <c r="CQ14" s="140">
        <v>120080</v>
      </c>
      <c r="CR14" s="140"/>
      <c r="CS14" s="140">
        <v>0</v>
      </c>
      <c r="CT14" s="140">
        <v>1</v>
      </c>
      <c r="CU14" s="140">
        <v>12965313.779999999</v>
      </c>
      <c r="CV14" s="99">
        <v>132020.79999999999</v>
      </c>
      <c r="CW14" s="139" t="s">
        <v>606</v>
      </c>
      <c r="CX14" s="140">
        <v>19.3</v>
      </c>
      <c r="CY14" s="140"/>
      <c r="CZ14" s="140"/>
      <c r="DA14" s="140"/>
      <c r="DB14" s="140">
        <v>786</v>
      </c>
      <c r="DC14" s="140"/>
    </row>
    <row r="15" spans="2:107" ht="11.25" customHeight="1" x14ac:dyDescent="0.15">
      <c r="B15" s="139" t="s">
        <v>577</v>
      </c>
      <c r="C15" s="140" t="s">
        <v>686</v>
      </c>
      <c r="D15" s="140">
        <v>8</v>
      </c>
      <c r="E15" s="139" t="s">
        <v>698</v>
      </c>
      <c r="F15" s="139" t="s">
        <v>618</v>
      </c>
      <c r="G15" s="140" t="s">
        <v>686</v>
      </c>
      <c r="H15" s="139" t="s">
        <v>699</v>
      </c>
      <c r="I15" s="140" t="s">
        <v>421</v>
      </c>
      <c r="J15" s="139" t="s">
        <v>582</v>
      </c>
      <c r="K15" s="139" t="s">
        <v>583</v>
      </c>
      <c r="L15" s="139" t="s">
        <v>583</v>
      </c>
      <c r="M15" s="139" t="s">
        <v>583</v>
      </c>
      <c r="N15" s="139" t="s">
        <v>650</v>
      </c>
      <c r="O15" s="139" t="s">
        <v>651</v>
      </c>
      <c r="P15" s="139" t="s">
        <v>583</v>
      </c>
      <c r="Q15" s="139" t="s">
        <v>583</v>
      </c>
      <c r="R15" s="140"/>
      <c r="S15" s="140"/>
      <c r="T15" s="140">
        <v>1</v>
      </c>
      <c r="U15" s="140">
        <v>223</v>
      </c>
      <c r="V15" s="139" t="s">
        <v>586</v>
      </c>
      <c r="W15" s="139" t="s">
        <v>587</v>
      </c>
      <c r="X15" s="139" t="s">
        <v>588</v>
      </c>
      <c r="Y15" s="139" t="s">
        <v>589</v>
      </c>
      <c r="Z15" s="139" t="s">
        <v>590</v>
      </c>
      <c r="AA15" s="139" t="s">
        <v>591</v>
      </c>
      <c r="AB15" s="139" t="s">
        <v>586</v>
      </c>
      <c r="AC15" s="139" t="s">
        <v>587</v>
      </c>
      <c r="AD15" s="139" t="s">
        <v>588</v>
      </c>
      <c r="AE15" s="139" t="s">
        <v>589</v>
      </c>
      <c r="AF15" s="139" t="s">
        <v>590</v>
      </c>
      <c r="AG15" s="139" t="s">
        <v>591</v>
      </c>
      <c r="AH15" s="139" t="s">
        <v>652</v>
      </c>
      <c r="AI15" s="139" t="s">
        <v>431</v>
      </c>
      <c r="AJ15" s="140">
        <v>32250030.34</v>
      </c>
      <c r="AK15" s="139" t="s">
        <v>586</v>
      </c>
      <c r="AL15" s="139" t="s">
        <v>587</v>
      </c>
      <c r="AM15" s="139" t="s">
        <v>588</v>
      </c>
      <c r="AN15" s="139" t="s">
        <v>589</v>
      </c>
      <c r="AO15" s="139" t="s">
        <v>590</v>
      </c>
      <c r="AP15" s="139" t="s">
        <v>591</v>
      </c>
      <c r="AQ15" s="139" t="s">
        <v>652</v>
      </c>
      <c r="AR15" s="139" t="s">
        <v>431</v>
      </c>
      <c r="AS15" s="139" t="s">
        <v>431</v>
      </c>
      <c r="AT15" s="139" t="s">
        <v>593</v>
      </c>
      <c r="AU15" s="139" t="s">
        <v>437</v>
      </c>
      <c r="AV15" s="140"/>
      <c r="AW15" s="139" t="s">
        <v>594</v>
      </c>
      <c r="AX15" s="139" t="s">
        <v>653</v>
      </c>
      <c r="AY15" s="139" t="s">
        <v>623</v>
      </c>
      <c r="AZ15" s="140"/>
      <c r="BA15" s="139" t="s">
        <v>597</v>
      </c>
      <c r="BB15" s="140">
        <v>298688</v>
      </c>
      <c r="BC15" s="140"/>
      <c r="BD15" s="140"/>
      <c r="BE15" s="140">
        <v>107.9723</v>
      </c>
      <c r="BF15" s="139" t="s">
        <v>583</v>
      </c>
      <c r="BG15" s="139" t="s">
        <v>582</v>
      </c>
      <c r="BH15" s="139" t="s">
        <v>583</v>
      </c>
      <c r="BI15" s="139" t="s">
        <v>598</v>
      </c>
      <c r="BJ15" s="139" t="s">
        <v>624</v>
      </c>
      <c r="BK15" s="139" t="s">
        <v>583</v>
      </c>
      <c r="BL15" s="139" t="s">
        <v>583</v>
      </c>
      <c r="BM15" s="139" t="s">
        <v>583</v>
      </c>
      <c r="BN15" s="139" t="s">
        <v>583</v>
      </c>
      <c r="BO15" s="139" t="s">
        <v>583</v>
      </c>
      <c r="BP15" s="139" t="s">
        <v>583</v>
      </c>
      <c r="BQ15" s="139" t="s">
        <v>625</v>
      </c>
      <c r="BR15" s="140"/>
      <c r="BS15" s="139" t="s">
        <v>654</v>
      </c>
      <c r="BT15" s="99">
        <f t="shared" si="1"/>
        <v>0</v>
      </c>
      <c r="BU15" s="99">
        <f t="shared" si="0"/>
        <v>1</v>
      </c>
      <c r="BV15" s="99">
        <f t="shared" si="2"/>
        <v>1</v>
      </c>
      <c r="BW15" s="139" t="s">
        <v>655</v>
      </c>
      <c r="BX15" s="139" t="s">
        <v>656</v>
      </c>
      <c r="BY15" s="140">
        <v>223</v>
      </c>
      <c r="BZ15" s="140">
        <v>0</v>
      </c>
      <c r="CA15" s="99">
        <v>44600</v>
      </c>
      <c r="CB15" s="140" t="s">
        <v>603</v>
      </c>
      <c r="CC15" s="140"/>
      <c r="CD15" s="140"/>
      <c r="CE15" s="139" t="s">
        <v>577</v>
      </c>
      <c r="CF15" s="139" t="s">
        <v>604</v>
      </c>
      <c r="CG15" s="139" t="s">
        <v>583</v>
      </c>
      <c r="CH15" s="139" t="s">
        <v>583</v>
      </c>
      <c r="CI15" s="139" t="s">
        <v>652</v>
      </c>
      <c r="CJ15" s="140">
        <v>4683</v>
      </c>
      <c r="CK15" s="140" t="s">
        <v>657</v>
      </c>
      <c r="CL15" s="140">
        <v>4000000</v>
      </c>
      <c r="CM15" s="99">
        <v>4460</v>
      </c>
      <c r="CN15" s="140">
        <v>0</v>
      </c>
      <c r="CO15" s="139" t="s">
        <v>583</v>
      </c>
      <c r="CP15" s="139" t="s">
        <v>583</v>
      </c>
      <c r="CQ15" s="140">
        <v>298688</v>
      </c>
      <c r="CR15" s="140"/>
      <c r="CS15" s="140">
        <v>0</v>
      </c>
      <c r="CT15" s="140">
        <v>1</v>
      </c>
      <c r="CU15" s="140">
        <v>32250030.34</v>
      </c>
      <c r="CV15" s="99">
        <v>328389.64</v>
      </c>
      <c r="CW15" s="139" t="s">
        <v>606</v>
      </c>
      <c r="CX15" s="140">
        <v>73.63</v>
      </c>
      <c r="CY15" s="140"/>
      <c r="CZ15" s="140"/>
      <c r="DA15" s="140"/>
      <c r="DB15" s="140">
        <v>473</v>
      </c>
      <c r="DC15" s="140"/>
    </row>
    <row r="16" spans="2:107" ht="11.25" customHeight="1" x14ac:dyDescent="0.15">
      <c r="B16" s="139" t="s">
        <v>577</v>
      </c>
      <c r="C16" s="140" t="s">
        <v>700</v>
      </c>
      <c r="D16" s="140">
        <v>8</v>
      </c>
      <c r="E16" s="139" t="s">
        <v>701</v>
      </c>
      <c r="F16" s="139" t="s">
        <v>618</v>
      </c>
      <c r="G16" s="140" t="s">
        <v>700</v>
      </c>
      <c r="H16" s="139" t="s">
        <v>702</v>
      </c>
      <c r="I16" s="140" t="s">
        <v>421</v>
      </c>
      <c r="J16" s="139" t="s">
        <v>582</v>
      </c>
      <c r="K16" s="139" t="s">
        <v>583</v>
      </c>
      <c r="L16" s="139" t="s">
        <v>583</v>
      </c>
      <c r="M16" s="139" t="s">
        <v>583</v>
      </c>
      <c r="N16" s="139" t="s">
        <v>689</v>
      </c>
      <c r="O16" s="139" t="s">
        <v>690</v>
      </c>
      <c r="P16" s="139" t="s">
        <v>583</v>
      </c>
      <c r="Q16" s="139" t="s">
        <v>583</v>
      </c>
      <c r="R16" s="140"/>
      <c r="S16" s="140"/>
      <c r="T16" s="140">
        <v>1</v>
      </c>
      <c r="U16" s="140">
        <v>380</v>
      </c>
      <c r="V16" s="139" t="s">
        <v>691</v>
      </c>
      <c r="W16" s="139" t="s">
        <v>692</v>
      </c>
      <c r="X16" s="139" t="s">
        <v>693</v>
      </c>
      <c r="Y16" s="139" t="s">
        <v>694</v>
      </c>
      <c r="Z16" s="139" t="s">
        <v>695</v>
      </c>
      <c r="AA16" s="139" t="s">
        <v>696</v>
      </c>
      <c r="AB16" s="139" t="s">
        <v>691</v>
      </c>
      <c r="AC16" s="139" t="s">
        <v>692</v>
      </c>
      <c r="AD16" s="139" t="s">
        <v>693</v>
      </c>
      <c r="AE16" s="139" t="s">
        <v>694</v>
      </c>
      <c r="AF16" s="139" t="s">
        <v>695</v>
      </c>
      <c r="AG16" s="139" t="s">
        <v>696</v>
      </c>
      <c r="AH16" s="139" t="s">
        <v>621</v>
      </c>
      <c r="AI16" s="139" t="s">
        <v>430</v>
      </c>
      <c r="AJ16" s="140">
        <v>12835315.18</v>
      </c>
      <c r="AK16" s="139" t="s">
        <v>691</v>
      </c>
      <c r="AL16" s="139" t="s">
        <v>692</v>
      </c>
      <c r="AM16" s="139" t="s">
        <v>693</v>
      </c>
      <c r="AN16" s="139" t="s">
        <v>694</v>
      </c>
      <c r="AO16" s="139" t="s">
        <v>695</v>
      </c>
      <c r="AP16" s="139" t="s">
        <v>696</v>
      </c>
      <c r="AQ16" s="139" t="s">
        <v>621</v>
      </c>
      <c r="AR16" s="139" t="s">
        <v>430</v>
      </c>
      <c r="AS16" s="139" t="s">
        <v>430</v>
      </c>
      <c r="AT16" s="139" t="s">
        <v>593</v>
      </c>
      <c r="AU16" s="139" t="s">
        <v>437</v>
      </c>
      <c r="AV16" s="140"/>
      <c r="AW16" s="139" t="s">
        <v>594</v>
      </c>
      <c r="AX16" s="139" t="s">
        <v>622</v>
      </c>
      <c r="AY16" s="139" t="s">
        <v>623</v>
      </c>
      <c r="AZ16" s="140"/>
      <c r="BA16" s="139" t="s">
        <v>597</v>
      </c>
      <c r="BB16" s="140">
        <v>120080</v>
      </c>
      <c r="BC16" s="140"/>
      <c r="BD16" s="140"/>
      <c r="BE16" s="140">
        <v>106.8897</v>
      </c>
      <c r="BF16" s="139" t="s">
        <v>583</v>
      </c>
      <c r="BG16" s="139" t="s">
        <v>582</v>
      </c>
      <c r="BH16" s="139" t="s">
        <v>583</v>
      </c>
      <c r="BI16" s="139" t="s">
        <v>598</v>
      </c>
      <c r="BJ16" s="139" t="s">
        <v>624</v>
      </c>
      <c r="BK16" s="139" t="s">
        <v>583</v>
      </c>
      <c r="BL16" s="139" t="s">
        <v>583</v>
      </c>
      <c r="BM16" s="139" t="s">
        <v>583</v>
      </c>
      <c r="BN16" s="139" t="s">
        <v>583</v>
      </c>
      <c r="BO16" s="139" t="s">
        <v>583</v>
      </c>
      <c r="BP16" s="139" t="s">
        <v>583</v>
      </c>
      <c r="BQ16" s="139" t="s">
        <v>625</v>
      </c>
      <c r="BR16" s="140"/>
      <c r="BS16" s="139" t="s">
        <v>697</v>
      </c>
      <c r="BT16" s="99">
        <f t="shared" si="1"/>
        <v>0</v>
      </c>
      <c r="BU16" s="99">
        <f t="shared" si="0"/>
        <v>0</v>
      </c>
      <c r="BV16" s="99">
        <f t="shared" si="2"/>
        <v>0</v>
      </c>
      <c r="BW16" s="139" t="s">
        <v>446</v>
      </c>
      <c r="BX16" s="139" t="s">
        <v>635</v>
      </c>
      <c r="BY16" s="140">
        <v>380</v>
      </c>
      <c r="BZ16" s="140">
        <v>0</v>
      </c>
      <c r="CA16" s="99">
        <v>76000</v>
      </c>
      <c r="CB16" s="140" t="s">
        <v>603</v>
      </c>
      <c r="CC16" s="140"/>
      <c r="CD16" s="140"/>
      <c r="CE16" s="139" t="s">
        <v>577</v>
      </c>
      <c r="CF16" s="139" t="s">
        <v>604</v>
      </c>
      <c r="CG16" s="139" t="s">
        <v>583</v>
      </c>
      <c r="CH16" s="139" t="s">
        <v>583</v>
      </c>
      <c r="CI16" s="139" t="s">
        <v>583</v>
      </c>
      <c r="CJ16" s="140">
        <v>7600</v>
      </c>
      <c r="CK16" s="140" t="s">
        <v>605</v>
      </c>
      <c r="CL16" s="140">
        <v>4000000</v>
      </c>
      <c r="CM16" s="99">
        <v>6840</v>
      </c>
      <c r="CN16" s="140">
        <v>0</v>
      </c>
      <c r="CO16" s="139" t="s">
        <v>583</v>
      </c>
      <c r="CP16" s="139" t="s">
        <v>583</v>
      </c>
      <c r="CQ16" s="140">
        <v>120080</v>
      </c>
      <c r="CR16" s="140"/>
      <c r="CS16" s="140">
        <v>0</v>
      </c>
      <c r="CT16" s="140">
        <v>1</v>
      </c>
      <c r="CU16" s="140">
        <v>12835315.18</v>
      </c>
      <c r="CV16" s="99">
        <v>131779.54999999999</v>
      </c>
      <c r="CW16" s="139" t="s">
        <v>606</v>
      </c>
      <c r="CX16" s="140">
        <v>19.27</v>
      </c>
      <c r="CY16" s="140"/>
      <c r="CZ16" s="140"/>
      <c r="DA16" s="140"/>
      <c r="DB16" s="140">
        <v>708</v>
      </c>
      <c r="DC16" s="140"/>
    </row>
    <row r="17" spans="2:107" ht="11.25" customHeight="1" x14ac:dyDescent="0.15">
      <c r="B17" s="139" t="s">
        <v>577</v>
      </c>
      <c r="C17" s="140" t="s">
        <v>607</v>
      </c>
      <c r="D17" s="140">
        <v>8</v>
      </c>
      <c r="E17" s="139" t="s">
        <v>703</v>
      </c>
      <c r="F17" s="139" t="s">
        <v>618</v>
      </c>
      <c r="G17" s="140" t="s">
        <v>607</v>
      </c>
      <c r="H17" s="139" t="s">
        <v>704</v>
      </c>
      <c r="I17" s="140" t="s">
        <v>421</v>
      </c>
      <c r="J17" s="139" t="s">
        <v>582</v>
      </c>
      <c r="K17" s="139" t="s">
        <v>583</v>
      </c>
      <c r="L17" s="139" t="s">
        <v>583</v>
      </c>
      <c r="M17" s="139" t="s">
        <v>583</v>
      </c>
      <c r="N17" s="139" t="s">
        <v>441</v>
      </c>
      <c r="O17" s="139" t="s">
        <v>639</v>
      </c>
      <c r="P17" s="139" t="s">
        <v>583</v>
      </c>
      <c r="Q17" s="139" t="s">
        <v>583</v>
      </c>
      <c r="R17" s="140"/>
      <c r="S17" s="140"/>
      <c r="T17" s="140">
        <v>1</v>
      </c>
      <c r="U17" s="140">
        <v>120</v>
      </c>
      <c r="V17" s="139" t="s">
        <v>640</v>
      </c>
      <c r="W17" s="139" t="s">
        <v>641</v>
      </c>
      <c r="X17" s="139" t="s">
        <v>642</v>
      </c>
      <c r="Y17" s="139" t="s">
        <v>643</v>
      </c>
      <c r="Z17" s="139" t="s">
        <v>644</v>
      </c>
      <c r="AA17" s="139" t="s">
        <v>645</v>
      </c>
      <c r="AB17" s="139" t="s">
        <v>640</v>
      </c>
      <c r="AC17" s="139" t="s">
        <v>641</v>
      </c>
      <c r="AD17" s="139" t="s">
        <v>642</v>
      </c>
      <c r="AE17" s="139" t="s">
        <v>643</v>
      </c>
      <c r="AF17" s="139" t="s">
        <v>644</v>
      </c>
      <c r="AG17" s="139" t="s">
        <v>645</v>
      </c>
      <c r="AH17" s="139" t="s">
        <v>621</v>
      </c>
      <c r="AI17" s="139" t="s">
        <v>430</v>
      </c>
      <c r="AJ17" s="140">
        <v>3788006.59</v>
      </c>
      <c r="AK17" s="139" t="s">
        <v>640</v>
      </c>
      <c r="AL17" s="139" t="s">
        <v>641</v>
      </c>
      <c r="AM17" s="139" t="s">
        <v>642</v>
      </c>
      <c r="AN17" s="139" t="s">
        <v>643</v>
      </c>
      <c r="AO17" s="139" t="s">
        <v>644</v>
      </c>
      <c r="AP17" s="139" t="s">
        <v>645</v>
      </c>
      <c r="AQ17" s="139" t="s">
        <v>621</v>
      </c>
      <c r="AR17" s="139" t="s">
        <v>430</v>
      </c>
      <c r="AS17" s="139" t="s">
        <v>430</v>
      </c>
      <c r="AT17" s="139" t="s">
        <v>593</v>
      </c>
      <c r="AU17" s="139" t="s">
        <v>437</v>
      </c>
      <c r="AV17" s="140"/>
      <c r="AW17" s="139" t="s">
        <v>594</v>
      </c>
      <c r="AX17" s="139" t="s">
        <v>622</v>
      </c>
      <c r="AY17" s="139" t="s">
        <v>646</v>
      </c>
      <c r="AZ17" s="140"/>
      <c r="BA17" s="139" t="s">
        <v>597</v>
      </c>
      <c r="BB17" s="140">
        <v>36480</v>
      </c>
      <c r="BC17" s="140"/>
      <c r="BD17" s="140"/>
      <c r="BE17" s="140">
        <v>103.8379</v>
      </c>
      <c r="BF17" s="139" t="s">
        <v>583</v>
      </c>
      <c r="BG17" s="139" t="s">
        <v>582</v>
      </c>
      <c r="BH17" s="139" t="s">
        <v>583</v>
      </c>
      <c r="BI17" s="139" t="s">
        <v>598</v>
      </c>
      <c r="BJ17" s="139" t="s">
        <v>610</v>
      </c>
      <c r="BK17" s="139" t="s">
        <v>583</v>
      </c>
      <c r="BL17" s="139" t="s">
        <v>583</v>
      </c>
      <c r="BM17" s="139" t="s">
        <v>583</v>
      </c>
      <c r="BN17" s="139" t="s">
        <v>583</v>
      </c>
      <c r="BO17" s="139" t="s">
        <v>583</v>
      </c>
      <c r="BP17" s="139" t="s">
        <v>583</v>
      </c>
      <c r="BQ17" s="139" t="s">
        <v>625</v>
      </c>
      <c r="BR17" s="140"/>
      <c r="BS17" s="139" t="s">
        <v>705</v>
      </c>
      <c r="BT17" s="99">
        <f t="shared" si="1"/>
        <v>0</v>
      </c>
      <c r="BU17" s="99">
        <f t="shared" si="0"/>
        <v>0</v>
      </c>
      <c r="BV17" s="99">
        <f t="shared" si="2"/>
        <v>0</v>
      </c>
      <c r="BW17" s="139" t="s">
        <v>446</v>
      </c>
      <c r="BX17" s="139" t="s">
        <v>441</v>
      </c>
      <c r="BY17" s="140">
        <v>120</v>
      </c>
      <c r="BZ17" s="140"/>
      <c r="CA17" s="99">
        <v>24000</v>
      </c>
      <c r="CB17" s="140" t="s">
        <v>603</v>
      </c>
      <c r="CC17" s="140"/>
      <c r="CD17" s="140"/>
      <c r="CE17" s="139" t="s">
        <v>577</v>
      </c>
      <c r="CF17" s="139" t="s">
        <v>604</v>
      </c>
      <c r="CG17" s="139" t="s">
        <v>583</v>
      </c>
      <c r="CH17" s="139" t="s">
        <v>583</v>
      </c>
      <c r="CI17" s="139" t="s">
        <v>621</v>
      </c>
      <c r="CJ17" s="140">
        <v>2502</v>
      </c>
      <c r="CK17" s="140" t="s">
        <v>605</v>
      </c>
      <c r="CL17" s="140">
        <v>4000000</v>
      </c>
      <c r="CM17" s="99">
        <v>2160</v>
      </c>
      <c r="CN17" s="140">
        <v>0</v>
      </c>
      <c r="CO17" s="139" t="s">
        <v>583</v>
      </c>
      <c r="CP17" s="139" t="s">
        <v>583</v>
      </c>
      <c r="CQ17" s="140">
        <v>36480</v>
      </c>
      <c r="CR17" s="140"/>
      <c r="CS17" s="140"/>
      <c r="CT17" s="140"/>
      <c r="CU17" s="140">
        <v>3788006.59</v>
      </c>
      <c r="CV17" s="99">
        <v>39954.67</v>
      </c>
      <c r="CW17" s="139" t="s">
        <v>606</v>
      </c>
      <c r="CX17" s="140">
        <v>18.5</v>
      </c>
      <c r="CY17" s="140"/>
      <c r="CZ17" s="140"/>
      <c r="DA17" s="140"/>
      <c r="DB17" s="140">
        <v>789</v>
      </c>
      <c r="DC17" s="140"/>
    </row>
    <row r="18" spans="2:107" ht="11.25" customHeight="1" x14ac:dyDescent="0.15">
      <c r="B18" s="139" t="s">
        <v>577</v>
      </c>
      <c r="C18" s="140" t="s">
        <v>607</v>
      </c>
      <c r="D18" s="140">
        <v>8</v>
      </c>
      <c r="E18" s="139" t="s">
        <v>706</v>
      </c>
      <c r="F18" s="139" t="s">
        <v>618</v>
      </c>
      <c r="G18" s="140" t="s">
        <v>607</v>
      </c>
      <c r="H18" s="139" t="s">
        <v>707</v>
      </c>
      <c r="I18" s="140" t="s">
        <v>421</v>
      </c>
      <c r="J18" s="139" t="s">
        <v>582</v>
      </c>
      <c r="K18" s="139" t="s">
        <v>583</v>
      </c>
      <c r="L18" s="139" t="s">
        <v>583</v>
      </c>
      <c r="M18" s="139" t="s">
        <v>583</v>
      </c>
      <c r="N18" s="139" t="s">
        <v>660</v>
      </c>
      <c r="O18" s="139" t="s">
        <v>708</v>
      </c>
      <c r="P18" s="139" t="s">
        <v>583</v>
      </c>
      <c r="Q18" s="139" t="s">
        <v>583</v>
      </c>
      <c r="R18" s="140"/>
      <c r="S18" s="140"/>
      <c r="T18" s="140">
        <v>1</v>
      </c>
      <c r="U18" s="140">
        <v>55</v>
      </c>
      <c r="V18" s="139" t="s">
        <v>709</v>
      </c>
      <c r="W18" s="139" t="s">
        <v>710</v>
      </c>
      <c r="X18" s="139" t="s">
        <v>711</v>
      </c>
      <c r="Y18" s="139" t="s">
        <v>712</v>
      </c>
      <c r="Z18" s="139" t="s">
        <v>713</v>
      </c>
      <c r="AA18" s="139" t="s">
        <v>714</v>
      </c>
      <c r="AB18" s="139" t="s">
        <v>709</v>
      </c>
      <c r="AC18" s="139" t="s">
        <v>710</v>
      </c>
      <c r="AD18" s="139" t="s">
        <v>711</v>
      </c>
      <c r="AE18" s="139" t="s">
        <v>712</v>
      </c>
      <c r="AF18" s="139" t="s">
        <v>713</v>
      </c>
      <c r="AG18" s="139" t="s">
        <v>714</v>
      </c>
      <c r="AH18" s="139" t="s">
        <v>621</v>
      </c>
      <c r="AI18" s="139" t="s">
        <v>430</v>
      </c>
      <c r="AJ18" s="140">
        <v>1770436.2</v>
      </c>
      <c r="AK18" s="139" t="s">
        <v>709</v>
      </c>
      <c r="AL18" s="139" t="s">
        <v>710</v>
      </c>
      <c r="AM18" s="139" t="s">
        <v>711</v>
      </c>
      <c r="AN18" s="139" t="s">
        <v>712</v>
      </c>
      <c r="AO18" s="139" t="s">
        <v>713</v>
      </c>
      <c r="AP18" s="139" t="s">
        <v>714</v>
      </c>
      <c r="AQ18" s="139" t="s">
        <v>621</v>
      </c>
      <c r="AR18" s="139" t="s">
        <v>430</v>
      </c>
      <c r="AS18" s="139" t="s">
        <v>430</v>
      </c>
      <c r="AT18" s="139" t="s">
        <v>593</v>
      </c>
      <c r="AU18" s="139" t="s">
        <v>437</v>
      </c>
      <c r="AV18" s="140"/>
      <c r="AW18" s="139" t="s">
        <v>594</v>
      </c>
      <c r="AX18" s="139" t="s">
        <v>622</v>
      </c>
      <c r="AY18" s="139" t="s">
        <v>623</v>
      </c>
      <c r="AZ18" s="140"/>
      <c r="BA18" s="139" t="s">
        <v>597</v>
      </c>
      <c r="BB18" s="140">
        <v>17050</v>
      </c>
      <c r="BC18" s="140"/>
      <c r="BD18" s="140"/>
      <c r="BE18" s="140">
        <v>103.8379</v>
      </c>
      <c r="BF18" s="139" t="s">
        <v>583</v>
      </c>
      <c r="BG18" s="139" t="s">
        <v>582</v>
      </c>
      <c r="BH18" s="139" t="s">
        <v>583</v>
      </c>
      <c r="BI18" s="139" t="s">
        <v>598</v>
      </c>
      <c r="BJ18" s="139" t="s">
        <v>610</v>
      </c>
      <c r="BK18" s="139" t="s">
        <v>583</v>
      </c>
      <c r="BL18" s="139" t="s">
        <v>583</v>
      </c>
      <c r="BM18" s="139" t="s">
        <v>583</v>
      </c>
      <c r="BN18" s="139" t="s">
        <v>583</v>
      </c>
      <c r="BO18" s="139" t="s">
        <v>583</v>
      </c>
      <c r="BP18" s="139" t="s">
        <v>583</v>
      </c>
      <c r="BQ18" s="139" t="s">
        <v>625</v>
      </c>
      <c r="BR18" s="140"/>
      <c r="BS18" s="139" t="s">
        <v>715</v>
      </c>
      <c r="BT18" s="99">
        <f t="shared" si="1"/>
        <v>0</v>
      </c>
      <c r="BU18" s="99">
        <f t="shared" si="0"/>
        <v>1</v>
      </c>
      <c r="BV18" s="99">
        <f t="shared" si="2"/>
        <v>1</v>
      </c>
      <c r="BW18" s="139" t="s">
        <v>635</v>
      </c>
      <c r="BX18" s="139" t="s">
        <v>441</v>
      </c>
      <c r="BY18" s="140">
        <v>55</v>
      </c>
      <c r="BZ18" s="140"/>
      <c r="CA18" s="99">
        <v>11000</v>
      </c>
      <c r="CB18" s="140" t="s">
        <v>603</v>
      </c>
      <c r="CC18" s="140"/>
      <c r="CD18" s="140"/>
      <c r="CE18" s="139" t="s">
        <v>577</v>
      </c>
      <c r="CF18" s="139" t="s">
        <v>604</v>
      </c>
      <c r="CG18" s="139" t="s">
        <v>583</v>
      </c>
      <c r="CH18" s="139" t="s">
        <v>583</v>
      </c>
      <c r="CI18" s="139" t="s">
        <v>621</v>
      </c>
      <c r="CJ18" s="140">
        <v>1158</v>
      </c>
      <c r="CK18" s="140" t="s">
        <v>605</v>
      </c>
      <c r="CL18" s="140">
        <v>4000000</v>
      </c>
      <c r="CM18" s="99">
        <v>990</v>
      </c>
      <c r="CN18" s="140">
        <v>0</v>
      </c>
      <c r="CO18" s="139" t="s">
        <v>583</v>
      </c>
      <c r="CP18" s="139" t="s">
        <v>583</v>
      </c>
      <c r="CQ18" s="140">
        <v>17050</v>
      </c>
      <c r="CR18" s="140"/>
      <c r="CS18" s="140"/>
      <c r="CT18" s="140"/>
      <c r="CU18" s="140">
        <v>1770436.2</v>
      </c>
      <c r="CV18" s="99">
        <v>18673.990000000002</v>
      </c>
      <c r="CW18" s="139" t="s">
        <v>606</v>
      </c>
      <c r="CX18" s="140">
        <v>18.86</v>
      </c>
      <c r="CY18" s="140"/>
      <c r="CZ18" s="140"/>
      <c r="DA18" s="140"/>
      <c r="DB18" s="140">
        <v>1146</v>
      </c>
      <c r="DC18" s="140"/>
    </row>
    <row r="19" spans="2:107" ht="11.25" customHeight="1" x14ac:dyDescent="0.15">
      <c r="B19" s="139" t="s">
        <v>577</v>
      </c>
      <c r="C19" s="140" t="s">
        <v>716</v>
      </c>
      <c r="D19" s="140">
        <v>8</v>
      </c>
      <c r="E19" s="139" t="s">
        <v>717</v>
      </c>
      <c r="F19" s="139" t="s">
        <v>718</v>
      </c>
      <c r="G19" s="140" t="s">
        <v>716</v>
      </c>
      <c r="H19" s="139" t="s">
        <v>719</v>
      </c>
      <c r="I19" s="140" t="s">
        <v>421</v>
      </c>
      <c r="J19" s="139" t="s">
        <v>582</v>
      </c>
      <c r="K19" s="139" t="s">
        <v>583</v>
      </c>
      <c r="L19" s="139" t="s">
        <v>583</v>
      </c>
      <c r="M19" s="139" t="s">
        <v>583</v>
      </c>
      <c r="N19" s="139" t="s">
        <v>720</v>
      </c>
      <c r="O19" s="139" t="s">
        <v>721</v>
      </c>
      <c r="P19" s="139" t="s">
        <v>583</v>
      </c>
      <c r="Q19" s="139" t="s">
        <v>583</v>
      </c>
      <c r="R19" s="140"/>
      <c r="S19" s="140"/>
      <c r="T19" s="140">
        <v>1</v>
      </c>
      <c r="U19" s="140">
        <v>125</v>
      </c>
      <c r="V19" s="139" t="s">
        <v>662</v>
      </c>
      <c r="W19" s="139" t="s">
        <v>663</v>
      </c>
      <c r="X19" s="139" t="s">
        <v>664</v>
      </c>
      <c r="Y19" s="139" t="s">
        <v>665</v>
      </c>
      <c r="Z19" s="139" t="s">
        <v>666</v>
      </c>
      <c r="AA19" s="139" t="s">
        <v>667</v>
      </c>
      <c r="AB19" s="139" t="s">
        <v>662</v>
      </c>
      <c r="AC19" s="139" t="s">
        <v>663</v>
      </c>
      <c r="AD19" s="139" t="s">
        <v>664</v>
      </c>
      <c r="AE19" s="139" t="s">
        <v>665</v>
      </c>
      <c r="AF19" s="139" t="s">
        <v>666</v>
      </c>
      <c r="AG19" s="139" t="s">
        <v>667</v>
      </c>
      <c r="AH19" s="139" t="s">
        <v>592</v>
      </c>
      <c r="AI19" s="139" t="s">
        <v>429</v>
      </c>
      <c r="AJ19" s="140">
        <v>3608367.03</v>
      </c>
      <c r="AK19" s="139" t="s">
        <v>662</v>
      </c>
      <c r="AL19" s="139" t="s">
        <v>663</v>
      </c>
      <c r="AM19" s="139" t="s">
        <v>664</v>
      </c>
      <c r="AN19" s="139" t="s">
        <v>665</v>
      </c>
      <c r="AO19" s="139" t="s">
        <v>666</v>
      </c>
      <c r="AP19" s="139" t="s">
        <v>667</v>
      </c>
      <c r="AQ19" s="139" t="s">
        <v>592</v>
      </c>
      <c r="AR19" s="139" t="s">
        <v>429</v>
      </c>
      <c r="AS19" s="139" t="s">
        <v>429</v>
      </c>
      <c r="AT19" s="139" t="s">
        <v>593</v>
      </c>
      <c r="AU19" s="139" t="s">
        <v>437</v>
      </c>
      <c r="AV19" s="140"/>
      <c r="AW19" s="139" t="s">
        <v>594</v>
      </c>
      <c r="AX19" s="139" t="s">
        <v>595</v>
      </c>
      <c r="AY19" s="139" t="s">
        <v>722</v>
      </c>
      <c r="AZ19" s="140"/>
      <c r="BA19" s="139" t="s">
        <v>597</v>
      </c>
      <c r="BB19" s="140">
        <v>33750</v>
      </c>
      <c r="BC19" s="140"/>
      <c r="BD19" s="140"/>
      <c r="BE19" s="140">
        <v>103.8379</v>
      </c>
      <c r="BF19" s="139" t="s">
        <v>583</v>
      </c>
      <c r="BG19" s="139" t="s">
        <v>583</v>
      </c>
      <c r="BH19" s="139" t="s">
        <v>583</v>
      </c>
      <c r="BI19" s="139" t="s">
        <v>598</v>
      </c>
      <c r="BJ19" s="139" t="s">
        <v>599</v>
      </c>
      <c r="BK19" s="139" t="s">
        <v>583</v>
      </c>
      <c r="BL19" s="139" t="s">
        <v>583</v>
      </c>
      <c r="BM19" s="139" t="s">
        <v>583</v>
      </c>
      <c r="BN19" s="139" t="s">
        <v>583</v>
      </c>
      <c r="BO19" s="139" t="s">
        <v>583</v>
      </c>
      <c r="BP19" s="139" t="s">
        <v>583</v>
      </c>
      <c r="BQ19" s="139" t="s">
        <v>723</v>
      </c>
      <c r="BR19" s="140"/>
      <c r="BS19" s="139" t="s">
        <v>724</v>
      </c>
      <c r="BT19" s="99">
        <f t="shared" si="1"/>
        <v>1</v>
      </c>
      <c r="BU19" s="99">
        <f t="shared" si="0"/>
        <v>0</v>
      </c>
      <c r="BV19" s="99">
        <f t="shared" si="2"/>
        <v>1</v>
      </c>
      <c r="BW19" s="139" t="s">
        <v>725</v>
      </c>
      <c r="BX19" s="139" t="s">
        <v>726</v>
      </c>
      <c r="BY19" s="140">
        <v>125</v>
      </c>
      <c r="BZ19" s="140"/>
      <c r="CA19" s="99">
        <v>25000</v>
      </c>
      <c r="CB19" s="140" t="s">
        <v>603</v>
      </c>
      <c r="CC19" s="140"/>
      <c r="CD19" s="140"/>
      <c r="CE19" s="139" t="s">
        <v>577</v>
      </c>
      <c r="CF19" s="139" t="s">
        <v>604</v>
      </c>
      <c r="CG19" s="139" t="s">
        <v>583</v>
      </c>
      <c r="CH19" s="139" t="s">
        <v>583</v>
      </c>
      <c r="CI19" s="139" t="s">
        <v>592</v>
      </c>
      <c r="CJ19" s="140">
        <v>2625</v>
      </c>
      <c r="CK19" s="140" t="s">
        <v>605</v>
      </c>
      <c r="CL19" s="140">
        <v>4000000</v>
      </c>
      <c r="CM19" s="99">
        <v>2500</v>
      </c>
      <c r="CN19" s="140"/>
      <c r="CO19" s="139" t="s">
        <v>583</v>
      </c>
      <c r="CP19" s="139" t="s">
        <v>583</v>
      </c>
      <c r="CQ19" s="140">
        <v>33750</v>
      </c>
      <c r="CR19" s="140"/>
      <c r="CS19" s="140">
        <v>0</v>
      </c>
      <c r="CT19" s="140">
        <v>1</v>
      </c>
      <c r="CU19" s="140">
        <v>3608367.03</v>
      </c>
      <c r="CV19" s="99">
        <v>38059.89</v>
      </c>
      <c r="CW19" s="139" t="s">
        <v>606</v>
      </c>
      <c r="CX19" s="140">
        <v>15.22</v>
      </c>
      <c r="CY19" s="140"/>
      <c r="CZ19" s="140"/>
      <c r="DA19" s="140"/>
      <c r="DB19" s="140">
        <v>26</v>
      </c>
      <c r="DC19" s="140"/>
    </row>
    <row r="20" spans="2:107" ht="11.25" customHeight="1" x14ac:dyDescent="0.15">
      <c r="B20" s="139" t="s">
        <v>577</v>
      </c>
      <c r="C20" s="140" t="s">
        <v>727</v>
      </c>
      <c r="D20" s="140">
        <v>8</v>
      </c>
      <c r="E20" s="139" t="s">
        <v>728</v>
      </c>
      <c r="F20" s="139" t="s">
        <v>729</v>
      </c>
      <c r="G20" s="140" t="s">
        <v>727</v>
      </c>
      <c r="H20" s="139" t="s">
        <v>730</v>
      </c>
      <c r="I20" s="140" t="s">
        <v>421</v>
      </c>
      <c r="J20" s="139" t="s">
        <v>582</v>
      </c>
      <c r="K20" s="139" t="s">
        <v>583</v>
      </c>
      <c r="L20" s="139" t="s">
        <v>583</v>
      </c>
      <c r="M20" s="139" t="s">
        <v>583</v>
      </c>
      <c r="N20" s="139" t="s">
        <v>731</v>
      </c>
      <c r="O20" s="139" t="s">
        <v>732</v>
      </c>
      <c r="P20" s="139" t="s">
        <v>583</v>
      </c>
      <c r="Q20" s="139" t="s">
        <v>583</v>
      </c>
      <c r="R20" s="140">
        <v>1</v>
      </c>
      <c r="S20" s="140"/>
      <c r="T20" s="140">
        <v>1</v>
      </c>
      <c r="U20" s="140">
        <v>753</v>
      </c>
      <c r="V20" s="139" t="s">
        <v>583</v>
      </c>
      <c r="W20" s="139" t="s">
        <v>692</v>
      </c>
      <c r="X20" s="139" t="s">
        <v>693</v>
      </c>
      <c r="Y20" s="139" t="s">
        <v>694</v>
      </c>
      <c r="Z20" s="139" t="s">
        <v>695</v>
      </c>
      <c r="AA20" s="139" t="s">
        <v>583</v>
      </c>
      <c r="AB20" s="139" t="s">
        <v>583</v>
      </c>
      <c r="AC20" s="139" t="s">
        <v>692</v>
      </c>
      <c r="AD20" s="139" t="s">
        <v>693</v>
      </c>
      <c r="AE20" s="139" t="s">
        <v>694</v>
      </c>
      <c r="AF20" s="139" t="s">
        <v>695</v>
      </c>
      <c r="AG20" s="139" t="s">
        <v>583</v>
      </c>
      <c r="AH20" s="139" t="s">
        <v>733</v>
      </c>
      <c r="AI20" s="139" t="s">
        <v>432</v>
      </c>
      <c r="AJ20" s="140">
        <v>29371018.620000001</v>
      </c>
      <c r="AK20" s="139" t="s">
        <v>583</v>
      </c>
      <c r="AL20" s="139" t="s">
        <v>692</v>
      </c>
      <c r="AM20" s="139" t="s">
        <v>693</v>
      </c>
      <c r="AN20" s="139" t="s">
        <v>694</v>
      </c>
      <c r="AO20" s="139" t="s">
        <v>695</v>
      </c>
      <c r="AP20" s="139" t="s">
        <v>583</v>
      </c>
      <c r="AQ20" s="139" t="s">
        <v>733</v>
      </c>
      <c r="AR20" s="139" t="s">
        <v>432</v>
      </c>
      <c r="AS20" s="139" t="s">
        <v>432</v>
      </c>
      <c r="AT20" s="139" t="s">
        <v>593</v>
      </c>
      <c r="AU20" s="139" t="s">
        <v>437</v>
      </c>
      <c r="AV20" s="140">
        <v>2</v>
      </c>
      <c r="AW20" s="139" t="s">
        <v>594</v>
      </c>
      <c r="AX20" s="139" t="s">
        <v>653</v>
      </c>
      <c r="AY20" s="139" t="s">
        <v>734</v>
      </c>
      <c r="AZ20" s="140"/>
      <c r="BA20" s="139" t="s">
        <v>597</v>
      </c>
      <c r="BB20" s="140">
        <v>281198</v>
      </c>
      <c r="BC20" s="140"/>
      <c r="BD20" s="140"/>
      <c r="BE20" s="140">
        <v>104.4496</v>
      </c>
      <c r="BF20" s="139" t="s">
        <v>583</v>
      </c>
      <c r="BG20" s="139" t="s">
        <v>735</v>
      </c>
      <c r="BH20" s="139" t="s">
        <v>736</v>
      </c>
      <c r="BI20" s="139" t="s">
        <v>737</v>
      </c>
      <c r="BJ20" s="139" t="s">
        <v>624</v>
      </c>
      <c r="BK20" s="139" t="s">
        <v>583</v>
      </c>
      <c r="BL20" s="139" t="s">
        <v>583</v>
      </c>
      <c r="BM20" s="139" t="s">
        <v>583</v>
      </c>
      <c r="BN20" s="139" t="s">
        <v>738</v>
      </c>
      <c r="BO20" s="139" t="s">
        <v>739</v>
      </c>
      <c r="BP20" s="139" t="s">
        <v>740</v>
      </c>
      <c r="BQ20" s="139" t="s">
        <v>741</v>
      </c>
      <c r="BR20" s="140"/>
      <c r="BS20" s="139" t="s">
        <v>742</v>
      </c>
      <c r="BT20" s="99">
        <f t="shared" si="1"/>
        <v>0</v>
      </c>
      <c r="BU20" s="99">
        <f t="shared" si="0"/>
        <v>0</v>
      </c>
      <c r="BV20" s="99">
        <f t="shared" si="2"/>
        <v>0</v>
      </c>
      <c r="BW20" s="139" t="s">
        <v>743</v>
      </c>
      <c r="BX20" s="139" t="s">
        <v>744</v>
      </c>
      <c r="BY20" s="140">
        <v>753</v>
      </c>
      <c r="BZ20" s="140">
        <v>0</v>
      </c>
      <c r="CA20" s="99">
        <v>150600</v>
      </c>
      <c r="CB20" s="140" t="s">
        <v>603</v>
      </c>
      <c r="CC20" s="140">
        <v>0</v>
      </c>
      <c r="CD20" s="140"/>
      <c r="CE20" s="139" t="s">
        <v>577</v>
      </c>
      <c r="CF20" s="139" t="s">
        <v>604</v>
      </c>
      <c r="CG20" s="139" t="s">
        <v>583</v>
      </c>
      <c r="CH20" s="139" t="s">
        <v>583</v>
      </c>
      <c r="CI20" s="139" t="s">
        <v>733</v>
      </c>
      <c r="CJ20" s="140">
        <v>16566</v>
      </c>
      <c r="CK20" s="140" t="s">
        <v>605</v>
      </c>
      <c r="CL20" s="140">
        <v>4000000</v>
      </c>
      <c r="CM20" s="99">
        <v>15060</v>
      </c>
      <c r="CN20" s="140">
        <v>0</v>
      </c>
      <c r="CO20" s="139" t="s">
        <v>583</v>
      </c>
      <c r="CP20" s="139" t="s">
        <v>583</v>
      </c>
      <c r="CQ20" s="140">
        <v>281198</v>
      </c>
      <c r="CR20" s="140"/>
      <c r="CS20" s="140">
        <v>0</v>
      </c>
      <c r="CT20" s="140">
        <v>1</v>
      </c>
      <c r="CU20" s="140">
        <v>29371018.620000001</v>
      </c>
      <c r="CV20" s="99">
        <v>306176.78999999998</v>
      </c>
      <c r="CW20" s="139" t="s">
        <v>606</v>
      </c>
      <c r="CX20" s="140">
        <v>20.329999999999998</v>
      </c>
      <c r="CY20" s="140">
        <v>933</v>
      </c>
      <c r="CZ20" s="140"/>
      <c r="DA20" s="140" t="s">
        <v>745</v>
      </c>
      <c r="DB20" s="140">
        <v>551</v>
      </c>
      <c r="DC20" s="140"/>
    </row>
    <row r="21" spans="2:107" ht="11.25" customHeight="1" x14ac:dyDescent="0.15">
      <c r="B21" s="139" t="s">
        <v>577</v>
      </c>
      <c r="C21" s="140" t="s">
        <v>746</v>
      </c>
      <c r="D21" s="140">
        <v>8</v>
      </c>
      <c r="E21" s="139" t="s">
        <v>747</v>
      </c>
      <c r="F21" s="139" t="s">
        <v>748</v>
      </c>
      <c r="G21" s="140" t="s">
        <v>746</v>
      </c>
      <c r="H21" s="139" t="s">
        <v>749</v>
      </c>
      <c r="I21" s="140" t="s">
        <v>421</v>
      </c>
      <c r="J21" s="139" t="s">
        <v>582</v>
      </c>
      <c r="K21" s="139" t="s">
        <v>583</v>
      </c>
      <c r="L21" s="139" t="s">
        <v>583</v>
      </c>
      <c r="M21" s="139" t="s">
        <v>583</v>
      </c>
      <c r="N21" s="139" t="s">
        <v>443</v>
      </c>
      <c r="O21" s="139" t="s">
        <v>750</v>
      </c>
      <c r="P21" s="139" t="s">
        <v>583</v>
      </c>
      <c r="Q21" s="139" t="s">
        <v>583</v>
      </c>
      <c r="R21" s="140"/>
      <c r="S21" s="140"/>
      <c r="T21" s="140">
        <v>1</v>
      </c>
      <c r="U21" s="140">
        <v>564</v>
      </c>
      <c r="V21" s="139" t="s">
        <v>583</v>
      </c>
      <c r="W21" s="139" t="s">
        <v>631</v>
      </c>
      <c r="X21" s="139" t="s">
        <v>632</v>
      </c>
      <c r="Y21" s="139" t="s">
        <v>633</v>
      </c>
      <c r="Z21" s="139" t="s">
        <v>583</v>
      </c>
      <c r="AA21" s="139" t="s">
        <v>583</v>
      </c>
      <c r="AB21" s="139" t="s">
        <v>583</v>
      </c>
      <c r="AC21" s="139" t="s">
        <v>631</v>
      </c>
      <c r="AD21" s="139" t="s">
        <v>632</v>
      </c>
      <c r="AE21" s="139" t="s">
        <v>633</v>
      </c>
      <c r="AF21" s="139" t="s">
        <v>583</v>
      </c>
      <c r="AG21" s="139" t="s">
        <v>583</v>
      </c>
      <c r="AH21" s="139" t="s">
        <v>751</v>
      </c>
      <c r="AI21" s="139" t="s">
        <v>433</v>
      </c>
      <c r="AJ21" s="140">
        <v>17079231.370000001</v>
      </c>
      <c r="AK21" s="139" t="s">
        <v>583</v>
      </c>
      <c r="AL21" s="139" t="s">
        <v>631</v>
      </c>
      <c r="AM21" s="139" t="s">
        <v>632</v>
      </c>
      <c r="AN21" s="139" t="s">
        <v>633</v>
      </c>
      <c r="AO21" s="139" t="s">
        <v>583</v>
      </c>
      <c r="AP21" s="139" t="s">
        <v>583</v>
      </c>
      <c r="AQ21" s="139" t="s">
        <v>751</v>
      </c>
      <c r="AR21" s="139" t="s">
        <v>433</v>
      </c>
      <c r="AS21" s="139" t="s">
        <v>433</v>
      </c>
      <c r="AT21" s="139" t="s">
        <v>593</v>
      </c>
      <c r="AU21" s="139" t="s">
        <v>437</v>
      </c>
      <c r="AV21" s="140"/>
      <c r="AW21" s="139" t="s">
        <v>594</v>
      </c>
      <c r="AX21" s="139" t="s">
        <v>653</v>
      </c>
      <c r="AY21" s="139" t="s">
        <v>752</v>
      </c>
      <c r="AZ21" s="140"/>
      <c r="BA21" s="139" t="s">
        <v>597</v>
      </c>
      <c r="BB21" s="140">
        <v>167020</v>
      </c>
      <c r="BC21" s="140"/>
      <c r="BD21" s="140"/>
      <c r="BE21" s="140">
        <v>102.2586</v>
      </c>
      <c r="BF21" s="139" t="s">
        <v>583</v>
      </c>
      <c r="BG21" s="139" t="s">
        <v>583</v>
      </c>
      <c r="BH21" s="139" t="s">
        <v>583</v>
      </c>
      <c r="BI21" s="139" t="s">
        <v>598</v>
      </c>
      <c r="BJ21" s="139" t="s">
        <v>624</v>
      </c>
      <c r="BK21" s="139" t="s">
        <v>583</v>
      </c>
      <c r="BL21" s="139" t="s">
        <v>583</v>
      </c>
      <c r="BM21" s="139" t="s">
        <v>583</v>
      </c>
      <c r="BN21" s="139" t="s">
        <v>583</v>
      </c>
      <c r="BO21" s="139" t="s">
        <v>583</v>
      </c>
      <c r="BP21" s="139" t="s">
        <v>583</v>
      </c>
      <c r="BQ21" s="139" t="s">
        <v>723</v>
      </c>
      <c r="BR21" s="140"/>
      <c r="BS21" s="139" t="s">
        <v>753</v>
      </c>
      <c r="BT21" s="99">
        <f t="shared" si="1"/>
        <v>0</v>
      </c>
      <c r="BU21" s="99">
        <f t="shared" si="0"/>
        <v>1</v>
      </c>
      <c r="BV21" s="99">
        <f t="shared" si="2"/>
        <v>1</v>
      </c>
      <c r="BW21" s="139" t="s">
        <v>602</v>
      </c>
      <c r="BX21" s="139" t="s">
        <v>443</v>
      </c>
      <c r="BY21" s="140">
        <v>564</v>
      </c>
      <c r="BZ21" s="140">
        <v>0</v>
      </c>
      <c r="CA21" s="99">
        <v>112800</v>
      </c>
      <c r="CB21" s="140" t="s">
        <v>603</v>
      </c>
      <c r="CC21" s="140"/>
      <c r="CD21" s="140"/>
      <c r="CE21" s="139" t="s">
        <v>577</v>
      </c>
      <c r="CF21" s="139" t="s">
        <v>604</v>
      </c>
      <c r="CG21" s="139" t="s">
        <v>583</v>
      </c>
      <c r="CH21" s="139" t="s">
        <v>583</v>
      </c>
      <c r="CI21" s="139" t="s">
        <v>751</v>
      </c>
      <c r="CJ21" s="140">
        <v>11844</v>
      </c>
      <c r="CK21" s="140" t="s">
        <v>605</v>
      </c>
      <c r="CL21" s="140">
        <v>4000000</v>
      </c>
      <c r="CM21" s="99">
        <v>11280</v>
      </c>
      <c r="CN21" s="140">
        <v>0</v>
      </c>
      <c r="CO21" s="139" t="s">
        <v>583</v>
      </c>
      <c r="CP21" s="139" t="s">
        <v>583</v>
      </c>
      <c r="CQ21" s="140">
        <v>167020</v>
      </c>
      <c r="CR21" s="140"/>
      <c r="CS21" s="140">
        <v>0</v>
      </c>
      <c r="CT21" s="140">
        <v>1</v>
      </c>
      <c r="CU21" s="140">
        <v>17079231.370000001</v>
      </c>
      <c r="CV21" s="99">
        <v>180328.63</v>
      </c>
      <c r="CW21" s="139" t="s">
        <v>606</v>
      </c>
      <c r="CX21" s="140">
        <v>15.99</v>
      </c>
      <c r="CY21" s="140"/>
      <c r="CZ21" s="140"/>
      <c r="DA21" s="140"/>
      <c r="DB21" s="140">
        <v>30</v>
      </c>
      <c r="DC21" s="140"/>
    </row>
    <row r="22" spans="2:107" ht="11.25" customHeight="1" x14ac:dyDescent="0.15">
      <c r="B22" s="139" t="s">
        <v>577</v>
      </c>
      <c r="C22" s="140" t="s">
        <v>754</v>
      </c>
      <c r="D22" s="140">
        <v>8</v>
      </c>
      <c r="E22" s="139" t="s">
        <v>755</v>
      </c>
      <c r="F22" s="139" t="s">
        <v>748</v>
      </c>
      <c r="G22" s="140" t="s">
        <v>754</v>
      </c>
      <c r="H22" s="139" t="s">
        <v>756</v>
      </c>
      <c r="I22" s="140" t="s">
        <v>421</v>
      </c>
      <c r="J22" s="139" t="s">
        <v>582</v>
      </c>
      <c r="K22" s="139" t="s">
        <v>583</v>
      </c>
      <c r="L22" s="139" t="s">
        <v>583</v>
      </c>
      <c r="M22" s="139" t="s">
        <v>583</v>
      </c>
      <c r="N22" s="139" t="s">
        <v>757</v>
      </c>
      <c r="O22" s="139" t="s">
        <v>758</v>
      </c>
      <c r="P22" s="139" t="s">
        <v>583</v>
      </c>
      <c r="Q22" s="139" t="s">
        <v>583</v>
      </c>
      <c r="R22" s="140"/>
      <c r="S22" s="140"/>
      <c r="T22" s="140">
        <v>1</v>
      </c>
      <c r="U22" s="140">
        <v>16</v>
      </c>
      <c r="V22" s="139" t="s">
        <v>583</v>
      </c>
      <c r="W22" s="139" t="s">
        <v>631</v>
      </c>
      <c r="X22" s="139" t="s">
        <v>632</v>
      </c>
      <c r="Y22" s="139" t="s">
        <v>633</v>
      </c>
      <c r="Z22" s="139" t="s">
        <v>583</v>
      </c>
      <c r="AA22" s="139" t="s">
        <v>583</v>
      </c>
      <c r="AB22" s="139" t="s">
        <v>583</v>
      </c>
      <c r="AC22" s="139" t="s">
        <v>631</v>
      </c>
      <c r="AD22" s="139" t="s">
        <v>632</v>
      </c>
      <c r="AE22" s="139" t="s">
        <v>633</v>
      </c>
      <c r="AF22" s="139" t="s">
        <v>583</v>
      </c>
      <c r="AG22" s="139" t="s">
        <v>583</v>
      </c>
      <c r="AH22" s="139" t="s">
        <v>759</v>
      </c>
      <c r="AI22" s="139" t="s">
        <v>434</v>
      </c>
      <c r="AJ22" s="140">
        <v>10732478.1</v>
      </c>
      <c r="AK22" s="139" t="s">
        <v>583</v>
      </c>
      <c r="AL22" s="139" t="s">
        <v>631</v>
      </c>
      <c r="AM22" s="139" t="s">
        <v>632</v>
      </c>
      <c r="AN22" s="139" t="s">
        <v>633</v>
      </c>
      <c r="AO22" s="139" t="s">
        <v>583</v>
      </c>
      <c r="AP22" s="139" t="s">
        <v>583</v>
      </c>
      <c r="AQ22" s="139" t="s">
        <v>759</v>
      </c>
      <c r="AR22" s="139" t="s">
        <v>434</v>
      </c>
      <c r="AS22" s="139" t="s">
        <v>434</v>
      </c>
      <c r="AT22" s="139" t="s">
        <v>593</v>
      </c>
      <c r="AU22" s="139" t="s">
        <v>437</v>
      </c>
      <c r="AV22" s="140"/>
      <c r="AW22" s="139" t="s">
        <v>594</v>
      </c>
      <c r="AX22" s="139" t="s">
        <v>653</v>
      </c>
      <c r="AY22" s="139" t="s">
        <v>752</v>
      </c>
      <c r="AZ22" s="140"/>
      <c r="BA22" s="139" t="s">
        <v>597</v>
      </c>
      <c r="BB22" s="140">
        <v>106580</v>
      </c>
      <c r="BC22" s="140"/>
      <c r="BD22" s="140"/>
      <c r="BE22" s="140">
        <v>100.69880000000001</v>
      </c>
      <c r="BF22" s="139" t="s">
        <v>583</v>
      </c>
      <c r="BG22" s="139" t="s">
        <v>583</v>
      </c>
      <c r="BH22" s="139" t="s">
        <v>583</v>
      </c>
      <c r="BI22" s="139" t="s">
        <v>598</v>
      </c>
      <c r="BJ22" s="139" t="s">
        <v>610</v>
      </c>
      <c r="BK22" s="139" t="s">
        <v>583</v>
      </c>
      <c r="BL22" s="139" t="s">
        <v>583</v>
      </c>
      <c r="BM22" s="139" t="s">
        <v>583</v>
      </c>
      <c r="BN22" s="139" t="s">
        <v>583</v>
      </c>
      <c r="BO22" s="139" t="s">
        <v>583</v>
      </c>
      <c r="BP22" s="139" t="s">
        <v>583</v>
      </c>
      <c r="BQ22" s="139" t="s">
        <v>723</v>
      </c>
      <c r="BR22" s="140"/>
      <c r="BS22" s="139" t="s">
        <v>634</v>
      </c>
      <c r="BT22" s="99">
        <f t="shared" si="1"/>
        <v>0</v>
      </c>
      <c r="BU22" s="99">
        <f t="shared" si="0"/>
        <v>1</v>
      </c>
      <c r="BV22" s="99">
        <f t="shared" si="2"/>
        <v>1</v>
      </c>
      <c r="BW22" s="139" t="s">
        <v>602</v>
      </c>
      <c r="BX22" s="139" t="s">
        <v>760</v>
      </c>
      <c r="BY22" s="140">
        <v>16</v>
      </c>
      <c r="BZ22" s="140"/>
      <c r="CA22" s="99">
        <v>73000</v>
      </c>
      <c r="CB22" s="140" t="s">
        <v>603</v>
      </c>
      <c r="CC22" s="140"/>
      <c r="CD22" s="140"/>
      <c r="CE22" s="139" t="s">
        <v>577</v>
      </c>
      <c r="CF22" s="139" t="s">
        <v>604</v>
      </c>
      <c r="CG22" s="139" t="s">
        <v>583</v>
      </c>
      <c r="CH22" s="139" t="s">
        <v>583</v>
      </c>
      <c r="CI22" s="139" t="s">
        <v>759</v>
      </c>
      <c r="CJ22" s="140">
        <v>7665</v>
      </c>
      <c r="CK22" s="140" t="s">
        <v>605</v>
      </c>
      <c r="CL22" s="140">
        <v>4000000</v>
      </c>
      <c r="CM22" s="99">
        <v>7118</v>
      </c>
      <c r="CN22" s="140">
        <v>0</v>
      </c>
      <c r="CO22" s="139" t="s">
        <v>583</v>
      </c>
      <c r="CP22" s="139" t="s">
        <v>583</v>
      </c>
      <c r="CQ22" s="140">
        <v>106580</v>
      </c>
      <c r="CR22" s="140"/>
      <c r="CS22" s="140"/>
      <c r="CT22" s="140"/>
      <c r="CU22" s="140">
        <v>10732478.1</v>
      </c>
      <c r="CV22" s="99">
        <v>116942.74</v>
      </c>
      <c r="CW22" s="139" t="s">
        <v>606</v>
      </c>
      <c r="CX22" s="140">
        <v>16.43</v>
      </c>
      <c r="CY22" s="140"/>
      <c r="CZ22" s="140"/>
      <c r="DA22" s="140"/>
      <c r="DB22" s="140">
        <v>125</v>
      </c>
      <c r="DC22" s="140"/>
    </row>
    <row r="23" spans="2:107" ht="11.25" customHeight="1" x14ac:dyDescent="0.15">
      <c r="B23" s="139" t="s">
        <v>577</v>
      </c>
      <c r="C23" s="140" t="s">
        <v>761</v>
      </c>
      <c r="D23" s="140">
        <v>8</v>
      </c>
      <c r="E23" s="139" t="s">
        <v>762</v>
      </c>
      <c r="F23" s="139" t="s">
        <v>729</v>
      </c>
      <c r="G23" s="140" t="s">
        <v>761</v>
      </c>
      <c r="H23" s="139" t="s">
        <v>763</v>
      </c>
      <c r="I23" s="140" t="s">
        <v>421</v>
      </c>
      <c r="J23" s="139" t="s">
        <v>582</v>
      </c>
      <c r="K23" s="139" t="s">
        <v>583</v>
      </c>
      <c r="L23" s="139" t="s">
        <v>583</v>
      </c>
      <c r="M23" s="139" t="s">
        <v>583</v>
      </c>
      <c r="N23" s="139" t="s">
        <v>764</v>
      </c>
      <c r="O23" s="139" t="s">
        <v>765</v>
      </c>
      <c r="P23" s="139" t="s">
        <v>583</v>
      </c>
      <c r="Q23" s="139" t="s">
        <v>583</v>
      </c>
      <c r="R23" s="140"/>
      <c r="S23" s="140"/>
      <c r="T23" s="140">
        <v>1</v>
      </c>
      <c r="U23" s="140">
        <v>121</v>
      </c>
      <c r="V23" s="139" t="s">
        <v>766</v>
      </c>
      <c r="W23" s="139" t="s">
        <v>767</v>
      </c>
      <c r="X23" s="139" t="s">
        <v>768</v>
      </c>
      <c r="Y23" s="139" t="s">
        <v>769</v>
      </c>
      <c r="Z23" s="139" t="s">
        <v>713</v>
      </c>
      <c r="AA23" s="139" t="s">
        <v>770</v>
      </c>
      <c r="AB23" s="139" t="s">
        <v>766</v>
      </c>
      <c r="AC23" s="139" t="s">
        <v>767</v>
      </c>
      <c r="AD23" s="139" t="s">
        <v>768</v>
      </c>
      <c r="AE23" s="139" t="s">
        <v>769</v>
      </c>
      <c r="AF23" s="139" t="s">
        <v>713</v>
      </c>
      <c r="AG23" s="139" t="s">
        <v>770</v>
      </c>
      <c r="AH23" s="139" t="s">
        <v>751</v>
      </c>
      <c r="AI23" s="139" t="s">
        <v>433</v>
      </c>
      <c r="AJ23" s="140">
        <v>7584630.1500000004</v>
      </c>
      <c r="AK23" s="139" t="s">
        <v>766</v>
      </c>
      <c r="AL23" s="139" t="s">
        <v>767</v>
      </c>
      <c r="AM23" s="139" t="s">
        <v>768</v>
      </c>
      <c r="AN23" s="139" t="s">
        <v>769</v>
      </c>
      <c r="AO23" s="139" t="s">
        <v>713</v>
      </c>
      <c r="AP23" s="139" t="s">
        <v>770</v>
      </c>
      <c r="AQ23" s="139" t="s">
        <v>751</v>
      </c>
      <c r="AR23" s="139" t="s">
        <v>433</v>
      </c>
      <c r="AS23" s="139" t="s">
        <v>433</v>
      </c>
      <c r="AT23" s="139" t="s">
        <v>593</v>
      </c>
      <c r="AU23" s="139" t="s">
        <v>437</v>
      </c>
      <c r="AV23" s="140"/>
      <c r="AW23" s="139" t="s">
        <v>594</v>
      </c>
      <c r="AX23" s="139" t="s">
        <v>622</v>
      </c>
      <c r="AY23" s="139" t="s">
        <v>771</v>
      </c>
      <c r="AZ23" s="140"/>
      <c r="BA23" s="139" t="s">
        <v>597</v>
      </c>
      <c r="BB23" s="140">
        <v>74740</v>
      </c>
      <c r="BC23" s="140"/>
      <c r="BD23" s="140"/>
      <c r="BE23" s="140">
        <v>101.4802</v>
      </c>
      <c r="BF23" s="139" t="s">
        <v>583</v>
      </c>
      <c r="BG23" s="139" t="s">
        <v>583</v>
      </c>
      <c r="BH23" s="139" t="s">
        <v>583</v>
      </c>
      <c r="BI23" s="139" t="s">
        <v>598</v>
      </c>
      <c r="BJ23" s="139" t="s">
        <v>599</v>
      </c>
      <c r="BK23" s="139" t="s">
        <v>583</v>
      </c>
      <c r="BL23" s="139" t="s">
        <v>583</v>
      </c>
      <c r="BM23" s="139" t="s">
        <v>583</v>
      </c>
      <c r="BN23" s="139" t="s">
        <v>583</v>
      </c>
      <c r="BO23" s="139" t="s">
        <v>583</v>
      </c>
      <c r="BP23" s="139" t="s">
        <v>583</v>
      </c>
      <c r="BQ23" s="139" t="s">
        <v>772</v>
      </c>
      <c r="BR23" s="140"/>
      <c r="BS23" s="139" t="s">
        <v>773</v>
      </c>
      <c r="BT23" s="99">
        <f t="shared" si="1"/>
        <v>0</v>
      </c>
      <c r="BU23" s="99">
        <f t="shared" si="0"/>
        <v>0</v>
      </c>
      <c r="BV23" s="99">
        <f t="shared" si="2"/>
        <v>0</v>
      </c>
      <c r="BW23" s="139" t="s">
        <v>774</v>
      </c>
      <c r="BX23" s="139" t="s">
        <v>764</v>
      </c>
      <c r="BY23" s="140">
        <v>121</v>
      </c>
      <c r="BZ23" s="140"/>
      <c r="CA23" s="99">
        <v>24200</v>
      </c>
      <c r="CB23" s="140" t="s">
        <v>603</v>
      </c>
      <c r="CC23" s="140"/>
      <c r="CD23" s="140"/>
      <c r="CE23" s="139" t="s">
        <v>577</v>
      </c>
      <c r="CF23" s="139" t="s">
        <v>775</v>
      </c>
      <c r="CG23" s="139" t="s">
        <v>583</v>
      </c>
      <c r="CH23" s="139" t="s">
        <v>583</v>
      </c>
      <c r="CI23" s="139" t="s">
        <v>751</v>
      </c>
      <c r="CJ23" s="140">
        <v>2371.6</v>
      </c>
      <c r="CK23" s="140" t="s">
        <v>657</v>
      </c>
      <c r="CL23" s="140">
        <v>4000000</v>
      </c>
      <c r="CM23" s="99">
        <v>1936</v>
      </c>
      <c r="CN23" s="140"/>
      <c r="CO23" s="139" t="s">
        <v>583</v>
      </c>
      <c r="CP23" s="139" t="s">
        <v>583</v>
      </c>
      <c r="CQ23" s="140">
        <v>74740</v>
      </c>
      <c r="CR23" s="140"/>
      <c r="CS23" s="140">
        <v>0</v>
      </c>
      <c r="CT23" s="140">
        <v>1</v>
      </c>
      <c r="CU23" s="140">
        <v>7584630.1500000004</v>
      </c>
      <c r="CV23" s="99">
        <v>81201.8</v>
      </c>
      <c r="CW23" s="139" t="s">
        <v>606</v>
      </c>
      <c r="CX23" s="140">
        <v>41.94</v>
      </c>
      <c r="CY23" s="140"/>
      <c r="CZ23" s="140"/>
      <c r="DA23" s="140"/>
      <c r="DB23" s="140">
        <v>166</v>
      </c>
      <c r="DC23" s="140"/>
    </row>
    <row r="24" spans="2:107" ht="11.25" customHeight="1" x14ac:dyDescent="0.15">
      <c r="B24" s="139" t="s">
        <v>577</v>
      </c>
      <c r="C24" s="140" t="s">
        <v>761</v>
      </c>
      <c r="D24" s="140">
        <v>8</v>
      </c>
      <c r="E24" s="139" t="s">
        <v>776</v>
      </c>
      <c r="F24" s="139" t="s">
        <v>729</v>
      </c>
      <c r="G24" s="140" t="s">
        <v>761</v>
      </c>
      <c r="H24" s="139" t="s">
        <v>777</v>
      </c>
      <c r="I24" s="140" t="s">
        <v>421</v>
      </c>
      <c r="J24" s="139" t="s">
        <v>582</v>
      </c>
      <c r="K24" s="139" t="s">
        <v>583</v>
      </c>
      <c r="L24" s="139" t="s">
        <v>583</v>
      </c>
      <c r="M24" s="139" t="s">
        <v>583</v>
      </c>
      <c r="N24" s="139" t="s">
        <v>778</v>
      </c>
      <c r="O24" s="139" t="s">
        <v>779</v>
      </c>
      <c r="P24" s="139" t="s">
        <v>583</v>
      </c>
      <c r="Q24" s="139" t="s">
        <v>583</v>
      </c>
      <c r="R24" s="140"/>
      <c r="S24" s="140"/>
      <c r="T24" s="140">
        <v>1</v>
      </c>
      <c r="U24" s="140">
        <v>420</v>
      </c>
      <c r="V24" s="139" t="s">
        <v>691</v>
      </c>
      <c r="W24" s="139" t="s">
        <v>692</v>
      </c>
      <c r="X24" s="139" t="s">
        <v>693</v>
      </c>
      <c r="Y24" s="139" t="s">
        <v>694</v>
      </c>
      <c r="Z24" s="139" t="s">
        <v>695</v>
      </c>
      <c r="AA24" s="139" t="s">
        <v>696</v>
      </c>
      <c r="AB24" s="139" t="s">
        <v>691</v>
      </c>
      <c r="AC24" s="139" t="s">
        <v>692</v>
      </c>
      <c r="AD24" s="139" t="s">
        <v>693</v>
      </c>
      <c r="AE24" s="139" t="s">
        <v>694</v>
      </c>
      <c r="AF24" s="139" t="s">
        <v>695</v>
      </c>
      <c r="AG24" s="139" t="s">
        <v>696</v>
      </c>
      <c r="AH24" s="139" t="s">
        <v>751</v>
      </c>
      <c r="AI24" s="139" t="s">
        <v>433</v>
      </c>
      <c r="AJ24" s="140">
        <v>13953892.83</v>
      </c>
      <c r="AK24" s="139" t="s">
        <v>691</v>
      </c>
      <c r="AL24" s="139" t="s">
        <v>692</v>
      </c>
      <c r="AM24" s="139" t="s">
        <v>693</v>
      </c>
      <c r="AN24" s="139" t="s">
        <v>694</v>
      </c>
      <c r="AO24" s="139" t="s">
        <v>695</v>
      </c>
      <c r="AP24" s="139" t="s">
        <v>696</v>
      </c>
      <c r="AQ24" s="139" t="s">
        <v>592</v>
      </c>
      <c r="AR24" s="139" t="s">
        <v>429</v>
      </c>
      <c r="AS24" s="139" t="s">
        <v>429</v>
      </c>
      <c r="AT24" s="139" t="s">
        <v>593</v>
      </c>
      <c r="AU24" s="139" t="s">
        <v>437</v>
      </c>
      <c r="AV24" s="140"/>
      <c r="AW24" s="139" t="s">
        <v>594</v>
      </c>
      <c r="AX24" s="139" t="s">
        <v>653</v>
      </c>
      <c r="AY24" s="139" t="s">
        <v>780</v>
      </c>
      <c r="AZ24" s="140"/>
      <c r="BA24" s="139" t="s">
        <v>597</v>
      </c>
      <c r="BB24" s="140">
        <v>137503.6</v>
      </c>
      <c r="BC24" s="140"/>
      <c r="BD24" s="140"/>
      <c r="BE24" s="140">
        <v>101.4802</v>
      </c>
      <c r="BF24" s="139" t="s">
        <v>583</v>
      </c>
      <c r="BG24" s="139" t="s">
        <v>735</v>
      </c>
      <c r="BH24" s="139" t="s">
        <v>583</v>
      </c>
      <c r="BI24" s="139" t="s">
        <v>598</v>
      </c>
      <c r="BJ24" s="139" t="s">
        <v>624</v>
      </c>
      <c r="BK24" s="139" t="s">
        <v>583</v>
      </c>
      <c r="BL24" s="139" t="s">
        <v>583</v>
      </c>
      <c r="BM24" s="139" t="s">
        <v>583</v>
      </c>
      <c r="BN24" s="139" t="s">
        <v>583</v>
      </c>
      <c r="BO24" s="139" t="s">
        <v>583</v>
      </c>
      <c r="BP24" s="139" t="s">
        <v>583</v>
      </c>
      <c r="BQ24" s="139" t="s">
        <v>741</v>
      </c>
      <c r="BR24" s="140"/>
      <c r="BS24" s="139" t="s">
        <v>781</v>
      </c>
      <c r="BT24" s="99">
        <f t="shared" si="1"/>
        <v>0</v>
      </c>
      <c r="BU24" s="99">
        <f t="shared" si="0"/>
        <v>0</v>
      </c>
      <c r="BV24" s="99">
        <f t="shared" si="2"/>
        <v>0</v>
      </c>
      <c r="BW24" s="139" t="s">
        <v>602</v>
      </c>
      <c r="BX24" s="139" t="s">
        <v>584</v>
      </c>
      <c r="BY24" s="140">
        <v>420</v>
      </c>
      <c r="BZ24" s="140">
        <v>0</v>
      </c>
      <c r="CA24" s="99">
        <v>84000</v>
      </c>
      <c r="CB24" s="140" t="s">
        <v>603</v>
      </c>
      <c r="CC24" s="140"/>
      <c r="CD24" s="140"/>
      <c r="CE24" s="139" t="s">
        <v>577</v>
      </c>
      <c r="CF24" s="139" t="s">
        <v>604</v>
      </c>
      <c r="CG24" s="139" t="s">
        <v>583</v>
      </c>
      <c r="CH24" s="139" t="s">
        <v>583</v>
      </c>
      <c r="CI24" s="139" t="s">
        <v>592</v>
      </c>
      <c r="CJ24" s="140">
        <v>8820</v>
      </c>
      <c r="CK24" s="140" t="s">
        <v>605</v>
      </c>
      <c r="CL24" s="140">
        <v>4000000</v>
      </c>
      <c r="CM24" s="99">
        <v>8400</v>
      </c>
      <c r="CN24" s="140">
        <v>0</v>
      </c>
      <c r="CO24" s="139" t="s">
        <v>583</v>
      </c>
      <c r="CP24" s="139" t="s">
        <v>583</v>
      </c>
      <c r="CQ24" s="140">
        <v>137503.6</v>
      </c>
      <c r="CR24" s="140"/>
      <c r="CS24" s="140">
        <v>0</v>
      </c>
      <c r="CT24" s="140">
        <v>1</v>
      </c>
      <c r="CU24" s="140">
        <v>13953892.83</v>
      </c>
      <c r="CV24" s="99">
        <v>149391.76</v>
      </c>
      <c r="CW24" s="139" t="s">
        <v>606</v>
      </c>
      <c r="CX24" s="140">
        <v>17.78</v>
      </c>
      <c r="CY24" s="140"/>
      <c r="CZ24" s="140"/>
      <c r="DA24" s="140"/>
      <c r="DB24" s="140">
        <v>71</v>
      </c>
      <c r="DC24" s="140"/>
    </row>
    <row r="25" spans="2:107" ht="11.25" customHeight="1" x14ac:dyDescent="0.15">
      <c r="B25" s="139" t="s">
        <v>577</v>
      </c>
      <c r="C25" s="140" t="s">
        <v>782</v>
      </c>
      <c r="D25" s="140">
        <v>8</v>
      </c>
      <c r="E25" s="139" t="s">
        <v>783</v>
      </c>
      <c r="F25" s="139" t="s">
        <v>729</v>
      </c>
      <c r="G25" s="140" t="s">
        <v>782</v>
      </c>
      <c r="H25" s="139" t="s">
        <v>784</v>
      </c>
      <c r="I25" s="140" t="s">
        <v>421</v>
      </c>
      <c r="J25" s="139" t="s">
        <v>582</v>
      </c>
      <c r="K25" s="139" t="s">
        <v>583</v>
      </c>
      <c r="L25" s="139" t="s">
        <v>583</v>
      </c>
      <c r="M25" s="139" t="s">
        <v>583</v>
      </c>
      <c r="N25" s="139" t="s">
        <v>731</v>
      </c>
      <c r="O25" s="139" t="s">
        <v>732</v>
      </c>
      <c r="P25" s="139" t="s">
        <v>583</v>
      </c>
      <c r="Q25" s="139" t="s">
        <v>583</v>
      </c>
      <c r="R25" s="140"/>
      <c r="S25" s="140"/>
      <c r="T25" s="140">
        <v>1</v>
      </c>
      <c r="U25" s="140">
        <v>420</v>
      </c>
      <c r="V25" s="139" t="s">
        <v>691</v>
      </c>
      <c r="W25" s="139" t="s">
        <v>692</v>
      </c>
      <c r="X25" s="139" t="s">
        <v>693</v>
      </c>
      <c r="Y25" s="139" t="s">
        <v>694</v>
      </c>
      <c r="Z25" s="139" t="s">
        <v>695</v>
      </c>
      <c r="AA25" s="139" t="s">
        <v>696</v>
      </c>
      <c r="AB25" s="139" t="s">
        <v>691</v>
      </c>
      <c r="AC25" s="139" t="s">
        <v>692</v>
      </c>
      <c r="AD25" s="139" t="s">
        <v>693</v>
      </c>
      <c r="AE25" s="139" t="s">
        <v>694</v>
      </c>
      <c r="AF25" s="139" t="s">
        <v>695</v>
      </c>
      <c r="AG25" s="139" t="s">
        <v>696</v>
      </c>
      <c r="AH25" s="139" t="s">
        <v>733</v>
      </c>
      <c r="AI25" s="139" t="s">
        <v>432</v>
      </c>
      <c r="AJ25" s="140">
        <v>16279476.92</v>
      </c>
      <c r="AK25" s="139" t="s">
        <v>691</v>
      </c>
      <c r="AL25" s="139" t="s">
        <v>692</v>
      </c>
      <c r="AM25" s="139" t="s">
        <v>693</v>
      </c>
      <c r="AN25" s="139" t="s">
        <v>694</v>
      </c>
      <c r="AO25" s="139" t="s">
        <v>695</v>
      </c>
      <c r="AP25" s="139" t="s">
        <v>696</v>
      </c>
      <c r="AQ25" s="139" t="s">
        <v>733</v>
      </c>
      <c r="AR25" s="139" t="s">
        <v>432</v>
      </c>
      <c r="AS25" s="139" t="s">
        <v>432</v>
      </c>
      <c r="AT25" s="139" t="s">
        <v>593</v>
      </c>
      <c r="AU25" s="139" t="s">
        <v>437</v>
      </c>
      <c r="AV25" s="140"/>
      <c r="AW25" s="139" t="s">
        <v>594</v>
      </c>
      <c r="AX25" s="139" t="s">
        <v>653</v>
      </c>
      <c r="AY25" s="139" t="s">
        <v>734</v>
      </c>
      <c r="AZ25" s="140"/>
      <c r="BA25" s="139" t="s">
        <v>597</v>
      </c>
      <c r="BB25" s="140">
        <v>159320</v>
      </c>
      <c r="BC25" s="140"/>
      <c r="BD25" s="140"/>
      <c r="BE25" s="140">
        <v>102.181</v>
      </c>
      <c r="BF25" s="139" t="s">
        <v>583</v>
      </c>
      <c r="BG25" s="139" t="s">
        <v>583</v>
      </c>
      <c r="BH25" s="139" t="s">
        <v>583</v>
      </c>
      <c r="BI25" s="139" t="s">
        <v>598</v>
      </c>
      <c r="BJ25" s="139" t="s">
        <v>624</v>
      </c>
      <c r="BK25" s="139" t="s">
        <v>583</v>
      </c>
      <c r="BL25" s="139" t="s">
        <v>583</v>
      </c>
      <c r="BM25" s="139" t="s">
        <v>583</v>
      </c>
      <c r="BN25" s="139" t="s">
        <v>583</v>
      </c>
      <c r="BO25" s="139" t="s">
        <v>583</v>
      </c>
      <c r="BP25" s="139" t="s">
        <v>583</v>
      </c>
      <c r="BQ25" s="139" t="s">
        <v>741</v>
      </c>
      <c r="BR25" s="140"/>
      <c r="BS25" s="139" t="s">
        <v>785</v>
      </c>
      <c r="BT25" s="99">
        <f t="shared" si="1"/>
        <v>0</v>
      </c>
      <c r="BU25" s="99">
        <f t="shared" si="0"/>
        <v>0</v>
      </c>
      <c r="BV25" s="99">
        <f t="shared" si="2"/>
        <v>0</v>
      </c>
      <c r="BW25" s="139" t="s">
        <v>743</v>
      </c>
      <c r="BX25" s="139" t="s">
        <v>744</v>
      </c>
      <c r="BY25" s="140">
        <v>420</v>
      </c>
      <c r="BZ25" s="140">
        <v>0</v>
      </c>
      <c r="CA25" s="99">
        <v>84000</v>
      </c>
      <c r="CB25" s="140" t="s">
        <v>603</v>
      </c>
      <c r="CC25" s="140"/>
      <c r="CD25" s="140"/>
      <c r="CE25" s="139" t="s">
        <v>577</v>
      </c>
      <c r="CF25" s="139" t="s">
        <v>604</v>
      </c>
      <c r="CG25" s="139" t="s">
        <v>583</v>
      </c>
      <c r="CH25" s="139" t="s">
        <v>583</v>
      </c>
      <c r="CI25" s="139" t="s">
        <v>733</v>
      </c>
      <c r="CJ25" s="140">
        <v>9240</v>
      </c>
      <c r="CK25" s="140" t="s">
        <v>605</v>
      </c>
      <c r="CL25" s="140">
        <v>4000000</v>
      </c>
      <c r="CM25" s="99">
        <v>8400</v>
      </c>
      <c r="CN25" s="140">
        <v>0</v>
      </c>
      <c r="CO25" s="139" t="s">
        <v>583</v>
      </c>
      <c r="CP25" s="139" t="s">
        <v>583</v>
      </c>
      <c r="CQ25" s="140">
        <v>159320</v>
      </c>
      <c r="CR25" s="140"/>
      <c r="CS25" s="140">
        <v>0</v>
      </c>
      <c r="CT25" s="140">
        <v>1</v>
      </c>
      <c r="CU25" s="140">
        <v>16279476.92</v>
      </c>
      <c r="CV25" s="99">
        <v>173655.16</v>
      </c>
      <c r="CW25" s="139" t="s">
        <v>606</v>
      </c>
      <c r="CX25" s="140">
        <v>20.67</v>
      </c>
      <c r="CY25" s="140"/>
      <c r="CZ25" s="140"/>
      <c r="DA25" s="140"/>
      <c r="DB25" s="140">
        <v>94</v>
      </c>
      <c r="DC25" s="140"/>
    </row>
    <row r="26" spans="2:107" ht="11.25" customHeight="1" x14ac:dyDescent="0.15">
      <c r="B26" s="139" t="s">
        <v>577</v>
      </c>
      <c r="C26" s="140" t="s">
        <v>676</v>
      </c>
      <c r="D26" s="140">
        <v>8</v>
      </c>
      <c r="E26" s="139" t="s">
        <v>786</v>
      </c>
      <c r="F26" s="139" t="s">
        <v>729</v>
      </c>
      <c r="G26" s="140" t="s">
        <v>676</v>
      </c>
      <c r="H26" s="139" t="s">
        <v>787</v>
      </c>
      <c r="I26" s="140" t="s">
        <v>421</v>
      </c>
      <c r="J26" s="139" t="s">
        <v>582</v>
      </c>
      <c r="K26" s="139" t="s">
        <v>583</v>
      </c>
      <c r="L26" s="139" t="s">
        <v>583</v>
      </c>
      <c r="M26" s="139" t="s">
        <v>583</v>
      </c>
      <c r="N26" s="139" t="s">
        <v>444</v>
      </c>
      <c r="O26" s="139" t="s">
        <v>788</v>
      </c>
      <c r="P26" s="139" t="s">
        <v>583</v>
      </c>
      <c r="Q26" s="139" t="s">
        <v>583</v>
      </c>
      <c r="R26" s="140"/>
      <c r="S26" s="140"/>
      <c r="T26" s="140">
        <v>1</v>
      </c>
      <c r="U26" s="140">
        <v>13</v>
      </c>
      <c r="V26" s="139" t="s">
        <v>709</v>
      </c>
      <c r="W26" s="139" t="s">
        <v>710</v>
      </c>
      <c r="X26" s="139" t="s">
        <v>711</v>
      </c>
      <c r="Y26" s="139" t="s">
        <v>789</v>
      </c>
      <c r="Z26" s="139" t="s">
        <v>713</v>
      </c>
      <c r="AA26" s="139" t="s">
        <v>714</v>
      </c>
      <c r="AB26" s="139" t="s">
        <v>709</v>
      </c>
      <c r="AC26" s="139" t="s">
        <v>710</v>
      </c>
      <c r="AD26" s="139" t="s">
        <v>711</v>
      </c>
      <c r="AE26" s="139" t="s">
        <v>789</v>
      </c>
      <c r="AF26" s="139" t="s">
        <v>713</v>
      </c>
      <c r="AG26" s="139" t="s">
        <v>714</v>
      </c>
      <c r="AH26" s="139" t="s">
        <v>751</v>
      </c>
      <c r="AI26" s="139" t="s">
        <v>433</v>
      </c>
      <c r="AJ26" s="140">
        <v>9285617.8000000007</v>
      </c>
      <c r="AK26" s="139" t="s">
        <v>709</v>
      </c>
      <c r="AL26" s="139" t="s">
        <v>710</v>
      </c>
      <c r="AM26" s="139" t="s">
        <v>711</v>
      </c>
      <c r="AN26" s="139" t="s">
        <v>789</v>
      </c>
      <c r="AO26" s="139" t="s">
        <v>713</v>
      </c>
      <c r="AP26" s="139" t="s">
        <v>714</v>
      </c>
      <c r="AQ26" s="139" t="s">
        <v>751</v>
      </c>
      <c r="AR26" s="139" t="s">
        <v>433</v>
      </c>
      <c r="AS26" s="139" t="s">
        <v>433</v>
      </c>
      <c r="AT26" s="139" t="s">
        <v>593</v>
      </c>
      <c r="AU26" s="139" t="s">
        <v>437</v>
      </c>
      <c r="AV26" s="140"/>
      <c r="AW26" s="139" t="s">
        <v>594</v>
      </c>
      <c r="AX26" s="139" t="s">
        <v>653</v>
      </c>
      <c r="AY26" s="139" t="s">
        <v>790</v>
      </c>
      <c r="AZ26" s="140"/>
      <c r="BA26" s="139" t="s">
        <v>597</v>
      </c>
      <c r="BB26" s="140">
        <v>86000</v>
      </c>
      <c r="BC26" s="140"/>
      <c r="BD26" s="140"/>
      <c r="BE26" s="140">
        <v>107.9723</v>
      </c>
      <c r="BF26" s="139" t="s">
        <v>583</v>
      </c>
      <c r="BG26" s="139" t="s">
        <v>583</v>
      </c>
      <c r="BH26" s="139" t="s">
        <v>583</v>
      </c>
      <c r="BI26" s="139" t="s">
        <v>598</v>
      </c>
      <c r="BJ26" s="139" t="s">
        <v>599</v>
      </c>
      <c r="BK26" s="139" t="s">
        <v>583</v>
      </c>
      <c r="BL26" s="139" t="s">
        <v>583</v>
      </c>
      <c r="BM26" s="139" t="s">
        <v>583</v>
      </c>
      <c r="BN26" s="139" t="s">
        <v>583</v>
      </c>
      <c r="BO26" s="139" t="s">
        <v>583</v>
      </c>
      <c r="BP26" s="139" t="s">
        <v>583</v>
      </c>
      <c r="BQ26" s="139" t="s">
        <v>723</v>
      </c>
      <c r="BR26" s="140"/>
      <c r="BS26" s="139" t="s">
        <v>791</v>
      </c>
      <c r="BT26" s="99">
        <f t="shared" si="1"/>
        <v>0</v>
      </c>
      <c r="BU26" s="99">
        <f t="shared" si="0"/>
        <v>0</v>
      </c>
      <c r="BV26" s="99">
        <f t="shared" si="2"/>
        <v>0</v>
      </c>
      <c r="BW26" s="139" t="s">
        <v>602</v>
      </c>
      <c r="BX26" s="139" t="s">
        <v>443</v>
      </c>
      <c r="BY26" s="140">
        <v>13</v>
      </c>
      <c r="BZ26" s="140">
        <v>0</v>
      </c>
      <c r="CA26" s="99">
        <v>58000</v>
      </c>
      <c r="CB26" s="140" t="s">
        <v>603</v>
      </c>
      <c r="CC26" s="140"/>
      <c r="CD26" s="140"/>
      <c r="CE26" s="139" t="s">
        <v>577</v>
      </c>
      <c r="CF26" s="139" t="s">
        <v>604</v>
      </c>
      <c r="CG26" s="139" t="s">
        <v>583</v>
      </c>
      <c r="CH26" s="139" t="s">
        <v>583</v>
      </c>
      <c r="CI26" s="139" t="s">
        <v>751</v>
      </c>
      <c r="CJ26" s="140">
        <v>6090</v>
      </c>
      <c r="CK26" s="140" t="s">
        <v>605</v>
      </c>
      <c r="CL26" s="140">
        <v>4000000</v>
      </c>
      <c r="CM26" s="99">
        <v>5800</v>
      </c>
      <c r="CN26" s="140">
        <v>0</v>
      </c>
      <c r="CO26" s="139" t="s">
        <v>583</v>
      </c>
      <c r="CP26" s="139" t="s">
        <v>583</v>
      </c>
      <c r="CQ26" s="140">
        <v>86000</v>
      </c>
      <c r="CR26" s="140"/>
      <c r="CS26" s="140">
        <v>0</v>
      </c>
      <c r="CT26" s="140">
        <v>1</v>
      </c>
      <c r="CU26" s="140">
        <v>9285617.8000000007</v>
      </c>
      <c r="CV26" s="99">
        <v>94551.87</v>
      </c>
      <c r="CW26" s="139" t="s">
        <v>606</v>
      </c>
      <c r="CX26" s="140">
        <v>16.3</v>
      </c>
      <c r="CY26" s="140"/>
      <c r="CZ26" s="140"/>
      <c r="DA26" s="140"/>
      <c r="DB26" s="140">
        <v>4</v>
      </c>
      <c r="DC26" s="140"/>
    </row>
    <row r="27" spans="2:107" ht="11.25" customHeight="1" x14ac:dyDescent="0.15">
      <c r="B27" s="139" t="s">
        <v>577</v>
      </c>
      <c r="C27" s="140" t="s">
        <v>607</v>
      </c>
      <c r="D27" s="140">
        <v>8</v>
      </c>
      <c r="E27" s="139" t="s">
        <v>792</v>
      </c>
      <c r="F27" s="139" t="s">
        <v>729</v>
      </c>
      <c r="G27" s="140" t="s">
        <v>607</v>
      </c>
      <c r="H27" s="139" t="s">
        <v>793</v>
      </c>
      <c r="I27" s="140" t="s">
        <v>421</v>
      </c>
      <c r="J27" s="139" t="s">
        <v>582</v>
      </c>
      <c r="K27" s="139" t="s">
        <v>583</v>
      </c>
      <c r="L27" s="139" t="s">
        <v>583</v>
      </c>
      <c r="M27" s="139" t="s">
        <v>583</v>
      </c>
      <c r="N27" s="139" t="s">
        <v>764</v>
      </c>
      <c r="O27" s="139" t="s">
        <v>765</v>
      </c>
      <c r="P27" s="139" t="s">
        <v>583</v>
      </c>
      <c r="Q27" s="139" t="s">
        <v>583</v>
      </c>
      <c r="R27" s="140"/>
      <c r="S27" s="140"/>
      <c r="T27" s="140">
        <v>1</v>
      </c>
      <c r="U27" s="140">
        <v>83</v>
      </c>
      <c r="V27" s="139" t="s">
        <v>766</v>
      </c>
      <c r="W27" s="139" t="s">
        <v>767</v>
      </c>
      <c r="X27" s="139" t="s">
        <v>768</v>
      </c>
      <c r="Y27" s="139" t="s">
        <v>769</v>
      </c>
      <c r="Z27" s="139" t="s">
        <v>713</v>
      </c>
      <c r="AA27" s="139" t="s">
        <v>770</v>
      </c>
      <c r="AB27" s="139" t="s">
        <v>766</v>
      </c>
      <c r="AC27" s="139" t="s">
        <v>767</v>
      </c>
      <c r="AD27" s="139" t="s">
        <v>768</v>
      </c>
      <c r="AE27" s="139" t="s">
        <v>769</v>
      </c>
      <c r="AF27" s="139" t="s">
        <v>713</v>
      </c>
      <c r="AG27" s="139" t="s">
        <v>770</v>
      </c>
      <c r="AH27" s="139" t="s">
        <v>751</v>
      </c>
      <c r="AI27" s="139" t="s">
        <v>433</v>
      </c>
      <c r="AJ27" s="140">
        <v>10441523.869999999</v>
      </c>
      <c r="AK27" s="139" t="s">
        <v>766</v>
      </c>
      <c r="AL27" s="139" t="s">
        <v>767</v>
      </c>
      <c r="AM27" s="139" t="s">
        <v>768</v>
      </c>
      <c r="AN27" s="139" t="s">
        <v>769</v>
      </c>
      <c r="AO27" s="139" t="s">
        <v>713</v>
      </c>
      <c r="AP27" s="139" t="s">
        <v>770</v>
      </c>
      <c r="AQ27" s="139" t="s">
        <v>751</v>
      </c>
      <c r="AR27" s="139" t="s">
        <v>433</v>
      </c>
      <c r="AS27" s="139" t="s">
        <v>433</v>
      </c>
      <c r="AT27" s="139" t="s">
        <v>593</v>
      </c>
      <c r="AU27" s="139" t="s">
        <v>437</v>
      </c>
      <c r="AV27" s="140"/>
      <c r="AW27" s="139" t="s">
        <v>594</v>
      </c>
      <c r="AX27" s="139" t="s">
        <v>622</v>
      </c>
      <c r="AY27" s="139" t="s">
        <v>771</v>
      </c>
      <c r="AZ27" s="140"/>
      <c r="BA27" s="139" t="s">
        <v>597</v>
      </c>
      <c r="BB27" s="140">
        <v>100556</v>
      </c>
      <c r="BC27" s="140"/>
      <c r="BD27" s="140"/>
      <c r="BE27" s="140">
        <v>103.8379</v>
      </c>
      <c r="BF27" s="139" t="s">
        <v>583</v>
      </c>
      <c r="BG27" s="139" t="s">
        <v>583</v>
      </c>
      <c r="BH27" s="139" t="s">
        <v>583</v>
      </c>
      <c r="BI27" s="139" t="s">
        <v>598</v>
      </c>
      <c r="BJ27" s="139" t="s">
        <v>615</v>
      </c>
      <c r="BK27" s="139" t="s">
        <v>583</v>
      </c>
      <c r="BL27" s="139" t="s">
        <v>583</v>
      </c>
      <c r="BM27" s="139" t="s">
        <v>583</v>
      </c>
      <c r="BN27" s="139" t="s">
        <v>583</v>
      </c>
      <c r="BO27" s="139" t="s">
        <v>583</v>
      </c>
      <c r="BP27" s="139" t="s">
        <v>583</v>
      </c>
      <c r="BQ27" s="139" t="s">
        <v>772</v>
      </c>
      <c r="BR27" s="140"/>
      <c r="BS27" s="139" t="s">
        <v>773</v>
      </c>
      <c r="BT27" s="99">
        <f t="shared" si="1"/>
        <v>0</v>
      </c>
      <c r="BU27" s="99">
        <f t="shared" si="0"/>
        <v>0</v>
      </c>
      <c r="BV27" s="99">
        <f t="shared" si="2"/>
        <v>0</v>
      </c>
      <c r="BW27" s="139" t="s">
        <v>774</v>
      </c>
      <c r="BX27" s="139" t="s">
        <v>764</v>
      </c>
      <c r="BY27" s="140">
        <v>83</v>
      </c>
      <c r="BZ27" s="140"/>
      <c r="CA27" s="99">
        <v>16600</v>
      </c>
      <c r="CB27" s="140" t="s">
        <v>603</v>
      </c>
      <c r="CC27" s="140"/>
      <c r="CD27" s="140"/>
      <c r="CE27" s="139" t="s">
        <v>577</v>
      </c>
      <c r="CF27" s="139" t="s">
        <v>775</v>
      </c>
      <c r="CG27" s="139" t="s">
        <v>583</v>
      </c>
      <c r="CH27" s="139" t="s">
        <v>583</v>
      </c>
      <c r="CI27" s="139" t="s">
        <v>751</v>
      </c>
      <c r="CJ27" s="140">
        <v>1626.8</v>
      </c>
      <c r="CK27" s="140" t="s">
        <v>657</v>
      </c>
      <c r="CL27" s="140">
        <v>4000000</v>
      </c>
      <c r="CM27" s="99">
        <v>1328</v>
      </c>
      <c r="CN27" s="140">
        <v>0</v>
      </c>
      <c r="CO27" s="139" t="s">
        <v>583</v>
      </c>
      <c r="CP27" s="139" t="s">
        <v>583</v>
      </c>
      <c r="CQ27" s="140">
        <v>100556</v>
      </c>
      <c r="CR27" s="140"/>
      <c r="CS27" s="140"/>
      <c r="CT27" s="140"/>
      <c r="CU27" s="140">
        <v>10441523.869999999</v>
      </c>
      <c r="CV27" s="99">
        <v>110133.83</v>
      </c>
      <c r="CW27" s="139" t="s">
        <v>606</v>
      </c>
      <c r="CX27" s="140">
        <v>82.93</v>
      </c>
      <c r="CY27" s="140"/>
      <c r="CZ27" s="140"/>
      <c r="DA27" s="140"/>
      <c r="DB27" s="140">
        <v>324</v>
      </c>
      <c r="DC27" s="140"/>
    </row>
    <row r="28" spans="2:107" ht="11.25" customHeight="1" x14ac:dyDescent="0.15">
      <c r="B28" s="139" t="s">
        <v>577</v>
      </c>
      <c r="C28" s="140" t="s">
        <v>794</v>
      </c>
      <c r="D28" s="140">
        <v>7</v>
      </c>
      <c r="E28" s="139" t="s">
        <v>795</v>
      </c>
      <c r="F28" s="139" t="s">
        <v>796</v>
      </c>
      <c r="G28" s="140" t="s">
        <v>794</v>
      </c>
      <c r="H28" s="139" t="s">
        <v>797</v>
      </c>
      <c r="I28" s="140" t="s">
        <v>421</v>
      </c>
      <c r="J28" s="139" t="s">
        <v>582</v>
      </c>
      <c r="K28" s="139" t="s">
        <v>583</v>
      </c>
      <c r="L28" s="139" t="s">
        <v>583</v>
      </c>
      <c r="M28" s="139" t="s">
        <v>583</v>
      </c>
      <c r="N28" s="139" t="s">
        <v>764</v>
      </c>
      <c r="O28" s="139" t="s">
        <v>798</v>
      </c>
      <c r="P28" s="139" t="s">
        <v>583</v>
      </c>
      <c r="Q28" s="139" t="s">
        <v>583</v>
      </c>
      <c r="R28" s="140">
        <v>1</v>
      </c>
      <c r="S28" s="140">
        <v>0</v>
      </c>
      <c r="T28" s="140">
        <v>1</v>
      </c>
      <c r="U28" s="140">
        <v>115</v>
      </c>
      <c r="V28" s="139" t="s">
        <v>799</v>
      </c>
      <c r="W28" s="139" t="s">
        <v>800</v>
      </c>
      <c r="X28" s="139" t="s">
        <v>801</v>
      </c>
      <c r="Y28" s="139" t="s">
        <v>802</v>
      </c>
      <c r="Z28" s="139" t="s">
        <v>803</v>
      </c>
      <c r="AA28" s="139" t="s">
        <v>804</v>
      </c>
      <c r="AB28" s="139" t="s">
        <v>799</v>
      </c>
      <c r="AC28" s="139" t="s">
        <v>800</v>
      </c>
      <c r="AD28" s="139" t="s">
        <v>801</v>
      </c>
      <c r="AE28" s="139" t="s">
        <v>802</v>
      </c>
      <c r="AF28" s="139" t="s">
        <v>803</v>
      </c>
      <c r="AG28" s="139" t="s">
        <v>804</v>
      </c>
      <c r="AH28" s="139" t="s">
        <v>751</v>
      </c>
      <c r="AI28" s="139" t="s">
        <v>433</v>
      </c>
      <c r="AJ28" s="140">
        <v>8126634.1799999997</v>
      </c>
      <c r="AK28" s="139" t="s">
        <v>799</v>
      </c>
      <c r="AL28" s="139" t="s">
        <v>800</v>
      </c>
      <c r="AM28" s="139" t="s">
        <v>801</v>
      </c>
      <c r="AN28" s="139" t="s">
        <v>802</v>
      </c>
      <c r="AO28" s="139" t="s">
        <v>803</v>
      </c>
      <c r="AP28" s="139" t="s">
        <v>583</v>
      </c>
      <c r="AQ28" s="139" t="s">
        <v>751</v>
      </c>
      <c r="AR28" s="139" t="s">
        <v>433</v>
      </c>
      <c r="AS28" s="139" t="s">
        <v>433</v>
      </c>
      <c r="AT28" s="139" t="s">
        <v>593</v>
      </c>
      <c r="AU28" s="139" t="s">
        <v>437</v>
      </c>
      <c r="AV28" s="140">
        <v>2</v>
      </c>
      <c r="AW28" s="139" t="s">
        <v>594</v>
      </c>
      <c r="AX28" s="139" t="s">
        <v>653</v>
      </c>
      <c r="AY28" s="139" t="s">
        <v>805</v>
      </c>
      <c r="AZ28" s="140">
        <v>1</v>
      </c>
      <c r="BA28" s="139" t="s">
        <v>597</v>
      </c>
      <c r="BB28" s="140">
        <v>81300</v>
      </c>
      <c r="BC28" s="140"/>
      <c r="BD28" s="140"/>
      <c r="BE28" s="140">
        <v>99.958600000000004</v>
      </c>
      <c r="BF28" s="139" t="s">
        <v>606</v>
      </c>
      <c r="BG28" s="139" t="s">
        <v>735</v>
      </c>
      <c r="BH28" s="139" t="s">
        <v>806</v>
      </c>
      <c r="BI28" s="139" t="s">
        <v>807</v>
      </c>
      <c r="BJ28" s="139" t="s">
        <v>599</v>
      </c>
      <c r="BK28" s="139" t="s">
        <v>583</v>
      </c>
      <c r="BL28" s="139" t="s">
        <v>583</v>
      </c>
      <c r="BM28" s="139" t="s">
        <v>583</v>
      </c>
      <c r="BN28" s="139" t="s">
        <v>808</v>
      </c>
      <c r="BO28" s="139" t="s">
        <v>809</v>
      </c>
      <c r="BP28" s="139" t="s">
        <v>810</v>
      </c>
      <c r="BQ28" s="139" t="s">
        <v>811</v>
      </c>
      <c r="BR28" s="140"/>
      <c r="BS28" s="139" t="s">
        <v>812</v>
      </c>
      <c r="BT28" s="99">
        <f t="shared" si="1"/>
        <v>0</v>
      </c>
      <c r="BU28" s="99">
        <f t="shared" si="0"/>
        <v>0</v>
      </c>
      <c r="BV28" s="99">
        <f t="shared" si="2"/>
        <v>0</v>
      </c>
      <c r="BW28" s="139" t="s">
        <v>602</v>
      </c>
      <c r="BX28" s="139" t="s">
        <v>764</v>
      </c>
      <c r="BY28" s="140">
        <v>115</v>
      </c>
      <c r="BZ28" s="140">
        <v>0</v>
      </c>
      <c r="CA28" s="99">
        <v>23000</v>
      </c>
      <c r="CB28" s="140" t="s">
        <v>603</v>
      </c>
      <c r="CC28" s="140">
        <v>0</v>
      </c>
      <c r="CD28" s="140"/>
      <c r="CE28" s="139" t="s">
        <v>577</v>
      </c>
      <c r="CF28" s="139" t="s">
        <v>775</v>
      </c>
      <c r="CG28" s="139" t="s">
        <v>583</v>
      </c>
      <c r="CH28" s="139" t="s">
        <v>583</v>
      </c>
      <c r="CI28" s="139" t="s">
        <v>751</v>
      </c>
      <c r="CJ28" s="140">
        <v>2254</v>
      </c>
      <c r="CK28" s="140" t="s">
        <v>657</v>
      </c>
      <c r="CL28" s="140">
        <v>4000000</v>
      </c>
      <c r="CM28" s="99">
        <v>1840</v>
      </c>
      <c r="CN28" s="140">
        <v>0</v>
      </c>
      <c r="CO28" s="139" t="s">
        <v>583</v>
      </c>
      <c r="CP28" s="139" t="s">
        <v>583</v>
      </c>
      <c r="CQ28" s="140">
        <v>81300</v>
      </c>
      <c r="CR28" s="140">
        <v>8126634.1799999997</v>
      </c>
      <c r="CS28" s="140">
        <v>0</v>
      </c>
      <c r="CT28" s="140">
        <v>1</v>
      </c>
      <c r="CU28" s="140">
        <v>8126634.1799999997</v>
      </c>
      <c r="CV28" s="99">
        <v>89324.97</v>
      </c>
      <c r="CW28" s="139" t="s">
        <v>606</v>
      </c>
      <c r="CX28" s="140">
        <v>48.55</v>
      </c>
      <c r="CY28" s="140">
        <v>1069</v>
      </c>
      <c r="CZ28" s="140" t="s">
        <v>813</v>
      </c>
      <c r="DA28" s="140" t="s">
        <v>814</v>
      </c>
      <c r="DB28" s="140">
        <v>123</v>
      </c>
      <c r="DC28" s="140"/>
    </row>
    <row r="29" spans="2:107" ht="11.25" customHeight="1" x14ac:dyDescent="0.15">
      <c r="B29" s="139" t="s">
        <v>577</v>
      </c>
      <c r="C29" s="140" t="s">
        <v>794</v>
      </c>
      <c r="D29" s="140">
        <v>7</v>
      </c>
      <c r="E29" s="139" t="s">
        <v>815</v>
      </c>
      <c r="F29" s="139" t="s">
        <v>748</v>
      </c>
      <c r="G29" s="140" t="s">
        <v>794</v>
      </c>
      <c r="H29" s="139" t="s">
        <v>816</v>
      </c>
      <c r="I29" s="140" t="s">
        <v>421</v>
      </c>
      <c r="J29" s="139" t="s">
        <v>582</v>
      </c>
      <c r="K29" s="139" t="s">
        <v>583</v>
      </c>
      <c r="L29" s="139" t="s">
        <v>583</v>
      </c>
      <c r="M29" s="139" t="s">
        <v>583</v>
      </c>
      <c r="N29" s="139" t="s">
        <v>817</v>
      </c>
      <c r="O29" s="139" t="s">
        <v>818</v>
      </c>
      <c r="P29" s="139" t="s">
        <v>583</v>
      </c>
      <c r="Q29" s="139" t="s">
        <v>583</v>
      </c>
      <c r="R29" s="140">
        <v>1</v>
      </c>
      <c r="S29" s="140"/>
      <c r="T29" s="140">
        <v>1</v>
      </c>
      <c r="U29" s="140">
        <v>10</v>
      </c>
      <c r="V29" s="139" t="s">
        <v>819</v>
      </c>
      <c r="W29" s="139" t="s">
        <v>820</v>
      </c>
      <c r="X29" s="139" t="s">
        <v>821</v>
      </c>
      <c r="Y29" s="139" t="s">
        <v>822</v>
      </c>
      <c r="Z29" s="139" t="s">
        <v>823</v>
      </c>
      <c r="AA29" s="139" t="s">
        <v>824</v>
      </c>
      <c r="AB29" s="139" t="s">
        <v>819</v>
      </c>
      <c r="AC29" s="139" t="s">
        <v>820</v>
      </c>
      <c r="AD29" s="139" t="s">
        <v>821</v>
      </c>
      <c r="AE29" s="139" t="s">
        <v>822</v>
      </c>
      <c r="AF29" s="139" t="s">
        <v>823</v>
      </c>
      <c r="AG29" s="139" t="s">
        <v>824</v>
      </c>
      <c r="AH29" s="139" t="s">
        <v>759</v>
      </c>
      <c r="AI29" s="139" t="s">
        <v>434</v>
      </c>
      <c r="AJ29" s="140">
        <v>7576861.8799999999</v>
      </c>
      <c r="AK29" s="139" t="s">
        <v>819</v>
      </c>
      <c r="AL29" s="139" t="s">
        <v>820</v>
      </c>
      <c r="AM29" s="139" t="s">
        <v>821</v>
      </c>
      <c r="AN29" s="139" t="s">
        <v>822</v>
      </c>
      <c r="AO29" s="139" t="s">
        <v>823</v>
      </c>
      <c r="AP29" s="139" t="s">
        <v>583</v>
      </c>
      <c r="AQ29" s="139" t="s">
        <v>759</v>
      </c>
      <c r="AR29" s="139" t="s">
        <v>434</v>
      </c>
      <c r="AS29" s="139" t="s">
        <v>434</v>
      </c>
      <c r="AT29" s="139" t="s">
        <v>593</v>
      </c>
      <c r="AU29" s="139" t="s">
        <v>437</v>
      </c>
      <c r="AV29" s="140">
        <v>2</v>
      </c>
      <c r="AW29" s="139" t="s">
        <v>594</v>
      </c>
      <c r="AX29" s="139" t="s">
        <v>653</v>
      </c>
      <c r="AY29" s="139" t="s">
        <v>825</v>
      </c>
      <c r="AZ29" s="140">
        <v>1</v>
      </c>
      <c r="BA29" s="139" t="s">
        <v>597</v>
      </c>
      <c r="BB29" s="140">
        <v>75800</v>
      </c>
      <c r="BC29" s="140"/>
      <c r="BD29" s="140"/>
      <c r="BE29" s="140">
        <v>99.958600000000004</v>
      </c>
      <c r="BF29" s="139" t="s">
        <v>606</v>
      </c>
      <c r="BG29" s="139" t="s">
        <v>735</v>
      </c>
      <c r="BH29" s="139" t="s">
        <v>826</v>
      </c>
      <c r="BI29" s="139" t="s">
        <v>827</v>
      </c>
      <c r="BJ29" s="139" t="s">
        <v>599</v>
      </c>
      <c r="BK29" s="139" t="s">
        <v>583</v>
      </c>
      <c r="BL29" s="139" t="s">
        <v>583</v>
      </c>
      <c r="BM29" s="139" t="s">
        <v>583</v>
      </c>
      <c r="BN29" s="139" t="s">
        <v>828</v>
      </c>
      <c r="BO29" s="139" t="s">
        <v>829</v>
      </c>
      <c r="BP29" s="139" t="s">
        <v>830</v>
      </c>
      <c r="BQ29" s="139" t="s">
        <v>723</v>
      </c>
      <c r="BR29" s="140"/>
      <c r="BS29" s="139" t="s">
        <v>831</v>
      </c>
      <c r="BT29" s="99">
        <f t="shared" si="1"/>
        <v>1</v>
      </c>
      <c r="BU29" s="99">
        <f t="shared" si="0"/>
        <v>1</v>
      </c>
      <c r="BV29" s="99">
        <f t="shared" si="2"/>
        <v>1</v>
      </c>
      <c r="BW29" s="139" t="s">
        <v>602</v>
      </c>
      <c r="BX29" s="139" t="s">
        <v>817</v>
      </c>
      <c r="BY29" s="140">
        <v>10</v>
      </c>
      <c r="BZ29" s="140"/>
      <c r="CA29" s="99">
        <v>46000</v>
      </c>
      <c r="CB29" s="140" t="s">
        <v>603</v>
      </c>
      <c r="CC29" s="140"/>
      <c r="CD29" s="140"/>
      <c r="CE29" s="139" t="s">
        <v>577</v>
      </c>
      <c r="CF29" s="139" t="s">
        <v>604</v>
      </c>
      <c r="CG29" s="139" t="s">
        <v>583</v>
      </c>
      <c r="CH29" s="139" t="s">
        <v>583</v>
      </c>
      <c r="CI29" s="139" t="s">
        <v>759</v>
      </c>
      <c r="CJ29" s="140">
        <v>4830</v>
      </c>
      <c r="CK29" s="140" t="s">
        <v>605</v>
      </c>
      <c r="CL29" s="140">
        <v>4000000</v>
      </c>
      <c r="CM29" s="99">
        <v>4485</v>
      </c>
      <c r="CN29" s="140"/>
      <c r="CO29" s="139" t="s">
        <v>583</v>
      </c>
      <c r="CP29" s="139" t="s">
        <v>583</v>
      </c>
      <c r="CQ29" s="140">
        <v>75800</v>
      </c>
      <c r="CR29" s="140">
        <v>7576861.8799999999</v>
      </c>
      <c r="CS29" s="140">
        <v>0</v>
      </c>
      <c r="CT29" s="140">
        <v>1</v>
      </c>
      <c r="CU29" s="140">
        <v>7576861.8799999999</v>
      </c>
      <c r="CV29" s="99">
        <v>83282.080000000002</v>
      </c>
      <c r="CW29" s="139" t="s">
        <v>606</v>
      </c>
      <c r="CX29" s="140">
        <v>18.57</v>
      </c>
      <c r="CY29" s="140"/>
      <c r="CZ29" s="140"/>
      <c r="DA29" s="140" t="s">
        <v>832</v>
      </c>
      <c r="DB29" s="140">
        <v>91</v>
      </c>
      <c r="DC29" s="140"/>
    </row>
    <row r="30" spans="2:107" ht="11.25" customHeight="1" x14ac:dyDescent="0.15">
      <c r="B30" s="139" t="s">
        <v>577</v>
      </c>
      <c r="C30" s="140" t="s">
        <v>794</v>
      </c>
      <c r="D30" s="140">
        <v>7</v>
      </c>
      <c r="E30" s="139" t="s">
        <v>833</v>
      </c>
      <c r="F30" s="139" t="s">
        <v>580</v>
      </c>
      <c r="G30" s="140" t="s">
        <v>794</v>
      </c>
      <c r="H30" s="139" t="s">
        <v>834</v>
      </c>
      <c r="I30" s="140" t="s">
        <v>421</v>
      </c>
      <c r="J30" s="139" t="s">
        <v>582</v>
      </c>
      <c r="K30" s="139" t="s">
        <v>583</v>
      </c>
      <c r="L30" s="139" t="s">
        <v>583</v>
      </c>
      <c r="M30" s="139" t="s">
        <v>583</v>
      </c>
      <c r="N30" s="139" t="s">
        <v>757</v>
      </c>
      <c r="O30" s="139" t="s">
        <v>758</v>
      </c>
      <c r="P30" s="139" t="s">
        <v>583</v>
      </c>
      <c r="Q30" s="139" t="s">
        <v>583</v>
      </c>
      <c r="R30" s="140">
        <v>1</v>
      </c>
      <c r="S30" s="140"/>
      <c r="T30" s="140">
        <v>1</v>
      </c>
      <c r="U30" s="140">
        <v>5</v>
      </c>
      <c r="V30" s="139" t="s">
        <v>835</v>
      </c>
      <c r="W30" s="139" t="s">
        <v>836</v>
      </c>
      <c r="X30" s="139" t="s">
        <v>837</v>
      </c>
      <c r="Y30" s="139" t="s">
        <v>838</v>
      </c>
      <c r="Z30" s="139" t="s">
        <v>590</v>
      </c>
      <c r="AA30" s="139" t="s">
        <v>839</v>
      </c>
      <c r="AB30" s="139" t="s">
        <v>835</v>
      </c>
      <c r="AC30" s="139" t="s">
        <v>836</v>
      </c>
      <c r="AD30" s="139" t="s">
        <v>837</v>
      </c>
      <c r="AE30" s="139" t="s">
        <v>838</v>
      </c>
      <c r="AF30" s="139" t="s">
        <v>590</v>
      </c>
      <c r="AG30" s="139" t="s">
        <v>839</v>
      </c>
      <c r="AH30" s="139" t="s">
        <v>759</v>
      </c>
      <c r="AI30" s="139" t="s">
        <v>434</v>
      </c>
      <c r="AJ30" s="140">
        <v>4269231.8099999996</v>
      </c>
      <c r="AK30" s="139" t="s">
        <v>835</v>
      </c>
      <c r="AL30" s="139" t="s">
        <v>836</v>
      </c>
      <c r="AM30" s="139" t="s">
        <v>837</v>
      </c>
      <c r="AN30" s="139" t="s">
        <v>838</v>
      </c>
      <c r="AO30" s="139" t="s">
        <v>590</v>
      </c>
      <c r="AP30" s="139" t="s">
        <v>583</v>
      </c>
      <c r="AQ30" s="139" t="s">
        <v>759</v>
      </c>
      <c r="AR30" s="139" t="s">
        <v>434</v>
      </c>
      <c r="AS30" s="139" t="s">
        <v>434</v>
      </c>
      <c r="AT30" s="139" t="s">
        <v>593</v>
      </c>
      <c r="AU30" s="139" t="s">
        <v>437</v>
      </c>
      <c r="AV30" s="140">
        <v>2</v>
      </c>
      <c r="AW30" s="139" t="s">
        <v>594</v>
      </c>
      <c r="AX30" s="139" t="s">
        <v>595</v>
      </c>
      <c r="AY30" s="139" t="s">
        <v>840</v>
      </c>
      <c r="AZ30" s="140">
        <v>1</v>
      </c>
      <c r="BA30" s="139" t="s">
        <v>597</v>
      </c>
      <c r="BB30" s="140">
        <v>41100</v>
      </c>
      <c r="BC30" s="140"/>
      <c r="BD30" s="140"/>
      <c r="BE30" s="140">
        <v>99.958600000000004</v>
      </c>
      <c r="BF30" s="139" t="s">
        <v>606</v>
      </c>
      <c r="BG30" s="139" t="s">
        <v>735</v>
      </c>
      <c r="BH30" s="139" t="s">
        <v>841</v>
      </c>
      <c r="BI30" s="139" t="s">
        <v>827</v>
      </c>
      <c r="BJ30" s="139" t="s">
        <v>599</v>
      </c>
      <c r="BK30" s="139" t="s">
        <v>583</v>
      </c>
      <c r="BL30" s="139" t="s">
        <v>583</v>
      </c>
      <c r="BM30" s="139" t="s">
        <v>583</v>
      </c>
      <c r="BN30" s="139" t="s">
        <v>842</v>
      </c>
      <c r="BO30" s="139" t="s">
        <v>843</v>
      </c>
      <c r="BP30" s="139" t="s">
        <v>830</v>
      </c>
      <c r="BQ30" s="139" t="s">
        <v>723</v>
      </c>
      <c r="BR30" s="140"/>
      <c r="BS30" s="139" t="s">
        <v>844</v>
      </c>
      <c r="BT30" s="99">
        <f t="shared" si="1"/>
        <v>1</v>
      </c>
      <c r="BU30" s="99">
        <f t="shared" si="0"/>
        <v>0</v>
      </c>
      <c r="BV30" s="99">
        <f t="shared" si="2"/>
        <v>1</v>
      </c>
      <c r="BW30" s="139" t="s">
        <v>602</v>
      </c>
      <c r="BX30" s="139" t="s">
        <v>845</v>
      </c>
      <c r="BY30" s="140">
        <v>5</v>
      </c>
      <c r="BZ30" s="140"/>
      <c r="CA30" s="99">
        <v>27400</v>
      </c>
      <c r="CB30" s="140" t="s">
        <v>603</v>
      </c>
      <c r="CC30" s="140"/>
      <c r="CD30" s="140"/>
      <c r="CE30" s="139" t="s">
        <v>577</v>
      </c>
      <c r="CF30" s="139" t="s">
        <v>604</v>
      </c>
      <c r="CG30" s="139" t="s">
        <v>583</v>
      </c>
      <c r="CH30" s="139" t="s">
        <v>583</v>
      </c>
      <c r="CI30" s="139" t="s">
        <v>759</v>
      </c>
      <c r="CJ30" s="140">
        <v>2877</v>
      </c>
      <c r="CK30" s="140" t="s">
        <v>605</v>
      </c>
      <c r="CL30" s="140">
        <v>4000000</v>
      </c>
      <c r="CM30" s="99">
        <v>2672</v>
      </c>
      <c r="CN30" s="140"/>
      <c r="CO30" s="139" t="s">
        <v>583</v>
      </c>
      <c r="CP30" s="139" t="s">
        <v>583</v>
      </c>
      <c r="CQ30" s="140">
        <v>41100</v>
      </c>
      <c r="CR30" s="140">
        <v>4108298.46</v>
      </c>
      <c r="CS30" s="140">
        <v>0</v>
      </c>
      <c r="CT30" s="140">
        <v>1</v>
      </c>
      <c r="CU30" s="140">
        <v>4269231.8099999996</v>
      </c>
      <c r="CV30" s="99">
        <v>46925.83</v>
      </c>
      <c r="CW30" s="139" t="s">
        <v>606</v>
      </c>
      <c r="CX30" s="140">
        <v>17.559999999999999</v>
      </c>
      <c r="CY30" s="140"/>
      <c r="CZ30" s="140"/>
      <c r="DA30" s="140" t="s">
        <v>846</v>
      </c>
      <c r="DB30" s="140">
        <v>1295</v>
      </c>
      <c r="DC30" s="140"/>
    </row>
    <row r="31" spans="2:107" ht="11.25" customHeight="1" x14ac:dyDescent="0.15">
      <c r="B31" s="139" t="s">
        <v>577</v>
      </c>
      <c r="C31" s="140" t="s">
        <v>794</v>
      </c>
      <c r="D31" s="140">
        <v>7</v>
      </c>
      <c r="E31" s="139" t="s">
        <v>847</v>
      </c>
      <c r="F31" s="139" t="s">
        <v>580</v>
      </c>
      <c r="G31" s="140" t="s">
        <v>794</v>
      </c>
      <c r="H31" s="139" t="s">
        <v>848</v>
      </c>
      <c r="I31" s="140" t="s">
        <v>421</v>
      </c>
      <c r="J31" s="139" t="s">
        <v>582</v>
      </c>
      <c r="K31" s="139" t="s">
        <v>583</v>
      </c>
      <c r="L31" s="139" t="s">
        <v>583</v>
      </c>
      <c r="M31" s="139" t="s">
        <v>583</v>
      </c>
      <c r="N31" s="139" t="s">
        <v>757</v>
      </c>
      <c r="O31" s="139" t="s">
        <v>849</v>
      </c>
      <c r="P31" s="139" t="s">
        <v>583</v>
      </c>
      <c r="Q31" s="139" t="s">
        <v>583</v>
      </c>
      <c r="R31" s="140">
        <v>1</v>
      </c>
      <c r="S31" s="140">
        <v>0</v>
      </c>
      <c r="T31" s="140">
        <v>1</v>
      </c>
      <c r="U31" s="140">
        <v>21</v>
      </c>
      <c r="V31" s="139" t="s">
        <v>586</v>
      </c>
      <c r="W31" s="139" t="s">
        <v>587</v>
      </c>
      <c r="X31" s="139" t="s">
        <v>588</v>
      </c>
      <c r="Y31" s="139" t="s">
        <v>589</v>
      </c>
      <c r="Z31" s="139" t="s">
        <v>590</v>
      </c>
      <c r="AA31" s="139" t="s">
        <v>591</v>
      </c>
      <c r="AB31" s="139" t="s">
        <v>586</v>
      </c>
      <c r="AC31" s="139" t="s">
        <v>587</v>
      </c>
      <c r="AD31" s="139" t="s">
        <v>588</v>
      </c>
      <c r="AE31" s="139" t="s">
        <v>589</v>
      </c>
      <c r="AF31" s="139" t="s">
        <v>590</v>
      </c>
      <c r="AG31" s="139" t="s">
        <v>591</v>
      </c>
      <c r="AH31" s="139" t="s">
        <v>759</v>
      </c>
      <c r="AI31" s="139" t="s">
        <v>434</v>
      </c>
      <c r="AJ31" s="140">
        <v>15041770.130000001</v>
      </c>
      <c r="AK31" s="139" t="s">
        <v>586</v>
      </c>
      <c r="AL31" s="139" t="s">
        <v>587</v>
      </c>
      <c r="AM31" s="139" t="s">
        <v>588</v>
      </c>
      <c r="AN31" s="139" t="s">
        <v>589</v>
      </c>
      <c r="AO31" s="139" t="s">
        <v>590</v>
      </c>
      <c r="AP31" s="139" t="s">
        <v>583</v>
      </c>
      <c r="AQ31" s="139" t="s">
        <v>759</v>
      </c>
      <c r="AR31" s="139" t="s">
        <v>434</v>
      </c>
      <c r="AS31" s="139" t="s">
        <v>434</v>
      </c>
      <c r="AT31" s="139" t="s">
        <v>593</v>
      </c>
      <c r="AU31" s="139" t="s">
        <v>437</v>
      </c>
      <c r="AV31" s="140">
        <v>2</v>
      </c>
      <c r="AW31" s="139" t="s">
        <v>594</v>
      </c>
      <c r="AX31" s="139" t="s">
        <v>653</v>
      </c>
      <c r="AY31" s="139" t="s">
        <v>850</v>
      </c>
      <c r="AZ31" s="140">
        <v>1</v>
      </c>
      <c r="BA31" s="139" t="s">
        <v>597</v>
      </c>
      <c r="BB31" s="140">
        <v>150480</v>
      </c>
      <c r="BC31" s="140"/>
      <c r="BD31" s="140"/>
      <c r="BE31" s="140">
        <v>99.958600000000004</v>
      </c>
      <c r="BF31" s="139" t="s">
        <v>606</v>
      </c>
      <c r="BG31" s="139" t="s">
        <v>735</v>
      </c>
      <c r="BH31" s="139" t="s">
        <v>851</v>
      </c>
      <c r="BI31" s="139" t="s">
        <v>852</v>
      </c>
      <c r="BJ31" s="139" t="s">
        <v>599</v>
      </c>
      <c r="BK31" s="139" t="s">
        <v>583</v>
      </c>
      <c r="BL31" s="139" t="s">
        <v>583</v>
      </c>
      <c r="BM31" s="139" t="s">
        <v>583</v>
      </c>
      <c r="BN31" s="139" t="s">
        <v>853</v>
      </c>
      <c r="BO31" s="139" t="s">
        <v>854</v>
      </c>
      <c r="BP31" s="139" t="s">
        <v>855</v>
      </c>
      <c r="BQ31" s="139" t="s">
        <v>600</v>
      </c>
      <c r="BR31" s="140"/>
      <c r="BS31" s="139" t="s">
        <v>601</v>
      </c>
      <c r="BT31" s="99">
        <f t="shared" si="1"/>
        <v>0</v>
      </c>
      <c r="BU31" s="99">
        <f t="shared" si="0"/>
        <v>1</v>
      </c>
      <c r="BV31" s="99">
        <f t="shared" si="2"/>
        <v>1</v>
      </c>
      <c r="BW31" s="139" t="s">
        <v>602</v>
      </c>
      <c r="BX31" s="139" t="s">
        <v>757</v>
      </c>
      <c r="BY31" s="140">
        <v>21</v>
      </c>
      <c r="BZ31" s="140">
        <v>0</v>
      </c>
      <c r="CA31" s="99">
        <v>99000</v>
      </c>
      <c r="CB31" s="140" t="s">
        <v>603</v>
      </c>
      <c r="CC31" s="140">
        <v>0</v>
      </c>
      <c r="CD31" s="140"/>
      <c r="CE31" s="139" t="s">
        <v>577</v>
      </c>
      <c r="CF31" s="139" t="s">
        <v>604</v>
      </c>
      <c r="CG31" s="139" t="s">
        <v>583</v>
      </c>
      <c r="CH31" s="139" t="s">
        <v>583</v>
      </c>
      <c r="CI31" s="139" t="s">
        <v>759</v>
      </c>
      <c r="CJ31" s="140">
        <v>10395</v>
      </c>
      <c r="CK31" s="140" t="s">
        <v>605</v>
      </c>
      <c r="CL31" s="140">
        <v>4000000</v>
      </c>
      <c r="CM31" s="99">
        <v>9653</v>
      </c>
      <c r="CN31" s="140">
        <v>0</v>
      </c>
      <c r="CO31" s="139" t="s">
        <v>583</v>
      </c>
      <c r="CP31" s="139" t="s">
        <v>583</v>
      </c>
      <c r="CQ31" s="140">
        <v>150480</v>
      </c>
      <c r="CR31" s="140">
        <v>15041770.130000001</v>
      </c>
      <c r="CS31" s="140">
        <v>0</v>
      </c>
      <c r="CT31" s="140">
        <v>1</v>
      </c>
      <c r="CU31" s="140">
        <v>15041770.130000001</v>
      </c>
      <c r="CV31" s="99">
        <v>165333.6</v>
      </c>
      <c r="CW31" s="139" t="s">
        <v>606</v>
      </c>
      <c r="CX31" s="140">
        <v>17.13</v>
      </c>
      <c r="CY31" s="140"/>
      <c r="CZ31" s="140"/>
      <c r="DA31" s="140" t="s">
        <v>856</v>
      </c>
      <c r="DB31" s="140">
        <v>1333</v>
      </c>
      <c r="DC31" s="140"/>
    </row>
    <row r="32" spans="2:107" ht="11.25" customHeight="1" x14ac:dyDescent="0.15">
      <c r="B32" s="139" t="s">
        <v>577</v>
      </c>
      <c r="C32" s="140" t="s">
        <v>746</v>
      </c>
      <c r="D32" s="140">
        <v>8</v>
      </c>
      <c r="E32" s="139" t="s">
        <v>857</v>
      </c>
      <c r="F32" s="139" t="s">
        <v>580</v>
      </c>
      <c r="G32" s="140" t="s">
        <v>746</v>
      </c>
      <c r="H32" s="139" t="s">
        <v>858</v>
      </c>
      <c r="I32" s="140" t="s">
        <v>421</v>
      </c>
      <c r="J32" s="139" t="s">
        <v>582</v>
      </c>
      <c r="K32" s="139" t="s">
        <v>583</v>
      </c>
      <c r="L32" s="139" t="s">
        <v>583</v>
      </c>
      <c r="M32" s="139" t="s">
        <v>583</v>
      </c>
      <c r="N32" s="139" t="s">
        <v>757</v>
      </c>
      <c r="O32" s="139" t="s">
        <v>758</v>
      </c>
      <c r="P32" s="139" t="s">
        <v>583</v>
      </c>
      <c r="Q32" s="139" t="s">
        <v>583</v>
      </c>
      <c r="R32" s="140"/>
      <c r="S32" s="140"/>
      <c r="T32" s="140">
        <v>1</v>
      </c>
      <c r="U32" s="140">
        <v>1</v>
      </c>
      <c r="V32" s="139" t="s">
        <v>859</v>
      </c>
      <c r="W32" s="139" t="s">
        <v>860</v>
      </c>
      <c r="X32" s="139" t="s">
        <v>861</v>
      </c>
      <c r="Y32" s="139" t="s">
        <v>862</v>
      </c>
      <c r="Z32" s="139" t="s">
        <v>590</v>
      </c>
      <c r="AA32" s="139" t="s">
        <v>839</v>
      </c>
      <c r="AB32" s="139" t="s">
        <v>859</v>
      </c>
      <c r="AC32" s="139" t="s">
        <v>860</v>
      </c>
      <c r="AD32" s="139" t="s">
        <v>861</v>
      </c>
      <c r="AE32" s="139" t="s">
        <v>862</v>
      </c>
      <c r="AF32" s="139" t="s">
        <v>590</v>
      </c>
      <c r="AG32" s="139" t="s">
        <v>839</v>
      </c>
      <c r="AH32" s="139" t="s">
        <v>759</v>
      </c>
      <c r="AI32" s="139" t="s">
        <v>434</v>
      </c>
      <c r="AJ32" s="140">
        <v>218731.15</v>
      </c>
      <c r="AK32" s="139" t="s">
        <v>859</v>
      </c>
      <c r="AL32" s="139" t="s">
        <v>860</v>
      </c>
      <c r="AM32" s="139" t="s">
        <v>861</v>
      </c>
      <c r="AN32" s="139" t="s">
        <v>862</v>
      </c>
      <c r="AO32" s="139" t="s">
        <v>590</v>
      </c>
      <c r="AP32" s="139" t="s">
        <v>839</v>
      </c>
      <c r="AQ32" s="139" t="s">
        <v>759</v>
      </c>
      <c r="AR32" s="139" t="s">
        <v>434</v>
      </c>
      <c r="AS32" s="139" t="s">
        <v>434</v>
      </c>
      <c r="AT32" s="139" t="s">
        <v>593</v>
      </c>
      <c r="AU32" s="139" t="s">
        <v>437</v>
      </c>
      <c r="AV32" s="140"/>
      <c r="AW32" s="139" t="s">
        <v>594</v>
      </c>
      <c r="AX32" s="139" t="s">
        <v>595</v>
      </c>
      <c r="AY32" s="139" t="s">
        <v>840</v>
      </c>
      <c r="AZ32" s="140"/>
      <c r="BA32" s="139" t="s">
        <v>597</v>
      </c>
      <c r="BB32" s="140">
        <v>2030</v>
      </c>
      <c r="BC32" s="140"/>
      <c r="BD32" s="140"/>
      <c r="BE32" s="140">
        <v>102.2586</v>
      </c>
      <c r="BF32" s="139" t="s">
        <v>583</v>
      </c>
      <c r="BG32" s="139" t="s">
        <v>863</v>
      </c>
      <c r="BH32" s="139" t="s">
        <v>583</v>
      </c>
      <c r="BI32" s="139" t="s">
        <v>598</v>
      </c>
      <c r="BJ32" s="139" t="s">
        <v>599</v>
      </c>
      <c r="BK32" s="139" t="s">
        <v>583</v>
      </c>
      <c r="BL32" s="139" t="s">
        <v>583</v>
      </c>
      <c r="BM32" s="139" t="s">
        <v>583</v>
      </c>
      <c r="BN32" s="139" t="s">
        <v>583</v>
      </c>
      <c r="BO32" s="139" t="s">
        <v>583</v>
      </c>
      <c r="BP32" s="139" t="s">
        <v>583</v>
      </c>
      <c r="BQ32" s="139" t="s">
        <v>723</v>
      </c>
      <c r="BR32" s="140"/>
      <c r="BS32" s="139" t="s">
        <v>864</v>
      </c>
      <c r="BT32" s="99">
        <f t="shared" si="1"/>
        <v>1</v>
      </c>
      <c r="BU32" s="99">
        <f t="shared" si="0"/>
        <v>0</v>
      </c>
      <c r="BV32" s="99">
        <f t="shared" si="2"/>
        <v>1</v>
      </c>
      <c r="BW32" s="139" t="s">
        <v>602</v>
      </c>
      <c r="BX32" s="139" t="s">
        <v>865</v>
      </c>
      <c r="BY32" s="140">
        <v>1</v>
      </c>
      <c r="BZ32" s="140">
        <v>0</v>
      </c>
      <c r="CA32" s="99">
        <v>1400</v>
      </c>
      <c r="CB32" s="140" t="s">
        <v>603</v>
      </c>
      <c r="CC32" s="140"/>
      <c r="CD32" s="140"/>
      <c r="CE32" s="139" t="s">
        <v>577</v>
      </c>
      <c r="CF32" s="139" t="s">
        <v>604</v>
      </c>
      <c r="CG32" s="139" t="s">
        <v>583</v>
      </c>
      <c r="CH32" s="139" t="s">
        <v>583</v>
      </c>
      <c r="CI32" s="139" t="s">
        <v>759</v>
      </c>
      <c r="CJ32" s="140">
        <v>147</v>
      </c>
      <c r="CK32" s="140" t="s">
        <v>605</v>
      </c>
      <c r="CL32" s="140">
        <v>4000000</v>
      </c>
      <c r="CM32" s="99">
        <v>137</v>
      </c>
      <c r="CN32" s="140">
        <v>0</v>
      </c>
      <c r="CO32" s="139" t="s">
        <v>583</v>
      </c>
      <c r="CP32" s="139" t="s">
        <v>583</v>
      </c>
      <c r="CQ32" s="140">
        <v>2030</v>
      </c>
      <c r="CR32" s="140"/>
      <c r="CS32" s="140">
        <v>0</v>
      </c>
      <c r="CT32" s="140">
        <v>1</v>
      </c>
      <c r="CU32" s="140">
        <v>218731.15</v>
      </c>
      <c r="CV32" s="99">
        <v>2309.44</v>
      </c>
      <c r="CW32" s="139" t="s">
        <v>606</v>
      </c>
      <c r="CX32" s="140">
        <v>16.86</v>
      </c>
      <c r="CY32" s="140"/>
      <c r="CZ32" s="140"/>
      <c r="DA32" s="140"/>
      <c r="DB32" s="140">
        <v>1125</v>
      </c>
      <c r="DC32" s="140"/>
    </row>
    <row r="33" spans="2:107" ht="11.25" customHeight="1" x14ac:dyDescent="0.15">
      <c r="B33" s="139" t="s">
        <v>577</v>
      </c>
      <c r="C33" s="140" t="s">
        <v>746</v>
      </c>
      <c r="D33" s="140">
        <v>8</v>
      </c>
      <c r="E33" s="139" t="s">
        <v>866</v>
      </c>
      <c r="F33" s="139" t="s">
        <v>580</v>
      </c>
      <c r="G33" s="140" t="s">
        <v>746</v>
      </c>
      <c r="H33" s="139" t="s">
        <v>867</v>
      </c>
      <c r="I33" s="140" t="s">
        <v>421</v>
      </c>
      <c r="J33" s="139" t="s">
        <v>582</v>
      </c>
      <c r="K33" s="139" t="s">
        <v>583</v>
      </c>
      <c r="L33" s="139" t="s">
        <v>583</v>
      </c>
      <c r="M33" s="139" t="s">
        <v>583</v>
      </c>
      <c r="N33" s="139" t="s">
        <v>757</v>
      </c>
      <c r="O33" s="139" t="s">
        <v>758</v>
      </c>
      <c r="P33" s="139" t="s">
        <v>583</v>
      </c>
      <c r="Q33" s="139" t="s">
        <v>583</v>
      </c>
      <c r="R33" s="140"/>
      <c r="S33" s="140"/>
      <c r="T33" s="140">
        <v>1</v>
      </c>
      <c r="U33" s="140">
        <v>4</v>
      </c>
      <c r="V33" s="139" t="s">
        <v>835</v>
      </c>
      <c r="W33" s="139" t="s">
        <v>836</v>
      </c>
      <c r="X33" s="139" t="s">
        <v>837</v>
      </c>
      <c r="Y33" s="139" t="s">
        <v>838</v>
      </c>
      <c r="Z33" s="139" t="s">
        <v>590</v>
      </c>
      <c r="AA33" s="139" t="s">
        <v>839</v>
      </c>
      <c r="AB33" s="139" t="s">
        <v>835</v>
      </c>
      <c r="AC33" s="139" t="s">
        <v>836</v>
      </c>
      <c r="AD33" s="139" t="s">
        <v>837</v>
      </c>
      <c r="AE33" s="139" t="s">
        <v>838</v>
      </c>
      <c r="AF33" s="139" t="s">
        <v>590</v>
      </c>
      <c r="AG33" s="139" t="s">
        <v>839</v>
      </c>
      <c r="AH33" s="139" t="s">
        <v>759</v>
      </c>
      <c r="AI33" s="139" t="s">
        <v>434</v>
      </c>
      <c r="AJ33" s="140">
        <v>3548373.42</v>
      </c>
      <c r="AK33" s="139" t="s">
        <v>835</v>
      </c>
      <c r="AL33" s="139" t="s">
        <v>836</v>
      </c>
      <c r="AM33" s="139" t="s">
        <v>837</v>
      </c>
      <c r="AN33" s="139" t="s">
        <v>838</v>
      </c>
      <c r="AO33" s="139" t="s">
        <v>590</v>
      </c>
      <c r="AP33" s="139" t="s">
        <v>839</v>
      </c>
      <c r="AQ33" s="139" t="s">
        <v>759</v>
      </c>
      <c r="AR33" s="139" t="s">
        <v>434</v>
      </c>
      <c r="AS33" s="139" t="s">
        <v>434</v>
      </c>
      <c r="AT33" s="139" t="s">
        <v>593</v>
      </c>
      <c r="AU33" s="139" t="s">
        <v>437</v>
      </c>
      <c r="AV33" s="140"/>
      <c r="AW33" s="139" t="s">
        <v>594</v>
      </c>
      <c r="AX33" s="139" t="s">
        <v>595</v>
      </c>
      <c r="AY33" s="139" t="s">
        <v>840</v>
      </c>
      <c r="AZ33" s="140"/>
      <c r="BA33" s="139" t="s">
        <v>597</v>
      </c>
      <c r="BB33" s="140">
        <v>33000</v>
      </c>
      <c r="BC33" s="140"/>
      <c r="BD33" s="140"/>
      <c r="BE33" s="140">
        <v>102.2586</v>
      </c>
      <c r="BF33" s="139" t="s">
        <v>583</v>
      </c>
      <c r="BG33" s="139" t="s">
        <v>863</v>
      </c>
      <c r="BH33" s="139" t="s">
        <v>583</v>
      </c>
      <c r="BI33" s="139" t="s">
        <v>598</v>
      </c>
      <c r="BJ33" s="139" t="s">
        <v>599</v>
      </c>
      <c r="BK33" s="139" t="s">
        <v>583</v>
      </c>
      <c r="BL33" s="139" t="s">
        <v>583</v>
      </c>
      <c r="BM33" s="139" t="s">
        <v>583</v>
      </c>
      <c r="BN33" s="139" t="s">
        <v>583</v>
      </c>
      <c r="BO33" s="139" t="s">
        <v>583</v>
      </c>
      <c r="BP33" s="139" t="s">
        <v>583</v>
      </c>
      <c r="BQ33" s="139" t="s">
        <v>723</v>
      </c>
      <c r="BR33" s="140"/>
      <c r="BS33" s="139" t="s">
        <v>868</v>
      </c>
      <c r="BT33" s="99">
        <f t="shared" si="1"/>
        <v>1</v>
      </c>
      <c r="BU33" s="99">
        <f t="shared" si="0"/>
        <v>0</v>
      </c>
      <c r="BV33" s="99">
        <f t="shared" si="2"/>
        <v>1</v>
      </c>
      <c r="BW33" s="139" t="s">
        <v>602</v>
      </c>
      <c r="BX33" s="139" t="s">
        <v>869</v>
      </c>
      <c r="BY33" s="140">
        <v>4</v>
      </c>
      <c r="BZ33" s="140">
        <v>0</v>
      </c>
      <c r="CA33" s="99">
        <v>22000</v>
      </c>
      <c r="CB33" s="140" t="s">
        <v>603</v>
      </c>
      <c r="CC33" s="140"/>
      <c r="CD33" s="140"/>
      <c r="CE33" s="139" t="s">
        <v>577</v>
      </c>
      <c r="CF33" s="139" t="s">
        <v>604</v>
      </c>
      <c r="CG33" s="139" t="s">
        <v>583</v>
      </c>
      <c r="CH33" s="139" t="s">
        <v>583</v>
      </c>
      <c r="CI33" s="139" t="s">
        <v>759</v>
      </c>
      <c r="CJ33" s="140">
        <v>2310</v>
      </c>
      <c r="CK33" s="140" t="s">
        <v>605</v>
      </c>
      <c r="CL33" s="140">
        <v>4000000</v>
      </c>
      <c r="CM33" s="99">
        <v>2145</v>
      </c>
      <c r="CN33" s="140">
        <v>0</v>
      </c>
      <c r="CO33" s="139" t="s">
        <v>583</v>
      </c>
      <c r="CP33" s="139" t="s">
        <v>583</v>
      </c>
      <c r="CQ33" s="140">
        <v>33000</v>
      </c>
      <c r="CR33" s="140"/>
      <c r="CS33" s="140">
        <v>0</v>
      </c>
      <c r="CT33" s="140">
        <v>1</v>
      </c>
      <c r="CU33" s="140">
        <v>3548373.42</v>
      </c>
      <c r="CV33" s="99">
        <v>37465</v>
      </c>
      <c r="CW33" s="139" t="s">
        <v>606</v>
      </c>
      <c r="CX33" s="140">
        <v>17.47</v>
      </c>
      <c r="CY33" s="140"/>
      <c r="CZ33" s="140"/>
      <c r="DA33" s="140"/>
      <c r="DB33" s="140">
        <v>1186</v>
      </c>
      <c r="DC33" s="140"/>
    </row>
    <row r="34" spans="2:107" ht="11.25" customHeight="1" x14ac:dyDescent="0.15">
      <c r="B34" s="139" t="s">
        <v>577</v>
      </c>
      <c r="C34" s="140" t="s">
        <v>870</v>
      </c>
      <c r="D34" s="140">
        <v>8</v>
      </c>
      <c r="E34" s="139" t="s">
        <v>871</v>
      </c>
      <c r="F34" s="139" t="s">
        <v>580</v>
      </c>
      <c r="G34" s="140" t="s">
        <v>870</v>
      </c>
      <c r="H34" s="139" t="s">
        <v>872</v>
      </c>
      <c r="I34" s="140" t="s">
        <v>421</v>
      </c>
      <c r="J34" s="139" t="s">
        <v>582</v>
      </c>
      <c r="K34" s="139" t="s">
        <v>583</v>
      </c>
      <c r="L34" s="139" t="s">
        <v>583</v>
      </c>
      <c r="M34" s="139" t="s">
        <v>583</v>
      </c>
      <c r="N34" s="139" t="s">
        <v>584</v>
      </c>
      <c r="O34" s="139" t="s">
        <v>585</v>
      </c>
      <c r="P34" s="139" t="s">
        <v>583</v>
      </c>
      <c r="Q34" s="139" t="s">
        <v>583</v>
      </c>
      <c r="R34" s="140"/>
      <c r="S34" s="140"/>
      <c r="T34" s="140">
        <v>1</v>
      </c>
      <c r="U34" s="140">
        <v>724</v>
      </c>
      <c r="V34" s="139" t="s">
        <v>586</v>
      </c>
      <c r="W34" s="139" t="s">
        <v>587</v>
      </c>
      <c r="X34" s="139" t="s">
        <v>588</v>
      </c>
      <c r="Y34" s="139" t="s">
        <v>589</v>
      </c>
      <c r="Z34" s="139" t="s">
        <v>590</v>
      </c>
      <c r="AA34" s="139" t="s">
        <v>591</v>
      </c>
      <c r="AB34" s="139" t="s">
        <v>586</v>
      </c>
      <c r="AC34" s="139" t="s">
        <v>587</v>
      </c>
      <c r="AD34" s="139" t="s">
        <v>588</v>
      </c>
      <c r="AE34" s="139" t="s">
        <v>589</v>
      </c>
      <c r="AF34" s="139" t="s">
        <v>590</v>
      </c>
      <c r="AG34" s="139" t="s">
        <v>591</v>
      </c>
      <c r="AH34" s="139" t="s">
        <v>592</v>
      </c>
      <c r="AI34" s="139" t="s">
        <v>429</v>
      </c>
      <c r="AJ34" s="140">
        <v>18774678.960000001</v>
      </c>
      <c r="AK34" s="139" t="s">
        <v>586</v>
      </c>
      <c r="AL34" s="139" t="s">
        <v>587</v>
      </c>
      <c r="AM34" s="139" t="s">
        <v>588</v>
      </c>
      <c r="AN34" s="139" t="s">
        <v>589</v>
      </c>
      <c r="AO34" s="139" t="s">
        <v>590</v>
      </c>
      <c r="AP34" s="139" t="s">
        <v>591</v>
      </c>
      <c r="AQ34" s="139" t="s">
        <v>592</v>
      </c>
      <c r="AR34" s="139" t="s">
        <v>429</v>
      </c>
      <c r="AS34" s="139" t="s">
        <v>429</v>
      </c>
      <c r="AT34" s="139" t="s">
        <v>593</v>
      </c>
      <c r="AU34" s="139" t="s">
        <v>437</v>
      </c>
      <c r="AV34" s="140"/>
      <c r="AW34" s="139" t="s">
        <v>594</v>
      </c>
      <c r="AX34" s="139" t="s">
        <v>595</v>
      </c>
      <c r="AY34" s="139" t="s">
        <v>596</v>
      </c>
      <c r="AZ34" s="140"/>
      <c r="BA34" s="139" t="s">
        <v>597</v>
      </c>
      <c r="BB34" s="140">
        <v>181000</v>
      </c>
      <c r="BC34" s="140"/>
      <c r="BD34" s="140"/>
      <c r="BE34" s="140">
        <v>102.2586</v>
      </c>
      <c r="BF34" s="139" t="s">
        <v>583</v>
      </c>
      <c r="BG34" s="139" t="s">
        <v>583</v>
      </c>
      <c r="BH34" s="139" t="s">
        <v>583</v>
      </c>
      <c r="BI34" s="139" t="s">
        <v>598</v>
      </c>
      <c r="BJ34" s="139" t="s">
        <v>599</v>
      </c>
      <c r="BK34" s="139" t="s">
        <v>583</v>
      </c>
      <c r="BL34" s="139" t="s">
        <v>583</v>
      </c>
      <c r="BM34" s="139" t="s">
        <v>583</v>
      </c>
      <c r="BN34" s="139" t="s">
        <v>583</v>
      </c>
      <c r="BO34" s="139" t="s">
        <v>583</v>
      </c>
      <c r="BP34" s="139" t="s">
        <v>583</v>
      </c>
      <c r="BQ34" s="139" t="s">
        <v>600</v>
      </c>
      <c r="BR34" s="140"/>
      <c r="BS34" s="139" t="s">
        <v>601</v>
      </c>
      <c r="BT34" s="99">
        <f t="shared" si="1"/>
        <v>0</v>
      </c>
      <c r="BU34" s="99">
        <f t="shared" si="0"/>
        <v>1</v>
      </c>
      <c r="BV34" s="99">
        <f t="shared" si="2"/>
        <v>1</v>
      </c>
      <c r="BW34" s="139" t="s">
        <v>602</v>
      </c>
      <c r="BX34" s="139" t="s">
        <v>584</v>
      </c>
      <c r="BY34" s="140">
        <v>724</v>
      </c>
      <c r="BZ34" s="140"/>
      <c r="CA34" s="99">
        <v>144800</v>
      </c>
      <c r="CB34" s="140" t="s">
        <v>603</v>
      </c>
      <c r="CC34" s="140"/>
      <c r="CD34" s="140"/>
      <c r="CE34" s="139" t="s">
        <v>577</v>
      </c>
      <c r="CF34" s="139" t="s">
        <v>604</v>
      </c>
      <c r="CG34" s="139" t="s">
        <v>583</v>
      </c>
      <c r="CH34" s="139" t="s">
        <v>583</v>
      </c>
      <c r="CI34" s="139" t="s">
        <v>592</v>
      </c>
      <c r="CJ34" s="140">
        <v>15928</v>
      </c>
      <c r="CK34" s="140" t="s">
        <v>605</v>
      </c>
      <c r="CL34" s="140">
        <v>4000000</v>
      </c>
      <c r="CM34" s="99">
        <v>15204</v>
      </c>
      <c r="CN34" s="140"/>
      <c r="CO34" s="139" t="s">
        <v>583</v>
      </c>
      <c r="CP34" s="139" t="s">
        <v>583</v>
      </c>
      <c r="CQ34" s="140">
        <v>181000</v>
      </c>
      <c r="CR34" s="140"/>
      <c r="CS34" s="140">
        <v>0</v>
      </c>
      <c r="CT34" s="140">
        <v>1</v>
      </c>
      <c r="CU34" s="140">
        <v>18774678.960000001</v>
      </c>
      <c r="CV34" s="99">
        <v>198229.77</v>
      </c>
      <c r="CW34" s="139" t="s">
        <v>606</v>
      </c>
      <c r="CX34" s="140">
        <v>13.04</v>
      </c>
      <c r="CY34" s="140"/>
      <c r="CZ34" s="140"/>
      <c r="DA34" s="140"/>
      <c r="DB34" s="140">
        <v>1047</v>
      </c>
      <c r="DC34" s="140"/>
    </row>
    <row r="35" spans="2:107" ht="11.25" customHeight="1" x14ac:dyDescent="0.15">
      <c r="B35" s="139" t="s">
        <v>577</v>
      </c>
      <c r="C35" s="140" t="s">
        <v>873</v>
      </c>
      <c r="D35" s="140">
        <v>8</v>
      </c>
      <c r="E35" s="139" t="s">
        <v>874</v>
      </c>
      <c r="F35" s="139" t="s">
        <v>580</v>
      </c>
      <c r="G35" s="140" t="s">
        <v>873</v>
      </c>
      <c r="H35" s="139" t="s">
        <v>875</v>
      </c>
      <c r="I35" s="140" t="s">
        <v>421</v>
      </c>
      <c r="J35" s="139" t="s">
        <v>582</v>
      </c>
      <c r="K35" s="139" t="s">
        <v>583</v>
      </c>
      <c r="L35" s="139" t="s">
        <v>583</v>
      </c>
      <c r="M35" s="139" t="s">
        <v>583</v>
      </c>
      <c r="N35" s="139" t="s">
        <v>584</v>
      </c>
      <c r="O35" s="139" t="s">
        <v>585</v>
      </c>
      <c r="P35" s="139" t="s">
        <v>583</v>
      </c>
      <c r="Q35" s="139" t="s">
        <v>583</v>
      </c>
      <c r="R35" s="140"/>
      <c r="S35" s="140"/>
      <c r="T35" s="140">
        <v>1</v>
      </c>
      <c r="U35" s="140">
        <v>543</v>
      </c>
      <c r="V35" s="139" t="s">
        <v>586</v>
      </c>
      <c r="W35" s="139" t="s">
        <v>587</v>
      </c>
      <c r="X35" s="139" t="s">
        <v>588</v>
      </c>
      <c r="Y35" s="139" t="s">
        <v>589</v>
      </c>
      <c r="Z35" s="139" t="s">
        <v>590</v>
      </c>
      <c r="AA35" s="139" t="s">
        <v>591</v>
      </c>
      <c r="AB35" s="139" t="s">
        <v>586</v>
      </c>
      <c r="AC35" s="139" t="s">
        <v>587</v>
      </c>
      <c r="AD35" s="139" t="s">
        <v>588</v>
      </c>
      <c r="AE35" s="139" t="s">
        <v>589</v>
      </c>
      <c r="AF35" s="139" t="s">
        <v>590</v>
      </c>
      <c r="AG35" s="139" t="s">
        <v>591</v>
      </c>
      <c r="AH35" s="139" t="s">
        <v>592</v>
      </c>
      <c r="AI35" s="139" t="s">
        <v>429</v>
      </c>
      <c r="AJ35" s="140">
        <v>14190822.369999999</v>
      </c>
      <c r="AK35" s="139" t="s">
        <v>586</v>
      </c>
      <c r="AL35" s="139" t="s">
        <v>587</v>
      </c>
      <c r="AM35" s="139" t="s">
        <v>588</v>
      </c>
      <c r="AN35" s="139" t="s">
        <v>589</v>
      </c>
      <c r="AO35" s="139" t="s">
        <v>590</v>
      </c>
      <c r="AP35" s="139" t="s">
        <v>591</v>
      </c>
      <c r="AQ35" s="139" t="s">
        <v>592</v>
      </c>
      <c r="AR35" s="139" t="s">
        <v>429</v>
      </c>
      <c r="AS35" s="139" t="s">
        <v>429</v>
      </c>
      <c r="AT35" s="139" t="s">
        <v>593</v>
      </c>
      <c r="AU35" s="139" t="s">
        <v>437</v>
      </c>
      <c r="AV35" s="140"/>
      <c r="AW35" s="139" t="s">
        <v>594</v>
      </c>
      <c r="AX35" s="139" t="s">
        <v>595</v>
      </c>
      <c r="AY35" s="139" t="s">
        <v>596</v>
      </c>
      <c r="AZ35" s="140"/>
      <c r="BA35" s="139" t="s">
        <v>597</v>
      </c>
      <c r="BB35" s="140">
        <v>135750</v>
      </c>
      <c r="BC35" s="140"/>
      <c r="BD35" s="140"/>
      <c r="BE35" s="140">
        <v>102.5719</v>
      </c>
      <c r="BF35" s="139" t="s">
        <v>583</v>
      </c>
      <c r="BG35" s="139" t="s">
        <v>583</v>
      </c>
      <c r="BH35" s="139" t="s">
        <v>583</v>
      </c>
      <c r="BI35" s="139" t="s">
        <v>598</v>
      </c>
      <c r="BJ35" s="139" t="s">
        <v>599</v>
      </c>
      <c r="BK35" s="139" t="s">
        <v>583</v>
      </c>
      <c r="BL35" s="139" t="s">
        <v>583</v>
      </c>
      <c r="BM35" s="139" t="s">
        <v>583</v>
      </c>
      <c r="BN35" s="139" t="s">
        <v>583</v>
      </c>
      <c r="BO35" s="139" t="s">
        <v>583</v>
      </c>
      <c r="BP35" s="139" t="s">
        <v>583</v>
      </c>
      <c r="BQ35" s="139" t="s">
        <v>600</v>
      </c>
      <c r="BR35" s="140"/>
      <c r="BS35" s="139" t="s">
        <v>601</v>
      </c>
      <c r="BT35" s="99">
        <f t="shared" si="1"/>
        <v>0</v>
      </c>
      <c r="BU35" s="99">
        <f t="shared" si="0"/>
        <v>1</v>
      </c>
      <c r="BV35" s="99">
        <f t="shared" si="2"/>
        <v>1</v>
      </c>
      <c r="BW35" s="139" t="s">
        <v>602</v>
      </c>
      <c r="BX35" s="139" t="s">
        <v>584</v>
      </c>
      <c r="BY35" s="140">
        <v>543</v>
      </c>
      <c r="BZ35" s="140">
        <v>0</v>
      </c>
      <c r="CA35" s="99">
        <v>108600</v>
      </c>
      <c r="CB35" s="140" t="s">
        <v>603</v>
      </c>
      <c r="CC35" s="140"/>
      <c r="CD35" s="140"/>
      <c r="CE35" s="139" t="s">
        <v>577</v>
      </c>
      <c r="CF35" s="139" t="s">
        <v>604</v>
      </c>
      <c r="CG35" s="139" t="s">
        <v>583</v>
      </c>
      <c r="CH35" s="139" t="s">
        <v>583</v>
      </c>
      <c r="CI35" s="139" t="s">
        <v>592</v>
      </c>
      <c r="CJ35" s="140">
        <v>11946</v>
      </c>
      <c r="CK35" s="140" t="s">
        <v>605</v>
      </c>
      <c r="CL35" s="140">
        <v>4000000</v>
      </c>
      <c r="CM35" s="99">
        <v>11403</v>
      </c>
      <c r="CN35" s="140">
        <v>0</v>
      </c>
      <c r="CO35" s="139" t="s">
        <v>583</v>
      </c>
      <c r="CP35" s="139" t="s">
        <v>583</v>
      </c>
      <c r="CQ35" s="140">
        <v>135750</v>
      </c>
      <c r="CR35" s="140"/>
      <c r="CS35" s="140">
        <v>0</v>
      </c>
      <c r="CT35" s="140">
        <v>1</v>
      </c>
      <c r="CU35" s="140">
        <v>14190822.369999999</v>
      </c>
      <c r="CV35" s="99">
        <v>150737.84</v>
      </c>
      <c r="CW35" s="139" t="s">
        <v>606</v>
      </c>
      <c r="CX35" s="140">
        <v>13.22</v>
      </c>
      <c r="CY35" s="140"/>
      <c r="CZ35" s="140"/>
      <c r="DA35" s="140"/>
      <c r="DB35" s="140">
        <v>1364</v>
      </c>
      <c r="DC35" s="140"/>
    </row>
    <row r="36" spans="2:107" ht="11.25" customHeight="1" x14ac:dyDescent="0.15">
      <c r="B36" s="139" t="s">
        <v>577</v>
      </c>
      <c r="C36" s="140" t="s">
        <v>876</v>
      </c>
      <c r="D36" s="140">
        <v>7</v>
      </c>
      <c r="E36" s="139" t="s">
        <v>877</v>
      </c>
      <c r="F36" s="139" t="s">
        <v>618</v>
      </c>
      <c r="G36" s="140" t="s">
        <v>876</v>
      </c>
      <c r="H36" s="139" t="s">
        <v>878</v>
      </c>
      <c r="I36" s="140" t="s">
        <v>421</v>
      </c>
      <c r="J36" s="139" t="s">
        <v>582</v>
      </c>
      <c r="K36" s="139" t="s">
        <v>583</v>
      </c>
      <c r="L36" s="139" t="s">
        <v>583</v>
      </c>
      <c r="M36" s="139" t="s">
        <v>583</v>
      </c>
      <c r="N36" s="139" t="s">
        <v>660</v>
      </c>
      <c r="O36" s="139" t="s">
        <v>879</v>
      </c>
      <c r="P36" s="139" t="s">
        <v>583</v>
      </c>
      <c r="Q36" s="139" t="s">
        <v>583</v>
      </c>
      <c r="R36" s="140">
        <v>1</v>
      </c>
      <c r="S36" s="140">
        <v>0</v>
      </c>
      <c r="T36" s="140">
        <v>1</v>
      </c>
      <c r="U36" s="140">
        <v>120</v>
      </c>
      <c r="V36" s="139" t="s">
        <v>709</v>
      </c>
      <c r="W36" s="139" t="s">
        <v>710</v>
      </c>
      <c r="X36" s="139" t="s">
        <v>711</v>
      </c>
      <c r="Y36" s="139" t="s">
        <v>712</v>
      </c>
      <c r="Z36" s="139" t="s">
        <v>713</v>
      </c>
      <c r="AA36" s="139" t="s">
        <v>714</v>
      </c>
      <c r="AB36" s="139" t="s">
        <v>709</v>
      </c>
      <c r="AC36" s="139" t="s">
        <v>710</v>
      </c>
      <c r="AD36" s="139" t="s">
        <v>711</v>
      </c>
      <c r="AE36" s="139" t="s">
        <v>712</v>
      </c>
      <c r="AF36" s="139" t="s">
        <v>713</v>
      </c>
      <c r="AG36" s="139" t="s">
        <v>714</v>
      </c>
      <c r="AH36" s="139" t="s">
        <v>621</v>
      </c>
      <c r="AI36" s="139" t="s">
        <v>430</v>
      </c>
      <c r="AJ36" s="140">
        <v>3718459.92</v>
      </c>
      <c r="AK36" s="139" t="s">
        <v>709</v>
      </c>
      <c r="AL36" s="139" t="s">
        <v>710</v>
      </c>
      <c r="AM36" s="139" t="s">
        <v>711</v>
      </c>
      <c r="AN36" s="139" t="s">
        <v>712</v>
      </c>
      <c r="AO36" s="139" t="s">
        <v>713</v>
      </c>
      <c r="AP36" s="139" t="s">
        <v>714</v>
      </c>
      <c r="AQ36" s="139" t="s">
        <v>621</v>
      </c>
      <c r="AR36" s="139" t="s">
        <v>430</v>
      </c>
      <c r="AS36" s="139" t="s">
        <v>430</v>
      </c>
      <c r="AT36" s="139" t="s">
        <v>593</v>
      </c>
      <c r="AU36" s="139" t="s">
        <v>437</v>
      </c>
      <c r="AV36" s="140">
        <v>0</v>
      </c>
      <c r="AW36" s="139" t="s">
        <v>594</v>
      </c>
      <c r="AX36" s="139" t="s">
        <v>622</v>
      </c>
      <c r="AY36" s="139" t="s">
        <v>623</v>
      </c>
      <c r="AZ36" s="140">
        <v>1</v>
      </c>
      <c r="BA36" s="139" t="s">
        <v>597</v>
      </c>
      <c r="BB36" s="140">
        <v>37200</v>
      </c>
      <c r="BC36" s="140">
        <v>3718460</v>
      </c>
      <c r="BD36" s="140">
        <v>40871.94</v>
      </c>
      <c r="BE36" s="140">
        <v>99.958600000000004</v>
      </c>
      <c r="BF36" s="139" t="s">
        <v>880</v>
      </c>
      <c r="BG36" s="139" t="s">
        <v>582</v>
      </c>
      <c r="BH36" s="139" t="s">
        <v>881</v>
      </c>
      <c r="BI36" s="139" t="s">
        <v>598</v>
      </c>
      <c r="BJ36" s="139" t="s">
        <v>624</v>
      </c>
      <c r="BK36" s="139" t="s">
        <v>882</v>
      </c>
      <c r="BL36" s="139" t="s">
        <v>583</v>
      </c>
      <c r="BM36" s="139" t="s">
        <v>883</v>
      </c>
      <c r="BN36" s="139" t="s">
        <v>583</v>
      </c>
      <c r="BO36" s="139" t="s">
        <v>623</v>
      </c>
      <c r="BP36" s="139" t="s">
        <v>884</v>
      </c>
      <c r="BQ36" s="139" t="s">
        <v>625</v>
      </c>
      <c r="BR36" s="140">
        <v>1</v>
      </c>
      <c r="BS36" s="139" t="s">
        <v>885</v>
      </c>
      <c r="BT36" s="99">
        <f t="shared" si="1"/>
        <v>0</v>
      </c>
      <c r="BU36" s="99">
        <f t="shared" si="0"/>
        <v>1</v>
      </c>
      <c r="BV36" s="99">
        <f t="shared" si="2"/>
        <v>1</v>
      </c>
      <c r="BW36" s="139" t="s">
        <v>635</v>
      </c>
      <c r="BX36" s="139" t="s">
        <v>441</v>
      </c>
      <c r="BY36" s="140">
        <v>120</v>
      </c>
      <c r="BZ36" s="140">
        <v>0</v>
      </c>
      <c r="CA36" s="99">
        <v>24000</v>
      </c>
      <c r="CB36" s="140" t="s">
        <v>603</v>
      </c>
      <c r="CC36" s="140">
        <v>0</v>
      </c>
      <c r="CD36" s="140"/>
      <c r="CE36" s="139" t="s">
        <v>577</v>
      </c>
      <c r="CF36" s="139" t="s">
        <v>604</v>
      </c>
      <c r="CG36" s="139" t="s">
        <v>583</v>
      </c>
      <c r="CH36" s="139" t="s">
        <v>583</v>
      </c>
      <c r="CI36" s="139" t="s">
        <v>621</v>
      </c>
      <c r="CJ36" s="140">
        <v>2488</v>
      </c>
      <c r="CK36" s="140" t="s">
        <v>605</v>
      </c>
      <c r="CL36" s="140">
        <v>4000000</v>
      </c>
      <c r="CM36" s="99">
        <v>2160</v>
      </c>
      <c r="CN36" s="140">
        <v>0</v>
      </c>
      <c r="CO36" s="139" t="s">
        <v>583</v>
      </c>
      <c r="CP36" s="139" t="s">
        <v>583</v>
      </c>
      <c r="CQ36" s="140">
        <v>37200</v>
      </c>
      <c r="CR36" s="140">
        <v>3718460</v>
      </c>
      <c r="CS36" s="140">
        <v>0</v>
      </c>
      <c r="CT36" s="140">
        <v>1</v>
      </c>
      <c r="CU36" s="140">
        <v>3718459.92</v>
      </c>
      <c r="CV36" s="99">
        <v>40871.94</v>
      </c>
      <c r="CW36" s="139" t="s">
        <v>606</v>
      </c>
      <c r="CX36" s="140">
        <v>18.920000000000002</v>
      </c>
      <c r="CY36" s="140"/>
      <c r="CZ36" s="140"/>
      <c r="DA36" s="140" t="s">
        <v>886</v>
      </c>
      <c r="DB36" s="140">
        <v>609</v>
      </c>
      <c r="DC36" s="140"/>
    </row>
    <row r="37" spans="2:107" ht="11.25" customHeight="1" x14ac:dyDescent="0.15">
      <c r="B37" s="139" t="s">
        <v>577</v>
      </c>
      <c r="C37" s="140" t="s">
        <v>876</v>
      </c>
      <c r="D37" s="140">
        <v>7</v>
      </c>
      <c r="E37" s="139" t="s">
        <v>887</v>
      </c>
      <c r="F37" s="139" t="s">
        <v>729</v>
      </c>
      <c r="G37" s="140" t="s">
        <v>876</v>
      </c>
      <c r="H37" s="139" t="s">
        <v>888</v>
      </c>
      <c r="I37" s="140" t="s">
        <v>421</v>
      </c>
      <c r="J37" s="139" t="s">
        <v>582</v>
      </c>
      <c r="K37" s="139" t="s">
        <v>583</v>
      </c>
      <c r="L37" s="139" t="s">
        <v>583</v>
      </c>
      <c r="M37" s="139" t="s">
        <v>583</v>
      </c>
      <c r="N37" s="139" t="s">
        <v>731</v>
      </c>
      <c r="O37" s="139" t="s">
        <v>889</v>
      </c>
      <c r="P37" s="139" t="s">
        <v>583</v>
      </c>
      <c r="Q37" s="139" t="s">
        <v>583</v>
      </c>
      <c r="R37" s="140">
        <v>1</v>
      </c>
      <c r="S37" s="140">
        <v>0</v>
      </c>
      <c r="T37" s="140">
        <v>1</v>
      </c>
      <c r="U37" s="140">
        <v>760</v>
      </c>
      <c r="V37" s="139" t="s">
        <v>691</v>
      </c>
      <c r="W37" s="139" t="s">
        <v>692</v>
      </c>
      <c r="X37" s="139" t="s">
        <v>693</v>
      </c>
      <c r="Y37" s="139" t="s">
        <v>694</v>
      </c>
      <c r="Z37" s="139" t="s">
        <v>695</v>
      </c>
      <c r="AA37" s="139" t="s">
        <v>696</v>
      </c>
      <c r="AB37" s="139" t="s">
        <v>691</v>
      </c>
      <c r="AC37" s="139" t="s">
        <v>692</v>
      </c>
      <c r="AD37" s="139" t="s">
        <v>693</v>
      </c>
      <c r="AE37" s="139" t="s">
        <v>694</v>
      </c>
      <c r="AF37" s="139" t="s">
        <v>695</v>
      </c>
      <c r="AG37" s="139" t="s">
        <v>696</v>
      </c>
      <c r="AH37" s="139" t="s">
        <v>733</v>
      </c>
      <c r="AI37" s="139" t="s">
        <v>432</v>
      </c>
      <c r="AJ37" s="140">
        <v>28364252.34</v>
      </c>
      <c r="AK37" s="139" t="s">
        <v>691</v>
      </c>
      <c r="AL37" s="139" t="s">
        <v>692</v>
      </c>
      <c r="AM37" s="139" t="s">
        <v>693</v>
      </c>
      <c r="AN37" s="139" t="s">
        <v>694</v>
      </c>
      <c r="AO37" s="139" t="s">
        <v>695</v>
      </c>
      <c r="AP37" s="139" t="s">
        <v>696</v>
      </c>
      <c r="AQ37" s="139" t="s">
        <v>733</v>
      </c>
      <c r="AR37" s="139" t="s">
        <v>432</v>
      </c>
      <c r="AS37" s="139" t="s">
        <v>432</v>
      </c>
      <c r="AT37" s="139" t="s">
        <v>593</v>
      </c>
      <c r="AU37" s="139" t="s">
        <v>437</v>
      </c>
      <c r="AV37" s="140">
        <v>2</v>
      </c>
      <c r="AW37" s="139" t="s">
        <v>594</v>
      </c>
      <c r="AX37" s="139" t="s">
        <v>653</v>
      </c>
      <c r="AY37" s="139" t="s">
        <v>734</v>
      </c>
      <c r="AZ37" s="140">
        <v>1</v>
      </c>
      <c r="BA37" s="139" t="s">
        <v>597</v>
      </c>
      <c r="BB37" s="140">
        <v>283760</v>
      </c>
      <c r="BC37" s="140">
        <v>28364252</v>
      </c>
      <c r="BD37" s="140">
        <v>311769.43</v>
      </c>
      <c r="BE37" s="140">
        <v>99.958600000000004</v>
      </c>
      <c r="BF37" s="139" t="s">
        <v>880</v>
      </c>
      <c r="BG37" s="139" t="s">
        <v>583</v>
      </c>
      <c r="BH37" s="139" t="s">
        <v>736</v>
      </c>
      <c r="BI37" s="139" t="s">
        <v>598</v>
      </c>
      <c r="BJ37" s="139" t="s">
        <v>624</v>
      </c>
      <c r="BK37" s="139" t="s">
        <v>890</v>
      </c>
      <c r="BL37" s="139" t="s">
        <v>583</v>
      </c>
      <c r="BM37" s="139" t="s">
        <v>891</v>
      </c>
      <c r="BN37" s="139" t="s">
        <v>738</v>
      </c>
      <c r="BO37" s="139" t="s">
        <v>739</v>
      </c>
      <c r="BP37" s="139" t="s">
        <v>892</v>
      </c>
      <c r="BQ37" s="139" t="s">
        <v>741</v>
      </c>
      <c r="BR37" s="140">
        <v>1</v>
      </c>
      <c r="BS37" s="139" t="s">
        <v>893</v>
      </c>
      <c r="BT37" s="99">
        <f t="shared" si="1"/>
        <v>0</v>
      </c>
      <c r="BU37" s="99">
        <f t="shared" si="0"/>
        <v>0</v>
      </c>
      <c r="BV37" s="99">
        <f t="shared" si="2"/>
        <v>0</v>
      </c>
      <c r="BW37" s="139" t="s">
        <v>743</v>
      </c>
      <c r="BX37" s="139" t="s">
        <v>744</v>
      </c>
      <c r="BY37" s="140">
        <v>760</v>
      </c>
      <c r="BZ37" s="140">
        <v>0</v>
      </c>
      <c r="CA37" s="99">
        <v>152000</v>
      </c>
      <c r="CB37" s="140" t="s">
        <v>603</v>
      </c>
      <c r="CC37" s="140">
        <v>0</v>
      </c>
      <c r="CD37" s="140"/>
      <c r="CE37" s="139" t="s">
        <v>577</v>
      </c>
      <c r="CF37" s="139" t="s">
        <v>604</v>
      </c>
      <c r="CG37" s="139" t="s">
        <v>583</v>
      </c>
      <c r="CH37" s="139" t="s">
        <v>583</v>
      </c>
      <c r="CI37" s="139" t="s">
        <v>733</v>
      </c>
      <c r="CJ37" s="140">
        <v>16720</v>
      </c>
      <c r="CK37" s="140" t="s">
        <v>605</v>
      </c>
      <c r="CL37" s="140">
        <v>4000000</v>
      </c>
      <c r="CM37" s="99">
        <v>15200</v>
      </c>
      <c r="CN37" s="140">
        <v>0</v>
      </c>
      <c r="CO37" s="139" t="s">
        <v>583</v>
      </c>
      <c r="CP37" s="139" t="s">
        <v>583</v>
      </c>
      <c r="CQ37" s="140">
        <v>283760</v>
      </c>
      <c r="CR37" s="140">
        <v>28364252</v>
      </c>
      <c r="CS37" s="140">
        <v>0</v>
      </c>
      <c r="CT37" s="140">
        <v>1</v>
      </c>
      <c r="CU37" s="140">
        <v>28364252.34</v>
      </c>
      <c r="CV37" s="99">
        <v>311769.43</v>
      </c>
      <c r="CW37" s="139" t="s">
        <v>606</v>
      </c>
      <c r="CX37" s="140">
        <v>20.51</v>
      </c>
      <c r="CY37" s="140">
        <v>933</v>
      </c>
      <c r="CZ37" s="140" t="s">
        <v>894</v>
      </c>
      <c r="DA37" s="140" t="s">
        <v>895</v>
      </c>
      <c r="DB37" s="140">
        <v>213</v>
      </c>
      <c r="DC37" s="140"/>
    </row>
    <row r="38" spans="2:107" ht="11.25" customHeight="1" x14ac:dyDescent="0.15">
      <c r="B38" s="139" t="s">
        <v>577</v>
      </c>
      <c r="C38" s="140" t="s">
        <v>896</v>
      </c>
      <c r="D38" s="140">
        <v>7</v>
      </c>
      <c r="E38" s="139" t="s">
        <v>897</v>
      </c>
      <c r="F38" s="139" t="s">
        <v>618</v>
      </c>
      <c r="G38" s="140" t="s">
        <v>896</v>
      </c>
      <c r="H38" s="139" t="s">
        <v>898</v>
      </c>
      <c r="I38" s="140" t="s">
        <v>421</v>
      </c>
      <c r="J38" s="139" t="s">
        <v>582</v>
      </c>
      <c r="K38" s="139" t="s">
        <v>583</v>
      </c>
      <c r="L38" s="139" t="s">
        <v>583</v>
      </c>
      <c r="M38" s="139" t="s">
        <v>583</v>
      </c>
      <c r="N38" s="139" t="s">
        <v>441</v>
      </c>
      <c r="O38" s="139" t="s">
        <v>899</v>
      </c>
      <c r="P38" s="139" t="s">
        <v>583</v>
      </c>
      <c r="Q38" s="139" t="s">
        <v>583</v>
      </c>
      <c r="R38" s="140">
        <v>1</v>
      </c>
      <c r="S38" s="140">
        <v>0</v>
      </c>
      <c r="T38" s="140">
        <v>1</v>
      </c>
      <c r="U38" s="140">
        <v>160</v>
      </c>
      <c r="V38" s="139" t="s">
        <v>679</v>
      </c>
      <c r="W38" s="139" t="s">
        <v>680</v>
      </c>
      <c r="X38" s="139" t="s">
        <v>681</v>
      </c>
      <c r="Y38" s="139" t="s">
        <v>682</v>
      </c>
      <c r="Z38" s="139" t="s">
        <v>683</v>
      </c>
      <c r="AA38" s="139" t="s">
        <v>684</v>
      </c>
      <c r="AB38" s="139" t="s">
        <v>679</v>
      </c>
      <c r="AC38" s="139" t="s">
        <v>680</v>
      </c>
      <c r="AD38" s="139" t="s">
        <v>681</v>
      </c>
      <c r="AE38" s="139" t="s">
        <v>682</v>
      </c>
      <c r="AF38" s="139" t="s">
        <v>683</v>
      </c>
      <c r="AG38" s="139" t="s">
        <v>684</v>
      </c>
      <c r="AH38" s="139" t="s">
        <v>621</v>
      </c>
      <c r="AI38" s="139" t="s">
        <v>430</v>
      </c>
      <c r="AJ38" s="140">
        <v>4817347.2</v>
      </c>
      <c r="AK38" s="139" t="s">
        <v>679</v>
      </c>
      <c r="AL38" s="139" t="s">
        <v>680</v>
      </c>
      <c r="AM38" s="139" t="s">
        <v>681</v>
      </c>
      <c r="AN38" s="139" t="s">
        <v>682</v>
      </c>
      <c r="AO38" s="139" t="s">
        <v>683</v>
      </c>
      <c r="AP38" s="139" t="s">
        <v>684</v>
      </c>
      <c r="AQ38" s="139" t="s">
        <v>621</v>
      </c>
      <c r="AR38" s="139" t="s">
        <v>430</v>
      </c>
      <c r="AS38" s="139" t="s">
        <v>430</v>
      </c>
      <c r="AT38" s="139" t="s">
        <v>593</v>
      </c>
      <c r="AU38" s="139" t="s">
        <v>437</v>
      </c>
      <c r="AV38" s="140">
        <v>0</v>
      </c>
      <c r="AW38" s="139" t="s">
        <v>594</v>
      </c>
      <c r="AX38" s="139" t="s">
        <v>622</v>
      </c>
      <c r="AY38" s="139" t="s">
        <v>623</v>
      </c>
      <c r="AZ38" s="140">
        <v>1</v>
      </c>
      <c r="BA38" s="139" t="s">
        <v>597</v>
      </c>
      <c r="BB38" s="140">
        <v>48000</v>
      </c>
      <c r="BC38" s="140">
        <v>4817347</v>
      </c>
      <c r="BD38" s="140">
        <v>53236.83</v>
      </c>
      <c r="BE38" s="140">
        <v>100.3614</v>
      </c>
      <c r="BF38" s="139" t="s">
        <v>880</v>
      </c>
      <c r="BG38" s="139" t="s">
        <v>582</v>
      </c>
      <c r="BH38" s="139" t="s">
        <v>900</v>
      </c>
      <c r="BI38" s="139" t="s">
        <v>598</v>
      </c>
      <c r="BJ38" s="139" t="s">
        <v>624</v>
      </c>
      <c r="BK38" s="139" t="s">
        <v>882</v>
      </c>
      <c r="BL38" s="139" t="s">
        <v>583</v>
      </c>
      <c r="BM38" s="139" t="s">
        <v>883</v>
      </c>
      <c r="BN38" s="139" t="s">
        <v>583</v>
      </c>
      <c r="BO38" s="139" t="s">
        <v>623</v>
      </c>
      <c r="BP38" s="139" t="s">
        <v>884</v>
      </c>
      <c r="BQ38" s="139" t="s">
        <v>625</v>
      </c>
      <c r="BR38" s="140">
        <v>1</v>
      </c>
      <c r="BS38" s="139" t="s">
        <v>901</v>
      </c>
      <c r="BT38" s="99">
        <f t="shared" si="1"/>
        <v>0</v>
      </c>
      <c r="BU38" s="99">
        <f t="shared" si="0"/>
        <v>1</v>
      </c>
      <c r="BV38" s="99">
        <f t="shared" si="2"/>
        <v>1</v>
      </c>
      <c r="BW38" s="139" t="s">
        <v>635</v>
      </c>
      <c r="BX38" s="139" t="s">
        <v>441</v>
      </c>
      <c r="BY38" s="140">
        <v>160</v>
      </c>
      <c r="BZ38" s="140">
        <v>0</v>
      </c>
      <c r="CA38" s="99">
        <v>32000</v>
      </c>
      <c r="CB38" s="140" t="s">
        <v>603</v>
      </c>
      <c r="CC38" s="140">
        <v>0</v>
      </c>
      <c r="CD38" s="140"/>
      <c r="CE38" s="139" t="s">
        <v>577</v>
      </c>
      <c r="CF38" s="139" t="s">
        <v>604</v>
      </c>
      <c r="CG38" s="139" t="s">
        <v>583</v>
      </c>
      <c r="CH38" s="139" t="s">
        <v>583</v>
      </c>
      <c r="CI38" s="139" t="s">
        <v>621</v>
      </c>
      <c r="CJ38" s="140">
        <v>3200</v>
      </c>
      <c r="CK38" s="140" t="s">
        <v>605</v>
      </c>
      <c r="CL38" s="140">
        <v>4000000</v>
      </c>
      <c r="CM38" s="99">
        <v>2880</v>
      </c>
      <c r="CN38" s="140">
        <v>0</v>
      </c>
      <c r="CO38" s="139" t="s">
        <v>583</v>
      </c>
      <c r="CP38" s="139" t="s">
        <v>583</v>
      </c>
      <c r="CQ38" s="140">
        <v>48000</v>
      </c>
      <c r="CR38" s="140">
        <v>4817347</v>
      </c>
      <c r="CS38" s="140">
        <v>0</v>
      </c>
      <c r="CT38" s="140">
        <v>1</v>
      </c>
      <c r="CU38" s="140">
        <v>4817347.2</v>
      </c>
      <c r="CV38" s="99">
        <v>53236.83</v>
      </c>
      <c r="CW38" s="139" t="s">
        <v>606</v>
      </c>
      <c r="CX38" s="140">
        <v>18.489999999999998</v>
      </c>
      <c r="CY38" s="140"/>
      <c r="CZ38" s="140"/>
      <c r="DA38" s="140" t="s">
        <v>902</v>
      </c>
      <c r="DB38" s="140">
        <v>760</v>
      </c>
      <c r="DC38" s="140"/>
    </row>
    <row r="39" spans="2:107" ht="11.25" customHeight="1" x14ac:dyDescent="0.15">
      <c r="B39" s="139" t="s">
        <v>577</v>
      </c>
      <c r="C39" s="140" t="s">
        <v>903</v>
      </c>
      <c r="D39" s="140">
        <v>7</v>
      </c>
      <c r="E39" s="139" t="s">
        <v>904</v>
      </c>
      <c r="F39" s="139" t="s">
        <v>580</v>
      </c>
      <c r="G39" s="140" t="s">
        <v>903</v>
      </c>
      <c r="H39" s="139" t="s">
        <v>905</v>
      </c>
      <c r="I39" s="140" t="s">
        <v>421</v>
      </c>
      <c r="J39" s="139" t="s">
        <v>582</v>
      </c>
      <c r="K39" s="139" t="s">
        <v>583</v>
      </c>
      <c r="L39" s="139" t="s">
        <v>583</v>
      </c>
      <c r="M39" s="139" t="s">
        <v>583</v>
      </c>
      <c r="N39" s="139" t="s">
        <v>764</v>
      </c>
      <c r="O39" s="139" t="s">
        <v>906</v>
      </c>
      <c r="P39" s="139" t="s">
        <v>583</v>
      </c>
      <c r="Q39" s="139" t="s">
        <v>583</v>
      </c>
      <c r="R39" s="140">
        <v>1</v>
      </c>
      <c r="S39" s="140">
        <v>0</v>
      </c>
      <c r="T39" s="140">
        <v>1</v>
      </c>
      <c r="U39" s="140">
        <v>78</v>
      </c>
      <c r="V39" s="139" t="s">
        <v>907</v>
      </c>
      <c r="W39" s="139" t="s">
        <v>908</v>
      </c>
      <c r="X39" s="139" t="s">
        <v>909</v>
      </c>
      <c r="Y39" s="139" t="s">
        <v>910</v>
      </c>
      <c r="Z39" s="139" t="s">
        <v>644</v>
      </c>
      <c r="AA39" s="139" t="s">
        <v>911</v>
      </c>
      <c r="AB39" s="139" t="s">
        <v>907</v>
      </c>
      <c r="AC39" s="139" t="s">
        <v>908</v>
      </c>
      <c r="AD39" s="139" t="s">
        <v>909</v>
      </c>
      <c r="AE39" s="139" t="s">
        <v>910</v>
      </c>
      <c r="AF39" s="139" t="s">
        <v>644</v>
      </c>
      <c r="AG39" s="139" t="s">
        <v>911</v>
      </c>
      <c r="AH39" s="139" t="s">
        <v>751</v>
      </c>
      <c r="AI39" s="139" t="s">
        <v>433</v>
      </c>
      <c r="AJ39" s="140">
        <v>9336277.25</v>
      </c>
      <c r="AK39" s="139" t="s">
        <v>907</v>
      </c>
      <c r="AL39" s="139" t="s">
        <v>908</v>
      </c>
      <c r="AM39" s="139" t="s">
        <v>909</v>
      </c>
      <c r="AN39" s="139" t="s">
        <v>910</v>
      </c>
      <c r="AO39" s="139" t="s">
        <v>644</v>
      </c>
      <c r="AP39" s="139" t="s">
        <v>911</v>
      </c>
      <c r="AQ39" s="139" t="s">
        <v>751</v>
      </c>
      <c r="AR39" s="139" t="s">
        <v>433</v>
      </c>
      <c r="AS39" s="139" t="s">
        <v>433</v>
      </c>
      <c r="AT39" s="139" t="s">
        <v>593</v>
      </c>
      <c r="AU39" s="139" t="s">
        <v>437</v>
      </c>
      <c r="AV39" s="140">
        <v>2</v>
      </c>
      <c r="AW39" s="139" t="s">
        <v>594</v>
      </c>
      <c r="AX39" s="139" t="s">
        <v>595</v>
      </c>
      <c r="AY39" s="139" t="s">
        <v>912</v>
      </c>
      <c r="AZ39" s="140">
        <v>1</v>
      </c>
      <c r="BA39" s="139" t="s">
        <v>597</v>
      </c>
      <c r="BB39" s="140">
        <v>88104.12</v>
      </c>
      <c r="BC39" s="140">
        <v>8868226</v>
      </c>
      <c r="BD39" s="140">
        <v>103295</v>
      </c>
      <c r="BE39" s="140">
        <v>100.6562</v>
      </c>
      <c r="BF39" s="139" t="s">
        <v>880</v>
      </c>
      <c r="BG39" s="139" t="s">
        <v>583</v>
      </c>
      <c r="BH39" s="139" t="s">
        <v>913</v>
      </c>
      <c r="BI39" s="139" t="s">
        <v>598</v>
      </c>
      <c r="BJ39" s="139" t="s">
        <v>624</v>
      </c>
      <c r="BK39" s="139" t="s">
        <v>914</v>
      </c>
      <c r="BL39" s="139" t="s">
        <v>583</v>
      </c>
      <c r="BM39" s="139" t="s">
        <v>915</v>
      </c>
      <c r="BN39" s="139" t="s">
        <v>916</v>
      </c>
      <c r="BO39" s="139" t="s">
        <v>917</v>
      </c>
      <c r="BP39" s="139" t="s">
        <v>918</v>
      </c>
      <c r="BQ39" s="139" t="s">
        <v>772</v>
      </c>
      <c r="BR39" s="140">
        <v>1</v>
      </c>
      <c r="BS39" s="139" t="s">
        <v>919</v>
      </c>
      <c r="BT39" s="99">
        <f t="shared" si="1"/>
        <v>0</v>
      </c>
      <c r="BU39" s="99">
        <f t="shared" si="0"/>
        <v>0</v>
      </c>
      <c r="BV39" s="99">
        <f t="shared" si="2"/>
        <v>0</v>
      </c>
      <c r="BW39" s="139" t="s">
        <v>602</v>
      </c>
      <c r="BX39" s="139" t="s">
        <v>764</v>
      </c>
      <c r="BY39" s="140">
        <v>78</v>
      </c>
      <c r="BZ39" s="140">
        <v>0</v>
      </c>
      <c r="CA39" s="99">
        <v>15600</v>
      </c>
      <c r="CB39" s="140" t="s">
        <v>603</v>
      </c>
      <c r="CC39" s="140">
        <v>0</v>
      </c>
      <c r="CD39" s="140"/>
      <c r="CE39" s="139" t="s">
        <v>577</v>
      </c>
      <c r="CF39" s="139" t="s">
        <v>775</v>
      </c>
      <c r="CG39" s="139" t="s">
        <v>583</v>
      </c>
      <c r="CH39" s="139" t="s">
        <v>583</v>
      </c>
      <c r="CI39" s="139" t="s">
        <v>751</v>
      </c>
      <c r="CJ39" s="140">
        <v>1528.8</v>
      </c>
      <c r="CK39" s="140" t="s">
        <v>605</v>
      </c>
      <c r="CL39" s="140">
        <v>4000000</v>
      </c>
      <c r="CM39" s="99">
        <v>1267</v>
      </c>
      <c r="CN39" s="140">
        <v>0</v>
      </c>
      <c r="CO39" s="139" t="s">
        <v>583</v>
      </c>
      <c r="CP39" s="139" t="s">
        <v>583</v>
      </c>
      <c r="CQ39" s="140">
        <v>88104.12</v>
      </c>
      <c r="CR39" s="140">
        <v>8868226</v>
      </c>
      <c r="CS39" s="140">
        <v>0</v>
      </c>
      <c r="CT39" s="140">
        <v>1</v>
      </c>
      <c r="CU39" s="140">
        <v>9336277.25</v>
      </c>
      <c r="CV39" s="99">
        <v>103295</v>
      </c>
      <c r="CW39" s="139" t="s">
        <v>606</v>
      </c>
      <c r="CX39" s="140">
        <v>81.53</v>
      </c>
      <c r="CY39" s="140"/>
      <c r="CZ39" s="140"/>
      <c r="DA39" s="140" t="s">
        <v>920</v>
      </c>
      <c r="DB39" s="140">
        <v>1267</v>
      </c>
      <c r="DC39" s="140"/>
    </row>
    <row r="40" spans="2:107" ht="11.25" customHeight="1" x14ac:dyDescent="0.15">
      <c r="B40" s="139" t="s">
        <v>577</v>
      </c>
      <c r="C40" s="140" t="s">
        <v>903</v>
      </c>
      <c r="D40" s="140">
        <v>7</v>
      </c>
      <c r="E40" s="139" t="s">
        <v>921</v>
      </c>
      <c r="F40" s="139" t="s">
        <v>718</v>
      </c>
      <c r="G40" s="140" t="s">
        <v>903</v>
      </c>
      <c r="H40" s="139" t="s">
        <v>922</v>
      </c>
      <c r="I40" s="140" t="s">
        <v>421</v>
      </c>
      <c r="J40" s="139" t="s">
        <v>582</v>
      </c>
      <c r="K40" s="139" t="s">
        <v>583</v>
      </c>
      <c r="L40" s="139" t="s">
        <v>583</v>
      </c>
      <c r="M40" s="139" t="s">
        <v>583</v>
      </c>
      <c r="N40" s="139" t="s">
        <v>720</v>
      </c>
      <c r="O40" s="139" t="s">
        <v>923</v>
      </c>
      <c r="P40" s="139" t="s">
        <v>583</v>
      </c>
      <c r="Q40" s="139" t="s">
        <v>583</v>
      </c>
      <c r="R40" s="140">
        <v>1</v>
      </c>
      <c r="S40" s="140">
        <v>0</v>
      </c>
      <c r="T40" s="140">
        <v>1</v>
      </c>
      <c r="U40" s="140">
        <v>60</v>
      </c>
      <c r="V40" s="139" t="s">
        <v>662</v>
      </c>
      <c r="W40" s="139" t="s">
        <v>663</v>
      </c>
      <c r="X40" s="139" t="s">
        <v>664</v>
      </c>
      <c r="Y40" s="139" t="s">
        <v>665</v>
      </c>
      <c r="Z40" s="139" t="s">
        <v>666</v>
      </c>
      <c r="AA40" s="139" t="s">
        <v>667</v>
      </c>
      <c r="AB40" s="139" t="s">
        <v>662</v>
      </c>
      <c r="AC40" s="139" t="s">
        <v>663</v>
      </c>
      <c r="AD40" s="139" t="s">
        <v>664</v>
      </c>
      <c r="AE40" s="139" t="s">
        <v>665</v>
      </c>
      <c r="AF40" s="139" t="s">
        <v>666</v>
      </c>
      <c r="AG40" s="139" t="s">
        <v>667</v>
      </c>
      <c r="AH40" s="139" t="s">
        <v>592</v>
      </c>
      <c r="AI40" s="139" t="s">
        <v>429</v>
      </c>
      <c r="AJ40" s="140">
        <v>1791680.36</v>
      </c>
      <c r="AK40" s="139" t="s">
        <v>662</v>
      </c>
      <c r="AL40" s="139" t="s">
        <v>663</v>
      </c>
      <c r="AM40" s="139" t="s">
        <v>664</v>
      </c>
      <c r="AN40" s="139" t="s">
        <v>665</v>
      </c>
      <c r="AO40" s="139" t="s">
        <v>666</v>
      </c>
      <c r="AP40" s="139" t="s">
        <v>667</v>
      </c>
      <c r="AQ40" s="139" t="s">
        <v>592</v>
      </c>
      <c r="AR40" s="139" t="s">
        <v>429</v>
      </c>
      <c r="AS40" s="139" t="s">
        <v>429</v>
      </c>
      <c r="AT40" s="139" t="s">
        <v>593</v>
      </c>
      <c r="AU40" s="139" t="s">
        <v>437</v>
      </c>
      <c r="AV40" s="140">
        <v>2</v>
      </c>
      <c r="AW40" s="139" t="s">
        <v>594</v>
      </c>
      <c r="AX40" s="139" t="s">
        <v>595</v>
      </c>
      <c r="AY40" s="139" t="s">
        <v>722</v>
      </c>
      <c r="AZ40" s="140">
        <v>1</v>
      </c>
      <c r="BA40" s="139" t="s">
        <v>597</v>
      </c>
      <c r="BB40" s="140">
        <v>16800</v>
      </c>
      <c r="BC40" s="140">
        <v>1691024</v>
      </c>
      <c r="BD40" s="140">
        <v>19822.849999999999</v>
      </c>
      <c r="BE40" s="140">
        <v>100.6562</v>
      </c>
      <c r="BF40" s="139" t="s">
        <v>880</v>
      </c>
      <c r="BG40" s="139" t="s">
        <v>583</v>
      </c>
      <c r="BH40" s="139" t="s">
        <v>924</v>
      </c>
      <c r="BI40" s="139" t="s">
        <v>598</v>
      </c>
      <c r="BJ40" s="139" t="s">
        <v>599</v>
      </c>
      <c r="BK40" s="139" t="s">
        <v>583</v>
      </c>
      <c r="BL40" s="139" t="s">
        <v>583</v>
      </c>
      <c r="BM40" s="139" t="s">
        <v>583</v>
      </c>
      <c r="BN40" s="139" t="s">
        <v>842</v>
      </c>
      <c r="BO40" s="139" t="s">
        <v>843</v>
      </c>
      <c r="BP40" s="139" t="s">
        <v>925</v>
      </c>
      <c r="BQ40" s="139" t="s">
        <v>723</v>
      </c>
      <c r="BR40" s="140">
        <v>1</v>
      </c>
      <c r="BS40" s="139" t="s">
        <v>724</v>
      </c>
      <c r="BT40" s="99">
        <f t="shared" si="1"/>
        <v>1</v>
      </c>
      <c r="BU40" s="99">
        <f t="shared" si="0"/>
        <v>0</v>
      </c>
      <c r="BV40" s="99">
        <f t="shared" si="2"/>
        <v>1</v>
      </c>
      <c r="BW40" s="139" t="s">
        <v>725</v>
      </c>
      <c r="BX40" s="139" t="s">
        <v>726</v>
      </c>
      <c r="BY40" s="140">
        <v>60</v>
      </c>
      <c r="BZ40" s="140">
        <v>0</v>
      </c>
      <c r="CA40" s="99">
        <v>12000</v>
      </c>
      <c r="CB40" s="140" t="s">
        <v>603</v>
      </c>
      <c r="CC40" s="140">
        <v>0</v>
      </c>
      <c r="CD40" s="140"/>
      <c r="CE40" s="139" t="s">
        <v>577</v>
      </c>
      <c r="CF40" s="139" t="s">
        <v>604</v>
      </c>
      <c r="CG40" s="139" t="s">
        <v>583</v>
      </c>
      <c r="CH40" s="139" t="s">
        <v>583</v>
      </c>
      <c r="CI40" s="139" t="s">
        <v>592</v>
      </c>
      <c r="CJ40" s="140">
        <v>1260</v>
      </c>
      <c r="CK40" s="140" t="s">
        <v>605</v>
      </c>
      <c r="CL40" s="140">
        <v>4000000</v>
      </c>
      <c r="CM40" s="99">
        <v>1200</v>
      </c>
      <c r="CN40" s="140">
        <v>0</v>
      </c>
      <c r="CO40" s="139" t="s">
        <v>583</v>
      </c>
      <c r="CP40" s="139" t="s">
        <v>583</v>
      </c>
      <c r="CQ40" s="140">
        <v>16800</v>
      </c>
      <c r="CR40" s="140">
        <v>1691024</v>
      </c>
      <c r="CS40" s="140">
        <v>0</v>
      </c>
      <c r="CT40" s="140">
        <v>1</v>
      </c>
      <c r="CU40" s="140">
        <v>1791680.36</v>
      </c>
      <c r="CV40" s="99">
        <v>19822.849999999999</v>
      </c>
      <c r="CW40" s="139" t="s">
        <v>606</v>
      </c>
      <c r="CX40" s="140">
        <v>16.52</v>
      </c>
      <c r="CY40" s="140"/>
      <c r="CZ40" s="140"/>
      <c r="DA40" s="140" t="s">
        <v>926</v>
      </c>
      <c r="DB40" s="140">
        <v>26</v>
      </c>
      <c r="DC40" s="140"/>
    </row>
    <row r="41" spans="2:107" ht="11.25" customHeight="1" x14ac:dyDescent="0.15">
      <c r="B41" s="139" t="s">
        <v>577</v>
      </c>
      <c r="C41" s="140" t="s">
        <v>927</v>
      </c>
      <c r="D41" s="140">
        <v>7</v>
      </c>
      <c r="E41" s="139" t="s">
        <v>928</v>
      </c>
      <c r="F41" s="139" t="s">
        <v>618</v>
      </c>
      <c r="G41" s="140" t="s">
        <v>927</v>
      </c>
      <c r="H41" s="139" t="s">
        <v>929</v>
      </c>
      <c r="I41" s="140" t="s">
        <v>421</v>
      </c>
      <c r="J41" s="139" t="s">
        <v>582</v>
      </c>
      <c r="K41" s="139" t="s">
        <v>583</v>
      </c>
      <c r="L41" s="139" t="s">
        <v>583</v>
      </c>
      <c r="M41" s="139" t="s">
        <v>583</v>
      </c>
      <c r="N41" s="139" t="s">
        <v>441</v>
      </c>
      <c r="O41" s="139" t="s">
        <v>930</v>
      </c>
      <c r="P41" s="139" t="s">
        <v>583</v>
      </c>
      <c r="Q41" s="139" t="s">
        <v>583</v>
      </c>
      <c r="R41" s="140">
        <v>1</v>
      </c>
      <c r="S41" s="140">
        <v>0</v>
      </c>
      <c r="T41" s="140">
        <v>1</v>
      </c>
      <c r="U41" s="140">
        <v>282</v>
      </c>
      <c r="V41" s="139" t="s">
        <v>583</v>
      </c>
      <c r="W41" s="139" t="s">
        <v>583</v>
      </c>
      <c r="X41" s="139" t="s">
        <v>632</v>
      </c>
      <c r="Y41" s="139" t="s">
        <v>633</v>
      </c>
      <c r="Z41" s="139" t="s">
        <v>583</v>
      </c>
      <c r="AA41" s="139" t="s">
        <v>583</v>
      </c>
      <c r="AB41" s="139" t="s">
        <v>583</v>
      </c>
      <c r="AC41" s="139" t="s">
        <v>583</v>
      </c>
      <c r="AD41" s="139" t="s">
        <v>632</v>
      </c>
      <c r="AE41" s="139" t="s">
        <v>633</v>
      </c>
      <c r="AF41" s="139" t="s">
        <v>583</v>
      </c>
      <c r="AG41" s="139" t="s">
        <v>583</v>
      </c>
      <c r="AH41" s="139" t="s">
        <v>621</v>
      </c>
      <c r="AI41" s="139" t="s">
        <v>430</v>
      </c>
      <c r="AJ41" s="140">
        <v>8685824.8100000005</v>
      </c>
      <c r="AK41" s="139" t="s">
        <v>583</v>
      </c>
      <c r="AL41" s="139" t="s">
        <v>583</v>
      </c>
      <c r="AM41" s="139" t="s">
        <v>632</v>
      </c>
      <c r="AN41" s="139" t="s">
        <v>633</v>
      </c>
      <c r="AO41" s="139" t="s">
        <v>583</v>
      </c>
      <c r="AP41" s="139" t="s">
        <v>583</v>
      </c>
      <c r="AQ41" s="139" t="s">
        <v>621</v>
      </c>
      <c r="AR41" s="139" t="s">
        <v>430</v>
      </c>
      <c r="AS41" s="139" t="s">
        <v>430</v>
      </c>
      <c r="AT41" s="139" t="s">
        <v>593</v>
      </c>
      <c r="AU41" s="139" t="s">
        <v>437</v>
      </c>
      <c r="AV41" s="140">
        <v>0</v>
      </c>
      <c r="AW41" s="139" t="s">
        <v>594</v>
      </c>
      <c r="AX41" s="139" t="s">
        <v>622</v>
      </c>
      <c r="AY41" s="139" t="s">
        <v>623</v>
      </c>
      <c r="AZ41" s="140">
        <v>1</v>
      </c>
      <c r="BA41" s="139" t="s">
        <v>597</v>
      </c>
      <c r="BB41" s="140">
        <v>86292</v>
      </c>
      <c r="BC41" s="140">
        <v>8685825</v>
      </c>
      <c r="BD41" s="140">
        <v>96098.5</v>
      </c>
      <c r="BE41" s="140">
        <v>100.6562</v>
      </c>
      <c r="BF41" s="139" t="s">
        <v>880</v>
      </c>
      <c r="BG41" s="139" t="s">
        <v>582</v>
      </c>
      <c r="BH41" s="139" t="s">
        <v>931</v>
      </c>
      <c r="BI41" s="139" t="s">
        <v>598</v>
      </c>
      <c r="BJ41" s="139" t="s">
        <v>624</v>
      </c>
      <c r="BK41" s="139" t="s">
        <v>882</v>
      </c>
      <c r="BL41" s="139" t="s">
        <v>583</v>
      </c>
      <c r="BM41" s="139" t="s">
        <v>883</v>
      </c>
      <c r="BN41" s="139" t="s">
        <v>583</v>
      </c>
      <c r="BO41" s="139" t="s">
        <v>623</v>
      </c>
      <c r="BP41" s="139" t="s">
        <v>884</v>
      </c>
      <c r="BQ41" s="139" t="s">
        <v>625</v>
      </c>
      <c r="BR41" s="140">
        <v>1</v>
      </c>
      <c r="BS41" s="139" t="s">
        <v>932</v>
      </c>
      <c r="BT41" s="99">
        <f t="shared" si="1"/>
        <v>0</v>
      </c>
      <c r="BU41" s="99">
        <f t="shared" si="0"/>
        <v>1</v>
      </c>
      <c r="BV41" s="99">
        <f t="shared" si="2"/>
        <v>1</v>
      </c>
      <c r="BW41" s="139" t="s">
        <v>635</v>
      </c>
      <c r="BX41" s="139" t="s">
        <v>441</v>
      </c>
      <c r="BY41" s="140">
        <v>282</v>
      </c>
      <c r="BZ41" s="140">
        <v>0</v>
      </c>
      <c r="CA41" s="99">
        <v>56400</v>
      </c>
      <c r="CB41" s="140" t="s">
        <v>603</v>
      </c>
      <c r="CC41" s="140">
        <v>0</v>
      </c>
      <c r="CD41" s="140"/>
      <c r="CE41" s="139" t="s">
        <v>577</v>
      </c>
      <c r="CF41" s="139" t="s">
        <v>604</v>
      </c>
      <c r="CG41" s="139" t="s">
        <v>583</v>
      </c>
      <c r="CH41" s="139" t="s">
        <v>583</v>
      </c>
      <c r="CI41" s="139" t="s">
        <v>621</v>
      </c>
      <c r="CJ41" s="140">
        <v>5844</v>
      </c>
      <c r="CK41" s="140" t="s">
        <v>605</v>
      </c>
      <c r="CL41" s="140">
        <v>4000000</v>
      </c>
      <c r="CM41" s="99">
        <v>5076</v>
      </c>
      <c r="CN41" s="140">
        <v>0</v>
      </c>
      <c r="CO41" s="139" t="s">
        <v>583</v>
      </c>
      <c r="CP41" s="139" t="s">
        <v>583</v>
      </c>
      <c r="CQ41" s="140">
        <v>86292</v>
      </c>
      <c r="CR41" s="140">
        <v>8685825</v>
      </c>
      <c r="CS41" s="140">
        <v>0</v>
      </c>
      <c r="CT41" s="140">
        <v>1</v>
      </c>
      <c r="CU41" s="140">
        <v>8685824.8100000005</v>
      </c>
      <c r="CV41" s="99">
        <v>96098.5</v>
      </c>
      <c r="CW41" s="139" t="s">
        <v>606</v>
      </c>
      <c r="CX41" s="140">
        <v>18.93</v>
      </c>
      <c r="CY41" s="140"/>
      <c r="CZ41" s="140"/>
      <c r="DA41" s="140" t="s">
        <v>933</v>
      </c>
      <c r="DB41" s="140">
        <v>945</v>
      </c>
      <c r="DC41" s="140"/>
    </row>
    <row r="42" spans="2:107" ht="11.25" customHeight="1" x14ac:dyDescent="0.15">
      <c r="B42" s="139" t="s">
        <v>577</v>
      </c>
      <c r="C42" s="140" t="s">
        <v>934</v>
      </c>
      <c r="D42" s="140">
        <v>7</v>
      </c>
      <c r="E42" s="139" t="s">
        <v>935</v>
      </c>
      <c r="F42" s="139" t="s">
        <v>618</v>
      </c>
      <c r="G42" s="140" t="s">
        <v>934</v>
      </c>
      <c r="H42" s="139" t="s">
        <v>936</v>
      </c>
      <c r="I42" s="140" t="s">
        <v>421</v>
      </c>
      <c r="J42" s="139" t="s">
        <v>582</v>
      </c>
      <c r="K42" s="139" t="s">
        <v>583</v>
      </c>
      <c r="L42" s="139" t="s">
        <v>583</v>
      </c>
      <c r="M42" s="139" t="s">
        <v>583</v>
      </c>
      <c r="N42" s="139" t="s">
        <v>441</v>
      </c>
      <c r="O42" s="139" t="s">
        <v>937</v>
      </c>
      <c r="P42" s="139" t="s">
        <v>583</v>
      </c>
      <c r="Q42" s="139" t="s">
        <v>583</v>
      </c>
      <c r="R42" s="140">
        <v>1</v>
      </c>
      <c r="S42" s="140"/>
      <c r="T42" s="140">
        <v>1</v>
      </c>
      <c r="U42" s="140">
        <v>120</v>
      </c>
      <c r="V42" s="139" t="s">
        <v>640</v>
      </c>
      <c r="W42" s="139" t="s">
        <v>641</v>
      </c>
      <c r="X42" s="139" t="s">
        <v>642</v>
      </c>
      <c r="Y42" s="139" t="s">
        <v>643</v>
      </c>
      <c r="Z42" s="139" t="s">
        <v>644</v>
      </c>
      <c r="AA42" s="139" t="s">
        <v>645</v>
      </c>
      <c r="AB42" s="139" t="s">
        <v>640</v>
      </c>
      <c r="AC42" s="139" t="s">
        <v>641</v>
      </c>
      <c r="AD42" s="139" t="s">
        <v>642</v>
      </c>
      <c r="AE42" s="139" t="s">
        <v>643</v>
      </c>
      <c r="AF42" s="139" t="s">
        <v>644</v>
      </c>
      <c r="AG42" s="139" t="s">
        <v>645</v>
      </c>
      <c r="AH42" s="139" t="s">
        <v>621</v>
      </c>
      <c r="AI42" s="139" t="s">
        <v>430</v>
      </c>
      <c r="AJ42" s="140">
        <v>3671938.18</v>
      </c>
      <c r="AK42" s="139" t="s">
        <v>640</v>
      </c>
      <c r="AL42" s="139" t="s">
        <v>641</v>
      </c>
      <c r="AM42" s="139" t="s">
        <v>642</v>
      </c>
      <c r="AN42" s="139" t="s">
        <v>643</v>
      </c>
      <c r="AO42" s="139" t="s">
        <v>644</v>
      </c>
      <c r="AP42" s="139" t="s">
        <v>645</v>
      </c>
      <c r="AQ42" s="139" t="s">
        <v>621</v>
      </c>
      <c r="AR42" s="139" t="s">
        <v>430</v>
      </c>
      <c r="AS42" s="139" t="s">
        <v>430</v>
      </c>
      <c r="AT42" s="139" t="s">
        <v>593</v>
      </c>
      <c r="AU42" s="139" t="s">
        <v>437</v>
      </c>
      <c r="AV42" s="140"/>
      <c r="AW42" s="139" t="s">
        <v>594</v>
      </c>
      <c r="AX42" s="139" t="s">
        <v>622</v>
      </c>
      <c r="AY42" s="139" t="s">
        <v>646</v>
      </c>
      <c r="AZ42" s="140">
        <v>1</v>
      </c>
      <c r="BA42" s="139" t="s">
        <v>597</v>
      </c>
      <c r="BB42" s="140">
        <v>36480</v>
      </c>
      <c r="BC42" s="140">
        <v>3671938</v>
      </c>
      <c r="BD42" s="140">
        <v>40625.71</v>
      </c>
      <c r="BE42" s="140">
        <v>100.6562</v>
      </c>
      <c r="BF42" s="139" t="s">
        <v>880</v>
      </c>
      <c r="BG42" s="139" t="s">
        <v>582</v>
      </c>
      <c r="BH42" s="139" t="s">
        <v>938</v>
      </c>
      <c r="BI42" s="139" t="s">
        <v>598</v>
      </c>
      <c r="BJ42" s="139" t="s">
        <v>624</v>
      </c>
      <c r="BK42" s="139" t="s">
        <v>882</v>
      </c>
      <c r="BL42" s="139" t="s">
        <v>583</v>
      </c>
      <c r="BM42" s="139" t="s">
        <v>939</v>
      </c>
      <c r="BN42" s="139" t="s">
        <v>583</v>
      </c>
      <c r="BO42" s="139" t="s">
        <v>623</v>
      </c>
      <c r="BP42" s="139" t="s">
        <v>884</v>
      </c>
      <c r="BQ42" s="139" t="s">
        <v>625</v>
      </c>
      <c r="BR42" s="140">
        <v>1</v>
      </c>
      <c r="BS42" s="139" t="s">
        <v>940</v>
      </c>
      <c r="BT42" s="99">
        <f t="shared" si="1"/>
        <v>0</v>
      </c>
      <c r="BU42" s="99">
        <f t="shared" si="0"/>
        <v>0</v>
      </c>
      <c r="BV42" s="99">
        <f t="shared" si="2"/>
        <v>0</v>
      </c>
      <c r="BW42" s="139" t="s">
        <v>446</v>
      </c>
      <c r="BX42" s="139" t="s">
        <v>441</v>
      </c>
      <c r="BY42" s="140">
        <v>120</v>
      </c>
      <c r="BZ42" s="140"/>
      <c r="CA42" s="99">
        <v>24000</v>
      </c>
      <c r="CB42" s="140" t="s">
        <v>603</v>
      </c>
      <c r="CC42" s="140"/>
      <c r="CD42" s="140"/>
      <c r="CE42" s="139" t="s">
        <v>577</v>
      </c>
      <c r="CF42" s="139" t="s">
        <v>604</v>
      </c>
      <c r="CG42" s="139" t="s">
        <v>583</v>
      </c>
      <c r="CH42" s="139" t="s">
        <v>583</v>
      </c>
      <c r="CI42" s="139" t="s">
        <v>621</v>
      </c>
      <c r="CJ42" s="140">
        <v>2488</v>
      </c>
      <c r="CK42" s="140" t="s">
        <v>605</v>
      </c>
      <c r="CL42" s="140">
        <v>4000000</v>
      </c>
      <c r="CM42" s="99">
        <v>2160</v>
      </c>
      <c r="CN42" s="140"/>
      <c r="CO42" s="139" t="s">
        <v>583</v>
      </c>
      <c r="CP42" s="139" t="s">
        <v>583</v>
      </c>
      <c r="CQ42" s="140">
        <v>36480</v>
      </c>
      <c r="CR42" s="140">
        <v>3671938</v>
      </c>
      <c r="CS42" s="140">
        <v>0</v>
      </c>
      <c r="CT42" s="140">
        <v>1</v>
      </c>
      <c r="CU42" s="140">
        <v>3671938.18</v>
      </c>
      <c r="CV42" s="99">
        <v>40625.71</v>
      </c>
      <c r="CW42" s="139" t="s">
        <v>606</v>
      </c>
      <c r="CX42" s="140">
        <v>18.809999999999999</v>
      </c>
      <c r="CY42" s="140"/>
      <c r="CZ42" s="140"/>
      <c r="DA42" s="140" t="s">
        <v>941</v>
      </c>
      <c r="DB42" s="140">
        <v>1164</v>
      </c>
      <c r="DC42" s="140"/>
    </row>
    <row r="43" spans="2:107" ht="11.25" customHeight="1" x14ac:dyDescent="0.15">
      <c r="B43" s="139" t="s">
        <v>577</v>
      </c>
      <c r="C43" s="140" t="s">
        <v>934</v>
      </c>
      <c r="D43" s="140">
        <v>7</v>
      </c>
      <c r="E43" s="139" t="s">
        <v>942</v>
      </c>
      <c r="F43" s="139" t="s">
        <v>618</v>
      </c>
      <c r="G43" s="140" t="s">
        <v>934</v>
      </c>
      <c r="H43" s="139" t="s">
        <v>943</v>
      </c>
      <c r="I43" s="140" t="s">
        <v>421</v>
      </c>
      <c r="J43" s="139" t="s">
        <v>582</v>
      </c>
      <c r="K43" s="139" t="s">
        <v>583</v>
      </c>
      <c r="L43" s="139" t="s">
        <v>583</v>
      </c>
      <c r="M43" s="139" t="s">
        <v>583</v>
      </c>
      <c r="N43" s="139" t="s">
        <v>660</v>
      </c>
      <c r="O43" s="139" t="s">
        <v>944</v>
      </c>
      <c r="P43" s="139" t="s">
        <v>583</v>
      </c>
      <c r="Q43" s="139" t="s">
        <v>583</v>
      </c>
      <c r="R43" s="140">
        <v>1</v>
      </c>
      <c r="S43" s="140">
        <v>0</v>
      </c>
      <c r="T43" s="140">
        <v>1</v>
      </c>
      <c r="U43" s="140">
        <v>282</v>
      </c>
      <c r="V43" s="139" t="s">
        <v>945</v>
      </c>
      <c r="W43" s="139" t="s">
        <v>946</v>
      </c>
      <c r="X43" s="139" t="s">
        <v>947</v>
      </c>
      <c r="Y43" s="139" t="s">
        <v>948</v>
      </c>
      <c r="Z43" s="139" t="s">
        <v>949</v>
      </c>
      <c r="AA43" s="139" t="s">
        <v>950</v>
      </c>
      <c r="AB43" s="139" t="s">
        <v>945</v>
      </c>
      <c r="AC43" s="139" t="s">
        <v>946</v>
      </c>
      <c r="AD43" s="139" t="s">
        <v>947</v>
      </c>
      <c r="AE43" s="139" t="s">
        <v>948</v>
      </c>
      <c r="AF43" s="139" t="s">
        <v>949</v>
      </c>
      <c r="AG43" s="139" t="s">
        <v>950</v>
      </c>
      <c r="AH43" s="139" t="s">
        <v>621</v>
      </c>
      <c r="AI43" s="139" t="s">
        <v>430</v>
      </c>
      <c r="AJ43" s="140">
        <v>7862658.4100000001</v>
      </c>
      <c r="AK43" s="139" t="s">
        <v>945</v>
      </c>
      <c r="AL43" s="139" t="s">
        <v>946</v>
      </c>
      <c r="AM43" s="139" t="s">
        <v>947</v>
      </c>
      <c r="AN43" s="139" t="s">
        <v>948</v>
      </c>
      <c r="AO43" s="139" t="s">
        <v>949</v>
      </c>
      <c r="AP43" s="139" t="s">
        <v>950</v>
      </c>
      <c r="AQ43" s="139" t="s">
        <v>621</v>
      </c>
      <c r="AR43" s="139" t="s">
        <v>430</v>
      </c>
      <c r="AS43" s="139" t="s">
        <v>430</v>
      </c>
      <c r="AT43" s="139" t="s">
        <v>593</v>
      </c>
      <c r="AU43" s="139" t="s">
        <v>437</v>
      </c>
      <c r="AV43" s="140">
        <v>0</v>
      </c>
      <c r="AW43" s="139" t="s">
        <v>594</v>
      </c>
      <c r="AX43" s="139" t="s">
        <v>622</v>
      </c>
      <c r="AY43" s="139" t="s">
        <v>623</v>
      </c>
      <c r="AZ43" s="140">
        <v>1</v>
      </c>
      <c r="BA43" s="139" t="s">
        <v>951</v>
      </c>
      <c r="BB43" s="140">
        <v>114576.09</v>
      </c>
      <c r="BC43" s="140">
        <v>7904146</v>
      </c>
      <c r="BD43" s="140">
        <v>86991.13</v>
      </c>
      <c r="BE43" s="140">
        <v>68.623900000000006</v>
      </c>
      <c r="BF43" s="139" t="s">
        <v>880</v>
      </c>
      <c r="BG43" s="139" t="s">
        <v>582</v>
      </c>
      <c r="BH43" s="139" t="s">
        <v>952</v>
      </c>
      <c r="BI43" s="139" t="s">
        <v>598</v>
      </c>
      <c r="BJ43" s="139" t="s">
        <v>624</v>
      </c>
      <c r="BK43" s="139" t="s">
        <v>882</v>
      </c>
      <c r="BL43" s="139" t="s">
        <v>583</v>
      </c>
      <c r="BM43" s="139" t="s">
        <v>953</v>
      </c>
      <c r="BN43" s="139" t="s">
        <v>583</v>
      </c>
      <c r="BO43" s="139" t="s">
        <v>623</v>
      </c>
      <c r="BP43" s="139" t="s">
        <v>884</v>
      </c>
      <c r="BQ43" s="139" t="s">
        <v>625</v>
      </c>
      <c r="BR43" s="140">
        <v>1</v>
      </c>
      <c r="BS43" s="139" t="s">
        <v>634</v>
      </c>
      <c r="BT43" s="99">
        <f t="shared" si="1"/>
        <v>0</v>
      </c>
      <c r="BU43" s="99">
        <f t="shared" si="0"/>
        <v>1</v>
      </c>
      <c r="BV43" s="99">
        <f t="shared" si="2"/>
        <v>1</v>
      </c>
      <c r="BW43" s="139" t="s">
        <v>635</v>
      </c>
      <c r="BX43" s="139" t="s">
        <v>441</v>
      </c>
      <c r="BY43" s="140">
        <v>282</v>
      </c>
      <c r="BZ43" s="140">
        <v>0</v>
      </c>
      <c r="CA43" s="99">
        <v>56400</v>
      </c>
      <c r="CB43" s="140" t="s">
        <v>603</v>
      </c>
      <c r="CC43" s="140">
        <v>0</v>
      </c>
      <c r="CD43" s="140"/>
      <c r="CE43" s="139" t="s">
        <v>577</v>
      </c>
      <c r="CF43" s="139" t="s">
        <v>604</v>
      </c>
      <c r="CG43" s="139" t="s">
        <v>583</v>
      </c>
      <c r="CH43" s="139" t="s">
        <v>583</v>
      </c>
      <c r="CI43" s="139" t="s">
        <v>621</v>
      </c>
      <c r="CJ43" s="140">
        <v>5894</v>
      </c>
      <c r="CK43" s="140" t="s">
        <v>605</v>
      </c>
      <c r="CL43" s="140">
        <v>4000000</v>
      </c>
      <c r="CM43" s="99">
        <v>5076</v>
      </c>
      <c r="CN43" s="140">
        <v>0</v>
      </c>
      <c r="CO43" s="139" t="s">
        <v>583</v>
      </c>
      <c r="CP43" s="139" t="s">
        <v>583</v>
      </c>
      <c r="CQ43" s="140">
        <v>114576.09</v>
      </c>
      <c r="CR43" s="140">
        <v>7904146</v>
      </c>
      <c r="CS43" s="140">
        <v>0</v>
      </c>
      <c r="CT43" s="140">
        <v>1</v>
      </c>
      <c r="CU43" s="140">
        <v>7862658.4100000001</v>
      </c>
      <c r="CV43" s="99">
        <v>86991.13</v>
      </c>
      <c r="CW43" s="139" t="s">
        <v>606</v>
      </c>
      <c r="CX43" s="140">
        <v>17.14</v>
      </c>
      <c r="CY43" s="140"/>
      <c r="CZ43" s="140"/>
      <c r="DA43" s="140" t="s">
        <v>933</v>
      </c>
      <c r="DB43" s="140">
        <v>678</v>
      </c>
      <c r="DC43" s="140"/>
    </row>
    <row r="44" spans="2:107" ht="11.25" customHeight="1" x14ac:dyDescent="0.15">
      <c r="B44" s="139" t="s">
        <v>577</v>
      </c>
      <c r="C44" s="140" t="s">
        <v>954</v>
      </c>
      <c r="D44" s="140">
        <v>7</v>
      </c>
      <c r="E44" s="139" t="s">
        <v>955</v>
      </c>
      <c r="F44" s="139" t="s">
        <v>580</v>
      </c>
      <c r="G44" s="140" t="s">
        <v>954</v>
      </c>
      <c r="H44" s="139" t="s">
        <v>956</v>
      </c>
      <c r="I44" s="140" t="s">
        <v>421</v>
      </c>
      <c r="J44" s="139" t="s">
        <v>582</v>
      </c>
      <c r="K44" s="139" t="s">
        <v>583</v>
      </c>
      <c r="L44" s="139" t="s">
        <v>583</v>
      </c>
      <c r="M44" s="139" t="s">
        <v>583</v>
      </c>
      <c r="N44" s="139" t="s">
        <v>584</v>
      </c>
      <c r="O44" s="139" t="s">
        <v>957</v>
      </c>
      <c r="P44" s="139" t="s">
        <v>583</v>
      </c>
      <c r="Q44" s="139" t="s">
        <v>583</v>
      </c>
      <c r="R44" s="140">
        <v>1</v>
      </c>
      <c r="S44" s="140">
        <v>0</v>
      </c>
      <c r="T44" s="140">
        <v>1</v>
      </c>
      <c r="U44" s="140">
        <v>495</v>
      </c>
      <c r="V44" s="139" t="s">
        <v>586</v>
      </c>
      <c r="W44" s="139" t="s">
        <v>587</v>
      </c>
      <c r="X44" s="139" t="s">
        <v>588</v>
      </c>
      <c r="Y44" s="139" t="s">
        <v>589</v>
      </c>
      <c r="Z44" s="139" t="s">
        <v>590</v>
      </c>
      <c r="AA44" s="139" t="s">
        <v>591</v>
      </c>
      <c r="AB44" s="139" t="s">
        <v>586</v>
      </c>
      <c r="AC44" s="139" t="s">
        <v>587</v>
      </c>
      <c r="AD44" s="139" t="s">
        <v>588</v>
      </c>
      <c r="AE44" s="139" t="s">
        <v>589</v>
      </c>
      <c r="AF44" s="139" t="s">
        <v>590</v>
      </c>
      <c r="AG44" s="139" t="s">
        <v>591</v>
      </c>
      <c r="AH44" s="139" t="s">
        <v>592</v>
      </c>
      <c r="AI44" s="139" t="s">
        <v>429</v>
      </c>
      <c r="AJ44" s="140">
        <v>12902241.1</v>
      </c>
      <c r="AK44" s="139" t="s">
        <v>586</v>
      </c>
      <c r="AL44" s="139" t="s">
        <v>587</v>
      </c>
      <c r="AM44" s="139" t="s">
        <v>588</v>
      </c>
      <c r="AN44" s="139" t="s">
        <v>589</v>
      </c>
      <c r="AO44" s="139" t="s">
        <v>590</v>
      </c>
      <c r="AP44" s="139" t="s">
        <v>591</v>
      </c>
      <c r="AQ44" s="139" t="s">
        <v>592</v>
      </c>
      <c r="AR44" s="139" t="s">
        <v>429</v>
      </c>
      <c r="AS44" s="139" t="s">
        <v>429</v>
      </c>
      <c r="AT44" s="139" t="s">
        <v>593</v>
      </c>
      <c r="AU44" s="139" t="s">
        <v>437</v>
      </c>
      <c r="AV44" s="140">
        <v>2</v>
      </c>
      <c r="AW44" s="139" t="s">
        <v>594</v>
      </c>
      <c r="AX44" s="139" t="s">
        <v>595</v>
      </c>
      <c r="AY44" s="139" t="s">
        <v>596</v>
      </c>
      <c r="AZ44" s="140">
        <v>1</v>
      </c>
      <c r="BA44" s="139" t="s">
        <v>597</v>
      </c>
      <c r="BB44" s="140">
        <v>123750</v>
      </c>
      <c r="BC44" s="140">
        <v>12601834</v>
      </c>
      <c r="BD44" s="140">
        <v>142009.93</v>
      </c>
      <c r="BE44" s="140">
        <v>101.833</v>
      </c>
      <c r="BF44" s="139" t="s">
        <v>880</v>
      </c>
      <c r="BG44" s="139" t="s">
        <v>583</v>
      </c>
      <c r="BH44" s="139" t="s">
        <v>958</v>
      </c>
      <c r="BI44" s="139" t="s">
        <v>598</v>
      </c>
      <c r="BJ44" s="139" t="s">
        <v>599</v>
      </c>
      <c r="BK44" s="139" t="s">
        <v>583</v>
      </c>
      <c r="BL44" s="139" t="s">
        <v>583</v>
      </c>
      <c r="BM44" s="139" t="s">
        <v>583</v>
      </c>
      <c r="BN44" s="139" t="s">
        <v>853</v>
      </c>
      <c r="BO44" s="139" t="s">
        <v>854</v>
      </c>
      <c r="BP44" s="139" t="s">
        <v>959</v>
      </c>
      <c r="BQ44" s="139" t="s">
        <v>600</v>
      </c>
      <c r="BR44" s="140">
        <v>1</v>
      </c>
      <c r="BS44" s="139" t="s">
        <v>960</v>
      </c>
      <c r="BT44" s="99">
        <f t="shared" si="1"/>
        <v>0</v>
      </c>
      <c r="BU44" s="99">
        <f t="shared" si="0"/>
        <v>1</v>
      </c>
      <c r="BV44" s="99">
        <f t="shared" si="2"/>
        <v>1</v>
      </c>
      <c r="BW44" s="139" t="s">
        <v>602</v>
      </c>
      <c r="BX44" s="139" t="s">
        <v>584</v>
      </c>
      <c r="BY44" s="140">
        <v>495</v>
      </c>
      <c r="BZ44" s="140">
        <v>0</v>
      </c>
      <c r="CA44" s="99">
        <v>99000</v>
      </c>
      <c r="CB44" s="140" t="s">
        <v>603</v>
      </c>
      <c r="CC44" s="140">
        <v>0</v>
      </c>
      <c r="CD44" s="140"/>
      <c r="CE44" s="139" t="s">
        <v>577</v>
      </c>
      <c r="CF44" s="139" t="s">
        <v>604</v>
      </c>
      <c r="CG44" s="139" t="s">
        <v>583</v>
      </c>
      <c r="CH44" s="139" t="s">
        <v>583</v>
      </c>
      <c r="CI44" s="139" t="s">
        <v>592</v>
      </c>
      <c r="CJ44" s="140">
        <v>10890</v>
      </c>
      <c r="CK44" s="140" t="s">
        <v>605</v>
      </c>
      <c r="CL44" s="140">
        <v>4000000</v>
      </c>
      <c r="CM44" s="99">
        <v>10395</v>
      </c>
      <c r="CN44" s="140">
        <v>0</v>
      </c>
      <c r="CO44" s="139" t="s">
        <v>583</v>
      </c>
      <c r="CP44" s="139" t="s">
        <v>583</v>
      </c>
      <c r="CQ44" s="140">
        <v>123750</v>
      </c>
      <c r="CR44" s="140">
        <v>12601834</v>
      </c>
      <c r="CS44" s="140">
        <v>0</v>
      </c>
      <c r="CT44" s="140">
        <v>1</v>
      </c>
      <c r="CU44" s="140">
        <v>12902241.1</v>
      </c>
      <c r="CV44" s="99">
        <v>142009.93</v>
      </c>
      <c r="CW44" s="139" t="s">
        <v>606</v>
      </c>
      <c r="CX44" s="140">
        <v>13.66</v>
      </c>
      <c r="CY44" s="140"/>
      <c r="CZ44" s="140"/>
      <c r="DA44" s="140" t="s">
        <v>856</v>
      </c>
      <c r="DB44" s="140">
        <v>1234</v>
      </c>
      <c r="DC44" s="140"/>
    </row>
    <row r="45" spans="2:107" ht="11.25" customHeight="1" x14ac:dyDescent="0.15">
      <c r="B45" s="139" t="s">
        <v>577</v>
      </c>
      <c r="C45" s="140" t="s">
        <v>961</v>
      </c>
      <c r="D45" s="140">
        <v>7</v>
      </c>
      <c r="E45" s="139" t="s">
        <v>962</v>
      </c>
      <c r="F45" s="139" t="s">
        <v>729</v>
      </c>
      <c r="G45" s="140" t="s">
        <v>963</v>
      </c>
      <c r="H45" s="139" t="s">
        <v>964</v>
      </c>
      <c r="I45" s="140" t="s">
        <v>421</v>
      </c>
      <c r="J45" s="139" t="s">
        <v>582</v>
      </c>
      <c r="K45" s="139" t="s">
        <v>583</v>
      </c>
      <c r="L45" s="139" t="s">
        <v>583</v>
      </c>
      <c r="M45" s="139" t="s">
        <v>583</v>
      </c>
      <c r="N45" s="139" t="s">
        <v>731</v>
      </c>
      <c r="O45" s="139" t="s">
        <v>965</v>
      </c>
      <c r="P45" s="139" t="s">
        <v>583</v>
      </c>
      <c r="Q45" s="139" t="s">
        <v>583</v>
      </c>
      <c r="R45" s="140">
        <v>1</v>
      </c>
      <c r="S45" s="140"/>
      <c r="T45" s="140">
        <v>1</v>
      </c>
      <c r="U45" s="140">
        <v>760</v>
      </c>
      <c r="V45" s="139" t="s">
        <v>691</v>
      </c>
      <c r="W45" s="139" t="s">
        <v>692</v>
      </c>
      <c r="X45" s="139" t="s">
        <v>693</v>
      </c>
      <c r="Y45" s="139" t="s">
        <v>694</v>
      </c>
      <c r="Z45" s="139" t="s">
        <v>695</v>
      </c>
      <c r="AA45" s="139" t="s">
        <v>696</v>
      </c>
      <c r="AB45" s="139" t="s">
        <v>691</v>
      </c>
      <c r="AC45" s="139" t="s">
        <v>692</v>
      </c>
      <c r="AD45" s="139" t="s">
        <v>693</v>
      </c>
      <c r="AE45" s="139" t="s">
        <v>694</v>
      </c>
      <c r="AF45" s="139" t="s">
        <v>695</v>
      </c>
      <c r="AG45" s="139" t="s">
        <v>696</v>
      </c>
      <c r="AH45" s="139" t="s">
        <v>733</v>
      </c>
      <c r="AI45" s="139" t="s">
        <v>432</v>
      </c>
      <c r="AJ45" s="140">
        <v>28951209.899999999</v>
      </c>
      <c r="AK45" s="139" t="s">
        <v>691</v>
      </c>
      <c r="AL45" s="139" t="s">
        <v>692</v>
      </c>
      <c r="AM45" s="139" t="s">
        <v>693</v>
      </c>
      <c r="AN45" s="139" t="s">
        <v>694</v>
      </c>
      <c r="AO45" s="139" t="s">
        <v>695</v>
      </c>
      <c r="AP45" s="139" t="s">
        <v>696</v>
      </c>
      <c r="AQ45" s="139" t="s">
        <v>733</v>
      </c>
      <c r="AR45" s="139" t="s">
        <v>432</v>
      </c>
      <c r="AS45" s="139" t="s">
        <v>432</v>
      </c>
      <c r="AT45" s="139" t="s">
        <v>593</v>
      </c>
      <c r="AU45" s="139" t="s">
        <v>437</v>
      </c>
      <c r="AV45" s="140">
        <v>2</v>
      </c>
      <c r="AW45" s="139" t="s">
        <v>594</v>
      </c>
      <c r="AX45" s="139" t="s">
        <v>653</v>
      </c>
      <c r="AY45" s="139" t="s">
        <v>734</v>
      </c>
      <c r="AZ45" s="140">
        <v>1</v>
      </c>
      <c r="BA45" s="139" t="s">
        <v>597</v>
      </c>
      <c r="BB45" s="140">
        <v>283760</v>
      </c>
      <c r="BC45" s="140">
        <v>28951210</v>
      </c>
      <c r="BD45" s="140">
        <v>319230.55</v>
      </c>
      <c r="BE45" s="140">
        <v>102.0271</v>
      </c>
      <c r="BF45" s="139" t="s">
        <v>880</v>
      </c>
      <c r="BG45" s="139" t="s">
        <v>583</v>
      </c>
      <c r="BH45" s="139" t="s">
        <v>736</v>
      </c>
      <c r="BI45" s="139" t="s">
        <v>598</v>
      </c>
      <c r="BJ45" s="139" t="s">
        <v>624</v>
      </c>
      <c r="BK45" s="139" t="s">
        <v>890</v>
      </c>
      <c r="BL45" s="139" t="s">
        <v>583</v>
      </c>
      <c r="BM45" s="139" t="s">
        <v>891</v>
      </c>
      <c r="BN45" s="139" t="s">
        <v>738</v>
      </c>
      <c r="BO45" s="139" t="s">
        <v>739</v>
      </c>
      <c r="BP45" s="139" t="s">
        <v>892</v>
      </c>
      <c r="BQ45" s="139" t="s">
        <v>741</v>
      </c>
      <c r="BR45" s="140">
        <v>1</v>
      </c>
      <c r="BS45" s="139" t="s">
        <v>966</v>
      </c>
      <c r="BT45" s="99">
        <f t="shared" si="1"/>
        <v>0</v>
      </c>
      <c r="BU45" s="99">
        <f t="shared" si="0"/>
        <v>0</v>
      </c>
      <c r="BV45" s="99">
        <f t="shared" si="2"/>
        <v>0</v>
      </c>
      <c r="BW45" s="139" t="s">
        <v>743</v>
      </c>
      <c r="BX45" s="139" t="s">
        <v>744</v>
      </c>
      <c r="BY45" s="140">
        <v>760</v>
      </c>
      <c r="BZ45" s="140"/>
      <c r="CA45" s="99">
        <v>152000</v>
      </c>
      <c r="CB45" s="140" t="s">
        <v>603</v>
      </c>
      <c r="CC45" s="140"/>
      <c r="CD45" s="140"/>
      <c r="CE45" s="139" t="s">
        <v>577</v>
      </c>
      <c r="CF45" s="139" t="s">
        <v>604</v>
      </c>
      <c r="CG45" s="139" t="s">
        <v>583</v>
      </c>
      <c r="CH45" s="139" t="s">
        <v>583</v>
      </c>
      <c r="CI45" s="139" t="s">
        <v>733</v>
      </c>
      <c r="CJ45" s="140">
        <v>16720</v>
      </c>
      <c r="CK45" s="140" t="s">
        <v>605</v>
      </c>
      <c r="CL45" s="140">
        <v>4000000</v>
      </c>
      <c r="CM45" s="99">
        <v>15200</v>
      </c>
      <c r="CN45" s="140"/>
      <c r="CO45" s="139" t="s">
        <v>583</v>
      </c>
      <c r="CP45" s="139" t="s">
        <v>583</v>
      </c>
      <c r="CQ45" s="140">
        <v>283760</v>
      </c>
      <c r="CR45" s="140">
        <v>28951210</v>
      </c>
      <c r="CS45" s="140">
        <v>0</v>
      </c>
      <c r="CT45" s="140">
        <v>1</v>
      </c>
      <c r="CU45" s="140">
        <v>28951209.899999999</v>
      </c>
      <c r="CV45" s="99">
        <v>319230.55</v>
      </c>
      <c r="CW45" s="139" t="s">
        <v>606</v>
      </c>
      <c r="CX45" s="140">
        <v>21</v>
      </c>
      <c r="CY45" s="140">
        <v>933</v>
      </c>
      <c r="CZ45" s="140" t="s">
        <v>894</v>
      </c>
      <c r="DA45" s="140" t="s">
        <v>895</v>
      </c>
      <c r="DB45" s="140">
        <v>180</v>
      </c>
      <c r="DC45" s="140"/>
    </row>
    <row r="46" spans="2:107" ht="11.25" customHeight="1" x14ac:dyDescent="0.15">
      <c r="B46" s="139" t="s">
        <v>577</v>
      </c>
      <c r="C46" s="140" t="s">
        <v>963</v>
      </c>
      <c r="D46" s="140">
        <v>7</v>
      </c>
      <c r="E46" s="139" t="s">
        <v>967</v>
      </c>
      <c r="F46" s="139" t="s">
        <v>618</v>
      </c>
      <c r="G46" s="140" t="s">
        <v>963</v>
      </c>
      <c r="H46" s="139" t="s">
        <v>968</v>
      </c>
      <c r="I46" s="140" t="s">
        <v>421</v>
      </c>
      <c r="J46" s="139" t="s">
        <v>582</v>
      </c>
      <c r="K46" s="139" t="s">
        <v>583</v>
      </c>
      <c r="L46" s="139" t="s">
        <v>583</v>
      </c>
      <c r="M46" s="139" t="s">
        <v>583</v>
      </c>
      <c r="N46" s="139" t="s">
        <v>650</v>
      </c>
      <c r="O46" s="139" t="s">
        <v>969</v>
      </c>
      <c r="P46" s="139" t="s">
        <v>583</v>
      </c>
      <c r="Q46" s="139" t="s">
        <v>583</v>
      </c>
      <c r="R46" s="140">
        <v>1</v>
      </c>
      <c r="S46" s="140">
        <v>0</v>
      </c>
      <c r="T46" s="140">
        <v>1</v>
      </c>
      <c r="U46" s="140">
        <v>228</v>
      </c>
      <c r="V46" s="139" t="s">
        <v>586</v>
      </c>
      <c r="W46" s="139" t="s">
        <v>587</v>
      </c>
      <c r="X46" s="139" t="s">
        <v>588</v>
      </c>
      <c r="Y46" s="139" t="s">
        <v>589</v>
      </c>
      <c r="Z46" s="139" t="s">
        <v>590</v>
      </c>
      <c r="AA46" s="139" t="s">
        <v>591</v>
      </c>
      <c r="AB46" s="139" t="s">
        <v>586</v>
      </c>
      <c r="AC46" s="139" t="s">
        <v>587</v>
      </c>
      <c r="AD46" s="139" t="s">
        <v>588</v>
      </c>
      <c r="AE46" s="139" t="s">
        <v>589</v>
      </c>
      <c r="AF46" s="139" t="s">
        <v>590</v>
      </c>
      <c r="AG46" s="139" t="s">
        <v>591</v>
      </c>
      <c r="AH46" s="139" t="s">
        <v>652</v>
      </c>
      <c r="AI46" s="139" t="s">
        <v>431</v>
      </c>
      <c r="AJ46" s="140">
        <v>31217027.73</v>
      </c>
      <c r="AK46" s="139" t="s">
        <v>586</v>
      </c>
      <c r="AL46" s="139" t="s">
        <v>587</v>
      </c>
      <c r="AM46" s="139" t="s">
        <v>588</v>
      </c>
      <c r="AN46" s="139" t="s">
        <v>589</v>
      </c>
      <c r="AO46" s="139" t="s">
        <v>590</v>
      </c>
      <c r="AP46" s="139" t="s">
        <v>591</v>
      </c>
      <c r="AQ46" s="139" t="s">
        <v>652</v>
      </c>
      <c r="AR46" s="139" t="s">
        <v>431</v>
      </c>
      <c r="AS46" s="139" t="s">
        <v>431</v>
      </c>
      <c r="AT46" s="139" t="s">
        <v>593</v>
      </c>
      <c r="AU46" s="139" t="s">
        <v>437</v>
      </c>
      <c r="AV46" s="140">
        <v>0</v>
      </c>
      <c r="AW46" s="139" t="s">
        <v>594</v>
      </c>
      <c r="AX46" s="139" t="s">
        <v>653</v>
      </c>
      <c r="AY46" s="139" t="s">
        <v>623</v>
      </c>
      <c r="AZ46" s="140">
        <v>1</v>
      </c>
      <c r="BA46" s="139" t="s">
        <v>597</v>
      </c>
      <c r="BB46" s="140">
        <v>305968</v>
      </c>
      <c r="BC46" s="140">
        <v>31217028</v>
      </c>
      <c r="BD46" s="140">
        <v>344214.59</v>
      </c>
      <c r="BE46" s="140">
        <v>102.0271</v>
      </c>
      <c r="BF46" s="139" t="s">
        <v>880</v>
      </c>
      <c r="BG46" s="139" t="s">
        <v>582</v>
      </c>
      <c r="BH46" s="139" t="s">
        <v>970</v>
      </c>
      <c r="BI46" s="139" t="s">
        <v>598</v>
      </c>
      <c r="BJ46" s="139" t="s">
        <v>624</v>
      </c>
      <c r="BK46" s="139" t="s">
        <v>882</v>
      </c>
      <c r="BL46" s="139" t="s">
        <v>583</v>
      </c>
      <c r="BM46" s="139" t="s">
        <v>883</v>
      </c>
      <c r="BN46" s="139" t="s">
        <v>971</v>
      </c>
      <c r="BO46" s="139" t="s">
        <v>972</v>
      </c>
      <c r="BP46" s="139" t="s">
        <v>973</v>
      </c>
      <c r="BQ46" s="139" t="s">
        <v>625</v>
      </c>
      <c r="BR46" s="140">
        <v>1</v>
      </c>
      <c r="BS46" s="139" t="s">
        <v>974</v>
      </c>
      <c r="BT46" s="99">
        <f t="shared" si="1"/>
        <v>0</v>
      </c>
      <c r="BU46" s="99">
        <f t="shared" si="0"/>
        <v>1</v>
      </c>
      <c r="BV46" s="99">
        <f t="shared" si="2"/>
        <v>1</v>
      </c>
      <c r="BW46" s="139" t="s">
        <v>655</v>
      </c>
      <c r="BX46" s="139" t="s">
        <v>656</v>
      </c>
      <c r="BY46" s="140">
        <v>228</v>
      </c>
      <c r="BZ46" s="140">
        <v>0</v>
      </c>
      <c r="CA46" s="99">
        <v>45600</v>
      </c>
      <c r="CB46" s="140" t="s">
        <v>603</v>
      </c>
      <c r="CC46" s="140">
        <v>0</v>
      </c>
      <c r="CD46" s="140"/>
      <c r="CE46" s="139" t="s">
        <v>577</v>
      </c>
      <c r="CF46" s="139" t="s">
        <v>604</v>
      </c>
      <c r="CG46" s="139" t="s">
        <v>583</v>
      </c>
      <c r="CH46" s="139" t="s">
        <v>583</v>
      </c>
      <c r="CI46" s="139" t="s">
        <v>652</v>
      </c>
      <c r="CJ46" s="140">
        <v>4788</v>
      </c>
      <c r="CK46" s="140" t="s">
        <v>657</v>
      </c>
      <c r="CL46" s="140">
        <v>4000000</v>
      </c>
      <c r="CM46" s="99">
        <v>4560</v>
      </c>
      <c r="CN46" s="140">
        <v>0</v>
      </c>
      <c r="CO46" s="139" t="s">
        <v>583</v>
      </c>
      <c r="CP46" s="139" t="s">
        <v>583</v>
      </c>
      <c r="CQ46" s="140">
        <v>305968</v>
      </c>
      <c r="CR46" s="140">
        <v>31217028</v>
      </c>
      <c r="CS46" s="140">
        <v>0</v>
      </c>
      <c r="CT46" s="140">
        <v>1</v>
      </c>
      <c r="CU46" s="140">
        <v>31217027.73</v>
      </c>
      <c r="CV46" s="99">
        <v>344214.59</v>
      </c>
      <c r="CW46" s="139" t="s">
        <v>606</v>
      </c>
      <c r="CX46" s="140">
        <v>75.489999999999995</v>
      </c>
      <c r="CY46" s="140"/>
      <c r="CZ46" s="140"/>
      <c r="DA46" s="140" t="s">
        <v>856</v>
      </c>
      <c r="DB46" s="140">
        <v>1176</v>
      </c>
      <c r="DC46" s="140"/>
    </row>
    <row r="47" spans="2:107" ht="11.25" customHeight="1" x14ac:dyDescent="0.15">
      <c r="B47" s="139" t="s">
        <v>577</v>
      </c>
      <c r="C47" s="140" t="s">
        <v>963</v>
      </c>
      <c r="D47" s="140">
        <v>7</v>
      </c>
      <c r="E47" s="139" t="s">
        <v>975</v>
      </c>
      <c r="F47" s="139" t="s">
        <v>618</v>
      </c>
      <c r="G47" s="140" t="s">
        <v>963</v>
      </c>
      <c r="H47" s="139" t="s">
        <v>976</v>
      </c>
      <c r="I47" s="140" t="s">
        <v>421</v>
      </c>
      <c r="J47" s="139" t="s">
        <v>582</v>
      </c>
      <c r="K47" s="139" t="s">
        <v>583</v>
      </c>
      <c r="L47" s="139" t="s">
        <v>583</v>
      </c>
      <c r="M47" s="139" t="s">
        <v>583</v>
      </c>
      <c r="N47" s="139" t="s">
        <v>441</v>
      </c>
      <c r="O47" s="139" t="s">
        <v>930</v>
      </c>
      <c r="P47" s="139" t="s">
        <v>583</v>
      </c>
      <c r="Q47" s="139" t="s">
        <v>583</v>
      </c>
      <c r="R47" s="140">
        <v>1</v>
      </c>
      <c r="S47" s="140">
        <v>0</v>
      </c>
      <c r="T47" s="140">
        <v>1</v>
      </c>
      <c r="U47" s="140">
        <v>423</v>
      </c>
      <c r="V47" s="139" t="s">
        <v>583</v>
      </c>
      <c r="W47" s="139" t="s">
        <v>583</v>
      </c>
      <c r="X47" s="139" t="s">
        <v>632</v>
      </c>
      <c r="Y47" s="139" t="s">
        <v>633</v>
      </c>
      <c r="Z47" s="139" t="s">
        <v>583</v>
      </c>
      <c r="AA47" s="139" t="s">
        <v>583</v>
      </c>
      <c r="AB47" s="139" t="s">
        <v>583</v>
      </c>
      <c r="AC47" s="139" t="s">
        <v>583</v>
      </c>
      <c r="AD47" s="139" t="s">
        <v>632</v>
      </c>
      <c r="AE47" s="139" t="s">
        <v>633</v>
      </c>
      <c r="AF47" s="139" t="s">
        <v>583</v>
      </c>
      <c r="AG47" s="139" t="s">
        <v>583</v>
      </c>
      <c r="AH47" s="139" t="s">
        <v>621</v>
      </c>
      <c r="AI47" s="139" t="s">
        <v>430</v>
      </c>
      <c r="AJ47" s="140">
        <v>13206183.77</v>
      </c>
      <c r="AK47" s="139" t="s">
        <v>583</v>
      </c>
      <c r="AL47" s="139" t="s">
        <v>583</v>
      </c>
      <c r="AM47" s="139" t="s">
        <v>632</v>
      </c>
      <c r="AN47" s="139" t="s">
        <v>633</v>
      </c>
      <c r="AO47" s="139" t="s">
        <v>583</v>
      </c>
      <c r="AP47" s="139" t="s">
        <v>583</v>
      </c>
      <c r="AQ47" s="139" t="s">
        <v>621</v>
      </c>
      <c r="AR47" s="139" t="s">
        <v>430</v>
      </c>
      <c r="AS47" s="139" t="s">
        <v>430</v>
      </c>
      <c r="AT47" s="139" t="s">
        <v>593</v>
      </c>
      <c r="AU47" s="139" t="s">
        <v>437</v>
      </c>
      <c r="AV47" s="140">
        <v>0</v>
      </c>
      <c r="AW47" s="139" t="s">
        <v>594</v>
      </c>
      <c r="AX47" s="139" t="s">
        <v>622</v>
      </c>
      <c r="AY47" s="139" t="s">
        <v>623</v>
      </c>
      <c r="AZ47" s="140">
        <v>1</v>
      </c>
      <c r="BA47" s="139" t="s">
        <v>597</v>
      </c>
      <c r="BB47" s="140">
        <v>129438</v>
      </c>
      <c r="BC47" s="140">
        <v>13206184</v>
      </c>
      <c r="BD47" s="140">
        <v>145618</v>
      </c>
      <c r="BE47" s="140">
        <v>102.0271</v>
      </c>
      <c r="BF47" s="139" t="s">
        <v>880</v>
      </c>
      <c r="BG47" s="139" t="s">
        <v>582</v>
      </c>
      <c r="BH47" s="139" t="s">
        <v>931</v>
      </c>
      <c r="BI47" s="139" t="s">
        <v>598</v>
      </c>
      <c r="BJ47" s="139" t="s">
        <v>624</v>
      </c>
      <c r="BK47" s="139" t="s">
        <v>882</v>
      </c>
      <c r="BL47" s="139" t="s">
        <v>583</v>
      </c>
      <c r="BM47" s="139" t="s">
        <v>883</v>
      </c>
      <c r="BN47" s="139" t="s">
        <v>583</v>
      </c>
      <c r="BO47" s="139" t="s">
        <v>623</v>
      </c>
      <c r="BP47" s="139" t="s">
        <v>884</v>
      </c>
      <c r="BQ47" s="139" t="s">
        <v>625</v>
      </c>
      <c r="BR47" s="140">
        <v>1</v>
      </c>
      <c r="BS47" s="139" t="s">
        <v>977</v>
      </c>
      <c r="BT47" s="99">
        <f t="shared" si="1"/>
        <v>0</v>
      </c>
      <c r="BU47" s="99">
        <f t="shared" si="0"/>
        <v>1</v>
      </c>
      <c r="BV47" s="99">
        <f t="shared" si="2"/>
        <v>1</v>
      </c>
      <c r="BW47" s="139" t="s">
        <v>635</v>
      </c>
      <c r="BX47" s="139" t="s">
        <v>441</v>
      </c>
      <c r="BY47" s="140">
        <v>423</v>
      </c>
      <c r="BZ47" s="140">
        <v>0</v>
      </c>
      <c r="CA47" s="99">
        <v>84600</v>
      </c>
      <c r="CB47" s="140" t="s">
        <v>603</v>
      </c>
      <c r="CC47" s="140">
        <v>0</v>
      </c>
      <c r="CD47" s="140"/>
      <c r="CE47" s="139" t="s">
        <v>577</v>
      </c>
      <c r="CF47" s="139" t="s">
        <v>604</v>
      </c>
      <c r="CG47" s="139" t="s">
        <v>583</v>
      </c>
      <c r="CH47" s="139" t="s">
        <v>583</v>
      </c>
      <c r="CI47" s="139" t="s">
        <v>621</v>
      </c>
      <c r="CJ47" s="140">
        <v>8460</v>
      </c>
      <c r="CK47" s="140" t="s">
        <v>605</v>
      </c>
      <c r="CL47" s="140">
        <v>4000000</v>
      </c>
      <c r="CM47" s="99">
        <v>7614</v>
      </c>
      <c r="CN47" s="140">
        <v>0</v>
      </c>
      <c r="CO47" s="139" t="s">
        <v>583</v>
      </c>
      <c r="CP47" s="139" t="s">
        <v>583</v>
      </c>
      <c r="CQ47" s="140">
        <v>129438</v>
      </c>
      <c r="CR47" s="140">
        <v>13206184</v>
      </c>
      <c r="CS47" s="140">
        <v>0</v>
      </c>
      <c r="CT47" s="140">
        <v>1</v>
      </c>
      <c r="CU47" s="140">
        <v>13206183.77</v>
      </c>
      <c r="CV47" s="99">
        <v>145618</v>
      </c>
      <c r="CW47" s="139" t="s">
        <v>606</v>
      </c>
      <c r="CX47" s="140">
        <v>19.13</v>
      </c>
      <c r="CY47" s="140"/>
      <c r="CZ47" s="140"/>
      <c r="DA47" s="140" t="s">
        <v>933</v>
      </c>
      <c r="DB47" s="140">
        <v>751</v>
      </c>
      <c r="DC47" s="140"/>
    </row>
    <row r="48" spans="2:107" ht="11.25" customHeight="1" x14ac:dyDescent="0.15">
      <c r="B48" s="139" t="s">
        <v>577</v>
      </c>
      <c r="C48" s="140" t="s">
        <v>978</v>
      </c>
      <c r="D48" s="140">
        <v>7</v>
      </c>
      <c r="E48" s="139" t="s">
        <v>979</v>
      </c>
      <c r="F48" s="139" t="s">
        <v>580</v>
      </c>
      <c r="G48" s="140" t="s">
        <v>978</v>
      </c>
      <c r="H48" s="139" t="s">
        <v>980</v>
      </c>
      <c r="I48" s="140" t="s">
        <v>421</v>
      </c>
      <c r="J48" s="139" t="s">
        <v>582</v>
      </c>
      <c r="K48" s="139" t="s">
        <v>583</v>
      </c>
      <c r="L48" s="139" t="s">
        <v>583</v>
      </c>
      <c r="M48" s="139" t="s">
        <v>583</v>
      </c>
      <c r="N48" s="139" t="s">
        <v>584</v>
      </c>
      <c r="O48" s="139" t="s">
        <v>981</v>
      </c>
      <c r="P48" s="139" t="s">
        <v>583</v>
      </c>
      <c r="Q48" s="139" t="s">
        <v>583</v>
      </c>
      <c r="R48" s="140">
        <v>1</v>
      </c>
      <c r="S48" s="140"/>
      <c r="T48" s="140">
        <v>1</v>
      </c>
      <c r="U48" s="140">
        <v>495</v>
      </c>
      <c r="V48" s="139" t="s">
        <v>586</v>
      </c>
      <c r="W48" s="139" t="s">
        <v>587</v>
      </c>
      <c r="X48" s="139" t="s">
        <v>588</v>
      </c>
      <c r="Y48" s="139" t="s">
        <v>589</v>
      </c>
      <c r="Z48" s="139" t="s">
        <v>590</v>
      </c>
      <c r="AA48" s="139" t="s">
        <v>591</v>
      </c>
      <c r="AB48" s="139" t="s">
        <v>586</v>
      </c>
      <c r="AC48" s="139" t="s">
        <v>587</v>
      </c>
      <c r="AD48" s="139" t="s">
        <v>588</v>
      </c>
      <c r="AE48" s="139" t="s">
        <v>589</v>
      </c>
      <c r="AF48" s="139" t="s">
        <v>590</v>
      </c>
      <c r="AG48" s="139" t="s">
        <v>591</v>
      </c>
      <c r="AH48" s="139" t="s">
        <v>592</v>
      </c>
      <c r="AI48" s="139" t="s">
        <v>429</v>
      </c>
      <c r="AJ48" s="140">
        <v>12821938.640000001</v>
      </c>
      <c r="AK48" s="139" t="s">
        <v>586</v>
      </c>
      <c r="AL48" s="139" t="s">
        <v>587</v>
      </c>
      <c r="AM48" s="139" t="s">
        <v>588</v>
      </c>
      <c r="AN48" s="139" t="s">
        <v>589</v>
      </c>
      <c r="AO48" s="139" t="s">
        <v>590</v>
      </c>
      <c r="AP48" s="139" t="s">
        <v>591</v>
      </c>
      <c r="AQ48" s="139" t="s">
        <v>592</v>
      </c>
      <c r="AR48" s="139" t="s">
        <v>429</v>
      </c>
      <c r="AS48" s="139" t="s">
        <v>429</v>
      </c>
      <c r="AT48" s="139" t="s">
        <v>593</v>
      </c>
      <c r="AU48" s="139" t="s">
        <v>437</v>
      </c>
      <c r="AV48" s="140">
        <v>2</v>
      </c>
      <c r="AW48" s="139" t="s">
        <v>594</v>
      </c>
      <c r="AX48" s="139" t="s">
        <v>595</v>
      </c>
      <c r="AY48" s="139" t="s">
        <v>596</v>
      </c>
      <c r="AZ48" s="140">
        <v>1</v>
      </c>
      <c r="BA48" s="139" t="s">
        <v>597</v>
      </c>
      <c r="BB48" s="140">
        <v>123750</v>
      </c>
      <c r="BC48" s="140">
        <v>12523401</v>
      </c>
      <c r="BD48" s="140">
        <v>142277.85999999999</v>
      </c>
      <c r="BE48" s="140">
        <v>101.1992</v>
      </c>
      <c r="BF48" s="139" t="s">
        <v>880</v>
      </c>
      <c r="BG48" s="139" t="s">
        <v>583</v>
      </c>
      <c r="BH48" s="139" t="s">
        <v>958</v>
      </c>
      <c r="BI48" s="139" t="s">
        <v>598</v>
      </c>
      <c r="BJ48" s="139" t="s">
        <v>599</v>
      </c>
      <c r="BK48" s="139" t="s">
        <v>583</v>
      </c>
      <c r="BL48" s="139" t="s">
        <v>583</v>
      </c>
      <c r="BM48" s="139" t="s">
        <v>583</v>
      </c>
      <c r="BN48" s="139" t="s">
        <v>853</v>
      </c>
      <c r="BO48" s="139" t="s">
        <v>854</v>
      </c>
      <c r="BP48" s="139" t="s">
        <v>959</v>
      </c>
      <c r="BQ48" s="139" t="s">
        <v>600</v>
      </c>
      <c r="BR48" s="140">
        <v>1</v>
      </c>
      <c r="BS48" s="139" t="s">
        <v>982</v>
      </c>
      <c r="BT48" s="99">
        <f t="shared" si="1"/>
        <v>0</v>
      </c>
      <c r="BU48" s="99">
        <f t="shared" si="0"/>
        <v>1</v>
      </c>
      <c r="BV48" s="99">
        <f t="shared" si="2"/>
        <v>1</v>
      </c>
      <c r="BW48" s="139" t="s">
        <v>602</v>
      </c>
      <c r="BX48" s="139" t="s">
        <v>584</v>
      </c>
      <c r="BY48" s="140">
        <v>495</v>
      </c>
      <c r="BZ48" s="140"/>
      <c r="CA48" s="99">
        <v>99000</v>
      </c>
      <c r="CB48" s="140" t="s">
        <v>603</v>
      </c>
      <c r="CC48" s="140"/>
      <c r="CD48" s="140"/>
      <c r="CE48" s="139" t="s">
        <v>577</v>
      </c>
      <c r="CF48" s="139" t="s">
        <v>604</v>
      </c>
      <c r="CG48" s="139" t="s">
        <v>583</v>
      </c>
      <c r="CH48" s="139" t="s">
        <v>583</v>
      </c>
      <c r="CI48" s="139" t="s">
        <v>592</v>
      </c>
      <c r="CJ48" s="140">
        <v>10890</v>
      </c>
      <c r="CK48" s="140" t="s">
        <v>605</v>
      </c>
      <c r="CL48" s="140">
        <v>4000000</v>
      </c>
      <c r="CM48" s="99">
        <v>10395</v>
      </c>
      <c r="CN48" s="140"/>
      <c r="CO48" s="139" t="s">
        <v>583</v>
      </c>
      <c r="CP48" s="139" t="s">
        <v>583</v>
      </c>
      <c r="CQ48" s="140">
        <v>123750</v>
      </c>
      <c r="CR48" s="140">
        <v>12523401</v>
      </c>
      <c r="CS48" s="140">
        <v>0</v>
      </c>
      <c r="CT48" s="140">
        <v>1</v>
      </c>
      <c r="CU48" s="140">
        <v>12821938.640000001</v>
      </c>
      <c r="CV48" s="99">
        <v>142277.85999999999</v>
      </c>
      <c r="CW48" s="139" t="s">
        <v>606</v>
      </c>
      <c r="CX48" s="140">
        <v>13.69</v>
      </c>
      <c r="CY48" s="140"/>
      <c r="CZ48" s="140"/>
      <c r="DA48" s="140" t="s">
        <v>856</v>
      </c>
      <c r="DB48" s="140">
        <v>1610</v>
      </c>
      <c r="DC48" s="140"/>
    </row>
    <row r="49" spans="2:107" ht="11.25" customHeight="1" x14ac:dyDescent="0.15">
      <c r="B49" s="139" t="s">
        <v>577</v>
      </c>
      <c r="C49" s="140" t="s">
        <v>983</v>
      </c>
      <c r="D49" s="140">
        <v>7</v>
      </c>
      <c r="E49" s="139" t="s">
        <v>984</v>
      </c>
      <c r="F49" s="139" t="s">
        <v>580</v>
      </c>
      <c r="G49" s="140" t="s">
        <v>983</v>
      </c>
      <c r="H49" s="139" t="s">
        <v>985</v>
      </c>
      <c r="I49" s="140" t="s">
        <v>421</v>
      </c>
      <c r="J49" s="139" t="s">
        <v>582</v>
      </c>
      <c r="K49" s="139" t="s">
        <v>583</v>
      </c>
      <c r="L49" s="139" t="s">
        <v>583</v>
      </c>
      <c r="M49" s="139" t="s">
        <v>583</v>
      </c>
      <c r="N49" s="139" t="s">
        <v>731</v>
      </c>
      <c r="O49" s="139" t="s">
        <v>986</v>
      </c>
      <c r="P49" s="139" t="s">
        <v>583</v>
      </c>
      <c r="Q49" s="139" t="s">
        <v>583</v>
      </c>
      <c r="R49" s="140">
        <v>1</v>
      </c>
      <c r="S49" s="140"/>
      <c r="T49" s="140">
        <v>1</v>
      </c>
      <c r="U49" s="140">
        <v>484</v>
      </c>
      <c r="V49" s="139" t="s">
        <v>586</v>
      </c>
      <c r="W49" s="139" t="s">
        <v>587</v>
      </c>
      <c r="X49" s="139" t="s">
        <v>588</v>
      </c>
      <c r="Y49" s="139" t="s">
        <v>589</v>
      </c>
      <c r="Z49" s="139" t="s">
        <v>590</v>
      </c>
      <c r="AA49" s="139" t="s">
        <v>591</v>
      </c>
      <c r="AB49" s="139" t="s">
        <v>586</v>
      </c>
      <c r="AC49" s="139" t="s">
        <v>587</v>
      </c>
      <c r="AD49" s="139" t="s">
        <v>588</v>
      </c>
      <c r="AE49" s="139" t="s">
        <v>589</v>
      </c>
      <c r="AF49" s="139" t="s">
        <v>590</v>
      </c>
      <c r="AG49" s="139" t="s">
        <v>591</v>
      </c>
      <c r="AH49" s="139" t="s">
        <v>733</v>
      </c>
      <c r="AI49" s="139" t="s">
        <v>432</v>
      </c>
      <c r="AJ49" s="140">
        <v>17542274.109999999</v>
      </c>
      <c r="AK49" s="139" t="s">
        <v>586</v>
      </c>
      <c r="AL49" s="139" t="s">
        <v>587</v>
      </c>
      <c r="AM49" s="139" t="s">
        <v>588</v>
      </c>
      <c r="AN49" s="139" t="s">
        <v>589</v>
      </c>
      <c r="AO49" s="139" t="s">
        <v>590</v>
      </c>
      <c r="AP49" s="139" t="s">
        <v>591</v>
      </c>
      <c r="AQ49" s="139" t="s">
        <v>733</v>
      </c>
      <c r="AR49" s="139" t="s">
        <v>432</v>
      </c>
      <c r="AS49" s="139" t="s">
        <v>432</v>
      </c>
      <c r="AT49" s="139" t="s">
        <v>593</v>
      </c>
      <c r="AU49" s="139" t="s">
        <v>437</v>
      </c>
      <c r="AV49" s="140">
        <v>2</v>
      </c>
      <c r="AW49" s="139" t="s">
        <v>594</v>
      </c>
      <c r="AX49" s="139" t="s">
        <v>653</v>
      </c>
      <c r="AY49" s="139" t="s">
        <v>850</v>
      </c>
      <c r="AZ49" s="140">
        <v>1</v>
      </c>
      <c r="BA49" s="139" t="s">
        <v>597</v>
      </c>
      <c r="BB49" s="140">
        <v>174240</v>
      </c>
      <c r="BC49" s="140">
        <v>17542274</v>
      </c>
      <c r="BD49" s="140">
        <v>194534.38</v>
      </c>
      <c r="BE49" s="140">
        <v>100.6788</v>
      </c>
      <c r="BF49" s="139" t="s">
        <v>880</v>
      </c>
      <c r="BG49" s="139" t="s">
        <v>583</v>
      </c>
      <c r="BH49" s="139" t="s">
        <v>987</v>
      </c>
      <c r="BI49" s="139" t="s">
        <v>598</v>
      </c>
      <c r="BJ49" s="139" t="s">
        <v>599</v>
      </c>
      <c r="BK49" s="139" t="s">
        <v>583</v>
      </c>
      <c r="BL49" s="139" t="s">
        <v>583</v>
      </c>
      <c r="BM49" s="139" t="s">
        <v>583</v>
      </c>
      <c r="BN49" s="139" t="s">
        <v>853</v>
      </c>
      <c r="BO49" s="139" t="s">
        <v>854</v>
      </c>
      <c r="BP49" s="139" t="s">
        <v>959</v>
      </c>
      <c r="BQ49" s="139" t="s">
        <v>600</v>
      </c>
      <c r="BR49" s="140">
        <v>1</v>
      </c>
      <c r="BS49" s="139" t="s">
        <v>988</v>
      </c>
      <c r="BT49" s="99">
        <f t="shared" si="1"/>
        <v>0</v>
      </c>
      <c r="BU49" s="99">
        <f t="shared" si="0"/>
        <v>1</v>
      </c>
      <c r="BV49" s="99">
        <f t="shared" si="2"/>
        <v>1</v>
      </c>
      <c r="BW49" s="139" t="s">
        <v>602</v>
      </c>
      <c r="BX49" s="139" t="s">
        <v>731</v>
      </c>
      <c r="BY49" s="140">
        <v>484</v>
      </c>
      <c r="BZ49" s="140"/>
      <c r="CA49" s="99">
        <v>96800</v>
      </c>
      <c r="CB49" s="140" t="s">
        <v>603</v>
      </c>
      <c r="CC49" s="140"/>
      <c r="CD49" s="140"/>
      <c r="CE49" s="139" t="s">
        <v>577</v>
      </c>
      <c r="CF49" s="139" t="s">
        <v>604</v>
      </c>
      <c r="CG49" s="139" t="s">
        <v>583</v>
      </c>
      <c r="CH49" s="139" t="s">
        <v>583</v>
      </c>
      <c r="CI49" s="139" t="s">
        <v>733</v>
      </c>
      <c r="CJ49" s="140">
        <v>10648</v>
      </c>
      <c r="CK49" s="140" t="s">
        <v>605</v>
      </c>
      <c r="CL49" s="140">
        <v>4000000</v>
      </c>
      <c r="CM49" s="99">
        <v>9680</v>
      </c>
      <c r="CN49" s="140"/>
      <c r="CO49" s="139" t="s">
        <v>583</v>
      </c>
      <c r="CP49" s="139" t="s">
        <v>583</v>
      </c>
      <c r="CQ49" s="140">
        <v>174240</v>
      </c>
      <c r="CR49" s="140">
        <v>17542274</v>
      </c>
      <c r="CS49" s="140">
        <v>0</v>
      </c>
      <c r="CT49" s="140">
        <v>1</v>
      </c>
      <c r="CU49" s="140">
        <v>17542274.109999999</v>
      </c>
      <c r="CV49" s="99">
        <v>194534.38</v>
      </c>
      <c r="CW49" s="139" t="s">
        <v>606</v>
      </c>
      <c r="CX49" s="140">
        <v>20.100000000000001</v>
      </c>
      <c r="CY49" s="140"/>
      <c r="CZ49" s="140"/>
      <c r="DA49" s="140" t="s">
        <v>856</v>
      </c>
      <c r="DB49" s="140">
        <v>1442</v>
      </c>
      <c r="DC49" s="140"/>
    </row>
    <row r="50" spans="2:107" ht="11.25" customHeight="1" x14ac:dyDescent="0.15">
      <c r="B50" s="139" t="s">
        <v>577</v>
      </c>
      <c r="C50" s="140" t="s">
        <v>989</v>
      </c>
      <c r="D50" s="140">
        <v>7</v>
      </c>
      <c r="E50" s="139" t="s">
        <v>990</v>
      </c>
      <c r="F50" s="139" t="s">
        <v>580</v>
      </c>
      <c r="G50" s="140" t="s">
        <v>989</v>
      </c>
      <c r="H50" s="139" t="s">
        <v>991</v>
      </c>
      <c r="I50" s="140" t="s">
        <v>421</v>
      </c>
      <c r="J50" s="139" t="s">
        <v>582</v>
      </c>
      <c r="K50" s="139" t="s">
        <v>583</v>
      </c>
      <c r="L50" s="139" t="s">
        <v>583</v>
      </c>
      <c r="M50" s="139" t="s">
        <v>583</v>
      </c>
      <c r="N50" s="139" t="s">
        <v>584</v>
      </c>
      <c r="O50" s="139" t="s">
        <v>981</v>
      </c>
      <c r="P50" s="139" t="s">
        <v>583</v>
      </c>
      <c r="Q50" s="139" t="s">
        <v>583</v>
      </c>
      <c r="R50" s="140">
        <v>1</v>
      </c>
      <c r="S50" s="140"/>
      <c r="T50" s="140">
        <v>1</v>
      </c>
      <c r="U50" s="140">
        <v>495</v>
      </c>
      <c r="V50" s="139" t="s">
        <v>586</v>
      </c>
      <c r="W50" s="139" t="s">
        <v>587</v>
      </c>
      <c r="X50" s="139" t="s">
        <v>588</v>
      </c>
      <c r="Y50" s="139" t="s">
        <v>589</v>
      </c>
      <c r="Z50" s="139" t="s">
        <v>590</v>
      </c>
      <c r="AA50" s="139" t="s">
        <v>591</v>
      </c>
      <c r="AB50" s="139" t="s">
        <v>586</v>
      </c>
      <c r="AC50" s="139" t="s">
        <v>587</v>
      </c>
      <c r="AD50" s="139" t="s">
        <v>588</v>
      </c>
      <c r="AE50" s="139" t="s">
        <v>589</v>
      </c>
      <c r="AF50" s="139" t="s">
        <v>590</v>
      </c>
      <c r="AG50" s="139" t="s">
        <v>591</v>
      </c>
      <c r="AH50" s="139" t="s">
        <v>592</v>
      </c>
      <c r="AI50" s="139" t="s">
        <v>429</v>
      </c>
      <c r="AJ50" s="140">
        <v>12655936.300000001</v>
      </c>
      <c r="AK50" s="139" t="s">
        <v>586</v>
      </c>
      <c r="AL50" s="139" t="s">
        <v>587</v>
      </c>
      <c r="AM50" s="139" t="s">
        <v>588</v>
      </c>
      <c r="AN50" s="139" t="s">
        <v>589</v>
      </c>
      <c r="AO50" s="139" t="s">
        <v>590</v>
      </c>
      <c r="AP50" s="139" t="s">
        <v>591</v>
      </c>
      <c r="AQ50" s="139" t="s">
        <v>592</v>
      </c>
      <c r="AR50" s="139" t="s">
        <v>429</v>
      </c>
      <c r="AS50" s="139" t="s">
        <v>429</v>
      </c>
      <c r="AT50" s="139" t="s">
        <v>593</v>
      </c>
      <c r="AU50" s="139" t="s">
        <v>437</v>
      </c>
      <c r="AV50" s="140">
        <v>2</v>
      </c>
      <c r="AW50" s="139" t="s">
        <v>594</v>
      </c>
      <c r="AX50" s="139" t="s">
        <v>595</v>
      </c>
      <c r="AY50" s="139" t="s">
        <v>596</v>
      </c>
      <c r="AZ50" s="140">
        <v>1</v>
      </c>
      <c r="BA50" s="139" t="s">
        <v>597</v>
      </c>
      <c r="BB50" s="140">
        <v>123750</v>
      </c>
      <c r="BC50" s="140">
        <v>12361264</v>
      </c>
      <c r="BD50" s="140">
        <v>139651.25</v>
      </c>
      <c r="BE50" s="140">
        <v>99.888999999999996</v>
      </c>
      <c r="BF50" s="139" t="s">
        <v>880</v>
      </c>
      <c r="BG50" s="139" t="s">
        <v>583</v>
      </c>
      <c r="BH50" s="139" t="s">
        <v>958</v>
      </c>
      <c r="BI50" s="139" t="s">
        <v>598</v>
      </c>
      <c r="BJ50" s="139" t="s">
        <v>599</v>
      </c>
      <c r="BK50" s="139" t="s">
        <v>583</v>
      </c>
      <c r="BL50" s="139" t="s">
        <v>583</v>
      </c>
      <c r="BM50" s="139" t="s">
        <v>583</v>
      </c>
      <c r="BN50" s="139" t="s">
        <v>853</v>
      </c>
      <c r="BO50" s="139" t="s">
        <v>854</v>
      </c>
      <c r="BP50" s="139" t="s">
        <v>959</v>
      </c>
      <c r="BQ50" s="139" t="s">
        <v>600</v>
      </c>
      <c r="BR50" s="140">
        <v>1</v>
      </c>
      <c r="BS50" s="139" t="s">
        <v>992</v>
      </c>
      <c r="BT50" s="99">
        <f t="shared" si="1"/>
        <v>0</v>
      </c>
      <c r="BU50" s="99">
        <f t="shared" si="0"/>
        <v>1</v>
      </c>
      <c r="BV50" s="99">
        <f t="shared" si="2"/>
        <v>1</v>
      </c>
      <c r="BW50" s="139" t="s">
        <v>602</v>
      </c>
      <c r="BX50" s="139" t="s">
        <v>584</v>
      </c>
      <c r="BY50" s="140">
        <v>495</v>
      </c>
      <c r="BZ50" s="140"/>
      <c r="CA50" s="99">
        <v>99000</v>
      </c>
      <c r="CB50" s="140" t="s">
        <v>603</v>
      </c>
      <c r="CC50" s="140"/>
      <c r="CD50" s="140"/>
      <c r="CE50" s="139" t="s">
        <v>577</v>
      </c>
      <c r="CF50" s="139" t="s">
        <v>604</v>
      </c>
      <c r="CG50" s="139" t="s">
        <v>583</v>
      </c>
      <c r="CH50" s="139" t="s">
        <v>583</v>
      </c>
      <c r="CI50" s="139" t="s">
        <v>592</v>
      </c>
      <c r="CJ50" s="140">
        <v>10890</v>
      </c>
      <c r="CK50" s="140" t="s">
        <v>605</v>
      </c>
      <c r="CL50" s="140">
        <v>4000000</v>
      </c>
      <c r="CM50" s="99">
        <v>10395</v>
      </c>
      <c r="CN50" s="140"/>
      <c r="CO50" s="139" t="s">
        <v>583</v>
      </c>
      <c r="CP50" s="139" t="s">
        <v>583</v>
      </c>
      <c r="CQ50" s="140">
        <v>123750</v>
      </c>
      <c r="CR50" s="140">
        <v>12361264</v>
      </c>
      <c r="CS50" s="140">
        <v>0</v>
      </c>
      <c r="CT50" s="140">
        <v>1</v>
      </c>
      <c r="CU50" s="140">
        <v>12655936.300000001</v>
      </c>
      <c r="CV50" s="99">
        <v>139651.25</v>
      </c>
      <c r="CW50" s="139" t="s">
        <v>606</v>
      </c>
      <c r="CX50" s="140">
        <v>13.43</v>
      </c>
      <c r="CY50" s="140"/>
      <c r="CZ50" s="140"/>
      <c r="DA50" s="140" t="s">
        <v>856</v>
      </c>
      <c r="DB50" s="140">
        <v>1484</v>
      </c>
      <c r="DC50" s="140"/>
    </row>
    <row r="51" spans="2:107" ht="11.25" customHeight="1" x14ac:dyDescent="0.15">
      <c r="B51" s="139" t="s">
        <v>577</v>
      </c>
      <c r="C51" s="140" t="s">
        <v>993</v>
      </c>
      <c r="D51" s="140">
        <v>7</v>
      </c>
      <c r="E51" s="139" t="s">
        <v>994</v>
      </c>
      <c r="F51" s="139" t="s">
        <v>995</v>
      </c>
      <c r="G51" s="140" t="s">
        <v>993</v>
      </c>
      <c r="H51" s="139" t="s">
        <v>996</v>
      </c>
      <c r="I51" s="140" t="s">
        <v>421</v>
      </c>
      <c r="J51" s="139" t="s">
        <v>582</v>
      </c>
      <c r="K51" s="139" t="s">
        <v>583</v>
      </c>
      <c r="L51" s="139" t="s">
        <v>583</v>
      </c>
      <c r="M51" s="139" t="s">
        <v>583</v>
      </c>
      <c r="N51" s="139" t="s">
        <v>997</v>
      </c>
      <c r="O51" s="139" t="s">
        <v>998</v>
      </c>
      <c r="P51" s="139" t="s">
        <v>583</v>
      </c>
      <c r="Q51" s="139" t="s">
        <v>583</v>
      </c>
      <c r="R51" s="140">
        <v>1</v>
      </c>
      <c r="S51" s="140">
        <v>0</v>
      </c>
      <c r="T51" s="140">
        <v>1</v>
      </c>
      <c r="U51" s="140">
        <v>67</v>
      </c>
      <c r="V51" s="139" t="s">
        <v>999</v>
      </c>
      <c r="W51" s="139" t="s">
        <v>1000</v>
      </c>
      <c r="X51" s="139" t="s">
        <v>1001</v>
      </c>
      <c r="Y51" s="139" t="s">
        <v>1002</v>
      </c>
      <c r="Z51" s="139" t="s">
        <v>1003</v>
      </c>
      <c r="AA51" s="139" t="s">
        <v>1004</v>
      </c>
      <c r="AB51" s="139" t="s">
        <v>999</v>
      </c>
      <c r="AC51" s="139" t="s">
        <v>1000</v>
      </c>
      <c r="AD51" s="139" t="s">
        <v>1001</v>
      </c>
      <c r="AE51" s="139" t="s">
        <v>1002</v>
      </c>
      <c r="AF51" s="139" t="s">
        <v>1003</v>
      </c>
      <c r="AG51" s="139" t="s">
        <v>1004</v>
      </c>
      <c r="AH51" s="139" t="s">
        <v>751</v>
      </c>
      <c r="AI51" s="139" t="s">
        <v>433</v>
      </c>
      <c r="AJ51" s="140">
        <v>4177480.86</v>
      </c>
      <c r="AK51" s="139" t="s">
        <v>999</v>
      </c>
      <c r="AL51" s="139" t="s">
        <v>1000</v>
      </c>
      <c r="AM51" s="139" t="s">
        <v>1001</v>
      </c>
      <c r="AN51" s="139" t="s">
        <v>1002</v>
      </c>
      <c r="AO51" s="139" t="s">
        <v>1003</v>
      </c>
      <c r="AP51" s="139" t="s">
        <v>1004</v>
      </c>
      <c r="AQ51" s="139" t="s">
        <v>751</v>
      </c>
      <c r="AR51" s="139" t="s">
        <v>433</v>
      </c>
      <c r="AS51" s="139" t="s">
        <v>433</v>
      </c>
      <c r="AT51" s="139" t="s">
        <v>593</v>
      </c>
      <c r="AU51" s="139" t="s">
        <v>437</v>
      </c>
      <c r="AV51" s="140">
        <v>2</v>
      </c>
      <c r="AW51" s="139" t="s">
        <v>594</v>
      </c>
      <c r="AX51" s="139" t="s">
        <v>595</v>
      </c>
      <c r="AY51" s="139" t="s">
        <v>912</v>
      </c>
      <c r="AZ51" s="140">
        <v>1</v>
      </c>
      <c r="BA51" s="139" t="s">
        <v>597</v>
      </c>
      <c r="BB51" s="140">
        <v>37200.6</v>
      </c>
      <c r="BC51" s="140">
        <v>3713323</v>
      </c>
      <c r="BD51" s="140">
        <v>45561.96</v>
      </c>
      <c r="BE51" s="140">
        <v>99.818899999999999</v>
      </c>
      <c r="BF51" s="139" t="s">
        <v>880</v>
      </c>
      <c r="BG51" s="139" t="s">
        <v>583</v>
      </c>
      <c r="BH51" s="139" t="s">
        <v>1005</v>
      </c>
      <c r="BI51" s="139" t="s">
        <v>598</v>
      </c>
      <c r="BJ51" s="139" t="s">
        <v>624</v>
      </c>
      <c r="BK51" s="139" t="s">
        <v>914</v>
      </c>
      <c r="BL51" s="139" t="s">
        <v>583</v>
      </c>
      <c r="BM51" s="139" t="s">
        <v>915</v>
      </c>
      <c r="BN51" s="139" t="s">
        <v>916</v>
      </c>
      <c r="BO51" s="139" t="s">
        <v>917</v>
      </c>
      <c r="BP51" s="139" t="s">
        <v>918</v>
      </c>
      <c r="BQ51" s="139" t="s">
        <v>772</v>
      </c>
      <c r="BR51" s="140">
        <v>1</v>
      </c>
      <c r="BS51" s="139" t="s">
        <v>302</v>
      </c>
      <c r="BT51" s="99">
        <f t="shared" si="1"/>
        <v>0</v>
      </c>
      <c r="BU51" s="99">
        <f t="shared" si="0"/>
        <v>0</v>
      </c>
      <c r="BV51" s="99">
        <f t="shared" si="2"/>
        <v>0</v>
      </c>
      <c r="BW51" s="139" t="s">
        <v>602</v>
      </c>
      <c r="BX51" s="139" t="s">
        <v>997</v>
      </c>
      <c r="BY51" s="140">
        <v>67</v>
      </c>
      <c r="BZ51" s="140">
        <v>0</v>
      </c>
      <c r="CA51" s="99">
        <v>13400</v>
      </c>
      <c r="CB51" s="140" t="s">
        <v>603</v>
      </c>
      <c r="CC51" s="140">
        <v>0</v>
      </c>
      <c r="CD51" s="140"/>
      <c r="CE51" s="139" t="s">
        <v>577</v>
      </c>
      <c r="CF51" s="139" t="s">
        <v>775</v>
      </c>
      <c r="CG51" s="139" t="s">
        <v>583</v>
      </c>
      <c r="CH51" s="139" t="s">
        <v>583</v>
      </c>
      <c r="CI51" s="139" t="s">
        <v>751</v>
      </c>
      <c r="CJ51" s="140">
        <v>1313.2</v>
      </c>
      <c r="CK51" s="140" t="s">
        <v>657</v>
      </c>
      <c r="CL51" s="140">
        <v>4000000</v>
      </c>
      <c r="CM51" s="99">
        <v>1072</v>
      </c>
      <c r="CN51" s="140">
        <v>0</v>
      </c>
      <c r="CO51" s="139" t="s">
        <v>583</v>
      </c>
      <c r="CP51" s="139" t="s">
        <v>583</v>
      </c>
      <c r="CQ51" s="140">
        <v>37200.6</v>
      </c>
      <c r="CR51" s="140">
        <v>3713323</v>
      </c>
      <c r="CS51" s="140">
        <v>0</v>
      </c>
      <c r="CT51" s="140">
        <v>1</v>
      </c>
      <c r="CU51" s="140">
        <v>4177480.86</v>
      </c>
      <c r="CV51" s="99">
        <v>45561.96</v>
      </c>
      <c r="CW51" s="139" t="s">
        <v>606</v>
      </c>
      <c r="CX51" s="140">
        <v>42.5</v>
      </c>
      <c r="CY51" s="140"/>
      <c r="CZ51" s="140"/>
      <c r="DA51" s="140" t="s">
        <v>1006</v>
      </c>
      <c r="DB51" s="140">
        <v>41</v>
      </c>
      <c r="DC51" s="140"/>
    </row>
    <row r="52" spans="2:107" ht="11.25" customHeight="1" x14ac:dyDescent="0.15">
      <c r="B52" s="139" t="s">
        <v>577</v>
      </c>
      <c r="C52" s="140" t="s">
        <v>1007</v>
      </c>
      <c r="D52" s="140">
        <v>7</v>
      </c>
      <c r="E52" s="139" t="s">
        <v>1008</v>
      </c>
      <c r="F52" s="139" t="s">
        <v>580</v>
      </c>
      <c r="G52" s="140" t="s">
        <v>1007</v>
      </c>
      <c r="H52" s="139" t="s">
        <v>1009</v>
      </c>
      <c r="I52" s="140" t="s">
        <v>421</v>
      </c>
      <c r="J52" s="139" t="s">
        <v>582</v>
      </c>
      <c r="K52" s="139" t="s">
        <v>583</v>
      </c>
      <c r="L52" s="139" t="s">
        <v>583</v>
      </c>
      <c r="M52" s="139" t="s">
        <v>583</v>
      </c>
      <c r="N52" s="139" t="s">
        <v>584</v>
      </c>
      <c r="O52" s="139" t="s">
        <v>1010</v>
      </c>
      <c r="P52" s="139" t="s">
        <v>583</v>
      </c>
      <c r="Q52" s="139" t="s">
        <v>583</v>
      </c>
      <c r="R52" s="140">
        <v>1</v>
      </c>
      <c r="S52" s="140"/>
      <c r="T52" s="140">
        <v>1</v>
      </c>
      <c r="U52" s="140">
        <v>495</v>
      </c>
      <c r="V52" s="139" t="s">
        <v>586</v>
      </c>
      <c r="W52" s="139" t="s">
        <v>587</v>
      </c>
      <c r="X52" s="139" t="s">
        <v>588</v>
      </c>
      <c r="Y52" s="139" t="s">
        <v>589</v>
      </c>
      <c r="Z52" s="139" t="s">
        <v>590</v>
      </c>
      <c r="AA52" s="139" t="s">
        <v>591</v>
      </c>
      <c r="AB52" s="139" t="s">
        <v>586</v>
      </c>
      <c r="AC52" s="139" t="s">
        <v>587</v>
      </c>
      <c r="AD52" s="139" t="s">
        <v>588</v>
      </c>
      <c r="AE52" s="139" t="s">
        <v>589</v>
      </c>
      <c r="AF52" s="139" t="s">
        <v>590</v>
      </c>
      <c r="AG52" s="139" t="s">
        <v>591</v>
      </c>
      <c r="AH52" s="139" t="s">
        <v>592</v>
      </c>
      <c r="AI52" s="139" t="s">
        <v>429</v>
      </c>
      <c r="AJ52" s="140">
        <v>12647054.640000001</v>
      </c>
      <c r="AK52" s="139" t="s">
        <v>586</v>
      </c>
      <c r="AL52" s="139" t="s">
        <v>587</v>
      </c>
      <c r="AM52" s="139" t="s">
        <v>588</v>
      </c>
      <c r="AN52" s="139" t="s">
        <v>589</v>
      </c>
      <c r="AO52" s="139" t="s">
        <v>590</v>
      </c>
      <c r="AP52" s="139" t="s">
        <v>591</v>
      </c>
      <c r="AQ52" s="139" t="s">
        <v>592</v>
      </c>
      <c r="AR52" s="139" t="s">
        <v>429</v>
      </c>
      <c r="AS52" s="139" t="s">
        <v>429</v>
      </c>
      <c r="AT52" s="139" t="s">
        <v>593</v>
      </c>
      <c r="AU52" s="139" t="s">
        <v>437</v>
      </c>
      <c r="AV52" s="140">
        <v>2</v>
      </c>
      <c r="AW52" s="139" t="s">
        <v>594</v>
      </c>
      <c r="AX52" s="139" t="s">
        <v>595</v>
      </c>
      <c r="AY52" s="139" t="s">
        <v>596</v>
      </c>
      <c r="AZ52" s="140">
        <v>1</v>
      </c>
      <c r="BA52" s="139" t="s">
        <v>597</v>
      </c>
      <c r="BB52" s="140">
        <v>123750</v>
      </c>
      <c r="BC52" s="140">
        <v>12352589</v>
      </c>
      <c r="BD52" s="140">
        <v>137935.92000000001</v>
      </c>
      <c r="BE52" s="140">
        <v>99.818899999999999</v>
      </c>
      <c r="BF52" s="139" t="s">
        <v>880</v>
      </c>
      <c r="BG52" s="139" t="s">
        <v>583</v>
      </c>
      <c r="BH52" s="139" t="s">
        <v>958</v>
      </c>
      <c r="BI52" s="139" t="s">
        <v>598</v>
      </c>
      <c r="BJ52" s="139" t="s">
        <v>599</v>
      </c>
      <c r="BK52" s="139" t="s">
        <v>583</v>
      </c>
      <c r="BL52" s="139" t="s">
        <v>583</v>
      </c>
      <c r="BM52" s="139" t="s">
        <v>583</v>
      </c>
      <c r="BN52" s="139" t="s">
        <v>853</v>
      </c>
      <c r="BO52" s="139" t="s">
        <v>854</v>
      </c>
      <c r="BP52" s="139" t="s">
        <v>959</v>
      </c>
      <c r="BQ52" s="139" t="s">
        <v>600</v>
      </c>
      <c r="BR52" s="140">
        <v>1</v>
      </c>
      <c r="BS52" s="139" t="s">
        <v>601</v>
      </c>
      <c r="BT52" s="99">
        <f t="shared" si="1"/>
        <v>0</v>
      </c>
      <c r="BU52" s="99">
        <f t="shared" si="0"/>
        <v>1</v>
      </c>
      <c r="BV52" s="99">
        <f t="shared" si="2"/>
        <v>1</v>
      </c>
      <c r="BW52" s="139" t="s">
        <v>602</v>
      </c>
      <c r="BX52" s="139" t="s">
        <v>584</v>
      </c>
      <c r="BY52" s="140">
        <v>495</v>
      </c>
      <c r="BZ52" s="140"/>
      <c r="CA52" s="99">
        <v>99000</v>
      </c>
      <c r="CB52" s="140" t="s">
        <v>603</v>
      </c>
      <c r="CC52" s="140"/>
      <c r="CD52" s="140"/>
      <c r="CE52" s="139" t="s">
        <v>577</v>
      </c>
      <c r="CF52" s="139" t="s">
        <v>604</v>
      </c>
      <c r="CG52" s="139" t="s">
        <v>583</v>
      </c>
      <c r="CH52" s="139" t="s">
        <v>583</v>
      </c>
      <c r="CI52" s="139" t="s">
        <v>592</v>
      </c>
      <c r="CJ52" s="140">
        <v>10890</v>
      </c>
      <c r="CK52" s="140" t="s">
        <v>605</v>
      </c>
      <c r="CL52" s="140">
        <v>4000000</v>
      </c>
      <c r="CM52" s="99">
        <v>10395</v>
      </c>
      <c r="CN52" s="140"/>
      <c r="CO52" s="139" t="s">
        <v>583</v>
      </c>
      <c r="CP52" s="139" t="s">
        <v>583</v>
      </c>
      <c r="CQ52" s="140">
        <v>123750</v>
      </c>
      <c r="CR52" s="140">
        <v>12352589</v>
      </c>
      <c r="CS52" s="140">
        <v>0</v>
      </c>
      <c r="CT52" s="140">
        <v>1</v>
      </c>
      <c r="CU52" s="140">
        <v>12647054.640000001</v>
      </c>
      <c r="CV52" s="99">
        <v>137935.92000000001</v>
      </c>
      <c r="CW52" s="139" t="s">
        <v>606</v>
      </c>
      <c r="CX52" s="140">
        <v>13.27</v>
      </c>
      <c r="CY52" s="140"/>
      <c r="CZ52" s="140"/>
      <c r="DA52" s="140" t="s">
        <v>856</v>
      </c>
      <c r="DB52" s="140">
        <v>1629</v>
      </c>
      <c r="DC52" s="140"/>
    </row>
    <row r="53" spans="2:107" ht="11.25" customHeight="1" x14ac:dyDescent="0.15">
      <c r="B53" s="139" t="s">
        <v>577</v>
      </c>
      <c r="C53" s="140" t="s">
        <v>1007</v>
      </c>
      <c r="D53" s="140">
        <v>7</v>
      </c>
      <c r="E53" s="139" t="s">
        <v>1011</v>
      </c>
      <c r="F53" s="139" t="s">
        <v>718</v>
      </c>
      <c r="G53" s="140" t="s">
        <v>1007</v>
      </c>
      <c r="H53" s="139" t="s">
        <v>1012</v>
      </c>
      <c r="I53" s="140" t="s">
        <v>421</v>
      </c>
      <c r="J53" s="139" t="s">
        <v>582</v>
      </c>
      <c r="K53" s="139" t="s">
        <v>583</v>
      </c>
      <c r="L53" s="139" t="s">
        <v>583</v>
      </c>
      <c r="M53" s="139" t="s">
        <v>583</v>
      </c>
      <c r="N53" s="139" t="s">
        <v>720</v>
      </c>
      <c r="O53" s="139" t="s">
        <v>1013</v>
      </c>
      <c r="P53" s="139" t="s">
        <v>583</v>
      </c>
      <c r="Q53" s="139" t="s">
        <v>583</v>
      </c>
      <c r="R53" s="140">
        <v>1</v>
      </c>
      <c r="S53" s="140"/>
      <c r="T53" s="140">
        <v>1</v>
      </c>
      <c r="U53" s="140">
        <v>120</v>
      </c>
      <c r="V53" s="139" t="s">
        <v>662</v>
      </c>
      <c r="W53" s="139" t="s">
        <v>663</v>
      </c>
      <c r="X53" s="139" t="s">
        <v>664</v>
      </c>
      <c r="Y53" s="139" t="s">
        <v>665</v>
      </c>
      <c r="Z53" s="139" t="s">
        <v>666</v>
      </c>
      <c r="AA53" s="139" t="s">
        <v>667</v>
      </c>
      <c r="AB53" s="139" t="s">
        <v>662</v>
      </c>
      <c r="AC53" s="139" t="s">
        <v>663</v>
      </c>
      <c r="AD53" s="139" t="s">
        <v>664</v>
      </c>
      <c r="AE53" s="139" t="s">
        <v>665</v>
      </c>
      <c r="AF53" s="139" t="s">
        <v>666</v>
      </c>
      <c r="AG53" s="139" t="s">
        <v>667</v>
      </c>
      <c r="AH53" s="139" t="s">
        <v>592</v>
      </c>
      <c r="AI53" s="139" t="s">
        <v>429</v>
      </c>
      <c r="AJ53" s="140">
        <v>3453733.94</v>
      </c>
      <c r="AK53" s="139" t="s">
        <v>662</v>
      </c>
      <c r="AL53" s="139" t="s">
        <v>663</v>
      </c>
      <c r="AM53" s="139" t="s">
        <v>664</v>
      </c>
      <c r="AN53" s="139" t="s">
        <v>665</v>
      </c>
      <c r="AO53" s="139" t="s">
        <v>666</v>
      </c>
      <c r="AP53" s="139" t="s">
        <v>667</v>
      </c>
      <c r="AQ53" s="139" t="s">
        <v>592</v>
      </c>
      <c r="AR53" s="139" t="s">
        <v>429</v>
      </c>
      <c r="AS53" s="139" t="s">
        <v>429</v>
      </c>
      <c r="AT53" s="139" t="s">
        <v>593</v>
      </c>
      <c r="AU53" s="139" t="s">
        <v>437</v>
      </c>
      <c r="AV53" s="140">
        <v>2</v>
      </c>
      <c r="AW53" s="139" t="s">
        <v>594</v>
      </c>
      <c r="AX53" s="139" t="s">
        <v>595</v>
      </c>
      <c r="AY53" s="139" t="s">
        <v>722</v>
      </c>
      <c r="AZ53" s="140">
        <v>1</v>
      </c>
      <c r="BA53" s="139" t="s">
        <v>597</v>
      </c>
      <c r="BB53" s="140">
        <v>33600</v>
      </c>
      <c r="BC53" s="140">
        <v>3353915</v>
      </c>
      <c r="BD53" s="140">
        <v>37668.370000000003</v>
      </c>
      <c r="BE53" s="140">
        <v>99.818899999999999</v>
      </c>
      <c r="BF53" s="139" t="s">
        <v>880</v>
      </c>
      <c r="BG53" s="139" t="s">
        <v>583</v>
      </c>
      <c r="BH53" s="139" t="s">
        <v>924</v>
      </c>
      <c r="BI53" s="139" t="s">
        <v>598</v>
      </c>
      <c r="BJ53" s="139" t="s">
        <v>599</v>
      </c>
      <c r="BK53" s="139" t="s">
        <v>583</v>
      </c>
      <c r="BL53" s="139" t="s">
        <v>583</v>
      </c>
      <c r="BM53" s="139" t="s">
        <v>583</v>
      </c>
      <c r="BN53" s="139" t="s">
        <v>842</v>
      </c>
      <c r="BO53" s="139" t="s">
        <v>843</v>
      </c>
      <c r="BP53" s="139" t="s">
        <v>925</v>
      </c>
      <c r="BQ53" s="139" t="s">
        <v>723</v>
      </c>
      <c r="BR53" s="140">
        <v>1</v>
      </c>
      <c r="BS53" s="139" t="s">
        <v>1014</v>
      </c>
      <c r="BT53" s="99">
        <f t="shared" si="1"/>
        <v>1</v>
      </c>
      <c r="BU53" s="99">
        <f t="shared" si="0"/>
        <v>0</v>
      </c>
      <c r="BV53" s="99">
        <f t="shared" si="2"/>
        <v>1</v>
      </c>
      <c r="BW53" s="139" t="s">
        <v>725</v>
      </c>
      <c r="BX53" s="139" t="s">
        <v>726</v>
      </c>
      <c r="BY53" s="140">
        <v>120</v>
      </c>
      <c r="BZ53" s="140"/>
      <c r="CA53" s="99">
        <v>24000</v>
      </c>
      <c r="CB53" s="140" t="s">
        <v>603</v>
      </c>
      <c r="CC53" s="140"/>
      <c r="CD53" s="140"/>
      <c r="CE53" s="139" t="s">
        <v>577</v>
      </c>
      <c r="CF53" s="139" t="s">
        <v>604</v>
      </c>
      <c r="CG53" s="139" t="s">
        <v>583</v>
      </c>
      <c r="CH53" s="139" t="s">
        <v>583</v>
      </c>
      <c r="CI53" s="139" t="s">
        <v>592</v>
      </c>
      <c r="CJ53" s="140">
        <v>2520</v>
      </c>
      <c r="CK53" s="140" t="s">
        <v>605</v>
      </c>
      <c r="CL53" s="140">
        <v>4000000</v>
      </c>
      <c r="CM53" s="99">
        <v>2400</v>
      </c>
      <c r="CN53" s="140"/>
      <c r="CO53" s="139" t="s">
        <v>583</v>
      </c>
      <c r="CP53" s="139" t="s">
        <v>583</v>
      </c>
      <c r="CQ53" s="140">
        <v>33600</v>
      </c>
      <c r="CR53" s="140">
        <v>3353915</v>
      </c>
      <c r="CS53" s="140">
        <v>0</v>
      </c>
      <c r="CT53" s="140">
        <v>1</v>
      </c>
      <c r="CU53" s="140">
        <v>3453733.94</v>
      </c>
      <c r="CV53" s="99">
        <v>37668.370000000003</v>
      </c>
      <c r="CW53" s="139" t="s">
        <v>606</v>
      </c>
      <c r="CX53" s="140">
        <v>15.7</v>
      </c>
      <c r="CY53" s="140"/>
      <c r="CZ53" s="140"/>
      <c r="DA53" s="140" t="s">
        <v>926</v>
      </c>
      <c r="DB53" s="140">
        <v>36</v>
      </c>
      <c r="DC53" s="140"/>
    </row>
    <row r="54" spans="2:107" ht="11.25" customHeight="1" x14ac:dyDescent="0.15">
      <c r="B54" s="139" t="s">
        <v>577</v>
      </c>
      <c r="C54" s="140" t="s">
        <v>1007</v>
      </c>
      <c r="D54" s="140">
        <v>7</v>
      </c>
      <c r="E54" s="139" t="s">
        <v>1015</v>
      </c>
      <c r="F54" s="139" t="s">
        <v>618</v>
      </c>
      <c r="G54" s="140" t="s">
        <v>1007</v>
      </c>
      <c r="H54" s="139" t="s">
        <v>1016</v>
      </c>
      <c r="I54" s="140" t="s">
        <v>421</v>
      </c>
      <c r="J54" s="139" t="s">
        <v>582</v>
      </c>
      <c r="K54" s="139" t="s">
        <v>583</v>
      </c>
      <c r="L54" s="139" t="s">
        <v>583</v>
      </c>
      <c r="M54" s="139" t="s">
        <v>583</v>
      </c>
      <c r="N54" s="139" t="s">
        <v>441</v>
      </c>
      <c r="O54" s="139" t="s">
        <v>1017</v>
      </c>
      <c r="P54" s="139" t="s">
        <v>583</v>
      </c>
      <c r="Q54" s="139" t="s">
        <v>583</v>
      </c>
      <c r="R54" s="140">
        <v>1</v>
      </c>
      <c r="S54" s="140">
        <v>0</v>
      </c>
      <c r="T54" s="140">
        <v>1</v>
      </c>
      <c r="U54" s="140">
        <v>380</v>
      </c>
      <c r="V54" s="139" t="s">
        <v>691</v>
      </c>
      <c r="W54" s="139" t="s">
        <v>692</v>
      </c>
      <c r="X54" s="139" t="s">
        <v>693</v>
      </c>
      <c r="Y54" s="139" t="s">
        <v>694</v>
      </c>
      <c r="Z54" s="139" t="s">
        <v>695</v>
      </c>
      <c r="AA54" s="139" t="s">
        <v>696</v>
      </c>
      <c r="AB54" s="139" t="s">
        <v>691</v>
      </c>
      <c r="AC54" s="139" t="s">
        <v>692</v>
      </c>
      <c r="AD54" s="139" t="s">
        <v>693</v>
      </c>
      <c r="AE54" s="139" t="s">
        <v>694</v>
      </c>
      <c r="AF54" s="139" t="s">
        <v>695</v>
      </c>
      <c r="AG54" s="139" t="s">
        <v>696</v>
      </c>
      <c r="AH54" s="139" t="s">
        <v>621</v>
      </c>
      <c r="AI54" s="139" t="s">
        <v>430</v>
      </c>
      <c r="AJ54" s="140">
        <v>11986253.51</v>
      </c>
      <c r="AK54" s="139" t="s">
        <v>691</v>
      </c>
      <c r="AL54" s="139" t="s">
        <v>692</v>
      </c>
      <c r="AM54" s="139" t="s">
        <v>693</v>
      </c>
      <c r="AN54" s="139" t="s">
        <v>694</v>
      </c>
      <c r="AO54" s="139" t="s">
        <v>695</v>
      </c>
      <c r="AP54" s="139" t="s">
        <v>696</v>
      </c>
      <c r="AQ54" s="139" t="s">
        <v>621</v>
      </c>
      <c r="AR54" s="139" t="s">
        <v>430</v>
      </c>
      <c r="AS54" s="139" t="s">
        <v>430</v>
      </c>
      <c r="AT54" s="139" t="s">
        <v>593</v>
      </c>
      <c r="AU54" s="139" t="s">
        <v>437</v>
      </c>
      <c r="AV54" s="140">
        <v>0</v>
      </c>
      <c r="AW54" s="139" t="s">
        <v>594</v>
      </c>
      <c r="AX54" s="139" t="s">
        <v>622</v>
      </c>
      <c r="AY54" s="139" t="s">
        <v>623</v>
      </c>
      <c r="AZ54" s="140">
        <v>1</v>
      </c>
      <c r="BA54" s="139" t="s">
        <v>597</v>
      </c>
      <c r="BB54" s="140">
        <v>120080</v>
      </c>
      <c r="BC54" s="140">
        <v>11986254</v>
      </c>
      <c r="BD54" s="140">
        <v>130728.85</v>
      </c>
      <c r="BE54" s="140">
        <v>99.818899999999999</v>
      </c>
      <c r="BF54" s="139" t="s">
        <v>880</v>
      </c>
      <c r="BG54" s="139" t="s">
        <v>582</v>
      </c>
      <c r="BH54" s="139" t="s">
        <v>1018</v>
      </c>
      <c r="BI54" s="139" t="s">
        <v>598</v>
      </c>
      <c r="BJ54" s="139" t="s">
        <v>624</v>
      </c>
      <c r="BK54" s="139" t="s">
        <v>882</v>
      </c>
      <c r="BL54" s="139" t="s">
        <v>583</v>
      </c>
      <c r="BM54" s="139" t="s">
        <v>1019</v>
      </c>
      <c r="BN54" s="139" t="s">
        <v>1020</v>
      </c>
      <c r="BO54" s="139" t="s">
        <v>623</v>
      </c>
      <c r="BP54" s="139" t="s">
        <v>1021</v>
      </c>
      <c r="BQ54" s="139" t="s">
        <v>625</v>
      </c>
      <c r="BR54" s="140">
        <v>1</v>
      </c>
      <c r="BS54" s="139" t="s">
        <v>1022</v>
      </c>
      <c r="BT54" s="99">
        <f t="shared" si="1"/>
        <v>0</v>
      </c>
      <c r="BU54" s="99">
        <f t="shared" si="0"/>
        <v>0</v>
      </c>
      <c r="BV54" s="99">
        <f t="shared" si="2"/>
        <v>0</v>
      </c>
      <c r="BW54" s="139" t="s">
        <v>446</v>
      </c>
      <c r="BX54" s="139" t="s">
        <v>635</v>
      </c>
      <c r="BY54" s="140">
        <v>380</v>
      </c>
      <c r="BZ54" s="140">
        <v>0</v>
      </c>
      <c r="CA54" s="99">
        <v>76000</v>
      </c>
      <c r="CB54" s="140" t="s">
        <v>603</v>
      </c>
      <c r="CC54" s="140">
        <v>0</v>
      </c>
      <c r="CD54" s="140"/>
      <c r="CE54" s="139" t="s">
        <v>577</v>
      </c>
      <c r="CF54" s="139" t="s">
        <v>604</v>
      </c>
      <c r="CG54" s="139" t="s">
        <v>583</v>
      </c>
      <c r="CH54" s="139" t="s">
        <v>583</v>
      </c>
      <c r="CI54" s="139" t="s">
        <v>621</v>
      </c>
      <c r="CJ54" s="140">
        <v>7600</v>
      </c>
      <c r="CK54" s="140" t="s">
        <v>605</v>
      </c>
      <c r="CL54" s="140">
        <v>4000000</v>
      </c>
      <c r="CM54" s="99">
        <v>6840</v>
      </c>
      <c r="CN54" s="140">
        <v>0</v>
      </c>
      <c r="CO54" s="139" t="s">
        <v>583</v>
      </c>
      <c r="CP54" s="139" t="s">
        <v>583</v>
      </c>
      <c r="CQ54" s="140">
        <v>120080</v>
      </c>
      <c r="CR54" s="140">
        <v>11986254</v>
      </c>
      <c r="CS54" s="140">
        <v>0</v>
      </c>
      <c r="CT54" s="140">
        <v>1</v>
      </c>
      <c r="CU54" s="140">
        <v>11986253.51</v>
      </c>
      <c r="CV54" s="99">
        <v>130728.85</v>
      </c>
      <c r="CW54" s="139" t="s">
        <v>606</v>
      </c>
      <c r="CX54" s="140">
        <v>19.11</v>
      </c>
      <c r="CY54" s="140">
        <v>933</v>
      </c>
      <c r="CZ54" s="140" t="s">
        <v>894</v>
      </c>
      <c r="DA54" s="140" t="s">
        <v>895</v>
      </c>
      <c r="DB54" s="140">
        <v>976</v>
      </c>
      <c r="DC54" s="140"/>
    </row>
    <row r="55" spans="2:107" ht="11.25" customHeight="1" x14ac:dyDescent="0.15">
      <c r="B55" s="139" t="s">
        <v>577</v>
      </c>
      <c r="C55" s="140" t="s">
        <v>1023</v>
      </c>
      <c r="D55" s="140">
        <v>7</v>
      </c>
      <c r="E55" s="139" t="s">
        <v>1024</v>
      </c>
      <c r="F55" s="139" t="s">
        <v>729</v>
      </c>
      <c r="G55" s="140" t="s">
        <v>1025</v>
      </c>
      <c r="H55" s="139" t="s">
        <v>1026</v>
      </c>
      <c r="I55" s="140" t="s">
        <v>421</v>
      </c>
      <c r="J55" s="139" t="s">
        <v>582</v>
      </c>
      <c r="K55" s="139" t="s">
        <v>583</v>
      </c>
      <c r="L55" s="139" t="s">
        <v>583</v>
      </c>
      <c r="M55" s="139" t="s">
        <v>583</v>
      </c>
      <c r="N55" s="139" t="s">
        <v>731</v>
      </c>
      <c r="O55" s="139" t="s">
        <v>1027</v>
      </c>
      <c r="P55" s="139" t="s">
        <v>583</v>
      </c>
      <c r="Q55" s="139" t="s">
        <v>583</v>
      </c>
      <c r="R55" s="140">
        <v>1</v>
      </c>
      <c r="S55" s="140">
        <v>0</v>
      </c>
      <c r="T55" s="140">
        <v>1</v>
      </c>
      <c r="U55" s="140">
        <v>380</v>
      </c>
      <c r="V55" s="139" t="s">
        <v>691</v>
      </c>
      <c r="W55" s="139" t="s">
        <v>692</v>
      </c>
      <c r="X55" s="139" t="s">
        <v>693</v>
      </c>
      <c r="Y55" s="139" t="s">
        <v>694</v>
      </c>
      <c r="Z55" s="139" t="s">
        <v>695</v>
      </c>
      <c r="AA55" s="139" t="s">
        <v>696</v>
      </c>
      <c r="AB55" s="139" t="s">
        <v>691</v>
      </c>
      <c r="AC55" s="139" t="s">
        <v>692</v>
      </c>
      <c r="AD55" s="139" t="s">
        <v>693</v>
      </c>
      <c r="AE55" s="139" t="s">
        <v>694</v>
      </c>
      <c r="AF55" s="139" t="s">
        <v>695</v>
      </c>
      <c r="AG55" s="139" t="s">
        <v>696</v>
      </c>
      <c r="AH55" s="139" t="s">
        <v>733</v>
      </c>
      <c r="AI55" s="139" t="s">
        <v>432</v>
      </c>
      <c r="AJ55" s="140">
        <v>14571634.279999999</v>
      </c>
      <c r="AK55" s="139" t="s">
        <v>691</v>
      </c>
      <c r="AL55" s="139" t="s">
        <v>692</v>
      </c>
      <c r="AM55" s="139" t="s">
        <v>693</v>
      </c>
      <c r="AN55" s="139" t="s">
        <v>694</v>
      </c>
      <c r="AO55" s="139" t="s">
        <v>695</v>
      </c>
      <c r="AP55" s="139" t="s">
        <v>696</v>
      </c>
      <c r="AQ55" s="139" t="s">
        <v>733</v>
      </c>
      <c r="AR55" s="139" t="s">
        <v>432</v>
      </c>
      <c r="AS55" s="139" t="s">
        <v>432</v>
      </c>
      <c r="AT55" s="139" t="s">
        <v>593</v>
      </c>
      <c r="AU55" s="139" t="s">
        <v>437</v>
      </c>
      <c r="AV55" s="140">
        <v>2</v>
      </c>
      <c r="AW55" s="139" t="s">
        <v>594</v>
      </c>
      <c r="AX55" s="139" t="s">
        <v>653</v>
      </c>
      <c r="AY55" s="139" t="s">
        <v>734</v>
      </c>
      <c r="AZ55" s="140">
        <v>1</v>
      </c>
      <c r="BA55" s="139" t="s">
        <v>597</v>
      </c>
      <c r="BB55" s="140">
        <v>144680</v>
      </c>
      <c r="BC55" s="140">
        <v>14571634</v>
      </c>
      <c r="BD55" s="140">
        <v>157412.91</v>
      </c>
      <c r="BE55" s="140">
        <v>100.7163</v>
      </c>
      <c r="BF55" s="139" t="s">
        <v>880</v>
      </c>
      <c r="BG55" s="139" t="s">
        <v>583</v>
      </c>
      <c r="BH55" s="139" t="s">
        <v>736</v>
      </c>
      <c r="BI55" s="139" t="s">
        <v>598</v>
      </c>
      <c r="BJ55" s="139" t="s">
        <v>624</v>
      </c>
      <c r="BK55" s="139" t="s">
        <v>890</v>
      </c>
      <c r="BL55" s="139" t="s">
        <v>583</v>
      </c>
      <c r="BM55" s="139" t="s">
        <v>891</v>
      </c>
      <c r="BN55" s="139" t="s">
        <v>738</v>
      </c>
      <c r="BO55" s="139" t="s">
        <v>739</v>
      </c>
      <c r="BP55" s="139" t="s">
        <v>892</v>
      </c>
      <c r="BQ55" s="139" t="s">
        <v>741</v>
      </c>
      <c r="BR55" s="140">
        <v>1</v>
      </c>
      <c r="BS55" s="139" t="s">
        <v>1028</v>
      </c>
      <c r="BT55" s="99">
        <f t="shared" si="1"/>
        <v>0</v>
      </c>
      <c r="BU55" s="99">
        <f t="shared" si="0"/>
        <v>0</v>
      </c>
      <c r="BV55" s="99">
        <f t="shared" si="2"/>
        <v>0</v>
      </c>
      <c r="BW55" s="139" t="s">
        <v>743</v>
      </c>
      <c r="BX55" s="139" t="s">
        <v>744</v>
      </c>
      <c r="BY55" s="140">
        <v>380</v>
      </c>
      <c r="BZ55" s="140">
        <v>0</v>
      </c>
      <c r="CA55" s="99">
        <v>76000</v>
      </c>
      <c r="CB55" s="140" t="s">
        <v>603</v>
      </c>
      <c r="CC55" s="140">
        <v>0</v>
      </c>
      <c r="CD55" s="140"/>
      <c r="CE55" s="139" t="s">
        <v>577</v>
      </c>
      <c r="CF55" s="139" t="s">
        <v>604</v>
      </c>
      <c r="CG55" s="139" t="s">
        <v>583</v>
      </c>
      <c r="CH55" s="139" t="s">
        <v>583</v>
      </c>
      <c r="CI55" s="139" t="s">
        <v>733</v>
      </c>
      <c r="CJ55" s="140">
        <v>8360</v>
      </c>
      <c r="CK55" s="140" t="s">
        <v>605</v>
      </c>
      <c r="CL55" s="140">
        <v>4000000</v>
      </c>
      <c r="CM55" s="99">
        <v>7600</v>
      </c>
      <c r="CN55" s="140">
        <v>0</v>
      </c>
      <c r="CO55" s="139" t="s">
        <v>583</v>
      </c>
      <c r="CP55" s="139" t="s">
        <v>583</v>
      </c>
      <c r="CQ55" s="140">
        <v>144680</v>
      </c>
      <c r="CR55" s="140">
        <v>14571634</v>
      </c>
      <c r="CS55" s="140">
        <v>0</v>
      </c>
      <c r="CT55" s="140">
        <v>1</v>
      </c>
      <c r="CU55" s="140">
        <v>14571634.279999999</v>
      </c>
      <c r="CV55" s="99">
        <v>157412.91</v>
      </c>
      <c r="CW55" s="139" t="s">
        <v>606</v>
      </c>
      <c r="CX55" s="140">
        <v>20.71</v>
      </c>
      <c r="CY55" s="140">
        <v>933</v>
      </c>
      <c r="CZ55" s="140" t="s">
        <v>894</v>
      </c>
      <c r="DA55" s="140" t="s">
        <v>895</v>
      </c>
      <c r="DB55" s="140">
        <v>553</v>
      </c>
      <c r="DC55" s="140"/>
    </row>
    <row r="56" spans="2:107" ht="11.25" customHeight="1" x14ac:dyDescent="0.15">
      <c r="B56" s="139" t="s">
        <v>577</v>
      </c>
      <c r="C56" s="140" t="s">
        <v>1023</v>
      </c>
      <c r="D56" s="140">
        <v>7</v>
      </c>
      <c r="E56" s="139" t="s">
        <v>1029</v>
      </c>
      <c r="F56" s="139" t="s">
        <v>618</v>
      </c>
      <c r="G56" s="140" t="s">
        <v>1023</v>
      </c>
      <c r="H56" s="139" t="s">
        <v>1030</v>
      </c>
      <c r="I56" s="140" t="s">
        <v>421</v>
      </c>
      <c r="J56" s="139" t="s">
        <v>582</v>
      </c>
      <c r="K56" s="139" t="s">
        <v>583</v>
      </c>
      <c r="L56" s="139" t="s">
        <v>583</v>
      </c>
      <c r="M56" s="139" t="s">
        <v>583</v>
      </c>
      <c r="N56" s="139" t="s">
        <v>441</v>
      </c>
      <c r="O56" s="139" t="s">
        <v>1031</v>
      </c>
      <c r="P56" s="139" t="s">
        <v>583</v>
      </c>
      <c r="Q56" s="139" t="s">
        <v>583</v>
      </c>
      <c r="R56" s="140">
        <v>1</v>
      </c>
      <c r="S56" s="140">
        <v>0</v>
      </c>
      <c r="T56" s="140">
        <v>1</v>
      </c>
      <c r="U56" s="140">
        <v>80</v>
      </c>
      <c r="V56" s="139" t="s">
        <v>640</v>
      </c>
      <c r="W56" s="139" t="s">
        <v>641</v>
      </c>
      <c r="X56" s="139" t="s">
        <v>642</v>
      </c>
      <c r="Y56" s="139" t="s">
        <v>643</v>
      </c>
      <c r="Z56" s="139" t="s">
        <v>644</v>
      </c>
      <c r="AA56" s="139" t="s">
        <v>645</v>
      </c>
      <c r="AB56" s="139" t="s">
        <v>640</v>
      </c>
      <c r="AC56" s="139" t="s">
        <v>641</v>
      </c>
      <c r="AD56" s="139" t="s">
        <v>642</v>
      </c>
      <c r="AE56" s="139" t="s">
        <v>643</v>
      </c>
      <c r="AF56" s="139" t="s">
        <v>644</v>
      </c>
      <c r="AG56" s="139" t="s">
        <v>645</v>
      </c>
      <c r="AH56" s="139" t="s">
        <v>621</v>
      </c>
      <c r="AI56" s="139" t="s">
        <v>430</v>
      </c>
      <c r="AJ56" s="140">
        <v>2427595.65</v>
      </c>
      <c r="AK56" s="139" t="s">
        <v>640</v>
      </c>
      <c r="AL56" s="139" t="s">
        <v>641</v>
      </c>
      <c r="AM56" s="139" t="s">
        <v>642</v>
      </c>
      <c r="AN56" s="139" t="s">
        <v>643</v>
      </c>
      <c r="AO56" s="139" t="s">
        <v>644</v>
      </c>
      <c r="AP56" s="139" t="s">
        <v>645</v>
      </c>
      <c r="AQ56" s="139" t="s">
        <v>621</v>
      </c>
      <c r="AR56" s="139" t="s">
        <v>430</v>
      </c>
      <c r="AS56" s="139" t="s">
        <v>430</v>
      </c>
      <c r="AT56" s="139" t="s">
        <v>593</v>
      </c>
      <c r="AU56" s="139" t="s">
        <v>437</v>
      </c>
      <c r="AV56" s="140">
        <v>0</v>
      </c>
      <c r="AW56" s="139" t="s">
        <v>594</v>
      </c>
      <c r="AX56" s="139" t="s">
        <v>622</v>
      </c>
      <c r="AY56" s="139" t="s">
        <v>646</v>
      </c>
      <c r="AZ56" s="140">
        <v>1</v>
      </c>
      <c r="BA56" s="139" t="s">
        <v>597</v>
      </c>
      <c r="BB56" s="140">
        <v>24320</v>
      </c>
      <c r="BC56" s="140">
        <v>2427596</v>
      </c>
      <c r="BD56" s="140">
        <v>26476.73</v>
      </c>
      <c r="BE56" s="140">
        <v>99.818899999999999</v>
      </c>
      <c r="BF56" s="139" t="s">
        <v>880</v>
      </c>
      <c r="BG56" s="139" t="s">
        <v>582</v>
      </c>
      <c r="BH56" s="139" t="s">
        <v>938</v>
      </c>
      <c r="BI56" s="139" t="s">
        <v>598</v>
      </c>
      <c r="BJ56" s="139" t="s">
        <v>624</v>
      </c>
      <c r="BK56" s="139" t="s">
        <v>882</v>
      </c>
      <c r="BL56" s="139" t="s">
        <v>583</v>
      </c>
      <c r="BM56" s="139" t="s">
        <v>939</v>
      </c>
      <c r="BN56" s="139" t="s">
        <v>583</v>
      </c>
      <c r="BO56" s="139" t="s">
        <v>623</v>
      </c>
      <c r="BP56" s="139" t="s">
        <v>884</v>
      </c>
      <c r="BQ56" s="139" t="s">
        <v>625</v>
      </c>
      <c r="BR56" s="140">
        <v>1</v>
      </c>
      <c r="BS56" s="139" t="s">
        <v>1032</v>
      </c>
      <c r="BT56" s="99">
        <f t="shared" si="1"/>
        <v>0</v>
      </c>
      <c r="BU56" s="99">
        <f t="shared" si="0"/>
        <v>0</v>
      </c>
      <c r="BV56" s="99">
        <f t="shared" si="2"/>
        <v>0</v>
      </c>
      <c r="BW56" s="139" t="s">
        <v>446</v>
      </c>
      <c r="BX56" s="139" t="s">
        <v>441</v>
      </c>
      <c r="BY56" s="140">
        <v>80</v>
      </c>
      <c r="BZ56" s="140">
        <v>0</v>
      </c>
      <c r="CA56" s="99">
        <v>16000</v>
      </c>
      <c r="CB56" s="140" t="s">
        <v>603</v>
      </c>
      <c r="CC56" s="140">
        <v>0</v>
      </c>
      <c r="CD56" s="140"/>
      <c r="CE56" s="139" t="s">
        <v>577</v>
      </c>
      <c r="CF56" s="139" t="s">
        <v>604</v>
      </c>
      <c r="CG56" s="139" t="s">
        <v>583</v>
      </c>
      <c r="CH56" s="139" t="s">
        <v>583</v>
      </c>
      <c r="CI56" s="139" t="s">
        <v>621</v>
      </c>
      <c r="CJ56" s="140">
        <v>1696</v>
      </c>
      <c r="CK56" s="140" t="s">
        <v>605</v>
      </c>
      <c r="CL56" s="140">
        <v>4000000</v>
      </c>
      <c r="CM56" s="99">
        <v>1440</v>
      </c>
      <c r="CN56" s="140">
        <v>0</v>
      </c>
      <c r="CO56" s="139" t="s">
        <v>583</v>
      </c>
      <c r="CP56" s="139" t="s">
        <v>583</v>
      </c>
      <c r="CQ56" s="140">
        <v>24320</v>
      </c>
      <c r="CR56" s="140">
        <v>2427596</v>
      </c>
      <c r="CS56" s="140">
        <v>0</v>
      </c>
      <c r="CT56" s="140">
        <v>1</v>
      </c>
      <c r="CU56" s="140">
        <v>2427595.65</v>
      </c>
      <c r="CV56" s="99">
        <v>26476.73</v>
      </c>
      <c r="CW56" s="139" t="s">
        <v>606</v>
      </c>
      <c r="CX56" s="140">
        <v>18.39</v>
      </c>
      <c r="CY56" s="140"/>
      <c r="CZ56" s="140"/>
      <c r="DA56" s="140" t="s">
        <v>941</v>
      </c>
      <c r="DB56" s="140">
        <v>765</v>
      </c>
      <c r="DC56" s="140"/>
    </row>
    <row r="57" spans="2:107" ht="11.25" customHeight="1" x14ac:dyDescent="0.15">
      <c r="B57" s="139" t="s">
        <v>577</v>
      </c>
      <c r="C57" s="140" t="s">
        <v>1025</v>
      </c>
      <c r="D57" s="140">
        <v>7</v>
      </c>
      <c r="E57" s="139" t="s">
        <v>1033</v>
      </c>
      <c r="F57" s="139" t="s">
        <v>618</v>
      </c>
      <c r="G57" s="140" t="s">
        <v>1025</v>
      </c>
      <c r="H57" s="139" t="s">
        <v>1034</v>
      </c>
      <c r="I57" s="140" t="s">
        <v>421</v>
      </c>
      <c r="J57" s="139" t="s">
        <v>582</v>
      </c>
      <c r="K57" s="139" t="s">
        <v>583</v>
      </c>
      <c r="L57" s="139" t="s">
        <v>583</v>
      </c>
      <c r="M57" s="139" t="s">
        <v>583</v>
      </c>
      <c r="N57" s="139" t="s">
        <v>660</v>
      </c>
      <c r="O57" s="139" t="s">
        <v>1035</v>
      </c>
      <c r="P57" s="139" t="s">
        <v>583</v>
      </c>
      <c r="Q57" s="139" t="s">
        <v>583</v>
      </c>
      <c r="R57" s="140">
        <v>1</v>
      </c>
      <c r="S57" s="140">
        <v>0</v>
      </c>
      <c r="T57" s="140">
        <v>1</v>
      </c>
      <c r="U57" s="140">
        <v>183</v>
      </c>
      <c r="V57" s="139" t="s">
        <v>709</v>
      </c>
      <c r="W57" s="139" t="s">
        <v>710</v>
      </c>
      <c r="X57" s="139" t="s">
        <v>711</v>
      </c>
      <c r="Y57" s="139" t="s">
        <v>712</v>
      </c>
      <c r="Z57" s="139" t="s">
        <v>713</v>
      </c>
      <c r="AA57" s="139" t="s">
        <v>714</v>
      </c>
      <c r="AB57" s="139" t="s">
        <v>709</v>
      </c>
      <c r="AC57" s="139" t="s">
        <v>710</v>
      </c>
      <c r="AD57" s="139" t="s">
        <v>711</v>
      </c>
      <c r="AE57" s="139" t="s">
        <v>712</v>
      </c>
      <c r="AF57" s="139" t="s">
        <v>713</v>
      </c>
      <c r="AG57" s="139" t="s">
        <v>714</v>
      </c>
      <c r="AH57" s="139" t="s">
        <v>621</v>
      </c>
      <c r="AI57" s="139" t="s">
        <v>430</v>
      </c>
      <c r="AJ57" s="140">
        <v>5713635.7000000002</v>
      </c>
      <c r="AK57" s="139" t="s">
        <v>709</v>
      </c>
      <c r="AL57" s="139" t="s">
        <v>710</v>
      </c>
      <c r="AM57" s="139" t="s">
        <v>711</v>
      </c>
      <c r="AN57" s="139" t="s">
        <v>712</v>
      </c>
      <c r="AO57" s="139" t="s">
        <v>713</v>
      </c>
      <c r="AP57" s="139" t="s">
        <v>714</v>
      </c>
      <c r="AQ57" s="139" t="s">
        <v>621</v>
      </c>
      <c r="AR57" s="139" t="s">
        <v>430</v>
      </c>
      <c r="AS57" s="139" t="s">
        <v>430</v>
      </c>
      <c r="AT57" s="139" t="s">
        <v>593</v>
      </c>
      <c r="AU57" s="139" t="s">
        <v>437</v>
      </c>
      <c r="AV57" s="140">
        <v>0</v>
      </c>
      <c r="AW57" s="139" t="s">
        <v>594</v>
      </c>
      <c r="AX57" s="139" t="s">
        <v>622</v>
      </c>
      <c r="AY57" s="139" t="s">
        <v>623</v>
      </c>
      <c r="AZ57" s="140">
        <v>1</v>
      </c>
      <c r="BA57" s="139" t="s">
        <v>597</v>
      </c>
      <c r="BB57" s="140">
        <v>56730</v>
      </c>
      <c r="BC57" s="140">
        <v>5713636</v>
      </c>
      <c r="BD57" s="140">
        <v>61722.66</v>
      </c>
      <c r="BE57" s="140">
        <v>100.7163</v>
      </c>
      <c r="BF57" s="139" t="s">
        <v>880</v>
      </c>
      <c r="BG57" s="139" t="s">
        <v>582</v>
      </c>
      <c r="BH57" s="139" t="s">
        <v>881</v>
      </c>
      <c r="BI57" s="139" t="s">
        <v>598</v>
      </c>
      <c r="BJ57" s="139" t="s">
        <v>624</v>
      </c>
      <c r="BK57" s="139" t="s">
        <v>882</v>
      </c>
      <c r="BL57" s="139" t="s">
        <v>583</v>
      </c>
      <c r="BM57" s="139" t="s">
        <v>883</v>
      </c>
      <c r="BN57" s="139" t="s">
        <v>583</v>
      </c>
      <c r="BO57" s="139" t="s">
        <v>623</v>
      </c>
      <c r="BP57" s="139" t="s">
        <v>884</v>
      </c>
      <c r="BQ57" s="139" t="s">
        <v>625</v>
      </c>
      <c r="BR57" s="140">
        <v>1</v>
      </c>
      <c r="BS57" s="139" t="s">
        <v>715</v>
      </c>
      <c r="BT57" s="99">
        <f t="shared" si="1"/>
        <v>0</v>
      </c>
      <c r="BU57" s="99">
        <f t="shared" si="0"/>
        <v>1</v>
      </c>
      <c r="BV57" s="99">
        <f t="shared" si="2"/>
        <v>1</v>
      </c>
      <c r="BW57" s="139" t="s">
        <v>635</v>
      </c>
      <c r="BX57" s="139" t="s">
        <v>441</v>
      </c>
      <c r="BY57" s="140">
        <v>183</v>
      </c>
      <c r="BZ57" s="140">
        <v>0</v>
      </c>
      <c r="CA57" s="99">
        <v>36600</v>
      </c>
      <c r="CB57" s="140" t="s">
        <v>603</v>
      </c>
      <c r="CC57" s="140">
        <v>0</v>
      </c>
      <c r="CD57" s="140"/>
      <c r="CE57" s="139" t="s">
        <v>577</v>
      </c>
      <c r="CF57" s="139" t="s">
        <v>604</v>
      </c>
      <c r="CG57" s="139" t="s">
        <v>583</v>
      </c>
      <c r="CH57" s="139" t="s">
        <v>583</v>
      </c>
      <c r="CI57" s="139" t="s">
        <v>621</v>
      </c>
      <c r="CJ57" s="140">
        <v>3822</v>
      </c>
      <c r="CK57" s="140" t="s">
        <v>605</v>
      </c>
      <c r="CL57" s="140">
        <v>4000000</v>
      </c>
      <c r="CM57" s="99">
        <v>3294</v>
      </c>
      <c r="CN57" s="140">
        <v>0</v>
      </c>
      <c r="CO57" s="139" t="s">
        <v>583</v>
      </c>
      <c r="CP57" s="139" t="s">
        <v>583</v>
      </c>
      <c r="CQ57" s="140">
        <v>56730</v>
      </c>
      <c r="CR57" s="140">
        <v>5713636</v>
      </c>
      <c r="CS57" s="140">
        <v>0</v>
      </c>
      <c r="CT57" s="140">
        <v>1</v>
      </c>
      <c r="CU57" s="140">
        <v>5713635.7000000002</v>
      </c>
      <c r="CV57" s="99">
        <v>61722.66</v>
      </c>
      <c r="CW57" s="139" t="s">
        <v>606</v>
      </c>
      <c r="CX57" s="140">
        <v>18.739999999999998</v>
      </c>
      <c r="CY57" s="140"/>
      <c r="CZ57" s="140"/>
      <c r="DA57" s="140" t="s">
        <v>886</v>
      </c>
      <c r="DB57" s="140">
        <v>1113</v>
      </c>
      <c r="DC57" s="140"/>
    </row>
    <row r="58" spans="2:107" ht="11.25" customHeight="1" x14ac:dyDescent="0.15">
      <c r="B58" s="139" t="s">
        <v>577</v>
      </c>
      <c r="C58" s="140" t="s">
        <v>1025</v>
      </c>
      <c r="D58" s="140">
        <v>7</v>
      </c>
      <c r="E58" s="139" t="s">
        <v>1036</v>
      </c>
      <c r="F58" s="139" t="s">
        <v>618</v>
      </c>
      <c r="G58" s="140" t="s">
        <v>1025</v>
      </c>
      <c r="H58" s="139" t="s">
        <v>1037</v>
      </c>
      <c r="I58" s="140" t="s">
        <v>421</v>
      </c>
      <c r="J58" s="139" t="s">
        <v>582</v>
      </c>
      <c r="K58" s="139" t="s">
        <v>583</v>
      </c>
      <c r="L58" s="139" t="s">
        <v>583</v>
      </c>
      <c r="M58" s="139" t="s">
        <v>583</v>
      </c>
      <c r="N58" s="139" t="s">
        <v>441</v>
      </c>
      <c r="O58" s="139" t="s">
        <v>1038</v>
      </c>
      <c r="P58" s="139" t="s">
        <v>583</v>
      </c>
      <c r="Q58" s="139" t="s">
        <v>583</v>
      </c>
      <c r="R58" s="140">
        <v>1</v>
      </c>
      <c r="S58" s="140">
        <v>0</v>
      </c>
      <c r="T58" s="140">
        <v>1</v>
      </c>
      <c r="U58" s="140">
        <v>564</v>
      </c>
      <c r="V58" s="139" t="s">
        <v>583</v>
      </c>
      <c r="W58" s="139" t="s">
        <v>583</v>
      </c>
      <c r="X58" s="139" t="s">
        <v>632</v>
      </c>
      <c r="Y58" s="139" t="s">
        <v>633</v>
      </c>
      <c r="Z58" s="139" t="s">
        <v>583</v>
      </c>
      <c r="AA58" s="139" t="s">
        <v>583</v>
      </c>
      <c r="AB58" s="139" t="s">
        <v>583</v>
      </c>
      <c r="AC58" s="139" t="s">
        <v>583</v>
      </c>
      <c r="AD58" s="139" t="s">
        <v>632</v>
      </c>
      <c r="AE58" s="139" t="s">
        <v>633</v>
      </c>
      <c r="AF58" s="139" t="s">
        <v>583</v>
      </c>
      <c r="AG58" s="139" t="s">
        <v>583</v>
      </c>
      <c r="AH58" s="139" t="s">
        <v>621</v>
      </c>
      <c r="AI58" s="139" t="s">
        <v>430</v>
      </c>
      <c r="AJ58" s="140">
        <v>17354756</v>
      </c>
      <c r="AK58" s="139" t="s">
        <v>583</v>
      </c>
      <c r="AL58" s="139" t="s">
        <v>583</v>
      </c>
      <c r="AM58" s="139" t="s">
        <v>632</v>
      </c>
      <c r="AN58" s="139" t="s">
        <v>633</v>
      </c>
      <c r="AO58" s="139" t="s">
        <v>583</v>
      </c>
      <c r="AP58" s="139" t="s">
        <v>583</v>
      </c>
      <c r="AQ58" s="139" t="s">
        <v>621</v>
      </c>
      <c r="AR58" s="139" t="s">
        <v>430</v>
      </c>
      <c r="AS58" s="139" t="s">
        <v>430</v>
      </c>
      <c r="AT58" s="139" t="s">
        <v>593</v>
      </c>
      <c r="AU58" s="139" t="s">
        <v>437</v>
      </c>
      <c r="AV58" s="140">
        <v>0</v>
      </c>
      <c r="AW58" s="139" t="s">
        <v>594</v>
      </c>
      <c r="AX58" s="139" t="s">
        <v>622</v>
      </c>
      <c r="AY58" s="139" t="s">
        <v>623</v>
      </c>
      <c r="AZ58" s="140">
        <v>1</v>
      </c>
      <c r="BA58" s="139" t="s">
        <v>597</v>
      </c>
      <c r="BB58" s="140">
        <v>172313.28</v>
      </c>
      <c r="BC58" s="140">
        <v>17354756</v>
      </c>
      <c r="BD58" s="140">
        <v>187478.12</v>
      </c>
      <c r="BE58" s="140">
        <v>100.7163</v>
      </c>
      <c r="BF58" s="139" t="s">
        <v>880</v>
      </c>
      <c r="BG58" s="139" t="s">
        <v>582</v>
      </c>
      <c r="BH58" s="139" t="s">
        <v>931</v>
      </c>
      <c r="BI58" s="139" t="s">
        <v>598</v>
      </c>
      <c r="BJ58" s="139" t="s">
        <v>624</v>
      </c>
      <c r="BK58" s="139" t="s">
        <v>882</v>
      </c>
      <c r="BL58" s="139" t="s">
        <v>583</v>
      </c>
      <c r="BM58" s="139" t="s">
        <v>883</v>
      </c>
      <c r="BN58" s="139" t="s">
        <v>583</v>
      </c>
      <c r="BO58" s="139" t="s">
        <v>623</v>
      </c>
      <c r="BP58" s="139" t="s">
        <v>884</v>
      </c>
      <c r="BQ58" s="139" t="s">
        <v>625</v>
      </c>
      <c r="BR58" s="140">
        <v>1</v>
      </c>
      <c r="BS58" s="139" t="s">
        <v>1039</v>
      </c>
      <c r="BT58" s="99">
        <f t="shared" si="1"/>
        <v>0</v>
      </c>
      <c r="BU58" s="99">
        <f t="shared" si="0"/>
        <v>0</v>
      </c>
      <c r="BV58" s="99">
        <f t="shared" si="2"/>
        <v>0</v>
      </c>
      <c r="BW58" s="139" t="s">
        <v>635</v>
      </c>
      <c r="BX58" s="139" t="s">
        <v>441</v>
      </c>
      <c r="BY58" s="140">
        <v>564</v>
      </c>
      <c r="BZ58" s="140">
        <v>0</v>
      </c>
      <c r="CA58" s="99">
        <v>112800</v>
      </c>
      <c r="CB58" s="140" t="s">
        <v>603</v>
      </c>
      <c r="CC58" s="140">
        <v>0</v>
      </c>
      <c r="CD58" s="140"/>
      <c r="CE58" s="139" t="s">
        <v>577</v>
      </c>
      <c r="CF58" s="139" t="s">
        <v>604</v>
      </c>
      <c r="CG58" s="139" t="s">
        <v>583</v>
      </c>
      <c r="CH58" s="139" t="s">
        <v>583</v>
      </c>
      <c r="CI58" s="139" t="s">
        <v>621</v>
      </c>
      <c r="CJ58" s="140">
        <v>11575</v>
      </c>
      <c r="CK58" s="140" t="s">
        <v>605</v>
      </c>
      <c r="CL58" s="140">
        <v>4000000</v>
      </c>
      <c r="CM58" s="99">
        <v>10152</v>
      </c>
      <c r="CN58" s="140">
        <v>0</v>
      </c>
      <c r="CO58" s="139" t="s">
        <v>583</v>
      </c>
      <c r="CP58" s="139" t="s">
        <v>583</v>
      </c>
      <c r="CQ58" s="140">
        <v>172313.28</v>
      </c>
      <c r="CR58" s="140">
        <v>17354756</v>
      </c>
      <c r="CS58" s="140">
        <v>0</v>
      </c>
      <c r="CT58" s="140">
        <v>1</v>
      </c>
      <c r="CU58" s="140">
        <v>17354756</v>
      </c>
      <c r="CV58" s="99">
        <v>187478.12</v>
      </c>
      <c r="CW58" s="139" t="s">
        <v>606</v>
      </c>
      <c r="CX58" s="140">
        <v>18.47</v>
      </c>
      <c r="CY58" s="140"/>
      <c r="CZ58" s="140"/>
      <c r="DA58" s="140" t="s">
        <v>933</v>
      </c>
      <c r="DB58" s="140">
        <v>891</v>
      </c>
      <c r="DC58" s="140"/>
    </row>
    <row r="59" spans="2:107" ht="11.25" customHeight="1" x14ac:dyDescent="0.15">
      <c r="B59" s="139" t="s">
        <v>577</v>
      </c>
      <c r="C59" s="140" t="s">
        <v>1040</v>
      </c>
      <c r="D59" s="140">
        <v>7</v>
      </c>
      <c r="E59" s="139" t="s">
        <v>1041</v>
      </c>
      <c r="F59" s="139" t="s">
        <v>618</v>
      </c>
      <c r="G59" s="140" t="s">
        <v>1042</v>
      </c>
      <c r="H59" s="139" t="s">
        <v>1043</v>
      </c>
      <c r="I59" s="140" t="s">
        <v>421</v>
      </c>
      <c r="J59" s="139" t="s">
        <v>582</v>
      </c>
      <c r="K59" s="139" t="s">
        <v>583</v>
      </c>
      <c r="L59" s="139" t="s">
        <v>583</v>
      </c>
      <c r="M59" s="139" t="s">
        <v>583</v>
      </c>
      <c r="N59" s="139" t="s">
        <v>650</v>
      </c>
      <c r="O59" s="139" t="s">
        <v>1044</v>
      </c>
      <c r="P59" s="139" t="s">
        <v>583</v>
      </c>
      <c r="Q59" s="139" t="s">
        <v>583</v>
      </c>
      <c r="R59" s="140">
        <v>1</v>
      </c>
      <c r="S59" s="140">
        <v>0</v>
      </c>
      <c r="T59" s="140">
        <v>1</v>
      </c>
      <c r="U59" s="140">
        <v>290</v>
      </c>
      <c r="V59" s="139" t="s">
        <v>586</v>
      </c>
      <c r="W59" s="139" t="s">
        <v>587</v>
      </c>
      <c r="X59" s="139" t="s">
        <v>588</v>
      </c>
      <c r="Y59" s="139" t="s">
        <v>589</v>
      </c>
      <c r="Z59" s="139" t="s">
        <v>590</v>
      </c>
      <c r="AA59" s="139" t="s">
        <v>591</v>
      </c>
      <c r="AB59" s="139" t="s">
        <v>586</v>
      </c>
      <c r="AC59" s="139" t="s">
        <v>587</v>
      </c>
      <c r="AD59" s="139" t="s">
        <v>588</v>
      </c>
      <c r="AE59" s="139" t="s">
        <v>589</v>
      </c>
      <c r="AF59" s="139" t="s">
        <v>590</v>
      </c>
      <c r="AG59" s="139" t="s">
        <v>591</v>
      </c>
      <c r="AH59" s="139" t="s">
        <v>652</v>
      </c>
      <c r="AI59" s="139" t="s">
        <v>431</v>
      </c>
      <c r="AJ59" s="140">
        <v>37965426.409999996</v>
      </c>
      <c r="AK59" s="139" t="s">
        <v>586</v>
      </c>
      <c r="AL59" s="139" t="s">
        <v>587</v>
      </c>
      <c r="AM59" s="139" t="s">
        <v>588</v>
      </c>
      <c r="AN59" s="139" t="s">
        <v>589</v>
      </c>
      <c r="AO59" s="139" t="s">
        <v>590</v>
      </c>
      <c r="AP59" s="139" t="s">
        <v>591</v>
      </c>
      <c r="AQ59" s="139" t="s">
        <v>652</v>
      </c>
      <c r="AR59" s="139" t="s">
        <v>431</v>
      </c>
      <c r="AS59" s="139" t="s">
        <v>431</v>
      </c>
      <c r="AT59" s="139" t="s">
        <v>593</v>
      </c>
      <c r="AU59" s="139" t="s">
        <v>437</v>
      </c>
      <c r="AV59" s="140">
        <v>0</v>
      </c>
      <c r="AW59" s="139" t="s">
        <v>594</v>
      </c>
      <c r="AX59" s="139" t="s">
        <v>653</v>
      </c>
      <c r="AY59" s="139" t="s">
        <v>623</v>
      </c>
      <c r="AZ59" s="140">
        <v>1</v>
      </c>
      <c r="BA59" s="139" t="s">
        <v>597</v>
      </c>
      <c r="BB59" s="140">
        <v>388440</v>
      </c>
      <c r="BC59" s="140">
        <v>37965426</v>
      </c>
      <c r="BD59" s="140">
        <v>423981.53</v>
      </c>
      <c r="BE59" s="140">
        <v>97.738200000000006</v>
      </c>
      <c r="BF59" s="139" t="s">
        <v>880</v>
      </c>
      <c r="BG59" s="139" t="s">
        <v>582</v>
      </c>
      <c r="BH59" s="139" t="s">
        <v>970</v>
      </c>
      <c r="BI59" s="139" t="s">
        <v>598</v>
      </c>
      <c r="BJ59" s="139" t="s">
        <v>624</v>
      </c>
      <c r="BK59" s="139" t="s">
        <v>882</v>
      </c>
      <c r="BL59" s="139" t="s">
        <v>583</v>
      </c>
      <c r="BM59" s="139" t="s">
        <v>883</v>
      </c>
      <c r="BN59" s="139" t="s">
        <v>971</v>
      </c>
      <c r="BO59" s="139" t="s">
        <v>972</v>
      </c>
      <c r="BP59" s="139" t="s">
        <v>973</v>
      </c>
      <c r="BQ59" s="139" t="s">
        <v>625</v>
      </c>
      <c r="BR59" s="140">
        <v>1</v>
      </c>
      <c r="BS59" s="139" t="s">
        <v>1045</v>
      </c>
      <c r="BT59" s="99">
        <f t="shared" si="1"/>
        <v>0</v>
      </c>
      <c r="BU59" s="99">
        <f t="shared" si="0"/>
        <v>1</v>
      </c>
      <c r="BV59" s="99">
        <f t="shared" si="2"/>
        <v>1</v>
      </c>
      <c r="BW59" s="139" t="s">
        <v>655</v>
      </c>
      <c r="BX59" s="139" t="s">
        <v>656</v>
      </c>
      <c r="BY59" s="140">
        <v>290</v>
      </c>
      <c r="BZ59" s="140">
        <v>0</v>
      </c>
      <c r="CA59" s="99">
        <v>58000</v>
      </c>
      <c r="CB59" s="140" t="s">
        <v>603</v>
      </c>
      <c r="CC59" s="140">
        <v>0</v>
      </c>
      <c r="CD59" s="140"/>
      <c r="CE59" s="139" t="s">
        <v>577</v>
      </c>
      <c r="CF59" s="139" t="s">
        <v>604</v>
      </c>
      <c r="CG59" s="139" t="s">
        <v>583</v>
      </c>
      <c r="CH59" s="139" t="s">
        <v>583</v>
      </c>
      <c r="CI59" s="139" t="s">
        <v>652</v>
      </c>
      <c r="CJ59" s="140">
        <v>6090</v>
      </c>
      <c r="CK59" s="140" t="s">
        <v>657</v>
      </c>
      <c r="CL59" s="140">
        <v>4000000</v>
      </c>
      <c r="CM59" s="99">
        <v>5800</v>
      </c>
      <c r="CN59" s="140">
        <v>0</v>
      </c>
      <c r="CO59" s="139" t="s">
        <v>583</v>
      </c>
      <c r="CP59" s="139" t="s">
        <v>583</v>
      </c>
      <c r="CQ59" s="140">
        <v>388440</v>
      </c>
      <c r="CR59" s="140">
        <v>37965426</v>
      </c>
      <c r="CS59" s="140">
        <v>0</v>
      </c>
      <c r="CT59" s="140">
        <v>1</v>
      </c>
      <c r="CU59" s="140">
        <v>37965426.409999996</v>
      </c>
      <c r="CV59" s="99">
        <v>423981.53</v>
      </c>
      <c r="CW59" s="139" t="s">
        <v>606</v>
      </c>
      <c r="CX59" s="140">
        <v>73.099999999999994</v>
      </c>
      <c r="CY59" s="140"/>
      <c r="CZ59" s="140"/>
      <c r="DA59" s="140" t="s">
        <v>856</v>
      </c>
      <c r="DB59" s="140">
        <v>1062</v>
      </c>
      <c r="DC59" s="140"/>
    </row>
    <row r="60" spans="2:107" ht="11.25" customHeight="1" x14ac:dyDescent="0.15">
      <c r="B60" s="139" t="s">
        <v>577</v>
      </c>
      <c r="C60" s="140" t="s">
        <v>1040</v>
      </c>
      <c r="D60" s="140">
        <v>7</v>
      </c>
      <c r="E60" s="139" t="s">
        <v>1046</v>
      </c>
      <c r="F60" s="139" t="s">
        <v>580</v>
      </c>
      <c r="G60" s="140" t="s">
        <v>1040</v>
      </c>
      <c r="H60" s="139" t="s">
        <v>1047</v>
      </c>
      <c r="I60" s="140" t="s">
        <v>421</v>
      </c>
      <c r="J60" s="139" t="s">
        <v>582</v>
      </c>
      <c r="K60" s="139" t="s">
        <v>583</v>
      </c>
      <c r="L60" s="139" t="s">
        <v>583</v>
      </c>
      <c r="M60" s="139" t="s">
        <v>583</v>
      </c>
      <c r="N60" s="139" t="s">
        <v>584</v>
      </c>
      <c r="O60" s="139" t="s">
        <v>1010</v>
      </c>
      <c r="P60" s="139" t="s">
        <v>583</v>
      </c>
      <c r="Q60" s="139" t="s">
        <v>583</v>
      </c>
      <c r="R60" s="140">
        <v>1</v>
      </c>
      <c r="S60" s="140">
        <v>0</v>
      </c>
      <c r="T60" s="140">
        <v>1</v>
      </c>
      <c r="U60" s="140">
        <v>495</v>
      </c>
      <c r="V60" s="139" t="s">
        <v>586</v>
      </c>
      <c r="W60" s="139" t="s">
        <v>587</v>
      </c>
      <c r="X60" s="139" t="s">
        <v>588</v>
      </c>
      <c r="Y60" s="139" t="s">
        <v>589</v>
      </c>
      <c r="Z60" s="139" t="s">
        <v>590</v>
      </c>
      <c r="AA60" s="139" t="s">
        <v>591</v>
      </c>
      <c r="AB60" s="139" t="s">
        <v>586</v>
      </c>
      <c r="AC60" s="139" t="s">
        <v>587</v>
      </c>
      <c r="AD60" s="139" t="s">
        <v>588</v>
      </c>
      <c r="AE60" s="139" t="s">
        <v>589</v>
      </c>
      <c r="AF60" s="139" t="s">
        <v>590</v>
      </c>
      <c r="AG60" s="139" t="s">
        <v>591</v>
      </c>
      <c r="AH60" s="139" t="s">
        <v>592</v>
      </c>
      <c r="AI60" s="139" t="s">
        <v>429</v>
      </c>
      <c r="AJ60" s="140">
        <v>12469104.48</v>
      </c>
      <c r="AK60" s="139" t="s">
        <v>586</v>
      </c>
      <c r="AL60" s="139" t="s">
        <v>587</v>
      </c>
      <c r="AM60" s="139" t="s">
        <v>588</v>
      </c>
      <c r="AN60" s="139" t="s">
        <v>589</v>
      </c>
      <c r="AO60" s="139" t="s">
        <v>590</v>
      </c>
      <c r="AP60" s="139" t="s">
        <v>591</v>
      </c>
      <c r="AQ60" s="139" t="s">
        <v>592</v>
      </c>
      <c r="AR60" s="139" t="s">
        <v>429</v>
      </c>
      <c r="AS60" s="139" t="s">
        <v>429</v>
      </c>
      <c r="AT60" s="139" t="s">
        <v>593</v>
      </c>
      <c r="AU60" s="139" t="s">
        <v>437</v>
      </c>
      <c r="AV60" s="140">
        <v>2</v>
      </c>
      <c r="AW60" s="139" t="s">
        <v>594</v>
      </c>
      <c r="AX60" s="139" t="s">
        <v>595</v>
      </c>
      <c r="AY60" s="139" t="s">
        <v>596</v>
      </c>
      <c r="AZ60" s="140">
        <v>1</v>
      </c>
      <c r="BA60" s="139" t="s">
        <v>597</v>
      </c>
      <c r="BB60" s="140">
        <v>123750</v>
      </c>
      <c r="BC60" s="140">
        <v>12178782</v>
      </c>
      <c r="BD60" s="140">
        <v>138027.24</v>
      </c>
      <c r="BE60" s="140">
        <v>98.414400000000001</v>
      </c>
      <c r="BF60" s="139" t="s">
        <v>880</v>
      </c>
      <c r="BG60" s="139" t="s">
        <v>583</v>
      </c>
      <c r="BH60" s="139" t="s">
        <v>958</v>
      </c>
      <c r="BI60" s="139" t="s">
        <v>598</v>
      </c>
      <c r="BJ60" s="139" t="s">
        <v>599</v>
      </c>
      <c r="BK60" s="139" t="s">
        <v>583</v>
      </c>
      <c r="BL60" s="139" t="s">
        <v>583</v>
      </c>
      <c r="BM60" s="139" t="s">
        <v>583</v>
      </c>
      <c r="BN60" s="139" t="s">
        <v>853</v>
      </c>
      <c r="BO60" s="139" t="s">
        <v>854</v>
      </c>
      <c r="BP60" s="139" t="s">
        <v>959</v>
      </c>
      <c r="BQ60" s="139" t="s">
        <v>600</v>
      </c>
      <c r="BR60" s="140">
        <v>1</v>
      </c>
      <c r="BS60" s="139" t="s">
        <v>1048</v>
      </c>
      <c r="BT60" s="99">
        <f t="shared" si="1"/>
        <v>0</v>
      </c>
      <c r="BU60" s="99">
        <f t="shared" si="0"/>
        <v>1</v>
      </c>
      <c r="BV60" s="99">
        <f t="shared" si="2"/>
        <v>1</v>
      </c>
      <c r="BW60" s="139" t="s">
        <v>602</v>
      </c>
      <c r="BX60" s="139" t="s">
        <v>584</v>
      </c>
      <c r="BY60" s="140">
        <v>495</v>
      </c>
      <c r="BZ60" s="140">
        <v>0</v>
      </c>
      <c r="CA60" s="99">
        <v>99000</v>
      </c>
      <c r="CB60" s="140" t="s">
        <v>603</v>
      </c>
      <c r="CC60" s="140">
        <v>0</v>
      </c>
      <c r="CD60" s="140"/>
      <c r="CE60" s="139" t="s">
        <v>577</v>
      </c>
      <c r="CF60" s="139" t="s">
        <v>604</v>
      </c>
      <c r="CG60" s="139" t="s">
        <v>583</v>
      </c>
      <c r="CH60" s="139" t="s">
        <v>583</v>
      </c>
      <c r="CI60" s="139" t="s">
        <v>592</v>
      </c>
      <c r="CJ60" s="140">
        <v>10890</v>
      </c>
      <c r="CK60" s="140" t="s">
        <v>605</v>
      </c>
      <c r="CL60" s="140">
        <v>4000000</v>
      </c>
      <c r="CM60" s="99">
        <v>10395</v>
      </c>
      <c r="CN60" s="140">
        <v>0</v>
      </c>
      <c r="CO60" s="139" t="s">
        <v>583</v>
      </c>
      <c r="CP60" s="139" t="s">
        <v>583</v>
      </c>
      <c r="CQ60" s="140">
        <v>123750</v>
      </c>
      <c r="CR60" s="140">
        <v>12178782</v>
      </c>
      <c r="CS60" s="140">
        <v>0</v>
      </c>
      <c r="CT60" s="140">
        <v>1</v>
      </c>
      <c r="CU60" s="140">
        <v>12469104.48</v>
      </c>
      <c r="CV60" s="99">
        <v>138027.24</v>
      </c>
      <c r="CW60" s="139" t="s">
        <v>606</v>
      </c>
      <c r="CX60" s="140">
        <v>13.28</v>
      </c>
      <c r="CY60" s="140"/>
      <c r="CZ60" s="140"/>
      <c r="DA60" s="140" t="s">
        <v>856</v>
      </c>
      <c r="DB60" s="140">
        <v>1163</v>
      </c>
      <c r="DC60" s="140"/>
    </row>
    <row r="61" spans="2:107" ht="11.25" customHeight="1" x14ac:dyDescent="0.15">
      <c r="B61" s="139" t="s">
        <v>577</v>
      </c>
      <c r="C61" s="140" t="s">
        <v>1049</v>
      </c>
      <c r="D61" s="140">
        <v>7</v>
      </c>
      <c r="E61" s="139" t="s">
        <v>1050</v>
      </c>
      <c r="F61" s="139" t="s">
        <v>580</v>
      </c>
      <c r="G61" s="140" t="s">
        <v>1051</v>
      </c>
      <c r="H61" s="139" t="s">
        <v>1052</v>
      </c>
      <c r="I61" s="140" t="s">
        <v>421</v>
      </c>
      <c r="J61" s="139" t="s">
        <v>582</v>
      </c>
      <c r="K61" s="139" t="s">
        <v>583</v>
      </c>
      <c r="L61" s="139" t="s">
        <v>583</v>
      </c>
      <c r="M61" s="139" t="s">
        <v>583</v>
      </c>
      <c r="N61" s="139" t="s">
        <v>764</v>
      </c>
      <c r="O61" s="139" t="s">
        <v>1053</v>
      </c>
      <c r="P61" s="139" t="s">
        <v>583</v>
      </c>
      <c r="Q61" s="139" t="s">
        <v>583</v>
      </c>
      <c r="R61" s="140">
        <v>1</v>
      </c>
      <c r="S61" s="140">
        <v>0</v>
      </c>
      <c r="T61" s="140">
        <v>1</v>
      </c>
      <c r="U61" s="140">
        <v>82</v>
      </c>
      <c r="V61" s="139" t="s">
        <v>907</v>
      </c>
      <c r="W61" s="139" t="s">
        <v>908</v>
      </c>
      <c r="X61" s="139" t="s">
        <v>909</v>
      </c>
      <c r="Y61" s="139" t="s">
        <v>910</v>
      </c>
      <c r="Z61" s="139" t="s">
        <v>644</v>
      </c>
      <c r="AA61" s="139" t="s">
        <v>911</v>
      </c>
      <c r="AB61" s="139" t="s">
        <v>907</v>
      </c>
      <c r="AC61" s="139" t="s">
        <v>908</v>
      </c>
      <c r="AD61" s="139" t="s">
        <v>909</v>
      </c>
      <c r="AE61" s="139" t="s">
        <v>910</v>
      </c>
      <c r="AF61" s="139" t="s">
        <v>644</v>
      </c>
      <c r="AG61" s="139" t="s">
        <v>911</v>
      </c>
      <c r="AH61" s="139" t="s">
        <v>751</v>
      </c>
      <c r="AI61" s="139" t="s">
        <v>433</v>
      </c>
      <c r="AJ61" s="140">
        <v>8873891.75</v>
      </c>
      <c r="AK61" s="139" t="s">
        <v>907</v>
      </c>
      <c r="AL61" s="139" t="s">
        <v>908</v>
      </c>
      <c r="AM61" s="139" t="s">
        <v>909</v>
      </c>
      <c r="AN61" s="139" t="s">
        <v>910</v>
      </c>
      <c r="AO61" s="139" t="s">
        <v>644</v>
      </c>
      <c r="AP61" s="139" t="s">
        <v>911</v>
      </c>
      <c r="AQ61" s="139" t="s">
        <v>751</v>
      </c>
      <c r="AR61" s="139" t="s">
        <v>433</v>
      </c>
      <c r="AS61" s="139" t="s">
        <v>433</v>
      </c>
      <c r="AT61" s="139" t="s">
        <v>593</v>
      </c>
      <c r="AU61" s="139" t="s">
        <v>437</v>
      </c>
      <c r="AV61" s="140">
        <v>2</v>
      </c>
      <c r="AW61" s="139" t="s">
        <v>594</v>
      </c>
      <c r="AX61" s="139" t="s">
        <v>595</v>
      </c>
      <c r="AY61" s="139" t="s">
        <v>912</v>
      </c>
      <c r="AZ61" s="140">
        <v>1</v>
      </c>
      <c r="BA61" s="139" t="s">
        <v>597</v>
      </c>
      <c r="BB61" s="140">
        <v>87767.6</v>
      </c>
      <c r="BC61" s="140">
        <v>8427401</v>
      </c>
      <c r="BD61" s="140">
        <v>100401.11</v>
      </c>
      <c r="BE61" s="140">
        <v>96.019499999999994</v>
      </c>
      <c r="BF61" s="139" t="s">
        <v>880</v>
      </c>
      <c r="BG61" s="139" t="s">
        <v>583</v>
      </c>
      <c r="BH61" s="139" t="s">
        <v>1054</v>
      </c>
      <c r="BI61" s="139" t="s">
        <v>598</v>
      </c>
      <c r="BJ61" s="139" t="s">
        <v>624</v>
      </c>
      <c r="BK61" s="139" t="s">
        <v>914</v>
      </c>
      <c r="BL61" s="139" t="s">
        <v>583</v>
      </c>
      <c r="BM61" s="139" t="s">
        <v>915</v>
      </c>
      <c r="BN61" s="139" t="s">
        <v>916</v>
      </c>
      <c r="BO61" s="139" t="s">
        <v>917</v>
      </c>
      <c r="BP61" s="139" t="s">
        <v>918</v>
      </c>
      <c r="BQ61" s="139" t="s">
        <v>772</v>
      </c>
      <c r="BR61" s="140">
        <v>1</v>
      </c>
      <c r="BS61" s="139" t="s">
        <v>1055</v>
      </c>
      <c r="BT61" s="99">
        <f t="shared" si="1"/>
        <v>0</v>
      </c>
      <c r="BU61" s="99">
        <f t="shared" si="0"/>
        <v>0</v>
      </c>
      <c r="BV61" s="99">
        <f t="shared" si="2"/>
        <v>0</v>
      </c>
      <c r="BW61" s="139" t="s">
        <v>602</v>
      </c>
      <c r="BX61" s="139" t="s">
        <v>764</v>
      </c>
      <c r="BY61" s="140">
        <v>82</v>
      </c>
      <c r="BZ61" s="140">
        <v>0</v>
      </c>
      <c r="CA61" s="99">
        <v>16400</v>
      </c>
      <c r="CB61" s="140" t="s">
        <v>603</v>
      </c>
      <c r="CC61" s="140">
        <v>0</v>
      </c>
      <c r="CD61" s="140"/>
      <c r="CE61" s="139" t="s">
        <v>577</v>
      </c>
      <c r="CF61" s="139" t="s">
        <v>775</v>
      </c>
      <c r="CG61" s="139" t="s">
        <v>583</v>
      </c>
      <c r="CH61" s="139" t="s">
        <v>583</v>
      </c>
      <c r="CI61" s="139" t="s">
        <v>751</v>
      </c>
      <c r="CJ61" s="140">
        <v>1707.2</v>
      </c>
      <c r="CK61" s="140" t="s">
        <v>605</v>
      </c>
      <c r="CL61" s="140">
        <v>4000000</v>
      </c>
      <c r="CM61" s="99">
        <v>1312</v>
      </c>
      <c r="CN61" s="140">
        <v>0</v>
      </c>
      <c r="CO61" s="139" t="s">
        <v>583</v>
      </c>
      <c r="CP61" s="139" t="s">
        <v>583</v>
      </c>
      <c r="CQ61" s="140">
        <v>87767.6</v>
      </c>
      <c r="CR61" s="140">
        <v>8427401</v>
      </c>
      <c r="CS61" s="140">
        <v>0</v>
      </c>
      <c r="CT61" s="140">
        <v>1</v>
      </c>
      <c r="CU61" s="140">
        <v>8873891.75</v>
      </c>
      <c r="CV61" s="99">
        <v>100401.11</v>
      </c>
      <c r="CW61" s="139" t="s">
        <v>606</v>
      </c>
      <c r="CX61" s="140">
        <v>76.53</v>
      </c>
      <c r="CY61" s="140"/>
      <c r="CZ61" s="140"/>
      <c r="DA61" s="140" t="s">
        <v>920</v>
      </c>
      <c r="DB61" s="140">
        <v>1208</v>
      </c>
      <c r="DC61" s="140"/>
    </row>
    <row r="62" spans="2:107" ht="11.25" customHeight="1" x14ac:dyDescent="0.15">
      <c r="B62" s="139" t="s">
        <v>577</v>
      </c>
      <c r="C62" s="140" t="s">
        <v>1049</v>
      </c>
      <c r="D62" s="140">
        <v>7</v>
      </c>
      <c r="E62" s="139" t="s">
        <v>1056</v>
      </c>
      <c r="F62" s="139" t="s">
        <v>729</v>
      </c>
      <c r="G62" s="140" t="s">
        <v>1049</v>
      </c>
      <c r="H62" s="139" t="s">
        <v>1057</v>
      </c>
      <c r="I62" s="140" t="s">
        <v>421</v>
      </c>
      <c r="J62" s="139" t="s">
        <v>582</v>
      </c>
      <c r="K62" s="139" t="s">
        <v>583</v>
      </c>
      <c r="L62" s="139" t="s">
        <v>583</v>
      </c>
      <c r="M62" s="139" t="s">
        <v>583</v>
      </c>
      <c r="N62" s="139" t="s">
        <v>444</v>
      </c>
      <c r="O62" s="139" t="s">
        <v>1058</v>
      </c>
      <c r="P62" s="139" t="s">
        <v>583</v>
      </c>
      <c r="Q62" s="139" t="s">
        <v>583</v>
      </c>
      <c r="R62" s="140">
        <v>1</v>
      </c>
      <c r="S62" s="140">
        <v>0</v>
      </c>
      <c r="T62" s="140">
        <v>1</v>
      </c>
      <c r="U62" s="140">
        <v>12</v>
      </c>
      <c r="V62" s="139" t="s">
        <v>709</v>
      </c>
      <c r="W62" s="139" t="s">
        <v>710</v>
      </c>
      <c r="X62" s="139" t="s">
        <v>711</v>
      </c>
      <c r="Y62" s="139" t="s">
        <v>789</v>
      </c>
      <c r="Z62" s="139" t="s">
        <v>713</v>
      </c>
      <c r="AA62" s="139" t="s">
        <v>714</v>
      </c>
      <c r="AB62" s="139" t="s">
        <v>709</v>
      </c>
      <c r="AC62" s="139" t="s">
        <v>710</v>
      </c>
      <c r="AD62" s="139" t="s">
        <v>711</v>
      </c>
      <c r="AE62" s="139" t="s">
        <v>789</v>
      </c>
      <c r="AF62" s="139" t="s">
        <v>713</v>
      </c>
      <c r="AG62" s="139" t="s">
        <v>714</v>
      </c>
      <c r="AH62" s="139" t="s">
        <v>751</v>
      </c>
      <c r="AI62" s="139" t="s">
        <v>433</v>
      </c>
      <c r="AJ62" s="140">
        <v>8151404.2599999998</v>
      </c>
      <c r="AK62" s="139" t="s">
        <v>709</v>
      </c>
      <c r="AL62" s="139" t="s">
        <v>710</v>
      </c>
      <c r="AM62" s="139" t="s">
        <v>711</v>
      </c>
      <c r="AN62" s="139" t="s">
        <v>789</v>
      </c>
      <c r="AO62" s="139" t="s">
        <v>713</v>
      </c>
      <c r="AP62" s="139" t="s">
        <v>714</v>
      </c>
      <c r="AQ62" s="139" t="s">
        <v>751</v>
      </c>
      <c r="AR62" s="139" t="s">
        <v>433</v>
      </c>
      <c r="AS62" s="139" t="s">
        <v>433</v>
      </c>
      <c r="AT62" s="139" t="s">
        <v>593</v>
      </c>
      <c r="AU62" s="139" t="s">
        <v>437</v>
      </c>
      <c r="AV62" s="140">
        <v>2</v>
      </c>
      <c r="AW62" s="139" t="s">
        <v>594</v>
      </c>
      <c r="AX62" s="139" t="s">
        <v>653</v>
      </c>
      <c r="AY62" s="139" t="s">
        <v>790</v>
      </c>
      <c r="AZ62" s="140">
        <v>1</v>
      </c>
      <c r="BA62" s="139" t="s">
        <v>597</v>
      </c>
      <c r="BB62" s="140">
        <v>83812</v>
      </c>
      <c r="BC62" s="140">
        <v>8151404</v>
      </c>
      <c r="BD62" s="140">
        <v>91255.06</v>
      </c>
      <c r="BE62" s="140">
        <v>97.258200000000002</v>
      </c>
      <c r="BF62" s="139" t="s">
        <v>880</v>
      </c>
      <c r="BG62" s="139" t="s">
        <v>583</v>
      </c>
      <c r="BH62" s="139" t="s">
        <v>1059</v>
      </c>
      <c r="BI62" s="139" t="s">
        <v>598</v>
      </c>
      <c r="BJ62" s="139" t="s">
        <v>599</v>
      </c>
      <c r="BK62" s="139" t="s">
        <v>583</v>
      </c>
      <c r="BL62" s="139" t="s">
        <v>1060</v>
      </c>
      <c r="BM62" s="139" t="s">
        <v>583</v>
      </c>
      <c r="BN62" s="139" t="s">
        <v>842</v>
      </c>
      <c r="BO62" s="139" t="s">
        <v>1061</v>
      </c>
      <c r="BP62" s="139" t="s">
        <v>925</v>
      </c>
      <c r="BQ62" s="139" t="s">
        <v>723</v>
      </c>
      <c r="BR62" s="140">
        <v>1</v>
      </c>
      <c r="BS62" s="139" t="s">
        <v>791</v>
      </c>
      <c r="BT62" s="99">
        <f t="shared" si="1"/>
        <v>0</v>
      </c>
      <c r="BU62" s="99">
        <f t="shared" si="0"/>
        <v>0</v>
      </c>
      <c r="BV62" s="99">
        <f t="shared" si="2"/>
        <v>0</v>
      </c>
      <c r="BW62" s="139" t="s">
        <v>602</v>
      </c>
      <c r="BX62" s="139" t="s">
        <v>443</v>
      </c>
      <c r="BY62" s="140">
        <v>12</v>
      </c>
      <c r="BZ62" s="140">
        <v>0</v>
      </c>
      <c r="CA62" s="99">
        <v>53600</v>
      </c>
      <c r="CB62" s="140" t="s">
        <v>603</v>
      </c>
      <c r="CC62" s="140">
        <v>0</v>
      </c>
      <c r="CD62" s="140"/>
      <c r="CE62" s="139" t="s">
        <v>577</v>
      </c>
      <c r="CF62" s="139" t="s">
        <v>604</v>
      </c>
      <c r="CG62" s="139" t="s">
        <v>583</v>
      </c>
      <c r="CH62" s="139" t="s">
        <v>583</v>
      </c>
      <c r="CI62" s="139" t="s">
        <v>751</v>
      </c>
      <c r="CJ62" s="140">
        <v>5628</v>
      </c>
      <c r="CK62" s="140" t="s">
        <v>605</v>
      </c>
      <c r="CL62" s="140">
        <v>4000000</v>
      </c>
      <c r="CM62" s="99">
        <v>5360</v>
      </c>
      <c r="CN62" s="140">
        <v>0</v>
      </c>
      <c r="CO62" s="139" t="s">
        <v>583</v>
      </c>
      <c r="CP62" s="139" t="s">
        <v>583</v>
      </c>
      <c r="CQ62" s="140">
        <v>83812</v>
      </c>
      <c r="CR62" s="140">
        <v>8151404</v>
      </c>
      <c r="CS62" s="140">
        <v>0</v>
      </c>
      <c r="CT62" s="140">
        <v>1</v>
      </c>
      <c r="CU62" s="140">
        <v>8151404.2599999998</v>
      </c>
      <c r="CV62" s="99">
        <v>91255.06</v>
      </c>
      <c r="CW62" s="139" t="s">
        <v>606</v>
      </c>
      <c r="CX62" s="140">
        <v>17.03</v>
      </c>
      <c r="CY62" s="140">
        <v>35</v>
      </c>
      <c r="CZ62" s="140" t="s">
        <v>1062</v>
      </c>
      <c r="DA62" s="140" t="s">
        <v>1063</v>
      </c>
      <c r="DB62" s="140">
        <v>342</v>
      </c>
      <c r="DC62" s="140"/>
    </row>
    <row r="63" spans="2:107" ht="11.25" customHeight="1" x14ac:dyDescent="0.15">
      <c r="B63" s="139" t="s">
        <v>577</v>
      </c>
      <c r="C63" s="140" t="s">
        <v>1051</v>
      </c>
      <c r="D63" s="140">
        <v>7</v>
      </c>
      <c r="E63" s="139" t="s">
        <v>1064</v>
      </c>
      <c r="F63" s="139" t="s">
        <v>580</v>
      </c>
      <c r="G63" s="140" t="s">
        <v>1065</v>
      </c>
      <c r="H63" s="139" t="s">
        <v>1066</v>
      </c>
      <c r="I63" s="140" t="s">
        <v>421</v>
      </c>
      <c r="J63" s="139" t="s">
        <v>582</v>
      </c>
      <c r="K63" s="139" t="s">
        <v>583</v>
      </c>
      <c r="L63" s="139" t="s">
        <v>583</v>
      </c>
      <c r="M63" s="139" t="s">
        <v>583</v>
      </c>
      <c r="N63" s="139" t="s">
        <v>1067</v>
      </c>
      <c r="O63" s="139" t="s">
        <v>1068</v>
      </c>
      <c r="P63" s="139" t="s">
        <v>583</v>
      </c>
      <c r="Q63" s="139" t="s">
        <v>583</v>
      </c>
      <c r="R63" s="140">
        <v>2</v>
      </c>
      <c r="S63" s="140">
        <v>0</v>
      </c>
      <c r="T63" s="140">
        <v>2</v>
      </c>
      <c r="U63" s="140">
        <v>27</v>
      </c>
      <c r="V63" s="139" t="s">
        <v>1069</v>
      </c>
      <c r="W63" s="139" t="s">
        <v>1070</v>
      </c>
      <c r="X63" s="139" t="s">
        <v>1071</v>
      </c>
      <c r="Y63" s="139" t="s">
        <v>1072</v>
      </c>
      <c r="Z63" s="139" t="s">
        <v>590</v>
      </c>
      <c r="AA63" s="139" t="s">
        <v>1073</v>
      </c>
      <c r="AB63" s="139" t="s">
        <v>1069</v>
      </c>
      <c r="AC63" s="139" t="s">
        <v>1070</v>
      </c>
      <c r="AD63" s="139" t="s">
        <v>1071</v>
      </c>
      <c r="AE63" s="139" t="s">
        <v>1072</v>
      </c>
      <c r="AF63" s="139" t="s">
        <v>590</v>
      </c>
      <c r="AG63" s="139" t="s">
        <v>1073</v>
      </c>
      <c r="AH63" s="139" t="s">
        <v>1074</v>
      </c>
      <c r="AI63" s="139" t="s">
        <v>435</v>
      </c>
      <c r="AJ63" s="140">
        <v>6566005.4500000002</v>
      </c>
      <c r="AK63" s="139" t="s">
        <v>1069</v>
      </c>
      <c r="AL63" s="139" t="s">
        <v>1070</v>
      </c>
      <c r="AM63" s="139" t="s">
        <v>1071</v>
      </c>
      <c r="AN63" s="139" t="s">
        <v>1072</v>
      </c>
      <c r="AO63" s="139" t="s">
        <v>590</v>
      </c>
      <c r="AP63" s="139" t="s">
        <v>1073</v>
      </c>
      <c r="AQ63" s="139" t="s">
        <v>1074</v>
      </c>
      <c r="AR63" s="139" t="s">
        <v>435</v>
      </c>
      <c r="AS63" s="139" t="s">
        <v>435</v>
      </c>
      <c r="AT63" s="139" t="s">
        <v>593</v>
      </c>
      <c r="AU63" s="139" t="s">
        <v>437</v>
      </c>
      <c r="AV63" s="140">
        <v>2</v>
      </c>
      <c r="AW63" s="139" t="s">
        <v>594</v>
      </c>
      <c r="AX63" s="139" t="s">
        <v>653</v>
      </c>
      <c r="AY63" s="139" t="s">
        <v>1075</v>
      </c>
      <c r="AZ63" s="140">
        <v>1</v>
      </c>
      <c r="BA63" s="139" t="s">
        <v>597</v>
      </c>
      <c r="BB63" s="140">
        <v>68382</v>
      </c>
      <c r="BC63" s="140">
        <v>6566005</v>
      </c>
      <c r="BD63" s="140">
        <v>74289.19</v>
      </c>
      <c r="BE63" s="140">
        <v>96.019499999999994</v>
      </c>
      <c r="BF63" s="139" t="s">
        <v>880</v>
      </c>
      <c r="BG63" s="139" t="s">
        <v>583</v>
      </c>
      <c r="BH63" s="139" t="s">
        <v>1076</v>
      </c>
      <c r="BI63" s="139" t="s">
        <v>598</v>
      </c>
      <c r="BJ63" s="139" t="s">
        <v>599</v>
      </c>
      <c r="BK63" s="139" t="s">
        <v>583</v>
      </c>
      <c r="BL63" s="139" t="s">
        <v>583</v>
      </c>
      <c r="BM63" s="139" t="s">
        <v>583</v>
      </c>
      <c r="BN63" s="139" t="s">
        <v>842</v>
      </c>
      <c r="BO63" s="139" t="s">
        <v>843</v>
      </c>
      <c r="BP63" s="139" t="s">
        <v>925</v>
      </c>
      <c r="BQ63" s="139" t="s">
        <v>723</v>
      </c>
      <c r="BR63" s="140">
        <v>2</v>
      </c>
      <c r="BS63" s="139" t="s">
        <v>1077</v>
      </c>
      <c r="BT63" s="99">
        <f t="shared" si="1"/>
        <v>1</v>
      </c>
      <c r="BU63" s="99">
        <f t="shared" si="0"/>
        <v>0</v>
      </c>
      <c r="BV63" s="99">
        <f t="shared" si="2"/>
        <v>1</v>
      </c>
      <c r="BW63" s="139" t="s">
        <v>1078</v>
      </c>
      <c r="BX63" s="139" t="s">
        <v>1079</v>
      </c>
      <c r="BY63" s="140">
        <v>1</v>
      </c>
      <c r="BZ63" s="140">
        <v>0</v>
      </c>
      <c r="CA63" s="99">
        <v>1000</v>
      </c>
      <c r="CB63" s="140" t="s">
        <v>603</v>
      </c>
      <c r="CC63" s="140">
        <v>0</v>
      </c>
      <c r="CD63" s="140"/>
      <c r="CE63" s="139" t="s">
        <v>1080</v>
      </c>
      <c r="CF63" s="139" t="s">
        <v>604</v>
      </c>
      <c r="CG63" s="139" t="s">
        <v>583</v>
      </c>
      <c r="CH63" s="139" t="s">
        <v>583</v>
      </c>
      <c r="CI63" s="139" t="s">
        <v>1074</v>
      </c>
      <c r="CJ63" s="140">
        <v>115</v>
      </c>
      <c r="CK63" s="140" t="s">
        <v>605</v>
      </c>
      <c r="CL63" s="140">
        <v>4000000</v>
      </c>
      <c r="CM63" s="99">
        <v>95</v>
      </c>
      <c r="CN63" s="140">
        <v>0</v>
      </c>
      <c r="CO63" s="139" t="s">
        <v>583</v>
      </c>
      <c r="CP63" s="139" t="s">
        <v>583</v>
      </c>
      <c r="CQ63" s="140">
        <v>1606.32</v>
      </c>
      <c r="CR63" s="140">
        <v>154238</v>
      </c>
      <c r="CS63" s="140">
        <v>0</v>
      </c>
      <c r="CT63" s="140">
        <v>1</v>
      </c>
      <c r="CU63" s="140">
        <v>154238.04</v>
      </c>
      <c r="CV63" s="99">
        <v>1745.08</v>
      </c>
      <c r="CW63" s="139" t="s">
        <v>606</v>
      </c>
      <c r="CX63" s="140">
        <v>18.37</v>
      </c>
      <c r="CY63" s="140"/>
      <c r="CZ63" s="140"/>
      <c r="DA63" s="140" t="s">
        <v>1081</v>
      </c>
      <c r="DB63" s="140">
        <v>1210</v>
      </c>
      <c r="DC63" s="140"/>
    </row>
    <row r="64" spans="2:107" ht="11.25" customHeight="1" x14ac:dyDescent="0.15">
      <c r="B64" s="139" t="s">
        <v>577</v>
      </c>
      <c r="C64" s="140" t="s">
        <v>1051</v>
      </c>
      <c r="D64" s="140">
        <v>7</v>
      </c>
      <c r="E64" s="139" t="s">
        <v>1082</v>
      </c>
      <c r="F64" s="139" t="s">
        <v>580</v>
      </c>
      <c r="G64" s="140" t="s">
        <v>1051</v>
      </c>
      <c r="H64" s="139" t="s">
        <v>1083</v>
      </c>
      <c r="I64" s="140" t="s">
        <v>421</v>
      </c>
      <c r="J64" s="139" t="s">
        <v>582</v>
      </c>
      <c r="K64" s="139" t="s">
        <v>583</v>
      </c>
      <c r="L64" s="139" t="s">
        <v>583</v>
      </c>
      <c r="M64" s="139" t="s">
        <v>583</v>
      </c>
      <c r="N64" s="139" t="s">
        <v>757</v>
      </c>
      <c r="O64" s="139" t="s">
        <v>1084</v>
      </c>
      <c r="P64" s="139" t="s">
        <v>583</v>
      </c>
      <c r="Q64" s="139" t="s">
        <v>583</v>
      </c>
      <c r="R64" s="140">
        <v>1</v>
      </c>
      <c r="S64" s="140">
        <v>0</v>
      </c>
      <c r="T64" s="140">
        <v>1</v>
      </c>
      <c r="U64" s="140">
        <v>4</v>
      </c>
      <c r="V64" s="139" t="s">
        <v>835</v>
      </c>
      <c r="W64" s="139" t="s">
        <v>836</v>
      </c>
      <c r="X64" s="139" t="s">
        <v>837</v>
      </c>
      <c r="Y64" s="139" t="s">
        <v>838</v>
      </c>
      <c r="Z64" s="139" t="s">
        <v>590</v>
      </c>
      <c r="AA64" s="139" t="s">
        <v>839</v>
      </c>
      <c r="AB64" s="139" t="s">
        <v>835</v>
      </c>
      <c r="AC64" s="139" t="s">
        <v>836</v>
      </c>
      <c r="AD64" s="139" t="s">
        <v>837</v>
      </c>
      <c r="AE64" s="139" t="s">
        <v>838</v>
      </c>
      <c r="AF64" s="139" t="s">
        <v>590</v>
      </c>
      <c r="AG64" s="139" t="s">
        <v>839</v>
      </c>
      <c r="AH64" s="139" t="s">
        <v>759</v>
      </c>
      <c r="AI64" s="139" t="s">
        <v>434</v>
      </c>
      <c r="AJ64" s="140">
        <v>3509512.73</v>
      </c>
      <c r="AK64" s="139" t="s">
        <v>835</v>
      </c>
      <c r="AL64" s="139" t="s">
        <v>836</v>
      </c>
      <c r="AM64" s="139" t="s">
        <v>837</v>
      </c>
      <c r="AN64" s="139" t="s">
        <v>838</v>
      </c>
      <c r="AO64" s="139" t="s">
        <v>590</v>
      </c>
      <c r="AP64" s="139" t="s">
        <v>839</v>
      </c>
      <c r="AQ64" s="139" t="s">
        <v>759</v>
      </c>
      <c r="AR64" s="139" t="s">
        <v>434</v>
      </c>
      <c r="AS64" s="139" t="s">
        <v>434</v>
      </c>
      <c r="AT64" s="139" t="s">
        <v>593</v>
      </c>
      <c r="AU64" s="139" t="s">
        <v>437</v>
      </c>
      <c r="AV64" s="140">
        <v>2</v>
      </c>
      <c r="AW64" s="139" t="s">
        <v>594</v>
      </c>
      <c r="AX64" s="139" t="s">
        <v>595</v>
      </c>
      <c r="AY64" s="139" t="s">
        <v>840</v>
      </c>
      <c r="AZ64" s="140">
        <v>1</v>
      </c>
      <c r="BA64" s="139" t="s">
        <v>597</v>
      </c>
      <c r="BB64" s="140">
        <v>35200</v>
      </c>
      <c r="BC64" s="140">
        <v>3379886</v>
      </c>
      <c r="BD64" s="140">
        <v>39707.379999999997</v>
      </c>
      <c r="BE64" s="140">
        <v>96.019499999999994</v>
      </c>
      <c r="BF64" s="139" t="s">
        <v>880</v>
      </c>
      <c r="BG64" s="139" t="s">
        <v>863</v>
      </c>
      <c r="BH64" s="139" t="s">
        <v>841</v>
      </c>
      <c r="BI64" s="139" t="s">
        <v>598</v>
      </c>
      <c r="BJ64" s="139" t="s">
        <v>624</v>
      </c>
      <c r="BK64" s="139" t="s">
        <v>1060</v>
      </c>
      <c r="BL64" s="139" t="s">
        <v>583</v>
      </c>
      <c r="BM64" s="139" t="s">
        <v>583</v>
      </c>
      <c r="BN64" s="139" t="s">
        <v>842</v>
      </c>
      <c r="BO64" s="139" t="s">
        <v>843</v>
      </c>
      <c r="BP64" s="139" t="s">
        <v>925</v>
      </c>
      <c r="BQ64" s="139" t="s">
        <v>723</v>
      </c>
      <c r="BR64" s="140">
        <v>1</v>
      </c>
      <c r="BS64" s="139" t="s">
        <v>1085</v>
      </c>
      <c r="BT64" s="99">
        <f t="shared" si="1"/>
        <v>1</v>
      </c>
      <c r="BU64" s="99">
        <f t="shared" si="0"/>
        <v>0</v>
      </c>
      <c r="BV64" s="99">
        <f t="shared" si="2"/>
        <v>1</v>
      </c>
      <c r="BW64" s="139" t="s">
        <v>602</v>
      </c>
      <c r="BX64" s="139" t="s">
        <v>845</v>
      </c>
      <c r="BY64" s="140">
        <v>4</v>
      </c>
      <c r="BZ64" s="140">
        <v>0</v>
      </c>
      <c r="CA64" s="99">
        <v>22000</v>
      </c>
      <c r="CB64" s="140" t="s">
        <v>603</v>
      </c>
      <c r="CC64" s="140">
        <v>0</v>
      </c>
      <c r="CD64" s="140"/>
      <c r="CE64" s="139" t="s">
        <v>577</v>
      </c>
      <c r="CF64" s="139" t="s">
        <v>604</v>
      </c>
      <c r="CG64" s="139" t="s">
        <v>583</v>
      </c>
      <c r="CH64" s="139" t="s">
        <v>583</v>
      </c>
      <c r="CI64" s="139" t="s">
        <v>759</v>
      </c>
      <c r="CJ64" s="140">
        <v>2310</v>
      </c>
      <c r="CK64" s="140" t="s">
        <v>605</v>
      </c>
      <c r="CL64" s="140">
        <v>4000000</v>
      </c>
      <c r="CM64" s="99">
        <v>2145</v>
      </c>
      <c r="CN64" s="140">
        <v>0</v>
      </c>
      <c r="CO64" s="139" t="s">
        <v>583</v>
      </c>
      <c r="CP64" s="139" t="s">
        <v>583</v>
      </c>
      <c r="CQ64" s="140">
        <v>35200</v>
      </c>
      <c r="CR64" s="140">
        <v>3379886</v>
      </c>
      <c r="CS64" s="140">
        <v>0</v>
      </c>
      <c r="CT64" s="140">
        <v>1</v>
      </c>
      <c r="CU64" s="140">
        <v>3509512.73</v>
      </c>
      <c r="CV64" s="99">
        <v>39707.379999999997</v>
      </c>
      <c r="CW64" s="139" t="s">
        <v>606</v>
      </c>
      <c r="CX64" s="140">
        <v>18.510000000000002</v>
      </c>
      <c r="CY64" s="140"/>
      <c r="CZ64" s="140"/>
      <c r="DA64" s="140" t="s">
        <v>846</v>
      </c>
      <c r="DB64" s="140">
        <v>1186</v>
      </c>
      <c r="DC64" s="140"/>
    </row>
    <row r="65" spans="2:107" ht="11.25" customHeight="1" x14ac:dyDescent="0.15">
      <c r="B65" s="139" t="s">
        <v>577</v>
      </c>
      <c r="C65" s="140" t="s">
        <v>1065</v>
      </c>
      <c r="D65" s="140">
        <v>7</v>
      </c>
      <c r="E65" s="139" t="s">
        <v>1086</v>
      </c>
      <c r="F65" s="139" t="s">
        <v>618</v>
      </c>
      <c r="G65" s="140" t="s">
        <v>1065</v>
      </c>
      <c r="H65" s="139" t="s">
        <v>1087</v>
      </c>
      <c r="I65" s="140" t="s">
        <v>421</v>
      </c>
      <c r="J65" s="139" t="s">
        <v>582</v>
      </c>
      <c r="K65" s="139" t="s">
        <v>583</v>
      </c>
      <c r="L65" s="139" t="s">
        <v>583</v>
      </c>
      <c r="M65" s="139" t="s">
        <v>583</v>
      </c>
      <c r="N65" s="139" t="s">
        <v>650</v>
      </c>
      <c r="O65" s="139" t="s">
        <v>1088</v>
      </c>
      <c r="P65" s="139" t="s">
        <v>583</v>
      </c>
      <c r="Q65" s="139" t="s">
        <v>583</v>
      </c>
      <c r="R65" s="140">
        <v>1</v>
      </c>
      <c r="S65" s="140">
        <v>0</v>
      </c>
      <c r="T65" s="140">
        <v>1</v>
      </c>
      <c r="U65" s="140">
        <v>223</v>
      </c>
      <c r="V65" s="139" t="s">
        <v>586</v>
      </c>
      <c r="W65" s="139" t="s">
        <v>587</v>
      </c>
      <c r="X65" s="139" t="s">
        <v>588</v>
      </c>
      <c r="Y65" s="139" t="s">
        <v>589</v>
      </c>
      <c r="Z65" s="139" t="s">
        <v>590</v>
      </c>
      <c r="AA65" s="139" t="s">
        <v>591</v>
      </c>
      <c r="AB65" s="139" t="s">
        <v>586</v>
      </c>
      <c r="AC65" s="139" t="s">
        <v>587</v>
      </c>
      <c r="AD65" s="139" t="s">
        <v>588</v>
      </c>
      <c r="AE65" s="139" t="s">
        <v>589</v>
      </c>
      <c r="AF65" s="139" t="s">
        <v>590</v>
      </c>
      <c r="AG65" s="139" t="s">
        <v>591</v>
      </c>
      <c r="AH65" s="139" t="s">
        <v>652</v>
      </c>
      <c r="AI65" s="139" t="s">
        <v>431</v>
      </c>
      <c r="AJ65" s="140">
        <v>28465748.93</v>
      </c>
      <c r="AK65" s="139" t="s">
        <v>586</v>
      </c>
      <c r="AL65" s="139" t="s">
        <v>587</v>
      </c>
      <c r="AM65" s="139" t="s">
        <v>588</v>
      </c>
      <c r="AN65" s="139" t="s">
        <v>589</v>
      </c>
      <c r="AO65" s="139" t="s">
        <v>590</v>
      </c>
      <c r="AP65" s="139" t="s">
        <v>591</v>
      </c>
      <c r="AQ65" s="139" t="s">
        <v>652</v>
      </c>
      <c r="AR65" s="139" t="s">
        <v>431</v>
      </c>
      <c r="AS65" s="139" t="s">
        <v>431</v>
      </c>
      <c r="AT65" s="139" t="s">
        <v>593</v>
      </c>
      <c r="AU65" s="139" t="s">
        <v>437</v>
      </c>
      <c r="AV65" s="140">
        <v>0</v>
      </c>
      <c r="AW65" s="139" t="s">
        <v>594</v>
      </c>
      <c r="AX65" s="139" t="s">
        <v>653</v>
      </c>
      <c r="AY65" s="139" t="s">
        <v>623</v>
      </c>
      <c r="AZ65" s="140">
        <v>1</v>
      </c>
      <c r="BA65" s="139" t="s">
        <v>597</v>
      </c>
      <c r="BB65" s="140">
        <v>296458</v>
      </c>
      <c r="BC65" s="140">
        <v>28465749</v>
      </c>
      <c r="BD65" s="140">
        <v>322067.57</v>
      </c>
      <c r="BE65" s="140">
        <v>96.019499999999994</v>
      </c>
      <c r="BF65" s="139" t="s">
        <v>880</v>
      </c>
      <c r="BG65" s="139" t="s">
        <v>582</v>
      </c>
      <c r="BH65" s="139" t="s">
        <v>970</v>
      </c>
      <c r="BI65" s="139" t="s">
        <v>598</v>
      </c>
      <c r="BJ65" s="139" t="s">
        <v>624</v>
      </c>
      <c r="BK65" s="139" t="s">
        <v>882</v>
      </c>
      <c r="BL65" s="139" t="s">
        <v>583</v>
      </c>
      <c r="BM65" s="139" t="s">
        <v>883</v>
      </c>
      <c r="BN65" s="139" t="s">
        <v>971</v>
      </c>
      <c r="BO65" s="139" t="s">
        <v>972</v>
      </c>
      <c r="BP65" s="139" t="s">
        <v>973</v>
      </c>
      <c r="BQ65" s="139" t="s">
        <v>625</v>
      </c>
      <c r="BR65" s="140">
        <v>1</v>
      </c>
      <c r="BS65" s="139" t="s">
        <v>1089</v>
      </c>
      <c r="BT65" s="99">
        <f t="shared" si="1"/>
        <v>0</v>
      </c>
      <c r="BU65" s="99">
        <f t="shared" si="0"/>
        <v>1</v>
      </c>
      <c r="BV65" s="99">
        <f t="shared" si="2"/>
        <v>1</v>
      </c>
      <c r="BW65" s="139" t="s">
        <v>655</v>
      </c>
      <c r="BX65" s="139" t="s">
        <v>656</v>
      </c>
      <c r="BY65" s="140">
        <v>223</v>
      </c>
      <c r="BZ65" s="140">
        <v>0</v>
      </c>
      <c r="CA65" s="99">
        <v>44600</v>
      </c>
      <c r="CB65" s="140" t="s">
        <v>603</v>
      </c>
      <c r="CC65" s="140">
        <v>0</v>
      </c>
      <c r="CD65" s="140"/>
      <c r="CE65" s="139" t="s">
        <v>577</v>
      </c>
      <c r="CF65" s="139" t="s">
        <v>604</v>
      </c>
      <c r="CG65" s="139" t="s">
        <v>583</v>
      </c>
      <c r="CH65" s="139" t="s">
        <v>583</v>
      </c>
      <c r="CI65" s="139" t="s">
        <v>652</v>
      </c>
      <c r="CJ65" s="140">
        <v>4683</v>
      </c>
      <c r="CK65" s="140" t="s">
        <v>657</v>
      </c>
      <c r="CL65" s="140">
        <v>4000000</v>
      </c>
      <c r="CM65" s="99">
        <v>4460</v>
      </c>
      <c r="CN65" s="140">
        <v>0</v>
      </c>
      <c r="CO65" s="139" t="s">
        <v>583</v>
      </c>
      <c r="CP65" s="139" t="s">
        <v>583</v>
      </c>
      <c r="CQ65" s="140">
        <v>296458</v>
      </c>
      <c r="CR65" s="140">
        <v>28465749</v>
      </c>
      <c r="CS65" s="140">
        <v>0</v>
      </c>
      <c r="CT65" s="140">
        <v>1</v>
      </c>
      <c r="CU65" s="140">
        <v>28465748.93</v>
      </c>
      <c r="CV65" s="99">
        <v>322067.57</v>
      </c>
      <c r="CW65" s="139" t="s">
        <v>606</v>
      </c>
      <c r="CX65" s="140">
        <v>72.209999999999994</v>
      </c>
      <c r="CY65" s="140"/>
      <c r="CZ65" s="140"/>
      <c r="DA65" s="140" t="s">
        <v>856</v>
      </c>
      <c r="DB65" s="140">
        <v>640</v>
      </c>
      <c r="DC65" s="140"/>
    </row>
    <row r="66" spans="2:107" ht="11.25" customHeight="1" x14ac:dyDescent="0.15">
      <c r="B66" s="139" t="s">
        <v>577</v>
      </c>
      <c r="C66" s="140" t="s">
        <v>1065</v>
      </c>
      <c r="D66" s="140">
        <v>7</v>
      </c>
      <c r="E66" s="139" t="s">
        <v>1090</v>
      </c>
      <c r="F66" s="139" t="s">
        <v>618</v>
      </c>
      <c r="G66" s="140" t="s">
        <v>1065</v>
      </c>
      <c r="H66" s="139" t="s">
        <v>1091</v>
      </c>
      <c r="I66" s="140" t="s">
        <v>421</v>
      </c>
      <c r="J66" s="139" t="s">
        <v>582</v>
      </c>
      <c r="K66" s="139" t="s">
        <v>583</v>
      </c>
      <c r="L66" s="139" t="s">
        <v>583</v>
      </c>
      <c r="M66" s="139" t="s">
        <v>583</v>
      </c>
      <c r="N66" s="139" t="s">
        <v>441</v>
      </c>
      <c r="O66" s="139" t="s">
        <v>630</v>
      </c>
      <c r="P66" s="139" t="s">
        <v>583</v>
      </c>
      <c r="Q66" s="139" t="s">
        <v>583</v>
      </c>
      <c r="R66" s="140">
        <v>1</v>
      </c>
      <c r="S66" s="140">
        <v>0</v>
      </c>
      <c r="T66" s="140">
        <v>1</v>
      </c>
      <c r="U66" s="140">
        <v>150</v>
      </c>
      <c r="V66" s="139" t="s">
        <v>679</v>
      </c>
      <c r="W66" s="139" t="s">
        <v>680</v>
      </c>
      <c r="X66" s="139" t="s">
        <v>681</v>
      </c>
      <c r="Y66" s="139" t="s">
        <v>682</v>
      </c>
      <c r="Z66" s="139" t="s">
        <v>683</v>
      </c>
      <c r="AA66" s="139" t="s">
        <v>684</v>
      </c>
      <c r="AB66" s="139" t="s">
        <v>679</v>
      </c>
      <c r="AC66" s="139" t="s">
        <v>680</v>
      </c>
      <c r="AD66" s="139" t="s">
        <v>681</v>
      </c>
      <c r="AE66" s="139" t="s">
        <v>682</v>
      </c>
      <c r="AF66" s="139" t="s">
        <v>683</v>
      </c>
      <c r="AG66" s="139" t="s">
        <v>684</v>
      </c>
      <c r="AH66" s="139" t="s">
        <v>621</v>
      </c>
      <c r="AI66" s="139" t="s">
        <v>430</v>
      </c>
      <c r="AJ66" s="140">
        <v>4320877.5</v>
      </c>
      <c r="AK66" s="139" t="s">
        <v>679</v>
      </c>
      <c r="AL66" s="139" t="s">
        <v>680</v>
      </c>
      <c r="AM66" s="139" t="s">
        <v>681</v>
      </c>
      <c r="AN66" s="139" t="s">
        <v>682</v>
      </c>
      <c r="AO66" s="139" t="s">
        <v>683</v>
      </c>
      <c r="AP66" s="139" t="s">
        <v>684</v>
      </c>
      <c r="AQ66" s="139" t="s">
        <v>621</v>
      </c>
      <c r="AR66" s="139" t="s">
        <v>430</v>
      </c>
      <c r="AS66" s="139" t="s">
        <v>430</v>
      </c>
      <c r="AT66" s="139" t="s">
        <v>593</v>
      </c>
      <c r="AU66" s="139" t="s">
        <v>437</v>
      </c>
      <c r="AV66" s="140">
        <v>0</v>
      </c>
      <c r="AW66" s="139" t="s">
        <v>594</v>
      </c>
      <c r="AX66" s="139" t="s">
        <v>622</v>
      </c>
      <c r="AY66" s="139" t="s">
        <v>623</v>
      </c>
      <c r="AZ66" s="140">
        <v>1</v>
      </c>
      <c r="BA66" s="139" t="s">
        <v>597</v>
      </c>
      <c r="BB66" s="140">
        <v>45000</v>
      </c>
      <c r="BC66" s="140">
        <v>4320878</v>
      </c>
      <c r="BD66" s="140">
        <v>48887.33</v>
      </c>
      <c r="BE66" s="140">
        <v>96.019499999999994</v>
      </c>
      <c r="BF66" s="139" t="s">
        <v>880</v>
      </c>
      <c r="BG66" s="139" t="s">
        <v>582</v>
      </c>
      <c r="BH66" s="139" t="s">
        <v>900</v>
      </c>
      <c r="BI66" s="139" t="s">
        <v>598</v>
      </c>
      <c r="BJ66" s="139" t="s">
        <v>624</v>
      </c>
      <c r="BK66" s="139" t="s">
        <v>882</v>
      </c>
      <c r="BL66" s="139" t="s">
        <v>583</v>
      </c>
      <c r="BM66" s="139" t="s">
        <v>883</v>
      </c>
      <c r="BN66" s="139" t="s">
        <v>583</v>
      </c>
      <c r="BO66" s="139" t="s">
        <v>623</v>
      </c>
      <c r="BP66" s="139" t="s">
        <v>884</v>
      </c>
      <c r="BQ66" s="139" t="s">
        <v>625</v>
      </c>
      <c r="BR66" s="140">
        <v>1</v>
      </c>
      <c r="BS66" s="139" t="s">
        <v>685</v>
      </c>
      <c r="BT66" s="99">
        <f t="shared" si="1"/>
        <v>0</v>
      </c>
      <c r="BU66" s="99">
        <f t="shared" si="0"/>
        <v>1</v>
      </c>
      <c r="BV66" s="99">
        <f t="shared" si="2"/>
        <v>1</v>
      </c>
      <c r="BW66" s="139" t="s">
        <v>635</v>
      </c>
      <c r="BX66" s="139" t="s">
        <v>441</v>
      </c>
      <c r="BY66" s="140">
        <v>150</v>
      </c>
      <c r="BZ66" s="140">
        <v>0</v>
      </c>
      <c r="CA66" s="99">
        <v>30000</v>
      </c>
      <c r="CB66" s="140" t="s">
        <v>603</v>
      </c>
      <c r="CC66" s="140">
        <v>0</v>
      </c>
      <c r="CD66" s="140"/>
      <c r="CE66" s="139" t="s">
        <v>577</v>
      </c>
      <c r="CF66" s="139" t="s">
        <v>604</v>
      </c>
      <c r="CG66" s="139" t="s">
        <v>583</v>
      </c>
      <c r="CH66" s="139" t="s">
        <v>583</v>
      </c>
      <c r="CI66" s="139" t="s">
        <v>621</v>
      </c>
      <c r="CJ66" s="140">
        <v>3000</v>
      </c>
      <c r="CK66" s="140" t="s">
        <v>605</v>
      </c>
      <c r="CL66" s="140">
        <v>4000000</v>
      </c>
      <c r="CM66" s="99">
        <v>2700</v>
      </c>
      <c r="CN66" s="140">
        <v>0</v>
      </c>
      <c r="CO66" s="139" t="s">
        <v>583</v>
      </c>
      <c r="CP66" s="139" t="s">
        <v>583</v>
      </c>
      <c r="CQ66" s="140">
        <v>45000</v>
      </c>
      <c r="CR66" s="140">
        <v>4320878</v>
      </c>
      <c r="CS66" s="140">
        <v>0</v>
      </c>
      <c r="CT66" s="140">
        <v>1</v>
      </c>
      <c r="CU66" s="140">
        <v>4320877.5</v>
      </c>
      <c r="CV66" s="99">
        <v>48887.33</v>
      </c>
      <c r="CW66" s="139" t="s">
        <v>606</v>
      </c>
      <c r="CX66" s="140">
        <v>18.11</v>
      </c>
      <c r="CY66" s="140"/>
      <c r="CZ66" s="140"/>
      <c r="DA66" s="140" t="s">
        <v>902</v>
      </c>
      <c r="DB66" s="140">
        <v>640</v>
      </c>
      <c r="DC66" s="140"/>
    </row>
    <row r="67" spans="2:107" ht="11.25" customHeight="1" x14ac:dyDescent="0.15">
      <c r="B67" s="139" t="s">
        <v>594</v>
      </c>
      <c r="C67" s="140" t="s">
        <v>1065</v>
      </c>
      <c r="D67" s="140">
        <v>7</v>
      </c>
      <c r="E67" s="139" t="s">
        <v>1092</v>
      </c>
      <c r="F67" s="139" t="s">
        <v>580</v>
      </c>
      <c r="G67" s="140" t="s">
        <v>1093</v>
      </c>
      <c r="H67" s="139" t="s">
        <v>1094</v>
      </c>
      <c r="I67" s="140" t="s">
        <v>421</v>
      </c>
      <c r="J67" s="139" t="s">
        <v>582</v>
      </c>
      <c r="K67" s="139" t="s">
        <v>583</v>
      </c>
      <c r="L67" s="139" t="s">
        <v>583</v>
      </c>
      <c r="M67" s="139" t="s">
        <v>583</v>
      </c>
      <c r="N67" s="139" t="s">
        <v>757</v>
      </c>
      <c r="O67" s="139" t="s">
        <v>758</v>
      </c>
      <c r="P67" s="139" t="s">
        <v>583</v>
      </c>
      <c r="Q67" s="139" t="s">
        <v>583</v>
      </c>
      <c r="R67" s="140">
        <v>1</v>
      </c>
      <c r="S67" s="140">
        <v>0</v>
      </c>
      <c r="T67" s="140">
        <v>1</v>
      </c>
      <c r="U67" s="140">
        <v>4</v>
      </c>
      <c r="V67" s="139" t="s">
        <v>835</v>
      </c>
      <c r="W67" s="139" t="s">
        <v>836</v>
      </c>
      <c r="X67" s="139" t="s">
        <v>837</v>
      </c>
      <c r="Y67" s="139" t="s">
        <v>838</v>
      </c>
      <c r="Z67" s="139" t="s">
        <v>590</v>
      </c>
      <c r="AA67" s="139" t="s">
        <v>839</v>
      </c>
      <c r="AB67" s="139" t="s">
        <v>835</v>
      </c>
      <c r="AC67" s="139" t="s">
        <v>836</v>
      </c>
      <c r="AD67" s="139" t="s">
        <v>837</v>
      </c>
      <c r="AE67" s="139" t="s">
        <v>838</v>
      </c>
      <c r="AF67" s="139" t="s">
        <v>590</v>
      </c>
      <c r="AG67" s="139" t="s">
        <v>839</v>
      </c>
      <c r="AH67" s="139" t="s">
        <v>759</v>
      </c>
      <c r="AI67" s="139" t="s">
        <v>434</v>
      </c>
      <c r="AJ67" s="140">
        <v>3509512.73</v>
      </c>
      <c r="AK67" s="139" t="s">
        <v>835</v>
      </c>
      <c r="AL67" s="139" t="s">
        <v>836</v>
      </c>
      <c r="AM67" s="139" t="s">
        <v>837</v>
      </c>
      <c r="AN67" s="139" t="s">
        <v>838</v>
      </c>
      <c r="AO67" s="139" t="s">
        <v>590</v>
      </c>
      <c r="AP67" s="139" t="s">
        <v>839</v>
      </c>
      <c r="AQ67" s="139" t="s">
        <v>759</v>
      </c>
      <c r="AR67" s="139" t="s">
        <v>434</v>
      </c>
      <c r="AS67" s="139" t="s">
        <v>434</v>
      </c>
      <c r="AT67" s="139" t="s">
        <v>593</v>
      </c>
      <c r="AU67" s="139" t="s">
        <v>437</v>
      </c>
      <c r="AV67" s="140">
        <v>2</v>
      </c>
      <c r="AW67" s="139" t="s">
        <v>594</v>
      </c>
      <c r="AX67" s="139" t="s">
        <v>595</v>
      </c>
      <c r="AY67" s="139" t="s">
        <v>840</v>
      </c>
      <c r="AZ67" s="140">
        <v>1</v>
      </c>
      <c r="BA67" s="139" t="s">
        <v>597</v>
      </c>
      <c r="BB67" s="140">
        <v>35200</v>
      </c>
      <c r="BC67" s="140">
        <v>3379886</v>
      </c>
      <c r="BD67" s="140">
        <v>39707.379999999997</v>
      </c>
      <c r="BE67" s="140">
        <v>96.019499999999994</v>
      </c>
      <c r="BF67" s="139" t="s">
        <v>880</v>
      </c>
      <c r="BG67" s="139" t="s">
        <v>863</v>
      </c>
      <c r="BH67" s="139" t="s">
        <v>841</v>
      </c>
      <c r="BI67" s="139" t="s">
        <v>598</v>
      </c>
      <c r="BJ67" s="139" t="s">
        <v>599</v>
      </c>
      <c r="BK67" s="139" t="s">
        <v>583</v>
      </c>
      <c r="BL67" s="139" t="s">
        <v>583</v>
      </c>
      <c r="BM67" s="139" t="s">
        <v>583</v>
      </c>
      <c r="BN67" s="139" t="s">
        <v>842</v>
      </c>
      <c r="BO67" s="139" t="s">
        <v>843</v>
      </c>
      <c r="BP67" s="139" t="s">
        <v>925</v>
      </c>
      <c r="BQ67" s="139" t="s">
        <v>723</v>
      </c>
      <c r="BR67" s="140">
        <v>1</v>
      </c>
      <c r="BS67" s="139" t="s">
        <v>1095</v>
      </c>
      <c r="BT67" s="99">
        <f t="shared" si="1"/>
        <v>1</v>
      </c>
      <c r="BU67" s="99">
        <f t="shared" si="1"/>
        <v>0</v>
      </c>
      <c r="BV67" s="99">
        <f t="shared" si="2"/>
        <v>1</v>
      </c>
      <c r="BW67" s="139" t="s">
        <v>602</v>
      </c>
      <c r="BX67" s="139" t="s">
        <v>845</v>
      </c>
      <c r="BY67" s="140">
        <v>4</v>
      </c>
      <c r="BZ67" s="140">
        <v>0</v>
      </c>
      <c r="CA67" s="99">
        <v>22000</v>
      </c>
      <c r="CB67" s="140" t="s">
        <v>603</v>
      </c>
      <c r="CC67" s="140">
        <v>0</v>
      </c>
      <c r="CD67" s="140"/>
      <c r="CE67" s="139" t="s">
        <v>577</v>
      </c>
      <c r="CF67" s="139" t="s">
        <v>604</v>
      </c>
      <c r="CG67" s="139" t="s">
        <v>583</v>
      </c>
      <c r="CH67" s="139" t="s">
        <v>583</v>
      </c>
      <c r="CI67" s="139" t="s">
        <v>759</v>
      </c>
      <c r="CJ67" s="140">
        <v>2310</v>
      </c>
      <c r="CK67" s="140" t="s">
        <v>605</v>
      </c>
      <c r="CL67" s="140">
        <v>4000000</v>
      </c>
      <c r="CM67" s="99">
        <v>2145</v>
      </c>
      <c r="CN67" s="140">
        <v>0</v>
      </c>
      <c r="CO67" s="139" t="s">
        <v>583</v>
      </c>
      <c r="CP67" s="139" t="s">
        <v>583</v>
      </c>
      <c r="CQ67" s="140">
        <v>35200</v>
      </c>
      <c r="CR67" s="140">
        <v>3379886</v>
      </c>
      <c r="CS67" s="140">
        <v>0</v>
      </c>
      <c r="CT67" s="140">
        <v>1</v>
      </c>
      <c r="CU67" s="140">
        <v>3509512.73</v>
      </c>
      <c r="CV67" s="99">
        <v>39707.379999999997</v>
      </c>
      <c r="CW67" s="139" t="s">
        <v>1096</v>
      </c>
      <c r="CX67" s="140">
        <v>18.510000000000002</v>
      </c>
      <c r="CY67" s="140"/>
      <c r="CZ67" s="140"/>
      <c r="DA67" s="140" t="s">
        <v>846</v>
      </c>
      <c r="DB67" s="140">
        <v>1442</v>
      </c>
      <c r="DC67" s="140"/>
    </row>
    <row r="68" spans="2:107" ht="11.25" customHeight="1" x14ac:dyDescent="0.15">
      <c r="B68" s="139" t="s">
        <v>577</v>
      </c>
      <c r="C68" s="140" t="s">
        <v>1065</v>
      </c>
      <c r="D68" s="140">
        <v>7</v>
      </c>
      <c r="E68" s="139" t="s">
        <v>1097</v>
      </c>
      <c r="F68" s="139" t="s">
        <v>580</v>
      </c>
      <c r="G68" s="140" t="s">
        <v>1065</v>
      </c>
      <c r="H68" s="139" t="s">
        <v>1098</v>
      </c>
      <c r="I68" s="140" t="s">
        <v>421</v>
      </c>
      <c r="J68" s="139" t="s">
        <v>582</v>
      </c>
      <c r="K68" s="139" t="s">
        <v>583</v>
      </c>
      <c r="L68" s="139" t="s">
        <v>583</v>
      </c>
      <c r="M68" s="139" t="s">
        <v>583</v>
      </c>
      <c r="N68" s="139" t="s">
        <v>731</v>
      </c>
      <c r="O68" s="139" t="s">
        <v>1099</v>
      </c>
      <c r="P68" s="139" t="s">
        <v>583</v>
      </c>
      <c r="Q68" s="139" t="s">
        <v>583</v>
      </c>
      <c r="R68" s="140">
        <v>1</v>
      </c>
      <c r="S68" s="140">
        <v>0</v>
      </c>
      <c r="T68" s="140">
        <v>1</v>
      </c>
      <c r="U68" s="140">
        <v>528</v>
      </c>
      <c r="V68" s="139" t="s">
        <v>586</v>
      </c>
      <c r="W68" s="139" t="s">
        <v>587</v>
      </c>
      <c r="X68" s="139" t="s">
        <v>588</v>
      </c>
      <c r="Y68" s="139" t="s">
        <v>589</v>
      </c>
      <c r="Z68" s="139" t="s">
        <v>590</v>
      </c>
      <c r="AA68" s="139" t="s">
        <v>591</v>
      </c>
      <c r="AB68" s="139" t="s">
        <v>586</v>
      </c>
      <c r="AC68" s="139" t="s">
        <v>587</v>
      </c>
      <c r="AD68" s="139" t="s">
        <v>588</v>
      </c>
      <c r="AE68" s="139" t="s">
        <v>589</v>
      </c>
      <c r="AF68" s="139" t="s">
        <v>590</v>
      </c>
      <c r="AG68" s="139" t="s">
        <v>591</v>
      </c>
      <c r="AH68" s="139" t="s">
        <v>733</v>
      </c>
      <c r="AI68" s="139" t="s">
        <v>432</v>
      </c>
      <c r="AJ68" s="140">
        <v>18251386.559999999</v>
      </c>
      <c r="AK68" s="139" t="s">
        <v>586</v>
      </c>
      <c r="AL68" s="139" t="s">
        <v>587</v>
      </c>
      <c r="AM68" s="139" t="s">
        <v>588</v>
      </c>
      <c r="AN68" s="139" t="s">
        <v>589</v>
      </c>
      <c r="AO68" s="139" t="s">
        <v>590</v>
      </c>
      <c r="AP68" s="139" t="s">
        <v>591</v>
      </c>
      <c r="AQ68" s="139" t="s">
        <v>733</v>
      </c>
      <c r="AR68" s="139" t="s">
        <v>432</v>
      </c>
      <c r="AS68" s="139" t="s">
        <v>432</v>
      </c>
      <c r="AT68" s="139" t="s">
        <v>593</v>
      </c>
      <c r="AU68" s="139" t="s">
        <v>437</v>
      </c>
      <c r="AV68" s="140">
        <v>2</v>
      </c>
      <c r="AW68" s="139" t="s">
        <v>594</v>
      </c>
      <c r="AX68" s="139" t="s">
        <v>653</v>
      </c>
      <c r="AY68" s="139" t="s">
        <v>850</v>
      </c>
      <c r="AZ68" s="140">
        <v>1</v>
      </c>
      <c r="BA68" s="139" t="s">
        <v>597</v>
      </c>
      <c r="BB68" s="140">
        <v>190080</v>
      </c>
      <c r="BC68" s="140">
        <v>18251387</v>
      </c>
      <c r="BD68" s="140">
        <v>206500.09</v>
      </c>
      <c r="BE68" s="140">
        <v>96.019499999999994</v>
      </c>
      <c r="BF68" s="139" t="s">
        <v>880</v>
      </c>
      <c r="BG68" s="139" t="s">
        <v>583</v>
      </c>
      <c r="BH68" s="139" t="s">
        <v>987</v>
      </c>
      <c r="BI68" s="139" t="s">
        <v>598</v>
      </c>
      <c r="BJ68" s="139" t="s">
        <v>1100</v>
      </c>
      <c r="BK68" s="139" t="s">
        <v>1101</v>
      </c>
      <c r="BL68" s="139" t="s">
        <v>1101</v>
      </c>
      <c r="BM68" s="139" t="s">
        <v>583</v>
      </c>
      <c r="BN68" s="139" t="s">
        <v>1102</v>
      </c>
      <c r="BO68" s="139" t="s">
        <v>1103</v>
      </c>
      <c r="BP68" s="139" t="s">
        <v>1104</v>
      </c>
      <c r="BQ68" s="139" t="s">
        <v>600</v>
      </c>
      <c r="BR68" s="140">
        <v>1</v>
      </c>
      <c r="BS68" s="139" t="s">
        <v>988</v>
      </c>
      <c r="BT68" s="99">
        <f t="shared" ref="BT68:BU87" si="3">MIN(1,IFERROR(SEARCH(BT$2,$BS68),0))</f>
        <v>0</v>
      </c>
      <c r="BU68" s="99">
        <f t="shared" si="3"/>
        <v>1</v>
      </c>
      <c r="BV68" s="99">
        <f t="shared" ref="BV68:BV131" si="4">MAX(BT68,BU68)</f>
        <v>1</v>
      </c>
      <c r="BW68" s="139" t="s">
        <v>602</v>
      </c>
      <c r="BX68" s="139" t="s">
        <v>731</v>
      </c>
      <c r="BY68" s="140">
        <v>528</v>
      </c>
      <c r="BZ68" s="140">
        <v>0</v>
      </c>
      <c r="CA68" s="99">
        <v>105600</v>
      </c>
      <c r="CB68" s="140" t="s">
        <v>603</v>
      </c>
      <c r="CC68" s="140">
        <v>0</v>
      </c>
      <c r="CD68" s="140"/>
      <c r="CE68" s="139" t="s">
        <v>577</v>
      </c>
      <c r="CF68" s="139" t="s">
        <v>604</v>
      </c>
      <c r="CG68" s="139" t="s">
        <v>583</v>
      </c>
      <c r="CH68" s="139" t="s">
        <v>583</v>
      </c>
      <c r="CI68" s="139" t="s">
        <v>733</v>
      </c>
      <c r="CJ68" s="140">
        <v>11616</v>
      </c>
      <c r="CK68" s="140" t="s">
        <v>605</v>
      </c>
      <c r="CL68" s="140">
        <v>4000000</v>
      </c>
      <c r="CM68" s="99">
        <v>10560</v>
      </c>
      <c r="CN68" s="140">
        <v>0</v>
      </c>
      <c r="CO68" s="139" t="s">
        <v>583</v>
      </c>
      <c r="CP68" s="139" t="s">
        <v>583</v>
      </c>
      <c r="CQ68" s="140">
        <v>190080</v>
      </c>
      <c r="CR68" s="140">
        <v>18251387</v>
      </c>
      <c r="CS68" s="140">
        <v>0</v>
      </c>
      <c r="CT68" s="140">
        <v>1</v>
      </c>
      <c r="CU68" s="140">
        <v>18251386.559999999</v>
      </c>
      <c r="CV68" s="99">
        <v>206500.09</v>
      </c>
      <c r="CW68" s="139" t="s">
        <v>606</v>
      </c>
      <c r="CX68" s="140">
        <v>19.55</v>
      </c>
      <c r="CY68" s="140"/>
      <c r="CZ68" s="140"/>
      <c r="DA68" s="140" t="s">
        <v>856</v>
      </c>
      <c r="DB68" s="140">
        <v>1326</v>
      </c>
      <c r="DC68" s="140"/>
    </row>
    <row r="69" spans="2:107" ht="11.25" customHeight="1" x14ac:dyDescent="0.15">
      <c r="B69" s="139" t="s">
        <v>577</v>
      </c>
      <c r="C69" s="140" t="s">
        <v>1093</v>
      </c>
      <c r="D69" s="140">
        <v>7</v>
      </c>
      <c r="E69" s="139" t="s">
        <v>1105</v>
      </c>
      <c r="F69" s="139" t="s">
        <v>618</v>
      </c>
      <c r="G69" s="140" t="s">
        <v>1093</v>
      </c>
      <c r="H69" s="139" t="s">
        <v>1106</v>
      </c>
      <c r="I69" s="140" t="s">
        <v>421</v>
      </c>
      <c r="J69" s="139" t="s">
        <v>582</v>
      </c>
      <c r="K69" s="139" t="s">
        <v>583</v>
      </c>
      <c r="L69" s="139" t="s">
        <v>583</v>
      </c>
      <c r="M69" s="139" t="s">
        <v>583</v>
      </c>
      <c r="N69" s="139" t="s">
        <v>441</v>
      </c>
      <c r="O69" s="139" t="s">
        <v>1107</v>
      </c>
      <c r="P69" s="139" t="s">
        <v>583</v>
      </c>
      <c r="Q69" s="139" t="s">
        <v>583</v>
      </c>
      <c r="R69" s="140">
        <v>1</v>
      </c>
      <c r="S69" s="140">
        <v>0</v>
      </c>
      <c r="T69" s="140">
        <v>1</v>
      </c>
      <c r="U69" s="140">
        <v>120</v>
      </c>
      <c r="V69" s="139" t="s">
        <v>640</v>
      </c>
      <c r="W69" s="139" t="s">
        <v>641</v>
      </c>
      <c r="X69" s="139" t="s">
        <v>642</v>
      </c>
      <c r="Y69" s="139" t="s">
        <v>643</v>
      </c>
      <c r="Z69" s="139" t="s">
        <v>644</v>
      </c>
      <c r="AA69" s="139" t="s">
        <v>645</v>
      </c>
      <c r="AB69" s="139" t="s">
        <v>640</v>
      </c>
      <c r="AC69" s="139" t="s">
        <v>641</v>
      </c>
      <c r="AD69" s="139" t="s">
        <v>642</v>
      </c>
      <c r="AE69" s="139" t="s">
        <v>643</v>
      </c>
      <c r="AF69" s="139" t="s">
        <v>644</v>
      </c>
      <c r="AG69" s="139" t="s">
        <v>645</v>
      </c>
      <c r="AH69" s="139" t="s">
        <v>621</v>
      </c>
      <c r="AI69" s="139" t="s">
        <v>430</v>
      </c>
      <c r="AJ69" s="140">
        <v>3502791.36</v>
      </c>
      <c r="AK69" s="139" t="s">
        <v>640</v>
      </c>
      <c r="AL69" s="139" t="s">
        <v>641</v>
      </c>
      <c r="AM69" s="139" t="s">
        <v>642</v>
      </c>
      <c r="AN69" s="139" t="s">
        <v>643</v>
      </c>
      <c r="AO69" s="139" t="s">
        <v>644</v>
      </c>
      <c r="AP69" s="139" t="s">
        <v>645</v>
      </c>
      <c r="AQ69" s="139" t="s">
        <v>621</v>
      </c>
      <c r="AR69" s="139" t="s">
        <v>430</v>
      </c>
      <c r="AS69" s="139" t="s">
        <v>430</v>
      </c>
      <c r="AT69" s="139" t="s">
        <v>593</v>
      </c>
      <c r="AU69" s="139" t="s">
        <v>437</v>
      </c>
      <c r="AV69" s="140">
        <v>0</v>
      </c>
      <c r="AW69" s="139" t="s">
        <v>594</v>
      </c>
      <c r="AX69" s="139" t="s">
        <v>622</v>
      </c>
      <c r="AY69" s="139" t="s">
        <v>646</v>
      </c>
      <c r="AZ69" s="140">
        <v>1</v>
      </c>
      <c r="BA69" s="139" t="s">
        <v>597</v>
      </c>
      <c r="BB69" s="140">
        <v>36480</v>
      </c>
      <c r="BC69" s="140">
        <v>3502791</v>
      </c>
      <c r="BD69" s="140">
        <v>39631.33</v>
      </c>
      <c r="BE69" s="140">
        <v>96.019499999999994</v>
      </c>
      <c r="BF69" s="139" t="s">
        <v>880</v>
      </c>
      <c r="BG69" s="139" t="s">
        <v>582</v>
      </c>
      <c r="BH69" s="139" t="s">
        <v>938</v>
      </c>
      <c r="BI69" s="139" t="s">
        <v>598</v>
      </c>
      <c r="BJ69" s="139" t="s">
        <v>624</v>
      </c>
      <c r="BK69" s="139" t="s">
        <v>882</v>
      </c>
      <c r="BL69" s="139" t="s">
        <v>583</v>
      </c>
      <c r="BM69" s="139" t="s">
        <v>939</v>
      </c>
      <c r="BN69" s="139" t="s">
        <v>583</v>
      </c>
      <c r="BO69" s="139" t="s">
        <v>623</v>
      </c>
      <c r="BP69" s="139" t="s">
        <v>884</v>
      </c>
      <c r="BQ69" s="139" t="s">
        <v>625</v>
      </c>
      <c r="BR69" s="140">
        <v>1</v>
      </c>
      <c r="BS69" s="139" t="s">
        <v>1108</v>
      </c>
      <c r="BT69" s="99">
        <f t="shared" si="3"/>
        <v>0</v>
      </c>
      <c r="BU69" s="99">
        <f t="shared" si="3"/>
        <v>0</v>
      </c>
      <c r="BV69" s="99">
        <f t="shared" si="4"/>
        <v>0</v>
      </c>
      <c r="BW69" s="139" t="s">
        <v>446</v>
      </c>
      <c r="BX69" s="139" t="s">
        <v>441</v>
      </c>
      <c r="BY69" s="140">
        <v>120</v>
      </c>
      <c r="BZ69" s="140">
        <v>0</v>
      </c>
      <c r="CA69" s="99">
        <v>24000</v>
      </c>
      <c r="CB69" s="140" t="s">
        <v>603</v>
      </c>
      <c r="CC69" s="140">
        <v>0</v>
      </c>
      <c r="CD69" s="140"/>
      <c r="CE69" s="139" t="s">
        <v>577</v>
      </c>
      <c r="CF69" s="139" t="s">
        <v>604</v>
      </c>
      <c r="CG69" s="139" t="s">
        <v>583</v>
      </c>
      <c r="CH69" s="139" t="s">
        <v>583</v>
      </c>
      <c r="CI69" s="139" t="s">
        <v>621</v>
      </c>
      <c r="CJ69" s="140">
        <v>2482</v>
      </c>
      <c r="CK69" s="140" t="s">
        <v>605</v>
      </c>
      <c r="CL69" s="140">
        <v>4000000</v>
      </c>
      <c r="CM69" s="99">
        <v>2160</v>
      </c>
      <c r="CN69" s="140">
        <v>0</v>
      </c>
      <c r="CO69" s="139" t="s">
        <v>583</v>
      </c>
      <c r="CP69" s="139" t="s">
        <v>583</v>
      </c>
      <c r="CQ69" s="140">
        <v>36480</v>
      </c>
      <c r="CR69" s="140">
        <v>3502791</v>
      </c>
      <c r="CS69" s="140">
        <v>0</v>
      </c>
      <c r="CT69" s="140">
        <v>1</v>
      </c>
      <c r="CU69" s="140">
        <v>3502791.36</v>
      </c>
      <c r="CV69" s="99">
        <v>39631.33</v>
      </c>
      <c r="CW69" s="139" t="s">
        <v>606</v>
      </c>
      <c r="CX69" s="140">
        <v>18.350000000000001</v>
      </c>
      <c r="CY69" s="140"/>
      <c r="CZ69" s="140"/>
      <c r="DA69" s="140" t="s">
        <v>941</v>
      </c>
      <c r="DB69" s="140">
        <v>770</v>
      </c>
      <c r="DC69" s="140"/>
    </row>
    <row r="70" spans="2:107" ht="11.25" customHeight="1" x14ac:dyDescent="0.15">
      <c r="B70" s="139" t="s">
        <v>577</v>
      </c>
      <c r="C70" s="140" t="s">
        <v>1093</v>
      </c>
      <c r="D70" s="140">
        <v>7</v>
      </c>
      <c r="E70" s="139" t="s">
        <v>1109</v>
      </c>
      <c r="F70" s="139" t="s">
        <v>729</v>
      </c>
      <c r="G70" s="140" t="s">
        <v>1093</v>
      </c>
      <c r="H70" s="139" t="s">
        <v>1110</v>
      </c>
      <c r="I70" s="140" t="s">
        <v>421</v>
      </c>
      <c r="J70" s="139" t="s">
        <v>582</v>
      </c>
      <c r="K70" s="139" t="s">
        <v>583</v>
      </c>
      <c r="L70" s="139" t="s">
        <v>583</v>
      </c>
      <c r="M70" s="139" t="s">
        <v>583</v>
      </c>
      <c r="N70" s="139" t="s">
        <v>778</v>
      </c>
      <c r="O70" s="139" t="s">
        <v>1111</v>
      </c>
      <c r="P70" s="139" t="s">
        <v>583</v>
      </c>
      <c r="Q70" s="139" t="s">
        <v>583</v>
      </c>
      <c r="R70" s="140">
        <v>1</v>
      </c>
      <c r="S70" s="140">
        <v>0</v>
      </c>
      <c r="T70" s="140">
        <v>1</v>
      </c>
      <c r="U70" s="140">
        <v>380</v>
      </c>
      <c r="V70" s="139" t="s">
        <v>691</v>
      </c>
      <c r="W70" s="139" t="s">
        <v>692</v>
      </c>
      <c r="X70" s="139" t="s">
        <v>693</v>
      </c>
      <c r="Y70" s="139" t="s">
        <v>694</v>
      </c>
      <c r="Z70" s="139" t="s">
        <v>695</v>
      </c>
      <c r="AA70" s="139" t="s">
        <v>696</v>
      </c>
      <c r="AB70" s="139" t="s">
        <v>691</v>
      </c>
      <c r="AC70" s="139" t="s">
        <v>692</v>
      </c>
      <c r="AD70" s="139" t="s">
        <v>693</v>
      </c>
      <c r="AE70" s="139" t="s">
        <v>694</v>
      </c>
      <c r="AF70" s="139" t="s">
        <v>695</v>
      </c>
      <c r="AG70" s="139" t="s">
        <v>696</v>
      </c>
      <c r="AH70" s="139" t="s">
        <v>751</v>
      </c>
      <c r="AI70" s="139" t="s">
        <v>433</v>
      </c>
      <c r="AJ70" s="140">
        <v>12488526.619999999</v>
      </c>
      <c r="AK70" s="139" t="s">
        <v>691</v>
      </c>
      <c r="AL70" s="139" t="s">
        <v>692</v>
      </c>
      <c r="AM70" s="139" t="s">
        <v>693</v>
      </c>
      <c r="AN70" s="139" t="s">
        <v>694</v>
      </c>
      <c r="AO70" s="139" t="s">
        <v>695</v>
      </c>
      <c r="AP70" s="139" t="s">
        <v>696</v>
      </c>
      <c r="AQ70" s="139" t="s">
        <v>592</v>
      </c>
      <c r="AR70" s="139" t="s">
        <v>429</v>
      </c>
      <c r="AS70" s="139" t="s">
        <v>429</v>
      </c>
      <c r="AT70" s="139" t="s">
        <v>593</v>
      </c>
      <c r="AU70" s="139" t="s">
        <v>437</v>
      </c>
      <c r="AV70" s="140">
        <v>2</v>
      </c>
      <c r="AW70" s="139" t="s">
        <v>594</v>
      </c>
      <c r="AX70" s="139" t="s">
        <v>653</v>
      </c>
      <c r="AY70" s="139" t="s">
        <v>780</v>
      </c>
      <c r="AZ70" s="140">
        <v>1</v>
      </c>
      <c r="BA70" s="139" t="s">
        <v>597</v>
      </c>
      <c r="BB70" s="140">
        <v>130062.39999999999</v>
      </c>
      <c r="BC70" s="140">
        <v>12488527</v>
      </c>
      <c r="BD70" s="140">
        <v>141297.85999999999</v>
      </c>
      <c r="BE70" s="140">
        <v>96.019499999999994</v>
      </c>
      <c r="BF70" s="139" t="s">
        <v>880</v>
      </c>
      <c r="BG70" s="139" t="s">
        <v>735</v>
      </c>
      <c r="BH70" s="139" t="s">
        <v>1112</v>
      </c>
      <c r="BI70" s="139" t="s">
        <v>598</v>
      </c>
      <c r="BJ70" s="139" t="s">
        <v>624</v>
      </c>
      <c r="BK70" s="139" t="s">
        <v>890</v>
      </c>
      <c r="BL70" s="139" t="s">
        <v>583</v>
      </c>
      <c r="BM70" s="139" t="s">
        <v>891</v>
      </c>
      <c r="BN70" s="139" t="s">
        <v>738</v>
      </c>
      <c r="BO70" s="139" t="s">
        <v>739</v>
      </c>
      <c r="BP70" s="139" t="s">
        <v>892</v>
      </c>
      <c r="BQ70" s="139" t="s">
        <v>741</v>
      </c>
      <c r="BR70" s="140">
        <v>1</v>
      </c>
      <c r="BS70" s="139" t="s">
        <v>1113</v>
      </c>
      <c r="BT70" s="99">
        <f t="shared" si="3"/>
        <v>0</v>
      </c>
      <c r="BU70" s="99">
        <f t="shared" si="3"/>
        <v>0</v>
      </c>
      <c r="BV70" s="99">
        <f t="shared" si="4"/>
        <v>0</v>
      </c>
      <c r="BW70" s="139" t="s">
        <v>602</v>
      </c>
      <c r="BX70" s="139" t="s">
        <v>584</v>
      </c>
      <c r="BY70" s="140">
        <v>380</v>
      </c>
      <c r="BZ70" s="140">
        <v>0</v>
      </c>
      <c r="CA70" s="99">
        <v>76000</v>
      </c>
      <c r="CB70" s="140" t="s">
        <v>603</v>
      </c>
      <c r="CC70" s="140">
        <v>0</v>
      </c>
      <c r="CD70" s="140"/>
      <c r="CE70" s="139" t="s">
        <v>577</v>
      </c>
      <c r="CF70" s="139" t="s">
        <v>604</v>
      </c>
      <c r="CG70" s="139" t="s">
        <v>583</v>
      </c>
      <c r="CH70" s="139" t="s">
        <v>583</v>
      </c>
      <c r="CI70" s="139" t="s">
        <v>592</v>
      </c>
      <c r="CJ70" s="140">
        <v>7980</v>
      </c>
      <c r="CK70" s="140" t="s">
        <v>605</v>
      </c>
      <c r="CL70" s="140">
        <v>4000000</v>
      </c>
      <c r="CM70" s="99">
        <v>7600</v>
      </c>
      <c r="CN70" s="140">
        <v>0</v>
      </c>
      <c r="CO70" s="139" t="s">
        <v>583</v>
      </c>
      <c r="CP70" s="139" t="s">
        <v>583</v>
      </c>
      <c r="CQ70" s="140">
        <v>130062.39999999999</v>
      </c>
      <c r="CR70" s="140">
        <v>12488527</v>
      </c>
      <c r="CS70" s="140">
        <v>0</v>
      </c>
      <c r="CT70" s="140">
        <v>1</v>
      </c>
      <c r="CU70" s="140">
        <v>12488526.619999999</v>
      </c>
      <c r="CV70" s="99">
        <v>141297.85999999999</v>
      </c>
      <c r="CW70" s="139" t="s">
        <v>606</v>
      </c>
      <c r="CX70" s="140">
        <v>18.59</v>
      </c>
      <c r="CY70" s="140">
        <v>933</v>
      </c>
      <c r="CZ70" s="140" t="s">
        <v>894</v>
      </c>
      <c r="DA70" s="140" t="s">
        <v>895</v>
      </c>
      <c r="DB70" s="140">
        <v>180</v>
      </c>
      <c r="DC70" s="140"/>
    </row>
    <row r="71" spans="2:107" ht="11.25" customHeight="1" x14ac:dyDescent="0.15">
      <c r="B71" s="139" t="s">
        <v>577</v>
      </c>
      <c r="C71" s="140" t="s">
        <v>1093</v>
      </c>
      <c r="D71" s="140">
        <v>7</v>
      </c>
      <c r="E71" s="139" t="s">
        <v>1114</v>
      </c>
      <c r="F71" s="139" t="s">
        <v>580</v>
      </c>
      <c r="G71" s="140" t="s">
        <v>1093</v>
      </c>
      <c r="H71" s="139" t="s">
        <v>1115</v>
      </c>
      <c r="I71" s="140" t="s">
        <v>421</v>
      </c>
      <c r="J71" s="139" t="s">
        <v>582</v>
      </c>
      <c r="K71" s="139" t="s">
        <v>583</v>
      </c>
      <c r="L71" s="139" t="s">
        <v>583</v>
      </c>
      <c r="M71" s="139" t="s">
        <v>583</v>
      </c>
      <c r="N71" s="139" t="s">
        <v>720</v>
      </c>
      <c r="O71" s="139" t="s">
        <v>721</v>
      </c>
      <c r="P71" s="139" t="s">
        <v>583</v>
      </c>
      <c r="Q71" s="139" t="s">
        <v>583</v>
      </c>
      <c r="R71" s="140">
        <v>1</v>
      </c>
      <c r="S71" s="140">
        <v>0</v>
      </c>
      <c r="T71" s="140">
        <v>1</v>
      </c>
      <c r="U71" s="140">
        <v>54</v>
      </c>
      <c r="V71" s="139" t="s">
        <v>859</v>
      </c>
      <c r="W71" s="139" t="s">
        <v>860</v>
      </c>
      <c r="X71" s="139" t="s">
        <v>861</v>
      </c>
      <c r="Y71" s="139" t="s">
        <v>862</v>
      </c>
      <c r="Z71" s="139" t="s">
        <v>590</v>
      </c>
      <c r="AA71" s="139" t="s">
        <v>839</v>
      </c>
      <c r="AB71" s="139" t="s">
        <v>859</v>
      </c>
      <c r="AC71" s="139" t="s">
        <v>860</v>
      </c>
      <c r="AD71" s="139" t="s">
        <v>861</v>
      </c>
      <c r="AE71" s="139" t="s">
        <v>862</v>
      </c>
      <c r="AF71" s="139" t="s">
        <v>590</v>
      </c>
      <c r="AG71" s="139" t="s">
        <v>839</v>
      </c>
      <c r="AH71" s="139" t="s">
        <v>592</v>
      </c>
      <c r="AI71" s="139" t="s">
        <v>429</v>
      </c>
      <c r="AJ71" s="140">
        <v>1523157.33</v>
      </c>
      <c r="AK71" s="139" t="s">
        <v>859</v>
      </c>
      <c r="AL71" s="139" t="s">
        <v>860</v>
      </c>
      <c r="AM71" s="139" t="s">
        <v>861</v>
      </c>
      <c r="AN71" s="139" t="s">
        <v>862</v>
      </c>
      <c r="AO71" s="139" t="s">
        <v>590</v>
      </c>
      <c r="AP71" s="139" t="s">
        <v>839</v>
      </c>
      <c r="AQ71" s="139" t="s">
        <v>592</v>
      </c>
      <c r="AR71" s="139" t="s">
        <v>429</v>
      </c>
      <c r="AS71" s="139" t="s">
        <v>429</v>
      </c>
      <c r="AT71" s="139" t="s">
        <v>593</v>
      </c>
      <c r="AU71" s="139" t="s">
        <v>437</v>
      </c>
      <c r="AV71" s="140">
        <v>2</v>
      </c>
      <c r="AW71" s="139" t="s">
        <v>594</v>
      </c>
      <c r="AX71" s="139" t="s">
        <v>595</v>
      </c>
      <c r="AY71" s="139" t="s">
        <v>722</v>
      </c>
      <c r="AZ71" s="140">
        <v>1</v>
      </c>
      <c r="BA71" s="139" t="s">
        <v>597</v>
      </c>
      <c r="BB71" s="140">
        <v>15120</v>
      </c>
      <c r="BC71" s="140">
        <v>1451815</v>
      </c>
      <c r="BD71" s="140">
        <v>17233.330000000002</v>
      </c>
      <c r="BE71" s="140">
        <v>96.019499999999994</v>
      </c>
      <c r="BF71" s="139" t="s">
        <v>880</v>
      </c>
      <c r="BG71" s="139" t="s">
        <v>583</v>
      </c>
      <c r="BH71" s="139" t="s">
        <v>1116</v>
      </c>
      <c r="BI71" s="139" t="s">
        <v>598</v>
      </c>
      <c r="BJ71" s="139" t="s">
        <v>599</v>
      </c>
      <c r="BK71" s="139" t="s">
        <v>583</v>
      </c>
      <c r="BL71" s="139" t="s">
        <v>583</v>
      </c>
      <c r="BM71" s="139" t="s">
        <v>583</v>
      </c>
      <c r="BN71" s="139" t="s">
        <v>842</v>
      </c>
      <c r="BO71" s="139" t="s">
        <v>843</v>
      </c>
      <c r="BP71" s="139" t="s">
        <v>925</v>
      </c>
      <c r="BQ71" s="139" t="s">
        <v>723</v>
      </c>
      <c r="BR71" s="140">
        <v>1</v>
      </c>
      <c r="BS71" s="139" t="s">
        <v>724</v>
      </c>
      <c r="BT71" s="99">
        <f t="shared" si="3"/>
        <v>1</v>
      </c>
      <c r="BU71" s="99">
        <f t="shared" si="3"/>
        <v>0</v>
      </c>
      <c r="BV71" s="99">
        <f t="shared" si="4"/>
        <v>1</v>
      </c>
      <c r="BW71" s="139" t="s">
        <v>725</v>
      </c>
      <c r="BX71" s="139" t="s">
        <v>1117</v>
      </c>
      <c r="BY71" s="140">
        <v>54</v>
      </c>
      <c r="BZ71" s="140">
        <v>0</v>
      </c>
      <c r="CA71" s="99">
        <v>10800</v>
      </c>
      <c r="CB71" s="140" t="s">
        <v>603</v>
      </c>
      <c r="CC71" s="140">
        <v>0</v>
      </c>
      <c r="CD71" s="140"/>
      <c r="CE71" s="139" t="s">
        <v>577</v>
      </c>
      <c r="CF71" s="139" t="s">
        <v>604</v>
      </c>
      <c r="CG71" s="139" t="s">
        <v>583</v>
      </c>
      <c r="CH71" s="139" t="s">
        <v>583</v>
      </c>
      <c r="CI71" s="139" t="s">
        <v>592</v>
      </c>
      <c r="CJ71" s="140">
        <v>1135</v>
      </c>
      <c r="CK71" s="140" t="s">
        <v>605</v>
      </c>
      <c r="CL71" s="140">
        <v>4000000</v>
      </c>
      <c r="CM71" s="99">
        <v>1080</v>
      </c>
      <c r="CN71" s="140">
        <v>0</v>
      </c>
      <c r="CO71" s="139" t="s">
        <v>583</v>
      </c>
      <c r="CP71" s="139" t="s">
        <v>583</v>
      </c>
      <c r="CQ71" s="140">
        <v>15120</v>
      </c>
      <c r="CR71" s="140">
        <v>1451815</v>
      </c>
      <c r="CS71" s="140">
        <v>0</v>
      </c>
      <c r="CT71" s="140">
        <v>1</v>
      </c>
      <c r="CU71" s="140">
        <v>1523157.33</v>
      </c>
      <c r="CV71" s="99">
        <v>17233.330000000002</v>
      </c>
      <c r="CW71" s="139" t="s">
        <v>606</v>
      </c>
      <c r="CX71" s="140">
        <v>15.96</v>
      </c>
      <c r="CY71" s="140">
        <v>1535</v>
      </c>
      <c r="CZ71" s="140" t="s">
        <v>1118</v>
      </c>
      <c r="DA71" s="140" t="s">
        <v>1119</v>
      </c>
      <c r="DB71" s="140">
        <v>1234</v>
      </c>
      <c r="DC71" s="140"/>
    </row>
    <row r="72" spans="2:107" ht="11.25" customHeight="1" x14ac:dyDescent="0.15">
      <c r="B72" s="139" t="s">
        <v>577</v>
      </c>
      <c r="C72" s="140" t="s">
        <v>1093</v>
      </c>
      <c r="D72" s="140">
        <v>7</v>
      </c>
      <c r="E72" s="139" t="s">
        <v>1120</v>
      </c>
      <c r="F72" s="139" t="s">
        <v>580</v>
      </c>
      <c r="G72" s="140" t="s">
        <v>1093</v>
      </c>
      <c r="H72" s="139" t="s">
        <v>1121</v>
      </c>
      <c r="I72" s="140" t="s">
        <v>421</v>
      </c>
      <c r="J72" s="139" t="s">
        <v>582</v>
      </c>
      <c r="K72" s="139" t="s">
        <v>583</v>
      </c>
      <c r="L72" s="139" t="s">
        <v>583</v>
      </c>
      <c r="M72" s="139" t="s">
        <v>583</v>
      </c>
      <c r="N72" s="139" t="s">
        <v>757</v>
      </c>
      <c r="O72" s="139" t="s">
        <v>758</v>
      </c>
      <c r="P72" s="139" t="s">
        <v>583</v>
      </c>
      <c r="Q72" s="139" t="s">
        <v>583</v>
      </c>
      <c r="R72" s="140">
        <v>1</v>
      </c>
      <c r="S72" s="140">
        <v>0</v>
      </c>
      <c r="T72" s="140">
        <v>1</v>
      </c>
      <c r="U72" s="140">
        <v>1</v>
      </c>
      <c r="V72" s="139" t="s">
        <v>859</v>
      </c>
      <c r="W72" s="139" t="s">
        <v>860</v>
      </c>
      <c r="X72" s="139" t="s">
        <v>861</v>
      </c>
      <c r="Y72" s="139" t="s">
        <v>862</v>
      </c>
      <c r="Z72" s="139" t="s">
        <v>590</v>
      </c>
      <c r="AA72" s="139" t="s">
        <v>839</v>
      </c>
      <c r="AB72" s="139" t="s">
        <v>859</v>
      </c>
      <c r="AC72" s="139" t="s">
        <v>860</v>
      </c>
      <c r="AD72" s="139" t="s">
        <v>861</v>
      </c>
      <c r="AE72" s="139" t="s">
        <v>862</v>
      </c>
      <c r="AF72" s="139" t="s">
        <v>590</v>
      </c>
      <c r="AG72" s="139" t="s">
        <v>839</v>
      </c>
      <c r="AH72" s="139" t="s">
        <v>759</v>
      </c>
      <c r="AI72" s="139" t="s">
        <v>434</v>
      </c>
      <c r="AJ72" s="140">
        <v>341349.33</v>
      </c>
      <c r="AK72" s="139" t="s">
        <v>859</v>
      </c>
      <c r="AL72" s="139" t="s">
        <v>860</v>
      </c>
      <c r="AM72" s="139" t="s">
        <v>861</v>
      </c>
      <c r="AN72" s="139" t="s">
        <v>862</v>
      </c>
      <c r="AO72" s="139" t="s">
        <v>590</v>
      </c>
      <c r="AP72" s="139" t="s">
        <v>839</v>
      </c>
      <c r="AQ72" s="139" t="s">
        <v>759</v>
      </c>
      <c r="AR72" s="139" t="s">
        <v>434</v>
      </c>
      <c r="AS72" s="139" t="s">
        <v>434</v>
      </c>
      <c r="AT72" s="139" t="s">
        <v>593</v>
      </c>
      <c r="AU72" s="139" t="s">
        <v>437</v>
      </c>
      <c r="AV72" s="140">
        <v>2</v>
      </c>
      <c r="AW72" s="139" t="s">
        <v>594</v>
      </c>
      <c r="AX72" s="139" t="s">
        <v>595</v>
      </c>
      <c r="AY72" s="139" t="s">
        <v>840</v>
      </c>
      <c r="AZ72" s="140">
        <v>1</v>
      </c>
      <c r="BA72" s="139" t="s">
        <v>597</v>
      </c>
      <c r="BB72" s="140">
        <v>3410</v>
      </c>
      <c r="BC72" s="140">
        <v>327426</v>
      </c>
      <c r="BD72" s="140">
        <v>3862.1</v>
      </c>
      <c r="BE72" s="140">
        <v>96.019499999999994</v>
      </c>
      <c r="BF72" s="139" t="s">
        <v>880</v>
      </c>
      <c r="BG72" s="139" t="s">
        <v>863</v>
      </c>
      <c r="BH72" s="139" t="s">
        <v>1122</v>
      </c>
      <c r="BI72" s="139" t="s">
        <v>598</v>
      </c>
      <c r="BJ72" s="139" t="s">
        <v>599</v>
      </c>
      <c r="BK72" s="139" t="s">
        <v>583</v>
      </c>
      <c r="BL72" s="139" t="s">
        <v>583</v>
      </c>
      <c r="BM72" s="139" t="s">
        <v>583</v>
      </c>
      <c r="BN72" s="139" t="s">
        <v>842</v>
      </c>
      <c r="BO72" s="139" t="s">
        <v>843</v>
      </c>
      <c r="BP72" s="139" t="s">
        <v>925</v>
      </c>
      <c r="BQ72" s="139" t="s">
        <v>723</v>
      </c>
      <c r="BR72" s="140">
        <v>1</v>
      </c>
      <c r="BS72" s="139" t="s">
        <v>1123</v>
      </c>
      <c r="BT72" s="99">
        <f t="shared" si="3"/>
        <v>1</v>
      </c>
      <c r="BU72" s="99">
        <f t="shared" si="3"/>
        <v>0</v>
      </c>
      <c r="BV72" s="99">
        <f t="shared" si="4"/>
        <v>1</v>
      </c>
      <c r="BW72" s="139" t="s">
        <v>602</v>
      </c>
      <c r="BX72" s="139" t="s">
        <v>1124</v>
      </c>
      <c r="BY72" s="140">
        <v>1</v>
      </c>
      <c r="BZ72" s="140">
        <v>0</v>
      </c>
      <c r="CA72" s="99">
        <v>2200</v>
      </c>
      <c r="CB72" s="140" t="s">
        <v>603</v>
      </c>
      <c r="CC72" s="140">
        <v>0</v>
      </c>
      <c r="CD72" s="140"/>
      <c r="CE72" s="139" t="s">
        <v>577</v>
      </c>
      <c r="CF72" s="139" t="s">
        <v>604</v>
      </c>
      <c r="CG72" s="139" t="s">
        <v>583</v>
      </c>
      <c r="CH72" s="139" t="s">
        <v>583</v>
      </c>
      <c r="CI72" s="139" t="s">
        <v>759</v>
      </c>
      <c r="CJ72" s="140">
        <v>231</v>
      </c>
      <c r="CK72" s="140" t="s">
        <v>605</v>
      </c>
      <c r="CL72" s="140">
        <v>4000000</v>
      </c>
      <c r="CM72" s="99">
        <v>215</v>
      </c>
      <c r="CN72" s="140">
        <v>0</v>
      </c>
      <c r="CO72" s="139" t="s">
        <v>583</v>
      </c>
      <c r="CP72" s="139" t="s">
        <v>583</v>
      </c>
      <c r="CQ72" s="140">
        <v>3410</v>
      </c>
      <c r="CR72" s="140">
        <v>327426</v>
      </c>
      <c r="CS72" s="140">
        <v>0</v>
      </c>
      <c r="CT72" s="140">
        <v>1</v>
      </c>
      <c r="CU72" s="140">
        <v>341349.33</v>
      </c>
      <c r="CV72" s="99">
        <v>3862.1</v>
      </c>
      <c r="CW72" s="139" t="s">
        <v>606</v>
      </c>
      <c r="CX72" s="140">
        <v>17.96</v>
      </c>
      <c r="CY72" s="140">
        <v>1535</v>
      </c>
      <c r="CZ72" s="140" t="s">
        <v>1118</v>
      </c>
      <c r="DA72" s="140" t="s">
        <v>1119</v>
      </c>
      <c r="DB72" s="140">
        <v>1234</v>
      </c>
      <c r="DC72" s="140"/>
    </row>
    <row r="73" spans="2:107" ht="11.25" customHeight="1" x14ac:dyDescent="0.15">
      <c r="B73" s="139" t="s">
        <v>577</v>
      </c>
      <c r="C73" s="140" t="s">
        <v>1125</v>
      </c>
      <c r="D73" s="140">
        <v>6</v>
      </c>
      <c r="E73" s="139" t="s">
        <v>1126</v>
      </c>
      <c r="F73" s="139" t="s">
        <v>729</v>
      </c>
      <c r="G73" s="140" t="s">
        <v>1125</v>
      </c>
      <c r="H73" s="139" t="s">
        <v>1127</v>
      </c>
      <c r="I73" s="140" t="s">
        <v>421</v>
      </c>
      <c r="J73" s="139" t="s">
        <v>582</v>
      </c>
      <c r="K73" s="139" t="s">
        <v>583</v>
      </c>
      <c r="L73" s="139" t="s">
        <v>583</v>
      </c>
      <c r="M73" s="139" t="s">
        <v>583</v>
      </c>
      <c r="N73" s="139" t="s">
        <v>444</v>
      </c>
      <c r="O73" s="139" t="s">
        <v>1128</v>
      </c>
      <c r="P73" s="139" t="s">
        <v>583</v>
      </c>
      <c r="Q73" s="139" t="s">
        <v>583</v>
      </c>
      <c r="R73" s="140">
        <v>1</v>
      </c>
      <c r="S73" s="140">
        <v>0</v>
      </c>
      <c r="T73" s="140">
        <v>1</v>
      </c>
      <c r="U73" s="140">
        <v>13</v>
      </c>
      <c r="V73" s="139" t="s">
        <v>709</v>
      </c>
      <c r="W73" s="139" t="s">
        <v>710</v>
      </c>
      <c r="X73" s="139" t="s">
        <v>711</v>
      </c>
      <c r="Y73" s="139" t="s">
        <v>789</v>
      </c>
      <c r="Z73" s="139" t="s">
        <v>713</v>
      </c>
      <c r="AA73" s="139" t="s">
        <v>714</v>
      </c>
      <c r="AB73" s="139" t="s">
        <v>709</v>
      </c>
      <c r="AC73" s="139" t="s">
        <v>710</v>
      </c>
      <c r="AD73" s="139" t="s">
        <v>711</v>
      </c>
      <c r="AE73" s="139" t="s">
        <v>789</v>
      </c>
      <c r="AF73" s="139" t="s">
        <v>713</v>
      </c>
      <c r="AG73" s="139" t="s">
        <v>714</v>
      </c>
      <c r="AH73" s="139" t="s">
        <v>751</v>
      </c>
      <c r="AI73" s="139" t="s">
        <v>433</v>
      </c>
      <c r="AJ73" s="140">
        <v>8970322.4600000009</v>
      </c>
      <c r="AK73" s="139" t="s">
        <v>709</v>
      </c>
      <c r="AL73" s="139" t="s">
        <v>710</v>
      </c>
      <c r="AM73" s="139" t="s">
        <v>711</v>
      </c>
      <c r="AN73" s="139" t="s">
        <v>789</v>
      </c>
      <c r="AO73" s="139" t="s">
        <v>713</v>
      </c>
      <c r="AP73" s="139" t="s">
        <v>714</v>
      </c>
      <c r="AQ73" s="139" t="s">
        <v>751</v>
      </c>
      <c r="AR73" s="139" t="s">
        <v>433</v>
      </c>
      <c r="AS73" s="139" t="s">
        <v>433</v>
      </c>
      <c r="AT73" s="139" t="s">
        <v>593</v>
      </c>
      <c r="AU73" s="139" t="s">
        <v>437</v>
      </c>
      <c r="AV73" s="140">
        <v>2</v>
      </c>
      <c r="AW73" s="139" t="s">
        <v>594</v>
      </c>
      <c r="AX73" s="139" t="s">
        <v>653</v>
      </c>
      <c r="AY73" s="139" t="s">
        <v>790</v>
      </c>
      <c r="AZ73" s="140">
        <v>1</v>
      </c>
      <c r="BA73" s="139" t="s">
        <v>597</v>
      </c>
      <c r="BB73" s="140">
        <v>94320</v>
      </c>
      <c r="BC73" s="140">
        <v>8970322</v>
      </c>
      <c r="BD73" s="140">
        <v>103066.76</v>
      </c>
      <c r="BE73" s="140">
        <v>95.105199999999996</v>
      </c>
      <c r="BF73" s="139" t="s">
        <v>880</v>
      </c>
      <c r="BG73" s="139" t="s">
        <v>583</v>
      </c>
      <c r="BH73" s="139" t="s">
        <v>1059</v>
      </c>
      <c r="BI73" s="139" t="s">
        <v>598</v>
      </c>
      <c r="BJ73" s="139" t="s">
        <v>599</v>
      </c>
      <c r="BK73" s="139" t="s">
        <v>583</v>
      </c>
      <c r="BL73" s="139" t="s">
        <v>1060</v>
      </c>
      <c r="BM73" s="139" t="s">
        <v>583</v>
      </c>
      <c r="BN73" s="139" t="s">
        <v>842</v>
      </c>
      <c r="BO73" s="139" t="s">
        <v>1061</v>
      </c>
      <c r="BP73" s="139" t="s">
        <v>925</v>
      </c>
      <c r="BQ73" s="139" t="s">
        <v>723</v>
      </c>
      <c r="BR73" s="140">
        <v>1</v>
      </c>
      <c r="BS73" s="139" t="s">
        <v>791</v>
      </c>
      <c r="BT73" s="99">
        <f t="shared" si="3"/>
        <v>0</v>
      </c>
      <c r="BU73" s="99">
        <f t="shared" si="3"/>
        <v>0</v>
      </c>
      <c r="BV73" s="99">
        <f t="shared" si="4"/>
        <v>0</v>
      </c>
      <c r="BW73" s="139" t="s">
        <v>602</v>
      </c>
      <c r="BX73" s="139" t="s">
        <v>443</v>
      </c>
      <c r="BY73" s="140">
        <v>13</v>
      </c>
      <c r="BZ73" s="140">
        <v>0</v>
      </c>
      <c r="CA73" s="99">
        <v>61000</v>
      </c>
      <c r="CB73" s="140" t="s">
        <v>603</v>
      </c>
      <c r="CC73" s="140">
        <v>0</v>
      </c>
      <c r="CD73" s="140"/>
      <c r="CE73" s="139" t="s">
        <v>577</v>
      </c>
      <c r="CF73" s="139" t="s">
        <v>604</v>
      </c>
      <c r="CG73" s="139" t="s">
        <v>583</v>
      </c>
      <c r="CH73" s="139" t="s">
        <v>583</v>
      </c>
      <c r="CI73" s="139" t="s">
        <v>751</v>
      </c>
      <c r="CJ73" s="140">
        <v>6405</v>
      </c>
      <c r="CK73" s="140" t="s">
        <v>605</v>
      </c>
      <c r="CL73" s="140">
        <v>4000000</v>
      </c>
      <c r="CM73" s="99">
        <v>6100</v>
      </c>
      <c r="CN73" s="140">
        <v>0</v>
      </c>
      <c r="CO73" s="139" t="s">
        <v>583</v>
      </c>
      <c r="CP73" s="139" t="s">
        <v>583</v>
      </c>
      <c r="CQ73" s="140">
        <v>94320</v>
      </c>
      <c r="CR73" s="140">
        <v>8970322</v>
      </c>
      <c r="CS73" s="140">
        <v>0</v>
      </c>
      <c r="CT73" s="140">
        <v>1</v>
      </c>
      <c r="CU73" s="140">
        <v>8970322.4600000009</v>
      </c>
      <c r="CV73" s="99">
        <v>103066.76</v>
      </c>
      <c r="CW73" s="139" t="s">
        <v>606</v>
      </c>
      <c r="CX73" s="140">
        <v>16.899999999999999</v>
      </c>
      <c r="CY73" s="140">
        <v>35</v>
      </c>
      <c r="CZ73" s="140" t="s">
        <v>1062</v>
      </c>
      <c r="DA73" s="140" t="s">
        <v>1063</v>
      </c>
      <c r="DB73" s="140">
        <v>166</v>
      </c>
      <c r="DC73" s="140"/>
    </row>
    <row r="74" spans="2:107" ht="11.25" customHeight="1" x14ac:dyDescent="0.15">
      <c r="B74" s="139" t="s">
        <v>577</v>
      </c>
      <c r="C74" s="140" t="s">
        <v>1129</v>
      </c>
      <c r="D74" s="140">
        <v>6</v>
      </c>
      <c r="E74" s="139" t="s">
        <v>1130</v>
      </c>
      <c r="F74" s="139" t="s">
        <v>796</v>
      </c>
      <c r="G74" s="140" t="s">
        <v>1131</v>
      </c>
      <c r="H74" s="139" t="s">
        <v>1132</v>
      </c>
      <c r="I74" s="140" t="s">
        <v>421</v>
      </c>
      <c r="J74" s="139" t="s">
        <v>582</v>
      </c>
      <c r="K74" s="139" t="s">
        <v>1133</v>
      </c>
      <c r="L74" s="139" t="s">
        <v>583</v>
      </c>
      <c r="M74" s="139" t="s">
        <v>583</v>
      </c>
      <c r="N74" s="139" t="s">
        <v>764</v>
      </c>
      <c r="O74" s="139" t="s">
        <v>798</v>
      </c>
      <c r="P74" s="139" t="s">
        <v>583</v>
      </c>
      <c r="Q74" s="139" t="s">
        <v>583</v>
      </c>
      <c r="R74" s="140">
        <v>1</v>
      </c>
      <c r="S74" s="140">
        <v>0</v>
      </c>
      <c r="T74" s="140">
        <v>1</v>
      </c>
      <c r="U74" s="140">
        <v>117</v>
      </c>
      <c r="V74" s="139" t="s">
        <v>799</v>
      </c>
      <c r="W74" s="139" t="s">
        <v>800</v>
      </c>
      <c r="X74" s="139" t="s">
        <v>801</v>
      </c>
      <c r="Y74" s="139" t="s">
        <v>802</v>
      </c>
      <c r="Z74" s="139" t="s">
        <v>803</v>
      </c>
      <c r="AA74" s="139" t="s">
        <v>804</v>
      </c>
      <c r="AB74" s="139" t="s">
        <v>799</v>
      </c>
      <c r="AC74" s="139" t="s">
        <v>800</v>
      </c>
      <c r="AD74" s="139" t="s">
        <v>801</v>
      </c>
      <c r="AE74" s="139" t="s">
        <v>802</v>
      </c>
      <c r="AF74" s="139" t="s">
        <v>803</v>
      </c>
      <c r="AG74" s="139" t="s">
        <v>804</v>
      </c>
      <c r="AH74" s="139" t="s">
        <v>751</v>
      </c>
      <c r="AI74" s="139" t="s">
        <v>433</v>
      </c>
      <c r="AJ74" s="140">
        <v>7551856.9800000004</v>
      </c>
      <c r="AK74" s="139" t="s">
        <v>799</v>
      </c>
      <c r="AL74" s="139" t="s">
        <v>800</v>
      </c>
      <c r="AM74" s="139" t="s">
        <v>801</v>
      </c>
      <c r="AN74" s="139" t="s">
        <v>802</v>
      </c>
      <c r="AO74" s="139" t="s">
        <v>803</v>
      </c>
      <c r="AP74" s="139" t="s">
        <v>804</v>
      </c>
      <c r="AQ74" s="139" t="s">
        <v>751</v>
      </c>
      <c r="AR74" s="139" t="s">
        <v>433</v>
      </c>
      <c r="AS74" s="139" t="s">
        <v>433</v>
      </c>
      <c r="AT74" s="139" t="s">
        <v>593</v>
      </c>
      <c r="AU74" s="139" t="s">
        <v>437</v>
      </c>
      <c r="AV74" s="140">
        <v>2</v>
      </c>
      <c r="AW74" s="139" t="s">
        <v>594</v>
      </c>
      <c r="AX74" s="139" t="s">
        <v>653</v>
      </c>
      <c r="AY74" s="139" t="s">
        <v>805</v>
      </c>
      <c r="AZ74" s="140">
        <v>1</v>
      </c>
      <c r="BA74" s="139" t="s">
        <v>597</v>
      </c>
      <c r="BB74" s="140">
        <v>82540</v>
      </c>
      <c r="BC74" s="140">
        <v>7551857</v>
      </c>
      <c r="BD74" s="140">
        <v>89818.27</v>
      </c>
      <c r="BE74" s="140">
        <v>91.493300000000005</v>
      </c>
      <c r="BF74" s="139" t="s">
        <v>880</v>
      </c>
      <c r="BG74" s="139" t="s">
        <v>606</v>
      </c>
      <c r="BH74" s="139" t="s">
        <v>806</v>
      </c>
      <c r="BI74" s="139" t="s">
        <v>598</v>
      </c>
      <c r="BJ74" s="139" t="s">
        <v>599</v>
      </c>
      <c r="BK74" s="139" t="s">
        <v>583</v>
      </c>
      <c r="BL74" s="139" t="s">
        <v>583</v>
      </c>
      <c r="BM74" s="139" t="s">
        <v>583</v>
      </c>
      <c r="BN74" s="139" t="s">
        <v>808</v>
      </c>
      <c r="BO74" s="139" t="s">
        <v>809</v>
      </c>
      <c r="BP74" s="139" t="s">
        <v>1134</v>
      </c>
      <c r="BQ74" s="139" t="s">
        <v>811</v>
      </c>
      <c r="BR74" s="140">
        <v>1</v>
      </c>
      <c r="BS74" s="139" t="s">
        <v>812</v>
      </c>
      <c r="BT74" s="99">
        <f t="shared" si="3"/>
        <v>0</v>
      </c>
      <c r="BU74" s="99">
        <f t="shared" si="3"/>
        <v>0</v>
      </c>
      <c r="BV74" s="99">
        <f t="shared" si="4"/>
        <v>0</v>
      </c>
      <c r="BW74" s="139" t="s">
        <v>602</v>
      </c>
      <c r="BX74" s="139" t="s">
        <v>764</v>
      </c>
      <c r="BY74" s="140">
        <v>117</v>
      </c>
      <c r="BZ74" s="140">
        <v>0</v>
      </c>
      <c r="CA74" s="99">
        <v>23400</v>
      </c>
      <c r="CB74" s="140" t="s">
        <v>603</v>
      </c>
      <c r="CC74" s="140">
        <v>0</v>
      </c>
      <c r="CD74" s="140"/>
      <c r="CE74" s="139" t="s">
        <v>577</v>
      </c>
      <c r="CF74" s="139" t="s">
        <v>775</v>
      </c>
      <c r="CG74" s="139" t="s">
        <v>583</v>
      </c>
      <c r="CH74" s="139" t="s">
        <v>583</v>
      </c>
      <c r="CI74" s="139" t="s">
        <v>751</v>
      </c>
      <c r="CJ74" s="140">
        <v>2293.1999999999998</v>
      </c>
      <c r="CK74" s="140" t="s">
        <v>657</v>
      </c>
      <c r="CL74" s="140">
        <v>4000000</v>
      </c>
      <c r="CM74" s="99">
        <v>1872</v>
      </c>
      <c r="CN74" s="140">
        <v>0</v>
      </c>
      <c r="CO74" s="139" t="s">
        <v>583</v>
      </c>
      <c r="CP74" s="139" t="s">
        <v>583</v>
      </c>
      <c r="CQ74" s="140">
        <v>82540</v>
      </c>
      <c r="CR74" s="140">
        <v>7551857</v>
      </c>
      <c r="CS74" s="140">
        <v>0</v>
      </c>
      <c r="CT74" s="140">
        <v>1</v>
      </c>
      <c r="CU74" s="140">
        <v>7551856.9800000004</v>
      </c>
      <c r="CV74" s="99">
        <v>89818.27</v>
      </c>
      <c r="CW74" s="139" t="s">
        <v>606</v>
      </c>
      <c r="CX74" s="140">
        <v>47.98</v>
      </c>
      <c r="CY74" s="140">
        <v>1069</v>
      </c>
      <c r="CZ74" s="140" t="s">
        <v>813</v>
      </c>
      <c r="DA74" s="140" t="s">
        <v>1135</v>
      </c>
      <c r="DB74" s="140">
        <v>164</v>
      </c>
      <c r="DC74" s="140"/>
    </row>
    <row r="75" spans="2:107" ht="11.25" customHeight="1" x14ac:dyDescent="0.15">
      <c r="B75" s="139" t="s">
        <v>577</v>
      </c>
      <c r="C75" s="140" t="s">
        <v>1129</v>
      </c>
      <c r="D75" s="140">
        <v>6</v>
      </c>
      <c r="E75" s="139" t="s">
        <v>1136</v>
      </c>
      <c r="F75" s="139" t="s">
        <v>580</v>
      </c>
      <c r="G75" s="140" t="s">
        <v>1129</v>
      </c>
      <c r="H75" s="139" t="s">
        <v>1137</v>
      </c>
      <c r="I75" s="140" t="s">
        <v>421</v>
      </c>
      <c r="J75" s="139" t="s">
        <v>582</v>
      </c>
      <c r="K75" s="139" t="s">
        <v>583</v>
      </c>
      <c r="L75" s="139" t="s">
        <v>583</v>
      </c>
      <c r="M75" s="139" t="s">
        <v>583</v>
      </c>
      <c r="N75" s="139" t="s">
        <v>1138</v>
      </c>
      <c r="O75" s="139" t="s">
        <v>1139</v>
      </c>
      <c r="P75" s="139" t="s">
        <v>583</v>
      </c>
      <c r="Q75" s="139" t="s">
        <v>583</v>
      </c>
      <c r="R75" s="140">
        <v>1</v>
      </c>
      <c r="S75" s="140">
        <v>0</v>
      </c>
      <c r="T75" s="140">
        <v>1</v>
      </c>
      <c r="U75" s="140">
        <v>18</v>
      </c>
      <c r="V75" s="139" t="s">
        <v>586</v>
      </c>
      <c r="W75" s="139" t="s">
        <v>587</v>
      </c>
      <c r="X75" s="139" t="s">
        <v>588</v>
      </c>
      <c r="Y75" s="139" t="s">
        <v>589</v>
      </c>
      <c r="Z75" s="139" t="s">
        <v>590</v>
      </c>
      <c r="AA75" s="139" t="s">
        <v>591</v>
      </c>
      <c r="AB75" s="139" t="s">
        <v>586</v>
      </c>
      <c r="AC75" s="139" t="s">
        <v>587</v>
      </c>
      <c r="AD75" s="139" t="s">
        <v>588</v>
      </c>
      <c r="AE75" s="139" t="s">
        <v>589</v>
      </c>
      <c r="AF75" s="139" t="s">
        <v>590</v>
      </c>
      <c r="AG75" s="139" t="s">
        <v>591</v>
      </c>
      <c r="AH75" s="139" t="s">
        <v>733</v>
      </c>
      <c r="AI75" s="139" t="s">
        <v>432</v>
      </c>
      <c r="AJ75" s="140">
        <v>11710169.189999999</v>
      </c>
      <c r="AK75" s="139" t="s">
        <v>586</v>
      </c>
      <c r="AL75" s="139" t="s">
        <v>587</v>
      </c>
      <c r="AM75" s="139" t="s">
        <v>588</v>
      </c>
      <c r="AN75" s="139" t="s">
        <v>589</v>
      </c>
      <c r="AO75" s="139" t="s">
        <v>590</v>
      </c>
      <c r="AP75" s="139" t="s">
        <v>591</v>
      </c>
      <c r="AQ75" s="139" t="s">
        <v>733</v>
      </c>
      <c r="AR75" s="139" t="s">
        <v>432</v>
      </c>
      <c r="AS75" s="139" t="s">
        <v>432</v>
      </c>
      <c r="AT75" s="139" t="s">
        <v>593</v>
      </c>
      <c r="AU75" s="139" t="s">
        <v>437</v>
      </c>
      <c r="AV75" s="140">
        <v>2</v>
      </c>
      <c r="AW75" s="139" t="s">
        <v>594</v>
      </c>
      <c r="AX75" s="139" t="s">
        <v>653</v>
      </c>
      <c r="AY75" s="139" t="s">
        <v>1140</v>
      </c>
      <c r="AZ75" s="140">
        <v>1</v>
      </c>
      <c r="BA75" s="139" t="s">
        <v>597</v>
      </c>
      <c r="BB75" s="140">
        <v>126875</v>
      </c>
      <c r="BC75" s="140">
        <v>11710169</v>
      </c>
      <c r="BD75" s="140">
        <v>138313.10999999999</v>
      </c>
      <c r="BE75" s="140">
        <v>92.296899999999994</v>
      </c>
      <c r="BF75" s="139" t="s">
        <v>880</v>
      </c>
      <c r="BG75" s="139" t="s">
        <v>583</v>
      </c>
      <c r="BH75" s="139" t="s">
        <v>1141</v>
      </c>
      <c r="BI75" s="139" t="s">
        <v>598</v>
      </c>
      <c r="BJ75" s="139" t="s">
        <v>624</v>
      </c>
      <c r="BK75" s="139" t="s">
        <v>1142</v>
      </c>
      <c r="BL75" s="139" t="s">
        <v>583</v>
      </c>
      <c r="BM75" s="139" t="s">
        <v>915</v>
      </c>
      <c r="BN75" s="139" t="s">
        <v>1143</v>
      </c>
      <c r="BO75" s="139" t="s">
        <v>1144</v>
      </c>
      <c r="BP75" s="139" t="s">
        <v>1145</v>
      </c>
      <c r="BQ75" s="139" t="s">
        <v>611</v>
      </c>
      <c r="BR75" s="140">
        <v>1</v>
      </c>
      <c r="BS75" s="139" t="s">
        <v>1146</v>
      </c>
      <c r="BT75" s="99">
        <f t="shared" si="3"/>
        <v>0</v>
      </c>
      <c r="BU75" s="99">
        <f t="shared" si="3"/>
        <v>0</v>
      </c>
      <c r="BV75" s="99">
        <f t="shared" si="4"/>
        <v>0</v>
      </c>
      <c r="BW75" s="139" t="s">
        <v>602</v>
      </c>
      <c r="BX75" s="139" t="s">
        <v>1138</v>
      </c>
      <c r="BY75" s="140">
        <v>313</v>
      </c>
      <c r="BZ75" s="140">
        <v>0</v>
      </c>
      <c r="CA75" s="99">
        <v>62500</v>
      </c>
      <c r="CB75" s="140" t="s">
        <v>603</v>
      </c>
      <c r="CC75" s="140">
        <v>0</v>
      </c>
      <c r="CD75" s="140"/>
      <c r="CE75" s="139" t="s">
        <v>577</v>
      </c>
      <c r="CF75" s="139" t="s">
        <v>775</v>
      </c>
      <c r="CG75" s="139" t="s">
        <v>583</v>
      </c>
      <c r="CH75" s="139" t="s">
        <v>583</v>
      </c>
      <c r="CI75" s="139" t="s">
        <v>733</v>
      </c>
      <c r="CJ75" s="140">
        <v>6260</v>
      </c>
      <c r="CK75" s="140" t="s">
        <v>657</v>
      </c>
      <c r="CL75" s="140">
        <v>4000000</v>
      </c>
      <c r="CM75" s="99">
        <v>5634</v>
      </c>
      <c r="CN75" s="140">
        <v>0</v>
      </c>
      <c r="CO75" s="139" t="s">
        <v>583</v>
      </c>
      <c r="CP75" s="139" t="s">
        <v>583</v>
      </c>
      <c r="CQ75" s="140">
        <v>126875</v>
      </c>
      <c r="CR75" s="140">
        <v>11710169</v>
      </c>
      <c r="CS75" s="140">
        <v>0</v>
      </c>
      <c r="CT75" s="140">
        <v>1</v>
      </c>
      <c r="CU75" s="140">
        <v>11710169.189999999</v>
      </c>
      <c r="CV75" s="99">
        <v>138313.10999999999</v>
      </c>
      <c r="CW75" s="139" t="s">
        <v>606</v>
      </c>
      <c r="CX75" s="140">
        <v>24.55</v>
      </c>
      <c r="CY75" s="140"/>
      <c r="CZ75" s="140"/>
      <c r="DA75" s="140" t="s">
        <v>856</v>
      </c>
      <c r="DB75" s="140">
        <v>1442</v>
      </c>
      <c r="DC75" s="140"/>
    </row>
    <row r="76" spans="2:107" ht="11.25" customHeight="1" x14ac:dyDescent="0.15">
      <c r="B76" s="139" t="s">
        <v>577</v>
      </c>
      <c r="C76" s="140" t="s">
        <v>1131</v>
      </c>
      <c r="D76" s="140">
        <v>6</v>
      </c>
      <c r="E76" s="139" t="s">
        <v>1147</v>
      </c>
      <c r="F76" s="139" t="s">
        <v>580</v>
      </c>
      <c r="G76" s="140" t="s">
        <v>1131</v>
      </c>
      <c r="H76" s="139" t="s">
        <v>1148</v>
      </c>
      <c r="I76" s="140" t="s">
        <v>421</v>
      </c>
      <c r="J76" s="139" t="s">
        <v>582</v>
      </c>
      <c r="K76" s="139" t="s">
        <v>583</v>
      </c>
      <c r="L76" s="139" t="s">
        <v>583</v>
      </c>
      <c r="M76" s="139" t="s">
        <v>583</v>
      </c>
      <c r="N76" s="139" t="s">
        <v>764</v>
      </c>
      <c r="O76" s="139" t="s">
        <v>1149</v>
      </c>
      <c r="P76" s="139" t="s">
        <v>583</v>
      </c>
      <c r="Q76" s="139" t="s">
        <v>583</v>
      </c>
      <c r="R76" s="140">
        <v>1</v>
      </c>
      <c r="S76" s="140">
        <v>0</v>
      </c>
      <c r="T76" s="140">
        <v>1</v>
      </c>
      <c r="U76" s="140">
        <v>74</v>
      </c>
      <c r="V76" s="139" t="s">
        <v>907</v>
      </c>
      <c r="W76" s="139" t="s">
        <v>908</v>
      </c>
      <c r="X76" s="139" t="s">
        <v>909</v>
      </c>
      <c r="Y76" s="139" t="s">
        <v>910</v>
      </c>
      <c r="Z76" s="139" t="s">
        <v>644</v>
      </c>
      <c r="AA76" s="139" t="s">
        <v>911</v>
      </c>
      <c r="AB76" s="139" t="s">
        <v>907</v>
      </c>
      <c r="AC76" s="139" t="s">
        <v>908</v>
      </c>
      <c r="AD76" s="139" t="s">
        <v>909</v>
      </c>
      <c r="AE76" s="139" t="s">
        <v>910</v>
      </c>
      <c r="AF76" s="139" t="s">
        <v>644</v>
      </c>
      <c r="AG76" s="139" t="s">
        <v>911</v>
      </c>
      <c r="AH76" s="139" t="s">
        <v>751</v>
      </c>
      <c r="AI76" s="139" t="s">
        <v>433</v>
      </c>
      <c r="AJ76" s="140">
        <v>7020269.9299999997</v>
      </c>
      <c r="AK76" s="139" t="s">
        <v>907</v>
      </c>
      <c r="AL76" s="139" t="s">
        <v>908</v>
      </c>
      <c r="AM76" s="139" t="s">
        <v>909</v>
      </c>
      <c r="AN76" s="139" t="s">
        <v>910</v>
      </c>
      <c r="AO76" s="139" t="s">
        <v>644</v>
      </c>
      <c r="AP76" s="139" t="s">
        <v>911</v>
      </c>
      <c r="AQ76" s="139" t="s">
        <v>751</v>
      </c>
      <c r="AR76" s="139" t="s">
        <v>433</v>
      </c>
      <c r="AS76" s="139" t="s">
        <v>433</v>
      </c>
      <c r="AT76" s="139" t="s">
        <v>593</v>
      </c>
      <c r="AU76" s="139" t="s">
        <v>437</v>
      </c>
      <c r="AV76" s="140">
        <v>2</v>
      </c>
      <c r="AW76" s="139" t="s">
        <v>594</v>
      </c>
      <c r="AX76" s="139" t="s">
        <v>595</v>
      </c>
      <c r="AY76" s="139" t="s">
        <v>912</v>
      </c>
      <c r="AZ76" s="140">
        <v>1</v>
      </c>
      <c r="BA76" s="139" t="s">
        <v>597</v>
      </c>
      <c r="BB76" s="140">
        <v>75213.600000000006</v>
      </c>
      <c r="BC76" s="140">
        <v>6881540</v>
      </c>
      <c r="BD76" s="140">
        <v>83495.820000000007</v>
      </c>
      <c r="BE76" s="140">
        <v>91.493300000000005</v>
      </c>
      <c r="BF76" s="139" t="s">
        <v>880</v>
      </c>
      <c r="BG76" s="139" t="s">
        <v>583</v>
      </c>
      <c r="BH76" s="139" t="s">
        <v>1150</v>
      </c>
      <c r="BI76" s="139" t="s">
        <v>598</v>
      </c>
      <c r="BJ76" s="139" t="s">
        <v>624</v>
      </c>
      <c r="BK76" s="139" t="s">
        <v>914</v>
      </c>
      <c r="BL76" s="139" t="s">
        <v>583</v>
      </c>
      <c r="BM76" s="139" t="s">
        <v>915</v>
      </c>
      <c r="BN76" s="139" t="s">
        <v>916</v>
      </c>
      <c r="BO76" s="139" t="s">
        <v>917</v>
      </c>
      <c r="BP76" s="139" t="s">
        <v>918</v>
      </c>
      <c r="BQ76" s="139" t="s">
        <v>772</v>
      </c>
      <c r="BR76" s="140">
        <v>1</v>
      </c>
      <c r="BS76" s="139" t="s">
        <v>1151</v>
      </c>
      <c r="BT76" s="99">
        <f t="shared" si="3"/>
        <v>0</v>
      </c>
      <c r="BU76" s="99">
        <f t="shared" si="3"/>
        <v>0</v>
      </c>
      <c r="BV76" s="99">
        <f t="shared" si="4"/>
        <v>0</v>
      </c>
      <c r="BW76" s="139" t="s">
        <v>602</v>
      </c>
      <c r="BX76" s="139" t="s">
        <v>764</v>
      </c>
      <c r="BY76" s="140">
        <v>74</v>
      </c>
      <c r="BZ76" s="140">
        <v>0</v>
      </c>
      <c r="CA76" s="99">
        <v>14800</v>
      </c>
      <c r="CB76" s="140" t="s">
        <v>603</v>
      </c>
      <c r="CC76" s="140">
        <v>0</v>
      </c>
      <c r="CD76" s="140"/>
      <c r="CE76" s="139" t="s">
        <v>577</v>
      </c>
      <c r="CF76" s="139" t="s">
        <v>775</v>
      </c>
      <c r="CG76" s="139" t="s">
        <v>583</v>
      </c>
      <c r="CH76" s="139" t="s">
        <v>583</v>
      </c>
      <c r="CI76" s="139" t="s">
        <v>751</v>
      </c>
      <c r="CJ76" s="140">
        <v>1525.4</v>
      </c>
      <c r="CK76" s="140" t="s">
        <v>605</v>
      </c>
      <c r="CL76" s="140">
        <v>4000000</v>
      </c>
      <c r="CM76" s="99">
        <v>1184</v>
      </c>
      <c r="CN76" s="140">
        <v>0</v>
      </c>
      <c r="CO76" s="139" t="s">
        <v>583</v>
      </c>
      <c r="CP76" s="139" t="s">
        <v>583</v>
      </c>
      <c r="CQ76" s="140">
        <v>75213.600000000006</v>
      </c>
      <c r="CR76" s="140">
        <v>6881540</v>
      </c>
      <c r="CS76" s="140">
        <v>0</v>
      </c>
      <c r="CT76" s="140">
        <v>1</v>
      </c>
      <c r="CU76" s="140">
        <v>7020269.9299999997</v>
      </c>
      <c r="CV76" s="99">
        <v>83495.820000000007</v>
      </c>
      <c r="CW76" s="139" t="s">
        <v>606</v>
      </c>
      <c r="CX76" s="140">
        <v>70.52</v>
      </c>
      <c r="CY76" s="140"/>
      <c r="CZ76" s="140"/>
      <c r="DA76" s="140" t="s">
        <v>920</v>
      </c>
      <c r="DB76" s="140">
        <v>1308</v>
      </c>
      <c r="DC76" s="140"/>
    </row>
    <row r="77" spans="2:107" ht="11.25" customHeight="1" x14ac:dyDescent="0.15">
      <c r="B77" s="139" t="s">
        <v>577</v>
      </c>
      <c r="C77" s="140" t="s">
        <v>1131</v>
      </c>
      <c r="D77" s="140">
        <v>6</v>
      </c>
      <c r="E77" s="139" t="s">
        <v>1152</v>
      </c>
      <c r="F77" s="139" t="s">
        <v>748</v>
      </c>
      <c r="G77" s="140" t="s">
        <v>1131</v>
      </c>
      <c r="H77" s="139" t="s">
        <v>1153</v>
      </c>
      <c r="I77" s="140" t="s">
        <v>421</v>
      </c>
      <c r="J77" s="139" t="s">
        <v>582</v>
      </c>
      <c r="K77" s="139" t="s">
        <v>583</v>
      </c>
      <c r="L77" s="139" t="s">
        <v>583</v>
      </c>
      <c r="M77" s="139" t="s">
        <v>583</v>
      </c>
      <c r="N77" s="139" t="s">
        <v>817</v>
      </c>
      <c r="O77" s="139" t="s">
        <v>818</v>
      </c>
      <c r="P77" s="139" t="s">
        <v>583</v>
      </c>
      <c r="Q77" s="139" t="s">
        <v>583</v>
      </c>
      <c r="R77" s="140">
        <v>1</v>
      </c>
      <c r="S77" s="140">
        <v>0</v>
      </c>
      <c r="T77" s="140">
        <v>1</v>
      </c>
      <c r="U77" s="140">
        <v>9</v>
      </c>
      <c r="V77" s="139" t="s">
        <v>819</v>
      </c>
      <c r="W77" s="139" t="s">
        <v>820</v>
      </c>
      <c r="X77" s="139" t="s">
        <v>821</v>
      </c>
      <c r="Y77" s="139" t="s">
        <v>822</v>
      </c>
      <c r="Z77" s="139" t="s">
        <v>823</v>
      </c>
      <c r="AA77" s="139" t="s">
        <v>824</v>
      </c>
      <c r="AB77" s="139" t="s">
        <v>819</v>
      </c>
      <c r="AC77" s="139" t="s">
        <v>820</v>
      </c>
      <c r="AD77" s="139" t="s">
        <v>821</v>
      </c>
      <c r="AE77" s="139" t="s">
        <v>822</v>
      </c>
      <c r="AF77" s="139" t="s">
        <v>823</v>
      </c>
      <c r="AG77" s="139" t="s">
        <v>824</v>
      </c>
      <c r="AH77" s="139" t="s">
        <v>759</v>
      </c>
      <c r="AI77" s="139" t="s">
        <v>434</v>
      </c>
      <c r="AJ77" s="140">
        <v>6194096.4100000001</v>
      </c>
      <c r="AK77" s="139" t="s">
        <v>819</v>
      </c>
      <c r="AL77" s="139" t="s">
        <v>820</v>
      </c>
      <c r="AM77" s="139" t="s">
        <v>821</v>
      </c>
      <c r="AN77" s="139" t="s">
        <v>822</v>
      </c>
      <c r="AO77" s="139" t="s">
        <v>823</v>
      </c>
      <c r="AP77" s="139" t="s">
        <v>824</v>
      </c>
      <c r="AQ77" s="139" t="s">
        <v>759</v>
      </c>
      <c r="AR77" s="139" t="s">
        <v>434</v>
      </c>
      <c r="AS77" s="139" t="s">
        <v>434</v>
      </c>
      <c r="AT77" s="139" t="s">
        <v>593</v>
      </c>
      <c r="AU77" s="139" t="s">
        <v>437</v>
      </c>
      <c r="AV77" s="140">
        <v>2</v>
      </c>
      <c r="AW77" s="139" t="s">
        <v>594</v>
      </c>
      <c r="AX77" s="139" t="s">
        <v>653</v>
      </c>
      <c r="AY77" s="139" t="s">
        <v>825</v>
      </c>
      <c r="AZ77" s="140">
        <v>1</v>
      </c>
      <c r="BA77" s="139" t="s">
        <v>597</v>
      </c>
      <c r="BB77" s="140">
        <v>67700</v>
      </c>
      <c r="BC77" s="140">
        <v>6194096</v>
      </c>
      <c r="BD77" s="140">
        <v>73669.7</v>
      </c>
      <c r="BE77" s="140">
        <v>91.493300000000005</v>
      </c>
      <c r="BF77" s="139" t="s">
        <v>880</v>
      </c>
      <c r="BG77" s="139" t="s">
        <v>606</v>
      </c>
      <c r="BH77" s="139" t="s">
        <v>826</v>
      </c>
      <c r="BI77" s="139" t="s">
        <v>598</v>
      </c>
      <c r="BJ77" s="139" t="s">
        <v>599</v>
      </c>
      <c r="BK77" s="139" t="s">
        <v>583</v>
      </c>
      <c r="BL77" s="139" t="s">
        <v>583</v>
      </c>
      <c r="BM77" s="139" t="s">
        <v>583</v>
      </c>
      <c r="BN77" s="139" t="s">
        <v>828</v>
      </c>
      <c r="BO77" s="139" t="s">
        <v>829</v>
      </c>
      <c r="BP77" s="139" t="s">
        <v>925</v>
      </c>
      <c r="BQ77" s="139" t="s">
        <v>723</v>
      </c>
      <c r="BR77" s="140">
        <v>1</v>
      </c>
      <c r="BS77" s="139" t="s">
        <v>1154</v>
      </c>
      <c r="BT77" s="99">
        <f t="shared" si="3"/>
        <v>1</v>
      </c>
      <c r="BU77" s="99">
        <f t="shared" si="3"/>
        <v>1</v>
      </c>
      <c r="BV77" s="99">
        <f t="shared" si="4"/>
        <v>1</v>
      </c>
      <c r="BW77" s="139" t="s">
        <v>602</v>
      </c>
      <c r="BX77" s="139" t="s">
        <v>817</v>
      </c>
      <c r="BY77" s="140">
        <v>9</v>
      </c>
      <c r="BZ77" s="140">
        <v>0</v>
      </c>
      <c r="CA77" s="99">
        <v>42000</v>
      </c>
      <c r="CB77" s="140" t="s">
        <v>603</v>
      </c>
      <c r="CC77" s="140">
        <v>0</v>
      </c>
      <c r="CD77" s="140"/>
      <c r="CE77" s="139" t="s">
        <v>577</v>
      </c>
      <c r="CF77" s="139" t="s">
        <v>604</v>
      </c>
      <c r="CG77" s="139" t="s">
        <v>583</v>
      </c>
      <c r="CH77" s="139" t="s">
        <v>583</v>
      </c>
      <c r="CI77" s="139" t="s">
        <v>759</v>
      </c>
      <c r="CJ77" s="140">
        <v>4410</v>
      </c>
      <c r="CK77" s="140" t="s">
        <v>605</v>
      </c>
      <c r="CL77" s="140">
        <v>4000000</v>
      </c>
      <c r="CM77" s="99">
        <v>4095</v>
      </c>
      <c r="CN77" s="140">
        <v>0</v>
      </c>
      <c r="CO77" s="139" t="s">
        <v>583</v>
      </c>
      <c r="CP77" s="139" t="s">
        <v>583</v>
      </c>
      <c r="CQ77" s="140">
        <v>67700</v>
      </c>
      <c r="CR77" s="140">
        <v>6194096</v>
      </c>
      <c r="CS77" s="140">
        <v>0</v>
      </c>
      <c r="CT77" s="140">
        <v>1</v>
      </c>
      <c r="CU77" s="140">
        <v>6194096.4100000001</v>
      </c>
      <c r="CV77" s="99">
        <v>73669.7</v>
      </c>
      <c r="CW77" s="139" t="s">
        <v>606</v>
      </c>
      <c r="CX77" s="140">
        <v>17.989999999999998</v>
      </c>
      <c r="CY77" s="140"/>
      <c r="CZ77" s="140"/>
      <c r="DA77" s="140" t="s">
        <v>832</v>
      </c>
      <c r="DB77" s="140">
        <v>74</v>
      </c>
      <c r="DC77" s="140"/>
    </row>
    <row r="78" spans="2:107" ht="11.25" customHeight="1" x14ac:dyDescent="0.15">
      <c r="B78" s="139" t="s">
        <v>577</v>
      </c>
      <c r="C78" s="140" t="s">
        <v>1131</v>
      </c>
      <c r="D78" s="140">
        <v>6</v>
      </c>
      <c r="E78" s="139" t="s">
        <v>1155</v>
      </c>
      <c r="F78" s="139" t="s">
        <v>718</v>
      </c>
      <c r="G78" s="140" t="s">
        <v>1131</v>
      </c>
      <c r="H78" s="139" t="s">
        <v>1156</v>
      </c>
      <c r="I78" s="140" t="s">
        <v>421</v>
      </c>
      <c r="J78" s="139" t="s">
        <v>582</v>
      </c>
      <c r="K78" s="139" t="s">
        <v>583</v>
      </c>
      <c r="L78" s="139" t="s">
        <v>583</v>
      </c>
      <c r="M78" s="139" t="s">
        <v>583</v>
      </c>
      <c r="N78" s="139" t="s">
        <v>720</v>
      </c>
      <c r="O78" s="139" t="s">
        <v>721</v>
      </c>
      <c r="P78" s="139" t="s">
        <v>583</v>
      </c>
      <c r="Q78" s="139" t="s">
        <v>583</v>
      </c>
      <c r="R78" s="140">
        <v>1</v>
      </c>
      <c r="S78" s="140">
        <v>0</v>
      </c>
      <c r="T78" s="140">
        <v>1</v>
      </c>
      <c r="U78" s="140">
        <v>150</v>
      </c>
      <c r="V78" s="139" t="s">
        <v>662</v>
      </c>
      <c r="W78" s="139" t="s">
        <v>663</v>
      </c>
      <c r="X78" s="139" t="s">
        <v>664</v>
      </c>
      <c r="Y78" s="139" t="s">
        <v>665</v>
      </c>
      <c r="Z78" s="139" t="s">
        <v>666</v>
      </c>
      <c r="AA78" s="139" t="s">
        <v>667</v>
      </c>
      <c r="AB78" s="139" t="s">
        <v>662</v>
      </c>
      <c r="AC78" s="139" t="s">
        <v>663</v>
      </c>
      <c r="AD78" s="139" t="s">
        <v>664</v>
      </c>
      <c r="AE78" s="139" t="s">
        <v>665</v>
      </c>
      <c r="AF78" s="139" t="s">
        <v>666</v>
      </c>
      <c r="AG78" s="139" t="s">
        <v>667</v>
      </c>
      <c r="AH78" s="139" t="s">
        <v>592</v>
      </c>
      <c r="AI78" s="139" t="s">
        <v>429</v>
      </c>
      <c r="AJ78" s="140">
        <v>4254438.45</v>
      </c>
      <c r="AK78" s="139" t="s">
        <v>662</v>
      </c>
      <c r="AL78" s="139" t="s">
        <v>663</v>
      </c>
      <c r="AM78" s="139" t="s">
        <v>664</v>
      </c>
      <c r="AN78" s="139" t="s">
        <v>665</v>
      </c>
      <c r="AO78" s="139" t="s">
        <v>666</v>
      </c>
      <c r="AP78" s="139" t="s">
        <v>667</v>
      </c>
      <c r="AQ78" s="139" t="s">
        <v>592</v>
      </c>
      <c r="AR78" s="139" t="s">
        <v>429</v>
      </c>
      <c r="AS78" s="139" t="s">
        <v>429</v>
      </c>
      <c r="AT78" s="139" t="s">
        <v>593</v>
      </c>
      <c r="AU78" s="139" t="s">
        <v>437</v>
      </c>
      <c r="AV78" s="140">
        <v>2</v>
      </c>
      <c r="AW78" s="139" t="s">
        <v>594</v>
      </c>
      <c r="AX78" s="139" t="s">
        <v>595</v>
      </c>
      <c r="AY78" s="139" t="s">
        <v>722</v>
      </c>
      <c r="AZ78" s="140">
        <v>1</v>
      </c>
      <c r="BA78" s="139" t="s">
        <v>597</v>
      </c>
      <c r="BB78" s="140">
        <v>43500</v>
      </c>
      <c r="BC78" s="140">
        <v>3979959</v>
      </c>
      <c r="BD78" s="140">
        <v>50600.31</v>
      </c>
      <c r="BE78" s="140">
        <v>91.493300000000005</v>
      </c>
      <c r="BF78" s="139" t="s">
        <v>880</v>
      </c>
      <c r="BG78" s="139" t="s">
        <v>583</v>
      </c>
      <c r="BH78" s="139" t="s">
        <v>924</v>
      </c>
      <c r="BI78" s="139" t="s">
        <v>598</v>
      </c>
      <c r="BJ78" s="139" t="s">
        <v>599</v>
      </c>
      <c r="BK78" s="139" t="s">
        <v>583</v>
      </c>
      <c r="BL78" s="139" t="s">
        <v>583</v>
      </c>
      <c r="BM78" s="139" t="s">
        <v>583</v>
      </c>
      <c r="BN78" s="139" t="s">
        <v>842</v>
      </c>
      <c r="BO78" s="139" t="s">
        <v>843</v>
      </c>
      <c r="BP78" s="139" t="s">
        <v>925</v>
      </c>
      <c r="BQ78" s="139" t="s">
        <v>723</v>
      </c>
      <c r="BR78" s="140">
        <v>1</v>
      </c>
      <c r="BS78" s="139" t="s">
        <v>724</v>
      </c>
      <c r="BT78" s="99">
        <f t="shared" si="3"/>
        <v>1</v>
      </c>
      <c r="BU78" s="99">
        <f t="shared" si="3"/>
        <v>0</v>
      </c>
      <c r="BV78" s="99">
        <f t="shared" si="4"/>
        <v>1</v>
      </c>
      <c r="BW78" s="139" t="s">
        <v>725</v>
      </c>
      <c r="BX78" s="139" t="s">
        <v>1157</v>
      </c>
      <c r="BY78" s="140">
        <v>150</v>
      </c>
      <c r="BZ78" s="140">
        <v>0</v>
      </c>
      <c r="CA78" s="99">
        <v>30000</v>
      </c>
      <c r="CB78" s="140" t="s">
        <v>603</v>
      </c>
      <c r="CC78" s="140">
        <v>0</v>
      </c>
      <c r="CD78" s="140"/>
      <c r="CE78" s="139" t="s">
        <v>577</v>
      </c>
      <c r="CF78" s="139" t="s">
        <v>604</v>
      </c>
      <c r="CG78" s="139" t="s">
        <v>583</v>
      </c>
      <c r="CH78" s="139" t="s">
        <v>583</v>
      </c>
      <c r="CI78" s="139" t="s">
        <v>592</v>
      </c>
      <c r="CJ78" s="140">
        <v>3150</v>
      </c>
      <c r="CK78" s="140" t="s">
        <v>605</v>
      </c>
      <c r="CL78" s="140">
        <v>4000000</v>
      </c>
      <c r="CM78" s="99">
        <v>3000</v>
      </c>
      <c r="CN78" s="140">
        <v>0</v>
      </c>
      <c r="CO78" s="139" t="s">
        <v>583</v>
      </c>
      <c r="CP78" s="139" t="s">
        <v>583</v>
      </c>
      <c r="CQ78" s="140">
        <v>43500</v>
      </c>
      <c r="CR78" s="140">
        <v>3979959</v>
      </c>
      <c r="CS78" s="140">
        <v>0</v>
      </c>
      <c r="CT78" s="140">
        <v>1</v>
      </c>
      <c r="CU78" s="140">
        <v>4254438.45</v>
      </c>
      <c r="CV78" s="99">
        <v>50600.31</v>
      </c>
      <c r="CW78" s="139" t="s">
        <v>606</v>
      </c>
      <c r="CX78" s="140">
        <v>16.87</v>
      </c>
      <c r="CY78" s="140"/>
      <c r="CZ78" s="140"/>
      <c r="DA78" s="140" t="s">
        <v>926</v>
      </c>
      <c r="DB78" s="140">
        <v>9</v>
      </c>
      <c r="DC78" s="140"/>
    </row>
    <row r="79" spans="2:107" ht="11.25" customHeight="1" x14ac:dyDescent="0.15">
      <c r="B79" s="139" t="s">
        <v>577</v>
      </c>
      <c r="C79" s="140" t="s">
        <v>1131</v>
      </c>
      <c r="D79" s="140">
        <v>6</v>
      </c>
      <c r="E79" s="139" t="s">
        <v>1158</v>
      </c>
      <c r="F79" s="139" t="s">
        <v>618</v>
      </c>
      <c r="G79" s="140" t="s">
        <v>1131</v>
      </c>
      <c r="H79" s="139" t="s">
        <v>1159</v>
      </c>
      <c r="I79" s="140" t="s">
        <v>421</v>
      </c>
      <c r="J79" s="139" t="s">
        <v>582</v>
      </c>
      <c r="K79" s="139" t="s">
        <v>583</v>
      </c>
      <c r="L79" s="139" t="s">
        <v>583</v>
      </c>
      <c r="M79" s="139" t="s">
        <v>583</v>
      </c>
      <c r="N79" s="139" t="s">
        <v>441</v>
      </c>
      <c r="O79" s="139" t="s">
        <v>1160</v>
      </c>
      <c r="P79" s="139" t="s">
        <v>583</v>
      </c>
      <c r="Q79" s="139" t="s">
        <v>583</v>
      </c>
      <c r="R79" s="140">
        <v>1</v>
      </c>
      <c r="S79" s="140">
        <v>0</v>
      </c>
      <c r="T79" s="140">
        <v>1</v>
      </c>
      <c r="U79" s="140">
        <v>594</v>
      </c>
      <c r="V79" s="139" t="s">
        <v>586</v>
      </c>
      <c r="W79" s="139" t="s">
        <v>587</v>
      </c>
      <c r="X79" s="139" t="s">
        <v>588</v>
      </c>
      <c r="Y79" s="139" t="s">
        <v>589</v>
      </c>
      <c r="Z79" s="139" t="s">
        <v>590</v>
      </c>
      <c r="AA79" s="139" t="s">
        <v>591</v>
      </c>
      <c r="AB79" s="139" t="s">
        <v>586</v>
      </c>
      <c r="AC79" s="139" t="s">
        <v>587</v>
      </c>
      <c r="AD79" s="139" t="s">
        <v>588</v>
      </c>
      <c r="AE79" s="139" t="s">
        <v>589</v>
      </c>
      <c r="AF79" s="139" t="s">
        <v>590</v>
      </c>
      <c r="AG79" s="139" t="s">
        <v>591</v>
      </c>
      <c r="AH79" s="139" t="s">
        <v>621</v>
      </c>
      <c r="AI79" s="139" t="s">
        <v>430</v>
      </c>
      <c r="AJ79" s="140">
        <v>15108471.619999999</v>
      </c>
      <c r="AK79" s="139" t="s">
        <v>586</v>
      </c>
      <c r="AL79" s="139" t="s">
        <v>587</v>
      </c>
      <c r="AM79" s="139" t="s">
        <v>588</v>
      </c>
      <c r="AN79" s="139" t="s">
        <v>589</v>
      </c>
      <c r="AO79" s="139" t="s">
        <v>590</v>
      </c>
      <c r="AP79" s="139" t="s">
        <v>591</v>
      </c>
      <c r="AQ79" s="139" t="s">
        <v>621</v>
      </c>
      <c r="AR79" s="139" t="s">
        <v>430</v>
      </c>
      <c r="AS79" s="139" t="s">
        <v>430</v>
      </c>
      <c r="AT79" s="139" t="s">
        <v>593</v>
      </c>
      <c r="AU79" s="139" t="s">
        <v>437</v>
      </c>
      <c r="AV79" s="140">
        <v>0</v>
      </c>
      <c r="AW79" s="139" t="s">
        <v>594</v>
      </c>
      <c r="AX79" s="139" t="s">
        <v>622</v>
      </c>
      <c r="AY79" s="139" t="s">
        <v>623</v>
      </c>
      <c r="AZ79" s="140">
        <v>1</v>
      </c>
      <c r="BA79" s="139" t="s">
        <v>597</v>
      </c>
      <c r="BB79" s="140">
        <v>165132</v>
      </c>
      <c r="BC79" s="140">
        <v>15108472</v>
      </c>
      <c r="BD79" s="140">
        <v>179693.12</v>
      </c>
      <c r="BE79" s="140">
        <v>91.493300000000005</v>
      </c>
      <c r="BF79" s="139" t="s">
        <v>880</v>
      </c>
      <c r="BG79" s="139" t="s">
        <v>582</v>
      </c>
      <c r="BH79" s="139" t="s">
        <v>1161</v>
      </c>
      <c r="BI79" s="139" t="s">
        <v>598</v>
      </c>
      <c r="BJ79" s="139" t="s">
        <v>624</v>
      </c>
      <c r="BK79" s="139" t="s">
        <v>882</v>
      </c>
      <c r="BL79" s="139" t="s">
        <v>583</v>
      </c>
      <c r="BM79" s="139" t="s">
        <v>883</v>
      </c>
      <c r="BN79" s="139" t="s">
        <v>971</v>
      </c>
      <c r="BO79" s="139" t="s">
        <v>972</v>
      </c>
      <c r="BP79" s="139" t="s">
        <v>1162</v>
      </c>
      <c r="BQ79" s="139" t="s">
        <v>625</v>
      </c>
      <c r="BR79" s="140">
        <v>1</v>
      </c>
      <c r="BS79" s="139" t="s">
        <v>1163</v>
      </c>
      <c r="BT79" s="99">
        <f t="shared" si="3"/>
        <v>0</v>
      </c>
      <c r="BU79" s="99">
        <f t="shared" si="3"/>
        <v>1</v>
      </c>
      <c r="BV79" s="99">
        <f t="shared" si="4"/>
        <v>1</v>
      </c>
      <c r="BW79" s="139" t="s">
        <v>602</v>
      </c>
      <c r="BX79" s="139" t="s">
        <v>441</v>
      </c>
      <c r="BY79" s="140">
        <v>594</v>
      </c>
      <c r="BZ79" s="140">
        <v>0</v>
      </c>
      <c r="CA79" s="99">
        <v>118800</v>
      </c>
      <c r="CB79" s="140" t="s">
        <v>603</v>
      </c>
      <c r="CC79" s="140">
        <v>0</v>
      </c>
      <c r="CD79" s="140"/>
      <c r="CE79" s="139" t="s">
        <v>577</v>
      </c>
      <c r="CF79" s="139" t="s">
        <v>604</v>
      </c>
      <c r="CG79" s="139" t="s">
        <v>583</v>
      </c>
      <c r="CH79" s="139" t="s">
        <v>583</v>
      </c>
      <c r="CI79" s="139" t="s">
        <v>621</v>
      </c>
      <c r="CJ79" s="140">
        <v>13000</v>
      </c>
      <c r="CK79" s="140" t="s">
        <v>605</v>
      </c>
      <c r="CL79" s="140">
        <v>4000000</v>
      </c>
      <c r="CM79" s="99">
        <v>10692</v>
      </c>
      <c r="CN79" s="140">
        <v>0</v>
      </c>
      <c r="CO79" s="139" t="s">
        <v>583</v>
      </c>
      <c r="CP79" s="139" t="s">
        <v>583</v>
      </c>
      <c r="CQ79" s="140">
        <v>165132</v>
      </c>
      <c r="CR79" s="140">
        <v>15108472</v>
      </c>
      <c r="CS79" s="140">
        <v>0</v>
      </c>
      <c r="CT79" s="140">
        <v>1</v>
      </c>
      <c r="CU79" s="140">
        <v>15108471.619999999</v>
      </c>
      <c r="CV79" s="99">
        <v>179693.12</v>
      </c>
      <c r="CW79" s="139" t="s">
        <v>606</v>
      </c>
      <c r="CX79" s="140">
        <v>16.809999999999999</v>
      </c>
      <c r="CY79" s="140"/>
      <c r="CZ79" s="140"/>
      <c r="DA79" s="140" t="s">
        <v>856</v>
      </c>
      <c r="DB79" s="140">
        <v>1055</v>
      </c>
      <c r="DC79" s="140"/>
    </row>
    <row r="80" spans="2:107" ht="11.25" customHeight="1" x14ac:dyDescent="0.15">
      <c r="B80" s="139" t="s">
        <v>577</v>
      </c>
      <c r="C80" s="140" t="s">
        <v>1131</v>
      </c>
      <c r="D80" s="140">
        <v>6</v>
      </c>
      <c r="E80" s="139" t="s">
        <v>1164</v>
      </c>
      <c r="F80" s="139" t="s">
        <v>580</v>
      </c>
      <c r="G80" s="140" t="s">
        <v>1131</v>
      </c>
      <c r="H80" s="139" t="s">
        <v>1165</v>
      </c>
      <c r="I80" s="140" t="s">
        <v>421</v>
      </c>
      <c r="J80" s="139" t="s">
        <v>582</v>
      </c>
      <c r="K80" s="139" t="s">
        <v>583</v>
      </c>
      <c r="L80" s="139" t="s">
        <v>583</v>
      </c>
      <c r="M80" s="139" t="s">
        <v>583</v>
      </c>
      <c r="N80" s="139" t="s">
        <v>584</v>
      </c>
      <c r="O80" s="139" t="s">
        <v>585</v>
      </c>
      <c r="P80" s="139" t="s">
        <v>583</v>
      </c>
      <c r="Q80" s="139" t="s">
        <v>583</v>
      </c>
      <c r="R80" s="140">
        <v>1</v>
      </c>
      <c r="S80" s="140">
        <v>0</v>
      </c>
      <c r="T80" s="140">
        <v>1</v>
      </c>
      <c r="U80" s="140">
        <v>546</v>
      </c>
      <c r="V80" s="139" t="s">
        <v>586</v>
      </c>
      <c r="W80" s="139" t="s">
        <v>587</v>
      </c>
      <c r="X80" s="139" t="s">
        <v>588</v>
      </c>
      <c r="Y80" s="139" t="s">
        <v>589</v>
      </c>
      <c r="Z80" s="139" t="s">
        <v>590</v>
      </c>
      <c r="AA80" s="139" t="s">
        <v>591</v>
      </c>
      <c r="AB80" s="139" t="s">
        <v>586</v>
      </c>
      <c r="AC80" s="139" t="s">
        <v>587</v>
      </c>
      <c r="AD80" s="139" t="s">
        <v>588</v>
      </c>
      <c r="AE80" s="139" t="s">
        <v>589</v>
      </c>
      <c r="AF80" s="139" t="s">
        <v>590</v>
      </c>
      <c r="AG80" s="139" t="s">
        <v>591</v>
      </c>
      <c r="AH80" s="139" t="s">
        <v>592</v>
      </c>
      <c r="AI80" s="139" t="s">
        <v>429</v>
      </c>
      <c r="AJ80" s="140">
        <v>12758740.689999999</v>
      </c>
      <c r="AK80" s="139" t="s">
        <v>586</v>
      </c>
      <c r="AL80" s="139" t="s">
        <v>587</v>
      </c>
      <c r="AM80" s="139" t="s">
        <v>588</v>
      </c>
      <c r="AN80" s="139" t="s">
        <v>589</v>
      </c>
      <c r="AO80" s="139" t="s">
        <v>590</v>
      </c>
      <c r="AP80" s="139" t="s">
        <v>591</v>
      </c>
      <c r="AQ80" s="139" t="s">
        <v>592</v>
      </c>
      <c r="AR80" s="139" t="s">
        <v>429</v>
      </c>
      <c r="AS80" s="139" t="s">
        <v>429</v>
      </c>
      <c r="AT80" s="139" t="s">
        <v>593</v>
      </c>
      <c r="AU80" s="139" t="s">
        <v>437</v>
      </c>
      <c r="AV80" s="140">
        <v>2</v>
      </c>
      <c r="AW80" s="139" t="s">
        <v>594</v>
      </c>
      <c r="AX80" s="139" t="s">
        <v>595</v>
      </c>
      <c r="AY80" s="139" t="s">
        <v>596</v>
      </c>
      <c r="AZ80" s="140">
        <v>1</v>
      </c>
      <c r="BA80" s="139" t="s">
        <v>597</v>
      </c>
      <c r="BB80" s="140">
        <v>136500</v>
      </c>
      <c r="BC80" s="140">
        <v>12488835</v>
      </c>
      <c r="BD80" s="140">
        <v>151746.51</v>
      </c>
      <c r="BE80" s="140">
        <v>91.493300000000005</v>
      </c>
      <c r="BF80" s="139" t="s">
        <v>880</v>
      </c>
      <c r="BG80" s="139" t="s">
        <v>583</v>
      </c>
      <c r="BH80" s="139" t="s">
        <v>958</v>
      </c>
      <c r="BI80" s="139" t="s">
        <v>598</v>
      </c>
      <c r="BJ80" s="139" t="s">
        <v>599</v>
      </c>
      <c r="BK80" s="139" t="s">
        <v>583</v>
      </c>
      <c r="BL80" s="139" t="s">
        <v>583</v>
      </c>
      <c r="BM80" s="139" t="s">
        <v>583</v>
      </c>
      <c r="BN80" s="139" t="s">
        <v>853</v>
      </c>
      <c r="BO80" s="139" t="s">
        <v>854</v>
      </c>
      <c r="BP80" s="139" t="s">
        <v>959</v>
      </c>
      <c r="BQ80" s="139" t="s">
        <v>600</v>
      </c>
      <c r="BR80" s="140">
        <v>1</v>
      </c>
      <c r="BS80" s="139" t="s">
        <v>1166</v>
      </c>
      <c r="BT80" s="99">
        <f t="shared" si="3"/>
        <v>0</v>
      </c>
      <c r="BU80" s="99">
        <f t="shared" si="3"/>
        <v>0</v>
      </c>
      <c r="BV80" s="99">
        <f t="shared" si="4"/>
        <v>0</v>
      </c>
      <c r="BW80" s="139" t="s">
        <v>602</v>
      </c>
      <c r="BX80" s="139" t="s">
        <v>584</v>
      </c>
      <c r="BY80" s="140">
        <v>546</v>
      </c>
      <c r="BZ80" s="140">
        <v>0</v>
      </c>
      <c r="CA80" s="99">
        <v>109200</v>
      </c>
      <c r="CB80" s="140" t="s">
        <v>603</v>
      </c>
      <c r="CC80" s="140">
        <v>0</v>
      </c>
      <c r="CD80" s="140"/>
      <c r="CE80" s="139" t="s">
        <v>577</v>
      </c>
      <c r="CF80" s="139" t="s">
        <v>604</v>
      </c>
      <c r="CG80" s="139" t="s">
        <v>583</v>
      </c>
      <c r="CH80" s="139" t="s">
        <v>583</v>
      </c>
      <c r="CI80" s="139" t="s">
        <v>592</v>
      </c>
      <c r="CJ80" s="140">
        <v>12012</v>
      </c>
      <c r="CK80" s="140" t="s">
        <v>605</v>
      </c>
      <c r="CL80" s="140">
        <v>4000000</v>
      </c>
      <c r="CM80" s="99">
        <v>11466</v>
      </c>
      <c r="CN80" s="140">
        <v>0</v>
      </c>
      <c r="CO80" s="139" t="s">
        <v>583</v>
      </c>
      <c r="CP80" s="139" t="s">
        <v>583</v>
      </c>
      <c r="CQ80" s="140">
        <v>136500</v>
      </c>
      <c r="CR80" s="140">
        <v>12488835</v>
      </c>
      <c r="CS80" s="140">
        <v>0</v>
      </c>
      <c r="CT80" s="140">
        <v>1</v>
      </c>
      <c r="CU80" s="140">
        <v>12758740.689999999</v>
      </c>
      <c r="CV80" s="99">
        <v>151746.51</v>
      </c>
      <c r="CW80" s="139" t="s">
        <v>606</v>
      </c>
      <c r="CX80" s="140">
        <v>13.23</v>
      </c>
      <c r="CY80" s="140"/>
      <c r="CZ80" s="140"/>
      <c r="DA80" s="140" t="s">
        <v>856</v>
      </c>
      <c r="DB80" s="140">
        <v>1579</v>
      </c>
      <c r="DC80" s="140"/>
    </row>
    <row r="81" spans="2:107" ht="11.25" customHeight="1" x14ac:dyDescent="0.15">
      <c r="B81" s="139" t="s">
        <v>577</v>
      </c>
      <c r="C81" s="140" t="s">
        <v>1131</v>
      </c>
      <c r="D81" s="140">
        <v>6</v>
      </c>
      <c r="E81" s="139" t="s">
        <v>1167</v>
      </c>
      <c r="F81" s="139" t="s">
        <v>580</v>
      </c>
      <c r="G81" s="140" t="s">
        <v>1131</v>
      </c>
      <c r="H81" s="139" t="s">
        <v>1168</v>
      </c>
      <c r="I81" s="140" t="s">
        <v>421</v>
      </c>
      <c r="J81" s="139" t="s">
        <v>582</v>
      </c>
      <c r="K81" s="139" t="s">
        <v>583</v>
      </c>
      <c r="L81" s="139" t="s">
        <v>583</v>
      </c>
      <c r="M81" s="139" t="s">
        <v>583</v>
      </c>
      <c r="N81" s="139" t="s">
        <v>1169</v>
      </c>
      <c r="O81" s="139" t="s">
        <v>1170</v>
      </c>
      <c r="P81" s="139" t="s">
        <v>583</v>
      </c>
      <c r="Q81" s="139" t="s">
        <v>583</v>
      </c>
      <c r="R81" s="140">
        <v>1</v>
      </c>
      <c r="S81" s="140">
        <v>0</v>
      </c>
      <c r="T81" s="140">
        <v>1</v>
      </c>
      <c r="U81" s="140">
        <v>30</v>
      </c>
      <c r="V81" s="139" t="s">
        <v>907</v>
      </c>
      <c r="W81" s="139" t="s">
        <v>908</v>
      </c>
      <c r="X81" s="139" t="s">
        <v>909</v>
      </c>
      <c r="Y81" s="139" t="s">
        <v>910</v>
      </c>
      <c r="Z81" s="139" t="s">
        <v>644</v>
      </c>
      <c r="AA81" s="139" t="s">
        <v>911</v>
      </c>
      <c r="AB81" s="139" t="s">
        <v>907</v>
      </c>
      <c r="AC81" s="139" t="s">
        <v>908</v>
      </c>
      <c r="AD81" s="139" t="s">
        <v>909</v>
      </c>
      <c r="AE81" s="139" t="s">
        <v>910</v>
      </c>
      <c r="AF81" s="139" t="s">
        <v>644</v>
      </c>
      <c r="AG81" s="139" t="s">
        <v>911</v>
      </c>
      <c r="AH81" s="139" t="s">
        <v>592</v>
      </c>
      <c r="AI81" s="139" t="s">
        <v>429</v>
      </c>
      <c r="AJ81" s="140">
        <v>803315.75</v>
      </c>
      <c r="AK81" s="139" t="s">
        <v>907</v>
      </c>
      <c r="AL81" s="139" t="s">
        <v>908</v>
      </c>
      <c r="AM81" s="139" t="s">
        <v>909</v>
      </c>
      <c r="AN81" s="139" t="s">
        <v>910</v>
      </c>
      <c r="AO81" s="139" t="s">
        <v>644</v>
      </c>
      <c r="AP81" s="139" t="s">
        <v>911</v>
      </c>
      <c r="AQ81" s="139" t="s">
        <v>592</v>
      </c>
      <c r="AR81" s="139" t="s">
        <v>429</v>
      </c>
      <c r="AS81" s="139" t="s">
        <v>429</v>
      </c>
      <c r="AT81" s="139" t="s">
        <v>593</v>
      </c>
      <c r="AU81" s="139" t="s">
        <v>437</v>
      </c>
      <c r="AV81" s="140">
        <v>2</v>
      </c>
      <c r="AW81" s="139" t="s">
        <v>594</v>
      </c>
      <c r="AX81" s="139" t="s">
        <v>595</v>
      </c>
      <c r="AY81" s="139" t="s">
        <v>722</v>
      </c>
      <c r="AZ81" s="140">
        <v>1</v>
      </c>
      <c r="BA81" s="139" t="s">
        <v>597</v>
      </c>
      <c r="BB81" s="140">
        <v>8700</v>
      </c>
      <c r="BC81" s="140">
        <v>795992</v>
      </c>
      <c r="BD81" s="140">
        <v>9554.26</v>
      </c>
      <c r="BE81" s="140">
        <v>91.493300000000005</v>
      </c>
      <c r="BF81" s="139" t="s">
        <v>880</v>
      </c>
      <c r="BG81" s="139" t="s">
        <v>583</v>
      </c>
      <c r="BH81" s="139" t="s">
        <v>1171</v>
      </c>
      <c r="BI81" s="139" t="s">
        <v>598</v>
      </c>
      <c r="BJ81" s="139" t="s">
        <v>624</v>
      </c>
      <c r="BK81" s="139" t="s">
        <v>914</v>
      </c>
      <c r="BL81" s="139" t="s">
        <v>583</v>
      </c>
      <c r="BM81" s="139" t="s">
        <v>915</v>
      </c>
      <c r="BN81" s="139" t="s">
        <v>916</v>
      </c>
      <c r="BO81" s="139" t="s">
        <v>917</v>
      </c>
      <c r="BP81" s="139" t="s">
        <v>918</v>
      </c>
      <c r="BQ81" s="139" t="s">
        <v>772</v>
      </c>
      <c r="BR81" s="140">
        <v>1</v>
      </c>
      <c r="BS81" s="139" t="s">
        <v>1172</v>
      </c>
      <c r="BT81" s="99">
        <f t="shared" si="3"/>
        <v>0</v>
      </c>
      <c r="BU81" s="99">
        <f t="shared" si="3"/>
        <v>1</v>
      </c>
      <c r="BV81" s="99">
        <f t="shared" si="4"/>
        <v>1</v>
      </c>
      <c r="BW81" s="139" t="s">
        <v>602</v>
      </c>
      <c r="BX81" s="139" t="s">
        <v>1169</v>
      </c>
      <c r="BY81" s="140">
        <v>30</v>
      </c>
      <c r="BZ81" s="140">
        <v>0</v>
      </c>
      <c r="CA81" s="99">
        <v>6000</v>
      </c>
      <c r="CB81" s="140" t="s">
        <v>603</v>
      </c>
      <c r="CC81" s="140">
        <v>0</v>
      </c>
      <c r="CD81" s="140"/>
      <c r="CE81" s="139" t="s">
        <v>577</v>
      </c>
      <c r="CF81" s="139" t="s">
        <v>604</v>
      </c>
      <c r="CG81" s="139" t="s">
        <v>583</v>
      </c>
      <c r="CH81" s="139" t="s">
        <v>583</v>
      </c>
      <c r="CI81" s="139" t="s">
        <v>592</v>
      </c>
      <c r="CJ81" s="140">
        <v>630</v>
      </c>
      <c r="CK81" s="140" t="s">
        <v>605</v>
      </c>
      <c r="CL81" s="140">
        <v>4000000</v>
      </c>
      <c r="CM81" s="99">
        <v>600</v>
      </c>
      <c r="CN81" s="140">
        <v>0</v>
      </c>
      <c r="CO81" s="139" t="s">
        <v>583</v>
      </c>
      <c r="CP81" s="139" t="s">
        <v>583</v>
      </c>
      <c r="CQ81" s="140">
        <v>8700</v>
      </c>
      <c r="CR81" s="140">
        <v>795992</v>
      </c>
      <c r="CS81" s="140">
        <v>0</v>
      </c>
      <c r="CT81" s="140">
        <v>1</v>
      </c>
      <c r="CU81" s="140">
        <v>803315.75</v>
      </c>
      <c r="CV81" s="99">
        <v>9554.26</v>
      </c>
      <c r="CW81" s="139" t="s">
        <v>606</v>
      </c>
      <c r="CX81" s="140">
        <v>15.92</v>
      </c>
      <c r="CY81" s="140"/>
      <c r="CZ81" s="140"/>
      <c r="DA81" s="140" t="s">
        <v>920</v>
      </c>
      <c r="DB81" s="140">
        <v>1208</v>
      </c>
      <c r="DC81" s="140"/>
    </row>
    <row r="82" spans="2:107" ht="11.25" customHeight="1" x14ac:dyDescent="0.15">
      <c r="B82" s="139" t="s">
        <v>577</v>
      </c>
      <c r="C82" s="140" t="s">
        <v>1131</v>
      </c>
      <c r="D82" s="140">
        <v>6</v>
      </c>
      <c r="E82" s="139" t="s">
        <v>1173</v>
      </c>
      <c r="F82" s="139" t="s">
        <v>580</v>
      </c>
      <c r="G82" s="140" t="s">
        <v>1131</v>
      </c>
      <c r="H82" s="139" t="s">
        <v>1174</v>
      </c>
      <c r="I82" s="140" t="s">
        <v>421</v>
      </c>
      <c r="J82" s="139" t="s">
        <v>582</v>
      </c>
      <c r="K82" s="139" t="s">
        <v>583</v>
      </c>
      <c r="L82" s="139" t="s">
        <v>583</v>
      </c>
      <c r="M82" s="139" t="s">
        <v>583</v>
      </c>
      <c r="N82" s="139" t="s">
        <v>731</v>
      </c>
      <c r="O82" s="139" t="s">
        <v>1099</v>
      </c>
      <c r="P82" s="139" t="s">
        <v>583</v>
      </c>
      <c r="Q82" s="139" t="s">
        <v>583</v>
      </c>
      <c r="R82" s="140">
        <v>1</v>
      </c>
      <c r="S82" s="140">
        <v>0</v>
      </c>
      <c r="T82" s="140">
        <v>1</v>
      </c>
      <c r="U82" s="140">
        <v>358</v>
      </c>
      <c r="V82" s="139" t="s">
        <v>586</v>
      </c>
      <c r="W82" s="139" t="s">
        <v>587</v>
      </c>
      <c r="X82" s="139" t="s">
        <v>588</v>
      </c>
      <c r="Y82" s="139" t="s">
        <v>589</v>
      </c>
      <c r="Z82" s="139" t="s">
        <v>590</v>
      </c>
      <c r="AA82" s="139" t="s">
        <v>591</v>
      </c>
      <c r="AB82" s="139" t="s">
        <v>586</v>
      </c>
      <c r="AC82" s="139" t="s">
        <v>587</v>
      </c>
      <c r="AD82" s="139" t="s">
        <v>588</v>
      </c>
      <c r="AE82" s="139" t="s">
        <v>589</v>
      </c>
      <c r="AF82" s="139" t="s">
        <v>590</v>
      </c>
      <c r="AG82" s="139" t="s">
        <v>591</v>
      </c>
      <c r="AH82" s="139" t="s">
        <v>733</v>
      </c>
      <c r="AI82" s="139" t="s">
        <v>432</v>
      </c>
      <c r="AJ82" s="140">
        <v>11791656.5</v>
      </c>
      <c r="AK82" s="139" t="s">
        <v>586</v>
      </c>
      <c r="AL82" s="139" t="s">
        <v>587</v>
      </c>
      <c r="AM82" s="139" t="s">
        <v>588</v>
      </c>
      <c r="AN82" s="139" t="s">
        <v>589</v>
      </c>
      <c r="AO82" s="139" t="s">
        <v>590</v>
      </c>
      <c r="AP82" s="139" t="s">
        <v>591</v>
      </c>
      <c r="AQ82" s="139" t="s">
        <v>733</v>
      </c>
      <c r="AR82" s="139" t="s">
        <v>432</v>
      </c>
      <c r="AS82" s="139" t="s">
        <v>432</v>
      </c>
      <c r="AT82" s="139" t="s">
        <v>593</v>
      </c>
      <c r="AU82" s="139" t="s">
        <v>437</v>
      </c>
      <c r="AV82" s="140">
        <v>2</v>
      </c>
      <c r="AW82" s="139" t="s">
        <v>594</v>
      </c>
      <c r="AX82" s="139" t="s">
        <v>653</v>
      </c>
      <c r="AY82" s="139" t="s">
        <v>850</v>
      </c>
      <c r="AZ82" s="140">
        <v>1</v>
      </c>
      <c r="BA82" s="139" t="s">
        <v>597</v>
      </c>
      <c r="BB82" s="140">
        <v>128880</v>
      </c>
      <c r="BC82" s="140">
        <v>11791657</v>
      </c>
      <c r="BD82" s="140">
        <v>140244.47</v>
      </c>
      <c r="BE82" s="140">
        <v>91.493300000000005</v>
      </c>
      <c r="BF82" s="139" t="s">
        <v>880</v>
      </c>
      <c r="BG82" s="139" t="s">
        <v>583</v>
      </c>
      <c r="BH82" s="139" t="s">
        <v>987</v>
      </c>
      <c r="BI82" s="139" t="s">
        <v>598</v>
      </c>
      <c r="BJ82" s="139" t="s">
        <v>1100</v>
      </c>
      <c r="BK82" s="139" t="s">
        <v>1101</v>
      </c>
      <c r="BL82" s="139" t="s">
        <v>1101</v>
      </c>
      <c r="BM82" s="139" t="s">
        <v>583</v>
      </c>
      <c r="BN82" s="139" t="s">
        <v>1102</v>
      </c>
      <c r="BO82" s="139" t="s">
        <v>1103</v>
      </c>
      <c r="BP82" s="139" t="s">
        <v>1104</v>
      </c>
      <c r="BQ82" s="139" t="s">
        <v>600</v>
      </c>
      <c r="BR82" s="140">
        <v>1</v>
      </c>
      <c r="BS82" s="139" t="s">
        <v>988</v>
      </c>
      <c r="BT82" s="99">
        <f t="shared" si="3"/>
        <v>0</v>
      </c>
      <c r="BU82" s="99">
        <f t="shared" si="3"/>
        <v>1</v>
      </c>
      <c r="BV82" s="99">
        <f t="shared" si="4"/>
        <v>1</v>
      </c>
      <c r="BW82" s="139" t="s">
        <v>602</v>
      </c>
      <c r="BX82" s="139" t="s">
        <v>731</v>
      </c>
      <c r="BY82" s="140">
        <v>358</v>
      </c>
      <c r="BZ82" s="140">
        <v>0</v>
      </c>
      <c r="CA82" s="99">
        <v>71600</v>
      </c>
      <c r="CB82" s="140" t="s">
        <v>603</v>
      </c>
      <c r="CC82" s="140">
        <v>0</v>
      </c>
      <c r="CD82" s="140"/>
      <c r="CE82" s="139" t="s">
        <v>577</v>
      </c>
      <c r="CF82" s="139" t="s">
        <v>604</v>
      </c>
      <c r="CG82" s="139" t="s">
        <v>583</v>
      </c>
      <c r="CH82" s="139" t="s">
        <v>583</v>
      </c>
      <c r="CI82" s="139" t="s">
        <v>733</v>
      </c>
      <c r="CJ82" s="140">
        <v>7876</v>
      </c>
      <c r="CK82" s="140" t="s">
        <v>605</v>
      </c>
      <c r="CL82" s="140">
        <v>4000000</v>
      </c>
      <c r="CM82" s="99">
        <v>7160</v>
      </c>
      <c r="CN82" s="140">
        <v>0</v>
      </c>
      <c r="CO82" s="139" t="s">
        <v>583</v>
      </c>
      <c r="CP82" s="139" t="s">
        <v>583</v>
      </c>
      <c r="CQ82" s="140">
        <v>128880</v>
      </c>
      <c r="CR82" s="140">
        <v>11791657</v>
      </c>
      <c r="CS82" s="140">
        <v>0</v>
      </c>
      <c r="CT82" s="140">
        <v>1</v>
      </c>
      <c r="CU82" s="140">
        <v>11791656.5</v>
      </c>
      <c r="CV82" s="99">
        <v>140244.47</v>
      </c>
      <c r="CW82" s="139" t="s">
        <v>606</v>
      </c>
      <c r="CX82" s="140">
        <v>19.59</v>
      </c>
      <c r="CY82" s="140"/>
      <c r="CZ82" s="140"/>
      <c r="DA82" s="140" t="s">
        <v>856</v>
      </c>
      <c r="DB82" s="140">
        <v>1101</v>
      </c>
      <c r="DC82" s="140"/>
    </row>
    <row r="83" spans="2:107" ht="11.25" customHeight="1" x14ac:dyDescent="0.15">
      <c r="B83" s="139" t="s">
        <v>577</v>
      </c>
      <c r="C83" s="140" t="s">
        <v>1175</v>
      </c>
      <c r="D83" s="140">
        <v>6</v>
      </c>
      <c r="E83" s="139" t="s">
        <v>1176</v>
      </c>
      <c r="F83" s="139" t="s">
        <v>729</v>
      </c>
      <c r="G83" s="140" t="s">
        <v>1175</v>
      </c>
      <c r="H83" s="139" t="s">
        <v>1177</v>
      </c>
      <c r="I83" s="140" t="s">
        <v>421</v>
      </c>
      <c r="J83" s="139" t="s">
        <v>582</v>
      </c>
      <c r="K83" s="139" t="s">
        <v>583</v>
      </c>
      <c r="L83" s="139" t="s">
        <v>583</v>
      </c>
      <c r="M83" s="139" t="s">
        <v>583</v>
      </c>
      <c r="N83" s="139" t="s">
        <v>731</v>
      </c>
      <c r="O83" s="139" t="s">
        <v>1178</v>
      </c>
      <c r="P83" s="139" t="s">
        <v>583</v>
      </c>
      <c r="Q83" s="139" t="s">
        <v>583</v>
      </c>
      <c r="R83" s="140">
        <v>1</v>
      </c>
      <c r="S83" s="140">
        <v>0</v>
      </c>
      <c r="T83" s="140">
        <v>1</v>
      </c>
      <c r="U83" s="140">
        <v>800</v>
      </c>
      <c r="V83" s="139" t="s">
        <v>691</v>
      </c>
      <c r="W83" s="139" t="s">
        <v>692</v>
      </c>
      <c r="X83" s="139" t="s">
        <v>693</v>
      </c>
      <c r="Y83" s="139" t="s">
        <v>694</v>
      </c>
      <c r="Z83" s="139" t="s">
        <v>695</v>
      </c>
      <c r="AA83" s="139" t="s">
        <v>696</v>
      </c>
      <c r="AB83" s="139" t="s">
        <v>691</v>
      </c>
      <c r="AC83" s="139" t="s">
        <v>692</v>
      </c>
      <c r="AD83" s="139" t="s">
        <v>693</v>
      </c>
      <c r="AE83" s="139" t="s">
        <v>694</v>
      </c>
      <c r="AF83" s="139" t="s">
        <v>695</v>
      </c>
      <c r="AG83" s="139" t="s">
        <v>696</v>
      </c>
      <c r="AH83" s="139" t="s">
        <v>733</v>
      </c>
      <c r="AI83" s="139" t="s">
        <v>432</v>
      </c>
      <c r="AJ83" s="140">
        <v>25837707.920000002</v>
      </c>
      <c r="AK83" s="139" t="s">
        <v>691</v>
      </c>
      <c r="AL83" s="139" t="s">
        <v>692</v>
      </c>
      <c r="AM83" s="139" t="s">
        <v>693</v>
      </c>
      <c r="AN83" s="139" t="s">
        <v>694</v>
      </c>
      <c r="AO83" s="139" t="s">
        <v>695</v>
      </c>
      <c r="AP83" s="139" t="s">
        <v>696</v>
      </c>
      <c r="AQ83" s="139" t="s">
        <v>733</v>
      </c>
      <c r="AR83" s="139" t="s">
        <v>432</v>
      </c>
      <c r="AS83" s="139" t="s">
        <v>432</v>
      </c>
      <c r="AT83" s="139" t="s">
        <v>593</v>
      </c>
      <c r="AU83" s="139" t="s">
        <v>437</v>
      </c>
      <c r="AV83" s="140">
        <v>2</v>
      </c>
      <c r="AW83" s="139" t="s">
        <v>594</v>
      </c>
      <c r="AX83" s="139" t="s">
        <v>653</v>
      </c>
      <c r="AY83" s="139" t="s">
        <v>734</v>
      </c>
      <c r="AZ83" s="140">
        <v>1</v>
      </c>
      <c r="BA83" s="139" t="s">
        <v>597</v>
      </c>
      <c r="BB83" s="140">
        <v>282400</v>
      </c>
      <c r="BC83" s="140">
        <v>25837708</v>
      </c>
      <c r="BD83" s="140">
        <v>307301.65000000002</v>
      </c>
      <c r="BE83" s="140">
        <v>91.493300000000005</v>
      </c>
      <c r="BF83" s="139" t="s">
        <v>880</v>
      </c>
      <c r="BG83" s="139" t="s">
        <v>583</v>
      </c>
      <c r="BH83" s="139" t="s">
        <v>736</v>
      </c>
      <c r="BI83" s="139" t="s">
        <v>598</v>
      </c>
      <c r="BJ83" s="139" t="s">
        <v>624</v>
      </c>
      <c r="BK83" s="139" t="s">
        <v>890</v>
      </c>
      <c r="BL83" s="139" t="s">
        <v>583</v>
      </c>
      <c r="BM83" s="139" t="s">
        <v>891</v>
      </c>
      <c r="BN83" s="139" t="s">
        <v>738</v>
      </c>
      <c r="BO83" s="139" t="s">
        <v>739</v>
      </c>
      <c r="BP83" s="139" t="s">
        <v>892</v>
      </c>
      <c r="BQ83" s="139" t="s">
        <v>741</v>
      </c>
      <c r="BR83" s="140">
        <v>1</v>
      </c>
      <c r="BS83" s="139" t="s">
        <v>1179</v>
      </c>
      <c r="BT83" s="99">
        <f t="shared" si="3"/>
        <v>0</v>
      </c>
      <c r="BU83" s="99">
        <f t="shared" si="3"/>
        <v>0</v>
      </c>
      <c r="BV83" s="99">
        <f t="shared" si="4"/>
        <v>0</v>
      </c>
      <c r="BW83" s="139" t="s">
        <v>743</v>
      </c>
      <c r="BX83" s="139" t="s">
        <v>744</v>
      </c>
      <c r="BY83" s="140">
        <v>800</v>
      </c>
      <c r="BZ83" s="140">
        <v>0</v>
      </c>
      <c r="CA83" s="99">
        <v>160000</v>
      </c>
      <c r="CB83" s="140" t="s">
        <v>603</v>
      </c>
      <c r="CC83" s="140">
        <v>0</v>
      </c>
      <c r="CD83" s="140"/>
      <c r="CE83" s="139" t="s">
        <v>577</v>
      </c>
      <c r="CF83" s="139" t="s">
        <v>604</v>
      </c>
      <c r="CG83" s="139" t="s">
        <v>583</v>
      </c>
      <c r="CH83" s="139" t="s">
        <v>583</v>
      </c>
      <c r="CI83" s="139" t="s">
        <v>733</v>
      </c>
      <c r="CJ83" s="140">
        <v>17600</v>
      </c>
      <c r="CK83" s="140" t="s">
        <v>605</v>
      </c>
      <c r="CL83" s="140">
        <v>4000000</v>
      </c>
      <c r="CM83" s="99">
        <v>16000</v>
      </c>
      <c r="CN83" s="140">
        <v>0</v>
      </c>
      <c r="CO83" s="139" t="s">
        <v>583</v>
      </c>
      <c r="CP83" s="139" t="s">
        <v>583</v>
      </c>
      <c r="CQ83" s="140">
        <v>282400</v>
      </c>
      <c r="CR83" s="140">
        <v>25837708</v>
      </c>
      <c r="CS83" s="140">
        <v>0</v>
      </c>
      <c r="CT83" s="140">
        <v>1</v>
      </c>
      <c r="CU83" s="140">
        <v>25837707.920000002</v>
      </c>
      <c r="CV83" s="99">
        <v>307301.65000000002</v>
      </c>
      <c r="CW83" s="139" t="s">
        <v>606</v>
      </c>
      <c r="CX83" s="140">
        <v>19.21</v>
      </c>
      <c r="CY83" s="140">
        <v>933</v>
      </c>
      <c r="CZ83" s="140" t="s">
        <v>894</v>
      </c>
      <c r="DA83" s="140" t="s">
        <v>895</v>
      </c>
      <c r="DB83" s="140">
        <v>13</v>
      </c>
      <c r="DC83" s="140"/>
    </row>
    <row r="84" spans="2:107" ht="11.25" customHeight="1" x14ac:dyDescent="0.15">
      <c r="B84" s="139" t="s">
        <v>577</v>
      </c>
      <c r="C84" s="140" t="s">
        <v>1180</v>
      </c>
      <c r="D84" s="140">
        <v>6</v>
      </c>
      <c r="E84" s="139" t="s">
        <v>1181</v>
      </c>
      <c r="F84" s="139" t="s">
        <v>580</v>
      </c>
      <c r="G84" s="140" t="s">
        <v>1180</v>
      </c>
      <c r="H84" s="139" t="s">
        <v>1182</v>
      </c>
      <c r="I84" s="140" t="s">
        <v>421</v>
      </c>
      <c r="J84" s="139" t="s">
        <v>582</v>
      </c>
      <c r="K84" s="139" t="s">
        <v>583</v>
      </c>
      <c r="L84" s="139" t="s">
        <v>583</v>
      </c>
      <c r="M84" s="139" t="s">
        <v>583</v>
      </c>
      <c r="N84" s="139" t="s">
        <v>584</v>
      </c>
      <c r="O84" s="139" t="s">
        <v>1183</v>
      </c>
      <c r="P84" s="139" t="s">
        <v>583</v>
      </c>
      <c r="Q84" s="139" t="s">
        <v>583</v>
      </c>
      <c r="R84" s="140">
        <v>1</v>
      </c>
      <c r="S84" s="140">
        <v>0</v>
      </c>
      <c r="T84" s="140">
        <v>1</v>
      </c>
      <c r="U84" s="140">
        <v>562</v>
      </c>
      <c r="V84" s="139" t="s">
        <v>586</v>
      </c>
      <c r="W84" s="139" t="s">
        <v>587</v>
      </c>
      <c r="X84" s="139" t="s">
        <v>588</v>
      </c>
      <c r="Y84" s="139" t="s">
        <v>589</v>
      </c>
      <c r="Z84" s="139" t="s">
        <v>590</v>
      </c>
      <c r="AA84" s="139" t="s">
        <v>591</v>
      </c>
      <c r="AB84" s="139" t="s">
        <v>586</v>
      </c>
      <c r="AC84" s="139" t="s">
        <v>587</v>
      </c>
      <c r="AD84" s="139" t="s">
        <v>588</v>
      </c>
      <c r="AE84" s="139" t="s">
        <v>589</v>
      </c>
      <c r="AF84" s="139" t="s">
        <v>590</v>
      </c>
      <c r="AG84" s="139" t="s">
        <v>591</v>
      </c>
      <c r="AH84" s="139" t="s">
        <v>592</v>
      </c>
      <c r="AI84" s="139" t="s">
        <v>429</v>
      </c>
      <c r="AJ84" s="140">
        <v>13197600.83</v>
      </c>
      <c r="AK84" s="139" t="s">
        <v>586</v>
      </c>
      <c r="AL84" s="139" t="s">
        <v>587</v>
      </c>
      <c r="AM84" s="139" t="s">
        <v>588</v>
      </c>
      <c r="AN84" s="139" t="s">
        <v>589</v>
      </c>
      <c r="AO84" s="139" t="s">
        <v>590</v>
      </c>
      <c r="AP84" s="139" t="s">
        <v>591</v>
      </c>
      <c r="AQ84" s="139" t="s">
        <v>592</v>
      </c>
      <c r="AR84" s="139" t="s">
        <v>429</v>
      </c>
      <c r="AS84" s="139" t="s">
        <v>429</v>
      </c>
      <c r="AT84" s="139" t="s">
        <v>593</v>
      </c>
      <c r="AU84" s="139" t="s">
        <v>437</v>
      </c>
      <c r="AV84" s="140">
        <v>2</v>
      </c>
      <c r="AW84" s="139" t="s">
        <v>594</v>
      </c>
      <c r="AX84" s="139" t="s">
        <v>595</v>
      </c>
      <c r="AY84" s="139" t="s">
        <v>596</v>
      </c>
      <c r="AZ84" s="140">
        <v>1</v>
      </c>
      <c r="BA84" s="139" t="s">
        <v>597</v>
      </c>
      <c r="BB84" s="140">
        <v>140500</v>
      </c>
      <c r="BC84" s="140">
        <v>12926197</v>
      </c>
      <c r="BD84" s="140">
        <v>156654.22</v>
      </c>
      <c r="BE84" s="140">
        <v>92.001400000000004</v>
      </c>
      <c r="BF84" s="139" t="s">
        <v>880</v>
      </c>
      <c r="BG84" s="139" t="s">
        <v>583</v>
      </c>
      <c r="BH84" s="139" t="s">
        <v>958</v>
      </c>
      <c r="BI84" s="139" t="s">
        <v>598</v>
      </c>
      <c r="BJ84" s="139" t="s">
        <v>599</v>
      </c>
      <c r="BK84" s="139" t="s">
        <v>583</v>
      </c>
      <c r="BL84" s="139" t="s">
        <v>583</v>
      </c>
      <c r="BM84" s="139" t="s">
        <v>583</v>
      </c>
      <c r="BN84" s="139" t="s">
        <v>853</v>
      </c>
      <c r="BO84" s="139" t="s">
        <v>854</v>
      </c>
      <c r="BP84" s="139" t="s">
        <v>959</v>
      </c>
      <c r="BQ84" s="139" t="s">
        <v>600</v>
      </c>
      <c r="BR84" s="140">
        <v>1</v>
      </c>
      <c r="BS84" s="139" t="s">
        <v>601</v>
      </c>
      <c r="BT84" s="99">
        <f t="shared" si="3"/>
        <v>0</v>
      </c>
      <c r="BU84" s="99">
        <f t="shared" si="3"/>
        <v>1</v>
      </c>
      <c r="BV84" s="99">
        <f t="shared" si="4"/>
        <v>1</v>
      </c>
      <c r="BW84" s="139" t="s">
        <v>602</v>
      </c>
      <c r="BX84" s="139" t="s">
        <v>584</v>
      </c>
      <c r="BY84" s="140">
        <v>562</v>
      </c>
      <c r="BZ84" s="140">
        <v>0</v>
      </c>
      <c r="CA84" s="99">
        <v>112400</v>
      </c>
      <c r="CB84" s="140" t="s">
        <v>603</v>
      </c>
      <c r="CC84" s="140">
        <v>0</v>
      </c>
      <c r="CD84" s="140"/>
      <c r="CE84" s="139" t="s">
        <v>577</v>
      </c>
      <c r="CF84" s="139" t="s">
        <v>604</v>
      </c>
      <c r="CG84" s="139" t="s">
        <v>583</v>
      </c>
      <c r="CH84" s="139" t="s">
        <v>583</v>
      </c>
      <c r="CI84" s="139" t="s">
        <v>592</v>
      </c>
      <c r="CJ84" s="140">
        <v>12364</v>
      </c>
      <c r="CK84" s="140" t="s">
        <v>605</v>
      </c>
      <c r="CL84" s="140">
        <v>4000000</v>
      </c>
      <c r="CM84" s="99">
        <v>11802</v>
      </c>
      <c r="CN84" s="140">
        <v>0</v>
      </c>
      <c r="CO84" s="139" t="s">
        <v>583</v>
      </c>
      <c r="CP84" s="139" t="s">
        <v>583</v>
      </c>
      <c r="CQ84" s="140">
        <v>140500</v>
      </c>
      <c r="CR84" s="140">
        <v>12926197</v>
      </c>
      <c r="CS84" s="140">
        <v>0</v>
      </c>
      <c r="CT84" s="140">
        <v>1</v>
      </c>
      <c r="CU84" s="140">
        <v>13197600.83</v>
      </c>
      <c r="CV84" s="99">
        <v>156654.22</v>
      </c>
      <c r="CW84" s="139" t="s">
        <v>606</v>
      </c>
      <c r="CX84" s="140">
        <v>13.27</v>
      </c>
      <c r="CY84" s="140"/>
      <c r="CZ84" s="140"/>
      <c r="DA84" s="140" t="s">
        <v>856</v>
      </c>
      <c r="DB84" s="140">
        <v>1559</v>
      </c>
      <c r="DC84" s="140"/>
    </row>
    <row r="85" spans="2:107" ht="11.25" customHeight="1" x14ac:dyDescent="0.15">
      <c r="B85" s="139" t="s">
        <v>577</v>
      </c>
      <c r="C85" s="140" t="s">
        <v>1184</v>
      </c>
      <c r="D85" s="140">
        <v>6</v>
      </c>
      <c r="E85" s="139" t="s">
        <v>1185</v>
      </c>
      <c r="F85" s="139" t="s">
        <v>618</v>
      </c>
      <c r="G85" s="140" t="s">
        <v>1184</v>
      </c>
      <c r="H85" s="139" t="s">
        <v>1186</v>
      </c>
      <c r="I85" s="140" t="s">
        <v>421</v>
      </c>
      <c r="J85" s="139" t="s">
        <v>582</v>
      </c>
      <c r="K85" s="139" t="s">
        <v>583</v>
      </c>
      <c r="L85" s="139" t="s">
        <v>583</v>
      </c>
      <c r="M85" s="139" t="s">
        <v>583</v>
      </c>
      <c r="N85" s="139" t="s">
        <v>441</v>
      </c>
      <c r="O85" s="139" t="s">
        <v>1187</v>
      </c>
      <c r="P85" s="139" t="s">
        <v>583</v>
      </c>
      <c r="Q85" s="139" t="s">
        <v>583</v>
      </c>
      <c r="R85" s="140">
        <v>1</v>
      </c>
      <c r="S85" s="140">
        <v>0</v>
      </c>
      <c r="T85" s="140">
        <v>1</v>
      </c>
      <c r="U85" s="140">
        <v>282</v>
      </c>
      <c r="V85" s="139" t="s">
        <v>583</v>
      </c>
      <c r="W85" s="139" t="s">
        <v>583</v>
      </c>
      <c r="X85" s="139" t="s">
        <v>632</v>
      </c>
      <c r="Y85" s="139" t="s">
        <v>633</v>
      </c>
      <c r="Z85" s="139" t="s">
        <v>583</v>
      </c>
      <c r="AA85" s="139" t="s">
        <v>583</v>
      </c>
      <c r="AB85" s="139" t="s">
        <v>583</v>
      </c>
      <c r="AC85" s="139" t="s">
        <v>583</v>
      </c>
      <c r="AD85" s="139" t="s">
        <v>632</v>
      </c>
      <c r="AE85" s="139" t="s">
        <v>633</v>
      </c>
      <c r="AF85" s="139" t="s">
        <v>583</v>
      </c>
      <c r="AG85" s="139" t="s">
        <v>583</v>
      </c>
      <c r="AH85" s="139" t="s">
        <v>621</v>
      </c>
      <c r="AI85" s="139" t="s">
        <v>430</v>
      </c>
      <c r="AJ85" s="140">
        <v>7789502.7000000002</v>
      </c>
      <c r="AK85" s="139" t="s">
        <v>583</v>
      </c>
      <c r="AL85" s="139" t="s">
        <v>583</v>
      </c>
      <c r="AM85" s="139" t="s">
        <v>632</v>
      </c>
      <c r="AN85" s="139" t="s">
        <v>633</v>
      </c>
      <c r="AO85" s="139" t="s">
        <v>583</v>
      </c>
      <c r="AP85" s="139" t="s">
        <v>583</v>
      </c>
      <c r="AQ85" s="139" t="s">
        <v>621</v>
      </c>
      <c r="AR85" s="139" t="s">
        <v>430</v>
      </c>
      <c r="AS85" s="139" t="s">
        <v>430</v>
      </c>
      <c r="AT85" s="139" t="s">
        <v>593</v>
      </c>
      <c r="AU85" s="139" t="s">
        <v>437</v>
      </c>
      <c r="AV85" s="140">
        <v>0</v>
      </c>
      <c r="AW85" s="139" t="s">
        <v>594</v>
      </c>
      <c r="AX85" s="139" t="s">
        <v>622</v>
      </c>
      <c r="AY85" s="139" t="s">
        <v>623</v>
      </c>
      <c r="AZ85" s="140">
        <v>1</v>
      </c>
      <c r="BA85" s="139" t="s">
        <v>597</v>
      </c>
      <c r="BB85" s="140">
        <v>84600</v>
      </c>
      <c r="BC85" s="140">
        <v>7789503</v>
      </c>
      <c r="BD85" s="140">
        <v>92475.01</v>
      </c>
      <c r="BE85" s="140">
        <v>92.0745</v>
      </c>
      <c r="BF85" s="139" t="s">
        <v>880</v>
      </c>
      <c r="BG85" s="139" t="s">
        <v>582</v>
      </c>
      <c r="BH85" s="139" t="s">
        <v>931</v>
      </c>
      <c r="BI85" s="139" t="s">
        <v>598</v>
      </c>
      <c r="BJ85" s="139" t="s">
        <v>624</v>
      </c>
      <c r="BK85" s="139" t="s">
        <v>882</v>
      </c>
      <c r="BL85" s="139" t="s">
        <v>583</v>
      </c>
      <c r="BM85" s="139" t="s">
        <v>883</v>
      </c>
      <c r="BN85" s="139" t="s">
        <v>583</v>
      </c>
      <c r="BO85" s="139" t="s">
        <v>623</v>
      </c>
      <c r="BP85" s="139" t="s">
        <v>884</v>
      </c>
      <c r="BQ85" s="139" t="s">
        <v>625</v>
      </c>
      <c r="BR85" s="140">
        <v>1</v>
      </c>
      <c r="BS85" s="139" t="s">
        <v>634</v>
      </c>
      <c r="BT85" s="99">
        <f t="shared" si="3"/>
        <v>0</v>
      </c>
      <c r="BU85" s="99">
        <f t="shared" si="3"/>
        <v>1</v>
      </c>
      <c r="BV85" s="99">
        <f t="shared" si="4"/>
        <v>1</v>
      </c>
      <c r="BW85" s="139" t="s">
        <v>635</v>
      </c>
      <c r="BX85" s="139" t="s">
        <v>441</v>
      </c>
      <c r="BY85" s="140">
        <v>282</v>
      </c>
      <c r="BZ85" s="140">
        <v>0</v>
      </c>
      <c r="CA85" s="99">
        <v>56400</v>
      </c>
      <c r="CB85" s="140" t="s">
        <v>603</v>
      </c>
      <c r="CC85" s="140">
        <v>0</v>
      </c>
      <c r="CD85" s="140"/>
      <c r="CE85" s="139" t="s">
        <v>577</v>
      </c>
      <c r="CF85" s="139" t="s">
        <v>604</v>
      </c>
      <c r="CG85" s="139" t="s">
        <v>583</v>
      </c>
      <c r="CH85" s="139" t="s">
        <v>583</v>
      </c>
      <c r="CI85" s="139" t="s">
        <v>621</v>
      </c>
      <c r="CJ85" s="140">
        <v>5640</v>
      </c>
      <c r="CK85" s="140" t="s">
        <v>605</v>
      </c>
      <c r="CL85" s="140">
        <v>4000000</v>
      </c>
      <c r="CM85" s="99">
        <v>5076</v>
      </c>
      <c r="CN85" s="140">
        <v>0</v>
      </c>
      <c r="CO85" s="139" t="s">
        <v>583</v>
      </c>
      <c r="CP85" s="139" t="s">
        <v>583</v>
      </c>
      <c r="CQ85" s="140">
        <v>84600</v>
      </c>
      <c r="CR85" s="140">
        <v>7789503</v>
      </c>
      <c r="CS85" s="140">
        <v>0</v>
      </c>
      <c r="CT85" s="140">
        <v>1</v>
      </c>
      <c r="CU85" s="140">
        <v>7789502.7000000002</v>
      </c>
      <c r="CV85" s="99">
        <v>92475.01</v>
      </c>
      <c r="CW85" s="139" t="s">
        <v>606</v>
      </c>
      <c r="CX85" s="140">
        <v>18.22</v>
      </c>
      <c r="CY85" s="140"/>
      <c r="CZ85" s="140"/>
      <c r="DA85" s="140" t="s">
        <v>933</v>
      </c>
      <c r="DB85" s="140">
        <v>1156</v>
      </c>
      <c r="DC85" s="140"/>
    </row>
    <row r="86" spans="2:107" ht="11.25" customHeight="1" x14ac:dyDescent="0.15">
      <c r="B86" s="139" t="s">
        <v>577</v>
      </c>
      <c r="C86" s="140" t="s">
        <v>1188</v>
      </c>
      <c r="D86" s="140">
        <v>6</v>
      </c>
      <c r="E86" s="139" t="s">
        <v>1189</v>
      </c>
      <c r="F86" s="139" t="s">
        <v>796</v>
      </c>
      <c r="G86" s="140" t="s">
        <v>1188</v>
      </c>
      <c r="H86" s="139" t="s">
        <v>1190</v>
      </c>
      <c r="I86" s="140" t="s">
        <v>421</v>
      </c>
      <c r="J86" s="139" t="s">
        <v>582</v>
      </c>
      <c r="K86" s="139" t="s">
        <v>583</v>
      </c>
      <c r="L86" s="139" t="s">
        <v>583</v>
      </c>
      <c r="M86" s="139" t="s">
        <v>583</v>
      </c>
      <c r="N86" s="139" t="s">
        <v>444</v>
      </c>
      <c r="O86" s="139" t="s">
        <v>1191</v>
      </c>
      <c r="P86" s="139" t="s">
        <v>583</v>
      </c>
      <c r="Q86" s="139" t="s">
        <v>583</v>
      </c>
      <c r="R86" s="140">
        <v>1</v>
      </c>
      <c r="S86" s="140">
        <v>0</v>
      </c>
      <c r="T86" s="140">
        <v>1</v>
      </c>
      <c r="U86" s="140">
        <v>82</v>
      </c>
      <c r="V86" s="139" t="s">
        <v>1192</v>
      </c>
      <c r="W86" s="139" t="s">
        <v>1193</v>
      </c>
      <c r="X86" s="139" t="s">
        <v>1194</v>
      </c>
      <c r="Y86" s="139" t="s">
        <v>1195</v>
      </c>
      <c r="Z86" s="139" t="s">
        <v>1196</v>
      </c>
      <c r="AA86" s="139" t="s">
        <v>1197</v>
      </c>
      <c r="AB86" s="139" t="s">
        <v>1192</v>
      </c>
      <c r="AC86" s="139" t="s">
        <v>1193</v>
      </c>
      <c r="AD86" s="139" t="s">
        <v>1194</v>
      </c>
      <c r="AE86" s="139" t="s">
        <v>1195</v>
      </c>
      <c r="AF86" s="139" t="s">
        <v>1196</v>
      </c>
      <c r="AG86" s="139" t="s">
        <v>1197</v>
      </c>
      <c r="AH86" s="139" t="s">
        <v>751</v>
      </c>
      <c r="AI86" s="139" t="s">
        <v>433</v>
      </c>
      <c r="AJ86" s="140">
        <v>9371698.4900000002</v>
      </c>
      <c r="AK86" s="139" t="s">
        <v>1192</v>
      </c>
      <c r="AL86" s="139" t="s">
        <v>1193</v>
      </c>
      <c r="AM86" s="139" t="s">
        <v>1194</v>
      </c>
      <c r="AN86" s="139" t="s">
        <v>1195</v>
      </c>
      <c r="AO86" s="139" t="s">
        <v>1196</v>
      </c>
      <c r="AP86" s="139" t="s">
        <v>1197</v>
      </c>
      <c r="AQ86" s="139" t="s">
        <v>751</v>
      </c>
      <c r="AR86" s="139" t="s">
        <v>433</v>
      </c>
      <c r="AS86" s="139" t="s">
        <v>433</v>
      </c>
      <c r="AT86" s="139" t="s">
        <v>593</v>
      </c>
      <c r="AU86" s="139" t="s">
        <v>437</v>
      </c>
      <c r="AV86" s="140">
        <v>2</v>
      </c>
      <c r="AW86" s="139" t="s">
        <v>594</v>
      </c>
      <c r="AX86" s="139" t="s">
        <v>653</v>
      </c>
      <c r="AY86" s="139" t="s">
        <v>1198</v>
      </c>
      <c r="AZ86" s="140">
        <v>1</v>
      </c>
      <c r="BA86" s="139" t="s">
        <v>597</v>
      </c>
      <c r="BB86" s="140">
        <v>102092</v>
      </c>
      <c r="BC86" s="140">
        <v>9371698</v>
      </c>
      <c r="BD86" s="140">
        <v>111585.64</v>
      </c>
      <c r="BE86" s="140">
        <v>91.796599999999998</v>
      </c>
      <c r="BF86" s="139" t="s">
        <v>880</v>
      </c>
      <c r="BG86" s="139" t="s">
        <v>583</v>
      </c>
      <c r="BH86" s="139" t="s">
        <v>1199</v>
      </c>
      <c r="BI86" s="139" t="s">
        <v>598</v>
      </c>
      <c r="BJ86" s="139" t="s">
        <v>599</v>
      </c>
      <c r="BK86" s="139" t="s">
        <v>583</v>
      </c>
      <c r="BL86" s="139" t="s">
        <v>583</v>
      </c>
      <c r="BM86" s="139" t="s">
        <v>583</v>
      </c>
      <c r="BN86" s="139" t="s">
        <v>916</v>
      </c>
      <c r="BO86" s="139" t="s">
        <v>1200</v>
      </c>
      <c r="BP86" s="139" t="s">
        <v>1201</v>
      </c>
      <c r="BQ86" s="139" t="s">
        <v>1202</v>
      </c>
      <c r="BR86" s="140">
        <v>1</v>
      </c>
      <c r="BS86" s="139" t="s">
        <v>1203</v>
      </c>
      <c r="BT86" s="99">
        <f t="shared" si="3"/>
        <v>1</v>
      </c>
      <c r="BU86" s="99">
        <f t="shared" si="3"/>
        <v>0</v>
      </c>
      <c r="BV86" s="99">
        <f t="shared" si="4"/>
        <v>1</v>
      </c>
      <c r="BW86" s="139" t="s">
        <v>602</v>
      </c>
      <c r="BX86" s="139" t="s">
        <v>444</v>
      </c>
      <c r="BY86" s="140">
        <v>82</v>
      </c>
      <c r="BZ86" s="140">
        <v>0</v>
      </c>
      <c r="CA86" s="99">
        <v>16400</v>
      </c>
      <c r="CB86" s="140" t="s">
        <v>603</v>
      </c>
      <c r="CC86" s="140">
        <v>0</v>
      </c>
      <c r="CD86" s="140"/>
      <c r="CE86" s="139" t="s">
        <v>577</v>
      </c>
      <c r="CF86" s="139" t="s">
        <v>604</v>
      </c>
      <c r="CG86" s="139" t="s">
        <v>583</v>
      </c>
      <c r="CH86" s="139" t="s">
        <v>583</v>
      </c>
      <c r="CI86" s="139" t="s">
        <v>751</v>
      </c>
      <c r="CJ86" s="140">
        <v>1722</v>
      </c>
      <c r="CK86" s="140" t="s">
        <v>657</v>
      </c>
      <c r="CL86" s="140">
        <v>4000000</v>
      </c>
      <c r="CM86" s="99">
        <v>1640</v>
      </c>
      <c r="CN86" s="140">
        <v>0</v>
      </c>
      <c r="CO86" s="139" t="s">
        <v>583</v>
      </c>
      <c r="CP86" s="139" t="s">
        <v>583</v>
      </c>
      <c r="CQ86" s="140">
        <v>102092</v>
      </c>
      <c r="CR86" s="140">
        <v>9371698</v>
      </c>
      <c r="CS86" s="140">
        <v>0</v>
      </c>
      <c r="CT86" s="140">
        <v>1</v>
      </c>
      <c r="CU86" s="140">
        <v>9371698.4900000002</v>
      </c>
      <c r="CV86" s="99">
        <v>111585.64</v>
      </c>
      <c r="CW86" s="139" t="s">
        <v>606</v>
      </c>
      <c r="CX86" s="140">
        <v>68.040000000000006</v>
      </c>
      <c r="CY86" s="140">
        <v>932</v>
      </c>
      <c r="CZ86" s="140" t="s">
        <v>1204</v>
      </c>
      <c r="DA86" s="140" t="s">
        <v>1205</v>
      </c>
      <c r="DB86" s="140">
        <v>62</v>
      </c>
      <c r="DC86" s="140"/>
    </row>
    <row r="87" spans="2:107" ht="11.25" customHeight="1" x14ac:dyDescent="0.15">
      <c r="B87" s="139" t="s">
        <v>577</v>
      </c>
      <c r="C87" s="140" t="s">
        <v>1188</v>
      </c>
      <c r="D87" s="140">
        <v>6</v>
      </c>
      <c r="E87" s="139" t="s">
        <v>1206</v>
      </c>
      <c r="F87" s="139" t="s">
        <v>618</v>
      </c>
      <c r="G87" s="140" t="s">
        <v>1188</v>
      </c>
      <c r="H87" s="139" t="s">
        <v>1207</v>
      </c>
      <c r="I87" s="140" t="s">
        <v>421</v>
      </c>
      <c r="J87" s="139" t="s">
        <v>582</v>
      </c>
      <c r="K87" s="139" t="s">
        <v>583</v>
      </c>
      <c r="L87" s="139" t="s">
        <v>583</v>
      </c>
      <c r="M87" s="139" t="s">
        <v>583</v>
      </c>
      <c r="N87" s="139" t="s">
        <v>441</v>
      </c>
      <c r="O87" s="139" t="s">
        <v>1208</v>
      </c>
      <c r="P87" s="139" t="s">
        <v>583</v>
      </c>
      <c r="Q87" s="139" t="s">
        <v>583</v>
      </c>
      <c r="R87" s="140">
        <v>1</v>
      </c>
      <c r="S87" s="140">
        <v>0</v>
      </c>
      <c r="T87" s="140">
        <v>1</v>
      </c>
      <c r="U87" s="140">
        <v>120</v>
      </c>
      <c r="V87" s="139" t="s">
        <v>640</v>
      </c>
      <c r="W87" s="139" t="s">
        <v>641</v>
      </c>
      <c r="X87" s="139" t="s">
        <v>642</v>
      </c>
      <c r="Y87" s="139" t="s">
        <v>643</v>
      </c>
      <c r="Z87" s="139" t="s">
        <v>644</v>
      </c>
      <c r="AA87" s="139" t="s">
        <v>645</v>
      </c>
      <c r="AB87" s="139" t="s">
        <v>640</v>
      </c>
      <c r="AC87" s="139" t="s">
        <v>641</v>
      </c>
      <c r="AD87" s="139" t="s">
        <v>642</v>
      </c>
      <c r="AE87" s="139" t="s">
        <v>643</v>
      </c>
      <c r="AF87" s="139" t="s">
        <v>644</v>
      </c>
      <c r="AG87" s="139" t="s">
        <v>645</v>
      </c>
      <c r="AH87" s="139" t="s">
        <v>621</v>
      </c>
      <c r="AI87" s="139" t="s">
        <v>430</v>
      </c>
      <c r="AJ87" s="140">
        <v>3348739.97</v>
      </c>
      <c r="AK87" s="139" t="s">
        <v>640</v>
      </c>
      <c r="AL87" s="139" t="s">
        <v>641</v>
      </c>
      <c r="AM87" s="139" t="s">
        <v>642</v>
      </c>
      <c r="AN87" s="139" t="s">
        <v>643</v>
      </c>
      <c r="AO87" s="139" t="s">
        <v>644</v>
      </c>
      <c r="AP87" s="139" t="s">
        <v>645</v>
      </c>
      <c r="AQ87" s="139" t="s">
        <v>621</v>
      </c>
      <c r="AR87" s="139" t="s">
        <v>430</v>
      </c>
      <c r="AS87" s="139" t="s">
        <v>430</v>
      </c>
      <c r="AT87" s="139" t="s">
        <v>593</v>
      </c>
      <c r="AU87" s="139" t="s">
        <v>437</v>
      </c>
      <c r="AV87" s="140">
        <v>0</v>
      </c>
      <c r="AW87" s="139" t="s">
        <v>594</v>
      </c>
      <c r="AX87" s="139" t="s">
        <v>622</v>
      </c>
      <c r="AY87" s="139" t="s">
        <v>646</v>
      </c>
      <c r="AZ87" s="140">
        <v>1</v>
      </c>
      <c r="BA87" s="139" t="s">
        <v>597</v>
      </c>
      <c r="BB87" s="140">
        <v>36480</v>
      </c>
      <c r="BC87" s="140">
        <v>3348740</v>
      </c>
      <c r="BD87" s="140">
        <v>39872.31</v>
      </c>
      <c r="BE87" s="140">
        <v>91.796599999999998</v>
      </c>
      <c r="BF87" s="139" t="s">
        <v>880</v>
      </c>
      <c r="BG87" s="139" t="s">
        <v>582</v>
      </c>
      <c r="BH87" s="139" t="s">
        <v>938</v>
      </c>
      <c r="BI87" s="139" t="s">
        <v>598</v>
      </c>
      <c r="BJ87" s="139" t="s">
        <v>624</v>
      </c>
      <c r="BK87" s="139" t="s">
        <v>882</v>
      </c>
      <c r="BL87" s="139" t="s">
        <v>583</v>
      </c>
      <c r="BM87" s="139" t="s">
        <v>939</v>
      </c>
      <c r="BN87" s="139" t="s">
        <v>583</v>
      </c>
      <c r="BO87" s="139" t="s">
        <v>623</v>
      </c>
      <c r="BP87" s="139" t="s">
        <v>884</v>
      </c>
      <c r="BQ87" s="139" t="s">
        <v>625</v>
      </c>
      <c r="BR87" s="140">
        <v>1</v>
      </c>
      <c r="BS87" s="139" t="s">
        <v>1108</v>
      </c>
      <c r="BT87" s="99">
        <f t="shared" si="3"/>
        <v>0</v>
      </c>
      <c r="BU87" s="99">
        <f t="shared" si="3"/>
        <v>0</v>
      </c>
      <c r="BV87" s="99">
        <f t="shared" si="4"/>
        <v>0</v>
      </c>
      <c r="BW87" s="139" t="s">
        <v>446</v>
      </c>
      <c r="BX87" s="139" t="s">
        <v>441</v>
      </c>
      <c r="BY87" s="140">
        <v>120</v>
      </c>
      <c r="BZ87" s="140">
        <v>0</v>
      </c>
      <c r="CA87" s="99">
        <v>24000</v>
      </c>
      <c r="CB87" s="140" t="s">
        <v>603</v>
      </c>
      <c r="CC87" s="140">
        <v>0</v>
      </c>
      <c r="CD87" s="140"/>
      <c r="CE87" s="139" t="s">
        <v>577</v>
      </c>
      <c r="CF87" s="139" t="s">
        <v>604</v>
      </c>
      <c r="CG87" s="139" t="s">
        <v>583</v>
      </c>
      <c r="CH87" s="139" t="s">
        <v>583</v>
      </c>
      <c r="CI87" s="139" t="s">
        <v>621</v>
      </c>
      <c r="CJ87" s="140">
        <v>2400</v>
      </c>
      <c r="CK87" s="140" t="s">
        <v>605</v>
      </c>
      <c r="CL87" s="140">
        <v>4000000</v>
      </c>
      <c r="CM87" s="99">
        <v>2160</v>
      </c>
      <c r="CN87" s="140">
        <v>0</v>
      </c>
      <c r="CO87" s="139" t="s">
        <v>583</v>
      </c>
      <c r="CP87" s="139" t="s">
        <v>583</v>
      </c>
      <c r="CQ87" s="140">
        <v>36480</v>
      </c>
      <c r="CR87" s="140">
        <v>3348740</v>
      </c>
      <c r="CS87" s="140">
        <v>0</v>
      </c>
      <c r="CT87" s="140">
        <v>1</v>
      </c>
      <c r="CU87" s="140">
        <v>3348739.97</v>
      </c>
      <c r="CV87" s="99">
        <v>39872.31</v>
      </c>
      <c r="CW87" s="139" t="s">
        <v>606</v>
      </c>
      <c r="CX87" s="140">
        <v>18.46</v>
      </c>
      <c r="CY87" s="140"/>
      <c r="CZ87" s="140"/>
      <c r="DA87" s="140" t="s">
        <v>941</v>
      </c>
      <c r="DB87" s="140">
        <v>730</v>
      </c>
      <c r="DC87" s="140"/>
    </row>
    <row r="88" spans="2:107" ht="11.25" customHeight="1" x14ac:dyDescent="0.15">
      <c r="B88" s="139" t="s">
        <v>577</v>
      </c>
      <c r="C88" s="140" t="s">
        <v>1188</v>
      </c>
      <c r="D88" s="140">
        <v>6</v>
      </c>
      <c r="E88" s="139" t="s">
        <v>1209</v>
      </c>
      <c r="F88" s="139" t="s">
        <v>618</v>
      </c>
      <c r="G88" s="140" t="s">
        <v>1188</v>
      </c>
      <c r="H88" s="139" t="s">
        <v>1210</v>
      </c>
      <c r="I88" s="140" t="s">
        <v>421</v>
      </c>
      <c r="J88" s="139" t="s">
        <v>582</v>
      </c>
      <c r="K88" s="139" t="s">
        <v>583</v>
      </c>
      <c r="L88" s="139" t="s">
        <v>583</v>
      </c>
      <c r="M88" s="139" t="s">
        <v>583</v>
      </c>
      <c r="N88" s="139" t="s">
        <v>441</v>
      </c>
      <c r="O88" s="139" t="s">
        <v>1211</v>
      </c>
      <c r="P88" s="139" t="s">
        <v>583</v>
      </c>
      <c r="Q88" s="139" t="s">
        <v>583</v>
      </c>
      <c r="R88" s="140">
        <v>1</v>
      </c>
      <c r="S88" s="140">
        <v>0</v>
      </c>
      <c r="T88" s="140">
        <v>1</v>
      </c>
      <c r="U88" s="140">
        <v>198</v>
      </c>
      <c r="V88" s="139" t="s">
        <v>586</v>
      </c>
      <c r="W88" s="139" t="s">
        <v>587</v>
      </c>
      <c r="X88" s="139" t="s">
        <v>588</v>
      </c>
      <c r="Y88" s="139" t="s">
        <v>589</v>
      </c>
      <c r="Z88" s="139" t="s">
        <v>590</v>
      </c>
      <c r="AA88" s="139" t="s">
        <v>591</v>
      </c>
      <c r="AB88" s="139" t="s">
        <v>586</v>
      </c>
      <c r="AC88" s="139" t="s">
        <v>587</v>
      </c>
      <c r="AD88" s="139" t="s">
        <v>588</v>
      </c>
      <c r="AE88" s="139" t="s">
        <v>589</v>
      </c>
      <c r="AF88" s="139" t="s">
        <v>590</v>
      </c>
      <c r="AG88" s="139" t="s">
        <v>591</v>
      </c>
      <c r="AH88" s="139" t="s">
        <v>621</v>
      </c>
      <c r="AI88" s="139" t="s">
        <v>430</v>
      </c>
      <c r="AJ88" s="140">
        <v>5052852.05</v>
      </c>
      <c r="AK88" s="139" t="s">
        <v>586</v>
      </c>
      <c r="AL88" s="139" t="s">
        <v>587</v>
      </c>
      <c r="AM88" s="139" t="s">
        <v>588</v>
      </c>
      <c r="AN88" s="139" t="s">
        <v>589</v>
      </c>
      <c r="AO88" s="139" t="s">
        <v>590</v>
      </c>
      <c r="AP88" s="139" t="s">
        <v>591</v>
      </c>
      <c r="AQ88" s="139" t="s">
        <v>621</v>
      </c>
      <c r="AR88" s="139" t="s">
        <v>430</v>
      </c>
      <c r="AS88" s="139" t="s">
        <v>430</v>
      </c>
      <c r="AT88" s="139" t="s">
        <v>593</v>
      </c>
      <c r="AU88" s="139" t="s">
        <v>437</v>
      </c>
      <c r="AV88" s="140">
        <v>0</v>
      </c>
      <c r="AW88" s="139" t="s">
        <v>594</v>
      </c>
      <c r="AX88" s="139" t="s">
        <v>622</v>
      </c>
      <c r="AY88" s="139" t="s">
        <v>623</v>
      </c>
      <c r="AZ88" s="140">
        <v>1</v>
      </c>
      <c r="BA88" s="139" t="s">
        <v>597</v>
      </c>
      <c r="BB88" s="140">
        <v>55044</v>
      </c>
      <c r="BC88" s="140">
        <v>5052852</v>
      </c>
      <c r="BD88" s="140">
        <v>60162.6</v>
      </c>
      <c r="BE88" s="140">
        <v>91.796599999999998</v>
      </c>
      <c r="BF88" s="139" t="s">
        <v>880</v>
      </c>
      <c r="BG88" s="139" t="s">
        <v>582</v>
      </c>
      <c r="BH88" s="139" t="s">
        <v>1161</v>
      </c>
      <c r="BI88" s="139" t="s">
        <v>598</v>
      </c>
      <c r="BJ88" s="139" t="s">
        <v>624</v>
      </c>
      <c r="BK88" s="139" t="s">
        <v>882</v>
      </c>
      <c r="BL88" s="139" t="s">
        <v>583</v>
      </c>
      <c r="BM88" s="139" t="s">
        <v>883</v>
      </c>
      <c r="BN88" s="139" t="s">
        <v>971</v>
      </c>
      <c r="BO88" s="139" t="s">
        <v>972</v>
      </c>
      <c r="BP88" s="139" t="s">
        <v>1162</v>
      </c>
      <c r="BQ88" s="139" t="s">
        <v>625</v>
      </c>
      <c r="BR88" s="140">
        <v>1</v>
      </c>
      <c r="BS88" s="139" t="s">
        <v>1212</v>
      </c>
      <c r="BT88" s="99">
        <f t="shared" ref="BT88:BU107" si="5">MIN(1,IFERROR(SEARCH(BT$2,$BS88),0))</f>
        <v>0</v>
      </c>
      <c r="BU88" s="99">
        <f t="shared" si="5"/>
        <v>1</v>
      </c>
      <c r="BV88" s="99">
        <f t="shared" si="4"/>
        <v>1</v>
      </c>
      <c r="BW88" s="139" t="s">
        <v>602</v>
      </c>
      <c r="BX88" s="139" t="s">
        <v>441</v>
      </c>
      <c r="BY88" s="140">
        <v>198</v>
      </c>
      <c r="BZ88" s="140">
        <v>0</v>
      </c>
      <c r="CA88" s="99">
        <v>39600</v>
      </c>
      <c r="CB88" s="140" t="s">
        <v>603</v>
      </c>
      <c r="CC88" s="140">
        <v>0</v>
      </c>
      <c r="CD88" s="140"/>
      <c r="CE88" s="139" t="s">
        <v>577</v>
      </c>
      <c r="CF88" s="139" t="s">
        <v>604</v>
      </c>
      <c r="CG88" s="139" t="s">
        <v>583</v>
      </c>
      <c r="CH88" s="139" t="s">
        <v>583</v>
      </c>
      <c r="CI88" s="139" t="s">
        <v>621</v>
      </c>
      <c r="CJ88" s="140">
        <v>3960</v>
      </c>
      <c r="CK88" s="140" t="s">
        <v>605</v>
      </c>
      <c r="CL88" s="140">
        <v>4000000</v>
      </c>
      <c r="CM88" s="99">
        <v>3564</v>
      </c>
      <c r="CN88" s="140">
        <v>0</v>
      </c>
      <c r="CO88" s="139" t="s">
        <v>583</v>
      </c>
      <c r="CP88" s="139" t="s">
        <v>583</v>
      </c>
      <c r="CQ88" s="140">
        <v>55044</v>
      </c>
      <c r="CR88" s="140">
        <v>5052852</v>
      </c>
      <c r="CS88" s="140">
        <v>0</v>
      </c>
      <c r="CT88" s="140">
        <v>1</v>
      </c>
      <c r="CU88" s="140">
        <v>5052852.05</v>
      </c>
      <c r="CV88" s="99">
        <v>60162.6</v>
      </c>
      <c r="CW88" s="139" t="s">
        <v>606</v>
      </c>
      <c r="CX88" s="140">
        <v>16.88</v>
      </c>
      <c r="CY88" s="140"/>
      <c r="CZ88" s="140"/>
      <c r="DA88" s="140" t="s">
        <v>856</v>
      </c>
      <c r="DB88" s="140">
        <v>687</v>
      </c>
      <c r="DC88" s="140"/>
    </row>
    <row r="89" spans="2:107" ht="11.25" customHeight="1" x14ac:dyDescent="0.15">
      <c r="B89" s="139" t="s">
        <v>577</v>
      </c>
      <c r="C89" s="140" t="s">
        <v>1213</v>
      </c>
      <c r="D89" s="140">
        <v>6</v>
      </c>
      <c r="E89" s="139" t="s">
        <v>1214</v>
      </c>
      <c r="F89" s="139" t="s">
        <v>718</v>
      </c>
      <c r="G89" s="140" t="s">
        <v>1215</v>
      </c>
      <c r="H89" s="139" t="s">
        <v>1216</v>
      </c>
      <c r="I89" s="140" t="s">
        <v>421</v>
      </c>
      <c r="J89" s="139" t="s">
        <v>582</v>
      </c>
      <c r="K89" s="139" t="s">
        <v>1133</v>
      </c>
      <c r="L89" s="139" t="s">
        <v>583</v>
      </c>
      <c r="M89" s="139" t="s">
        <v>583</v>
      </c>
      <c r="N89" s="139" t="s">
        <v>731</v>
      </c>
      <c r="O89" s="139" t="s">
        <v>1217</v>
      </c>
      <c r="P89" s="139" t="s">
        <v>583</v>
      </c>
      <c r="Q89" s="139" t="s">
        <v>583</v>
      </c>
      <c r="R89" s="140">
        <v>1</v>
      </c>
      <c r="S89" s="140"/>
      <c r="T89" s="140">
        <v>1</v>
      </c>
      <c r="U89" s="140">
        <v>387</v>
      </c>
      <c r="V89" s="139" t="s">
        <v>1218</v>
      </c>
      <c r="W89" s="139" t="s">
        <v>1219</v>
      </c>
      <c r="X89" s="139" t="s">
        <v>1220</v>
      </c>
      <c r="Y89" s="139" t="s">
        <v>1221</v>
      </c>
      <c r="Z89" s="139" t="s">
        <v>666</v>
      </c>
      <c r="AA89" s="139" t="s">
        <v>1222</v>
      </c>
      <c r="AB89" s="139" t="s">
        <v>1218</v>
      </c>
      <c r="AC89" s="139" t="s">
        <v>1219</v>
      </c>
      <c r="AD89" s="139" t="s">
        <v>1220</v>
      </c>
      <c r="AE89" s="139" t="s">
        <v>1221</v>
      </c>
      <c r="AF89" s="139" t="s">
        <v>666</v>
      </c>
      <c r="AG89" s="139" t="s">
        <v>1222</v>
      </c>
      <c r="AH89" s="139" t="s">
        <v>733</v>
      </c>
      <c r="AI89" s="139" t="s">
        <v>432</v>
      </c>
      <c r="AJ89" s="140">
        <v>13644065.34</v>
      </c>
      <c r="AK89" s="139" t="s">
        <v>1218</v>
      </c>
      <c r="AL89" s="139" t="s">
        <v>1219</v>
      </c>
      <c r="AM89" s="139" t="s">
        <v>1220</v>
      </c>
      <c r="AN89" s="139" t="s">
        <v>1221</v>
      </c>
      <c r="AO89" s="139" t="s">
        <v>666</v>
      </c>
      <c r="AP89" s="139" t="s">
        <v>1222</v>
      </c>
      <c r="AQ89" s="139" t="s">
        <v>733</v>
      </c>
      <c r="AR89" s="139" t="s">
        <v>432</v>
      </c>
      <c r="AS89" s="139" t="s">
        <v>432</v>
      </c>
      <c r="AT89" s="139" t="s">
        <v>593</v>
      </c>
      <c r="AU89" s="139" t="s">
        <v>437</v>
      </c>
      <c r="AV89" s="140">
        <v>2</v>
      </c>
      <c r="AW89" s="139" t="s">
        <v>594</v>
      </c>
      <c r="AX89" s="139" t="s">
        <v>653</v>
      </c>
      <c r="AY89" s="139" t="s">
        <v>1223</v>
      </c>
      <c r="AZ89" s="140">
        <v>1</v>
      </c>
      <c r="BA89" s="139" t="s">
        <v>597</v>
      </c>
      <c r="BB89" s="140">
        <v>149990</v>
      </c>
      <c r="BC89" s="140">
        <v>13644065</v>
      </c>
      <c r="BD89" s="140">
        <v>162504.6</v>
      </c>
      <c r="BE89" s="140">
        <v>90.966499999999996</v>
      </c>
      <c r="BF89" s="139" t="s">
        <v>880</v>
      </c>
      <c r="BG89" s="139" t="s">
        <v>583</v>
      </c>
      <c r="BH89" s="139" t="s">
        <v>1224</v>
      </c>
      <c r="BI89" s="139" t="s">
        <v>598</v>
      </c>
      <c r="BJ89" s="139" t="s">
        <v>599</v>
      </c>
      <c r="BK89" s="139" t="s">
        <v>583</v>
      </c>
      <c r="BL89" s="139" t="s">
        <v>583</v>
      </c>
      <c r="BM89" s="139" t="s">
        <v>1225</v>
      </c>
      <c r="BN89" s="139" t="s">
        <v>1226</v>
      </c>
      <c r="BO89" s="139" t="s">
        <v>1227</v>
      </c>
      <c r="BP89" s="139" t="s">
        <v>1228</v>
      </c>
      <c r="BQ89" s="139" t="s">
        <v>1229</v>
      </c>
      <c r="BR89" s="140">
        <v>1</v>
      </c>
      <c r="BS89" s="139" t="s">
        <v>1230</v>
      </c>
      <c r="BT89" s="99">
        <f t="shared" si="5"/>
        <v>0</v>
      </c>
      <c r="BU89" s="99">
        <f t="shared" si="5"/>
        <v>1</v>
      </c>
      <c r="BV89" s="99">
        <f t="shared" si="4"/>
        <v>1</v>
      </c>
      <c r="BW89" s="139" t="s">
        <v>602</v>
      </c>
      <c r="BX89" s="139" t="s">
        <v>731</v>
      </c>
      <c r="BY89" s="140">
        <v>387</v>
      </c>
      <c r="BZ89" s="140"/>
      <c r="CA89" s="99">
        <v>77400</v>
      </c>
      <c r="CB89" s="140" t="s">
        <v>603</v>
      </c>
      <c r="CC89" s="140"/>
      <c r="CD89" s="140"/>
      <c r="CE89" s="139" t="s">
        <v>577</v>
      </c>
      <c r="CF89" s="139" t="s">
        <v>604</v>
      </c>
      <c r="CG89" s="139" t="s">
        <v>583</v>
      </c>
      <c r="CH89" s="139" t="s">
        <v>583</v>
      </c>
      <c r="CI89" s="139" t="s">
        <v>733</v>
      </c>
      <c r="CJ89" s="140">
        <v>8514</v>
      </c>
      <c r="CK89" s="140" t="s">
        <v>605</v>
      </c>
      <c r="CL89" s="140">
        <v>4000000</v>
      </c>
      <c r="CM89" s="99">
        <v>7740</v>
      </c>
      <c r="CN89" s="140"/>
      <c r="CO89" s="139" t="s">
        <v>583</v>
      </c>
      <c r="CP89" s="139" t="s">
        <v>583</v>
      </c>
      <c r="CQ89" s="140">
        <v>149990</v>
      </c>
      <c r="CR89" s="140">
        <v>13644065</v>
      </c>
      <c r="CS89" s="140">
        <v>0</v>
      </c>
      <c r="CT89" s="140">
        <v>1</v>
      </c>
      <c r="CU89" s="140">
        <v>13644065.34</v>
      </c>
      <c r="CV89" s="99">
        <v>162504.6</v>
      </c>
      <c r="CW89" s="139" t="s">
        <v>606</v>
      </c>
      <c r="CX89" s="140">
        <v>21</v>
      </c>
      <c r="CY89" s="140"/>
      <c r="CZ89" s="140"/>
      <c r="DA89" s="140" t="s">
        <v>1231</v>
      </c>
      <c r="DB89" s="140">
        <v>18</v>
      </c>
      <c r="DC89" s="140"/>
    </row>
    <row r="90" spans="2:107" ht="11.25" customHeight="1" x14ac:dyDescent="0.15">
      <c r="B90" s="139" t="s">
        <v>577</v>
      </c>
      <c r="C90" s="140" t="s">
        <v>1215</v>
      </c>
      <c r="D90" s="140">
        <v>6</v>
      </c>
      <c r="E90" s="139" t="s">
        <v>1232</v>
      </c>
      <c r="F90" s="139" t="s">
        <v>580</v>
      </c>
      <c r="G90" s="140" t="s">
        <v>1215</v>
      </c>
      <c r="H90" s="139" t="s">
        <v>1233</v>
      </c>
      <c r="I90" s="140" t="s">
        <v>421</v>
      </c>
      <c r="J90" s="139" t="s">
        <v>582</v>
      </c>
      <c r="K90" s="139" t="s">
        <v>583</v>
      </c>
      <c r="L90" s="139" t="s">
        <v>583</v>
      </c>
      <c r="M90" s="139" t="s">
        <v>583</v>
      </c>
      <c r="N90" s="139" t="s">
        <v>731</v>
      </c>
      <c r="O90" s="139" t="s">
        <v>1234</v>
      </c>
      <c r="P90" s="139" t="s">
        <v>583</v>
      </c>
      <c r="Q90" s="139" t="s">
        <v>583</v>
      </c>
      <c r="R90" s="140">
        <v>1</v>
      </c>
      <c r="S90" s="140">
        <v>0</v>
      </c>
      <c r="T90" s="140">
        <v>1</v>
      </c>
      <c r="U90" s="140">
        <v>590</v>
      </c>
      <c r="V90" s="139" t="s">
        <v>586</v>
      </c>
      <c r="W90" s="139" t="s">
        <v>587</v>
      </c>
      <c r="X90" s="139" t="s">
        <v>588</v>
      </c>
      <c r="Y90" s="139" t="s">
        <v>589</v>
      </c>
      <c r="Z90" s="139" t="s">
        <v>590</v>
      </c>
      <c r="AA90" s="139" t="s">
        <v>591</v>
      </c>
      <c r="AB90" s="139" t="s">
        <v>586</v>
      </c>
      <c r="AC90" s="139" t="s">
        <v>587</v>
      </c>
      <c r="AD90" s="139" t="s">
        <v>588</v>
      </c>
      <c r="AE90" s="139" t="s">
        <v>589</v>
      </c>
      <c r="AF90" s="139" t="s">
        <v>590</v>
      </c>
      <c r="AG90" s="139" t="s">
        <v>591</v>
      </c>
      <c r="AH90" s="139" t="s">
        <v>733</v>
      </c>
      <c r="AI90" s="139" t="s">
        <v>432</v>
      </c>
      <c r="AJ90" s="140">
        <v>19857986.949999999</v>
      </c>
      <c r="AK90" s="139" t="s">
        <v>586</v>
      </c>
      <c r="AL90" s="139" t="s">
        <v>587</v>
      </c>
      <c r="AM90" s="139" t="s">
        <v>588</v>
      </c>
      <c r="AN90" s="139" t="s">
        <v>589</v>
      </c>
      <c r="AO90" s="139" t="s">
        <v>590</v>
      </c>
      <c r="AP90" s="139" t="s">
        <v>591</v>
      </c>
      <c r="AQ90" s="139" t="s">
        <v>733</v>
      </c>
      <c r="AR90" s="139" t="s">
        <v>432</v>
      </c>
      <c r="AS90" s="139" t="s">
        <v>432</v>
      </c>
      <c r="AT90" s="139" t="s">
        <v>593</v>
      </c>
      <c r="AU90" s="139" t="s">
        <v>437</v>
      </c>
      <c r="AV90" s="140">
        <v>2</v>
      </c>
      <c r="AW90" s="139" t="s">
        <v>594</v>
      </c>
      <c r="AX90" s="139" t="s">
        <v>653</v>
      </c>
      <c r="AY90" s="139" t="s">
        <v>850</v>
      </c>
      <c r="AZ90" s="140">
        <v>1</v>
      </c>
      <c r="BA90" s="139" t="s">
        <v>597</v>
      </c>
      <c r="BB90" s="140">
        <v>218300</v>
      </c>
      <c r="BC90" s="140">
        <v>19857987</v>
      </c>
      <c r="BD90" s="140">
        <v>236514.14</v>
      </c>
      <c r="BE90" s="140">
        <v>90.966499999999996</v>
      </c>
      <c r="BF90" s="139" t="s">
        <v>880</v>
      </c>
      <c r="BG90" s="139" t="s">
        <v>583</v>
      </c>
      <c r="BH90" s="139" t="s">
        <v>987</v>
      </c>
      <c r="BI90" s="139" t="s">
        <v>598</v>
      </c>
      <c r="BJ90" s="139" t="s">
        <v>1100</v>
      </c>
      <c r="BK90" s="139" t="s">
        <v>1101</v>
      </c>
      <c r="BL90" s="139" t="s">
        <v>1101</v>
      </c>
      <c r="BM90" s="139" t="s">
        <v>583</v>
      </c>
      <c r="BN90" s="139" t="s">
        <v>1102</v>
      </c>
      <c r="BO90" s="139" t="s">
        <v>1103</v>
      </c>
      <c r="BP90" s="139" t="s">
        <v>1104</v>
      </c>
      <c r="BQ90" s="139" t="s">
        <v>600</v>
      </c>
      <c r="BR90" s="140">
        <v>1</v>
      </c>
      <c r="BS90" s="139" t="s">
        <v>988</v>
      </c>
      <c r="BT90" s="99">
        <f t="shared" si="5"/>
        <v>0</v>
      </c>
      <c r="BU90" s="99">
        <f t="shared" si="5"/>
        <v>1</v>
      </c>
      <c r="BV90" s="99">
        <f t="shared" si="4"/>
        <v>1</v>
      </c>
      <c r="BW90" s="139" t="s">
        <v>602</v>
      </c>
      <c r="BX90" s="139" t="s">
        <v>731</v>
      </c>
      <c r="BY90" s="140">
        <v>590</v>
      </c>
      <c r="BZ90" s="140">
        <v>0</v>
      </c>
      <c r="CA90" s="99">
        <v>118000</v>
      </c>
      <c r="CB90" s="140" t="s">
        <v>603</v>
      </c>
      <c r="CC90" s="140">
        <v>0</v>
      </c>
      <c r="CD90" s="140"/>
      <c r="CE90" s="139" t="s">
        <v>577</v>
      </c>
      <c r="CF90" s="139" t="s">
        <v>604</v>
      </c>
      <c r="CG90" s="139" t="s">
        <v>583</v>
      </c>
      <c r="CH90" s="139" t="s">
        <v>583</v>
      </c>
      <c r="CI90" s="139" t="s">
        <v>733</v>
      </c>
      <c r="CJ90" s="140">
        <v>12980</v>
      </c>
      <c r="CK90" s="140" t="s">
        <v>605</v>
      </c>
      <c r="CL90" s="140">
        <v>4000000</v>
      </c>
      <c r="CM90" s="99">
        <v>11800</v>
      </c>
      <c r="CN90" s="140">
        <v>0</v>
      </c>
      <c r="CO90" s="139" t="s">
        <v>583</v>
      </c>
      <c r="CP90" s="139" t="s">
        <v>583</v>
      </c>
      <c r="CQ90" s="140">
        <v>218300</v>
      </c>
      <c r="CR90" s="140">
        <v>19857987</v>
      </c>
      <c r="CS90" s="140">
        <v>0</v>
      </c>
      <c r="CT90" s="140">
        <v>1</v>
      </c>
      <c r="CU90" s="140">
        <v>19857986.949999999</v>
      </c>
      <c r="CV90" s="99">
        <v>236514.14</v>
      </c>
      <c r="CW90" s="139" t="s">
        <v>606</v>
      </c>
      <c r="CX90" s="140">
        <v>20.04</v>
      </c>
      <c r="CY90" s="140"/>
      <c r="CZ90" s="140"/>
      <c r="DA90" s="140" t="s">
        <v>856</v>
      </c>
      <c r="DB90" s="140">
        <v>1361</v>
      </c>
      <c r="DC90" s="140"/>
    </row>
    <row r="91" spans="2:107" ht="11.25" customHeight="1" x14ac:dyDescent="0.15">
      <c r="B91" s="139" t="s">
        <v>577</v>
      </c>
      <c r="C91" s="140" t="s">
        <v>1235</v>
      </c>
      <c r="D91" s="140">
        <v>6</v>
      </c>
      <c r="E91" s="139" t="s">
        <v>1236</v>
      </c>
      <c r="F91" s="139" t="s">
        <v>618</v>
      </c>
      <c r="G91" s="140" t="s">
        <v>1235</v>
      </c>
      <c r="H91" s="139" t="s">
        <v>1237</v>
      </c>
      <c r="I91" s="140" t="s">
        <v>421</v>
      </c>
      <c r="J91" s="139" t="s">
        <v>582</v>
      </c>
      <c r="K91" s="139" t="s">
        <v>583</v>
      </c>
      <c r="L91" s="139" t="s">
        <v>583</v>
      </c>
      <c r="M91" s="139" t="s">
        <v>583</v>
      </c>
      <c r="N91" s="139" t="s">
        <v>441</v>
      </c>
      <c r="O91" s="139" t="s">
        <v>930</v>
      </c>
      <c r="P91" s="139" t="s">
        <v>583</v>
      </c>
      <c r="Q91" s="139" t="s">
        <v>583</v>
      </c>
      <c r="R91" s="140">
        <v>1</v>
      </c>
      <c r="S91" s="140">
        <v>0</v>
      </c>
      <c r="T91" s="140">
        <v>1</v>
      </c>
      <c r="U91" s="140">
        <v>423</v>
      </c>
      <c r="V91" s="139" t="s">
        <v>583</v>
      </c>
      <c r="W91" s="139" t="s">
        <v>583</v>
      </c>
      <c r="X91" s="139" t="s">
        <v>632</v>
      </c>
      <c r="Y91" s="139" t="s">
        <v>633</v>
      </c>
      <c r="Z91" s="139" t="s">
        <v>583</v>
      </c>
      <c r="AA91" s="139" t="s">
        <v>583</v>
      </c>
      <c r="AB91" s="139" t="s">
        <v>583</v>
      </c>
      <c r="AC91" s="139" t="s">
        <v>583</v>
      </c>
      <c r="AD91" s="139" t="s">
        <v>632</v>
      </c>
      <c r="AE91" s="139" t="s">
        <v>633</v>
      </c>
      <c r="AF91" s="139" t="s">
        <v>583</v>
      </c>
      <c r="AG91" s="139" t="s">
        <v>583</v>
      </c>
      <c r="AH91" s="139" t="s">
        <v>621</v>
      </c>
      <c r="AI91" s="139" t="s">
        <v>430</v>
      </c>
      <c r="AJ91" s="140">
        <v>11556376.92</v>
      </c>
      <c r="AK91" s="139" t="s">
        <v>583</v>
      </c>
      <c r="AL91" s="139" t="s">
        <v>583</v>
      </c>
      <c r="AM91" s="139" t="s">
        <v>632</v>
      </c>
      <c r="AN91" s="139" t="s">
        <v>633</v>
      </c>
      <c r="AO91" s="139" t="s">
        <v>583</v>
      </c>
      <c r="AP91" s="139" t="s">
        <v>583</v>
      </c>
      <c r="AQ91" s="139" t="s">
        <v>621</v>
      </c>
      <c r="AR91" s="139" t="s">
        <v>430</v>
      </c>
      <c r="AS91" s="139" t="s">
        <v>430</v>
      </c>
      <c r="AT91" s="139" t="s">
        <v>593</v>
      </c>
      <c r="AU91" s="139" t="s">
        <v>437</v>
      </c>
      <c r="AV91" s="140">
        <v>0</v>
      </c>
      <c r="AW91" s="139" t="s">
        <v>594</v>
      </c>
      <c r="AX91" s="139" t="s">
        <v>622</v>
      </c>
      <c r="AY91" s="139" t="s">
        <v>623</v>
      </c>
      <c r="AZ91" s="140">
        <v>1</v>
      </c>
      <c r="BA91" s="139" t="s">
        <v>597</v>
      </c>
      <c r="BB91" s="140">
        <v>126900</v>
      </c>
      <c r="BC91" s="140">
        <v>11556377</v>
      </c>
      <c r="BD91" s="140">
        <v>137045.84</v>
      </c>
      <c r="BE91" s="140">
        <v>91.066800000000001</v>
      </c>
      <c r="BF91" s="139" t="s">
        <v>880</v>
      </c>
      <c r="BG91" s="139" t="s">
        <v>582</v>
      </c>
      <c r="BH91" s="139" t="s">
        <v>931</v>
      </c>
      <c r="BI91" s="139" t="s">
        <v>598</v>
      </c>
      <c r="BJ91" s="139" t="s">
        <v>624</v>
      </c>
      <c r="BK91" s="139" t="s">
        <v>882</v>
      </c>
      <c r="BL91" s="139" t="s">
        <v>583</v>
      </c>
      <c r="BM91" s="139" t="s">
        <v>883</v>
      </c>
      <c r="BN91" s="139" t="s">
        <v>583</v>
      </c>
      <c r="BO91" s="139" t="s">
        <v>623</v>
      </c>
      <c r="BP91" s="139" t="s">
        <v>884</v>
      </c>
      <c r="BQ91" s="139" t="s">
        <v>625</v>
      </c>
      <c r="BR91" s="140">
        <v>1</v>
      </c>
      <c r="BS91" s="139" t="s">
        <v>634</v>
      </c>
      <c r="BT91" s="99">
        <f t="shared" si="5"/>
        <v>0</v>
      </c>
      <c r="BU91" s="99">
        <f t="shared" si="5"/>
        <v>1</v>
      </c>
      <c r="BV91" s="99">
        <f t="shared" si="4"/>
        <v>1</v>
      </c>
      <c r="BW91" s="139" t="s">
        <v>635</v>
      </c>
      <c r="BX91" s="139" t="s">
        <v>441</v>
      </c>
      <c r="BY91" s="140">
        <v>423</v>
      </c>
      <c r="BZ91" s="140">
        <v>0</v>
      </c>
      <c r="CA91" s="99">
        <v>84600</v>
      </c>
      <c r="CB91" s="140" t="s">
        <v>603</v>
      </c>
      <c r="CC91" s="140">
        <v>0</v>
      </c>
      <c r="CD91" s="140"/>
      <c r="CE91" s="139" t="s">
        <v>577</v>
      </c>
      <c r="CF91" s="139" t="s">
        <v>604</v>
      </c>
      <c r="CG91" s="139" t="s">
        <v>583</v>
      </c>
      <c r="CH91" s="139" t="s">
        <v>583</v>
      </c>
      <c r="CI91" s="139" t="s">
        <v>621</v>
      </c>
      <c r="CJ91" s="140">
        <v>8460</v>
      </c>
      <c r="CK91" s="140" t="s">
        <v>605</v>
      </c>
      <c r="CL91" s="140">
        <v>4000000</v>
      </c>
      <c r="CM91" s="99">
        <v>7614</v>
      </c>
      <c r="CN91" s="140">
        <v>0</v>
      </c>
      <c r="CO91" s="139" t="s">
        <v>583</v>
      </c>
      <c r="CP91" s="139" t="s">
        <v>583</v>
      </c>
      <c r="CQ91" s="140">
        <v>126900</v>
      </c>
      <c r="CR91" s="140">
        <v>11556377</v>
      </c>
      <c r="CS91" s="140">
        <v>0</v>
      </c>
      <c r="CT91" s="140">
        <v>1</v>
      </c>
      <c r="CU91" s="140">
        <v>11556376.92</v>
      </c>
      <c r="CV91" s="99">
        <v>137045.84</v>
      </c>
      <c r="CW91" s="139" t="s">
        <v>606</v>
      </c>
      <c r="CX91" s="140">
        <v>18</v>
      </c>
      <c r="CY91" s="140"/>
      <c r="CZ91" s="140"/>
      <c r="DA91" s="140" t="s">
        <v>933</v>
      </c>
      <c r="DB91" s="140">
        <v>619</v>
      </c>
      <c r="DC91" s="140"/>
    </row>
    <row r="92" spans="2:107" ht="11.25" customHeight="1" x14ac:dyDescent="0.15">
      <c r="B92" s="139" t="s">
        <v>577</v>
      </c>
      <c r="C92" s="140" t="s">
        <v>1235</v>
      </c>
      <c r="D92" s="140">
        <v>6</v>
      </c>
      <c r="E92" s="139" t="s">
        <v>1238</v>
      </c>
      <c r="F92" s="139" t="s">
        <v>580</v>
      </c>
      <c r="G92" s="140" t="s">
        <v>1235</v>
      </c>
      <c r="H92" s="139" t="s">
        <v>1239</v>
      </c>
      <c r="I92" s="140" t="s">
        <v>421</v>
      </c>
      <c r="J92" s="139" t="s">
        <v>582</v>
      </c>
      <c r="K92" s="139" t="s">
        <v>583</v>
      </c>
      <c r="L92" s="139" t="s">
        <v>583</v>
      </c>
      <c r="M92" s="139" t="s">
        <v>583</v>
      </c>
      <c r="N92" s="139" t="s">
        <v>584</v>
      </c>
      <c r="O92" s="139" t="s">
        <v>957</v>
      </c>
      <c r="P92" s="139" t="s">
        <v>583</v>
      </c>
      <c r="Q92" s="139" t="s">
        <v>583</v>
      </c>
      <c r="R92" s="140">
        <v>1</v>
      </c>
      <c r="S92" s="140">
        <v>0</v>
      </c>
      <c r="T92" s="140">
        <v>1</v>
      </c>
      <c r="U92" s="140">
        <v>177</v>
      </c>
      <c r="V92" s="139" t="s">
        <v>586</v>
      </c>
      <c r="W92" s="139" t="s">
        <v>587</v>
      </c>
      <c r="X92" s="139" t="s">
        <v>588</v>
      </c>
      <c r="Y92" s="139" t="s">
        <v>589</v>
      </c>
      <c r="Z92" s="139" t="s">
        <v>590</v>
      </c>
      <c r="AA92" s="139" t="s">
        <v>591</v>
      </c>
      <c r="AB92" s="139" t="s">
        <v>586</v>
      </c>
      <c r="AC92" s="139" t="s">
        <v>587</v>
      </c>
      <c r="AD92" s="139" t="s">
        <v>588</v>
      </c>
      <c r="AE92" s="139" t="s">
        <v>589</v>
      </c>
      <c r="AF92" s="139" t="s">
        <v>590</v>
      </c>
      <c r="AG92" s="139" t="s">
        <v>591</v>
      </c>
      <c r="AH92" s="139" t="s">
        <v>592</v>
      </c>
      <c r="AI92" s="139" t="s">
        <v>429</v>
      </c>
      <c r="AJ92" s="140">
        <v>4395065.9000000004</v>
      </c>
      <c r="AK92" s="139" t="s">
        <v>586</v>
      </c>
      <c r="AL92" s="139" t="s">
        <v>587</v>
      </c>
      <c r="AM92" s="139" t="s">
        <v>588</v>
      </c>
      <c r="AN92" s="139" t="s">
        <v>589</v>
      </c>
      <c r="AO92" s="139" t="s">
        <v>590</v>
      </c>
      <c r="AP92" s="139" t="s">
        <v>591</v>
      </c>
      <c r="AQ92" s="139" t="s">
        <v>592</v>
      </c>
      <c r="AR92" s="139" t="s">
        <v>429</v>
      </c>
      <c r="AS92" s="139" t="s">
        <v>429</v>
      </c>
      <c r="AT92" s="139" t="s">
        <v>593</v>
      </c>
      <c r="AU92" s="139" t="s">
        <v>437</v>
      </c>
      <c r="AV92" s="140">
        <v>2</v>
      </c>
      <c r="AW92" s="139" t="s">
        <v>594</v>
      </c>
      <c r="AX92" s="139" t="s">
        <v>595</v>
      </c>
      <c r="AY92" s="139" t="s">
        <v>596</v>
      </c>
      <c r="AZ92" s="140">
        <v>1</v>
      </c>
      <c r="BA92" s="139" t="s">
        <v>597</v>
      </c>
      <c r="BB92" s="140">
        <v>45312</v>
      </c>
      <c r="BC92" s="140">
        <v>4126419</v>
      </c>
      <c r="BD92" s="140">
        <v>52120.62</v>
      </c>
      <c r="BE92" s="140">
        <v>91.066800000000001</v>
      </c>
      <c r="BF92" s="139" t="s">
        <v>880</v>
      </c>
      <c r="BG92" s="139" t="s">
        <v>583</v>
      </c>
      <c r="BH92" s="139" t="s">
        <v>958</v>
      </c>
      <c r="BI92" s="139" t="s">
        <v>598</v>
      </c>
      <c r="BJ92" s="139" t="s">
        <v>599</v>
      </c>
      <c r="BK92" s="139" t="s">
        <v>583</v>
      </c>
      <c r="BL92" s="139" t="s">
        <v>583</v>
      </c>
      <c r="BM92" s="139" t="s">
        <v>583</v>
      </c>
      <c r="BN92" s="139" t="s">
        <v>853</v>
      </c>
      <c r="BO92" s="139" t="s">
        <v>854</v>
      </c>
      <c r="BP92" s="139" t="s">
        <v>959</v>
      </c>
      <c r="BQ92" s="139" t="s">
        <v>600</v>
      </c>
      <c r="BR92" s="140">
        <v>1</v>
      </c>
      <c r="BS92" s="139" t="s">
        <v>601</v>
      </c>
      <c r="BT92" s="99">
        <f t="shared" si="5"/>
        <v>0</v>
      </c>
      <c r="BU92" s="99">
        <f t="shared" si="5"/>
        <v>1</v>
      </c>
      <c r="BV92" s="99">
        <f t="shared" si="4"/>
        <v>1</v>
      </c>
      <c r="BW92" s="139" t="s">
        <v>602</v>
      </c>
      <c r="BX92" s="139" t="s">
        <v>584</v>
      </c>
      <c r="BY92" s="140">
        <v>177</v>
      </c>
      <c r="BZ92" s="140">
        <v>0</v>
      </c>
      <c r="CA92" s="99">
        <v>35400</v>
      </c>
      <c r="CB92" s="140" t="s">
        <v>603</v>
      </c>
      <c r="CC92" s="140">
        <v>0</v>
      </c>
      <c r="CD92" s="140"/>
      <c r="CE92" s="139" t="s">
        <v>577</v>
      </c>
      <c r="CF92" s="139" t="s">
        <v>604</v>
      </c>
      <c r="CG92" s="139" t="s">
        <v>583</v>
      </c>
      <c r="CH92" s="139" t="s">
        <v>583</v>
      </c>
      <c r="CI92" s="139" t="s">
        <v>592</v>
      </c>
      <c r="CJ92" s="140">
        <v>3894</v>
      </c>
      <c r="CK92" s="140" t="s">
        <v>605</v>
      </c>
      <c r="CL92" s="140">
        <v>4000000</v>
      </c>
      <c r="CM92" s="99">
        <v>3717</v>
      </c>
      <c r="CN92" s="140">
        <v>0</v>
      </c>
      <c r="CO92" s="139" t="s">
        <v>583</v>
      </c>
      <c r="CP92" s="139" t="s">
        <v>583</v>
      </c>
      <c r="CQ92" s="140">
        <v>45312</v>
      </c>
      <c r="CR92" s="140">
        <v>4126419</v>
      </c>
      <c r="CS92" s="140">
        <v>0</v>
      </c>
      <c r="CT92" s="140">
        <v>1</v>
      </c>
      <c r="CU92" s="140">
        <v>4395065.9000000004</v>
      </c>
      <c r="CV92" s="99">
        <v>52120.62</v>
      </c>
      <c r="CW92" s="139" t="s">
        <v>606</v>
      </c>
      <c r="CX92" s="140">
        <v>14.02</v>
      </c>
      <c r="CY92" s="140"/>
      <c r="CZ92" s="140"/>
      <c r="DA92" s="140" t="s">
        <v>856</v>
      </c>
      <c r="DB92" s="140">
        <v>1186</v>
      </c>
      <c r="DC92" s="140"/>
    </row>
    <row r="93" spans="2:107" ht="11.25" customHeight="1" x14ac:dyDescent="0.15">
      <c r="B93" s="139" t="s">
        <v>577</v>
      </c>
      <c r="C93" s="140" t="s">
        <v>1240</v>
      </c>
      <c r="D93" s="140">
        <v>6</v>
      </c>
      <c r="E93" s="139" t="s">
        <v>1241</v>
      </c>
      <c r="F93" s="139" t="s">
        <v>618</v>
      </c>
      <c r="G93" s="140" t="s">
        <v>1240</v>
      </c>
      <c r="H93" s="139" t="s">
        <v>1242</v>
      </c>
      <c r="I93" s="140" t="s">
        <v>421</v>
      </c>
      <c r="J93" s="139" t="s">
        <v>582</v>
      </c>
      <c r="K93" s="139" t="s">
        <v>583</v>
      </c>
      <c r="L93" s="139" t="s">
        <v>583</v>
      </c>
      <c r="M93" s="139" t="s">
        <v>583</v>
      </c>
      <c r="N93" s="139" t="s">
        <v>441</v>
      </c>
      <c r="O93" s="139" t="s">
        <v>930</v>
      </c>
      <c r="P93" s="139" t="s">
        <v>583</v>
      </c>
      <c r="Q93" s="139" t="s">
        <v>583</v>
      </c>
      <c r="R93" s="140">
        <v>1</v>
      </c>
      <c r="S93" s="140">
        <v>0</v>
      </c>
      <c r="T93" s="140">
        <v>1</v>
      </c>
      <c r="U93" s="140">
        <v>150</v>
      </c>
      <c r="V93" s="139" t="s">
        <v>679</v>
      </c>
      <c r="W93" s="139" t="s">
        <v>680</v>
      </c>
      <c r="X93" s="139" t="s">
        <v>681</v>
      </c>
      <c r="Y93" s="139" t="s">
        <v>682</v>
      </c>
      <c r="Z93" s="139" t="s">
        <v>683</v>
      </c>
      <c r="AA93" s="139" t="s">
        <v>684</v>
      </c>
      <c r="AB93" s="139" t="s">
        <v>679</v>
      </c>
      <c r="AC93" s="139" t="s">
        <v>680</v>
      </c>
      <c r="AD93" s="139" t="s">
        <v>681</v>
      </c>
      <c r="AE93" s="139" t="s">
        <v>682</v>
      </c>
      <c r="AF93" s="139" t="s">
        <v>683</v>
      </c>
      <c r="AG93" s="139" t="s">
        <v>684</v>
      </c>
      <c r="AH93" s="139" t="s">
        <v>621</v>
      </c>
      <c r="AI93" s="139" t="s">
        <v>430</v>
      </c>
      <c r="AJ93" s="140">
        <v>4005256.5</v>
      </c>
      <c r="AK93" s="139" t="s">
        <v>679</v>
      </c>
      <c r="AL93" s="139" t="s">
        <v>680</v>
      </c>
      <c r="AM93" s="139" t="s">
        <v>681</v>
      </c>
      <c r="AN93" s="139" t="s">
        <v>682</v>
      </c>
      <c r="AO93" s="139" t="s">
        <v>683</v>
      </c>
      <c r="AP93" s="139" t="s">
        <v>684</v>
      </c>
      <c r="AQ93" s="139" t="s">
        <v>621</v>
      </c>
      <c r="AR93" s="139" t="s">
        <v>430</v>
      </c>
      <c r="AS93" s="139" t="s">
        <v>430</v>
      </c>
      <c r="AT93" s="139" t="s">
        <v>593</v>
      </c>
      <c r="AU93" s="139" t="s">
        <v>437</v>
      </c>
      <c r="AV93" s="140">
        <v>0</v>
      </c>
      <c r="AW93" s="139" t="s">
        <v>594</v>
      </c>
      <c r="AX93" s="139" t="s">
        <v>622</v>
      </c>
      <c r="AY93" s="139" t="s">
        <v>623</v>
      </c>
      <c r="AZ93" s="140">
        <v>1</v>
      </c>
      <c r="BA93" s="139" t="s">
        <v>597</v>
      </c>
      <c r="BB93" s="140">
        <v>45000</v>
      </c>
      <c r="BC93" s="140">
        <v>4005257</v>
      </c>
      <c r="BD93" s="140">
        <v>48465.32</v>
      </c>
      <c r="BE93" s="140">
        <v>89.005700000000004</v>
      </c>
      <c r="BF93" s="139" t="s">
        <v>880</v>
      </c>
      <c r="BG93" s="139" t="s">
        <v>582</v>
      </c>
      <c r="BH93" s="139" t="s">
        <v>900</v>
      </c>
      <c r="BI93" s="139" t="s">
        <v>598</v>
      </c>
      <c r="BJ93" s="139" t="s">
        <v>624</v>
      </c>
      <c r="BK93" s="139" t="s">
        <v>882</v>
      </c>
      <c r="BL93" s="139" t="s">
        <v>583</v>
      </c>
      <c r="BM93" s="139" t="s">
        <v>883</v>
      </c>
      <c r="BN93" s="139" t="s">
        <v>583</v>
      </c>
      <c r="BO93" s="139" t="s">
        <v>623</v>
      </c>
      <c r="BP93" s="139" t="s">
        <v>884</v>
      </c>
      <c r="BQ93" s="139" t="s">
        <v>625</v>
      </c>
      <c r="BR93" s="140">
        <v>1</v>
      </c>
      <c r="BS93" s="139" t="s">
        <v>685</v>
      </c>
      <c r="BT93" s="99">
        <f t="shared" si="5"/>
        <v>0</v>
      </c>
      <c r="BU93" s="99">
        <f t="shared" si="5"/>
        <v>1</v>
      </c>
      <c r="BV93" s="99">
        <f t="shared" si="4"/>
        <v>1</v>
      </c>
      <c r="BW93" s="139" t="s">
        <v>635</v>
      </c>
      <c r="BX93" s="139" t="s">
        <v>441</v>
      </c>
      <c r="BY93" s="140">
        <v>150</v>
      </c>
      <c r="BZ93" s="140">
        <v>0</v>
      </c>
      <c r="CA93" s="99">
        <v>30000</v>
      </c>
      <c r="CB93" s="140" t="s">
        <v>603</v>
      </c>
      <c r="CC93" s="140">
        <v>0</v>
      </c>
      <c r="CD93" s="140"/>
      <c r="CE93" s="139" t="s">
        <v>577</v>
      </c>
      <c r="CF93" s="139" t="s">
        <v>604</v>
      </c>
      <c r="CG93" s="139" t="s">
        <v>583</v>
      </c>
      <c r="CH93" s="139" t="s">
        <v>583</v>
      </c>
      <c r="CI93" s="139" t="s">
        <v>621</v>
      </c>
      <c r="CJ93" s="140">
        <v>3000</v>
      </c>
      <c r="CK93" s="140" t="s">
        <v>605</v>
      </c>
      <c r="CL93" s="140">
        <v>4000000</v>
      </c>
      <c r="CM93" s="99">
        <v>2700</v>
      </c>
      <c r="CN93" s="140">
        <v>0</v>
      </c>
      <c r="CO93" s="139" t="s">
        <v>583</v>
      </c>
      <c r="CP93" s="139" t="s">
        <v>583</v>
      </c>
      <c r="CQ93" s="140">
        <v>45000</v>
      </c>
      <c r="CR93" s="140">
        <v>4005257</v>
      </c>
      <c r="CS93" s="140">
        <v>0</v>
      </c>
      <c r="CT93" s="140">
        <v>1</v>
      </c>
      <c r="CU93" s="140">
        <v>4005256.5</v>
      </c>
      <c r="CV93" s="99">
        <v>48465.32</v>
      </c>
      <c r="CW93" s="139" t="s">
        <v>606</v>
      </c>
      <c r="CX93" s="140">
        <v>17.95</v>
      </c>
      <c r="CY93" s="140"/>
      <c r="CZ93" s="140"/>
      <c r="DA93" s="140" t="s">
        <v>902</v>
      </c>
      <c r="DB93" s="140">
        <v>761</v>
      </c>
      <c r="DC93" s="140"/>
    </row>
    <row r="94" spans="2:107" ht="11.25" customHeight="1" x14ac:dyDescent="0.15">
      <c r="B94" s="139" t="s">
        <v>577</v>
      </c>
      <c r="C94" s="140" t="s">
        <v>1243</v>
      </c>
      <c r="D94" s="140">
        <v>6</v>
      </c>
      <c r="E94" s="139" t="s">
        <v>1244</v>
      </c>
      <c r="F94" s="139" t="s">
        <v>580</v>
      </c>
      <c r="G94" s="140" t="s">
        <v>1243</v>
      </c>
      <c r="H94" s="139" t="s">
        <v>1245</v>
      </c>
      <c r="I94" s="140" t="s">
        <v>421</v>
      </c>
      <c r="J94" s="139" t="s">
        <v>582</v>
      </c>
      <c r="K94" s="139" t="s">
        <v>583</v>
      </c>
      <c r="L94" s="139" t="s">
        <v>583</v>
      </c>
      <c r="M94" s="139" t="s">
        <v>583</v>
      </c>
      <c r="N94" s="139" t="s">
        <v>1169</v>
      </c>
      <c r="O94" s="139" t="s">
        <v>1246</v>
      </c>
      <c r="P94" s="139" t="s">
        <v>583</v>
      </c>
      <c r="Q94" s="139" t="s">
        <v>583</v>
      </c>
      <c r="R94" s="140">
        <v>1</v>
      </c>
      <c r="S94" s="140">
        <v>0</v>
      </c>
      <c r="T94" s="140">
        <v>1</v>
      </c>
      <c r="U94" s="140">
        <v>45</v>
      </c>
      <c r="V94" s="139" t="s">
        <v>907</v>
      </c>
      <c r="W94" s="139" t="s">
        <v>908</v>
      </c>
      <c r="X94" s="139" t="s">
        <v>909</v>
      </c>
      <c r="Y94" s="139" t="s">
        <v>910</v>
      </c>
      <c r="Z94" s="139" t="s">
        <v>644</v>
      </c>
      <c r="AA94" s="139" t="s">
        <v>911</v>
      </c>
      <c r="AB94" s="139" t="s">
        <v>907</v>
      </c>
      <c r="AC94" s="139" t="s">
        <v>908</v>
      </c>
      <c r="AD94" s="139" t="s">
        <v>909</v>
      </c>
      <c r="AE94" s="139" t="s">
        <v>910</v>
      </c>
      <c r="AF94" s="139" t="s">
        <v>644</v>
      </c>
      <c r="AG94" s="139" t="s">
        <v>911</v>
      </c>
      <c r="AH94" s="139" t="s">
        <v>592</v>
      </c>
      <c r="AI94" s="139" t="s">
        <v>429</v>
      </c>
      <c r="AJ94" s="140">
        <v>1217514.31</v>
      </c>
      <c r="AK94" s="139" t="s">
        <v>907</v>
      </c>
      <c r="AL94" s="139" t="s">
        <v>908</v>
      </c>
      <c r="AM94" s="139" t="s">
        <v>909</v>
      </c>
      <c r="AN94" s="139" t="s">
        <v>910</v>
      </c>
      <c r="AO94" s="139" t="s">
        <v>644</v>
      </c>
      <c r="AP94" s="139" t="s">
        <v>911</v>
      </c>
      <c r="AQ94" s="139" t="s">
        <v>592</v>
      </c>
      <c r="AR94" s="139" t="s">
        <v>429</v>
      </c>
      <c r="AS94" s="139" t="s">
        <v>429</v>
      </c>
      <c r="AT94" s="139" t="s">
        <v>593</v>
      </c>
      <c r="AU94" s="139" t="s">
        <v>437</v>
      </c>
      <c r="AV94" s="140">
        <v>2</v>
      </c>
      <c r="AW94" s="139" t="s">
        <v>594</v>
      </c>
      <c r="AX94" s="139" t="s">
        <v>595</v>
      </c>
      <c r="AY94" s="139" t="s">
        <v>722</v>
      </c>
      <c r="AZ94" s="140">
        <v>1</v>
      </c>
      <c r="BA94" s="139" t="s">
        <v>597</v>
      </c>
      <c r="BB94" s="140">
        <v>13500</v>
      </c>
      <c r="BC94" s="140">
        <v>1201577</v>
      </c>
      <c r="BD94" s="140">
        <v>14732.45</v>
      </c>
      <c r="BE94" s="140">
        <v>89.005700000000004</v>
      </c>
      <c r="BF94" s="139" t="s">
        <v>880</v>
      </c>
      <c r="BG94" s="139" t="s">
        <v>583</v>
      </c>
      <c r="BH94" s="139" t="s">
        <v>1171</v>
      </c>
      <c r="BI94" s="139" t="s">
        <v>598</v>
      </c>
      <c r="BJ94" s="139" t="s">
        <v>624</v>
      </c>
      <c r="BK94" s="139" t="s">
        <v>914</v>
      </c>
      <c r="BL94" s="139" t="s">
        <v>583</v>
      </c>
      <c r="BM94" s="139" t="s">
        <v>915</v>
      </c>
      <c r="BN94" s="139" t="s">
        <v>916</v>
      </c>
      <c r="BO94" s="139" t="s">
        <v>917</v>
      </c>
      <c r="BP94" s="139" t="s">
        <v>918</v>
      </c>
      <c r="BQ94" s="139" t="s">
        <v>772</v>
      </c>
      <c r="BR94" s="140">
        <v>1</v>
      </c>
      <c r="BS94" s="139" t="s">
        <v>1247</v>
      </c>
      <c r="BT94" s="99">
        <f t="shared" si="5"/>
        <v>0</v>
      </c>
      <c r="BU94" s="99">
        <f t="shared" si="5"/>
        <v>1</v>
      </c>
      <c r="BV94" s="99">
        <f t="shared" si="4"/>
        <v>1</v>
      </c>
      <c r="BW94" s="139" t="s">
        <v>602</v>
      </c>
      <c r="BX94" s="139" t="s">
        <v>1169</v>
      </c>
      <c r="BY94" s="140">
        <v>45</v>
      </c>
      <c r="BZ94" s="140">
        <v>0</v>
      </c>
      <c r="CA94" s="99">
        <v>9000</v>
      </c>
      <c r="CB94" s="140" t="s">
        <v>603</v>
      </c>
      <c r="CC94" s="140">
        <v>0</v>
      </c>
      <c r="CD94" s="140"/>
      <c r="CE94" s="139" t="s">
        <v>577</v>
      </c>
      <c r="CF94" s="139" t="s">
        <v>604</v>
      </c>
      <c r="CG94" s="139" t="s">
        <v>583</v>
      </c>
      <c r="CH94" s="139" t="s">
        <v>583</v>
      </c>
      <c r="CI94" s="139" t="s">
        <v>592</v>
      </c>
      <c r="CJ94" s="140">
        <v>945</v>
      </c>
      <c r="CK94" s="140" t="s">
        <v>605</v>
      </c>
      <c r="CL94" s="140">
        <v>4000000</v>
      </c>
      <c r="CM94" s="99">
        <v>900</v>
      </c>
      <c r="CN94" s="140">
        <v>0</v>
      </c>
      <c r="CO94" s="139" t="s">
        <v>583</v>
      </c>
      <c r="CP94" s="139" t="s">
        <v>583</v>
      </c>
      <c r="CQ94" s="140">
        <v>13500</v>
      </c>
      <c r="CR94" s="140">
        <v>1201577</v>
      </c>
      <c r="CS94" s="140">
        <v>0</v>
      </c>
      <c r="CT94" s="140">
        <v>1</v>
      </c>
      <c r="CU94" s="140">
        <v>1217514.31</v>
      </c>
      <c r="CV94" s="99">
        <v>14732.45</v>
      </c>
      <c r="CW94" s="139" t="s">
        <v>606</v>
      </c>
      <c r="CX94" s="140">
        <v>16.37</v>
      </c>
      <c r="CY94" s="140"/>
      <c r="CZ94" s="140"/>
      <c r="DA94" s="140" t="s">
        <v>920</v>
      </c>
      <c r="DB94" s="140">
        <v>1234</v>
      </c>
      <c r="DC94" s="140"/>
    </row>
    <row r="95" spans="2:107" ht="11.25" customHeight="1" x14ac:dyDescent="0.15">
      <c r="B95" s="139" t="s">
        <v>577</v>
      </c>
      <c r="C95" s="140" t="s">
        <v>1243</v>
      </c>
      <c r="D95" s="140">
        <v>6</v>
      </c>
      <c r="E95" s="139" t="s">
        <v>1248</v>
      </c>
      <c r="F95" s="139" t="s">
        <v>618</v>
      </c>
      <c r="G95" s="140" t="s">
        <v>1243</v>
      </c>
      <c r="H95" s="139" t="s">
        <v>1249</v>
      </c>
      <c r="I95" s="140" t="s">
        <v>421</v>
      </c>
      <c r="J95" s="139" t="s">
        <v>582</v>
      </c>
      <c r="K95" s="139" t="s">
        <v>583</v>
      </c>
      <c r="L95" s="139" t="s">
        <v>583</v>
      </c>
      <c r="M95" s="139" t="s">
        <v>583</v>
      </c>
      <c r="N95" s="139" t="s">
        <v>441</v>
      </c>
      <c r="O95" s="139" t="s">
        <v>1250</v>
      </c>
      <c r="P95" s="139" t="s">
        <v>583</v>
      </c>
      <c r="Q95" s="139" t="s">
        <v>583</v>
      </c>
      <c r="R95" s="140">
        <v>1</v>
      </c>
      <c r="S95" s="140"/>
      <c r="T95" s="140">
        <v>1</v>
      </c>
      <c r="U95" s="140">
        <v>594</v>
      </c>
      <c r="V95" s="139" t="s">
        <v>586</v>
      </c>
      <c r="W95" s="139" t="s">
        <v>587</v>
      </c>
      <c r="X95" s="139" t="s">
        <v>588</v>
      </c>
      <c r="Y95" s="139" t="s">
        <v>589</v>
      </c>
      <c r="Z95" s="139" t="s">
        <v>590</v>
      </c>
      <c r="AA95" s="139" t="s">
        <v>591</v>
      </c>
      <c r="AB95" s="139" t="s">
        <v>586</v>
      </c>
      <c r="AC95" s="139" t="s">
        <v>587</v>
      </c>
      <c r="AD95" s="139" t="s">
        <v>588</v>
      </c>
      <c r="AE95" s="139" t="s">
        <v>589</v>
      </c>
      <c r="AF95" s="139" t="s">
        <v>590</v>
      </c>
      <c r="AG95" s="139" t="s">
        <v>591</v>
      </c>
      <c r="AH95" s="139" t="s">
        <v>621</v>
      </c>
      <c r="AI95" s="139" t="s">
        <v>430</v>
      </c>
      <c r="AJ95" s="140">
        <v>14697689.25</v>
      </c>
      <c r="AK95" s="139" t="s">
        <v>586</v>
      </c>
      <c r="AL95" s="139" t="s">
        <v>587</v>
      </c>
      <c r="AM95" s="139" t="s">
        <v>588</v>
      </c>
      <c r="AN95" s="139" t="s">
        <v>589</v>
      </c>
      <c r="AO95" s="139" t="s">
        <v>590</v>
      </c>
      <c r="AP95" s="139" t="s">
        <v>591</v>
      </c>
      <c r="AQ95" s="139" t="s">
        <v>621</v>
      </c>
      <c r="AR95" s="139" t="s">
        <v>430</v>
      </c>
      <c r="AS95" s="139" t="s">
        <v>430</v>
      </c>
      <c r="AT95" s="139" t="s">
        <v>593</v>
      </c>
      <c r="AU95" s="139" t="s">
        <v>437</v>
      </c>
      <c r="AV95" s="140"/>
      <c r="AW95" s="139" t="s">
        <v>594</v>
      </c>
      <c r="AX95" s="139" t="s">
        <v>622</v>
      </c>
      <c r="AY95" s="139" t="s">
        <v>623</v>
      </c>
      <c r="AZ95" s="140">
        <v>1</v>
      </c>
      <c r="BA95" s="139" t="s">
        <v>597</v>
      </c>
      <c r="BB95" s="140">
        <v>165132</v>
      </c>
      <c r="BC95" s="140">
        <v>14697689</v>
      </c>
      <c r="BD95" s="140">
        <v>177848.34</v>
      </c>
      <c r="BE95" s="140">
        <v>89.005700000000004</v>
      </c>
      <c r="BF95" s="139" t="s">
        <v>880</v>
      </c>
      <c r="BG95" s="139" t="s">
        <v>582</v>
      </c>
      <c r="BH95" s="139" t="s">
        <v>1161</v>
      </c>
      <c r="BI95" s="139" t="s">
        <v>598</v>
      </c>
      <c r="BJ95" s="139" t="s">
        <v>624</v>
      </c>
      <c r="BK95" s="139" t="s">
        <v>882</v>
      </c>
      <c r="BL95" s="139" t="s">
        <v>583</v>
      </c>
      <c r="BM95" s="139" t="s">
        <v>883</v>
      </c>
      <c r="BN95" s="139" t="s">
        <v>971</v>
      </c>
      <c r="BO95" s="139" t="s">
        <v>972</v>
      </c>
      <c r="BP95" s="139" t="s">
        <v>1162</v>
      </c>
      <c r="BQ95" s="139" t="s">
        <v>625</v>
      </c>
      <c r="BR95" s="140">
        <v>1</v>
      </c>
      <c r="BS95" s="139" t="s">
        <v>1251</v>
      </c>
      <c r="BT95" s="99">
        <f t="shared" si="5"/>
        <v>0</v>
      </c>
      <c r="BU95" s="99">
        <f t="shared" si="5"/>
        <v>1</v>
      </c>
      <c r="BV95" s="99">
        <f t="shared" si="4"/>
        <v>1</v>
      </c>
      <c r="BW95" s="139" t="s">
        <v>602</v>
      </c>
      <c r="BX95" s="139" t="s">
        <v>441</v>
      </c>
      <c r="BY95" s="140">
        <v>594</v>
      </c>
      <c r="BZ95" s="140"/>
      <c r="CA95" s="99">
        <v>118800</v>
      </c>
      <c r="CB95" s="140" t="s">
        <v>603</v>
      </c>
      <c r="CC95" s="140"/>
      <c r="CD95" s="140"/>
      <c r="CE95" s="139" t="s">
        <v>577</v>
      </c>
      <c r="CF95" s="139" t="s">
        <v>604</v>
      </c>
      <c r="CG95" s="139" t="s">
        <v>583</v>
      </c>
      <c r="CH95" s="139" t="s">
        <v>583</v>
      </c>
      <c r="CI95" s="139" t="s">
        <v>621</v>
      </c>
      <c r="CJ95" s="140">
        <v>11880</v>
      </c>
      <c r="CK95" s="140" t="s">
        <v>605</v>
      </c>
      <c r="CL95" s="140">
        <v>4000000</v>
      </c>
      <c r="CM95" s="99">
        <v>10692</v>
      </c>
      <c r="CN95" s="140"/>
      <c r="CO95" s="139" t="s">
        <v>583</v>
      </c>
      <c r="CP95" s="139" t="s">
        <v>583</v>
      </c>
      <c r="CQ95" s="140">
        <v>165132</v>
      </c>
      <c r="CR95" s="140">
        <v>14697689</v>
      </c>
      <c r="CS95" s="140">
        <v>0</v>
      </c>
      <c r="CT95" s="140">
        <v>1</v>
      </c>
      <c r="CU95" s="140">
        <v>14697689.25</v>
      </c>
      <c r="CV95" s="99">
        <v>177848.34</v>
      </c>
      <c r="CW95" s="139" t="s">
        <v>606</v>
      </c>
      <c r="CX95" s="140">
        <v>16.63</v>
      </c>
      <c r="CY95" s="140"/>
      <c r="CZ95" s="140"/>
      <c r="DA95" s="140" t="s">
        <v>856</v>
      </c>
      <c r="DB95" s="140">
        <v>910</v>
      </c>
      <c r="DC95" s="140"/>
    </row>
    <row r="96" spans="2:107" ht="11.25" customHeight="1" x14ac:dyDescent="0.15">
      <c r="B96" s="139" t="s">
        <v>577</v>
      </c>
      <c r="C96" s="140" t="s">
        <v>1252</v>
      </c>
      <c r="D96" s="140">
        <v>6</v>
      </c>
      <c r="E96" s="139" t="s">
        <v>1253</v>
      </c>
      <c r="F96" s="139" t="s">
        <v>580</v>
      </c>
      <c r="G96" s="140" t="s">
        <v>1252</v>
      </c>
      <c r="H96" s="139" t="s">
        <v>1254</v>
      </c>
      <c r="I96" s="140" t="s">
        <v>421</v>
      </c>
      <c r="J96" s="139" t="s">
        <v>582</v>
      </c>
      <c r="K96" s="139" t="s">
        <v>583</v>
      </c>
      <c r="L96" s="139" t="s">
        <v>583</v>
      </c>
      <c r="M96" s="139" t="s">
        <v>583</v>
      </c>
      <c r="N96" s="139" t="s">
        <v>1067</v>
      </c>
      <c r="O96" s="139" t="s">
        <v>1255</v>
      </c>
      <c r="P96" s="139" t="s">
        <v>583</v>
      </c>
      <c r="Q96" s="139" t="s">
        <v>583</v>
      </c>
      <c r="R96" s="140">
        <v>2</v>
      </c>
      <c r="S96" s="140">
        <v>0</v>
      </c>
      <c r="T96" s="140">
        <v>2</v>
      </c>
      <c r="U96" s="140">
        <v>10</v>
      </c>
      <c r="V96" s="139" t="s">
        <v>1069</v>
      </c>
      <c r="W96" s="139" t="s">
        <v>1070</v>
      </c>
      <c r="X96" s="139" t="s">
        <v>1071</v>
      </c>
      <c r="Y96" s="139" t="s">
        <v>1072</v>
      </c>
      <c r="Z96" s="139" t="s">
        <v>590</v>
      </c>
      <c r="AA96" s="139" t="s">
        <v>1073</v>
      </c>
      <c r="AB96" s="139" t="s">
        <v>1069</v>
      </c>
      <c r="AC96" s="139" t="s">
        <v>1070</v>
      </c>
      <c r="AD96" s="139" t="s">
        <v>1071</v>
      </c>
      <c r="AE96" s="139" t="s">
        <v>1072</v>
      </c>
      <c r="AF96" s="139" t="s">
        <v>590</v>
      </c>
      <c r="AG96" s="139" t="s">
        <v>1073</v>
      </c>
      <c r="AH96" s="139" t="s">
        <v>1074</v>
      </c>
      <c r="AI96" s="139" t="s">
        <v>435</v>
      </c>
      <c r="AJ96" s="140">
        <v>2907994.23</v>
      </c>
      <c r="AK96" s="139" t="s">
        <v>1069</v>
      </c>
      <c r="AL96" s="139" t="s">
        <v>1070</v>
      </c>
      <c r="AM96" s="139" t="s">
        <v>1071</v>
      </c>
      <c r="AN96" s="139" t="s">
        <v>1072</v>
      </c>
      <c r="AO96" s="139" t="s">
        <v>590</v>
      </c>
      <c r="AP96" s="139" t="s">
        <v>1073</v>
      </c>
      <c r="AQ96" s="139" t="s">
        <v>1074</v>
      </c>
      <c r="AR96" s="139" t="s">
        <v>435</v>
      </c>
      <c r="AS96" s="139" t="s">
        <v>435</v>
      </c>
      <c r="AT96" s="139" t="s">
        <v>593</v>
      </c>
      <c r="AU96" s="139" t="s">
        <v>437</v>
      </c>
      <c r="AV96" s="140">
        <v>2</v>
      </c>
      <c r="AW96" s="139" t="s">
        <v>594</v>
      </c>
      <c r="AX96" s="139" t="s">
        <v>653</v>
      </c>
      <c r="AY96" s="139" t="s">
        <v>1075</v>
      </c>
      <c r="AZ96" s="140">
        <v>1</v>
      </c>
      <c r="BA96" s="139" t="s">
        <v>597</v>
      </c>
      <c r="BB96" s="140">
        <v>32672</v>
      </c>
      <c r="BC96" s="140">
        <v>2907994</v>
      </c>
      <c r="BD96" s="140">
        <v>35187.980000000003</v>
      </c>
      <c r="BE96" s="140">
        <v>89.005700000000004</v>
      </c>
      <c r="BF96" s="139" t="s">
        <v>880</v>
      </c>
      <c r="BG96" s="139" t="s">
        <v>583</v>
      </c>
      <c r="BH96" s="139" t="s">
        <v>1076</v>
      </c>
      <c r="BI96" s="139" t="s">
        <v>598</v>
      </c>
      <c r="BJ96" s="139" t="s">
        <v>599</v>
      </c>
      <c r="BK96" s="139" t="s">
        <v>583</v>
      </c>
      <c r="BL96" s="139" t="s">
        <v>583</v>
      </c>
      <c r="BM96" s="139" t="s">
        <v>583</v>
      </c>
      <c r="BN96" s="139" t="s">
        <v>842</v>
      </c>
      <c r="BO96" s="139" t="s">
        <v>843</v>
      </c>
      <c r="BP96" s="139" t="s">
        <v>925</v>
      </c>
      <c r="BQ96" s="139" t="s">
        <v>723</v>
      </c>
      <c r="BR96" s="140">
        <v>2</v>
      </c>
      <c r="BS96" s="139" t="s">
        <v>1256</v>
      </c>
      <c r="BT96" s="99">
        <f t="shared" si="5"/>
        <v>1</v>
      </c>
      <c r="BU96" s="99">
        <f t="shared" si="5"/>
        <v>0</v>
      </c>
      <c r="BV96" s="99">
        <f t="shared" si="4"/>
        <v>1</v>
      </c>
      <c r="BW96" s="139" t="s">
        <v>1078</v>
      </c>
      <c r="BX96" s="139" t="s">
        <v>1257</v>
      </c>
      <c r="BY96" s="140">
        <v>1</v>
      </c>
      <c r="BZ96" s="140">
        <v>0</v>
      </c>
      <c r="CA96" s="99">
        <v>2000</v>
      </c>
      <c r="CB96" s="140" t="s">
        <v>603</v>
      </c>
      <c r="CC96" s="140">
        <v>0</v>
      </c>
      <c r="CD96" s="140"/>
      <c r="CE96" s="139" t="s">
        <v>1080</v>
      </c>
      <c r="CF96" s="139" t="s">
        <v>604</v>
      </c>
      <c r="CG96" s="139" t="s">
        <v>583</v>
      </c>
      <c r="CH96" s="139" t="s">
        <v>583</v>
      </c>
      <c r="CI96" s="139" t="s">
        <v>1074</v>
      </c>
      <c r="CJ96" s="140">
        <v>215</v>
      </c>
      <c r="CK96" s="140" t="s">
        <v>605</v>
      </c>
      <c r="CL96" s="140">
        <v>4000000</v>
      </c>
      <c r="CM96" s="99">
        <v>190</v>
      </c>
      <c r="CN96" s="140">
        <v>0</v>
      </c>
      <c r="CO96" s="139" t="s">
        <v>583</v>
      </c>
      <c r="CP96" s="139" t="s">
        <v>583</v>
      </c>
      <c r="CQ96" s="140">
        <v>3390.34</v>
      </c>
      <c r="CR96" s="140">
        <v>301760</v>
      </c>
      <c r="CS96" s="140">
        <v>0</v>
      </c>
      <c r="CT96" s="140">
        <v>1</v>
      </c>
      <c r="CU96" s="140">
        <v>301759.58</v>
      </c>
      <c r="CV96" s="99">
        <v>3651.42</v>
      </c>
      <c r="CW96" s="139" t="s">
        <v>606</v>
      </c>
      <c r="CX96" s="140">
        <v>19.22</v>
      </c>
      <c r="CY96" s="140"/>
      <c r="CZ96" s="140"/>
      <c r="DA96" s="140" t="s">
        <v>1081</v>
      </c>
      <c r="DB96" s="140">
        <v>1527</v>
      </c>
      <c r="DC96" s="140"/>
    </row>
    <row r="97" spans="2:107" ht="11.25" customHeight="1" x14ac:dyDescent="0.15">
      <c r="B97" s="139" t="s">
        <v>577</v>
      </c>
      <c r="C97" s="140" t="s">
        <v>1252</v>
      </c>
      <c r="D97" s="140">
        <v>6</v>
      </c>
      <c r="E97" s="139" t="s">
        <v>1258</v>
      </c>
      <c r="F97" s="139" t="s">
        <v>729</v>
      </c>
      <c r="G97" s="140" t="s">
        <v>1252</v>
      </c>
      <c r="H97" s="139" t="s">
        <v>1259</v>
      </c>
      <c r="I97" s="140" t="s">
        <v>421</v>
      </c>
      <c r="J97" s="139" t="s">
        <v>582</v>
      </c>
      <c r="K97" s="139" t="s">
        <v>583</v>
      </c>
      <c r="L97" s="139" t="s">
        <v>583</v>
      </c>
      <c r="M97" s="139" t="s">
        <v>583</v>
      </c>
      <c r="N97" s="139" t="s">
        <v>731</v>
      </c>
      <c r="O97" s="139" t="s">
        <v>1260</v>
      </c>
      <c r="P97" s="139" t="s">
        <v>583</v>
      </c>
      <c r="Q97" s="139" t="s">
        <v>583</v>
      </c>
      <c r="R97" s="140">
        <v>1</v>
      </c>
      <c r="S97" s="140">
        <v>0</v>
      </c>
      <c r="T97" s="140">
        <v>1</v>
      </c>
      <c r="U97" s="140">
        <v>420</v>
      </c>
      <c r="V97" s="139" t="s">
        <v>691</v>
      </c>
      <c r="W97" s="139" t="s">
        <v>692</v>
      </c>
      <c r="X97" s="139" t="s">
        <v>693</v>
      </c>
      <c r="Y97" s="139" t="s">
        <v>694</v>
      </c>
      <c r="Z97" s="139" t="s">
        <v>695</v>
      </c>
      <c r="AA97" s="139" t="s">
        <v>696</v>
      </c>
      <c r="AB97" s="139" t="s">
        <v>691</v>
      </c>
      <c r="AC97" s="139" t="s">
        <v>692</v>
      </c>
      <c r="AD97" s="139" t="s">
        <v>693</v>
      </c>
      <c r="AE97" s="139" t="s">
        <v>694</v>
      </c>
      <c r="AF97" s="139" t="s">
        <v>695</v>
      </c>
      <c r="AG97" s="139" t="s">
        <v>696</v>
      </c>
      <c r="AH97" s="139" t="s">
        <v>733</v>
      </c>
      <c r="AI97" s="139" t="s">
        <v>432</v>
      </c>
      <c r="AJ97" s="140">
        <v>13432740.24</v>
      </c>
      <c r="AK97" s="139" t="s">
        <v>691</v>
      </c>
      <c r="AL97" s="139" t="s">
        <v>692</v>
      </c>
      <c r="AM97" s="139" t="s">
        <v>693</v>
      </c>
      <c r="AN97" s="139" t="s">
        <v>694</v>
      </c>
      <c r="AO97" s="139" t="s">
        <v>695</v>
      </c>
      <c r="AP97" s="139" t="s">
        <v>696</v>
      </c>
      <c r="AQ97" s="139" t="s">
        <v>733</v>
      </c>
      <c r="AR97" s="139" t="s">
        <v>432</v>
      </c>
      <c r="AS97" s="139" t="s">
        <v>432</v>
      </c>
      <c r="AT97" s="139" t="s">
        <v>593</v>
      </c>
      <c r="AU97" s="139" t="s">
        <v>437</v>
      </c>
      <c r="AV97" s="140">
        <v>2</v>
      </c>
      <c r="AW97" s="139" t="s">
        <v>594</v>
      </c>
      <c r="AX97" s="139" t="s">
        <v>653</v>
      </c>
      <c r="AY97" s="139" t="s">
        <v>734</v>
      </c>
      <c r="AZ97" s="140">
        <v>1</v>
      </c>
      <c r="BA97" s="139" t="s">
        <v>597</v>
      </c>
      <c r="BB97" s="140">
        <v>150920</v>
      </c>
      <c r="BC97" s="140">
        <v>13432740</v>
      </c>
      <c r="BD97" s="140">
        <v>162541.92000000001</v>
      </c>
      <c r="BE97" s="140">
        <v>89.005700000000004</v>
      </c>
      <c r="BF97" s="139" t="s">
        <v>880</v>
      </c>
      <c r="BG97" s="139" t="s">
        <v>583</v>
      </c>
      <c r="BH97" s="139" t="s">
        <v>736</v>
      </c>
      <c r="BI97" s="139" t="s">
        <v>598</v>
      </c>
      <c r="BJ97" s="139" t="s">
        <v>624</v>
      </c>
      <c r="BK97" s="139" t="s">
        <v>890</v>
      </c>
      <c r="BL97" s="139" t="s">
        <v>583</v>
      </c>
      <c r="BM97" s="139" t="s">
        <v>891</v>
      </c>
      <c r="BN97" s="139" t="s">
        <v>738</v>
      </c>
      <c r="BO97" s="139" t="s">
        <v>739</v>
      </c>
      <c r="BP97" s="139" t="s">
        <v>892</v>
      </c>
      <c r="BQ97" s="139" t="s">
        <v>741</v>
      </c>
      <c r="BR97" s="140">
        <v>1</v>
      </c>
      <c r="BS97" s="139" t="s">
        <v>1261</v>
      </c>
      <c r="BT97" s="99">
        <f t="shared" si="5"/>
        <v>0</v>
      </c>
      <c r="BU97" s="99">
        <f t="shared" si="5"/>
        <v>0</v>
      </c>
      <c r="BV97" s="99">
        <f t="shared" si="4"/>
        <v>0</v>
      </c>
      <c r="BW97" s="139" t="s">
        <v>743</v>
      </c>
      <c r="BX97" s="139" t="s">
        <v>744</v>
      </c>
      <c r="BY97" s="140">
        <v>420</v>
      </c>
      <c r="BZ97" s="140">
        <v>0</v>
      </c>
      <c r="CA97" s="99">
        <v>84000</v>
      </c>
      <c r="CB97" s="140" t="s">
        <v>603</v>
      </c>
      <c r="CC97" s="140">
        <v>0</v>
      </c>
      <c r="CD97" s="140"/>
      <c r="CE97" s="139" t="s">
        <v>577</v>
      </c>
      <c r="CF97" s="139" t="s">
        <v>604</v>
      </c>
      <c r="CG97" s="139" t="s">
        <v>583</v>
      </c>
      <c r="CH97" s="139" t="s">
        <v>583</v>
      </c>
      <c r="CI97" s="139" t="s">
        <v>733</v>
      </c>
      <c r="CJ97" s="140">
        <v>9240</v>
      </c>
      <c r="CK97" s="140" t="s">
        <v>605</v>
      </c>
      <c r="CL97" s="140">
        <v>4000000</v>
      </c>
      <c r="CM97" s="99">
        <v>8400</v>
      </c>
      <c r="CN97" s="140">
        <v>0</v>
      </c>
      <c r="CO97" s="139" t="s">
        <v>583</v>
      </c>
      <c r="CP97" s="139" t="s">
        <v>583</v>
      </c>
      <c r="CQ97" s="140">
        <v>150920</v>
      </c>
      <c r="CR97" s="140">
        <v>13432740</v>
      </c>
      <c r="CS97" s="140">
        <v>0</v>
      </c>
      <c r="CT97" s="140">
        <v>1</v>
      </c>
      <c r="CU97" s="140">
        <v>13432740.24</v>
      </c>
      <c r="CV97" s="99">
        <v>162541.92000000001</v>
      </c>
      <c r="CW97" s="139" t="s">
        <v>606</v>
      </c>
      <c r="CX97" s="140">
        <v>19.350000000000001</v>
      </c>
      <c r="CY97" s="140">
        <v>933</v>
      </c>
      <c r="CZ97" s="140" t="s">
        <v>894</v>
      </c>
      <c r="DA97" s="140" t="s">
        <v>895</v>
      </c>
      <c r="DB97" s="140">
        <v>553</v>
      </c>
      <c r="DC97" s="140"/>
    </row>
    <row r="98" spans="2:107" ht="11.25" customHeight="1" x14ac:dyDescent="0.15">
      <c r="B98" s="139" t="s">
        <v>577</v>
      </c>
      <c r="C98" s="140" t="s">
        <v>1262</v>
      </c>
      <c r="D98" s="140">
        <v>6</v>
      </c>
      <c r="E98" s="139" t="s">
        <v>1263</v>
      </c>
      <c r="F98" s="139" t="s">
        <v>580</v>
      </c>
      <c r="G98" s="140" t="s">
        <v>1262</v>
      </c>
      <c r="H98" s="139" t="s">
        <v>1264</v>
      </c>
      <c r="I98" s="140" t="s">
        <v>421</v>
      </c>
      <c r="J98" s="139" t="s">
        <v>582</v>
      </c>
      <c r="K98" s="139" t="s">
        <v>583</v>
      </c>
      <c r="L98" s="139" t="s">
        <v>583</v>
      </c>
      <c r="M98" s="139" t="s">
        <v>583</v>
      </c>
      <c r="N98" s="139" t="s">
        <v>584</v>
      </c>
      <c r="O98" s="139" t="s">
        <v>1265</v>
      </c>
      <c r="P98" s="139" t="s">
        <v>583</v>
      </c>
      <c r="Q98" s="139" t="s">
        <v>583</v>
      </c>
      <c r="R98" s="140">
        <v>1</v>
      </c>
      <c r="S98" s="140">
        <v>0</v>
      </c>
      <c r="T98" s="140">
        <v>1</v>
      </c>
      <c r="U98" s="140">
        <v>594</v>
      </c>
      <c r="V98" s="139" t="s">
        <v>586</v>
      </c>
      <c r="W98" s="139" t="s">
        <v>587</v>
      </c>
      <c r="X98" s="139" t="s">
        <v>588</v>
      </c>
      <c r="Y98" s="139" t="s">
        <v>589</v>
      </c>
      <c r="Z98" s="139" t="s">
        <v>590</v>
      </c>
      <c r="AA98" s="139" t="s">
        <v>591</v>
      </c>
      <c r="AB98" s="139" t="s">
        <v>586</v>
      </c>
      <c r="AC98" s="139" t="s">
        <v>587</v>
      </c>
      <c r="AD98" s="139" t="s">
        <v>588</v>
      </c>
      <c r="AE98" s="139" t="s">
        <v>589</v>
      </c>
      <c r="AF98" s="139" t="s">
        <v>590</v>
      </c>
      <c r="AG98" s="139" t="s">
        <v>591</v>
      </c>
      <c r="AH98" s="139" t="s">
        <v>592</v>
      </c>
      <c r="AI98" s="139" t="s">
        <v>429</v>
      </c>
      <c r="AJ98" s="140">
        <v>13333339.960000001</v>
      </c>
      <c r="AK98" s="139" t="s">
        <v>586</v>
      </c>
      <c r="AL98" s="139" t="s">
        <v>587</v>
      </c>
      <c r="AM98" s="139" t="s">
        <v>588</v>
      </c>
      <c r="AN98" s="139" t="s">
        <v>589</v>
      </c>
      <c r="AO98" s="139" t="s">
        <v>590</v>
      </c>
      <c r="AP98" s="139" t="s">
        <v>591</v>
      </c>
      <c r="AQ98" s="139" t="s">
        <v>592</v>
      </c>
      <c r="AR98" s="139" t="s">
        <v>429</v>
      </c>
      <c r="AS98" s="139" t="s">
        <v>429</v>
      </c>
      <c r="AT98" s="139" t="s">
        <v>593</v>
      </c>
      <c r="AU98" s="139" t="s">
        <v>437</v>
      </c>
      <c r="AV98" s="140">
        <v>2</v>
      </c>
      <c r="AW98" s="139" t="s">
        <v>594</v>
      </c>
      <c r="AX98" s="139" t="s">
        <v>595</v>
      </c>
      <c r="AY98" s="139" t="s">
        <v>596</v>
      </c>
      <c r="AZ98" s="140">
        <v>1</v>
      </c>
      <c r="BA98" s="139" t="s">
        <v>597</v>
      </c>
      <c r="BB98" s="140">
        <v>148500</v>
      </c>
      <c r="BC98" s="140">
        <v>13073628</v>
      </c>
      <c r="BD98" s="140">
        <v>162417.5</v>
      </c>
      <c r="BE98" s="140">
        <v>88.037899999999993</v>
      </c>
      <c r="BF98" s="139" t="s">
        <v>880</v>
      </c>
      <c r="BG98" s="139" t="s">
        <v>583</v>
      </c>
      <c r="BH98" s="139" t="s">
        <v>958</v>
      </c>
      <c r="BI98" s="139" t="s">
        <v>598</v>
      </c>
      <c r="BJ98" s="139" t="s">
        <v>599</v>
      </c>
      <c r="BK98" s="139" t="s">
        <v>583</v>
      </c>
      <c r="BL98" s="139" t="s">
        <v>583</v>
      </c>
      <c r="BM98" s="139" t="s">
        <v>583</v>
      </c>
      <c r="BN98" s="139" t="s">
        <v>853</v>
      </c>
      <c r="BO98" s="139" t="s">
        <v>854</v>
      </c>
      <c r="BP98" s="139" t="s">
        <v>959</v>
      </c>
      <c r="BQ98" s="139" t="s">
        <v>600</v>
      </c>
      <c r="BR98" s="140">
        <v>1</v>
      </c>
      <c r="BS98" s="139" t="s">
        <v>1266</v>
      </c>
      <c r="BT98" s="99">
        <f t="shared" si="5"/>
        <v>0</v>
      </c>
      <c r="BU98" s="99">
        <f t="shared" si="5"/>
        <v>1</v>
      </c>
      <c r="BV98" s="99">
        <f t="shared" si="4"/>
        <v>1</v>
      </c>
      <c r="BW98" s="139" t="s">
        <v>602</v>
      </c>
      <c r="BX98" s="139" t="s">
        <v>584</v>
      </c>
      <c r="BY98" s="140">
        <v>594</v>
      </c>
      <c r="BZ98" s="140">
        <v>0</v>
      </c>
      <c r="CA98" s="99">
        <v>118800</v>
      </c>
      <c r="CB98" s="140" t="s">
        <v>603</v>
      </c>
      <c r="CC98" s="140">
        <v>0</v>
      </c>
      <c r="CD98" s="140"/>
      <c r="CE98" s="139" t="s">
        <v>577</v>
      </c>
      <c r="CF98" s="139" t="s">
        <v>604</v>
      </c>
      <c r="CG98" s="139" t="s">
        <v>583</v>
      </c>
      <c r="CH98" s="139" t="s">
        <v>583</v>
      </c>
      <c r="CI98" s="139" t="s">
        <v>592</v>
      </c>
      <c r="CJ98" s="140">
        <v>13068</v>
      </c>
      <c r="CK98" s="140" t="s">
        <v>605</v>
      </c>
      <c r="CL98" s="140">
        <v>4000000</v>
      </c>
      <c r="CM98" s="99">
        <v>12474</v>
      </c>
      <c r="CN98" s="140">
        <v>0</v>
      </c>
      <c r="CO98" s="139" t="s">
        <v>583</v>
      </c>
      <c r="CP98" s="139" t="s">
        <v>583</v>
      </c>
      <c r="CQ98" s="140">
        <v>148500</v>
      </c>
      <c r="CR98" s="140">
        <v>13073628</v>
      </c>
      <c r="CS98" s="140">
        <v>0</v>
      </c>
      <c r="CT98" s="140">
        <v>1</v>
      </c>
      <c r="CU98" s="140">
        <v>13333339.960000001</v>
      </c>
      <c r="CV98" s="99">
        <v>162417.5</v>
      </c>
      <c r="CW98" s="139" t="s">
        <v>606</v>
      </c>
      <c r="CX98" s="140">
        <v>13.02</v>
      </c>
      <c r="CY98" s="140"/>
      <c r="CZ98" s="140"/>
      <c r="DA98" s="140" t="s">
        <v>856</v>
      </c>
      <c r="DB98" s="140">
        <v>1606</v>
      </c>
      <c r="DC98" s="140"/>
    </row>
    <row r="99" spans="2:107" ht="11.25" customHeight="1" x14ac:dyDescent="0.15">
      <c r="B99" s="139" t="s">
        <v>577</v>
      </c>
      <c r="C99" s="140" t="s">
        <v>1262</v>
      </c>
      <c r="D99" s="140">
        <v>6</v>
      </c>
      <c r="E99" s="139" t="s">
        <v>1267</v>
      </c>
      <c r="F99" s="139" t="s">
        <v>618</v>
      </c>
      <c r="G99" s="140" t="s">
        <v>1262</v>
      </c>
      <c r="H99" s="139" t="s">
        <v>1268</v>
      </c>
      <c r="I99" s="140" t="s">
        <v>421</v>
      </c>
      <c r="J99" s="139" t="s">
        <v>582</v>
      </c>
      <c r="K99" s="139" t="s">
        <v>583</v>
      </c>
      <c r="L99" s="139" t="s">
        <v>583</v>
      </c>
      <c r="M99" s="139" t="s">
        <v>583</v>
      </c>
      <c r="N99" s="139" t="s">
        <v>650</v>
      </c>
      <c r="O99" s="139" t="s">
        <v>1269</v>
      </c>
      <c r="P99" s="139" t="s">
        <v>583</v>
      </c>
      <c r="Q99" s="139" t="s">
        <v>583</v>
      </c>
      <c r="R99" s="140">
        <v>1</v>
      </c>
      <c r="S99" s="140">
        <v>0</v>
      </c>
      <c r="T99" s="140">
        <v>1</v>
      </c>
      <c r="U99" s="140">
        <v>228</v>
      </c>
      <c r="V99" s="139" t="s">
        <v>586</v>
      </c>
      <c r="W99" s="139" t="s">
        <v>587</v>
      </c>
      <c r="X99" s="139" t="s">
        <v>588</v>
      </c>
      <c r="Y99" s="139" t="s">
        <v>589</v>
      </c>
      <c r="Z99" s="139" t="s">
        <v>590</v>
      </c>
      <c r="AA99" s="139" t="s">
        <v>591</v>
      </c>
      <c r="AB99" s="139" t="s">
        <v>586</v>
      </c>
      <c r="AC99" s="139" t="s">
        <v>587</v>
      </c>
      <c r="AD99" s="139" t="s">
        <v>588</v>
      </c>
      <c r="AE99" s="139" t="s">
        <v>589</v>
      </c>
      <c r="AF99" s="139" t="s">
        <v>590</v>
      </c>
      <c r="AG99" s="139" t="s">
        <v>591</v>
      </c>
      <c r="AH99" s="139" t="s">
        <v>652</v>
      </c>
      <c r="AI99" s="139" t="s">
        <v>431</v>
      </c>
      <c r="AJ99" s="140">
        <v>25557050.219999999</v>
      </c>
      <c r="AK99" s="139" t="s">
        <v>586</v>
      </c>
      <c r="AL99" s="139" t="s">
        <v>587</v>
      </c>
      <c r="AM99" s="139" t="s">
        <v>588</v>
      </c>
      <c r="AN99" s="139" t="s">
        <v>589</v>
      </c>
      <c r="AO99" s="139" t="s">
        <v>590</v>
      </c>
      <c r="AP99" s="139" t="s">
        <v>591</v>
      </c>
      <c r="AQ99" s="139" t="s">
        <v>652</v>
      </c>
      <c r="AR99" s="139" t="s">
        <v>431</v>
      </c>
      <c r="AS99" s="139" t="s">
        <v>431</v>
      </c>
      <c r="AT99" s="139" t="s">
        <v>593</v>
      </c>
      <c r="AU99" s="139" t="s">
        <v>437</v>
      </c>
      <c r="AV99" s="140">
        <v>0</v>
      </c>
      <c r="AW99" s="139" t="s">
        <v>594</v>
      </c>
      <c r="AX99" s="139" t="s">
        <v>653</v>
      </c>
      <c r="AY99" s="139" t="s">
        <v>623</v>
      </c>
      <c r="AZ99" s="140">
        <v>1</v>
      </c>
      <c r="BA99" s="139" t="s">
        <v>597</v>
      </c>
      <c r="BB99" s="140">
        <v>290296</v>
      </c>
      <c r="BC99" s="140">
        <v>25557050</v>
      </c>
      <c r="BD99" s="140">
        <v>311318.26</v>
      </c>
      <c r="BE99" s="140">
        <v>88.037899999999993</v>
      </c>
      <c r="BF99" s="139" t="s">
        <v>880</v>
      </c>
      <c r="BG99" s="139" t="s">
        <v>582</v>
      </c>
      <c r="BH99" s="139" t="s">
        <v>970</v>
      </c>
      <c r="BI99" s="139" t="s">
        <v>598</v>
      </c>
      <c r="BJ99" s="139" t="s">
        <v>624</v>
      </c>
      <c r="BK99" s="139" t="s">
        <v>882</v>
      </c>
      <c r="BL99" s="139" t="s">
        <v>583</v>
      </c>
      <c r="BM99" s="139" t="s">
        <v>883</v>
      </c>
      <c r="BN99" s="139" t="s">
        <v>971</v>
      </c>
      <c r="BO99" s="139" t="s">
        <v>972</v>
      </c>
      <c r="BP99" s="139" t="s">
        <v>973</v>
      </c>
      <c r="BQ99" s="139" t="s">
        <v>625</v>
      </c>
      <c r="BR99" s="140">
        <v>1</v>
      </c>
      <c r="BS99" s="139" t="s">
        <v>1270</v>
      </c>
      <c r="BT99" s="99">
        <f t="shared" si="5"/>
        <v>0</v>
      </c>
      <c r="BU99" s="99">
        <f t="shared" si="5"/>
        <v>1</v>
      </c>
      <c r="BV99" s="99">
        <f t="shared" si="4"/>
        <v>1</v>
      </c>
      <c r="BW99" s="139" t="s">
        <v>655</v>
      </c>
      <c r="BX99" s="139" t="s">
        <v>656</v>
      </c>
      <c r="BY99" s="140">
        <v>228</v>
      </c>
      <c r="BZ99" s="140">
        <v>0</v>
      </c>
      <c r="CA99" s="99">
        <v>45600</v>
      </c>
      <c r="CB99" s="140" t="s">
        <v>603</v>
      </c>
      <c r="CC99" s="140">
        <v>0</v>
      </c>
      <c r="CD99" s="140"/>
      <c r="CE99" s="139" t="s">
        <v>577</v>
      </c>
      <c r="CF99" s="139" t="s">
        <v>604</v>
      </c>
      <c r="CG99" s="139" t="s">
        <v>583</v>
      </c>
      <c r="CH99" s="139" t="s">
        <v>583</v>
      </c>
      <c r="CI99" s="139" t="s">
        <v>652</v>
      </c>
      <c r="CJ99" s="140">
        <v>4788</v>
      </c>
      <c r="CK99" s="140" t="s">
        <v>657</v>
      </c>
      <c r="CL99" s="140">
        <v>4000000</v>
      </c>
      <c r="CM99" s="99">
        <v>4560</v>
      </c>
      <c r="CN99" s="140">
        <v>0</v>
      </c>
      <c r="CO99" s="139" t="s">
        <v>583</v>
      </c>
      <c r="CP99" s="139" t="s">
        <v>583</v>
      </c>
      <c r="CQ99" s="140">
        <v>290296</v>
      </c>
      <c r="CR99" s="140">
        <v>25557050</v>
      </c>
      <c r="CS99" s="140">
        <v>0</v>
      </c>
      <c r="CT99" s="140">
        <v>1</v>
      </c>
      <c r="CU99" s="140">
        <v>25557050.219999999</v>
      </c>
      <c r="CV99" s="99">
        <v>311318.26</v>
      </c>
      <c r="CW99" s="139" t="s">
        <v>606</v>
      </c>
      <c r="CX99" s="140">
        <v>68.27</v>
      </c>
      <c r="CY99" s="140"/>
      <c r="CZ99" s="140"/>
      <c r="DA99" s="140" t="s">
        <v>856</v>
      </c>
      <c r="DB99" s="140">
        <v>1192</v>
      </c>
      <c r="DC99" s="140"/>
    </row>
    <row r="100" spans="2:107" ht="11.25" customHeight="1" x14ac:dyDescent="0.15">
      <c r="B100" s="139" t="s">
        <v>577</v>
      </c>
      <c r="C100" s="140" t="s">
        <v>1271</v>
      </c>
      <c r="D100" s="140">
        <v>6</v>
      </c>
      <c r="E100" s="139" t="s">
        <v>1272</v>
      </c>
      <c r="F100" s="139" t="s">
        <v>618</v>
      </c>
      <c r="G100" s="140" t="s">
        <v>1271</v>
      </c>
      <c r="H100" s="139" t="s">
        <v>1273</v>
      </c>
      <c r="I100" s="140" t="s">
        <v>421</v>
      </c>
      <c r="J100" s="139" t="s">
        <v>582</v>
      </c>
      <c r="K100" s="139" t="s">
        <v>583</v>
      </c>
      <c r="L100" s="139" t="s">
        <v>583</v>
      </c>
      <c r="M100" s="139" t="s">
        <v>583</v>
      </c>
      <c r="N100" s="139" t="s">
        <v>441</v>
      </c>
      <c r="O100" s="139" t="s">
        <v>930</v>
      </c>
      <c r="P100" s="139" t="s">
        <v>583</v>
      </c>
      <c r="Q100" s="139" t="s">
        <v>583</v>
      </c>
      <c r="R100" s="140">
        <v>1</v>
      </c>
      <c r="S100" s="140">
        <v>0</v>
      </c>
      <c r="T100" s="140">
        <v>1</v>
      </c>
      <c r="U100" s="140">
        <v>150</v>
      </c>
      <c r="V100" s="139" t="s">
        <v>679</v>
      </c>
      <c r="W100" s="139" t="s">
        <v>680</v>
      </c>
      <c r="X100" s="139" t="s">
        <v>681</v>
      </c>
      <c r="Y100" s="139" t="s">
        <v>682</v>
      </c>
      <c r="Z100" s="139" t="s">
        <v>683</v>
      </c>
      <c r="AA100" s="139" t="s">
        <v>684</v>
      </c>
      <c r="AB100" s="139" t="s">
        <v>679</v>
      </c>
      <c r="AC100" s="139" t="s">
        <v>680</v>
      </c>
      <c r="AD100" s="139" t="s">
        <v>681</v>
      </c>
      <c r="AE100" s="139" t="s">
        <v>682</v>
      </c>
      <c r="AF100" s="139" t="s">
        <v>683</v>
      </c>
      <c r="AG100" s="139" t="s">
        <v>684</v>
      </c>
      <c r="AH100" s="139" t="s">
        <v>621</v>
      </c>
      <c r="AI100" s="139" t="s">
        <v>430</v>
      </c>
      <c r="AJ100" s="140">
        <v>3892540.5</v>
      </c>
      <c r="AK100" s="139" t="s">
        <v>679</v>
      </c>
      <c r="AL100" s="139" t="s">
        <v>680</v>
      </c>
      <c r="AM100" s="139" t="s">
        <v>681</v>
      </c>
      <c r="AN100" s="139" t="s">
        <v>682</v>
      </c>
      <c r="AO100" s="139" t="s">
        <v>683</v>
      </c>
      <c r="AP100" s="139" t="s">
        <v>684</v>
      </c>
      <c r="AQ100" s="139" t="s">
        <v>621</v>
      </c>
      <c r="AR100" s="139" t="s">
        <v>430</v>
      </c>
      <c r="AS100" s="139" t="s">
        <v>430</v>
      </c>
      <c r="AT100" s="139" t="s">
        <v>593</v>
      </c>
      <c r="AU100" s="139" t="s">
        <v>437</v>
      </c>
      <c r="AV100" s="140">
        <v>0</v>
      </c>
      <c r="AW100" s="139" t="s">
        <v>594</v>
      </c>
      <c r="AX100" s="139" t="s">
        <v>622</v>
      </c>
      <c r="AY100" s="139" t="s">
        <v>623</v>
      </c>
      <c r="AZ100" s="140">
        <v>1</v>
      </c>
      <c r="BA100" s="139" t="s">
        <v>597</v>
      </c>
      <c r="BB100" s="140">
        <v>45000</v>
      </c>
      <c r="BC100" s="140">
        <v>3892541</v>
      </c>
      <c r="BD100" s="140">
        <v>48059.5</v>
      </c>
      <c r="BE100" s="140">
        <v>86.500900000000001</v>
      </c>
      <c r="BF100" s="139" t="s">
        <v>880</v>
      </c>
      <c r="BG100" s="139" t="s">
        <v>582</v>
      </c>
      <c r="BH100" s="139" t="s">
        <v>900</v>
      </c>
      <c r="BI100" s="139" t="s">
        <v>598</v>
      </c>
      <c r="BJ100" s="139" t="s">
        <v>624</v>
      </c>
      <c r="BK100" s="139" t="s">
        <v>882</v>
      </c>
      <c r="BL100" s="139" t="s">
        <v>583</v>
      </c>
      <c r="BM100" s="139" t="s">
        <v>883</v>
      </c>
      <c r="BN100" s="139" t="s">
        <v>583</v>
      </c>
      <c r="BO100" s="139" t="s">
        <v>623</v>
      </c>
      <c r="BP100" s="139" t="s">
        <v>884</v>
      </c>
      <c r="BQ100" s="139" t="s">
        <v>625</v>
      </c>
      <c r="BR100" s="140">
        <v>1</v>
      </c>
      <c r="BS100" s="139" t="s">
        <v>685</v>
      </c>
      <c r="BT100" s="99">
        <f t="shared" si="5"/>
        <v>0</v>
      </c>
      <c r="BU100" s="99">
        <f t="shared" si="5"/>
        <v>1</v>
      </c>
      <c r="BV100" s="99">
        <f t="shared" si="4"/>
        <v>1</v>
      </c>
      <c r="BW100" s="139" t="s">
        <v>635</v>
      </c>
      <c r="BX100" s="139" t="s">
        <v>441</v>
      </c>
      <c r="BY100" s="140">
        <v>150</v>
      </c>
      <c r="BZ100" s="140">
        <v>0</v>
      </c>
      <c r="CA100" s="99">
        <v>30000</v>
      </c>
      <c r="CB100" s="140" t="s">
        <v>603</v>
      </c>
      <c r="CC100" s="140">
        <v>0</v>
      </c>
      <c r="CD100" s="140"/>
      <c r="CE100" s="139" t="s">
        <v>577</v>
      </c>
      <c r="CF100" s="139" t="s">
        <v>604</v>
      </c>
      <c r="CG100" s="139" t="s">
        <v>583</v>
      </c>
      <c r="CH100" s="139" t="s">
        <v>583</v>
      </c>
      <c r="CI100" s="139" t="s">
        <v>621</v>
      </c>
      <c r="CJ100" s="140">
        <v>3000</v>
      </c>
      <c r="CK100" s="140" t="s">
        <v>605</v>
      </c>
      <c r="CL100" s="140">
        <v>4000000</v>
      </c>
      <c r="CM100" s="99">
        <v>2700</v>
      </c>
      <c r="CN100" s="140">
        <v>0</v>
      </c>
      <c r="CO100" s="139" t="s">
        <v>583</v>
      </c>
      <c r="CP100" s="139" t="s">
        <v>583</v>
      </c>
      <c r="CQ100" s="140">
        <v>45000</v>
      </c>
      <c r="CR100" s="140">
        <v>3892541</v>
      </c>
      <c r="CS100" s="140">
        <v>0</v>
      </c>
      <c r="CT100" s="140">
        <v>1</v>
      </c>
      <c r="CU100" s="140">
        <v>3892540.5</v>
      </c>
      <c r="CV100" s="99">
        <v>48059.5</v>
      </c>
      <c r="CW100" s="139" t="s">
        <v>606</v>
      </c>
      <c r="CX100" s="140">
        <v>17.8</v>
      </c>
      <c r="CY100" s="140"/>
      <c r="CZ100" s="140"/>
      <c r="DA100" s="140" t="s">
        <v>902</v>
      </c>
      <c r="DB100" s="140">
        <v>967</v>
      </c>
      <c r="DC100" s="140"/>
    </row>
    <row r="101" spans="2:107" ht="11.25" customHeight="1" x14ac:dyDescent="0.15">
      <c r="B101" s="139" t="s">
        <v>577</v>
      </c>
      <c r="C101" s="140" t="s">
        <v>1274</v>
      </c>
      <c r="D101" s="140">
        <v>6</v>
      </c>
      <c r="E101" s="139" t="s">
        <v>1275</v>
      </c>
      <c r="F101" s="139" t="s">
        <v>580</v>
      </c>
      <c r="G101" s="140" t="s">
        <v>1274</v>
      </c>
      <c r="H101" s="139" t="s">
        <v>1276</v>
      </c>
      <c r="I101" s="140" t="s">
        <v>421</v>
      </c>
      <c r="J101" s="139" t="s">
        <v>582</v>
      </c>
      <c r="K101" s="139" t="s">
        <v>583</v>
      </c>
      <c r="L101" s="139" t="s">
        <v>583</v>
      </c>
      <c r="M101" s="139" t="s">
        <v>583</v>
      </c>
      <c r="N101" s="139" t="s">
        <v>1067</v>
      </c>
      <c r="O101" s="139" t="s">
        <v>1255</v>
      </c>
      <c r="P101" s="139" t="s">
        <v>583</v>
      </c>
      <c r="Q101" s="139" t="s">
        <v>583</v>
      </c>
      <c r="R101" s="140">
        <v>2</v>
      </c>
      <c r="S101" s="140">
        <v>0</v>
      </c>
      <c r="T101" s="140">
        <v>2</v>
      </c>
      <c r="U101" s="140">
        <v>15</v>
      </c>
      <c r="V101" s="139" t="s">
        <v>1069</v>
      </c>
      <c r="W101" s="139" t="s">
        <v>1070</v>
      </c>
      <c r="X101" s="139" t="s">
        <v>1071</v>
      </c>
      <c r="Y101" s="139" t="s">
        <v>1072</v>
      </c>
      <c r="Z101" s="139" t="s">
        <v>590</v>
      </c>
      <c r="AA101" s="139" t="s">
        <v>1073</v>
      </c>
      <c r="AB101" s="139" t="s">
        <v>1069</v>
      </c>
      <c r="AC101" s="139" t="s">
        <v>1070</v>
      </c>
      <c r="AD101" s="139" t="s">
        <v>1071</v>
      </c>
      <c r="AE101" s="139" t="s">
        <v>1072</v>
      </c>
      <c r="AF101" s="139" t="s">
        <v>590</v>
      </c>
      <c r="AG101" s="139" t="s">
        <v>1073</v>
      </c>
      <c r="AH101" s="139" t="s">
        <v>1074</v>
      </c>
      <c r="AI101" s="139" t="s">
        <v>435</v>
      </c>
      <c r="AJ101" s="140">
        <v>4893275.92</v>
      </c>
      <c r="AK101" s="139" t="s">
        <v>1069</v>
      </c>
      <c r="AL101" s="139" t="s">
        <v>1070</v>
      </c>
      <c r="AM101" s="139" t="s">
        <v>1071</v>
      </c>
      <c r="AN101" s="139" t="s">
        <v>1072</v>
      </c>
      <c r="AO101" s="139" t="s">
        <v>590</v>
      </c>
      <c r="AP101" s="139" t="s">
        <v>1073</v>
      </c>
      <c r="AQ101" s="139" t="s">
        <v>1074</v>
      </c>
      <c r="AR101" s="139" t="s">
        <v>435</v>
      </c>
      <c r="AS101" s="139" t="s">
        <v>435</v>
      </c>
      <c r="AT101" s="139" t="s">
        <v>593</v>
      </c>
      <c r="AU101" s="139" t="s">
        <v>437</v>
      </c>
      <c r="AV101" s="140">
        <v>2</v>
      </c>
      <c r="AW101" s="139" t="s">
        <v>594</v>
      </c>
      <c r="AX101" s="139" t="s">
        <v>653</v>
      </c>
      <c r="AY101" s="139" t="s">
        <v>1075</v>
      </c>
      <c r="AZ101" s="140">
        <v>1</v>
      </c>
      <c r="BA101" s="139" t="s">
        <v>597</v>
      </c>
      <c r="BB101" s="140">
        <v>56224</v>
      </c>
      <c r="BC101" s="140">
        <v>4893276</v>
      </c>
      <c r="BD101" s="140">
        <v>60166.14</v>
      </c>
      <c r="BE101" s="140">
        <v>87.031800000000004</v>
      </c>
      <c r="BF101" s="139" t="s">
        <v>880</v>
      </c>
      <c r="BG101" s="139" t="s">
        <v>583</v>
      </c>
      <c r="BH101" s="139" t="s">
        <v>1076</v>
      </c>
      <c r="BI101" s="139" t="s">
        <v>598</v>
      </c>
      <c r="BJ101" s="139" t="s">
        <v>599</v>
      </c>
      <c r="BK101" s="139" t="s">
        <v>583</v>
      </c>
      <c r="BL101" s="139" t="s">
        <v>583</v>
      </c>
      <c r="BM101" s="139" t="s">
        <v>583</v>
      </c>
      <c r="BN101" s="139" t="s">
        <v>842</v>
      </c>
      <c r="BO101" s="139" t="s">
        <v>843</v>
      </c>
      <c r="BP101" s="139" t="s">
        <v>925</v>
      </c>
      <c r="BQ101" s="139" t="s">
        <v>723</v>
      </c>
      <c r="BR101" s="140">
        <v>2</v>
      </c>
      <c r="BS101" s="139" t="s">
        <v>1077</v>
      </c>
      <c r="BT101" s="99">
        <f t="shared" si="5"/>
        <v>1</v>
      </c>
      <c r="BU101" s="99">
        <f t="shared" si="5"/>
        <v>0</v>
      </c>
      <c r="BV101" s="99">
        <f t="shared" si="4"/>
        <v>1</v>
      </c>
      <c r="BW101" s="139" t="s">
        <v>1078</v>
      </c>
      <c r="BX101" s="139" t="s">
        <v>1257</v>
      </c>
      <c r="BY101" s="140">
        <v>1</v>
      </c>
      <c r="BZ101" s="140">
        <v>0</v>
      </c>
      <c r="CA101" s="99">
        <v>6000</v>
      </c>
      <c r="CB101" s="140" t="s">
        <v>603</v>
      </c>
      <c r="CC101" s="140">
        <v>0</v>
      </c>
      <c r="CD101" s="140"/>
      <c r="CE101" s="139" t="s">
        <v>1080</v>
      </c>
      <c r="CF101" s="139" t="s">
        <v>604</v>
      </c>
      <c r="CG101" s="139" t="s">
        <v>583</v>
      </c>
      <c r="CH101" s="139" t="s">
        <v>583</v>
      </c>
      <c r="CI101" s="139" t="s">
        <v>1074</v>
      </c>
      <c r="CJ101" s="140">
        <v>615</v>
      </c>
      <c r="CK101" s="140" t="s">
        <v>605</v>
      </c>
      <c r="CL101" s="140">
        <v>4000000</v>
      </c>
      <c r="CM101" s="99">
        <v>570</v>
      </c>
      <c r="CN101" s="140">
        <v>0</v>
      </c>
      <c r="CO101" s="139" t="s">
        <v>583</v>
      </c>
      <c r="CP101" s="139" t="s">
        <v>583</v>
      </c>
      <c r="CQ101" s="140">
        <v>9738.69</v>
      </c>
      <c r="CR101" s="140">
        <v>847576</v>
      </c>
      <c r="CS101" s="140">
        <v>0</v>
      </c>
      <c r="CT101" s="140">
        <v>1</v>
      </c>
      <c r="CU101" s="140">
        <v>847575.72</v>
      </c>
      <c r="CV101" s="99">
        <v>10421.52</v>
      </c>
      <c r="CW101" s="139" t="s">
        <v>606</v>
      </c>
      <c r="CX101" s="140">
        <v>18.28</v>
      </c>
      <c r="CY101" s="140"/>
      <c r="CZ101" s="140"/>
      <c r="DA101" s="140" t="s">
        <v>1081</v>
      </c>
      <c r="DB101" s="140">
        <v>1596</v>
      </c>
      <c r="DC101" s="140"/>
    </row>
    <row r="102" spans="2:107" ht="11.25" customHeight="1" x14ac:dyDescent="0.15">
      <c r="B102" s="139" t="s">
        <v>577</v>
      </c>
      <c r="C102" s="140" t="s">
        <v>1274</v>
      </c>
      <c r="D102" s="140">
        <v>6</v>
      </c>
      <c r="E102" s="139" t="s">
        <v>1277</v>
      </c>
      <c r="F102" s="139" t="s">
        <v>618</v>
      </c>
      <c r="G102" s="140" t="s">
        <v>1274</v>
      </c>
      <c r="H102" s="139" t="s">
        <v>1278</v>
      </c>
      <c r="I102" s="140" t="s">
        <v>421</v>
      </c>
      <c r="J102" s="139" t="s">
        <v>582</v>
      </c>
      <c r="K102" s="139" t="s">
        <v>583</v>
      </c>
      <c r="L102" s="139" t="s">
        <v>583</v>
      </c>
      <c r="M102" s="139" t="s">
        <v>583</v>
      </c>
      <c r="N102" s="139" t="s">
        <v>660</v>
      </c>
      <c r="O102" s="139" t="s">
        <v>1279</v>
      </c>
      <c r="P102" s="139" t="s">
        <v>583</v>
      </c>
      <c r="Q102" s="139" t="s">
        <v>583</v>
      </c>
      <c r="R102" s="140">
        <v>1</v>
      </c>
      <c r="S102" s="140">
        <v>0</v>
      </c>
      <c r="T102" s="140">
        <v>1</v>
      </c>
      <c r="U102" s="140">
        <v>141</v>
      </c>
      <c r="V102" s="139" t="s">
        <v>945</v>
      </c>
      <c r="W102" s="139" t="s">
        <v>946</v>
      </c>
      <c r="X102" s="139" t="s">
        <v>947</v>
      </c>
      <c r="Y102" s="139" t="s">
        <v>948</v>
      </c>
      <c r="Z102" s="139" t="s">
        <v>949</v>
      </c>
      <c r="AA102" s="139" t="s">
        <v>950</v>
      </c>
      <c r="AB102" s="139" t="s">
        <v>945</v>
      </c>
      <c r="AC102" s="139" t="s">
        <v>946</v>
      </c>
      <c r="AD102" s="139" t="s">
        <v>947</v>
      </c>
      <c r="AE102" s="139" t="s">
        <v>948</v>
      </c>
      <c r="AF102" s="139" t="s">
        <v>949</v>
      </c>
      <c r="AG102" s="139" t="s">
        <v>950</v>
      </c>
      <c r="AH102" s="139" t="s">
        <v>621</v>
      </c>
      <c r="AI102" s="139" t="s">
        <v>430</v>
      </c>
      <c r="AJ102" s="140">
        <v>3399201.01</v>
      </c>
      <c r="AK102" s="139" t="s">
        <v>945</v>
      </c>
      <c r="AL102" s="139" t="s">
        <v>946</v>
      </c>
      <c r="AM102" s="139" t="s">
        <v>947</v>
      </c>
      <c r="AN102" s="139" t="s">
        <v>948</v>
      </c>
      <c r="AO102" s="139" t="s">
        <v>949</v>
      </c>
      <c r="AP102" s="139" t="s">
        <v>950</v>
      </c>
      <c r="AQ102" s="139" t="s">
        <v>621</v>
      </c>
      <c r="AR102" s="139" t="s">
        <v>430</v>
      </c>
      <c r="AS102" s="139" t="s">
        <v>430</v>
      </c>
      <c r="AT102" s="139" t="s">
        <v>593</v>
      </c>
      <c r="AU102" s="139" t="s">
        <v>437</v>
      </c>
      <c r="AV102" s="140">
        <v>0</v>
      </c>
      <c r="AW102" s="139" t="s">
        <v>594</v>
      </c>
      <c r="AX102" s="139" t="s">
        <v>622</v>
      </c>
      <c r="AY102" s="139" t="s">
        <v>623</v>
      </c>
      <c r="AZ102" s="140">
        <v>1</v>
      </c>
      <c r="BA102" s="139" t="s">
        <v>951</v>
      </c>
      <c r="BB102" s="140">
        <v>56152.19</v>
      </c>
      <c r="BC102" s="140">
        <v>3399201</v>
      </c>
      <c r="BD102" s="140">
        <v>41795.480000000003</v>
      </c>
      <c r="BE102" s="140">
        <v>60.535499999999999</v>
      </c>
      <c r="BF102" s="139" t="s">
        <v>880</v>
      </c>
      <c r="BG102" s="139" t="s">
        <v>582</v>
      </c>
      <c r="BH102" s="139" t="s">
        <v>952</v>
      </c>
      <c r="BI102" s="139" t="s">
        <v>598</v>
      </c>
      <c r="BJ102" s="139" t="s">
        <v>624</v>
      </c>
      <c r="BK102" s="139" t="s">
        <v>882</v>
      </c>
      <c r="BL102" s="139" t="s">
        <v>583</v>
      </c>
      <c r="BM102" s="139" t="s">
        <v>953</v>
      </c>
      <c r="BN102" s="139" t="s">
        <v>583</v>
      </c>
      <c r="BO102" s="139" t="s">
        <v>623</v>
      </c>
      <c r="BP102" s="139" t="s">
        <v>884</v>
      </c>
      <c r="BQ102" s="139" t="s">
        <v>625</v>
      </c>
      <c r="BR102" s="140">
        <v>1</v>
      </c>
      <c r="BS102" s="139" t="s">
        <v>1280</v>
      </c>
      <c r="BT102" s="99">
        <f t="shared" si="5"/>
        <v>0</v>
      </c>
      <c r="BU102" s="99">
        <f t="shared" si="5"/>
        <v>1</v>
      </c>
      <c r="BV102" s="99">
        <f t="shared" si="4"/>
        <v>1</v>
      </c>
      <c r="BW102" s="139" t="s">
        <v>635</v>
      </c>
      <c r="BX102" s="139" t="s">
        <v>441</v>
      </c>
      <c r="BY102" s="140">
        <v>141</v>
      </c>
      <c r="BZ102" s="140">
        <v>0</v>
      </c>
      <c r="CA102" s="99">
        <v>28200</v>
      </c>
      <c r="CB102" s="140" t="s">
        <v>603</v>
      </c>
      <c r="CC102" s="140">
        <v>0</v>
      </c>
      <c r="CD102" s="140"/>
      <c r="CE102" s="139" t="s">
        <v>577</v>
      </c>
      <c r="CF102" s="139" t="s">
        <v>604</v>
      </c>
      <c r="CG102" s="139" t="s">
        <v>583</v>
      </c>
      <c r="CH102" s="139" t="s">
        <v>583</v>
      </c>
      <c r="CI102" s="139" t="s">
        <v>621</v>
      </c>
      <c r="CJ102" s="140">
        <v>2820</v>
      </c>
      <c r="CK102" s="140" t="s">
        <v>605</v>
      </c>
      <c r="CL102" s="140">
        <v>4000000</v>
      </c>
      <c r="CM102" s="99">
        <v>2538</v>
      </c>
      <c r="CN102" s="140">
        <v>0</v>
      </c>
      <c r="CO102" s="139" t="s">
        <v>583</v>
      </c>
      <c r="CP102" s="139" t="s">
        <v>583</v>
      </c>
      <c r="CQ102" s="140">
        <v>56152.19</v>
      </c>
      <c r="CR102" s="140">
        <v>3399201</v>
      </c>
      <c r="CS102" s="140">
        <v>0</v>
      </c>
      <c r="CT102" s="140">
        <v>1</v>
      </c>
      <c r="CU102" s="140">
        <v>3399201.01</v>
      </c>
      <c r="CV102" s="99">
        <v>41795.480000000003</v>
      </c>
      <c r="CW102" s="139" t="s">
        <v>606</v>
      </c>
      <c r="CX102" s="140">
        <v>16.47</v>
      </c>
      <c r="CY102" s="140"/>
      <c r="CZ102" s="140"/>
      <c r="DA102" s="140" t="s">
        <v>933</v>
      </c>
      <c r="DB102" s="140">
        <v>882</v>
      </c>
      <c r="DC102" s="140"/>
    </row>
    <row r="103" spans="2:107" ht="11.25" customHeight="1" x14ac:dyDescent="0.15">
      <c r="B103" s="139" t="s">
        <v>577</v>
      </c>
      <c r="C103" s="140" t="s">
        <v>1281</v>
      </c>
      <c r="D103" s="140">
        <v>6</v>
      </c>
      <c r="E103" s="139" t="s">
        <v>1282</v>
      </c>
      <c r="F103" s="139" t="s">
        <v>580</v>
      </c>
      <c r="G103" s="140" t="s">
        <v>1281</v>
      </c>
      <c r="H103" s="139" t="s">
        <v>1283</v>
      </c>
      <c r="I103" s="140" t="s">
        <v>421</v>
      </c>
      <c r="J103" s="139" t="s">
        <v>582</v>
      </c>
      <c r="K103" s="139" t="s">
        <v>583</v>
      </c>
      <c r="L103" s="139" t="s">
        <v>583</v>
      </c>
      <c r="M103" s="139" t="s">
        <v>583</v>
      </c>
      <c r="N103" s="139" t="s">
        <v>584</v>
      </c>
      <c r="O103" s="139" t="s">
        <v>1265</v>
      </c>
      <c r="P103" s="139" t="s">
        <v>583</v>
      </c>
      <c r="Q103" s="139" t="s">
        <v>583</v>
      </c>
      <c r="R103" s="140">
        <v>1</v>
      </c>
      <c r="S103" s="140">
        <v>0</v>
      </c>
      <c r="T103" s="140">
        <v>1</v>
      </c>
      <c r="U103" s="140">
        <v>728</v>
      </c>
      <c r="V103" s="139" t="s">
        <v>586</v>
      </c>
      <c r="W103" s="139" t="s">
        <v>587</v>
      </c>
      <c r="X103" s="139" t="s">
        <v>588</v>
      </c>
      <c r="Y103" s="139" t="s">
        <v>589</v>
      </c>
      <c r="Z103" s="139" t="s">
        <v>590</v>
      </c>
      <c r="AA103" s="139" t="s">
        <v>591</v>
      </c>
      <c r="AB103" s="139" t="s">
        <v>586</v>
      </c>
      <c r="AC103" s="139" t="s">
        <v>587</v>
      </c>
      <c r="AD103" s="139" t="s">
        <v>588</v>
      </c>
      <c r="AE103" s="139" t="s">
        <v>589</v>
      </c>
      <c r="AF103" s="139" t="s">
        <v>590</v>
      </c>
      <c r="AG103" s="139" t="s">
        <v>591</v>
      </c>
      <c r="AH103" s="139" t="s">
        <v>592</v>
      </c>
      <c r="AI103" s="139" t="s">
        <v>429</v>
      </c>
      <c r="AJ103" s="140">
        <v>16109329.949999999</v>
      </c>
      <c r="AK103" s="139" t="s">
        <v>586</v>
      </c>
      <c r="AL103" s="139" t="s">
        <v>587</v>
      </c>
      <c r="AM103" s="139" t="s">
        <v>588</v>
      </c>
      <c r="AN103" s="139" t="s">
        <v>589</v>
      </c>
      <c r="AO103" s="139" t="s">
        <v>590</v>
      </c>
      <c r="AP103" s="139" t="s">
        <v>591</v>
      </c>
      <c r="AQ103" s="139" t="s">
        <v>592</v>
      </c>
      <c r="AR103" s="139" t="s">
        <v>429</v>
      </c>
      <c r="AS103" s="139" t="s">
        <v>429</v>
      </c>
      <c r="AT103" s="139" t="s">
        <v>593</v>
      </c>
      <c r="AU103" s="139" t="s">
        <v>437</v>
      </c>
      <c r="AV103" s="140">
        <v>2</v>
      </c>
      <c r="AW103" s="139" t="s">
        <v>594</v>
      </c>
      <c r="AX103" s="139" t="s">
        <v>595</v>
      </c>
      <c r="AY103" s="139" t="s">
        <v>596</v>
      </c>
      <c r="AZ103" s="140">
        <v>1</v>
      </c>
      <c r="BA103" s="139" t="s">
        <v>597</v>
      </c>
      <c r="BB103" s="140">
        <v>182000</v>
      </c>
      <c r="BC103" s="140">
        <v>15852382</v>
      </c>
      <c r="BD103" s="140">
        <v>199186.53</v>
      </c>
      <c r="BE103" s="140">
        <v>87.100999999999999</v>
      </c>
      <c r="BF103" s="139" t="s">
        <v>880</v>
      </c>
      <c r="BG103" s="139" t="s">
        <v>583</v>
      </c>
      <c r="BH103" s="139" t="s">
        <v>958</v>
      </c>
      <c r="BI103" s="139" t="s">
        <v>598</v>
      </c>
      <c r="BJ103" s="139" t="s">
        <v>599</v>
      </c>
      <c r="BK103" s="139" t="s">
        <v>583</v>
      </c>
      <c r="BL103" s="139" t="s">
        <v>583</v>
      </c>
      <c r="BM103" s="139" t="s">
        <v>583</v>
      </c>
      <c r="BN103" s="139" t="s">
        <v>853</v>
      </c>
      <c r="BO103" s="139" t="s">
        <v>854</v>
      </c>
      <c r="BP103" s="139" t="s">
        <v>959</v>
      </c>
      <c r="BQ103" s="139" t="s">
        <v>600</v>
      </c>
      <c r="BR103" s="140">
        <v>1</v>
      </c>
      <c r="BS103" s="139" t="s">
        <v>1284</v>
      </c>
      <c r="BT103" s="99">
        <f t="shared" si="5"/>
        <v>0</v>
      </c>
      <c r="BU103" s="99">
        <f t="shared" si="5"/>
        <v>1</v>
      </c>
      <c r="BV103" s="99">
        <f t="shared" si="4"/>
        <v>1</v>
      </c>
      <c r="BW103" s="139" t="s">
        <v>602</v>
      </c>
      <c r="BX103" s="139" t="s">
        <v>584</v>
      </c>
      <c r="BY103" s="140">
        <v>728</v>
      </c>
      <c r="BZ103" s="140">
        <v>0</v>
      </c>
      <c r="CA103" s="99">
        <v>145600</v>
      </c>
      <c r="CB103" s="140" t="s">
        <v>603</v>
      </c>
      <c r="CC103" s="140">
        <v>0</v>
      </c>
      <c r="CD103" s="140"/>
      <c r="CE103" s="139" t="s">
        <v>577</v>
      </c>
      <c r="CF103" s="139" t="s">
        <v>604</v>
      </c>
      <c r="CG103" s="139" t="s">
        <v>583</v>
      </c>
      <c r="CH103" s="139" t="s">
        <v>583</v>
      </c>
      <c r="CI103" s="139" t="s">
        <v>592</v>
      </c>
      <c r="CJ103" s="140">
        <v>16016</v>
      </c>
      <c r="CK103" s="140" t="s">
        <v>605</v>
      </c>
      <c r="CL103" s="140">
        <v>4000000</v>
      </c>
      <c r="CM103" s="99">
        <v>15288</v>
      </c>
      <c r="CN103" s="140">
        <v>0</v>
      </c>
      <c r="CO103" s="139" t="s">
        <v>583</v>
      </c>
      <c r="CP103" s="139" t="s">
        <v>583</v>
      </c>
      <c r="CQ103" s="140">
        <v>182000</v>
      </c>
      <c r="CR103" s="140">
        <v>15852382</v>
      </c>
      <c r="CS103" s="140">
        <v>0</v>
      </c>
      <c r="CT103" s="140">
        <v>1</v>
      </c>
      <c r="CU103" s="140">
        <v>16109329.949999999</v>
      </c>
      <c r="CV103" s="99">
        <v>199186.53</v>
      </c>
      <c r="CW103" s="139" t="s">
        <v>606</v>
      </c>
      <c r="CX103" s="140">
        <v>13.03</v>
      </c>
      <c r="CY103" s="140"/>
      <c r="CZ103" s="140"/>
      <c r="DA103" s="140" t="s">
        <v>856</v>
      </c>
      <c r="DB103" s="140">
        <v>1125</v>
      </c>
      <c r="DC103" s="140"/>
    </row>
    <row r="104" spans="2:107" ht="11.25" customHeight="1" x14ac:dyDescent="0.15">
      <c r="B104" s="139" t="s">
        <v>577</v>
      </c>
      <c r="C104" s="140" t="s">
        <v>1281</v>
      </c>
      <c r="D104" s="140">
        <v>6</v>
      </c>
      <c r="E104" s="139" t="s">
        <v>1285</v>
      </c>
      <c r="F104" s="139" t="s">
        <v>718</v>
      </c>
      <c r="G104" s="140" t="s">
        <v>1281</v>
      </c>
      <c r="H104" s="139" t="s">
        <v>1286</v>
      </c>
      <c r="I104" s="140" t="s">
        <v>421</v>
      </c>
      <c r="J104" s="139" t="s">
        <v>582</v>
      </c>
      <c r="K104" s="139" t="s">
        <v>583</v>
      </c>
      <c r="L104" s="139" t="s">
        <v>583</v>
      </c>
      <c r="M104" s="139" t="s">
        <v>583</v>
      </c>
      <c r="N104" s="139" t="s">
        <v>720</v>
      </c>
      <c r="O104" s="139" t="s">
        <v>1287</v>
      </c>
      <c r="P104" s="139" t="s">
        <v>583</v>
      </c>
      <c r="Q104" s="139" t="s">
        <v>583</v>
      </c>
      <c r="R104" s="140">
        <v>1</v>
      </c>
      <c r="S104" s="140">
        <v>0</v>
      </c>
      <c r="T104" s="140">
        <v>1</v>
      </c>
      <c r="U104" s="140">
        <v>100</v>
      </c>
      <c r="V104" s="139" t="s">
        <v>662</v>
      </c>
      <c r="W104" s="139" t="s">
        <v>663</v>
      </c>
      <c r="X104" s="139" t="s">
        <v>664</v>
      </c>
      <c r="Y104" s="139" t="s">
        <v>665</v>
      </c>
      <c r="Z104" s="139" t="s">
        <v>666</v>
      </c>
      <c r="AA104" s="139" t="s">
        <v>667</v>
      </c>
      <c r="AB104" s="139" t="s">
        <v>662</v>
      </c>
      <c r="AC104" s="139" t="s">
        <v>663</v>
      </c>
      <c r="AD104" s="139" t="s">
        <v>664</v>
      </c>
      <c r="AE104" s="139" t="s">
        <v>665</v>
      </c>
      <c r="AF104" s="139" t="s">
        <v>666</v>
      </c>
      <c r="AG104" s="139" t="s">
        <v>667</v>
      </c>
      <c r="AH104" s="139" t="s">
        <v>592</v>
      </c>
      <c r="AI104" s="139" t="s">
        <v>429</v>
      </c>
      <c r="AJ104" s="140">
        <v>2635676.2599999998</v>
      </c>
      <c r="AK104" s="139" t="s">
        <v>662</v>
      </c>
      <c r="AL104" s="139" t="s">
        <v>663</v>
      </c>
      <c r="AM104" s="139" t="s">
        <v>664</v>
      </c>
      <c r="AN104" s="139" t="s">
        <v>665</v>
      </c>
      <c r="AO104" s="139" t="s">
        <v>666</v>
      </c>
      <c r="AP104" s="139" t="s">
        <v>667</v>
      </c>
      <c r="AQ104" s="139" t="s">
        <v>592</v>
      </c>
      <c r="AR104" s="139" t="s">
        <v>429</v>
      </c>
      <c r="AS104" s="139" t="s">
        <v>429</v>
      </c>
      <c r="AT104" s="139" t="s">
        <v>593</v>
      </c>
      <c r="AU104" s="139" t="s">
        <v>437</v>
      </c>
      <c r="AV104" s="140">
        <v>2</v>
      </c>
      <c r="AW104" s="139" t="s">
        <v>594</v>
      </c>
      <c r="AX104" s="139" t="s">
        <v>595</v>
      </c>
      <c r="AY104" s="139" t="s">
        <v>722</v>
      </c>
      <c r="AZ104" s="140">
        <v>1</v>
      </c>
      <c r="BA104" s="139" t="s">
        <v>597</v>
      </c>
      <c r="BB104" s="140">
        <v>29000</v>
      </c>
      <c r="BC104" s="140">
        <v>2525929</v>
      </c>
      <c r="BD104" s="140">
        <v>32589.26</v>
      </c>
      <c r="BE104" s="140">
        <v>87.100999999999999</v>
      </c>
      <c r="BF104" s="139" t="s">
        <v>880</v>
      </c>
      <c r="BG104" s="139" t="s">
        <v>583</v>
      </c>
      <c r="BH104" s="139" t="s">
        <v>924</v>
      </c>
      <c r="BI104" s="139" t="s">
        <v>598</v>
      </c>
      <c r="BJ104" s="139" t="s">
        <v>599</v>
      </c>
      <c r="BK104" s="139" t="s">
        <v>583</v>
      </c>
      <c r="BL104" s="139" t="s">
        <v>583</v>
      </c>
      <c r="BM104" s="139" t="s">
        <v>583</v>
      </c>
      <c r="BN104" s="139" t="s">
        <v>842</v>
      </c>
      <c r="BO104" s="139" t="s">
        <v>843</v>
      </c>
      <c r="BP104" s="139" t="s">
        <v>925</v>
      </c>
      <c r="BQ104" s="139" t="s">
        <v>723</v>
      </c>
      <c r="BR104" s="140">
        <v>1</v>
      </c>
      <c r="BS104" s="139" t="s">
        <v>1288</v>
      </c>
      <c r="BT104" s="99">
        <f t="shared" si="5"/>
        <v>1</v>
      </c>
      <c r="BU104" s="99">
        <f t="shared" si="5"/>
        <v>0</v>
      </c>
      <c r="BV104" s="99">
        <f t="shared" si="4"/>
        <v>1</v>
      </c>
      <c r="BW104" s="139" t="s">
        <v>725</v>
      </c>
      <c r="BX104" s="139" t="s">
        <v>1157</v>
      </c>
      <c r="BY104" s="140">
        <v>100</v>
      </c>
      <c r="BZ104" s="140">
        <v>0</v>
      </c>
      <c r="CA104" s="99">
        <v>20000</v>
      </c>
      <c r="CB104" s="140" t="s">
        <v>603</v>
      </c>
      <c r="CC104" s="140">
        <v>0</v>
      </c>
      <c r="CD104" s="140"/>
      <c r="CE104" s="139" t="s">
        <v>577</v>
      </c>
      <c r="CF104" s="139" t="s">
        <v>604</v>
      </c>
      <c r="CG104" s="139" t="s">
        <v>583</v>
      </c>
      <c r="CH104" s="139" t="s">
        <v>583</v>
      </c>
      <c r="CI104" s="139" t="s">
        <v>592</v>
      </c>
      <c r="CJ104" s="140">
        <v>2100</v>
      </c>
      <c r="CK104" s="140" t="s">
        <v>605</v>
      </c>
      <c r="CL104" s="140">
        <v>4000000</v>
      </c>
      <c r="CM104" s="99">
        <v>2000</v>
      </c>
      <c r="CN104" s="140">
        <v>0</v>
      </c>
      <c r="CO104" s="139" t="s">
        <v>583</v>
      </c>
      <c r="CP104" s="139" t="s">
        <v>583</v>
      </c>
      <c r="CQ104" s="140">
        <v>29000</v>
      </c>
      <c r="CR104" s="140">
        <v>2525929</v>
      </c>
      <c r="CS104" s="140">
        <v>0</v>
      </c>
      <c r="CT104" s="140">
        <v>1</v>
      </c>
      <c r="CU104" s="140">
        <v>2635676.2599999998</v>
      </c>
      <c r="CV104" s="99">
        <v>32589.26</v>
      </c>
      <c r="CW104" s="139" t="s">
        <v>606</v>
      </c>
      <c r="CX104" s="140">
        <v>16.29</v>
      </c>
      <c r="CY104" s="140"/>
      <c r="CZ104" s="140"/>
      <c r="DA104" s="140" t="s">
        <v>926</v>
      </c>
      <c r="DB104" s="140">
        <v>14</v>
      </c>
      <c r="DC104" s="140"/>
    </row>
    <row r="105" spans="2:107" ht="11.25" customHeight="1" x14ac:dyDescent="0.15">
      <c r="B105" s="139" t="s">
        <v>577</v>
      </c>
      <c r="C105" s="140" t="s">
        <v>1289</v>
      </c>
      <c r="D105" s="140">
        <v>6</v>
      </c>
      <c r="E105" s="139" t="s">
        <v>1290</v>
      </c>
      <c r="F105" s="139" t="s">
        <v>618</v>
      </c>
      <c r="G105" s="140" t="s">
        <v>1289</v>
      </c>
      <c r="H105" s="139" t="s">
        <v>1291</v>
      </c>
      <c r="I105" s="140" t="s">
        <v>421</v>
      </c>
      <c r="J105" s="139" t="s">
        <v>582</v>
      </c>
      <c r="K105" s="139" t="s">
        <v>583</v>
      </c>
      <c r="L105" s="139" t="s">
        <v>583</v>
      </c>
      <c r="M105" s="139" t="s">
        <v>583</v>
      </c>
      <c r="N105" s="139" t="s">
        <v>441</v>
      </c>
      <c r="O105" s="139" t="s">
        <v>930</v>
      </c>
      <c r="P105" s="139" t="s">
        <v>583</v>
      </c>
      <c r="Q105" s="139" t="s">
        <v>583</v>
      </c>
      <c r="R105" s="140">
        <v>1</v>
      </c>
      <c r="S105" s="140">
        <v>0</v>
      </c>
      <c r="T105" s="140">
        <v>1</v>
      </c>
      <c r="U105" s="140">
        <v>364</v>
      </c>
      <c r="V105" s="139" t="s">
        <v>583</v>
      </c>
      <c r="W105" s="139" t="s">
        <v>583</v>
      </c>
      <c r="X105" s="139" t="s">
        <v>632</v>
      </c>
      <c r="Y105" s="139" t="s">
        <v>633</v>
      </c>
      <c r="Z105" s="139" t="s">
        <v>583</v>
      </c>
      <c r="AA105" s="139" t="s">
        <v>583</v>
      </c>
      <c r="AB105" s="139" t="s">
        <v>583</v>
      </c>
      <c r="AC105" s="139" t="s">
        <v>583</v>
      </c>
      <c r="AD105" s="139" t="s">
        <v>632</v>
      </c>
      <c r="AE105" s="139" t="s">
        <v>633</v>
      </c>
      <c r="AF105" s="139" t="s">
        <v>583</v>
      </c>
      <c r="AG105" s="139" t="s">
        <v>583</v>
      </c>
      <c r="AH105" s="139" t="s">
        <v>621</v>
      </c>
      <c r="AI105" s="139" t="s">
        <v>430</v>
      </c>
      <c r="AJ105" s="140">
        <v>9511429.1999999993</v>
      </c>
      <c r="AK105" s="139" t="s">
        <v>583</v>
      </c>
      <c r="AL105" s="139" t="s">
        <v>583</v>
      </c>
      <c r="AM105" s="139" t="s">
        <v>632</v>
      </c>
      <c r="AN105" s="139" t="s">
        <v>633</v>
      </c>
      <c r="AO105" s="139" t="s">
        <v>583</v>
      </c>
      <c r="AP105" s="139" t="s">
        <v>583</v>
      </c>
      <c r="AQ105" s="139" t="s">
        <v>621</v>
      </c>
      <c r="AR105" s="139" t="s">
        <v>430</v>
      </c>
      <c r="AS105" s="139" t="s">
        <v>430</v>
      </c>
      <c r="AT105" s="139" t="s">
        <v>593</v>
      </c>
      <c r="AU105" s="139" t="s">
        <v>437</v>
      </c>
      <c r="AV105" s="140">
        <v>0</v>
      </c>
      <c r="AW105" s="139" t="s">
        <v>594</v>
      </c>
      <c r="AX105" s="139" t="s">
        <v>622</v>
      </c>
      <c r="AY105" s="139" t="s">
        <v>623</v>
      </c>
      <c r="AZ105" s="140">
        <v>1</v>
      </c>
      <c r="BA105" s="139" t="s">
        <v>597</v>
      </c>
      <c r="BB105" s="140">
        <v>109200</v>
      </c>
      <c r="BC105" s="140">
        <v>9511429</v>
      </c>
      <c r="BD105" s="140">
        <v>117605.67</v>
      </c>
      <c r="BE105" s="140">
        <v>87.100999999999999</v>
      </c>
      <c r="BF105" s="139" t="s">
        <v>880</v>
      </c>
      <c r="BG105" s="139" t="s">
        <v>582</v>
      </c>
      <c r="BH105" s="139" t="s">
        <v>931</v>
      </c>
      <c r="BI105" s="139" t="s">
        <v>598</v>
      </c>
      <c r="BJ105" s="139" t="s">
        <v>624</v>
      </c>
      <c r="BK105" s="139" t="s">
        <v>882</v>
      </c>
      <c r="BL105" s="139" t="s">
        <v>583</v>
      </c>
      <c r="BM105" s="139" t="s">
        <v>883</v>
      </c>
      <c r="BN105" s="139" t="s">
        <v>583</v>
      </c>
      <c r="BO105" s="139" t="s">
        <v>623</v>
      </c>
      <c r="BP105" s="139" t="s">
        <v>884</v>
      </c>
      <c r="BQ105" s="139" t="s">
        <v>625</v>
      </c>
      <c r="BR105" s="140">
        <v>1</v>
      </c>
      <c r="BS105" s="139" t="s">
        <v>1292</v>
      </c>
      <c r="BT105" s="99">
        <f t="shared" si="5"/>
        <v>0</v>
      </c>
      <c r="BU105" s="99">
        <f t="shared" si="5"/>
        <v>1</v>
      </c>
      <c r="BV105" s="99">
        <f t="shared" si="4"/>
        <v>1</v>
      </c>
      <c r="BW105" s="139" t="s">
        <v>635</v>
      </c>
      <c r="BX105" s="139" t="s">
        <v>441</v>
      </c>
      <c r="BY105" s="140">
        <v>364</v>
      </c>
      <c r="BZ105" s="140">
        <v>0</v>
      </c>
      <c r="CA105" s="99">
        <v>72800</v>
      </c>
      <c r="CB105" s="140" t="s">
        <v>603</v>
      </c>
      <c r="CC105" s="140">
        <v>0</v>
      </c>
      <c r="CD105" s="140"/>
      <c r="CE105" s="139" t="s">
        <v>577</v>
      </c>
      <c r="CF105" s="139" t="s">
        <v>604</v>
      </c>
      <c r="CG105" s="139" t="s">
        <v>583</v>
      </c>
      <c r="CH105" s="139" t="s">
        <v>583</v>
      </c>
      <c r="CI105" s="139" t="s">
        <v>621</v>
      </c>
      <c r="CJ105" s="140">
        <v>7280</v>
      </c>
      <c r="CK105" s="140" t="s">
        <v>605</v>
      </c>
      <c r="CL105" s="140">
        <v>4000000</v>
      </c>
      <c r="CM105" s="99">
        <v>6552</v>
      </c>
      <c r="CN105" s="140">
        <v>0</v>
      </c>
      <c r="CO105" s="139" t="s">
        <v>583</v>
      </c>
      <c r="CP105" s="139" t="s">
        <v>583</v>
      </c>
      <c r="CQ105" s="140">
        <v>109200</v>
      </c>
      <c r="CR105" s="140">
        <v>9511429</v>
      </c>
      <c r="CS105" s="140">
        <v>0</v>
      </c>
      <c r="CT105" s="140">
        <v>1</v>
      </c>
      <c r="CU105" s="140">
        <v>9511429.1999999993</v>
      </c>
      <c r="CV105" s="99">
        <v>117605.67</v>
      </c>
      <c r="CW105" s="139" t="s">
        <v>606</v>
      </c>
      <c r="CX105" s="140">
        <v>17.95</v>
      </c>
      <c r="CY105" s="140"/>
      <c r="CZ105" s="140"/>
      <c r="DA105" s="140" t="s">
        <v>933</v>
      </c>
      <c r="DB105" s="140">
        <v>657</v>
      </c>
      <c r="DC105" s="140"/>
    </row>
    <row r="106" spans="2:107" ht="11.25" customHeight="1" x14ac:dyDescent="0.15">
      <c r="B106" s="139" t="s">
        <v>577</v>
      </c>
      <c r="C106" s="140" t="s">
        <v>1293</v>
      </c>
      <c r="D106" s="140">
        <v>6</v>
      </c>
      <c r="E106" s="139" t="s">
        <v>1294</v>
      </c>
      <c r="F106" s="139" t="s">
        <v>618</v>
      </c>
      <c r="G106" s="140" t="s">
        <v>1293</v>
      </c>
      <c r="H106" s="139" t="s">
        <v>1295</v>
      </c>
      <c r="I106" s="140" t="s">
        <v>421</v>
      </c>
      <c r="J106" s="139" t="s">
        <v>582</v>
      </c>
      <c r="K106" s="139" t="s">
        <v>583</v>
      </c>
      <c r="L106" s="139" t="s">
        <v>583</v>
      </c>
      <c r="M106" s="139" t="s">
        <v>583</v>
      </c>
      <c r="N106" s="139" t="s">
        <v>441</v>
      </c>
      <c r="O106" s="139" t="s">
        <v>937</v>
      </c>
      <c r="P106" s="139" t="s">
        <v>583</v>
      </c>
      <c r="Q106" s="139" t="s">
        <v>583</v>
      </c>
      <c r="R106" s="140">
        <v>1</v>
      </c>
      <c r="S106" s="140">
        <v>0</v>
      </c>
      <c r="T106" s="140">
        <v>1</v>
      </c>
      <c r="U106" s="140">
        <v>80</v>
      </c>
      <c r="V106" s="139" t="s">
        <v>640</v>
      </c>
      <c r="W106" s="139" t="s">
        <v>641</v>
      </c>
      <c r="X106" s="139" t="s">
        <v>642</v>
      </c>
      <c r="Y106" s="139" t="s">
        <v>643</v>
      </c>
      <c r="Z106" s="139" t="s">
        <v>644</v>
      </c>
      <c r="AA106" s="139" t="s">
        <v>645</v>
      </c>
      <c r="AB106" s="139" t="s">
        <v>640</v>
      </c>
      <c r="AC106" s="139" t="s">
        <v>641</v>
      </c>
      <c r="AD106" s="139" t="s">
        <v>642</v>
      </c>
      <c r="AE106" s="139" t="s">
        <v>643</v>
      </c>
      <c r="AF106" s="139" t="s">
        <v>644</v>
      </c>
      <c r="AG106" s="139" t="s">
        <v>645</v>
      </c>
      <c r="AH106" s="139" t="s">
        <v>621</v>
      </c>
      <c r="AI106" s="139" t="s">
        <v>430</v>
      </c>
      <c r="AJ106" s="140">
        <v>2118296.3199999998</v>
      </c>
      <c r="AK106" s="139" t="s">
        <v>640</v>
      </c>
      <c r="AL106" s="139" t="s">
        <v>641</v>
      </c>
      <c r="AM106" s="139" t="s">
        <v>642</v>
      </c>
      <c r="AN106" s="139" t="s">
        <v>643</v>
      </c>
      <c r="AO106" s="139" t="s">
        <v>644</v>
      </c>
      <c r="AP106" s="139" t="s">
        <v>645</v>
      </c>
      <c r="AQ106" s="139" t="s">
        <v>621</v>
      </c>
      <c r="AR106" s="139" t="s">
        <v>430</v>
      </c>
      <c r="AS106" s="139" t="s">
        <v>430</v>
      </c>
      <c r="AT106" s="139" t="s">
        <v>593</v>
      </c>
      <c r="AU106" s="139" t="s">
        <v>437</v>
      </c>
      <c r="AV106" s="140">
        <v>0</v>
      </c>
      <c r="AW106" s="139" t="s">
        <v>594</v>
      </c>
      <c r="AX106" s="139" t="s">
        <v>622</v>
      </c>
      <c r="AY106" s="139" t="s">
        <v>646</v>
      </c>
      <c r="AZ106" s="140">
        <v>1</v>
      </c>
      <c r="BA106" s="139" t="s">
        <v>597</v>
      </c>
      <c r="BB106" s="140">
        <v>24320</v>
      </c>
      <c r="BC106" s="140">
        <v>2118296</v>
      </c>
      <c r="BD106" s="140">
        <v>26192.03</v>
      </c>
      <c r="BE106" s="140">
        <v>87.100999999999999</v>
      </c>
      <c r="BF106" s="139" t="s">
        <v>880</v>
      </c>
      <c r="BG106" s="139" t="s">
        <v>582</v>
      </c>
      <c r="BH106" s="139" t="s">
        <v>938</v>
      </c>
      <c r="BI106" s="139" t="s">
        <v>598</v>
      </c>
      <c r="BJ106" s="139" t="s">
        <v>624</v>
      </c>
      <c r="BK106" s="139" t="s">
        <v>882</v>
      </c>
      <c r="BL106" s="139" t="s">
        <v>583</v>
      </c>
      <c r="BM106" s="139" t="s">
        <v>939</v>
      </c>
      <c r="BN106" s="139" t="s">
        <v>583</v>
      </c>
      <c r="BO106" s="139" t="s">
        <v>623</v>
      </c>
      <c r="BP106" s="139" t="s">
        <v>884</v>
      </c>
      <c r="BQ106" s="139" t="s">
        <v>625</v>
      </c>
      <c r="BR106" s="140">
        <v>1</v>
      </c>
      <c r="BS106" s="139" t="s">
        <v>1032</v>
      </c>
      <c r="BT106" s="99">
        <f t="shared" si="5"/>
        <v>0</v>
      </c>
      <c r="BU106" s="99">
        <f t="shared" si="5"/>
        <v>0</v>
      </c>
      <c r="BV106" s="99">
        <f t="shared" si="4"/>
        <v>0</v>
      </c>
      <c r="BW106" s="139" t="s">
        <v>446</v>
      </c>
      <c r="BX106" s="139" t="s">
        <v>441</v>
      </c>
      <c r="BY106" s="140">
        <v>80</v>
      </c>
      <c r="BZ106" s="140">
        <v>0</v>
      </c>
      <c r="CA106" s="99">
        <v>16000</v>
      </c>
      <c r="CB106" s="140" t="s">
        <v>603</v>
      </c>
      <c r="CC106" s="140">
        <v>0</v>
      </c>
      <c r="CD106" s="140"/>
      <c r="CE106" s="139" t="s">
        <v>577</v>
      </c>
      <c r="CF106" s="139" t="s">
        <v>604</v>
      </c>
      <c r="CG106" s="139" t="s">
        <v>583</v>
      </c>
      <c r="CH106" s="139" t="s">
        <v>583</v>
      </c>
      <c r="CI106" s="139" t="s">
        <v>621</v>
      </c>
      <c r="CJ106" s="140">
        <v>1600</v>
      </c>
      <c r="CK106" s="140" t="s">
        <v>605</v>
      </c>
      <c r="CL106" s="140">
        <v>4000000</v>
      </c>
      <c r="CM106" s="99">
        <v>1440</v>
      </c>
      <c r="CN106" s="140">
        <v>0</v>
      </c>
      <c r="CO106" s="139" t="s">
        <v>583</v>
      </c>
      <c r="CP106" s="139" t="s">
        <v>583</v>
      </c>
      <c r="CQ106" s="140">
        <v>24320</v>
      </c>
      <c r="CR106" s="140">
        <v>2118296</v>
      </c>
      <c r="CS106" s="140">
        <v>0</v>
      </c>
      <c r="CT106" s="140">
        <v>1</v>
      </c>
      <c r="CU106" s="140">
        <v>2118296.3199999998</v>
      </c>
      <c r="CV106" s="99">
        <v>26192.03</v>
      </c>
      <c r="CW106" s="139" t="s">
        <v>606</v>
      </c>
      <c r="CX106" s="140">
        <v>18.190000000000001</v>
      </c>
      <c r="CY106" s="140"/>
      <c r="CZ106" s="140"/>
      <c r="DA106" s="140" t="s">
        <v>941</v>
      </c>
      <c r="DB106" s="140">
        <v>1147</v>
      </c>
      <c r="DC106" s="140"/>
    </row>
    <row r="107" spans="2:107" ht="11.25" customHeight="1" x14ac:dyDescent="0.15">
      <c r="B107" s="139" t="s">
        <v>577</v>
      </c>
      <c r="C107" s="140" t="s">
        <v>1296</v>
      </c>
      <c r="D107" s="140">
        <v>5</v>
      </c>
      <c r="E107" s="139" t="s">
        <v>1297</v>
      </c>
      <c r="F107" s="139" t="s">
        <v>618</v>
      </c>
      <c r="G107" s="140" t="s">
        <v>1296</v>
      </c>
      <c r="H107" s="139" t="s">
        <v>1298</v>
      </c>
      <c r="I107" s="140" t="s">
        <v>421</v>
      </c>
      <c r="J107" s="139" t="s">
        <v>582</v>
      </c>
      <c r="K107" s="139" t="s">
        <v>583</v>
      </c>
      <c r="L107" s="139" t="s">
        <v>583</v>
      </c>
      <c r="M107" s="139" t="s">
        <v>583</v>
      </c>
      <c r="N107" s="139" t="s">
        <v>660</v>
      </c>
      <c r="O107" s="139" t="s">
        <v>944</v>
      </c>
      <c r="P107" s="139" t="s">
        <v>583</v>
      </c>
      <c r="Q107" s="139" t="s">
        <v>583</v>
      </c>
      <c r="R107" s="140">
        <v>1</v>
      </c>
      <c r="S107" s="140">
        <v>0</v>
      </c>
      <c r="T107" s="140">
        <v>1</v>
      </c>
      <c r="U107" s="140">
        <v>282</v>
      </c>
      <c r="V107" s="139" t="s">
        <v>945</v>
      </c>
      <c r="W107" s="139" t="s">
        <v>946</v>
      </c>
      <c r="X107" s="139" t="s">
        <v>947</v>
      </c>
      <c r="Y107" s="139" t="s">
        <v>948</v>
      </c>
      <c r="Z107" s="139" t="s">
        <v>949</v>
      </c>
      <c r="AA107" s="139" t="s">
        <v>950</v>
      </c>
      <c r="AB107" s="139" t="s">
        <v>945</v>
      </c>
      <c r="AC107" s="139" t="s">
        <v>946</v>
      </c>
      <c r="AD107" s="139" t="s">
        <v>947</v>
      </c>
      <c r="AE107" s="139" t="s">
        <v>948</v>
      </c>
      <c r="AF107" s="139" t="s">
        <v>949</v>
      </c>
      <c r="AG107" s="139" t="s">
        <v>950</v>
      </c>
      <c r="AH107" s="139" t="s">
        <v>621</v>
      </c>
      <c r="AI107" s="139" t="s">
        <v>430</v>
      </c>
      <c r="AJ107" s="140">
        <v>6757790.5599999996</v>
      </c>
      <c r="AK107" s="139" t="s">
        <v>945</v>
      </c>
      <c r="AL107" s="139" t="s">
        <v>946</v>
      </c>
      <c r="AM107" s="139" t="s">
        <v>947</v>
      </c>
      <c r="AN107" s="139" t="s">
        <v>948</v>
      </c>
      <c r="AO107" s="139" t="s">
        <v>949</v>
      </c>
      <c r="AP107" s="139" t="s">
        <v>950</v>
      </c>
      <c r="AQ107" s="139" t="s">
        <v>621</v>
      </c>
      <c r="AR107" s="139" t="s">
        <v>430</v>
      </c>
      <c r="AS107" s="139" t="s">
        <v>430</v>
      </c>
      <c r="AT107" s="139" t="s">
        <v>593</v>
      </c>
      <c r="AU107" s="139" t="s">
        <v>437</v>
      </c>
      <c r="AV107" s="140">
        <v>0</v>
      </c>
      <c r="AW107" s="139" t="s">
        <v>594</v>
      </c>
      <c r="AX107" s="139" t="s">
        <v>622</v>
      </c>
      <c r="AY107" s="139" t="s">
        <v>623</v>
      </c>
      <c r="AZ107" s="140">
        <v>1</v>
      </c>
      <c r="BA107" s="139" t="s">
        <v>951</v>
      </c>
      <c r="BB107" s="140">
        <v>113845.33</v>
      </c>
      <c r="BC107" s="140">
        <v>6757790</v>
      </c>
      <c r="BD107" s="140">
        <v>83752.94</v>
      </c>
      <c r="BE107" s="140">
        <v>59.359400000000001</v>
      </c>
      <c r="BF107" s="139" t="s">
        <v>880</v>
      </c>
      <c r="BG107" s="139" t="s">
        <v>582</v>
      </c>
      <c r="BH107" s="139" t="s">
        <v>952</v>
      </c>
      <c r="BI107" s="139" t="s">
        <v>598</v>
      </c>
      <c r="BJ107" s="139" t="s">
        <v>624</v>
      </c>
      <c r="BK107" s="139" t="s">
        <v>882</v>
      </c>
      <c r="BL107" s="139" t="s">
        <v>583</v>
      </c>
      <c r="BM107" s="139" t="s">
        <v>953</v>
      </c>
      <c r="BN107" s="139" t="s">
        <v>583</v>
      </c>
      <c r="BO107" s="139" t="s">
        <v>623</v>
      </c>
      <c r="BP107" s="139" t="s">
        <v>884</v>
      </c>
      <c r="BQ107" s="139" t="s">
        <v>625</v>
      </c>
      <c r="BR107" s="140">
        <v>1</v>
      </c>
      <c r="BS107" s="139" t="s">
        <v>634</v>
      </c>
      <c r="BT107" s="99">
        <f t="shared" si="5"/>
        <v>0</v>
      </c>
      <c r="BU107" s="99">
        <f t="shared" si="5"/>
        <v>1</v>
      </c>
      <c r="BV107" s="99">
        <f t="shared" si="4"/>
        <v>1</v>
      </c>
      <c r="BW107" s="139" t="s">
        <v>635</v>
      </c>
      <c r="BX107" s="139" t="s">
        <v>441</v>
      </c>
      <c r="BY107" s="140">
        <v>282</v>
      </c>
      <c r="BZ107" s="140">
        <v>0</v>
      </c>
      <c r="CA107" s="99">
        <v>56400</v>
      </c>
      <c r="CB107" s="140" t="s">
        <v>603</v>
      </c>
      <c r="CC107" s="140">
        <v>0</v>
      </c>
      <c r="CD107" s="140"/>
      <c r="CE107" s="139" t="s">
        <v>577</v>
      </c>
      <c r="CF107" s="139" t="s">
        <v>604</v>
      </c>
      <c r="CG107" s="139" t="s">
        <v>583</v>
      </c>
      <c r="CH107" s="139" t="s">
        <v>583</v>
      </c>
      <c r="CI107" s="139" t="s">
        <v>621</v>
      </c>
      <c r="CJ107" s="140">
        <v>5640</v>
      </c>
      <c r="CK107" s="140" t="s">
        <v>605</v>
      </c>
      <c r="CL107" s="140">
        <v>4000000</v>
      </c>
      <c r="CM107" s="99">
        <v>5076</v>
      </c>
      <c r="CN107" s="140">
        <v>0</v>
      </c>
      <c r="CO107" s="139" t="s">
        <v>583</v>
      </c>
      <c r="CP107" s="139" t="s">
        <v>583</v>
      </c>
      <c r="CQ107" s="140">
        <v>113845.33</v>
      </c>
      <c r="CR107" s="140">
        <v>6757790</v>
      </c>
      <c r="CS107" s="140">
        <v>0</v>
      </c>
      <c r="CT107" s="140">
        <v>1</v>
      </c>
      <c r="CU107" s="140">
        <v>6757790.5599999996</v>
      </c>
      <c r="CV107" s="99">
        <v>83752.94</v>
      </c>
      <c r="CW107" s="139" t="s">
        <v>606</v>
      </c>
      <c r="CX107" s="140">
        <v>16.4998</v>
      </c>
      <c r="CY107" s="140"/>
      <c r="CZ107" s="140"/>
      <c r="DA107" s="140" t="s">
        <v>933</v>
      </c>
      <c r="DB107" s="140">
        <v>896</v>
      </c>
      <c r="DC107" s="140"/>
    </row>
    <row r="108" spans="2:107" ht="11.25" customHeight="1" x14ac:dyDescent="0.15">
      <c r="B108" s="139" t="s">
        <v>577</v>
      </c>
      <c r="C108" s="140" t="s">
        <v>1299</v>
      </c>
      <c r="D108" s="140">
        <v>5</v>
      </c>
      <c r="E108" s="139" t="s">
        <v>1300</v>
      </c>
      <c r="F108" s="139" t="s">
        <v>580</v>
      </c>
      <c r="G108" s="140" t="s">
        <v>1299</v>
      </c>
      <c r="H108" s="139" t="s">
        <v>1301</v>
      </c>
      <c r="I108" s="140" t="s">
        <v>421</v>
      </c>
      <c r="J108" s="139" t="s">
        <v>582</v>
      </c>
      <c r="K108" s="139" t="s">
        <v>583</v>
      </c>
      <c r="L108" s="139" t="s">
        <v>583</v>
      </c>
      <c r="M108" s="139" t="s">
        <v>583</v>
      </c>
      <c r="N108" s="139" t="s">
        <v>1067</v>
      </c>
      <c r="O108" s="139" t="s">
        <v>1302</v>
      </c>
      <c r="P108" s="139" t="s">
        <v>583</v>
      </c>
      <c r="Q108" s="139" t="s">
        <v>583</v>
      </c>
      <c r="R108" s="140">
        <v>2</v>
      </c>
      <c r="S108" s="140">
        <v>0</v>
      </c>
      <c r="T108" s="140">
        <v>2</v>
      </c>
      <c r="U108" s="140">
        <v>24</v>
      </c>
      <c r="V108" s="139" t="s">
        <v>1069</v>
      </c>
      <c r="W108" s="139" t="s">
        <v>1070</v>
      </c>
      <c r="X108" s="139" t="s">
        <v>1071</v>
      </c>
      <c r="Y108" s="139" t="s">
        <v>1072</v>
      </c>
      <c r="Z108" s="139" t="s">
        <v>590</v>
      </c>
      <c r="AA108" s="139" t="s">
        <v>1073</v>
      </c>
      <c r="AB108" s="139" t="s">
        <v>1069</v>
      </c>
      <c r="AC108" s="139" t="s">
        <v>1070</v>
      </c>
      <c r="AD108" s="139" t="s">
        <v>1071</v>
      </c>
      <c r="AE108" s="139" t="s">
        <v>1072</v>
      </c>
      <c r="AF108" s="139" t="s">
        <v>590</v>
      </c>
      <c r="AG108" s="139" t="s">
        <v>1073</v>
      </c>
      <c r="AH108" s="139" t="s">
        <v>1074</v>
      </c>
      <c r="AI108" s="139" t="s">
        <v>435</v>
      </c>
      <c r="AJ108" s="140">
        <v>6841214.46</v>
      </c>
      <c r="AK108" s="139" t="s">
        <v>1069</v>
      </c>
      <c r="AL108" s="139" t="s">
        <v>1070</v>
      </c>
      <c r="AM108" s="139" t="s">
        <v>1071</v>
      </c>
      <c r="AN108" s="139" t="s">
        <v>1072</v>
      </c>
      <c r="AO108" s="139" t="s">
        <v>590</v>
      </c>
      <c r="AP108" s="139" t="s">
        <v>1073</v>
      </c>
      <c r="AQ108" s="139" t="s">
        <v>1074</v>
      </c>
      <c r="AR108" s="139" t="s">
        <v>435</v>
      </c>
      <c r="AS108" s="139" t="s">
        <v>435</v>
      </c>
      <c r="AT108" s="139" t="s">
        <v>593</v>
      </c>
      <c r="AU108" s="139" t="s">
        <v>437</v>
      </c>
      <c r="AV108" s="140">
        <v>2</v>
      </c>
      <c r="AW108" s="139" t="s">
        <v>594</v>
      </c>
      <c r="AX108" s="139" t="s">
        <v>653</v>
      </c>
      <c r="AY108" s="139" t="s">
        <v>1075</v>
      </c>
      <c r="AZ108" s="140">
        <v>1</v>
      </c>
      <c r="BA108" s="139" t="s">
        <v>597</v>
      </c>
      <c r="BB108" s="140">
        <v>79624</v>
      </c>
      <c r="BC108" s="140">
        <v>6841214</v>
      </c>
      <c r="BD108" s="140">
        <v>85550.79</v>
      </c>
      <c r="BE108" s="140">
        <v>85.918999999999997</v>
      </c>
      <c r="BF108" s="139" t="s">
        <v>880</v>
      </c>
      <c r="BG108" s="139" t="s">
        <v>583</v>
      </c>
      <c r="BH108" s="139" t="s">
        <v>1076</v>
      </c>
      <c r="BI108" s="139" t="s">
        <v>598</v>
      </c>
      <c r="BJ108" s="139" t="s">
        <v>599</v>
      </c>
      <c r="BK108" s="139" t="s">
        <v>583</v>
      </c>
      <c r="BL108" s="139" t="s">
        <v>583</v>
      </c>
      <c r="BM108" s="139" t="s">
        <v>583</v>
      </c>
      <c r="BN108" s="139" t="s">
        <v>842</v>
      </c>
      <c r="BO108" s="139" t="s">
        <v>843</v>
      </c>
      <c r="BP108" s="139" t="s">
        <v>925</v>
      </c>
      <c r="BQ108" s="139" t="s">
        <v>723</v>
      </c>
      <c r="BR108" s="140">
        <v>2</v>
      </c>
      <c r="BS108" s="139" t="s">
        <v>1077</v>
      </c>
      <c r="BT108" s="99">
        <f t="shared" ref="BT108:BU127" si="6">MIN(1,IFERROR(SEARCH(BT$2,$BS108),0))</f>
        <v>1</v>
      </c>
      <c r="BU108" s="99">
        <f t="shared" si="6"/>
        <v>0</v>
      </c>
      <c r="BV108" s="99">
        <f t="shared" si="4"/>
        <v>1</v>
      </c>
      <c r="BW108" s="139" t="s">
        <v>1078</v>
      </c>
      <c r="BX108" s="139" t="s">
        <v>1257</v>
      </c>
      <c r="BY108" s="140">
        <v>2</v>
      </c>
      <c r="BZ108" s="140">
        <v>0</v>
      </c>
      <c r="CA108" s="99">
        <v>6000</v>
      </c>
      <c r="CB108" s="140" t="s">
        <v>603</v>
      </c>
      <c r="CC108" s="140">
        <v>0</v>
      </c>
      <c r="CD108" s="140"/>
      <c r="CE108" s="139" t="s">
        <v>1080</v>
      </c>
      <c r="CF108" s="139" t="s">
        <v>604</v>
      </c>
      <c r="CG108" s="139" t="s">
        <v>583</v>
      </c>
      <c r="CH108" s="139" t="s">
        <v>583</v>
      </c>
      <c r="CI108" s="139" t="s">
        <v>1074</v>
      </c>
      <c r="CJ108" s="140">
        <v>630</v>
      </c>
      <c r="CK108" s="140" t="s">
        <v>605</v>
      </c>
      <c r="CL108" s="140">
        <v>4000000</v>
      </c>
      <c r="CM108" s="99">
        <v>570</v>
      </c>
      <c r="CN108" s="140">
        <v>0</v>
      </c>
      <c r="CO108" s="139" t="s">
        <v>583</v>
      </c>
      <c r="CP108" s="139" t="s">
        <v>583</v>
      </c>
      <c r="CQ108" s="140">
        <v>9585.0499999999993</v>
      </c>
      <c r="CR108" s="140">
        <v>823538</v>
      </c>
      <c r="CS108" s="140">
        <v>0</v>
      </c>
      <c r="CT108" s="140">
        <v>1</v>
      </c>
      <c r="CU108" s="140">
        <v>823537.91</v>
      </c>
      <c r="CV108" s="99">
        <v>10298.51</v>
      </c>
      <c r="CW108" s="139" t="s">
        <v>606</v>
      </c>
      <c r="CX108" s="140">
        <v>18.067599999999999</v>
      </c>
      <c r="CY108" s="140"/>
      <c r="CZ108" s="140"/>
      <c r="DA108" s="140" t="s">
        <v>1081</v>
      </c>
      <c r="DB108" s="140">
        <v>1038</v>
      </c>
      <c r="DC108" s="140"/>
    </row>
    <row r="109" spans="2:107" ht="11.25" customHeight="1" x14ac:dyDescent="0.15">
      <c r="B109" s="139" t="s">
        <v>577</v>
      </c>
      <c r="C109" s="140" t="s">
        <v>1299</v>
      </c>
      <c r="D109" s="140">
        <v>5</v>
      </c>
      <c r="E109" s="139" t="s">
        <v>1303</v>
      </c>
      <c r="F109" s="139" t="s">
        <v>618</v>
      </c>
      <c r="G109" s="140" t="s">
        <v>1304</v>
      </c>
      <c r="H109" s="139" t="s">
        <v>1305</v>
      </c>
      <c r="I109" s="140" t="s">
        <v>421</v>
      </c>
      <c r="J109" s="139" t="s">
        <v>582</v>
      </c>
      <c r="K109" s="139" t="s">
        <v>583</v>
      </c>
      <c r="L109" s="139" t="s">
        <v>583</v>
      </c>
      <c r="M109" s="139" t="s">
        <v>583</v>
      </c>
      <c r="N109" s="139" t="s">
        <v>441</v>
      </c>
      <c r="O109" s="139" t="s">
        <v>930</v>
      </c>
      <c r="P109" s="139" t="s">
        <v>583</v>
      </c>
      <c r="Q109" s="139" t="s">
        <v>583</v>
      </c>
      <c r="R109" s="140">
        <v>1</v>
      </c>
      <c r="S109" s="140">
        <v>0</v>
      </c>
      <c r="T109" s="140">
        <v>1</v>
      </c>
      <c r="U109" s="140">
        <v>282</v>
      </c>
      <c r="V109" s="139" t="s">
        <v>583</v>
      </c>
      <c r="W109" s="139" t="s">
        <v>583</v>
      </c>
      <c r="X109" s="139" t="s">
        <v>632</v>
      </c>
      <c r="Y109" s="139" t="s">
        <v>633</v>
      </c>
      <c r="Z109" s="139" t="s">
        <v>583</v>
      </c>
      <c r="AA109" s="139" t="s">
        <v>583</v>
      </c>
      <c r="AB109" s="139" t="s">
        <v>583</v>
      </c>
      <c r="AC109" s="139" t="s">
        <v>583</v>
      </c>
      <c r="AD109" s="139" t="s">
        <v>632</v>
      </c>
      <c r="AE109" s="139" t="s">
        <v>633</v>
      </c>
      <c r="AF109" s="139" t="s">
        <v>583</v>
      </c>
      <c r="AG109" s="139" t="s">
        <v>583</v>
      </c>
      <c r="AH109" s="139" t="s">
        <v>621</v>
      </c>
      <c r="AI109" s="139" t="s">
        <v>430</v>
      </c>
      <c r="AJ109" s="140">
        <v>7268747.4000000004</v>
      </c>
      <c r="AK109" s="139" t="s">
        <v>583</v>
      </c>
      <c r="AL109" s="139" t="s">
        <v>583</v>
      </c>
      <c r="AM109" s="139" t="s">
        <v>632</v>
      </c>
      <c r="AN109" s="139" t="s">
        <v>633</v>
      </c>
      <c r="AO109" s="139" t="s">
        <v>583</v>
      </c>
      <c r="AP109" s="139" t="s">
        <v>583</v>
      </c>
      <c r="AQ109" s="139" t="s">
        <v>621</v>
      </c>
      <c r="AR109" s="139" t="s">
        <v>430</v>
      </c>
      <c r="AS109" s="139" t="s">
        <v>430</v>
      </c>
      <c r="AT109" s="139" t="s">
        <v>593</v>
      </c>
      <c r="AU109" s="139" t="s">
        <v>437</v>
      </c>
      <c r="AV109" s="140">
        <v>0</v>
      </c>
      <c r="AW109" s="139" t="s">
        <v>594</v>
      </c>
      <c r="AX109" s="139" t="s">
        <v>622</v>
      </c>
      <c r="AY109" s="139" t="s">
        <v>623</v>
      </c>
      <c r="AZ109" s="140">
        <v>1</v>
      </c>
      <c r="BA109" s="139" t="s">
        <v>597</v>
      </c>
      <c r="BB109" s="140">
        <v>84600</v>
      </c>
      <c r="BC109" s="140">
        <v>7268747</v>
      </c>
      <c r="BD109" s="140">
        <v>90897.18</v>
      </c>
      <c r="BE109" s="140">
        <v>85.918999999999997</v>
      </c>
      <c r="BF109" s="139" t="s">
        <v>880</v>
      </c>
      <c r="BG109" s="139" t="s">
        <v>582</v>
      </c>
      <c r="BH109" s="139" t="s">
        <v>931</v>
      </c>
      <c r="BI109" s="139" t="s">
        <v>598</v>
      </c>
      <c r="BJ109" s="139" t="s">
        <v>624</v>
      </c>
      <c r="BK109" s="139" t="s">
        <v>882</v>
      </c>
      <c r="BL109" s="139" t="s">
        <v>583</v>
      </c>
      <c r="BM109" s="139" t="s">
        <v>883</v>
      </c>
      <c r="BN109" s="139" t="s">
        <v>583</v>
      </c>
      <c r="BO109" s="139" t="s">
        <v>623</v>
      </c>
      <c r="BP109" s="139" t="s">
        <v>884</v>
      </c>
      <c r="BQ109" s="139" t="s">
        <v>625</v>
      </c>
      <c r="BR109" s="140">
        <v>1</v>
      </c>
      <c r="BS109" s="139" t="s">
        <v>634</v>
      </c>
      <c r="BT109" s="99">
        <f t="shared" si="6"/>
        <v>0</v>
      </c>
      <c r="BU109" s="99">
        <f t="shared" si="6"/>
        <v>1</v>
      </c>
      <c r="BV109" s="99">
        <f t="shared" si="4"/>
        <v>1</v>
      </c>
      <c r="BW109" s="139" t="s">
        <v>635</v>
      </c>
      <c r="BX109" s="139" t="s">
        <v>441</v>
      </c>
      <c r="BY109" s="140">
        <v>282</v>
      </c>
      <c r="BZ109" s="140">
        <v>0</v>
      </c>
      <c r="CA109" s="99">
        <v>56400</v>
      </c>
      <c r="CB109" s="140" t="s">
        <v>603</v>
      </c>
      <c r="CC109" s="140">
        <v>0</v>
      </c>
      <c r="CD109" s="140"/>
      <c r="CE109" s="139" t="s">
        <v>577</v>
      </c>
      <c r="CF109" s="139" t="s">
        <v>604</v>
      </c>
      <c r="CG109" s="139" t="s">
        <v>583</v>
      </c>
      <c r="CH109" s="139" t="s">
        <v>583</v>
      </c>
      <c r="CI109" s="139" t="s">
        <v>621</v>
      </c>
      <c r="CJ109" s="140">
        <v>5640</v>
      </c>
      <c r="CK109" s="140" t="s">
        <v>605</v>
      </c>
      <c r="CL109" s="140">
        <v>4000000</v>
      </c>
      <c r="CM109" s="99">
        <v>5076</v>
      </c>
      <c r="CN109" s="140">
        <v>0</v>
      </c>
      <c r="CO109" s="139" t="s">
        <v>583</v>
      </c>
      <c r="CP109" s="139" t="s">
        <v>583</v>
      </c>
      <c r="CQ109" s="140">
        <v>84600</v>
      </c>
      <c r="CR109" s="140">
        <v>7268747</v>
      </c>
      <c r="CS109" s="140">
        <v>0</v>
      </c>
      <c r="CT109" s="140">
        <v>1</v>
      </c>
      <c r="CU109" s="140">
        <v>7268747.4000000004</v>
      </c>
      <c r="CV109" s="99">
        <v>90897.18</v>
      </c>
      <c r="CW109" s="139" t="s">
        <v>606</v>
      </c>
      <c r="CX109" s="140">
        <v>17.9072</v>
      </c>
      <c r="CY109" s="140"/>
      <c r="CZ109" s="140"/>
      <c r="DA109" s="140" t="s">
        <v>933</v>
      </c>
      <c r="DB109" s="140">
        <v>885</v>
      </c>
      <c r="DC109" s="140"/>
    </row>
    <row r="110" spans="2:107" ht="11.25" customHeight="1" x14ac:dyDescent="0.15">
      <c r="B110" s="139" t="s">
        <v>577</v>
      </c>
      <c r="C110" s="140" t="s">
        <v>1304</v>
      </c>
      <c r="D110" s="140">
        <v>5</v>
      </c>
      <c r="E110" s="139" t="s">
        <v>1306</v>
      </c>
      <c r="F110" s="139" t="s">
        <v>580</v>
      </c>
      <c r="G110" s="140" t="s">
        <v>1304</v>
      </c>
      <c r="H110" s="139" t="s">
        <v>1307</v>
      </c>
      <c r="I110" s="140" t="s">
        <v>421</v>
      </c>
      <c r="J110" s="139" t="s">
        <v>582</v>
      </c>
      <c r="K110" s="139" t="s">
        <v>583</v>
      </c>
      <c r="L110" s="139" t="s">
        <v>583</v>
      </c>
      <c r="M110" s="139" t="s">
        <v>583</v>
      </c>
      <c r="N110" s="139" t="s">
        <v>1169</v>
      </c>
      <c r="O110" s="139" t="s">
        <v>1246</v>
      </c>
      <c r="P110" s="139" t="s">
        <v>583</v>
      </c>
      <c r="Q110" s="139" t="s">
        <v>583</v>
      </c>
      <c r="R110" s="140">
        <v>1</v>
      </c>
      <c r="S110" s="140">
        <v>0</v>
      </c>
      <c r="T110" s="140">
        <v>1</v>
      </c>
      <c r="U110" s="140">
        <v>80</v>
      </c>
      <c r="V110" s="139" t="s">
        <v>907</v>
      </c>
      <c r="W110" s="139" t="s">
        <v>908</v>
      </c>
      <c r="X110" s="139" t="s">
        <v>909</v>
      </c>
      <c r="Y110" s="139" t="s">
        <v>910</v>
      </c>
      <c r="Z110" s="139" t="s">
        <v>644</v>
      </c>
      <c r="AA110" s="139" t="s">
        <v>911</v>
      </c>
      <c r="AB110" s="139" t="s">
        <v>907</v>
      </c>
      <c r="AC110" s="139" t="s">
        <v>908</v>
      </c>
      <c r="AD110" s="139" t="s">
        <v>909</v>
      </c>
      <c r="AE110" s="139" t="s">
        <v>910</v>
      </c>
      <c r="AF110" s="139" t="s">
        <v>644</v>
      </c>
      <c r="AG110" s="139" t="s">
        <v>911</v>
      </c>
      <c r="AH110" s="139" t="s">
        <v>592</v>
      </c>
      <c r="AI110" s="139" t="s">
        <v>429</v>
      </c>
      <c r="AJ110" s="140">
        <v>2134019.17</v>
      </c>
      <c r="AK110" s="139" t="s">
        <v>907</v>
      </c>
      <c r="AL110" s="139" t="s">
        <v>908</v>
      </c>
      <c r="AM110" s="139" t="s">
        <v>909</v>
      </c>
      <c r="AN110" s="139" t="s">
        <v>910</v>
      </c>
      <c r="AO110" s="139" t="s">
        <v>644</v>
      </c>
      <c r="AP110" s="139" t="s">
        <v>911</v>
      </c>
      <c r="AQ110" s="139" t="s">
        <v>592</v>
      </c>
      <c r="AR110" s="139" t="s">
        <v>429</v>
      </c>
      <c r="AS110" s="139" t="s">
        <v>429</v>
      </c>
      <c r="AT110" s="139" t="s">
        <v>593</v>
      </c>
      <c r="AU110" s="139" t="s">
        <v>437</v>
      </c>
      <c r="AV110" s="140">
        <v>2</v>
      </c>
      <c r="AW110" s="139" t="s">
        <v>594</v>
      </c>
      <c r="AX110" s="139" t="s">
        <v>595</v>
      </c>
      <c r="AY110" s="139" t="s">
        <v>722</v>
      </c>
      <c r="AZ110" s="140">
        <v>1</v>
      </c>
      <c r="BA110" s="139" t="s">
        <v>597</v>
      </c>
      <c r="BB110" s="140">
        <v>24608</v>
      </c>
      <c r="BC110" s="140">
        <v>2114295</v>
      </c>
      <c r="BD110" s="140">
        <v>26686.35</v>
      </c>
      <c r="BE110" s="140">
        <v>85.918999999999997</v>
      </c>
      <c r="BF110" s="139" t="s">
        <v>880</v>
      </c>
      <c r="BG110" s="139" t="s">
        <v>583</v>
      </c>
      <c r="BH110" s="139" t="s">
        <v>1171</v>
      </c>
      <c r="BI110" s="139" t="s">
        <v>598</v>
      </c>
      <c r="BJ110" s="139" t="s">
        <v>624</v>
      </c>
      <c r="BK110" s="139" t="s">
        <v>914</v>
      </c>
      <c r="BL110" s="139" t="s">
        <v>583</v>
      </c>
      <c r="BM110" s="139" t="s">
        <v>915</v>
      </c>
      <c r="BN110" s="139" t="s">
        <v>916</v>
      </c>
      <c r="BO110" s="139" t="s">
        <v>917</v>
      </c>
      <c r="BP110" s="139" t="s">
        <v>918</v>
      </c>
      <c r="BQ110" s="139" t="s">
        <v>772</v>
      </c>
      <c r="BR110" s="140">
        <v>1</v>
      </c>
      <c r="BS110" s="139" t="s">
        <v>1247</v>
      </c>
      <c r="BT110" s="99">
        <f t="shared" si="6"/>
        <v>0</v>
      </c>
      <c r="BU110" s="99">
        <f t="shared" si="6"/>
        <v>1</v>
      </c>
      <c r="BV110" s="99">
        <f t="shared" si="4"/>
        <v>1</v>
      </c>
      <c r="BW110" s="139" t="s">
        <v>602</v>
      </c>
      <c r="BX110" s="139" t="s">
        <v>1169</v>
      </c>
      <c r="BY110" s="140">
        <v>80</v>
      </c>
      <c r="BZ110" s="140">
        <v>0</v>
      </c>
      <c r="CA110" s="99">
        <v>16000</v>
      </c>
      <c r="CB110" s="140" t="s">
        <v>603</v>
      </c>
      <c r="CC110" s="140">
        <v>0</v>
      </c>
      <c r="CD110" s="140"/>
      <c r="CE110" s="139" t="s">
        <v>577</v>
      </c>
      <c r="CF110" s="139" t="s">
        <v>604</v>
      </c>
      <c r="CG110" s="139" t="s">
        <v>583</v>
      </c>
      <c r="CH110" s="139" t="s">
        <v>583</v>
      </c>
      <c r="CI110" s="139" t="s">
        <v>592</v>
      </c>
      <c r="CJ110" s="140">
        <v>1680</v>
      </c>
      <c r="CK110" s="140" t="s">
        <v>605</v>
      </c>
      <c r="CL110" s="140">
        <v>4000000</v>
      </c>
      <c r="CM110" s="99">
        <v>1600</v>
      </c>
      <c r="CN110" s="140">
        <v>0</v>
      </c>
      <c r="CO110" s="139" t="s">
        <v>583</v>
      </c>
      <c r="CP110" s="139" t="s">
        <v>583</v>
      </c>
      <c r="CQ110" s="140">
        <v>24608</v>
      </c>
      <c r="CR110" s="140">
        <v>2114295</v>
      </c>
      <c r="CS110" s="140">
        <v>0</v>
      </c>
      <c r="CT110" s="140">
        <v>1</v>
      </c>
      <c r="CU110" s="140">
        <v>2134019.17</v>
      </c>
      <c r="CV110" s="99">
        <v>26686.35</v>
      </c>
      <c r="CW110" s="139" t="s">
        <v>606</v>
      </c>
      <c r="CX110" s="140">
        <v>16.678999999999998</v>
      </c>
      <c r="CY110" s="140"/>
      <c r="CZ110" s="140"/>
      <c r="DA110" s="140" t="s">
        <v>920</v>
      </c>
      <c r="DB110" s="140">
        <v>1257</v>
      </c>
      <c r="DC110" s="140"/>
    </row>
    <row r="111" spans="2:107" ht="11.25" customHeight="1" x14ac:dyDescent="0.15">
      <c r="B111" s="139" t="s">
        <v>577</v>
      </c>
      <c r="C111" s="140" t="s">
        <v>1304</v>
      </c>
      <c r="D111" s="140">
        <v>5</v>
      </c>
      <c r="E111" s="139" t="s">
        <v>1308</v>
      </c>
      <c r="F111" s="139" t="s">
        <v>718</v>
      </c>
      <c r="G111" s="140" t="s">
        <v>1304</v>
      </c>
      <c r="H111" s="139" t="s">
        <v>1309</v>
      </c>
      <c r="I111" s="140" t="s">
        <v>421</v>
      </c>
      <c r="J111" s="139" t="s">
        <v>582</v>
      </c>
      <c r="K111" s="139" t="s">
        <v>583</v>
      </c>
      <c r="L111" s="139" t="s">
        <v>583</v>
      </c>
      <c r="M111" s="139" t="s">
        <v>583</v>
      </c>
      <c r="N111" s="139" t="s">
        <v>720</v>
      </c>
      <c r="O111" s="139" t="s">
        <v>1310</v>
      </c>
      <c r="P111" s="139" t="s">
        <v>583</v>
      </c>
      <c r="Q111" s="139" t="s">
        <v>583</v>
      </c>
      <c r="R111" s="140">
        <v>1</v>
      </c>
      <c r="S111" s="140"/>
      <c r="T111" s="140">
        <v>1</v>
      </c>
      <c r="U111" s="140">
        <v>50</v>
      </c>
      <c r="V111" s="139" t="s">
        <v>662</v>
      </c>
      <c r="W111" s="139" t="s">
        <v>663</v>
      </c>
      <c r="X111" s="139" t="s">
        <v>664</v>
      </c>
      <c r="Y111" s="139" t="s">
        <v>665</v>
      </c>
      <c r="Z111" s="139" t="s">
        <v>666</v>
      </c>
      <c r="AA111" s="139" t="s">
        <v>667</v>
      </c>
      <c r="AB111" s="139" t="s">
        <v>662</v>
      </c>
      <c r="AC111" s="139" t="s">
        <v>663</v>
      </c>
      <c r="AD111" s="139" t="s">
        <v>664</v>
      </c>
      <c r="AE111" s="139" t="s">
        <v>665</v>
      </c>
      <c r="AF111" s="139" t="s">
        <v>666</v>
      </c>
      <c r="AG111" s="139" t="s">
        <v>667</v>
      </c>
      <c r="AH111" s="139" t="s">
        <v>592</v>
      </c>
      <c r="AI111" s="139" t="s">
        <v>429</v>
      </c>
      <c r="AJ111" s="140">
        <v>1311123.94</v>
      </c>
      <c r="AK111" s="139" t="s">
        <v>662</v>
      </c>
      <c r="AL111" s="139" t="s">
        <v>663</v>
      </c>
      <c r="AM111" s="139" t="s">
        <v>664</v>
      </c>
      <c r="AN111" s="139" t="s">
        <v>665</v>
      </c>
      <c r="AO111" s="139" t="s">
        <v>666</v>
      </c>
      <c r="AP111" s="139" t="s">
        <v>667</v>
      </c>
      <c r="AQ111" s="139" t="s">
        <v>592</v>
      </c>
      <c r="AR111" s="139" t="s">
        <v>429</v>
      </c>
      <c r="AS111" s="139" t="s">
        <v>429</v>
      </c>
      <c r="AT111" s="139" t="s">
        <v>593</v>
      </c>
      <c r="AU111" s="139" t="s">
        <v>437</v>
      </c>
      <c r="AV111" s="140">
        <v>2</v>
      </c>
      <c r="AW111" s="139" t="s">
        <v>594</v>
      </c>
      <c r="AX111" s="139" t="s">
        <v>595</v>
      </c>
      <c r="AY111" s="139" t="s">
        <v>722</v>
      </c>
      <c r="AZ111" s="140">
        <v>1</v>
      </c>
      <c r="BA111" s="139" t="s">
        <v>597</v>
      </c>
      <c r="BB111" s="140">
        <v>15000</v>
      </c>
      <c r="BC111" s="140">
        <v>1288785</v>
      </c>
      <c r="BD111" s="140">
        <v>16395.87</v>
      </c>
      <c r="BE111" s="140">
        <v>85.918999999999997</v>
      </c>
      <c r="BF111" s="139" t="s">
        <v>880</v>
      </c>
      <c r="BG111" s="139" t="s">
        <v>583</v>
      </c>
      <c r="BH111" s="139" t="s">
        <v>924</v>
      </c>
      <c r="BI111" s="139" t="s">
        <v>598</v>
      </c>
      <c r="BJ111" s="139" t="s">
        <v>599</v>
      </c>
      <c r="BK111" s="139" t="s">
        <v>583</v>
      </c>
      <c r="BL111" s="139" t="s">
        <v>583</v>
      </c>
      <c r="BM111" s="139" t="s">
        <v>583</v>
      </c>
      <c r="BN111" s="139" t="s">
        <v>842</v>
      </c>
      <c r="BO111" s="139" t="s">
        <v>843</v>
      </c>
      <c r="BP111" s="139" t="s">
        <v>925</v>
      </c>
      <c r="BQ111" s="139" t="s">
        <v>723</v>
      </c>
      <c r="BR111" s="140">
        <v>1</v>
      </c>
      <c r="BS111" s="139" t="s">
        <v>724</v>
      </c>
      <c r="BT111" s="99">
        <f t="shared" si="6"/>
        <v>1</v>
      </c>
      <c r="BU111" s="99">
        <f t="shared" si="6"/>
        <v>0</v>
      </c>
      <c r="BV111" s="99">
        <f t="shared" si="4"/>
        <v>1</v>
      </c>
      <c r="BW111" s="139" t="s">
        <v>725</v>
      </c>
      <c r="BX111" s="139" t="s">
        <v>1311</v>
      </c>
      <c r="BY111" s="140">
        <v>50</v>
      </c>
      <c r="BZ111" s="140"/>
      <c r="CA111" s="99">
        <v>10000</v>
      </c>
      <c r="CB111" s="140" t="s">
        <v>603</v>
      </c>
      <c r="CC111" s="140"/>
      <c r="CD111" s="140"/>
      <c r="CE111" s="139" t="s">
        <v>577</v>
      </c>
      <c r="CF111" s="139" t="s">
        <v>604</v>
      </c>
      <c r="CG111" s="139" t="s">
        <v>583</v>
      </c>
      <c r="CH111" s="139" t="s">
        <v>583</v>
      </c>
      <c r="CI111" s="139" t="s">
        <v>592</v>
      </c>
      <c r="CJ111" s="140">
        <v>1050</v>
      </c>
      <c r="CK111" s="140" t="s">
        <v>605</v>
      </c>
      <c r="CL111" s="140">
        <v>4000000</v>
      </c>
      <c r="CM111" s="99">
        <v>1000</v>
      </c>
      <c r="CN111" s="140"/>
      <c r="CO111" s="139" t="s">
        <v>583</v>
      </c>
      <c r="CP111" s="139" t="s">
        <v>583</v>
      </c>
      <c r="CQ111" s="140">
        <v>15000</v>
      </c>
      <c r="CR111" s="140">
        <v>1288785</v>
      </c>
      <c r="CS111" s="140">
        <v>0</v>
      </c>
      <c r="CT111" s="140">
        <v>1</v>
      </c>
      <c r="CU111" s="140">
        <v>1311123.94</v>
      </c>
      <c r="CV111" s="99">
        <v>16395.87</v>
      </c>
      <c r="CW111" s="139" t="s">
        <v>606</v>
      </c>
      <c r="CX111" s="140">
        <v>16.395900000000001</v>
      </c>
      <c r="CY111" s="140"/>
      <c r="CZ111" s="140"/>
      <c r="DA111" s="140" t="s">
        <v>926</v>
      </c>
      <c r="DB111" s="140">
        <v>21</v>
      </c>
      <c r="DC111" s="140"/>
    </row>
    <row r="112" spans="2:107" ht="11.25" customHeight="1" x14ac:dyDescent="0.15">
      <c r="B112" s="139" t="s">
        <v>577</v>
      </c>
      <c r="C112" s="140" t="s">
        <v>1304</v>
      </c>
      <c r="D112" s="140">
        <v>5</v>
      </c>
      <c r="E112" s="139" t="s">
        <v>1312</v>
      </c>
      <c r="F112" s="139" t="s">
        <v>580</v>
      </c>
      <c r="G112" s="140" t="s">
        <v>1304</v>
      </c>
      <c r="H112" s="139" t="s">
        <v>1313</v>
      </c>
      <c r="I112" s="140" t="s">
        <v>421</v>
      </c>
      <c r="J112" s="139" t="s">
        <v>582</v>
      </c>
      <c r="K112" s="139" t="s">
        <v>583</v>
      </c>
      <c r="L112" s="139" t="s">
        <v>583</v>
      </c>
      <c r="M112" s="139" t="s">
        <v>583</v>
      </c>
      <c r="N112" s="139" t="s">
        <v>584</v>
      </c>
      <c r="O112" s="139" t="s">
        <v>957</v>
      </c>
      <c r="P112" s="139" t="s">
        <v>583</v>
      </c>
      <c r="Q112" s="139" t="s">
        <v>583</v>
      </c>
      <c r="R112" s="140">
        <v>1</v>
      </c>
      <c r="S112" s="140">
        <v>0</v>
      </c>
      <c r="T112" s="140">
        <v>1</v>
      </c>
      <c r="U112" s="140">
        <v>546</v>
      </c>
      <c r="V112" s="139" t="s">
        <v>586</v>
      </c>
      <c r="W112" s="139" t="s">
        <v>587</v>
      </c>
      <c r="X112" s="139" t="s">
        <v>588</v>
      </c>
      <c r="Y112" s="139" t="s">
        <v>589</v>
      </c>
      <c r="Z112" s="139" t="s">
        <v>590</v>
      </c>
      <c r="AA112" s="139" t="s">
        <v>591</v>
      </c>
      <c r="AB112" s="139" t="s">
        <v>586</v>
      </c>
      <c r="AC112" s="139" t="s">
        <v>587</v>
      </c>
      <c r="AD112" s="139" t="s">
        <v>588</v>
      </c>
      <c r="AE112" s="139" t="s">
        <v>589</v>
      </c>
      <c r="AF112" s="139" t="s">
        <v>590</v>
      </c>
      <c r="AG112" s="139" t="s">
        <v>591</v>
      </c>
      <c r="AH112" s="139" t="s">
        <v>592</v>
      </c>
      <c r="AI112" s="139" t="s">
        <v>429</v>
      </c>
      <c r="AJ112" s="140">
        <v>11981404.550000001</v>
      </c>
      <c r="AK112" s="139" t="s">
        <v>586</v>
      </c>
      <c r="AL112" s="139" t="s">
        <v>587</v>
      </c>
      <c r="AM112" s="139" t="s">
        <v>588</v>
      </c>
      <c r="AN112" s="139" t="s">
        <v>589</v>
      </c>
      <c r="AO112" s="139" t="s">
        <v>590</v>
      </c>
      <c r="AP112" s="139" t="s">
        <v>591</v>
      </c>
      <c r="AQ112" s="139" t="s">
        <v>592</v>
      </c>
      <c r="AR112" s="139" t="s">
        <v>429</v>
      </c>
      <c r="AS112" s="139" t="s">
        <v>429</v>
      </c>
      <c r="AT112" s="139" t="s">
        <v>593</v>
      </c>
      <c r="AU112" s="139" t="s">
        <v>437</v>
      </c>
      <c r="AV112" s="140">
        <v>2</v>
      </c>
      <c r="AW112" s="139" t="s">
        <v>594</v>
      </c>
      <c r="AX112" s="139" t="s">
        <v>595</v>
      </c>
      <c r="AY112" s="139" t="s">
        <v>596</v>
      </c>
      <c r="AZ112" s="140">
        <v>1</v>
      </c>
      <c r="BA112" s="139" t="s">
        <v>597</v>
      </c>
      <c r="BB112" s="140">
        <v>136500</v>
      </c>
      <c r="BC112" s="140">
        <v>11727944</v>
      </c>
      <c r="BD112" s="140">
        <v>149829.92000000001</v>
      </c>
      <c r="BE112" s="140">
        <v>85.918999999999997</v>
      </c>
      <c r="BF112" s="139" t="s">
        <v>880</v>
      </c>
      <c r="BG112" s="139" t="s">
        <v>583</v>
      </c>
      <c r="BH112" s="139" t="s">
        <v>958</v>
      </c>
      <c r="BI112" s="139" t="s">
        <v>598</v>
      </c>
      <c r="BJ112" s="139" t="s">
        <v>599</v>
      </c>
      <c r="BK112" s="139" t="s">
        <v>583</v>
      </c>
      <c r="BL112" s="139" t="s">
        <v>583</v>
      </c>
      <c r="BM112" s="139" t="s">
        <v>583</v>
      </c>
      <c r="BN112" s="139" t="s">
        <v>853</v>
      </c>
      <c r="BO112" s="139" t="s">
        <v>854</v>
      </c>
      <c r="BP112" s="139" t="s">
        <v>959</v>
      </c>
      <c r="BQ112" s="139" t="s">
        <v>600</v>
      </c>
      <c r="BR112" s="140">
        <v>1</v>
      </c>
      <c r="BS112" s="139" t="s">
        <v>601</v>
      </c>
      <c r="BT112" s="99">
        <f t="shared" si="6"/>
        <v>0</v>
      </c>
      <c r="BU112" s="99">
        <f t="shared" si="6"/>
        <v>1</v>
      </c>
      <c r="BV112" s="99">
        <f t="shared" si="4"/>
        <v>1</v>
      </c>
      <c r="BW112" s="139" t="s">
        <v>602</v>
      </c>
      <c r="BX112" s="139" t="s">
        <v>584</v>
      </c>
      <c r="BY112" s="140">
        <v>546</v>
      </c>
      <c r="BZ112" s="140">
        <v>0</v>
      </c>
      <c r="CA112" s="99">
        <v>109200</v>
      </c>
      <c r="CB112" s="140" t="s">
        <v>603</v>
      </c>
      <c r="CC112" s="140">
        <v>0</v>
      </c>
      <c r="CD112" s="140"/>
      <c r="CE112" s="139" t="s">
        <v>577</v>
      </c>
      <c r="CF112" s="139" t="s">
        <v>604</v>
      </c>
      <c r="CG112" s="139" t="s">
        <v>583</v>
      </c>
      <c r="CH112" s="139" t="s">
        <v>583</v>
      </c>
      <c r="CI112" s="139" t="s">
        <v>592</v>
      </c>
      <c r="CJ112" s="140">
        <v>12012</v>
      </c>
      <c r="CK112" s="140" t="s">
        <v>605</v>
      </c>
      <c r="CL112" s="140">
        <v>4000000</v>
      </c>
      <c r="CM112" s="99">
        <v>11466</v>
      </c>
      <c r="CN112" s="140">
        <v>0</v>
      </c>
      <c r="CO112" s="139" t="s">
        <v>583</v>
      </c>
      <c r="CP112" s="139" t="s">
        <v>583</v>
      </c>
      <c r="CQ112" s="140">
        <v>136500</v>
      </c>
      <c r="CR112" s="140">
        <v>11727944</v>
      </c>
      <c r="CS112" s="140">
        <v>0</v>
      </c>
      <c r="CT112" s="140">
        <v>1</v>
      </c>
      <c r="CU112" s="140">
        <v>11981404.550000001</v>
      </c>
      <c r="CV112" s="99">
        <v>149829.92000000001</v>
      </c>
      <c r="CW112" s="139" t="s">
        <v>606</v>
      </c>
      <c r="CX112" s="140">
        <v>13.067299999999999</v>
      </c>
      <c r="CY112" s="140"/>
      <c r="CZ112" s="140"/>
      <c r="DA112" s="140" t="s">
        <v>856</v>
      </c>
      <c r="DB112" s="140">
        <v>1561</v>
      </c>
      <c r="DC112" s="140"/>
    </row>
    <row r="113" spans="2:107" ht="11.25" customHeight="1" x14ac:dyDescent="0.15">
      <c r="B113" s="139" t="s">
        <v>577</v>
      </c>
      <c r="C113" s="140" t="s">
        <v>1304</v>
      </c>
      <c r="D113" s="140">
        <v>5</v>
      </c>
      <c r="E113" s="139" t="s">
        <v>1314</v>
      </c>
      <c r="F113" s="139" t="s">
        <v>580</v>
      </c>
      <c r="G113" s="140" t="s">
        <v>1304</v>
      </c>
      <c r="H113" s="139" t="s">
        <v>1315</v>
      </c>
      <c r="I113" s="140" t="s">
        <v>421</v>
      </c>
      <c r="J113" s="139" t="s">
        <v>582</v>
      </c>
      <c r="K113" s="139" t="s">
        <v>583</v>
      </c>
      <c r="L113" s="139" t="s">
        <v>583</v>
      </c>
      <c r="M113" s="139" t="s">
        <v>583</v>
      </c>
      <c r="N113" s="139" t="s">
        <v>757</v>
      </c>
      <c r="O113" s="139" t="s">
        <v>1316</v>
      </c>
      <c r="P113" s="139" t="s">
        <v>583</v>
      </c>
      <c r="Q113" s="139" t="s">
        <v>583</v>
      </c>
      <c r="R113" s="140">
        <v>1</v>
      </c>
      <c r="S113" s="140">
        <v>0</v>
      </c>
      <c r="T113" s="140">
        <v>1</v>
      </c>
      <c r="U113" s="140">
        <v>4</v>
      </c>
      <c r="V113" s="139" t="s">
        <v>835</v>
      </c>
      <c r="W113" s="139" t="s">
        <v>836</v>
      </c>
      <c r="X113" s="139" t="s">
        <v>837</v>
      </c>
      <c r="Y113" s="139" t="s">
        <v>838</v>
      </c>
      <c r="Z113" s="139" t="s">
        <v>590</v>
      </c>
      <c r="AA113" s="139" t="s">
        <v>839</v>
      </c>
      <c r="AB113" s="139" t="s">
        <v>835</v>
      </c>
      <c r="AC113" s="139" t="s">
        <v>836</v>
      </c>
      <c r="AD113" s="139" t="s">
        <v>837</v>
      </c>
      <c r="AE113" s="139" t="s">
        <v>838</v>
      </c>
      <c r="AF113" s="139" t="s">
        <v>590</v>
      </c>
      <c r="AG113" s="139" t="s">
        <v>839</v>
      </c>
      <c r="AH113" s="139" t="s">
        <v>759</v>
      </c>
      <c r="AI113" s="139" t="s">
        <v>434</v>
      </c>
      <c r="AJ113" s="140">
        <v>3124014.84</v>
      </c>
      <c r="AK113" s="139" t="s">
        <v>835</v>
      </c>
      <c r="AL113" s="139" t="s">
        <v>836</v>
      </c>
      <c r="AM113" s="139" t="s">
        <v>837</v>
      </c>
      <c r="AN113" s="139" t="s">
        <v>838</v>
      </c>
      <c r="AO113" s="139" t="s">
        <v>590</v>
      </c>
      <c r="AP113" s="139" t="s">
        <v>839</v>
      </c>
      <c r="AQ113" s="139" t="s">
        <v>759</v>
      </c>
      <c r="AR113" s="139" t="s">
        <v>434</v>
      </c>
      <c r="AS113" s="139" t="s">
        <v>434</v>
      </c>
      <c r="AT113" s="139" t="s">
        <v>593</v>
      </c>
      <c r="AU113" s="139" t="s">
        <v>437</v>
      </c>
      <c r="AV113" s="140">
        <v>2</v>
      </c>
      <c r="AW113" s="139" t="s">
        <v>594</v>
      </c>
      <c r="AX113" s="139" t="s">
        <v>595</v>
      </c>
      <c r="AY113" s="139" t="s">
        <v>840</v>
      </c>
      <c r="AZ113" s="140">
        <v>1</v>
      </c>
      <c r="BA113" s="139" t="s">
        <v>597</v>
      </c>
      <c r="BB113" s="140">
        <v>35200</v>
      </c>
      <c r="BC113" s="140">
        <v>3024349</v>
      </c>
      <c r="BD113" s="140">
        <v>39066.449999999997</v>
      </c>
      <c r="BE113" s="140">
        <v>85.918999999999997</v>
      </c>
      <c r="BF113" s="139" t="s">
        <v>880</v>
      </c>
      <c r="BG113" s="139" t="s">
        <v>863</v>
      </c>
      <c r="BH113" s="139" t="s">
        <v>841</v>
      </c>
      <c r="BI113" s="139" t="s">
        <v>598</v>
      </c>
      <c r="BJ113" s="139" t="s">
        <v>599</v>
      </c>
      <c r="BK113" s="139" t="s">
        <v>583</v>
      </c>
      <c r="BL113" s="139" t="s">
        <v>583</v>
      </c>
      <c r="BM113" s="139" t="s">
        <v>583</v>
      </c>
      <c r="BN113" s="139" t="s">
        <v>842</v>
      </c>
      <c r="BO113" s="139" t="s">
        <v>843</v>
      </c>
      <c r="BP113" s="139" t="s">
        <v>925</v>
      </c>
      <c r="BQ113" s="139" t="s">
        <v>723</v>
      </c>
      <c r="BR113" s="140">
        <v>1</v>
      </c>
      <c r="BS113" s="139" t="s">
        <v>1317</v>
      </c>
      <c r="BT113" s="99">
        <f t="shared" si="6"/>
        <v>1</v>
      </c>
      <c r="BU113" s="99">
        <f t="shared" si="6"/>
        <v>0</v>
      </c>
      <c r="BV113" s="99">
        <f t="shared" si="4"/>
        <v>1</v>
      </c>
      <c r="BW113" s="139" t="s">
        <v>602</v>
      </c>
      <c r="BX113" s="139" t="s">
        <v>845</v>
      </c>
      <c r="BY113" s="140">
        <v>4</v>
      </c>
      <c r="BZ113" s="140">
        <v>0</v>
      </c>
      <c r="CA113" s="99">
        <v>22000</v>
      </c>
      <c r="CB113" s="140" t="s">
        <v>603</v>
      </c>
      <c r="CC113" s="140">
        <v>0</v>
      </c>
      <c r="CD113" s="140"/>
      <c r="CE113" s="139" t="s">
        <v>577</v>
      </c>
      <c r="CF113" s="139" t="s">
        <v>604</v>
      </c>
      <c r="CG113" s="139" t="s">
        <v>583</v>
      </c>
      <c r="CH113" s="139" t="s">
        <v>583</v>
      </c>
      <c r="CI113" s="139" t="s">
        <v>759</v>
      </c>
      <c r="CJ113" s="140">
        <v>2310</v>
      </c>
      <c r="CK113" s="140" t="s">
        <v>605</v>
      </c>
      <c r="CL113" s="140">
        <v>4000000</v>
      </c>
      <c r="CM113" s="99">
        <v>2145</v>
      </c>
      <c r="CN113" s="140">
        <v>0</v>
      </c>
      <c r="CO113" s="139" t="s">
        <v>583</v>
      </c>
      <c r="CP113" s="139" t="s">
        <v>583</v>
      </c>
      <c r="CQ113" s="140">
        <v>35200</v>
      </c>
      <c r="CR113" s="140">
        <v>3024349</v>
      </c>
      <c r="CS113" s="140">
        <v>0</v>
      </c>
      <c r="CT113" s="140">
        <v>1</v>
      </c>
      <c r="CU113" s="140">
        <v>3124014.84</v>
      </c>
      <c r="CV113" s="99">
        <v>39066.449999999997</v>
      </c>
      <c r="CW113" s="139" t="s">
        <v>606</v>
      </c>
      <c r="CX113" s="140">
        <v>18.212800000000001</v>
      </c>
      <c r="CY113" s="140"/>
      <c r="CZ113" s="140"/>
      <c r="DA113" s="140" t="s">
        <v>846</v>
      </c>
      <c r="DB113" s="140">
        <v>1176</v>
      </c>
      <c r="DC113" s="140"/>
    </row>
    <row r="114" spans="2:107" ht="11.25" customHeight="1" x14ac:dyDescent="0.15">
      <c r="B114" s="139" t="s">
        <v>577</v>
      </c>
      <c r="C114" s="140" t="s">
        <v>1304</v>
      </c>
      <c r="D114" s="140">
        <v>5</v>
      </c>
      <c r="E114" s="139" t="s">
        <v>1318</v>
      </c>
      <c r="F114" s="139" t="s">
        <v>580</v>
      </c>
      <c r="G114" s="140" t="s">
        <v>1304</v>
      </c>
      <c r="H114" s="139" t="s">
        <v>1319</v>
      </c>
      <c r="I114" s="140" t="s">
        <v>421</v>
      </c>
      <c r="J114" s="139" t="s">
        <v>582</v>
      </c>
      <c r="K114" s="139" t="s">
        <v>583</v>
      </c>
      <c r="L114" s="139" t="s">
        <v>583</v>
      </c>
      <c r="M114" s="139" t="s">
        <v>583</v>
      </c>
      <c r="N114" s="139" t="s">
        <v>757</v>
      </c>
      <c r="O114" s="139" t="s">
        <v>1316</v>
      </c>
      <c r="P114" s="139" t="s">
        <v>583</v>
      </c>
      <c r="Q114" s="139" t="s">
        <v>583</v>
      </c>
      <c r="R114" s="140">
        <v>1</v>
      </c>
      <c r="S114" s="140">
        <v>0</v>
      </c>
      <c r="T114" s="140">
        <v>1</v>
      </c>
      <c r="U114" s="140">
        <v>1</v>
      </c>
      <c r="V114" s="139" t="s">
        <v>859</v>
      </c>
      <c r="W114" s="139" t="s">
        <v>860</v>
      </c>
      <c r="X114" s="139" t="s">
        <v>861</v>
      </c>
      <c r="Y114" s="139" t="s">
        <v>862</v>
      </c>
      <c r="Z114" s="139" t="s">
        <v>590</v>
      </c>
      <c r="AA114" s="139" t="s">
        <v>839</v>
      </c>
      <c r="AB114" s="139" t="s">
        <v>859</v>
      </c>
      <c r="AC114" s="139" t="s">
        <v>860</v>
      </c>
      <c r="AD114" s="139" t="s">
        <v>861</v>
      </c>
      <c r="AE114" s="139" t="s">
        <v>862</v>
      </c>
      <c r="AF114" s="139" t="s">
        <v>590</v>
      </c>
      <c r="AG114" s="139" t="s">
        <v>839</v>
      </c>
      <c r="AH114" s="139" t="s">
        <v>759</v>
      </c>
      <c r="AI114" s="139" t="s">
        <v>434</v>
      </c>
      <c r="AJ114" s="140">
        <v>826540.78</v>
      </c>
      <c r="AK114" s="139" t="s">
        <v>859</v>
      </c>
      <c r="AL114" s="139" t="s">
        <v>860</v>
      </c>
      <c r="AM114" s="139" t="s">
        <v>861</v>
      </c>
      <c r="AN114" s="139" t="s">
        <v>862</v>
      </c>
      <c r="AO114" s="139" t="s">
        <v>590</v>
      </c>
      <c r="AP114" s="139" t="s">
        <v>839</v>
      </c>
      <c r="AQ114" s="139" t="s">
        <v>759</v>
      </c>
      <c r="AR114" s="139" t="s">
        <v>434</v>
      </c>
      <c r="AS114" s="139" t="s">
        <v>434</v>
      </c>
      <c r="AT114" s="139" t="s">
        <v>593</v>
      </c>
      <c r="AU114" s="139" t="s">
        <v>437</v>
      </c>
      <c r="AV114" s="140">
        <v>2</v>
      </c>
      <c r="AW114" s="139" t="s">
        <v>594</v>
      </c>
      <c r="AX114" s="139" t="s">
        <v>595</v>
      </c>
      <c r="AY114" s="139" t="s">
        <v>840</v>
      </c>
      <c r="AZ114" s="140">
        <v>1</v>
      </c>
      <c r="BA114" s="139" t="s">
        <v>597</v>
      </c>
      <c r="BB114" s="140">
        <v>9300</v>
      </c>
      <c r="BC114" s="140">
        <v>799047</v>
      </c>
      <c r="BD114" s="140">
        <v>10336.06</v>
      </c>
      <c r="BE114" s="140">
        <v>85.918999999999997</v>
      </c>
      <c r="BF114" s="139" t="s">
        <v>880</v>
      </c>
      <c r="BG114" s="139" t="s">
        <v>863</v>
      </c>
      <c r="BH114" s="139" t="s">
        <v>1122</v>
      </c>
      <c r="BI114" s="139" t="s">
        <v>598</v>
      </c>
      <c r="BJ114" s="139" t="s">
        <v>599</v>
      </c>
      <c r="BK114" s="139" t="s">
        <v>583</v>
      </c>
      <c r="BL114" s="139" t="s">
        <v>583</v>
      </c>
      <c r="BM114" s="139" t="s">
        <v>583</v>
      </c>
      <c r="BN114" s="139" t="s">
        <v>842</v>
      </c>
      <c r="BO114" s="139" t="s">
        <v>843</v>
      </c>
      <c r="BP114" s="139" t="s">
        <v>925</v>
      </c>
      <c r="BQ114" s="139" t="s">
        <v>723</v>
      </c>
      <c r="BR114" s="140">
        <v>1</v>
      </c>
      <c r="BS114" s="139" t="s">
        <v>864</v>
      </c>
      <c r="BT114" s="99">
        <f t="shared" si="6"/>
        <v>1</v>
      </c>
      <c r="BU114" s="99">
        <f t="shared" si="6"/>
        <v>0</v>
      </c>
      <c r="BV114" s="99">
        <f t="shared" si="4"/>
        <v>1</v>
      </c>
      <c r="BW114" s="139" t="s">
        <v>602</v>
      </c>
      <c r="BX114" s="139" t="s">
        <v>1124</v>
      </c>
      <c r="BY114" s="140">
        <v>1</v>
      </c>
      <c r="BZ114" s="140">
        <v>0</v>
      </c>
      <c r="CA114" s="99">
        <v>6000</v>
      </c>
      <c r="CB114" s="140" t="s">
        <v>603</v>
      </c>
      <c r="CC114" s="140">
        <v>0</v>
      </c>
      <c r="CD114" s="140"/>
      <c r="CE114" s="139" t="s">
        <v>577</v>
      </c>
      <c r="CF114" s="139" t="s">
        <v>604</v>
      </c>
      <c r="CG114" s="139" t="s">
        <v>583</v>
      </c>
      <c r="CH114" s="139" t="s">
        <v>583</v>
      </c>
      <c r="CI114" s="139" t="s">
        <v>759</v>
      </c>
      <c r="CJ114" s="140">
        <v>630</v>
      </c>
      <c r="CK114" s="140" t="s">
        <v>605</v>
      </c>
      <c r="CL114" s="140">
        <v>4000000</v>
      </c>
      <c r="CM114" s="99">
        <v>585</v>
      </c>
      <c r="CN114" s="140">
        <v>0</v>
      </c>
      <c r="CO114" s="139" t="s">
        <v>583</v>
      </c>
      <c r="CP114" s="139" t="s">
        <v>583</v>
      </c>
      <c r="CQ114" s="140">
        <v>9300</v>
      </c>
      <c r="CR114" s="140">
        <v>799047</v>
      </c>
      <c r="CS114" s="140">
        <v>0</v>
      </c>
      <c r="CT114" s="140">
        <v>1</v>
      </c>
      <c r="CU114" s="140">
        <v>826540.78</v>
      </c>
      <c r="CV114" s="99">
        <v>10336.06</v>
      </c>
      <c r="CW114" s="139" t="s">
        <v>606</v>
      </c>
      <c r="CX114" s="140">
        <v>17.668500000000002</v>
      </c>
      <c r="CY114" s="140">
        <v>1535</v>
      </c>
      <c r="CZ114" s="140" t="s">
        <v>1118</v>
      </c>
      <c r="DA114" s="140" t="s">
        <v>1119</v>
      </c>
      <c r="DB114" s="140">
        <v>1060</v>
      </c>
      <c r="DC114" s="140"/>
    </row>
    <row r="115" spans="2:107" ht="11.25" customHeight="1" x14ac:dyDescent="0.15">
      <c r="B115" s="139" t="s">
        <v>577</v>
      </c>
      <c r="C115" s="140" t="s">
        <v>1304</v>
      </c>
      <c r="D115" s="140">
        <v>5</v>
      </c>
      <c r="E115" s="139" t="s">
        <v>1320</v>
      </c>
      <c r="F115" s="139" t="s">
        <v>580</v>
      </c>
      <c r="G115" s="140" t="s">
        <v>1304</v>
      </c>
      <c r="H115" s="139" t="s">
        <v>1321</v>
      </c>
      <c r="I115" s="140" t="s">
        <v>421</v>
      </c>
      <c r="J115" s="139" t="s">
        <v>582</v>
      </c>
      <c r="K115" s="139" t="s">
        <v>583</v>
      </c>
      <c r="L115" s="139" t="s">
        <v>583</v>
      </c>
      <c r="M115" s="139" t="s">
        <v>583</v>
      </c>
      <c r="N115" s="139" t="s">
        <v>720</v>
      </c>
      <c r="O115" s="139" t="s">
        <v>1310</v>
      </c>
      <c r="P115" s="139" t="s">
        <v>583</v>
      </c>
      <c r="Q115" s="139" t="s">
        <v>583</v>
      </c>
      <c r="R115" s="140">
        <v>1</v>
      </c>
      <c r="S115" s="140">
        <v>0</v>
      </c>
      <c r="T115" s="140">
        <v>1</v>
      </c>
      <c r="U115" s="140">
        <v>30</v>
      </c>
      <c r="V115" s="139" t="s">
        <v>859</v>
      </c>
      <c r="W115" s="139" t="s">
        <v>860</v>
      </c>
      <c r="X115" s="139" t="s">
        <v>861</v>
      </c>
      <c r="Y115" s="139" t="s">
        <v>862</v>
      </c>
      <c r="Z115" s="139" t="s">
        <v>590</v>
      </c>
      <c r="AA115" s="139" t="s">
        <v>839</v>
      </c>
      <c r="AB115" s="139" t="s">
        <v>859</v>
      </c>
      <c r="AC115" s="139" t="s">
        <v>860</v>
      </c>
      <c r="AD115" s="139" t="s">
        <v>861</v>
      </c>
      <c r="AE115" s="139" t="s">
        <v>862</v>
      </c>
      <c r="AF115" s="139" t="s">
        <v>590</v>
      </c>
      <c r="AG115" s="139" t="s">
        <v>839</v>
      </c>
      <c r="AH115" s="139" t="s">
        <v>592</v>
      </c>
      <c r="AI115" s="139" t="s">
        <v>429</v>
      </c>
      <c r="AJ115" s="140">
        <v>757805.58</v>
      </c>
      <c r="AK115" s="139" t="s">
        <v>859</v>
      </c>
      <c r="AL115" s="139" t="s">
        <v>860</v>
      </c>
      <c r="AM115" s="139" t="s">
        <v>861</v>
      </c>
      <c r="AN115" s="139" t="s">
        <v>862</v>
      </c>
      <c r="AO115" s="139" t="s">
        <v>590</v>
      </c>
      <c r="AP115" s="139" t="s">
        <v>839</v>
      </c>
      <c r="AQ115" s="139" t="s">
        <v>592</v>
      </c>
      <c r="AR115" s="139" t="s">
        <v>429</v>
      </c>
      <c r="AS115" s="139" t="s">
        <v>429</v>
      </c>
      <c r="AT115" s="139" t="s">
        <v>593</v>
      </c>
      <c r="AU115" s="139" t="s">
        <v>437</v>
      </c>
      <c r="AV115" s="140">
        <v>2</v>
      </c>
      <c r="AW115" s="139" t="s">
        <v>594</v>
      </c>
      <c r="AX115" s="139" t="s">
        <v>595</v>
      </c>
      <c r="AY115" s="139" t="s">
        <v>722</v>
      </c>
      <c r="AZ115" s="140">
        <v>1</v>
      </c>
      <c r="BA115" s="139" t="s">
        <v>597</v>
      </c>
      <c r="BB115" s="140">
        <v>8400</v>
      </c>
      <c r="BC115" s="140">
        <v>721720</v>
      </c>
      <c r="BD115" s="140">
        <v>9476.51</v>
      </c>
      <c r="BE115" s="140">
        <v>85.918999999999997</v>
      </c>
      <c r="BF115" s="139" t="s">
        <v>880</v>
      </c>
      <c r="BG115" s="139" t="s">
        <v>583</v>
      </c>
      <c r="BH115" s="139" t="s">
        <v>1116</v>
      </c>
      <c r="BI115" s="139" t="s">
        <v>598</v>
      </c>
      <c r="BJ115" s="139" t="s">
        <v>599</v>
      </c>
      <c r="BK115" s="139" t="s">
        <v>583</v>
      </c>
      <c r="BL115" s="139" t="s">
        <v>583</v>
      </c>
      <c r="BM115" s="139" t="s">
        <v>583</v>
      </c>
      <c r="BN115" s="139" t="s">
        <v>842</v>
      </c>
      <c r="BO115" s="139" t="s">
        <v>843</v>
      </c>
      <c r="BP115" s="139" t="s">
        <v>925</v>
      </c>
      <c r="BQ115" s="139" t="s">
        <v>723</v>
      </c>
      <c r="BR115" s="140">
        <v>1</v>
      </c>
      <c r="BS115" s="139" t="s">
        <v>724</v>
      </c>
      <c r="BT115" s="99">
        <f t="shared" si="6"/>
        <v>1</v>
      </c>
      <c r="BU115" s="99">
        <f t="shared" si="6"/>
        <v>0</v>
      </c>
      <c r="BV115" s="99">
        <f t="shared" si="4"/>
        <v>1</v>
      </c>
      <c r="BW115" s="139" t="s">
        <v>725</v>
      </c>
      <c r="BX115" s="139" t="s">
        <v>1117</v>
      </c>
      <c r="BY115" s="140">
        <v>30</v>
      </c>
      <c r="BZ115" s="140">
        <v>0</v>
      </c>
      <c r="CA115" s="99">
        <v>6000</v>
      </c>
      <c r="CB115" s="140" t="s">
        <v>603</v>
      </c>
      <c r="CC115" s="140">
        <v>0</v>
      </c>
      <c r="CD115" s="140"/>
      <c r="CE115" s="139" t="s">
        <v>577</v>
      </c>
      <c r="CF115" s="139" t="s">
        <v>604</v>
      </c>
      <c r="CG115" s="139" t="s">
        <v>583</v>
      </c>
      <c r="CH115" s="139" t="s">
        <v>583</v>
      </c>
      <c r="CI115" s="139" t="s">
        <v>592</v>
      </c>
      <c r="CJ115" s="140">
        <v>630</v>
      </c>
      <c r="CK115" s="140" t="s">
        <v>605</v>
      </c>
      <c r="CL115" s="140">
        <v>4000000</v>
      </c>
      <c r="CM115" s="99">
        <v>600</v>
      </c>
      <c r="CN115" s="140">
        <v>0</v>
      </c>
      <c r="CO115" s="139" t="s">
        <v>583</v>
      </c>
      <c r="CP115" s="139" t="s">
        <v>583</v>
      </c>
      <c r="CQ115" s="140">
        <v>8400</v>
      </c>
      <c r="CR115" s="140">
        <v>721720</v>
      </c>
      <c r="CS115" s="140">
        <v>0</v>
      </c>
      <c r="CT115" s="140">
        <v>1</v>
      </c>
      <c r="CU115" s="140">
        <v>757805.58</v>
      </c>
      <c r="CV115" s="99">
        <v>9476.51</v>
      </c>
      <c r="CW115" s="139" t="s">
        <v>606</v>
      </c>
      <c r="CX115" s="140">
        <v>15.7942</v>
      </c>
      <c r="CY115" s="140">
        <v>1535</v>
      </c>
      <c r="CZ115" s="140" t="s">
        <v>1118</v>
      </c>
      <c r="DA115" s="140" t="s">
        <v>1119</v>
      </c>
      <c r="DB115" s="140">
        <v>1053</v>
      </c>
      <c r="DC115" s="140"/>
    </row>
    <row r="116" spans="2:107" ht="11.25" customHeight="1" x14ac:dyDescent="0.15">
      <c r="B116" s="139" t="s">
        <v>577</v>
      </c>
      <c r="C116" s="140" t="s">
        <v>1322</v>
      </c>
      <c r="D116" s="140">
        <v>5</v>
      </c>
      <c r="E116" s="139" t="s">
        <v>1323</v>
      </c>
      <c r="F116" s="139" t="s">
        <v>729</v>
      </c>
      <c r="G116" s="140" t="s">
        <v>1322</v>
      </c>
      <c r="H116" s="139" t="s">
        <v>1324</v>
      </c>
      <c r="I116" s="140" t="s">
        <v>421</v>
      </c>
      <c r="J116" s="139" t="s">
        <v>582</v>
      </c>
      <c r="K116" s="139" t="s">
        <v>583</v>
      </c>
      <c r="L116" s="139" t="s">
        <v>583</v>
      </c>
      <c r="M116" s="139" t="s">
        <v>583</v>
      </c>
      <c r="N116" s="139" t="s">
        <v>731</v>
      </c>
      <c r="O116" s="139" t="s">
        <v>965</v>
      </c>
      <c r="P116" s="139" t="s">
        <v>583</v>
      </c>
      <c r="Q116" s="139" t="s">
        <v>583</v>
      </c>
      <c r="R116" s="140">
        <v>1</v>
      </c>
      <c r="S116" s="140">
        <v>0</v>
      </c>
      <c r="T116" s="140">
        <v>1</v>
      </c>
      <c r="U116" s="140">
        <v>357</v>
      </c>
      <c r="V116" s="139" t="s">
        <v>691</v>
      </c>
      <c r="W116" s="139" t="s">
        <v>692</v>
      </c>
      <c r="X116" s="139" t="s">
        <v>693</v>
      </c>
      <c r="Y116" s="139" t="s">
        <v>694</v>
      </c>
      <c r="Z116" s="139" t="s">
        <v>695</v>
      </c>
      <c r="AA116" s="139" t="s">
        <v>696</v>
      </c>
      <c r="AB116" s="139" t="s">
        <v>691</v>
      </c>
      <c r="AC116" s="139" t="s">
        <v>692</v>
      </c>
      <c r="AD116" s="139" t="s">
        <v>693</v>
      </c>
      <c r="AE116" s="139" t="s">
        <v>694</v>
      </c>
      <c r="AF116" s="139" t="s">
        <v>695</v>
      </c>
      <c r="AG116" s="139" t="s">
        <v>696</v>
      </c>
      <c r="AH116" s="139" t="s">
        <v>733</v>
      </c>
      <c r="AI116" s="139" t="s">
        <v>432</v>
      </c>
      <c r="AJ116" s="140">
        <v>11094033.119999999</v>
      </c>
      <c r="AK116" s="139" t="s">
        <v>691</v>
      </c>
      <c r="AL116" s="139" t="s">
        <v>692</v>
      </c>
      <c r="AM116" s="139" t="s">
        <v>693</v>
      </c>
      <c r="AN116" s="139" t="s">
        <v>694</v>
      </c>
      <c r="AO116" s="139" t="s">
        <v>695</v>
      </c>
      <c r="AP116" s="139" t="s">
        <v>696</v>
      </c>
      <c r="AQ116" s="139" t="s">
        <v>733</v>
      </c>
      <c r="AR116" s="139" t="s">
        <v>432</v>
      </c>
      <c r="AS116" s="139" t="s">
        <v>432</v>
      </c>
      <c r="AT116" s="139" t="s">
        <v>593</v>
      </c>
      <c r="AU116" s="139" t="s">
        <v>437</v>
      </c>
      <c r="AV116" s="140">
        <v>2</v>
      </c>
      <c r="AW116" s="139" t="s">
        <v>594</v>
      </c>
      <c r="AX116" s="139" t="s">
        <v>653</v>
      </c>
      <c r="AY116" s="139" t="s">
        <v>734</v>
      </c>
      <c r="AZ116" s="140">
        <v>1</v>
      </c>
      <c r="BA116" s="139" t="s">
        <v>597</v>
      </c>
      <c r="BB116" s="140">
        <v>129122</v>
      </c>
      <c r="BC116" s="140">
        <v>11094033</v>
      </c>
      <c r="BD116" s="140">
        <v>138733.16</v>
      </c>
      <c r="BE116" s="140">
        <v>85.918999999999997</v>
      </c>
      <c r="BF116" s="139" t="s">
        <v>880</v>
      </c>
      <c r="BG116" s="139" t="s">
        <v>583</v>
      </c>
      <c r="BH116" s="139" t="s">
        <v>736</v>
      </c>
      <c r="BI116" s="139" t="s">
        <v>598</v>
      </c>
      <c r="BJ116" s="139" t="s">
        <v>624</v>
      </c>
      <c r="BK116" s="139" t="s">
        <v>890</v>
      </c>
      <c r="BL116" s="139" t="s">
        <v>583</v>
      </c>
      <c r="BM116" s="139" t="s">
        <v>891</v>
      </c>
      <c r="BN116" s="139" t="s">
        <v>738</v>
      </c>
      <c r="BO116" s="139" t="s">
        <v>739</v>
      </c>
      <c r="BP116" s="139" t="s">
        <v>892</v>
      </c>
      <c r="BQ116" s="139" t="s">
        <v>741</v>
      </c>
      <c r="BR116" s="140">
        <v>1</v>
      </c>
      <c r="BS116" s="139" t="s">
        <v>742</v>
      </c>
      <c r="BT116" s="99">
        <f t="shared" si="6"/>
        <v>0</v>
      </c>
      <c r="BU116" s="99">
        <f t="shared" si="6"/>
        <v>0</v>
      </c>
      <c r="BV116" s="99">
        <f t="shared" si="4"/>
        <v>0</v>
      </c>
      <c r="BW116" s="139" t="s">
        <v>743</v>
      </c>
      <c r="BX116" s="139" t="s">
        <v>744</v>
      </c>
      <c r="BY116" s="140">
        <v>357</v>
      </c>
      <c r="BZ116" s="140">
        <v>0</v>
      </c>
      <c r="CA116" s="99">
        <v>71400</v>
      </c>
      <c r="CB116" s="140" t="s">
        <v>603</v>
      </c>
      <c r="CC116" s="140">
        <v>0</v>
      </c>
      <c r="CD116" s="140"/>
      <c r="CE116" s="139" t="s">
        <v>577</v>
      </c>
      <c r="CF116" s="139" t="s">
        <v>604</v>
      </c>
      <c r="CG116" s="139" t="s">
        <v>583</v>
      </c>
      <c r="CH116" s="139" t="s">
        <v>583</v>
      </c>
      <c r="CI116" s="139" t="s">
        <v>733</v>
      </c>
      <c r="CJ116" s="140">
        <v>7854</v>
      </c>
      <c r="CK116" s="140" t="s">
        <v>605</v>
      </c>
      <c r="CL116" s="140">
        <v>4000000</v>
      </c>
      <c r="CM116" s="99">
        <v>7140</v>
      </c>
      <c r="CN116" s="140">
        <v>0</v>
      </c>
      <c r="CO116" s="139" t="s">
        <v>583</v>
      </c>
      <c r="CP116" s="139" t="s">
        <v>583</v>
      </c>
      <c r="CQ116" s="140">
        <v>129122</v>
      </c>
      <c r="CR116" s="140">
        <v>11094033</v>
      </c>
      <c r="CS116" s="140">
        <v>0</v>
      </c>
      <c r="CT116" s="140">
        <v>1</v>
      </c>
      <c r="CU116" s="140">
        <v>11094033.119999999</v>
      </c>
      <c r="CV116" s="99">
        <v>138733.16</v>
      </c>
      <c r="CW116" s="139" t="s">
        <v>606</v>
      </c>
      <c r="CX116" s="140">
        <v>19.430399999999999</v>
      </c>
      <c r="CY116" s="140">
        <v>933</v>
      </c>
      <c r="CZ116" s="140" t="s">
        <v>894</v>
      </c>
      <c r="DA116" s="140" t="s">
        <v>895</v>
      </c>
      <c r="DB116" s="140">
        <v>582</v>
      </c>
      <c r="DC116" s="140"/>
    </row>
    <row r="117" spans="2:107" ht="11.25" customHeight="1" x14ac:dyDescent="0.15">
      <c r="B117" s="139" t="s">
        <v>577</v>
      </c>
      <c r="C117" s="140" t="s">
        <v>1325</v>
      </c>
      <c r="D117" s="140">
        <v>5</v>
      </c>
      <c r="E117" s="139" t="s">
        <v>1326</v>
      </c>
      <c r="F117" s="139" t="s">
        <v>580</v>
      </c>
      <c r="G117" s="140" t="s">
        <v>1325</v>
      </c>
      <c r="H117" s="139" t="s">
        <v>1327</v>
      </c>
      <c r="I117" s="140" t="s">
        <v>421</v>
      </c>
      <c r="J117" s="139" t="s">
        <v>582</v>
      </c>
      <c r="K117" s="139" t="s">
        <v>583</v>
      </c>
      <c r="L117" s="139" t="s">
        <v>583</v>
      </c>
      <c r="M117" s="139" t="s">
        <v>583</v>
      </c>
      <c r="N117" s="139" t="s">
        <v>731</v>
      </c>
      <c r="O117" s="139" t="s">
        <v>1234</v>
      </c>
      <c r="P117" s="139" t="s">
        <v>583</v>
      </c>
      <c r="Q117" s="139" t="s">
        <v>583</v>
      </c>
      <c r="R117" s="140">
        <v>1</v>
      </c>
      <c r="S117" s="140">
        <v>0</v>
      </c>
      <c r="T117" s="140">
        <v>1</v>
      </c>
      <c r="U117" s="140">
        <v>538</v>
      </c>
      <c r="V117" s="139" t="s">
        <v>586</v>
      </c>
      <c r="W117" s="139" t="s">
        <v>587</v>
      </c>
      <c r="X117" s="139" t="s">
        <v>588</v>
      </c>
      <c r="Y117" s="139" t="s">
        <v>589</v>
      </c>
      <c r="Z117" s="139" t="s">
        <v>590</v>
      </c>
      <c r="AA117" s="139" t="s">
        <v>591</v>
      </c>
      <c r="AB117" s="139" t="s">
        <v>586</v>
      </c>
      <c r="AC117" s="139" t="s">
        <v>587</v>
      </c>
      <c r="AD117" s="139" t="s">
        <v>588</v>
      </c>
      <c r="AE117" s="139" t="s">
        <v>589</v>
      </c>
      <c r="AF117" s="139" t="s">
        <v>590</v>
      </c>
      <c r="AG117" s="139" t="s">
        <v>591</v>
      </c>
      <c r="AH117" s="139" t="s">
        <v>733</v>
      </c>
      <c r="AI117" s="139" t="s">
        <v>432</v>
      </c>
      <c r="AJ117" s="140">
        <v>17094615.899999999</v>
      </c>
      <c r="AK117" s="139" t="s">
        <v>586</v>
      </c>
      <c r="AL117" s="139" t="s">
        <v>587</v>
      </c>
      <c r="AM117" s="139" t="s">
        <v>588</v>
      </c>
      <c r="AN117" s="139" t="s">
        <v>589</v>
      </c>
      <c r="AO117" s="139" t="s">
        <v>590</v>
      </c>
      <c r="AP117" s="139" t="s">
        <v>591</v>
      </c>
      <c r="AQ117" s="139" t="s">
        <v>733</v>
      </c>
      <c r="AR117" s="139" t="s">
        <v>432</v>
      </c>
      <c r="AS117" s="139" t="s">
        <v>432</v>
      </c>
      <c r="AT117" s="139" t="s">
        <v>593</v>
      </c>
      <c r="AU117" s="139" t="s">
        <v>437</v>
      </c>
      <c r="AV117" s="140">
        <v>2</v>
      </c>
      <c r="AW117" s="139" t="s">
        <v>594</v>
      </c>
      <c r="AX117" s="139" t="s">
        <v>653</v>
      </c>
      <c r="AY117" s="139" t="s">
        <v>850</v>
      </c>
      <c r="AZ117" s="140">
        <v>1</v>
      </c>
      <c r="BA117" s="139" t="s">
        <v>597</v>
      </c>
      <c r="BB117" s="140">
        <v>199060</v>
      </c>
      <c r="BC117" s="140">
        <v>17094616</v>
      </c>
      <c r="BD117" s="140">
        <v>213725.18</v>
      </c>
      <c r="BE117" s="140">
        <v>85.8767</v>
      </c>
      <c r="BF117" s="139" t="s">
        <v>880</v>
      </c>
      <c r="BG117" s="139" t="s">
        <v>583</v>
      </c>
      <c r="BH117" s="139" t="s">
        <v>987</v>
      </c>
      <c r="BI117" s="139" t="s">
        <v>598</v>
      </c>
      <c r="BJ117" s="139" t="s">
        <v>1100</v>
      </c>
      <c r="BK117" s="139" t="s">
        <v>1101</v>
      </c>
      <c r="BL117" s="139" t="s">
        <v>1101</v>
      </c>
      <c r="BM117" s="139" t="s">
        <v>583</v>
      </c>
      <c r="BN117" s="139" t="s">
        <v>1102</v>
      </c>
      <c r="BO117" s="139" t="s">
        <v>1103</v>
      </c>
      <c r="BP117" s="139" t="s">
        <v>1104</v>
      </c>
      <c r="BQ117" s="139" t="s">
        <v>600</v>
      </c>
      <c r="BR117" s="140">
        <v>1</v>
      </c>
      <c r="BS117" s="139" t="s">
        <v>988</v>
      </c>
      <c r="BT117" s="99">
        <f t="shared" si="6"/>
        <v>0</v>
      </c>
      <c r="BU117" s="99">
        <f t="shared" si="6"/>
        <v>1</v>
      </c>
      <c r="BV117" s="99">
        <f t="shared" si="4"/>
        <v>1</v>
      </c>
      <c r="BW117" s="139" t="s">
        <v>602</v>
      </c>
      <c r="BX117" s="139" t="s">
        <v>731</v>
      </c>
      <c r="BY117" s="140">
        <v>538</v>
      </c>
      <c r="BZ117" s="140">
        <v>0</v>
      </c>
      <c r="CA117" s="99">
        <v>107600</v>
      </c>
      <c r="CB117" s="140" t="s">
        <v>603</v>
      </c>
      <c r="CC117" s="140">
        <v>0</v>
      </c>
      <c r="CD117" s="140"/>
      <c r="CE117" s="139" t="s">
        <v>577</v>
      </c>
      <c r="CF117" s="139" t="s">
        <v>604</v>
      </c>
      <c r="CG117" s="139" t="s">
        <v>583</v>
      </c>
      <c r="CH117" s="139" t="s">
        <v>583</v>
      </c>
      <c r="CI117" s="139" t="s">
        <v>733</v>
      </c>
      <c r="CJ117" s="140">
        <v>11836</v>
      </c>
      <c r="CK117" s="140" t="s">
        <v>605</v>
      </c>
      <c r="CL117" s="140">
        <v>4000000</v>
      </c>
      <c r="CM117" s="99">
        <v>10760</v>
      </c>
      <c r="CN117" s="140">
        <v>0</v>
      </c>
      <c r="CO117" s="139" t="s">
        <v>583</v>
      </c>
      <c r="CP117" s="139" t="s">
        <v>583</v>
      </c>
      <c r="CQ117" s="140">
        <v>199060</v>
      </c>
      <c r="CR117" s="140">
        <v>17094616</v>
      </c>
      <c r="CS117" s="140">
        <v>0</v>
      </c>
      <c r="CT117" s="140">
        <v>1</v>
      </c>
      <c r="CU117" s="140">
        <v>17094615.899999999</v>
      </c>
      <c r="CV117" s="99">
        <v>213725.18</v>
      </c>
      <c r="CW117" s="139" t="s">
        <v>606</v>
      </c>
      <c r="CX117" s="140">
        <v>19.8629</v>
      </c>
      <c r="CY117" s="140"/>
      <c r="CZ117" s="140"/>
      <c r="DA117" s="140" t="s">
        <v>856</v>
      </c>
      <c r="DB117" s="140">
        <v>1601</v>
      </c>
      <c r="DC117" s="140"/>
    </row>
    <row r="118" spans="2:107" ht="11.25" customHeight="1" x14ac:dyDescent="0.15">
      <c r="B118" s="139" t="s">
        <v>577</v>
      </c>
      <c r="C118" s="140" t="s">
        <v>1325</v>
      </c>
      <c r="D118" s="140">
        <v>5</v>
      </c>
      <c r="E118" s="139" t="s">
        <v>1328</v>
      </c>
      <c r="F118" s="139" t="s">
        <v>748</v>
      </c>
      <c r="G118" s="140" t="s">
        <v>1325</v>
      </c>
      <c r="H118" s="139" t="s">
        <v>1329</v>
      </c>
      <c r="I118" s="140" t="s">
        <v>421</v>
      </c>
      <c r="J118" s="139" t="s">
        <v>582</v>
      </c>
      <c r="K118" s="139" t="s">
        <v>583</v>
      </c>
      <c r="L118" s="139" t="s">
        <v>583</v>
      </c>
      <c r="M118" s="139" t="s">
        <v>583</v>
      </c>
      <c r="N118" s="139" t="s">
        <v>817</v>
      </c>
      <c r="O118" s="139" t="s">
        <v>1330</v>
      </c>
      <c r="P118" s="139" t="s">
        <v>583</v>
      </c>
      <c r="Q118" s="139" t="s">
        <v>583</v>
      </c>
      <c r="R118" s="140">
        <v>1</v>
      </c>
      <c r="S118" s="140">
        <v>0</v>
      </c>
      <c r="T118" s="140">
        <v>1</v>
      </c>
      <c r="U118" s="140">
        <v>220</v>
      </c>
      <c r="V118" s="139" t="s">
        <v>819</v>
      </c>
      <c r="W118" s="139" t="s">
        <v>820</v>
      </c>
      <c r="X118" s="139" t="s">
        <v>821</v>
      </c>
      <c r="Y118" s="139" t="s">
        <v>822</v>
      </c>
      <c r="Z118" s="139" t="s">
        <v>823</v>
      </c>
      <c r="AA118" s="139" t="s">
        <v>824</v>
      </c>
      <c r="AB118" s="139" t="s">
        <v>819</v>
      </c>
      <c r="AC118" s="139" t="s">
        <v>820</v>
      </c>
      <c r="AD118" s="139" t="s">
        <v>821</v>
      </c>
      <c r="AE118" s="139" t="s">
        <v>822</v>
      </c>
      <c r="AF118" s="139" t="s">
        <v>823</v>
      </c>
      <c r="AG118" s="139" t="s">
        <v>824</v>
      </c>
      <c r="AH118" s="139" t="s">
        <v>759</v>
      </c>
      <c r="AI118" s="139" t="s">
        <v>434</v>
      </c>
      <c r="AJ118" s="140">
        <v>6045719.6799999997</v>
      </c>
      <c r="AK118" s="139" t="s">
        <v>819</v>
      </c>
      <c r="AL118" s="139" t="s">
        <v>820</v>
      </c>
      <c r="AM118" s="139" t="s">
        <v>821</v>
      </c>
      <c r="AN118" s="139" t="s">
        <v>822</v>
      </c>
      <c r="AO118" s="139" t="s">
        <v>823</v>
      </c>
      <c r="AP118" s="139" t="s">
        <v>824</v>
      </c>
      <c r="AQ118" s="139" t="s">
        <v>759</v>
      </c>
      <c r="AR118" s="139" t="s">
        <v>434</v>
      </c>
      <c r="AS118" s="139" t="s">
        <v>434</v>
      </c>
      <c r="AT118" s="139" t="s">
        <v>593</v>
      </c>
      <c r="AU118" s="139" t="s">
        <v>437</v>
      </c>
      <c r="AV118" s="140">
        <v>2</v>
      </c>
      <c r="AW118" s="139" t="s">
        <v>594</v>
      </c>
      <c r="AX118" s="139" t="s">
        <v>653</v>
      </c>
      <c r="AY118" s="139" t="s">
        <v>825</v>
      </c>
      <c r="AZ118" s="140">
        <v>1</v>
      </c>
      <c r="BA118" s="139" t="s">
        <v>597</v>
      </c>
      <c r="BB118" s="140">
        <v>70400</v>
      </c>
      <c r="BC118" s="140">
        <v>6045720</v>
      </c>
      <c r="BD118" s="140">
        <v>75586.52</v>
      </c>
      <c r="BE118" s="140">
        <v>85.8767</v>
      </c>
      <c r="BF118" s="139" t="s">
        <v>880</v>
      </c>
      <c r="BG118" s="139" t="s">
        <v>606</v>
      </c>
      <c r="BH118" s="139" t="s">
        <v>826</v>
      </c>
      <c r="BI118" s="139" t="s">
        <v>598</v>
      </c>
      <c r="BJ118" s="139" t="s">
        <v>599</v>
      </c>
      <c r="BK118" s="139" t="s">
        <v>583</v>
      </c>
      <c r="BL118" s="139" t="s">
        <v>583</v>
      </c>
      <c r="BM118" s="139" t="s">
        <v>583</v>
      </c>
      <c r="BN118" s="139" t="s">
        <v>828</v>
      </c>
      <c r="BO118" s="139" t="s">
        <v>829</v>
      </c>
      <c r="BP118" s="139" t="s">
        <v>925</v>
      </c>
      <c r="BQ118" s="139" t="s">
        <v>723</v>
      </c>
      <c r="BR118" s="140">
        <v>1</v>
      </c>
      <c r="BS118" s="139" t="s">
        <v>1331</v>
      </c>
      <c r="BT118" s="99">
        <f t="shared" si="6"/>
        <v>1</v>
      </c>
      <c r="BU118" s="99">
        <f t="shared" si="6"/>
        <v>1</v>
      </c>
      <c r="BV118" s="99">
        <f t="shared" si="4"/>
        <v>1</v>
      </c>
      <c r="BW118" s="139" t="s">
        <v>602</v>
      </c>
      <c r="BX118" s="139" t="s">
        <v>817</v>
      </c>
      <c r="BY118" s="140">
        <v>220</v>
      </c>
      <c r="BZ118" s="140">
        <v>0</v>
      </c>
      <c r="CA118" s="99">
        <v>44000</v>
      </c>
      <c r="CB118" s="140" t="s">
        <v>603</v>
      </c>
      <c r="CC118" s="140">
        <v>0</v>
      </c>
      <c r="CD118" s="140"/>
      <c r="CE118" s="139" t="s">
        <v>577</v>
      </c>
      <c r="CF118" s="139" t="s">
        <v>604</v>
      </c>
      <c r="CG118" s="139" t="s">
        <v>583</v>
      </c>
      <c r="CH118" s="139" t="s">
        <v>583</v>
      </c>
      <c r="CI118" s="139" t="s">
        <v>759</v>
      </c>
      <c r="CJ118" s="140">
        <v>4620</v>
      </c>
      <c r="CK118" s="140" t="s">
        <v>605</v>
      </c>
      <c r="CL118" s="140">
        <v>4000000</v>
      </c>
      <c r="CM118" s="99">
        <v>4290</v>
      </c>
      <c r="CN118" s="140">
        <v>0</v>
      </c>
      <c r="CO118" s="139" t="s">
        <v>583</v>
      </c>
      <c r="CP118" s="139" t="s">
        <v>583</v>
      </c>
      <c r="CQ118" s="140">
        <v>70400</v>
      </c>
      <c r="CR118" s="140">
        <v>6045720</v>
      </c>
      <c r="CS118" s="140">
        <v>0</v>
      </c>
      <c r="CT118" s="140">
        <v>1</v>
      </c>
      <c r="CU118" s="140">
        <v>6045719.6799999997</v>
      </c>
      <c r="CV118" s="99">
        <v>75586.52</v>
      </c>
      <c r="CW118" s="139" t="s">
        <v>606</v>
      </c>
      <c r="CX118" s="140">
        <v>17.619199999999999</v>
      </c>
      <c r="CY118" s="140"/>
      <c r="CZ118" s="140"/>
      <c r="DA118" s="140" t="s">
        <v>832</v>
      </c>
      <c r="DB118" s="140">
        <v>90</v>
      </c>
      <c r="DC118" s="140"/>
    </row>
    <row r="119" spans="2:107" ht="11.25" customHeight="1" x14ac:dyDescent="0.15">
      <c r="B119" s="139" t="s">
        <v>577</v>
      </c>
      <c r="C119" s="140" t="s">
        <v>1332</v>
      </c>
      <c r="D119" s="140">
        <v>5</v>
      </c>
      <c r="E119" s="139" t="s">
        <v>1333</v>
      </c>
      <c r="F119" s="139" t="s">
        <v>618</v>
      </c>
      <c r="G119" s="140" t="s">
        <v>1332</v>
      </c>
      <c r="H119" s="139" t="s">
        <v>1334</v>
      </c>
      <c r="I119" s="140" t="s">
        <v>421</v>
      </c>
      <c r="J119" s="139" t="s">
        <v>582</v>
      </c>
      <c r="K119" s="139" t="s">
        <v>583</v>
      </c>
      <c r="L119" s="139" t="s">
        <v>583</v>
      </c>
      <c r="M119" s="139" t="s">
        <v>583</v>
      </c>
      <c r="N119" s="139" t="s">
        <v>441</v>
      </c>
      <c r="O119" s="139" t="s">
        <v>930</v>
      </c>
      <c r="P119" s="139" t="s">
        <v>583</v>
      </c>
      <c r="Q119" s="139" t="s">
        <v>583</v>
      </c>
      <c r="R119" s="140">
        <v>1</v>
      </c>
      <c r="S119" s="140">
        <v>0</v>
      </c>
      <c r="T119" s="140">
        <v>1</v>
      </c>
      <c r="U119" s="140">
        <v>423</v>
      </c>
      <c r="V119" s="139" t="s">
        <v>583</v>
      </c>
      <c r="W119" s="139" t="s">
        <v>583</v>
      </c>
      <c r="X119" s="139" t="s">
        <v>632</v>
      </c>
      <c r="Y119" s="139" t="s">
        <v>633</v>
      </c>
      <c r="Z119" s="139" t="s">
        <v>583</v>
      </c>
      <c r="AA119" s="139" t="s">
        <v>583</v>
      </c>
      <c r="AB119" s="139" t="s">
        <v>583</v>
      </c>
      <c r="AC119" s="139" t="s">
        <v>583</v>
      </c>
      <c r="AD119" s="139" t="s">
        <v>632</v>
      </c>
      <c r="AE119" s="139" t="s">
        <v>633</v>
      </c>
      <c r="AF119" s="139" t="s">
        <v>583</v>
      </c>
      <c r="AG119" s="139" t="s">
        <v>583</v>
      </c>
      <c r="AH119" s="139" t="s">
        <v>621</v>
      </c>
      <c r="AI119" s="139" t="s">
        <v>430</v>
      </c>
      <c r="AJ119" s="140">
        <v>10938716.550000001</v>
      </c>
      <c r="AK119" s="139" t="s">
        <v>583</v>
      </c>
      <c r="AL119" s="139" t="s">
        <v>583</v>
      </c>
      <c r="AM119" s="139" t="s">
        <v>632</v>
      </c>
      <c r="AN119" s="139" t="s">
        <v>633</v>
      </c>
      <c r="AO119" s="139" t="s">
        <v>583</v>
      </c>
      <c r="AP119" s="139" t="s">
        <v>583</v>
      </c>
      <c r="AQ119" s="139" t="s">
        <v>621</v>
      </c>
      <c r="AR119" s="139" t="s">
        <v>430</v>
      </c>
      <c r="AS119" s="139" t="s">
        <v>430</v>
      </c>
      <c r="AT119" s="139" t="s">
        <v>593</v>
      </c>
      <c r="AU119" s="139" t="s">
        <v>437</v>
      </c>
      <c r="AV119" s="140">
        <v>0</v>
      </c>
      <c r="AW119" s="139" t="s">
        <v>594</v>
      </c>
      <c r="AX119" s="139" t="s">
        <v>622</v>
      </c>
      <c r="AY119" s="139" t="s">
        <v>623</v>
      </c>
      <c r="AZ119" s="140">
        <v>1</v>
      </c>
      <c r="BA119" s="139" t="s">
        <v>597</v>
      </c>
      <c r="BB119" s="140">
        <v>126900</v>
      </c>
      <c r="BC119" s="140">
        <v>10938717</v>
      </c>
      <c r="BD119" s="140">
        <v>136790.54999999999</v>
      </c>
      <c r="BE119" s="140">
        <v>86.1995</v>
      </c>
      <c r="BF119" s="139" t="s">
        <v>880</v>
      </c>
      <c r="BG119" s="139" t="s">
        <v>582</v>
      </c>
      <c r="BH119" s="139" t="s">
        <v>931</v>
      </c>
      <c r="BI119" s="139" t="s">
        <v>598</v>
      </c>
      <c r="BJ119" s="139" t="s">
        <v>624</v>
      </c>
      <c r="BK119" s="139" t="s">
        <v>882</v>
      </c>
      <c r="BL119" s="139" t="s">
        <v>583</v>
      </c>
      <c r="BM119" s="139" t="s">
        <v>883</v>
      </c>
      <c r="BN119" s="139" t="s">
        <v>583</v>
      </c>
      <c r="BO119" s="139" t="s">
        <v>623</v>
      </c>
      <c r="BP119" s="139" t="s">
        <v>884</v>
      </c>
      <c r="BQ119" s="139" t="s">
        <v>625</v>
      </c>
      <c r="BR119" s="140">
        <v>1</v>
      </c>
      <c r="BS119" s="139" t="s">
        <v>634</v>
      </c>
      <c r="BT119" s="99">
        <f t="shared" si="6"/>
        <v>0</v>
      </c>
      <c r="BU119" s="99">
        <f t="shared" si="6"/>
        <v>1</v>
      </c>
      <c r="BV119" s="99">
        <f t="shared" si="4"/>
        <v>1</v>
      </c>
      <c r="BW119" s="139" t="s">
        <v>635</v>
      </c>
      <c r="BX119" s="139" t="s">
        <v>441</v>
      </c>
      <c r="BY119" s="140">
        <v>423</v>
      </c>
      <c r="BZ119" s="140">
        <v>0</v>
      </c>
      <c r="CA119" s="99">
        <v>84600</v>
      </c>
      <c r="CB119" s="140" t="s">
        <v>603</v>
      </c>
      <c r="CC119" s="140">
        <v>0</v>
      </c>
      <c r="CD119" s="140"/>
      <c r="CE119" s="139" t="s">
        <v>577</v>
      </c>
      <c r="CF119" s="139" t="s">
        <v>604</v>
      </c>
      <c r="CG119" s="139" t="s">
        <v>583</v>
      </c>
      <c r="CH119" s="139" t="s">
        <v>583</v>
      </c>
      <c r="CI119" s="139" t="s">
        <v>621</v>
      </c>
      <c r="CJ119" s="140">
        <v>8460</v>
      </c>
      <c r="CK119" s="140" t="s">
        <v>605</v>
      </c>
      <c r="CL119" s="140">
        <v>4000000</v>
      </c>
      <c r="CM119" s="99">
        <v>7614</v>
      </c>
      <c r="CN119" s="140">
        <v>0</v>
      </c>
      <c r="CO119" s="139" t="s">
        <v>583</v>
      </c>
      <c r="CP119" s="139" t="s">
        <v>583</v>
      </c>
      <c r="CQ119" s="140">
        <v>126900</v>
      </c>
      <c r="CR119" s="140">
        <v>10938717</v>
      </c>
      <c r="CS119" s="140">
        <v>0</v>
      </c>
      <c r="CT119" s="140">
        <v>1</v>
      </c>
      <c r="CU119" s="140">
        <v>10938716.550000001</v>
      </c>
      <c r="CV119" s="99">
        <v>136790.54999999999</v>
      </c>
      <c r="CW119" s="139" t="s">
        <v>606</v>
      </c>
      <c r="CX119" s="140">
        <v>17.965699999999998</v>
      </c>
      <c r="CY119" s="140"/>
      <c r="CZ119" s="140"/>
      <c r="DA119" s="140" t="s">
        <v>933</v>
      </c>
      <c r="DB119" s="140">
        <v>1152</v>
      </c>
      <c r="DC119" s="140"/>
    </row>
    <row r="120" spans="2:107" ht="11.25" customHeight="1" x14ac:dyDescent="0.15">
      <c r="B120" s="139" t="s">
        <v>577</v>
      </c>
      <c r="C120" s="140" t="s">
        <v>1335</v>
      </c>
      <c r="D120" s="140">
        <v>5</v>
      </c>
      <c r="E120" s="139" t="s">
        <v>1336</v>
      </c>
      <c r="F120" s="139" t="s">
        <v>580</v>
      </c>
      <c r="G120" s="140" t="s">
        <v>1335</v>
      </c>
      <c r="H120" s="139" t="s">
        <v>1337</v>
      </c>
      <c r="I120" s="140" t="s">
        <v>421</v>
      </c>
      <c r="J120" s="139" t="s">
        <v>582</v>
      </c>
      <c r="K120" s="139" t="s">
        <v>583</v>
      </c>
      <c r="L120" s="139" t="s">
        <v>583</v>
      </c>
      <c r="M120" s="139" t="s">
        <v>583</v>
      </c>
      <c r="N120" s="139" t="s">
        <v>584</v>
      </c>
      <c r="O120" s="139" t="s">
        <v>957</v>
      </c>
      <c r="P120" s="139" t="s">
        <v>583</v>
      </c>
      <c r="Q120" s="139" t="s">
        <v>583</v>
      </c>
      <c r="R120" s="140">
        <v>1</v>
      </c>
      <c r="S120" s="140">
        <v>0</v>
      </c>
      <c r="T120" s="140">
        <v>1</v>
      </c>
      <c r="U120" s="140">
        <v>384</v>
      </c>
      <c r="V120" s="139" t="s">
        <v>586</v>
      </c>
      <c r="W120" s="139" t="s">
        <v>587</v>
      </c>
      <c r="X120" s="139" t="s">
        <v>588</v>
      </c>
      <c r="Y120" s="139" t="s">
        <v>589</v>
      </c>
      <c r="Z120" s="139" t="s">
        <v>590</v>
      </c>
      <c r="AA120" s="139" t="s">
        <v>591</v>
      </c>
      <c r="AB120" s="139" t="s">
        <v>586</v>
      </c>
      <c r="AC120" s="139" t="s">
        <v>587</v>
      </c>
      <c r="AD120" s="139" t="s">
        <v>588</v>
      </c>
      <c r="AE120" s="139" t="s">
        <v>589</v>
      </c>
      <c r="AF120" s="139" t="s">
        <v>590</v>
      </c>
      <c r="AG120" s="139" t="s">
        <v>591</v>
      </c>
      <c r="AH120" s="139" t="s">
        <v>592</v>
      </c>
      <c r="AI120" s="139" t="s">
        <v>429</v>
      </c>
      <c r="AJ120" s="140">
        <v>8126327.3899999997</v>
      </c>
      <c r="AK120" s="139" t="s">
        <v>586</v>
      </c>
      <c r="AL120" s="139" t="s">
        <v>587</v>
      </c>
      <c r="AM120" s="139" t="s">
        <v>588</v>
      </c>
      <c r="AN120" s="139" t="s">
        <v>589</v>
      </c>
      <c r="AO120" s="139" t="s">
        <v>590</v>
      </c>
      <c r="AP120" s="139" t="s">
        <v>591</v>
      </c>
      <c r="AQ120" s="139" t="s">
        <v>592</v>
      </c>
      <c r="AR120" s="139" t="s">
        <v>429</v>
      </c>
      <c r="AS120" s="139" t="s">
        <v>429</v>
      </c>
      <c r="AT120" s="139" t="s">
        <v>593</v>
      </c>
      <c r="AU120" s="139" t="s">
        <v>437</v>
      </c>
      <c r="AV120" s="140">
        <v>2</v>
      </c>
      <c r="AW120" s="139" t="s">
        <v>594</v>
      </c>
      <c r="AX120" s="139" t="s">
        <v>595</v>
      </c>
      <c r="AY120" s="139" t="s">
        <v>596</v>
      </c>
      <c r="AZ120" s="140">
        <v>1</v>
      </c>
      <c r="BA120" s="139" t="s">
        <v>597</v>
      </c>
      <c r="BB120" s="140">
        <v>91000</v>
      </c>
      <c r="BC120" s="140">
        <v>7871163</v>
      </c>
      <c r="BD120" s="140">
        <v>101658</v>
      </c>
      <c r="BE120" s="140">
        <v>86.496300000000005</v>
      </c>
      <c r="BF120" s="139" t="s">
        <v>880</v>
      </c>
      <c r="BG120" s="139" t="s">
        <v>583</v>
      </c>
      <c r="BH120" s="139" t="s">
        <v>958</v>
      </c>
      <c r="BI120" s="139" t="s">
        <v>598</v>
      </c>
      <c r="BJ120" s="139" t="s">
        <v>599</v>
      </c>
      <c r="BK120" s="139" t="s">
        <v>583</v>
      </c>
      <c r="BL120" s="139" t="s">
        <v>583</v>
      </c>
      <c r="BM120" s="139" t="s">
        <v>583</v>
      </c>
      <c r="BN120" s="139" t="s">
        <v>853</v>
      </c>
      <c r="BO120" s="139" t="s">
        <v>854</v>
      </c>
      <c r="BP120" s="139" t="s">
        <v>959</v>
      </c>
      <c r="BQ120" s="139" t="s">
        <v>600</v>
      </c>
      <c r="BR120" s="140">
        <v>1</v>
      </c>
      <c r="BS120" s="139" t="s">
        <v>601</v>
      </c>
      <c r="BT120" s="99">
        <f t="shared" si="6"/>
        <v>0</v>
      </c>
      <c r="BU120" s="99">
        <f t="shared" si="6"/>
        <v>1</v>
      </c>
      <c r="BV120" s="99">
        <f t="shared" si="4"/>
        <v>1</v>
      </c>
      <c r="BW120" s="139" t="s">
        <v>602</v>
      </c>
      <c r="BX120" s="139" t="s">
        <v>584</v>
      </c>
      <c r="BY120" s="140">
        <v>384</v>
      </c>
      <c r="BZ120" s="140">
        <v>0</v>
      </c>
      <c r="CA120" s="99">
        <v>72800</v>
      </c>
      <c r="CB120" s="140" t="s">
        <v>603</v>
      </c>
      <c r="CC120" s="140">
        <v>0</v>
      </c>
      <c r="CD120" s="140"/>
      <c r="CE120" s="139" t="s">
        <v>577</v>
      </c>
      <c r="CF120" s="139" t="s">
        <v>604</v>
      </c>
      <c r="CG120" s="139" t="s">
        <v>583</v>
      </c>
      <c r="CH120" s="139" t="s">
        <v>583</v>
      </c>
      <c r="CI120" s="139" t="s">
        <v>592</v>
      </c>
      <c r="CJ120" s="140">
        <v>8008</v>
      </c>
      <c r="CK120" s="140" t="s">
        <v>605</v>
      </c>
      <c r="CL120" s="140">
        <v>4000000</v>
      </c>
      <c r="CM120" s="99">
        <v>7644</v>
      </c>
      <c r="CN120" s="140">
        <v>0</v>
      </c>
      <c r="CO120" s="139" t="s">
        <v>583</v>
      </c>
      <c r="CP120" s="139" t="s">
        <v>583</v>
      </c>
      <c r="CQ120" s="140">
        <v>91000</v>
      </c>
      <c r="CR120" s="140">
        <v>7871163</v>
      </c>
      <c r="CS120" s="140">
        <v>0</v>
      </c>
      <c r="CT120" s="140">
        <v>1</v>
      </c>
      <c r="CU120" s="140">
        <v>8126327.3899999997</v>
      </c>
      <c r="CV120" s="99">
        <v>101658</v>
      </c>
      <c r="CW120" s="139" t="s">
        <v>606</v>
      </c>
      <c r="CX120" s="140">
        <v>13.299099999999999</v>
      </c>
      <c r="CY120" s="140"/>
      <c r="CZ120" s="140"/>
      <c r="DA120" s="140" t="s">
        <v>856</v>
      </c>
      <c r="DB120" s="140">
        <v>1469</v>
      </c>
      <c r="DC120" s="140"/>
    </row>
    <row r="121" spans="2:107" ht="11.25" customHeight="1" x14ac:dyDescent="0.15">
      <c r="B121" s="139" t="s">
        <v>577</v>
      </c>
      <c r="C121" s="140" t="s">
        <v>1338</v>
      </c>
      <c r="D121" s="140">
        <v>5</v>
      </c>
      <c r="E121" s="139" t="s">
        <v>1339</v>
      </c>
      <c r="F121" s="139" t="s">
        <v>580</v>
      </c>
      <c r="G121" s="140" t="s">
        <v>1338</v>
      </c>
      <c r="H121" s="139" t="s">
        <v>1340</v>
      </c>
      <c r="I121" s="140" t="s">
        <v>421</v>
      </c>
      <c r="J121" s="139" t="s">
        <v>582</v>
      </c>
      <c r="K121" s="139" t="s">
        <v>583</v>
      </c>
      <c r="L121" s="139" t="s">
        <v>583</v>
      </c>
      <c r="M121" s="139" t="s">
        <v>583</v>
      </c>
      <c r="N121" s="139" t="s">
        <v>1169</v>
      </c>
      <c r="O121" s="139" t="s">
        <v>1246</v>
      </c>
      <c r="P121" s="139" t="s">
        <v>583</v>
      </c>
      <c r="Q121" s="139" t="s">
        <v>583</v>
      </c>
      <c r="R121" s="140">
        <v>1</v>
      </c>
      <c r="S121" s="140">
        <v>0</v>
      </c>
      <c r="T121" s="140">
        <v>1</v>
      </c>
      <c r="U121" s="140">
        <v>30</v>
      </c>
      <c r="V121" s="139" t="s">
        <v>907</v>
      </c>
      <c r="W121" s="139" t="s">
        <v>908</v>
      </c>
      <c r="X121" s="139" t="s">
        <v>909</v>
      </c>
      <c r="Y121" s="139" t="s">
        <v>910</v>
      </c>
      <c r="Z121" s="139" t="s">
        <v>644</v>
      </c>
      <c r="AA121" s="139" t="s">
        <v>911</v>
      </c>
      <c r="AB121" s="139" t="s">
        <v>907</v>
      </c>
      <c r="AC121" s="139" t="s">
        <v>908</v>
      </c>
      <c r="AD121" s="139" t="s">
        <v>909</v>
      </c>
      <c r="AE121" s="139" t="s">
        <v>910</v>
      </c>
      <c r="AF121" s="139" t="s">
        <v>644</v>
      </c>
      <c r="AG121" s="139" t="s">
        <v>911</v>
      </c>
      <c r="AH121" s="139" t="s">
        <v>592</v>
      </c>
      <c r="AI121" s="139" t="s">
        <v>429</v>
      </c>
      <c r="AJ121" s="140">
        <v>785483.06</v>
      </c>
      <c r="AK121" s="139" t="s">
        <v>907</v>
      </c>
      <c r="AL121" s="139" t="s">
        <v>908</v>
      </c>
      <c r="AM121" s="139" t="s">
        <v>909</v>
      </c>
      <c r="AN121" s="139" t="s">
        <v>910</v>
      </c>
      <c r="AO121" s="139" t="s">
        <v>644</v>
      </c>
      <c r="AP121" s="139" t="s">
        <v>911</v>
      </c>
      <c r="AQ121" s="139" t="s">
        <v>592</v>
      </c>
      <c r="AR121" s="139" t="s">
        <v>429</v>
      </c>
      <c r="AS121" s="139" t="s">
        <v>429</v>
      </c>
      <c r="AT121" s="139" t="s">
        <v>593</v>
      </c>
      <c r="AU121" s="139" t="s">
        <v>437</v>
      </c>
      <c r="AV121" s="140">
        <v>2</v>
      </c>
      <c r="AW121" s="139" t="s">
        <v>594</v>
      </c>
      <c r="AX121" s="139" t="s">
        <v>595</v>
      </c>
      <c r="AY121" s="139" t="s">
        <v>722</v>
      </c>
      <c r="AZ121" s="140">
        <v>1</v>
      </c>
      <c r="BA121" s="139" t="s">
        <v>597</v>
      </c>
      <c r="BB121" s="140">
        <v>9000</v>
      </c>
      <c r="BC121" s="140">
        <v>776493</v>
      </c>
      <c r="BD121" s="140">
        <v>9829.68</v>
      </c>
      <c r="BE121" s="140">
        <v>86.277000000000001</v>
      </c>
      <c r="BF121" s="139" t="s">
        <v>880</v>
      </c>
      <c r="BG121" s="139" t="s">
        <v>583</v>
      </c>
      <c r="BH121" s="139" t="s">
        <v>1171</v>
      </c>
      <c r="BI121" s="139" t="s">
        <v>598</v>
      </c>
      <c r="BJ121" s="139" t="s">
        <v>624</v>
      </c>
      <c r="BK121" s="139" t="s">
        <v>914</v>
      </c>
      <c r="BL121" s="139" t="s">
        <v>583</v>
      </c>
      <c r="BM121" s="139" t="s">
        <v>915</v>
      </c>
      <c r="BN121" s="139" t="s">
        <v>916</v>
      </c>
      <c r="BO121" s="139" t="s">
        <v>917</v>
      </c>
      <c r="BP121" s="139" t="s">
        <v>918</v>
      </c>
      <c r="BQ121" s="139" t="s">
        <v>772</v>
      </c>
      <c r="BR121" s="140">
        <v>1</v>
      </c>
      <c r="BS121" s="139" t="s">
        <v>1247</v>
      </c>
      <c r="BT121" s="99">
        <f t="shared" si="6"/>
        <v>0</v>
      </c>
      <c r="BU121" s="99">
        <f t="shared" si="6"/>
        <v>1</v>
      </c>
      <c r="BV121" s="99">
        <f t="shared" si="4"/>
        <v>1</v>
      </c>
      <c r="BW121" s="139" t="s">
        <v>602</v>
      </c>
      <c r="BX121" s="139" t="s">
        <v>1169</v>
      </c>
      <c r="BY121" s="140">
        <v>30</v>
      </c>
      <c r="BZ121" s="140">
        <v>0</v>
      </c>
      <c r="CA121" s="99">
        <v>6000</v>
      </c>
      <c r="CB121" s="140" t="s">
        <v>603</v>
      </c>
      <c r="CC121" s="140">
        <v>0</v>
      </c>
      <c r="CD121" s="140"/>
      <c r="CE121" s="139" t="s">
        <v>577</v>
      </c>
      <c r="CF121" s="139" t="s">
        <v>604</v>
      </c>
      <c r="CG121" s="139" t="s">
        <v>583</v>
      </c>
      <c r="CH121" s="139" t="s">
        <v>583</v>
      </c>
      <c r="CI121" s="139" t="s">
        <v>592</v>
      </c>
      <c r="CJ121" s="140">
        <v>630</v>
      </c>
      <c r="CK121" s="140" t="s">
        <v>605</v>
      </c>
      <c r="CL121" s="140">
        <v>4000000</v>
      </c>
      <c r="CM121" s="99">
        <v>600</v>
      </c>
      <c r="CN121" s="140">
        <v>0</v>
      </c>
      <c r="CO121" s="139" t="s">
        <v>583</v>
      </c>
      <c r="CP121" s="139" t="s">
        <v>583</v>
      </c>
      <c r="CQ121" s="140">
        <v>9000</v>
      </c>
      <c r="CR121" s="140">
        <v>776493</v>
      </c>
      <c r="CS121" s="140">
        <v>0</v>
      </c>
      <c r="CT121" s="140">
        <v>1</v>
      </c>
      <c r="CU121" s="140">
        <v>785483.06</v>
      </c>
      <c r="CV121" s="99">
        <v>9829.68</v>
      </c>
      <c r="CW121" s="139" t="s">
        <v>606</v>
      </c>
      <c r="CX121" s="140">
        <v>16.3828</v>
      </c>
      <c r="CY121" s="140"/>
      <c r="CZ121" s="140"/>
      <c r="DA121" s="140" t="s">
        <v>920</v>
      </c>
      <c r="DB121" s="140">
        <v>1179</v>
      </c>
      <c r="DC121" s="140"/>
    </row>
    <row r="122" spans="2:107" ht="11.25" customHeight="1" x14ac:dyDescent="0.15">
      <c r="B122" s="139" t="s">
        <v>577</v>
      </c>
      <c r="C122" s="140" t="s">
        <v>1338</v>
      </c>
      <c r="D122" s="140">
        <v>5</v>
      </c>
      <c r="E122" s="139" t="s">
        <v>1341</v>
      </c>
      <c r="F122" s="139" t="s">
        <v>796</v>
      </c>
      <c r="G122" s="140" t="s">
        <v>1342</v>
      </c>
      <c r="H122" s="139" t="s">
        <v>1343</v>
      </c>
      <c r="I122" s="140" t="s">
        <v>421</v>
      </c>
      <c r="J122" s="139" t="s">
        <v>582</v>
      </c>
      <c r="K122" s="139" t="s">
        <v>1133</v>
      </c>
      <c r="L122" s="139" t="s">
        <v>583</v>
      </c>
      <c r="M122" s="139" t="s">
        <v>583</v>
      </c>
      <c r="N122" s="139" t="s">
        <v>1344</v>
      </c>
      <c r="O122" s="139" t="s">
        <v>1345</v>
      </c>
      <c r="P122" s="139" t="s">
        <v>583</v>
      </c>
      <c r="Q122" s="139" t="s">
        <v>583</v>
      </c>
      <c r="R122" s="140">
        <v>1</v>
      </c>
      <c r="S122" s="140">
        <v>0</v>
      </c>
      <c r="T122" s="140">
        <v>1</v>
      </c>
      <c r="U122" s="140">
        <v>109</v>
      </c>
      <c r="V122" s="139" t="s">
        <v>799</v>
      </c>
      <c r="W122" s="139" t="s">
        <v>800</v>
      </c>
      <c r="X122" s="139" t="s">
        <v>1346</v>
      </c>
      <c r="Y122" s="139" t="s">
        <v>1347</v>
      </c>
      <c r="Z122" s="139" t="s">
        <v>803</v>
      </c>
      <c r="AA122" s="139" t="s">
        <v>804</v>
      </c>
      <c r="AB122" s="139" t="s">
        <v>799</v>
      </c>
      <c r="AC122" s="139" t="s">
        <v>800</v>
      </c>
      <c r="AD122" s="139" t="s">
        <v>1346</v>
      </c>
      <c r="AE122" s="139" t="s">
        <v>1347</v>
      </c>
      <c r="AF122" s="139" t="s">
        <v>803</v>
      </c>
      <c r="AG122" s="139" t="s">
        <v>804</v>
      </c>
      <c r="AH122" s="139" t="s">
        <v>751</v>
      </c>
      <c r="AI122" s="139" t="s">
        <v>433</v>
      </c>
      <c r="AJ122" s="140">
        <v>6693317.8899999997</v>
      </c>
      <c r="AK122" s="139" t="s">
        <v>799</v>
      </c>
      <c r="AL122" s="139" t="s">
        <v>800</v>
      </c>
      <c r="AM122" s="139" t="s">
        <v>1346</v>
      </c>
      <c r="AN122" s="139" t="s">
        <v>1347</v>
      </c>
      <c r="AO122" s="139" t="s">
        <v>803</v>
      </c>
      <c r="AP122" s="139" t="s">
        <v>804</v>
      </c>
      <c r="AQ122" s="139" t="s">
        <v>751</v>
      </c>
      <c r="AR122" s="139" t="s">
        <v>433</v>
      </c>
      <c r="AS122" s="139" t="s">
        <v>433</v>
      </c>
      <c r="AT122" s="139" t="s">
        <v>593</v>
      </c>
      <c r="AU122" s="139" t="s">
        <v>437</v>
      </c>
      <c r="AV122" s="140">
        <v>2</v>
      </c>
      <c r="AW122" s="139" t="s">
        <v>594</v>
      </c>
      <c r="AX122" s="139" t="s">
        <v>653</v>
      </c>
      <c r="AY122" s="139" t="s">
        <v>805</v>
      </c>
      <c r="AZ122" s="140">
        <v>1</v>
      </c>
      <c r="BA122" s="139" t="s">
        <v>597</v>
      </c>
      <c r="BB122" s="140">
        <v>77579.399999999994</v>
      </c>
      <c r="BC122" s="140">
        <v>6693318</v>
      </c>
      <c r="BD122" s="140">
        <v>83761.440000000002</v>
      </c>
      <c r="BE122" s="140">
        <v>86.277000000000001</v>
      </c>
      <c r="BF122" s="139" t="s">
        <v>880</v>
      </c>
      <c r="BG122" s="139" t="s">
        <v>606</v>
      </c>
      <c r="BH122" s="139" t="s">
        <v>806</v>
      </c>
      <c r="BI122" s="139" t="s">
        <v>598</v>
      </c>
      <c r="BJ122" s="139" t="s">
        <v>599</v>
      </c>
      <c r="BK122" s="139" t="s">
        <v>583</v>
      </c>
      <c r="BL122" s="139" t="s">
        <v>583</v>
      </c>
      <c r="BM122" s="139" t="s">
        <v>583</v>
      </c>
      <c r="BN122" s="139" t="s">
        <v>808</v>
      </c>
      <c r="BO122" s="139" t="s">
        <v>809</v>
      </c>
      <c r="BP122" s="139" t="s">
        <v>1348</v>
      </c>
      <c r="BQ122" s="139" t="s">
        <v>811</v>
      </c>
      <c r="BR122" s="140">
        <v>1</v>
      </c>
      <c r="BS122" s="139" t="s">
        <v>1349</v>
      </c>
      <c r="BT122" s="99">
        <f t="shared" si="6"/>
        <v>0</v>
      </c>
      <c r="BU122" s="99">
        <f t="shared" si="6"/>
        <v>0</v>
      </c>
      <c r="BV122" s="99">
        <f t="shared" si="4"/>
        <v>0</v>
      </c>
      <c r="BW122" s="139" t="s">
        <v>602</v>
      </c>
      <c r="BX122" s="139" t="s">
        <v>997</v>
      </c>
      <c r="BY122" s="140">
        <v>109</v>
      </c>
      <c r="BZ122" s="140">
        <v>0</v>
      </c>
      <c r="CA122" s="99">
        <v>21800</v>
      </c>
      <c r="CB122" s="140" t="s">
        <v>603</v>
      </c>
      <c r="CC122" s="140">
        <v>0</v>
      </c>
      <c r="CD122" s="140"/>
      <c r="CE122" s="139" t="s">
        <v>577</v>
      </c>
      <c r="CF122" s="139" t="s">
        <v>775</v>
      </c>
      <c r="CG122" s="139" t="s">
        <v>583</v>
      </c>
      <c r="CH122" s="139" t="s">
        <v>583</v>
      </c>
      <c r="CI122" s="139" t="s">
        <v>751</v>
      </c>
      <c r="CJ122" s="140">
        <v>2136.4</v>
      </c>
      <c r="CK122" s="140" t="s">
        <v>657</v>
      </c>
      <c r="CL122" s="140">
        <v>4000000</v>
      </c>
      <c r="CM122" s="99">
        <v>1744</v>
      </c>
      <c r="CN122" s="140">
        <v>0</v>
      </c>
      <c r="CO122" s="139" t="s">
        <v>583</v>
      </c>
      <c r="CP122" s="139" t="s">
        <v>583</v>
      </c>
      <c r="CQ122" s="140">
        <v>77579.399999999994</v>
      </c>
      <c r="CR122" s="140">
        <v>6693318</v>
      </c>
      <c r="CS122" s="140">
        <v>0</v>
      </c>
      <c r="CT122" s="140">
        <v>1</v>
      </c>
      <c r="CU122" s="140">
        <v>6693317.8899999997</v>
      </c>
      <c r="CV122" s="99">
        <v>83761.440000000002</v>
      </c>
      <c r="CW122" s="139" t="s">
        <v>606</v>
      </c>
      <c r="CX122" s="140">
        <v>48.028300000000002</v>
      </c>
      <c r="CY122" s="140">
        <v>1507</v>
      </c>
      <c r="CZ122" s="140" t="s">
        <v>1350</v>
      </c>
      <c r="DA122" s="140" t="s">
        <v>1351</v>
      </c>
      <c r="DB122" s="140">
        <v>8</v>
      </c>
      <c r="DC122" s="140"/>
    </row>
    <row r="123" spans="2:107" ht="11.25" customHeight="1" x14ac:dyDescent="0.15">
      <c r="B123" s="139" t="s">
        <v>577</v>
      </c>
      <c r="C123" s="140" t="s">
        <v>1338</v>
      </c>
      <c r="D123" s="140">
        <v>5</v>
      </c>
      <c r="E123" s="139" t="s">
        <v>1352</v>
      </c>
      <c r="F123" s="139" t="s">
        <v>718</v>
      </c>
      <c r="G123" s="140" t="s">
        <v>1338</v>
      </c>
      <c r="H123" s="139" t="s">
        <v>1353</v>
      </c>
      <c r="I123" s="140" t="s">
        <v>421</v>
      </c>
      <c r="J123" s="139" t="s">
        <v>582</v>
      </c>
      <c r="K123" s="139" t="s">
        <v>583</v>
      </c>
      <c r="L123" s="139" t="s">
        <v>583</v>
      </c>
      <c r="M123" s="139" t="s">
        <v>583</v>
      </c>
      <c r="N123" s="139" t="s">
        <v>720</v>
      </c>
      <c r="O123" s="139" t="s">
        <v>1310</v>
      </c>
      <c r="P123" s="139" t="s">
        <v>583</v>
      </c>
      <c r="Q123" s="139" t="s">
        <v>583</v>
      </c>
      <c r="R123" s="140">
        <v>1</v>
      </c>
      <c r="S123" s="140"/>
      <c r="T123" s="140">
        <v>1</v>
      </c>
      <c r="U123" s="140">
        <v>100</v>
      </c>
      <c r="V123" s="139" t="s">
        <v>662</v>
      </c>
      <c r="W123" s="139" t="s">
        <v>663</v>
      </c>
      <c r="X123" s="139" t="s">
        <v>664</v>
      </c>
      <c r="Y123" s="139" t="s">
        <v>665</v>
      </c>
      <c r="Z123" s="139" t="s">
        <v>666</v>
      </c>
      <c r="AA123" s="139" t="s">
        <v>667</v>
      </c>
      <c r="AB123" s="139" t="s">
        <v>662</v>
      </c>
      <c r="AC123" s="139" t="s">
        <v>663</v>
      </c>
      <c r="AD123" s="139" t="s">
        <v>664</v>
      </c>
      <c r="AE123" s="139" t="s">
        <v>665</v>
      </c>
      <c r="AF123" s="139" t="s">
        <v>666</v>
      </c>
      <c r="AG123" s="139" t="s">
        <v>667</v>
      </c>
      <c r="AH123" s="139" t="s">
        <v>592</v>
      </c>
      <c r="AI123" s="139" t="s">
        <v>429</v>
      </c>
      <c r="AJ123" s="140">
        <v>2610742.02</v>
      </c>
      <c r="AK123" s="139" t="s">
        <v>662</v>
      </c>
      <c r="AL123" s="139" t="s">
        <v>663</v>
      </c>
      <c r="AM123" s="139" t="s">
        <v>664</v>
      </c>
      <c r="AN123" s="139" t="s">
        <v>665</v>
      </c>
      <c r="AO123" s="139" t="s">
        <v>666</v>
      </c>
      <c r="AP123" s="139" t="s">
        <v>667</v>
      </c>
      <c r="AQ123" s="139" t="s">
        <v>592</v>
      </c>
      <c r="AR123" s="139" t="s">
        <v>429</v>
      </c>
      <c r="AS123" s="139" t="s">
        <v>429</v>
      </c>
      <c r="AT123" s="139" t="s">
        <v>593</v>
      </c>
      <c r="AU123" s="139" t="s">
        <v>437</v>
      </c>
      <c r="AV123" s="140">
        <v>2</v>
      </c>
      <c r="AW123" s="139" t="s">
        <v>594</v>
      </c>
      <c r="AX123" s="139" t="s">
        <v>595</v>
      </c>
      <c r="AY123" s="139" t="s">
        <v>722</v>
      </c>
      <c r="AZ123" s="140">
        <v>1</v>
      </c>
      <c r="BA123" s="139" t="s">
        <v>597</v>
      </c>
      <c r="BB123" s="140">
        <v>30000</v>
      </c>
      <c r="BC123" s="140">
        <v>2588310</v>
      </c>
      <c r="BD123" s="140">
        <v>32671.32</v>
      </c>
      <c r="BE123" s="140">
        <v>86.277000000000001</v>
      </c>
      <c r="BF123" s="139" t="s">
        <v>880</v>
      </c>
      <c r="BG123" s="139" t="s">
        <v>583</v>
      </c>
      <c r="BH123" s="139" t="s">
        <v>924</v>
      </c>
      <c r="BI123" s="139" t="s">
        <v>598</v>
      </c>
      <c r="BJ123" s="139" t="s">
        <v>599</v>
      </c>
      <c r="BK123" s="139" t="s">
        <v>583</v>
      </c>
      <c r="BL123" s="139" t="s">
        <v>583</v>
      </c>
      <c r="BM123" s="139" t="s">
        <v>583</v>
      </c>
      <c r="BN123" s="139" t="s">
        <v>842</v>
      </c>
      <c r="BO123" s="139" t="s">
        <v>843</v>
      </c>
      <c r="BP123" s="139" t="s">
        <v>925</v>
      </c>
      <c r="BQ123" s="139" t="s">
        <v>723</v>
      </c>
      <c r="BR123" s="140">
        <v>1</v>
      </c>
      <c r="BS123" s="139" t="s">
        <v>724</v>
      </c>
      <c r="BT123" s="99">
        <f t="shared" si="6"/>
        <v>1</v>
      </c>
      <c r="BU123" s="99">
        <f t="shared" si="6"/>
        <v>0</v>
      </c>
      <c r="BV123" s="99">
        <f t="shared" si="4"/>
        <v>1</v>
      </c>
      <c r="BW123" s="139" t="s">
        <v>725</v>
      </c>
      <c r="BX123" s="139" t="s">
        <v>1157</v>
      </c>
      <c r="BY123" s="140">
        <v>100</v>
      </c>
      <c r="BZ123" s="140"/>
      <c r="CA123" s="99">
        <v>20000</v>
      </c>
      <c r="CB123" s="140" t="s">
        <v>603</v>
      </c>
      <c r="CC123" s="140"/>
      <c r="CD123" s="140"/>
      <c r="CE123" s="139" t="s">
        <v>577</v>
      </c>
      <c r="CF123" s="139" t="s">
        <v>604</v>
      </c>
      <c r="CG123" s="139" t="s">
        <v>583</v>
      </c>
      <c r="CH123" s="139" t="s">
        <v>583</v>
      </c>
      <c r="CI123" s="139" t="s">
        <v>592</v>
      </c>
      <c r="CJ123" s="140">
        <v>2100</v>
      </c>
      <c r="CK123" s="140" t="s">
        <v>605</v>
      </c>
      <c r="CL123" s="140">
        <v>4000000</v>
      </c>
      <c r="CM123" s="99">
        <v>2000</v>
      </c>
      <c r="CN123" s="140"/>
      <c r="CO123" s="139" t="s">
        <v>583</v>
      </c>
      <c r="CP123" s="139" t="s">
        <v>583</v>
      </c>
      <c r="CQ123" s="140">
        <v>30000</v>
      </c>
      <c r="CR123" s="140">
        <v>2588310</v>
      </c>
      <c r="CS123" s="140">
        <v>0</v>
      </c>
      <c r="CT123" s="140">
        <v>1</v>
      </c>
      <c r="CU123" s="140">
        <v>2610742.02</v>
      </c>
      <c r="CV123" s="99">
        <v>32671.32</v>
      </c>
      <c r="CW123" s="139" t="s">
        <v>606</v>
      </c>
      <c r="CX123" s="140">
        <v>16.335699999999999</v>
      </c>
      <c r="CY123" s="140"/>
      <c r="CZ123" s="140"/>
      <c r="DA123" s="140" t="s">
        <v>926</v>
      </c>
      <c r="DB123" s="140">
        <v>14</v>
      </c>
      <c r="DC123" s="140"/>
    </row>
    <row r="124" spans="2:107" ht="11.25" customHeight="1" x14ac:dyDescent="0.15">
      <c r="B124" s="139" t="s">
        <v>577</v>
      </c>
      <c r="C124" s="140" t="s">
        <v>1338</v>
      </c>
      <c r="D124" s="140">
        <v>5</v>
      </c>
      <c r="E124" s="139" t="s">
        <v>1354</v>
      </c>
      <c r="F124" s="139" t="s">
        <v>580</v>
      </c>
      <c r="G124" s="140" t="s">
        <v>1355</v>
      </c>
      <c r="H124" s="139" t="s">
        <v>1356</v>
      </c>
      <c r="I124" s="140" t="s">
        <v>421</v>
      </c>
      <c r="J124" s="139" t="s">
        <v>582</v>
      </c>
      <c r="K124" s="139" t="s">
        <v>583</v>
      </c>
      <c r="L124" s="139" t="s">
        <v>583</v>
      </c>
      <c r="M124" s="139" t="s">
        <v>583</v>
      </c>
      <c r="N124" s="139" t="s">
        <v>1067</v>
      </c>
      <c r="O124" s="139" t="s">
        <v>1302</v>
      </c>
      <c r="P124" s="139" t="s">
        <v>583</v>
      </c>
      <c r="Q124" s="139" t="s">
        <v>583</v>
      </c>
      <c r="R124" s="140">
        <v>2</v>
      </c>
      <c r="S124" s="140">
        <v>0</v>
      </c>
      <c r="T124" s="140">
        <v>2</v>
      </c>
      <c r="U124" s="140">
        <v>25</v>
      </c>
      <c r="V124" s="139" t="s">
        <v>1069</v>
      </c>
      <c r="W124" s="139" t="s">
        <v>1070</v>
      </c>
      <c r="X124" s="139" t="s">
        <v>1071</v>
      </c>
      <c r="Y124" s="139" t="s">
        <v>1072</v>
      </c>
      <c r="Z124" s="139" t="s">
        <v>590</v>
      </c>
      <c r="AA124" s="139" t="s">
        <v>1073</v>
      </c>
      <c r="AB124" s="139" t="s">
        <v>1069</v>
      </c>
      <c r="AC124" s="139" t="s">
        <v>1070</v>
      </c>
      <c r="AD124" s="139" t="s">
        <v>1071</v>
      </c>
      <c r="AE124" s="139" t="s">
        <v>1072</v>
      </c>
      <c r="AF124" s="139" t="s">
        <v>590</v>
      </c>
      <c r="AG124" s="139" t="s">
        <v>1073</v>
      </c>
      <c r="AH124" s="139" t="s">
        <v>1074</v>
      </c>
      <c r="AI124" s="139" t="s">
        <v>435</v>
      </c>
      <c r="AJ124" s="140">
        <v>6522023.54</v>
      </c>
      <c r="AK124" s="139" t="s">
        <v>1069</v>
      </c>
      <c r="AL124" s="139" t="s">
        <v>1070</v>
      </c>
      <c r="AM124" s="139" t="s">
        <v>1071</v>
      </c>
      <c r="AN124" s="139" t="s">
        <v>1072</v>
      </c>
      <c r="AO124" s="139" t="s">
        <v>590</v>
      </c>
      <c r="AP124" s="139" t="s">
        <v>1073</v>
      </c>
      <c r="AQ124" s="139" t="s">
        <v>1074</v>
      </c>
      <c r="AR124" s="139" t="s">
        <v>435</v>
      </c>
      <c r="AS124" s="139" t="s">
        <v>435</v>
      </c>
      <c r="AT124" s="139" t="s">
        <v>593</v>
      </c>
      <c r="AU124" s="139" t="s">
        <v>437</v>
      </c>
      <c r="AV124" s="140">
        <v>2</v>
      </c>
      <c r="AW124" s="139" t="s">
        <v>594</v>
      </c>
      <c r="AX124" s="139" t="s">
        <v>653</v>
      </c>
      <c r="AY124" s="139" t="s">
        <v>1075</v>
      </c>
      <c r="AZ124" s="140">
        <v>1</v>
      </c>
      <c r="BA124" s="139" t="s">
        <v>597</v>
      </c>
      <c r="BB124" s="140">
        <v>75594</v>
      </c>
      <c r="BC124" s="140">
        <v>6522024</v>
      </c>
      <c r="BD124" s="140">
        <v>81617.83</v>
      </c>
      <c r="BE124" s="140">
        <v>86.277000000000001</v>
      </c>
      <c r="BF124" s="139" t="s">
        <v>880</v>
      </c>
      <c r="BG124" s="139" t="s">
        <v>583</v>
      </c>
      <c r="BH124" s="139" t="s">
        <v>1076</v>
      </c>
      <c r="BI124" s="139" t="s">
        <v>598</v>
      </c>
      <c r="BJ124" s="139" t="s">
        <v>599</v>
      </c>
      <c r="BK124" s="139" t="s">
        <v>583</v>
      </c>
      <c r="BL124" s="139" t="s">
        <v>583</v>
      </c>
      <c r="BM124" s="139" t="s">
        <v>583</v>
      </c>
      <c r="BN124" s="139" t="s">
        <v>842</v>
      </c>
      <c r="BO124" s="139" t="s">
        <v>843</v>
      </c>
      <c r="BP124" s="139" t="s">
        <v>925</v>
      </c>
      <c r="BQ124" s="139" t="s">
        <v>723</v>
      </c>
      <c r="BR124" s="140">
        <v>2</v>
      </c>
      <c r="BS124" s="139" t="s">
        <v>1077</v>
      </c>
      <c r="BT124" s="99">
        <f t="shared" si="6"/>
        <v>1</v>
      </c>
      <c r="BU124" s="99">
        <f t="shared" si="6"/>
        <v>0</v>
      </c>
      <c r="BV124" s="99">
        <f t="shared" si="4"/>
        <v>1</v>
      </c>
      <c r="BW124" s="139" t="s">
        <v>1078</v>
      </c>
      <c r="BX124" s="139" t="s">
        <v>1257</v>
      </c>
      <c r="BY124" s="140">
        <v>2</v>
      </c>
      <c r="BZ124" s="140">
        <v>0</v>
      </c>
      <c r="CA124" s="99">
        <v>7000</v>
      </c>
      <c r="CB124" s="140" t="s">
        <v>603</v>
      </c>
      <c r="CC124" s="140">
        <v>0</v>
      </c>
      <c r="CD124" s="140"/>
      <c r="CE124" s="139" t="s">
        <v>1080</v>
      </c>
      <c r="CF124" s="139" t="s">
        <v>604</v>
      </c>
      <c r="CG124" s="139" t="s">
        <v>583</v>
      </c>
      <c r="CH124" s="139" t="s">
        <v>583</v>
      </c>
      <c r="CI124" s="139" t="s">
        <v>1074</v>
      </c>
      <c r="CJ124" s="140">
        <v>730</v>
      </c>
      <c r="CK124" s="140" t="s">
        <v>605</v>
      </c>
      <c r="CL124" s="140">
        <v>4000000</v>
      </c>
      <c r="CM124" s="99">
        <v>665</v>
      </c>
      <c r="CN124" s="140">
        <v>0</v>
      </c>
      <c r="CO124" s="139" t="s">
        <v>583</v>
      </c>
      <c r="CP124" s="139" t="s">
        <v>583</v>
      </c>
      <c r="CQ124" s="140">
        <v>11251.73</v>
      </c>
      <c r="CR124" s="140">
        <v>970766</v>
      </c>
      <c r="CS124" s="140">
        <v>0</v>
      </c>
      <c r="CT124" s="140">
        <v>1</v>
      </c>
      <c r="CU124" s="140">
        <v>970765.51</v>
      </c>
      <c r="CV124" s="99">
        <v>12148.34</v>
      </c>
      <c r="CW124" s="139" t="s">
        <v>606</v>
      </c>
      <c r="CX124" s="140">
        <v>18.2682</v>
      </c>
      <c r="CY124" s="140"/>
      <c r="CZ124" s="140"/>
      <c r="DA124" s="140" t="s">
        <v>1081</v>
      </c>
      <c r="DB124" s="140">
        <v>1344</v>
      </c>
      <c r="DC124" s="140"/>
    </row>
    <row r="125" spans="2:107" ht="11.25" customHeight="1" x14ac:dyDescent="0.15">
      <c r="B125" s="139" t="s">
        <v>577</v>
      </c>
      <c r="C125" s="140" t="s">
        <v>1355</v>
      </c>
      <c r="D125" s="140">
        <v>5</v>
      </c>
      <c r="E125" s="139" t="s">
        <v>1357</v>
      </c>
      <c r="F125" s="139" t="s">
        <v>618</v>
      </c>
      <c r="G125" s="140" t="s">
        <v>1355</v>
      </c>
      <c r="H125" s="139" t="s">
        <v>1358</v>
      </c>
      <c r="I125" s="140" t="s">
        <v>421</v>
      </c>
      <c r="J125" s="139" t="s">
        <v>582</v>
      </c>
      <c r="K125" s="139" t="s">
        <v>583</v>
      </c>
      <c r="L125" s="139" t="s">
        <v>583</v>
      </c>
      <c r="M125" s="139" t="s">
        <v>583</v>
      </c>
      <c r="N125" s="139" t="s">
        <v>650</v>
      </c>
      <c r="O125" s="139" t="s">
        <v>1359</v>
      </c>
      <c r="P125" s="139" t="s">
        <v>583</v>
      </c>
      <c r="Q125" s="139" t="s">
        <v>583</v>
      </c>
      <c r="R125" s="140">
        <v>1</v>
      </c>
      <c r="S125" s="140">
        <v>0</v>
      </c>
      <c r="T125" s="140">
        <v>1</v>
      </c>
      <c r="U125" s="140">
        <v>223</v>
      </c>
      <c r="V125" s="139" t="s">
        <v>586</v>
      </c>
      <c r="W125" s="139" t="s">
        <v>587</v>
      </c>
      <c r="X125" s="139" t="s">
        <v>588</v>
      </c>
      <c r="Y125" s="139" t="s">
        <v>589</v>
      </c>
      <c r="Z125" s="139" t="s">
        <v>590</v>
      </c>
      <c r="AA125" s="139" t="s">
        <v>591</v>
      </c>
      <c r="AB125" s="139" t="s">
        <v>586</v>
      </c>
      <c r="AC125" s="139" t="s">
        <v>587</v>
      </c>
      <c r="AD125" s="139" t="s">
        <v>588</v>
      </c>
      <c r="AE125" s="139" t="s">
        <v>589</v>
      </c>
      <c r="AF125" s="139" t="s">
        <v>590</v>
      </c>
      <c r="AG125" s="139" t="s">
        <v>591</v>
      </c>
      <c r="AH125" s="139" t="s">
        <v>652</v>
      </c>
      <c r="AI125" s="139" t="s">
        <v>431</v>
      </c>
      <c r="AJ125" s="140">
        <v>25034824.539999999</v>
      </c>
      <c r="AK125" s="139" t="s">
        <v>586</v>
      </c>
      <c r="AL125" s="139" t="s">
        <v>587</v>
      </c>
      <c r="AM125" s="139" t="s">
        <v>588</v>
      </c>
      <c r="AN125" s="139" t="s">
        <v>589</v>
      </c>
      <c r="AO125" s="139" t="s">
        <v>590</v>
      </c>
      <c r="AP125" s="139" t="s">
        <v>591</v>
      </c>
      <c r="AQ125" s="139" t="s">
        <v>652</v>
      </c>
      <c r="AR125" s="139" t="s">
        <v>431</v>
      </c>
      <c r="AS125" s="139" t="s">
        <v>431</v>
      </c>
      <c r="AT125" s="139" t="s">
        <v>593</v>
      </c>
      <c r="AU125" s="139" t="s">
        <v>437</v>
      </c>
      <c r="AV125" s="140">
        <v>0</v>
      </c>
      <c r="AW125" s="139" t="s">
        <v>594</v>
      </c>
      <c r="AX125" s="139" t="s">
        <v>653</v>
      </c>
      <c r="AY125" s="139" t="s">
        <v>623</v>
      </c>
      <c r="AZ125" s="140">
        <v>1</v>
      </c>
      <c r="BA125" s="139" t="s">
        <v>597</v>
      </c>
      <c r="BB125" s="140">
        <v>290168</v>
      </c>
      <c r="BC125" s="140">
        <v>25034825</v>
      </c>
      <c r="BD125" s="140">
        <v>313290.5</v>
      </c>
      <c r="BE125" s="140">
        <v>86.277000000000001</v>
      </c>
      <c r="BF125" s="139" t="s">
        <v>880</v>
      </c>
      <c r="BG125" s="139" t="s">
        <v>582</v>
      </c>
      <c r="BH125" s="139" t="s">
        <v>970</v>
      </c>
      <c r="BI125" s="139" t="s">
        <v>598</v>
      </c>
      <c r="BJ125" s="139" t="s">
        <v>624</v>
      </c>
      <c r="BK125" s="139" t="s">
        <v>882</v>
      </c>
      <c r="BL125" s="139" t="s">
        <v>583</v>
      </c>
      <c r="BM125" s="139" t="s">
        <v>883</v>
      </c>
      <c r="BN125" s="139" t="s">
        <v>971</v>
      </c>
      <c r="BO125" s="139" t="s">
        <v>972</v>
      </c>
      <c r="BP125" s="139" t="s">
        <v>973</v>
      </c>
      <c r="BQ125" s="139" t="s">
        <v>625</v>
      </c>
      <c r="BR125" s="140">
        <v>1</v>
      </c>
      <c r="BS125" s="139" t="s">
        <v>654</v>
      </c>
      <c r="BT125" s="99">
        <f t="shared" si="6"/>
        <v>0</v>
      </c>
      <c r="BU125" s="99">
        <f t="shared" si="6"/>
        <v>1</v>
      </c>
      <c r="BV125" s="99">
        <f t="shared" si="4"/>
        <v>1</v>
      </c>
      <c r="BW125" s="139" t="s">
        <v>655</v>
      </c>
      <c r="BX125" s="139" t="s">
        <v>656</v>
      </c>
      <c r="BY125" s="140">
        <v>223</v>
      </c>
      <c r="BZ125" s="140">
        <v>0</v>
      </c>
      <c r="CA125" s="99">
        <v>44600</v>
      </c>
      <c r="CB125" s="140" t="s">
        <v>603</v>
      </c>
      <c r="CC125" s="140">
        <v>0</v>
      </c>
      <c r="CD125" s="140"/>
      <c r="CE125" s="139" t="s">
        <v>577</v>
      </c>
      <c r="CF125" s="139" t="s">
        <v>604</v>
      </c>
      <c r="CG125" s="139" t="s">
        <v>583</v>
      </c>
      <c r="CH125" s="139" t="s">
        <v>583</v>
      </c>
      <c r="CI125" s="139" t="s">
        <v>652</v>
      </c>
      <c r="CJ125" s="140">
        <v>4683</v>
      </c>
      <c r="CK125" s="140" t="s">
        <v>657</v>
      </c>
      <c r="CL125" s="140">
        <v>4000000</v>
      </c>
      <c r="CM125" s="99">
        <v>4460</v>
      </c>
      <c r="CN125" s="140">
        <v>0</v>
      </c>
      <c r="CO125" s="139" t="s">
        <v>583</v>
      </c>
      <c r="CP125" s="139" t="s">
        <v>583</v>
      </c>
      <c r="CQ125" s="140">
        <v>290168</v>
      </c>
      <c r="CR125" s="140">
        <v>25034825</v>
      </c>
      <c r="CS125" s="140">
        <v>0</v>
      </c>
      <c r="CT125" s="140">
        <v>1</v>
      </c>
      <c r="CU125" s="140">
        <v>25034824.539999999</v>
      </c>
      <c r="CV125" s="99">
        <v>313290.5</v>
      </c>
      <c r="CW125" s="139" t="s">
        <v>606</v>
      </c>
      <c r="CX125" s="140">
        <v>70.244500000000002</v>
      </c>
      <c r="CY125" s="140"/>
      <c r="CZ125" s="140"/>
      <c r="DA125" s="140" t="s">
        <v>856</v>
      </c>
      <c r="DB125" s="140">
        <v>917</v>
      </c>
      <c r="DC125" s="140"/>
    </row>
    <row r="126" spans="2:107" ht="11.25" customHeight="1" x14ac:dyDescent="0.15">
      <c r="B126" s="139" t="s">
        <v>577</v>
      </c>
      <c r="C126" s="140" t="s">
        <v>1342</v>
      </c>
      <c r="D126" s="140">
        <v>5</v>
      </c>
      <c r="E126" s="139" t="s">
        <v>1360</v>
      </c>
      <c r="F126" s="139" t="s">
        <v>729</v>
      </c>
      <c r="G126" s="140" t="s">
        <v>1342</v>
      </c>
      <c r="H126" s="139" t="s">
        <v>1361</v>
      </c>
      <c r="I126" s="140" t="s">
        <v>421</v>
      </c>
      <c r="J126" s="139" t="s">
        <v>582</v>
      </c>
      <c r="K126" s="139" t="s">
        <v>583</v>
      </c>
      <c r="L126" s="139" t="s">
        <v>583</v>
      </c>
      <c r="M126" s="139" t="s">
        <v>583</v>
      </c>
      <c r="N126" s="139" t="s">
        <v>444</v>
      </c>
      <c r="O126" s="139" t="s">
        <v>1362</v>
      </c>
      <c r="P126" s="139" t="s">
        <v>583</v>
      </c>
      <c r="Q126" s="139" t="s">
        <v>583</v>
      </c>
      <c r="R126" s="140">
        <v>1</v>
      </c>
      <c r="S126" s="140">
        <v>0</v>
      </c>
      <c r="T126" s="140">
        <v>1</v>
      </c>
      <c r="U126" s="140">
        <v>18</v>
      </c>
      <c r="V126" s="139" t="s">
        <v>709</v>
      </c>
      <c r="W126" s="139" t="s">
        <v>710</v>
      </c>
      <c r="X126" s="139" t="s">
        <v>711</v>
      </c>
      <c r="Y126" s="139" t="s">
        <v>789</v>
      </c>
      <c r="Z126" s="139" t="s">
        <v>713</v>
      </c>
      <c r="AA126" s="139" t="s">
        <v>714</v>
      </c>
      <c r="AB126" s="139" t="s">
        <v>709</v>
      </c>
      <c r="AC126" s="139" t="s">
        <v>710</v>
      </c>
      <c r="AD126" s="139" t="s">
        <v>711</v>
      </c>
      <c r="AE126" s="139" t="s">
        <v>789</v>
      </c>
      <c r="AF126" s="139" t="s">
        <v>713</v>
      </c>
      <c r="AG126" s="139" t="s">
        <v>714</v>
      </c>
      <c r="AH126" s="139" t="s">
        <v>751</v>
      </c>
      <c r="AI126" s="139" t="s">
        <v>433</v>
      </c>
      <c r="AJ126" s="140">
        <v>11249485.48</v>
      </c>
      <c r="AK126" s="139" t="s">
        <v>709</v>
      </c>
      <c r="AL126" s="139" t="s">
        <v>710</v>
      </c>
      <c r="AM126" s="139" t="s">
        <v>711</v>
      </c>
      <c r="AN126" s="139" t="s">
        <v>789</v>
      </c>
      <c r="AO126" s="139" t="s">
        <v>713</v>
      </c>
      <c r="AP126" s="139" t="s">
        <v>714</v>
      </c>
      <c r="AQ126" s="139" t="s">
        <v>751</v>
      </c>
      <c r="AR126" s="139" t="s">
        <v>433</v>
      </c>
      <c r="AS126" s="139" t="s">
        <v>433</v>
      </c>
      <c r="AT126" s="139" t="s">
        <v>593</v>
      </c>
      <c r="AU126" s="139" t="s">
        <v>437</v>
      </c>
      <c r="AV126" s="140">
        <v>2</v>
      </c>
      <c r="AW126" s="139" t="s">
        <v>594</v>
      </c>
      <c r="AX126" s="139" t="s">
        <v>653</v>
      </c>
      <c r="AY126" s="139" t="s">
        <v>790</v>
      </c>
      <c r="AZ126" s="140">
        <v>1</v>
      </c>
      <c r="BA126" s="139" t="s">
        <v>597</v>
      </c>
      <c r="BB126" s="140">
        <v>130388</v>
      </c>
      <c r="BC126" s="140">
        <v>11249485</v>
      </c>
      <c r="BD126" s="140">
        <v>140778.18</v>
      </c>
      <c r="BE126" s="140">
        <v>86.277000000000001</v>
      </c>
      <c r="BF126" s="139" t="s">
        <v>880</v>
      </c>
      <c r="BG126" s="139" t="s">
        <v>583</v>
      </c>
      <c r="BH126" s="139" t="s">
        <v>1059</v>
      </c>
      <c r="BI126" s="139" t="s">
        <v>598</v>
      </c>
      <c r="BJ126" s="139" t="s">
        <v>599</v>
      </c>
      <c r="BK126" s="139" t="s">
        <v>583</v>
      </c>
      <c r="BL126" s="139" t="s">
        <v>1060</v>
      </c>
      <c r="BM126" s="139" t="s">
        <v>583</v>
      </c>
      <c r="BN126" s="139" t="s">
        <v>842</v>
      </c>
      <c r="BO126" s="139" t="s">
        <v>1061</v>
      </c>
      <c r="BP126" s="139" t="s">
        <v>925</v>
      </c>
      <c r="BQ126" s="139" t="s">
        <v>723</v>
      </c>
      <c r="BR126" s="140">
        <v>1</v>
      </c>
      <c r="BS126" s="139" t="s">
        <v>791</v>
      </c>
      <c r="BT126" s="99">
        <f t="shared" si="6"/>
        <v>0</v>
      </c>
      <c r="BU126" s="99">
        <f t="shared" si="6"/>
        <v>0</v>
      </c>
      <c r="BV126" s="99">
        <f t="shared" si="4"/>
        <v>0</v>
      </c>
      <c r="BW126" s="139" t="s">
        <v>602</v>
      </c>
      <c r="BX126" s="139" t="s">
        <v>443</v>
      </c>
      <c r="BY126" s="140">
        <v>18</v>
      </c>
      <c r="BZ126" s="140">
        <v>0</v>
      </c>
      <c r="CA126" s="99">
        <v>86400</v>
      </c>
      <c r="CB126" s="140" t="s">
        <v>603</v>
      </c>
      <c r="CC126" s="140">
        <v>0</v>
      </c>
      <c r="CD126" s="140"/>
      <c r="CE126" s="139" t="s">
        <v>577</v>
      </c>
      <c r="CF126" s="139" t="s">
        <v>604</v>
      </c>
      <c r="CG126" s="139" t="s">
        <v>583</v>
      </c>
      <c r="CH126" s="139" t="s">
        <v>583</v>
      </c>
      <c r="CI126" s="139" t="s">
        <v>751</v>
      </c>
      <c r="CJ126" s="140">
        <v>9072</v>
      </c>
      <c r="CK126" s="140" t="s">
        <v>605</v>
      </c>
      <c r="CL126" s="140">
        <v>4000000</v>
      </c>
      <c r="CM126" s="99">
        <v>8640</v>
      </c>
      <c r="CN126" s="140">
        <v>0</v>
      </c>
      <c r="CO126" s="139" t="s">
        <v>583</v>
      </c>
      <c r="CP126" s="139" t="s">
        <v>583</v>
      </c>
      <c r="CQ126" s="140">
        <v>130388</v>
      </c>
      <c r="CR126" s="140">
        <v>11249485</v>
      </c>
      <c r="CS126" s="140">
        <v>0</v>
      </c>
      <c r="CT126" s="140">
        <v>1</v>
      </c>
      <c r="CU126" s="140">
        <v>11249485.48</v>
      </c>
      <c r="CV126" s="99">
        <v>140778.18</v>
      </c>
      <c r="CW126" s="139" t="s">
        <v>606</v>
      </c>
      <c r="CX126" s="140">
        <v>16.293800000000001</v>
      </c>
      <c r="CY126" s="140">
        <v>35</v>
      </c>
      <c r="CZ126" s="140" t="s">
        <v>1062</v>
      </c>
      <c r="DA126" s="140" t="s">
        <v>1363</v>
      </c>
      <c r="DB126" s="140">
        <v>153</v>
      </c>
      <c r="DC126" s="140"/>
    </row>
    <row r="127" spans="2:107" ht="11.25" customHeight="1" x14ac:dyDescent="0.15">
      <c r="B127" s="139" t="s">
        <v>577</v>
      </c>
      <c r="C127" s="140" t="s">
        <v>1342</v>
      </c>
      <c r="D127" s="140">
        <v>5</v>
      </c>
      <c r="E127" s="139" t="s">
        <v>1364</v>
      </c>
      <c r="F127" s="139" t="s">
        <v>618</v>
      </c>
      <c r="G127" s="140" t="s">
        <v>1342</v>
      </c>
      <c r="H127" s="139" t="s">
        <v>1365</v>
      </c>
      <c r="I127" s="140" t="s">
        <v>421</v>
      </c>
      <c r="J127" s="139" t="s">
        <v>582</v>
      </c>
      <c r="K127" s="139" t="s">
        <v>583</v>
      </c>
      <c r="L127" s="139" t="s">
        <v>583</v>
      </c>
      <c r="M127" s="139" t="s">
        <v>583</v>
      </c>
      <c r="N127" s="139" t="s">
        <v>441</v>
      </c>
      <c r="O127" s="139" t="s">
        <v>1366</v>
      </c>
      <c r="P127" s="139" t="s">
        <v>583</v>
      </c>
      <c r="Q127" s="139" t="s">
        <v>583</v>
      </c>
      <c r="R127" s="140">
        <v>1</v>
      </c>
      <c r="S127" s="140">
        <v>0</v>
      </c>
      <c r="T127" s="140">
        <v>1</v>
      </c>
      <c r="U127" s="140">
        <v>120</v>
      </c>
      <c r="V127" s="139" t="s">
        <v>640</v>
      </c>
      <c r="W127" s="139" t="s">
        <v>641</v>
      </c>
      <c r="X127" s="139" t="s">
        <v>642</v>
      </c>
      <c r="Y127" s="139" t="s">
        <v>643</v>
      </c>
      <c r="Z127" s="139" t="s">
        <v>644</v>
      </c>
      <c r="AA127" s="139" t="s">
        <v>645</v>
      </c>
      <c r="AB127" s="139" t="s">
        <v>640</v>
      </c>
      <c r="AC127" s="139" t="s">
        <v>641</v>
      </c>
      <c r="AD127" s="139" t="s">
        <v>642</v>
      </c>
      <c r="AE127" s="139" t="s">
        <v>643</v>
      </c>
      <c r="AF127" s="139" t="s">
        <v>644</v>
      </c>
      <c r="AG127" s="139" t="s">
        <v>645</v>
      </c>
      <c r="AH127" s="139" t="s">
        <v>621</v>
      </c>
      <c r="AI127" s="139" t="s">
        <v>430</v>
      </c>
      <c r="AJ127" s="140">
        <v>3147384.96</v>
      </c>
      <c r="AK127" s="139" t="s">
        <v>640</v>
      </c>
      <c r="AL127" s="139" t="s">
        <v>641</v>
      </c>
      <c r="AM127" s="139" t="s">
        <v>642</v>
      </c>
      <c r="AN127" s="139" t="s">
        <v>643</v>
      </c>
      <c r="AO127" s="139" t="s">
        <v>644</v>
      </c>
      <c r="AP127" s="139" t="s">
        <v>645</v>
      </c>
      <c r="AQ127" s="139" t="s">
        <v>621</v>
      </c>
      <c r="AR127" s="139" t="s">
        <v>430</v>
      </c>
      <c r="AS127" s="139" t="s">
        <v>430</v>
      </c>
      <c r="AT127" s="139" t="s">
        <v>593</v>
      </c>
      <c r="AU127" s="139" t="s">
        <v>437</v>
      </c>
      <c r="AV127" s="140">
        <v>0</v>
      </c>
      <c r="AW127" s="139" t="s">
        <v>594</v>
      </c>
      <c r="AX127" s="139" t="s">
        <v>622</v>
      </c>
      <c r="AY127" s="139" t="s">
        <v>646</v>
      </c>
      <c r="AZ127" s="140">
        <v>1</v>
      </c>
      <c r="BA127" s="139" t="s">
        <v>597</v>
      </c>
      <c r="BB127" s="140">
        <v>36480</v>
      </c>
      <c r="BC127" s="140">
        <v>3147385</v>
      </c>
      <c r="BD127" s="140">
        <v>39386.97</v>
      </c>
      <c r="BE127" s="140">
        <v>86.277000000000001</v>
      </c>
      <c r="BF127" s="139" t="s">
        <v>880</v>
      </c>
      <c r="BG127" s="139" t="s">
        <v>582</v>
      </c>
      <c r="BH127" s="139" t="s">
        <v>938</v>
      </c>
      <c r="BI127" s="139" t="s">
        <v>598</v>
      </c>
      <c r="BJ127" s="139" t="s">
        <v>624</v>
      </c>
      <c r="BK127" s="139" t="s">
        <v>882</v>
      </c>
      <c r="BL127" s="139" t="s">
        <v>583</v>
      </c>
      <c r="BM127" s="139" t="s">
        <v>939</v>
      </c>
      <c r="BN127" s="139" t="s">
        <v>583</v>
      </c>
      <c r="BO127" s="139" t="s">
        <v>623</v>
      </c>
      <c r="BP127" s="139" t="s">
        <v>884</v>
      </c>
      <c r="BQ127" s="139" t="s">
        <v>625</v>
      </c>
      <c r="BR127" s="140">
        <v>1</v>
      </c>
      <c r="BS127" s="139" t="s">
        <v>1367</v>
      </c>
      <c r="BT127" s="99">
        <f t="shared" si="6"/>
        <v>0</v>
      </c>
      <c r="BU127" s="99">
        <f t="shared" si="6"/>
        <v>0</v>
      </c>
      <c r="BV127" s="99">
        <f t="shared" si="4"/>
        <v>0</v>
      </c>
      <c r="BW127" s="139" t="s">
        <v>446</v>
      </c>
      <c r="BX127" s="139" t="s">
        <v>441</v>
      </c>
      <c r="BY127" s="140">
        <v>120</v>
      </c>
      <c r="BZ127" s="140">
        <v>0</v>
      </c>
      <c r="CA127" s="99">
        <v>24000</v>
      </c>
      <c r="CB127" s="140" t="s">
        <v>603</v>
      </c>
      <c r="CC127" s="140">
        <v>0</v>
      </c>
      <c r="CD127" s="140"/>
      <c r="CE127" s="139" t="s">
        <v>577</v>
      </c>
      <c r="CF127" s="139" t="s">
        <v>604</v>
      </c>
      <c r="CG127" s="139" t="s">
        <v>583</v>
      </c>
      <c r="CH127" s="139" t="s">
        <v>583</v>
      </c>
      <c r="CI127" s="139" t="s">
        <v>621</v>
      </c>
      <c r="CJ127" s="140">
        <v>2400</v>
      </c>
      <c r="CK127" s="140" t="s">
        <v>605</v>
      </c>
      <c r="CL127" s="140">
        <v>4000000</v>
      </c>
      <c r="CM127" s="99">
        <v>2160</v>
      </c>
      <c r="CN127" s="140">
        <v>0</v>
      </c>
      <c r="CO127" s="139" t="s">
        <v>583</v>
      </c>
      <c r="CP127" s="139" t="s">
        <v>583</v>
      </c>
      <c r="CQ127" s="140">
        <v>36480</v>
      </c>
      <c r="CR127" s="140">
        <v>3147385</v>
      </c>
      <c r="CS127" s="140">
        <v>0</v>
      </c>
      <c r="CT127" s="140">
        <v>1</v>
      </c>
      <c r="CU127" s="140">
        <v>3147384.96</v>
      </c>
      <c r="CV127" s="99">
        <v>39386.97</v>
      </c>
      <c r="CW127" s="139" t="s">
        <v>606</v>
      </c>
      <c r="CX127" s="140">
        <v>18.2347</v>
      </c>
      <c r="CY127" s="140"/>
      <c r="CZ127" s="140"/>
      <c r="DA127" s="140" t="s">
        <v>941</v>
      </c>
      <c r="DB127" s="140">
        <v>1119</v>
      </c>
      <c r="DC127" s="140"/>
    </row>
    <row r="128" spans="2:107" ht="11.25" customHeight="1" x14ac:dyDescent="0.15">
      <c r="B128" s="139" t="s">
        <v>577</v>
      </c>
      <c r="C128" s="140" t="s">
        <v>1342</v>
      </c>
      <c r="D128" s="140">
        <v>5</v>
      </c>
      <c r="E128" s="139" t="s">
        <v>1368</v>
      </c>
      <c r="F128" s="139" t="s">
        <v>729</v>
      </c>
      <c r="G128" s="140" t="s">
        <v>1342</v>
      </c>
      <c r="H128" s="139" t="s">
        <v>1369</v>
      </c>
      <c r="I128" s="140" t="s">
        <v>421</v>
      </c>
      <c r="J128" s="139" t="s">
        <v>582</v>
      </c>
      <c r="K128" s="139" t="s">
        <v>583</v>
      </c>
      <c r="L128" s="139" t="s">
        <v>583</v>
      </c>
      <c r="M128" s="139" t="s">
        <v>583</v>
      </c>
      <c r="N128" s="139" t="s">
        <v>731</v>
      </c>
      <c r="O128" s="139" t="s">
        <v>1370</v>
      </c>
      <c r="P128" s="139" t="s">
        <v>583</v>
      </c>
      <c r="Q128" s="139" t="s">
        <v>583</v>
      </c>
      <c r="R128" s="140">
        <v>1</v>
      </c>
      <c r="S128" s="140">
        <v>0</v>
      </c>
      <c r="T128" s="140">
        <v>1</v>
      </c>
      <c r="U128" s="140">
        <v>357</v>
      </c>
      <c r="V128" s="139" t="s">
        <v>691</v>
      </c>
      <c r="W128" s="139" t="s">
        <v>692</v>
      </c>
      <c r="X128" s="139" t="s">
        <v>693</v>
      </c>
      <c r="Y128" s="139" t="s">
        <v>694</v>
      </c>
      <c r="Z128" s="139" t="s">
        <v>695</v>
      </c>
      <c r="AA128" s="139" t="s">
        <v>696</v>
      </c>
      <c r="AB128" s="139" t="s">
        <v>691</v>
      </c>
      <c r="AC128" s="139" t="s">
        <v>692</v>
      </c>
      <c r="AD128" s="139" t="s">
        <v>693</v>
      </c>
      <c r="AE128" s="139" t="s">
        <v>694</v>
      </c>
      <c r="AF128" s="139" t="s">
        <v>695</v>
      </c>
      <c r="AG128" s="139" t="s">
        <v>696</v>
      </c>
      <c r="AH128" s="139" t="s">
        <v>733</v>
      </c>
      <c r="AI128" s="139" t="s">
        <v>432</v>
      </c>
      <c r="AJ128" s="140">
        <v>11140258.789999999</v>
      </c>
      <c r="AK128" s="139" t="s">
        <v>691</v>
      </c>
      <c r="AL128" s="139" t="s">
        <v>692</v>
      </c>
      <c r="AM128" s="139" t="s">
        <v>693</v>
      </c>
      <c r="AN128" s="139" t="s">
        <v>694</v>
      </c>
      <c r="AO128" s="139" t="s">
        <v>695</v>
      </c>
      <c r="AP128" s="139" t="s">
        <v>696</v>
      </c>
      <c r="AQ128" s="139" t="s">
        <v>733</v>
      </c>
      <c r="AR128" s="139" t="s">
        <v>432</v>
      </c>
      <c r="AS128" s="139" t="s">
        <v>432</v>
      </c>
      <c r="AT128" s="139" t="s">
        <v>593</v>
      </c>
      <c r="AU128" s="139" t="s">
        <v>437</v>
      </c>
      <c r="AV128" s="140">
        <v>2</v>
      </c>
      <c r="AW128" s="139" t="s">
        <v>594</v>
      </c>
      <c r="AX128" s="139" t="s">
        <v>653</v>
      </c>
      <c r="AY128" s="139" t="s">
        <v>734</v>
      </c>
      <c r="AZ128" s="140">
        <v>1</v>
      </c>
      <c r="BA128" s="139" t="s">
        <v>597</v>
      </c>
      <c r="BB128" s="140">
        <v>129122</v>
      </c>
      <c r="BC128" s="140">
        <v>11140259</v>
      </c>
      <c r="BD128" s="140">
        <v>139411.29</v>
      </c>
      <c r="BE128" s="140">
        <v>86.277000000000001</v>
      </c>
      <c r="BF128" s="139" t="s">
        <v>880</v>
      </c>
      <c r="BG128" s="139" t="s">
        <v>583</v>
      </c>
      <c r="BH128" s="139" t="s">
        <v>736</v>
      </c>
      <c r="BI128" s="139" t="s">
        <v>598</v>
      </c>
      <c r="BJ128" s="139" t="s">
        <v>624</v>
      </c>
      <c r="BK128" s="139" t="s">
        <v>890</v>
      </c>
      <c r="BL128" s="139" t="s">
        <v>583</v>
      </c>
      <c r="BM128" s="139" t="s">
        <v>891</v>
      </c>
      <c r="BN128" s="139" t="s">
        <v>738</v>
      </c>
      <c r="BO128" s="139" t="s">
        <v>739</v>
      </c>
      <c r="BP128" s="139" t="s">
        <v>892</v>
      </c>
      <c r="BQ128" s="139" t="s">
        <v>741</v>
      </c>
      <c r="BR128" s="140">
        <v>1</v>
      </c>
      <c r="BS128" s="139" t="s">
        <v>742</v>
      </c>
      <c r="BT128" s="99">
        <f t="shared" ref="BT128:BU147" si="7">MIN(1,IFERROR(SEARCH(BT$2,$BS128),0))</f>
        <v>0</v>
      </c>
      <c r="BU128" s="99">
        <f t="shared" si="7"/>
        <v>0</v>
      </c>
      <c r="BV128" s="99">
        <f t="shared" si="4"/>
        <v>0</v>
      </c>
      <c r="BW128" s="139" t="s">
        <v>743</v>
      </c>
      <c r="BX128" s="139" t="s">
        <v>744</v>
      </c>
      <c r="BY128" s="140">
        <v>357</v>
      </c>
      <c r="BZ128" s="140">
        <v>0</v>
      </c>
      <c r="CA128" s="99">
        <v>71400</v>
      </c>
      <c r="CB128" s="140" t="s">
        <v>603</v>
      </c>
      <c r="CC128" s="140">
        <v>0</v>
      </c>
      <c r="CD128" s="140"/>
      <c r="CE128" s="139" t="s">
        <v>577</v>
      </c>
      <c r="CF128" s="139" t="s">
        <v>604</v>
      </c>
      <c r="CG128" s="139" t="s">
        <v>583</v>
      </c>
      <c r="CH128" s="139" t="s">
        <v>583</v>
      </c>
      <c r="CI128" s="139" t="s">
        <v>733</v>
      </c>
      <c r="CJ128" s="140">
        <v>7854</v>
      </c>
      <c r="CK128" s="140" t="s">
        <v>605</v>
      </c>
      <c r="CL128" s="140">
        <v>4000000</v>
      </c>
      <c r="CM128" s="99">
        <v>7140</v>
      </c>
      <c r="CN128" s="140">
        <v>0</v>
      </c>
      <c r="CO128" s="139" t="s">
        <v>583</v>
      </c>
      <c r="CP128" s="139" t="s">
        <v>583</v>
      </c>
      <c r="CQ128" s="140">
        <v>129122</v>
      </c>
      <c r="CR128" s="140">
        <v>11140259</v>
      </c>
      <c r="CS128" s="140">
        <v>0</v>
      </c>
      <c r="CT128" s="140">
        <v>1</v>
      </c>
      <c r="CU128" s="140">
        <v>11140258.789999999</v>
      </c>
      <c r="CV128" s="99">
        <v>139411.29</v>
      </c>
      <c r="CW128" s="139" t="s">
        <v>606</v>
      </c>
      <c r="CX128" s="140">
        <v>19.525400000000001</v>
      </c>
      <c r="CY128" s="140">
        <v>933</v>
      </c>
      <c r="CZ128" s="140" t="s">
        <v>894</v>
      </c>
      <c r="DA128" s="140" t="s">
        <v>895</v>
      </c>
      <c r="DB128" s="140">
        <v>169</v>
      </c>
      <c r="DC128" s="140"/>
    </row>
    <row r="129" spans="2:107" ht="11.25" customHeight="1" x14ac:dyDescent="0.15">
      <c r="B129" s="139" t="s">
        <v>577</v>
      </c>
      <c r="C129" s="140" t="s">
        <v>1371</v>
      </c>
      <c r="D129" s="140">
        <v>5</v>
      </c>
      <c r="E129" s="139" t="s">
        <v>1372</v>
      </c>
      <c r="F129" s="139" t="s">
        <v>618</v>
      </c>
      <c r="G129" s="140" t="s">
        <v>1371</v>
      </c>
      <c r="H129" s="139" t="s">
        <v>1373</v>
      </c>
      <c r="I129" s="140" t="s">
        <v>421</v>
      </c>
      <c r="J129" s="139" t="s">
        <v>582</v>
      </c>
      <c r="K129" s="139" t="s">
        <v>583</v>
      </c>
      <c r="L129" s="139" t="s">
        <v>583</v>
      </c>
      <c r="M129" s="139" t="s">
        <v>583</v>
      </c>
      <c r="N129" s="139" t="s">
        <v>441</v>
      </c>
      <c r="O129" s="139" t="s">
        <v>1374</v>
      </c>
      <c r="P129" s="139" t="s">
        <v>583</v>
      </c>
      <c r="Q129" s="139" t="s">
        <v>583</v>
      </c>
      <c r="R129" s="140">
        <v>1</v>
      </c>
      <c r="S129" s="140">
        <v>0</v>
      </c>
      <c r="T129" s="140">
        <v>1</v>
      </c>
      <c r="U129" s="140">
        <v>183</v>
      </c>
      <c r="V129" s="139" t="s">
        <v>709</v>
      </c>
      <c r="W129" s="139" t="s">
        <v>710</v>
      </c>
      <c r="X129" s="139" t="s">
        <v>711</v>
      </c>
      <c r="Y129" s="139" t="s">
        <v>712</v>
      </c>
      <c r="Z129" s="139" t="s">
        <v>713</v>
      </c>
      <c r="AA129" s="139" t="s">
        <v>714</v>
      </c>
      <c r="AB129" s="139" t="s">
        <v>709</v>
      </c>
      <c r="AC129" s="139" t="s">
        <v>710</v>
      </c>
      <c r="AD129" s="139" t="s">
        <v>711</v>
      </c>
      <c r="AE129" s="139" t="s">
        <v>712</v>
      </c>
      <c r="AF129" s="139" t="s">
        <v>713</v>
      </c>
      <c r="AG129" s="139" t="s">
        <v>714</v>
      </c>
      <c r="AH129" s="139" t="s">
        <v>621</v>
      </c>
      <c r="AI129" s="139" t="s">
        <v>430</v>
      </c>
      <c r="AJ129" s="140">
        <v>4906940.7699999996</v>
      </c>
      <c r="AK129" s="139" t="s">
        <v>709</v>
      </c>
      <c r="AL129" s="139" t="s">
        <v>710</v>
      </c>
      <c r="AM129" s="139" t="s">
        <v>711</v>
      </c>
      <c r="AN129" s="139" t="s">
        <v>712</v>
      </c>
      <c r="AO129" s="139" t="s">
        <v>713</v>
      </c>
      <c r="AP129" s="139" t="s">
        <v>714</v>
      </c>
      <c r="AQ129" s="139" t="s">
        <v>621</v>
      </c>
      <c r="AR129" s="139" t="s">
        <v>430</v>
      </c>
      <c r="AS129" s="139" t="s">
        <v>430</v>
      </c>
      <c r="AT129" s="139" t="s">
        <v>593</v>
      </c>
      <c r="AU129" s="139" t="s">
        <v>437</v>
      </c>
      <c r="AV129" s="140">
        <v>0</v>
      </c>
      <c r="AW129" s="139" t="s">
        <v>594</v>
      </c>
      <c r="AX129" s="139" t="s">
        <v>622</v>
      </c>
      <c r="AY129" s="139" t="s">
        <v>623</v>
      </c>
      <c r="AZ129" s="140">
        <v>1</v>
      </c>
      <c r="BA129" s="139" t="s">
        <v>597</v>
      </c>
      <c r="BB129" s="140">
        <v>56730</v>
      </c>
      <c r="BC129" s="140">
        <v>4906941</v>
      </c>
      <c r="BD129" s="140">
        <v>61308.71</v>
      </c>
      <c r="BE129" s="140">
        <v>86.496399999999994</v>
      </c>
      <c r="BF129" s="139" t="s">
        <v>880</v>
      </c>
      <c r="BG129" s="139" t="s">
        <v>582</v>
      </c>
      <c r="BH129" s="139" t="s">
        <v>881</v>
      </c>
      <c r="BI129" s="139" t="s">
        <v>598</v>
      </c>
      <c r="BJ129" s="139" t="s">
        <v>624</v>
      </c>
      <c r="BK129" s="139" t="s">
        <v>882</v>
      </c>
      <c r="BL129" s="139" t="s">
        <v>583</v>
      </c>
      <c r="BM129" s="139" t="s">
        <v>883</v>
      </c>
      <c r="BN129" s="139" t="s">
        <v>583</v>
      </c>
      <c r="BO129" s="139" t="s">
        <v>623</v>
      </c>
      <c r="BP129" s="139" t="s">
        <v>884</v>
      </c>
      <c r="BQ129" s="139" t="s">
        <v>625</v>
      </c>
      <c r="BR129" s="140">
        <v>1</v>
      </c>
      <c r="BS129" s="139" t="s">
        <v>715</v>
      </c>
      <c r="BT129" s="99">
        <f t="shared" si="7"/>
        <v>0</v>
      </c>
      <c r="BU129" s="99">
        <f t="shared" si="7"/>
        <v>1</v>
      </c>
      <c r="BV129" s="99">
        <f t="shared" si="4"/>
        <v>1</v>
      </c>
      <c r="BW129" s="139" t="s">
        <v>635</v>
      </c>
      <c r="BX129" s="139" t="s">
        <v>441</v>
      </c>
      <c r="BY129" s="140">
        <v>183</v>
      </c>
      <c r="BZ129" s="140">
        <v>0</v>
      </c>
      <c r="CA129" s="99">
        <v>36600</v>
      </c>
      <c r="CB129" s="140" t="s">
        <v>603</v>
      </c>
      <c r="CC129" s="140">
        <v>0</v>
      </c>
      <c r="CD129" s="140"/>
      <c r="CE129" s="139" t="s">
        <v>577</v>
      </c>
      <c r="CF129" s="139" t="s">
        <v>604</v>
      </c>
      <c r="CG129" s="139" t="s">
        <v>583</v>
      </c>
      <c r="CH129" s="139" t="s">
        <v>583</v>
      </c>
      <c r="CI129" s="139" t="s">
        <v>621</v>
      </c>
      <c r="CJ129" s="140">
        <v>3660</v>
      </c>
      <c r="CK129" s="140" t="s">
        <v>605</v>
      </c>
      <c r="CL129" s="140">
        <v>4000000</v>
      </c>
      <c r="CM129" s="99">
        <v>3294</v>
      </c>
      <c r="CN129" s="140">
        <v>0</v>
      </c>
      <c r="CO129" s="139" t="s">
        <v>583</v>
      </c>
      <c r="CP129" s="139" t="s">
        <v>583</v>
      </c>
      <c r="CQ129" s="140">
        <v>56730</v>
      </c>
      <c r="CR129" s="140">
        <v>4906941</v>
      </c>
      <c r="CS129" s="140">
        <v>0</v>
      </c>
      <c r="CT129" s="140">
        <v>1</v>
      </c>
      <c r="CU129" s="140">
        <v>4906940.7699999996</v>
      </c>
      <c r="CV129" s="99">
        <v>61308.71</v>
      </c>
      <c r="CW129" s="139" t="s">
        <v>606</v>
      </c>
      <c r="CX129" s="140">
        <v>18.612200000000001</v>
      </c>
      <c r="CY129" s="140"/>
      <c r="CZ129" s="140"/>
      <c r="DA129" s="140" t="s">
        <v>886</v>
      </c>
      <c r="DB129" s="140">
        <v>605</v>
      </c>
      <c r="DC129" s="140"/>
    </row>
    <row r="130" spans="2:107" ht="11.25" customHeight="1" x14ac:dyDescent="0.15">
      <c r="B130" s="139" t="s">
        <v>577</v>
      </c>
      <c r="C130" s="140" t="s">
        <v>1371</v>
      </c>
      <c r="D130" s="140">
        <v>5</v>
      </c>
      <c r="E130" s="139" t="s">
        <v>1375</v>
      </c>
      <c r="F130" s="139" t="s">
        <v>580</v>
      </c>
      <c r="G130" s="140" t="s">
        <v>1371</v>
      </c>
      <c r="H130" s="139" t="s">
        <v>1376</v>
      </c>
      <c r="I130" s="140" t="s">
        <v>421</v>
      </c>
      <c r="J130" s="139" t="s">
        <v>582</v>
      </c>
      <c r="K130" s="139" t="s">
        <v>583</v>
      </c>
      <c r="L130" s="139" t="s">
        <v>583</v>
      </c>
      <c r="M130" s="139" t="s">
        <v>583</v>
      </c>
      <c r="N130" s="139" t="s">
        <v>584</v>
      </c>
      <c r="O130" s="139" t="s">
        <v>1377</v>
      </c>
      <c r="P130" s="139" t="s">
        <v>583</v>
      </c>
      <c r="Q130" s="139" t="s">
        <v>583</v>
      </c>
      <c r="R130" s="140">
        <v>1</v>
      </c>
      <c r="S130" s="140">
        <v>0</v>
      </c>
      <c r="T130" s="140">
        <v>1</v>
      </c>
      <c r="U130" s="140">
        <v>546</v>
      </c>
      <c r="V130" s="139" t="s">
        <v>586</v>
      </c>
      <c r="W130" s="139" t="s">
        <v>587</v>
      </c>
      <c r="X130" s="139" t="s">
        <v>588</v>
      </c>
      <c r="Y130" s="139" t="s">
        <v>589</v>
      </c>
      <c r="Z130" s="139" t="s">
        <v>590</v>
      </c>
      <c r="AA130" s="139" t="s">
        <v>591</v>
      </c>
      <c r="AB130" s="139" t="s">
        <v>586</v>
      </c>
      <c r="AC130" s="139" t="s">
        <v>587</v>
      </c>
      <c r="AD130" s="139" t="s">
        <v>588</v>
      </c>
      <c r="AE130" s="139" t="s">
        <v>589</v>
      </c>
      <c r="AF130" s="139" t="s">
        <v>590</v>
      </c>
      <c r="AG130" s="139" t="s">
        <v>591</v>
      </c>
      <c r="AH130" s="139" t="s">
        <v>592</v>
      </c>
      <c r="AI130" s="139" t="s">
        <v>429</v>
      </c>
      <c r="AJ130" s="140">
        <v>12074897.439999999</v>
      </c>
      <c r="AK130" s="139" t="s">
        <v>586</v>
      </c>
      <c r="AL130" s="139" t="s">
        <v>587</v>
      </c>
      <c r="AM130" s="139" t="s">
        <v>588</v>
      </c>
      <c r="AN130" s="139" t="s">
        <v>589</v>
      </c>
      <c r="AO130" s="139" t="s">
        <v>590</v>
      </c>
      <c r="AP130" s="139" t="s">
        <v>591</v>
      </c>
      <c r="AQ130" s="139" t="s">
        <v>592</v>
      </c>
      <c r="AR130" s="139" t="s">
        <v>429</v>
      </c>
      <c r="AS130" s="139" t="s">
        <v>429</v>
      </c>
      <c r="AT130" s="139" t="s">
        <v>593</v>
      </c>
      <c r="AU130" s="139" t="s">
        <v>437</v>
      </c>
      <c r="AV130" s="140">
        <v>2</v>
      </c>
      <c r="AW130" s="139" t="s">
        <v>594</v>
      </c>
      <c r="AX130" s="139" t="s">
        <v>595</v>
      </c>
      <c r="AY130" s="139" t="s">
        <v>596</v>
      </c>
      <c r="AZ130" s="140">
        <v>1</v>
      </c>
      <c r="BA130" s="139" t="s">
        <v>597</v>
      </c>
      <c r="BB130" s="140">
        <v>136500</v>
      </c>
      <c r="BC130" s="140">
        <v>11806759</v>
      </c>
      <c r="BD130" s="140">
        <v>150867.20000000001</v>
      </c>
      <c r="BE130" s="140">
        <v>86.496399999999994</v>
      </c>
      <c r="BF130" s="139" t="s">
        <v>880</v>
      </c>
      <c r="BG130" s="139" t="s">
        <v>583</v>
      </c>
      <c r="BH130" s="139" t="s">
        <v>958</v>
      </c>
      <c r="BI130" s="139" t="s">
        <v>598</v>
      </c>
      <c r="BJ130" s="139" t="s">
        <v>599</v>
      </c>
      <c r="BK130" s="139" t="s">
        <v>583</v>
      </c>
      <c r="BL130" s="139" t="s">
        <v>583</v>
      </c>
      <c r="BM130" s="139" t="s">
        <v>583</v>
      </c>
      <c r="BN130" s="139" t="s">
        <v>853</v>
      </c>
      <c r="BO130" s="139" t="s">
        <v>854</v>
      </c>
      <c r="BP130" s="139" t="s">
        <v>959</v>
      </c>
      <c r="BQ130" s="139" t="s">
        <v>600</v>
      </c>
      <c r="BR130" s="140">
        <v>1</v>
      </c>
      <c r="BS130" s="139" t="s">
        <v>601</v>
      </c>
      <c r="BT130" s="99">
        <f t="shared" si="7"/>
        <v>0</v>
      </c>
      <c r="BU130" s="99">
        <f t="shared" si="7"/>
        <v>1</v>
      </c>
      <c r="BV130" s="99">
        <f t="shared" si="4"/>
        <v>1</v>
      </c>
      <c r="BW130" s="139" t="s">
        <v>602</v>
      </c>
      <c r="BX130" s="139" t="s">
        <v>584</v>
      </c>
      <c r="BY130" s="140">
        <v>546</v>
      </c>
      <c r="BZ130" s="140">
        <v>0</v>
      </c>
      <c r="CA130" s="99">
        <v>109200</v>
      </c>
      <c r="CB130" s="140" t="s">
        <v>603</v>
      </c>
      <c r="CC130" s="140">
        <v>0</v>
      </c>
      <c r="CD130" s="140"/>
      <c r="CE130" s="139" t="s">
        <v>577</v>
      </c>
      <c r="CF130" s="139" t="s">
        <v>604</v>
      </c>
      <c r="CG130" s="139" t="s">
        <v>583</v>
      </c>
      <c r="CH130" s="139" t="s">
        <v>583</v>
      </c>
      <c r="CI130" s="139" t="s">
        <v>592</v>
      </c>
      <c r="CJ130" s="140">
        <v>12012</v>
      </c>
      <c r="CK130" s="140" t="s">
        <v>605</v>
      </c>
      <c r="CL130" s="140">
        <v>4000000</v>
      </c>
      <c r="CM130" s="99">
        <v>11466</v>
      </c>
      <c r="CN130" s="140">
        <v>0</v>
      </c>
      <c r="CO130" s="139" t="s">
        <v>583</v>
      </c>
      <c r="CP130" s="139" t="s">
        <v>583</v>
      </c>
      <c r="CQ130" s="140">
        <v>136500</v>
      </c>
      <c r="CR130" s="140">
        <v>11806759</v>
      </c>
      <c r="CS130" s="140">
        <v>0</v>
      </c>
      <c r="CT130" s="140">
        <v>1</v>
      </c>
      <c r="CU130" s="140">
        <v>12074897.439999999</v>
      </c>
      <c r="CV130" s="99">
        <v>150867.20000000001</v>
      </c>
      <c r="CW130" s="139" t="s">
        <v>606</v>
      </c>
      <c r="CX130" s="140">
        <v>13.1578</v>
      </c>
      <c r="CY130" s="140"/>
      <c r="CZ130" s="140"/>
      <c r="DA130" s="140" t="s">
        <v>856</v>
      </c>
      <c r="DB130" s="140">
        <v>1344</v>
      </c>
      <c r="DC130" s="140"/>
    </row>
    <row r="131" spans="2:107" ht="11.25" customHeight="1" x14ac:dyDescent="0.15">
      <c r="B131" s="139" t="s">
        <v>594</v>
      </c>
      <c r="C131" s="140" t="s">
        <v>1371</v>
      </c>
      <c r="D131" s="140">
        <v>5</v>
      </c>
      <c r="E131" s="139" t="s">
        <v>1378</v>
      </c>
      <c r="F131" s="139" t="s">
        <v>580</v>
      </c>
      <c r="G131" s="140" t="s">
        <v>1371</v>
      </c>
      <c r="H131" s="139" t="s">
        <v>1379</v>
      </c>
      <c r="I131" s="140" t="s">
        <v>421</v>
      </c>
      <c r="J131" s="139" t="s">
        <v>582</v>
      </c>
      <c r="K131" s="139" t="s">
        <v>583</v>
      </c>
      <c r="L131" s="139" t="s">
        <v>583</v>
      </c>
      <c r="M131" s="139" t="s">
        <v>583</v>
      </c>
      <c r="N131" s="139" t="s">
        <v>584</v>
      </c>
      <c r="O131" s="139" t="s">
        <v>1377</v>
      </c>
      <c r="P131" s="139" t="s">
        <v>583</v>
      </c>
      <c r="Q131" s="139" t="s">
        <v>583</v>
      </c>
      <c r="R131" s="140">
        <v>1</v>
      </c>
      <c r="S131" s="140">
        <v>0</v>
      </c>
      <c r="T131" s="140">
        <v>1</v>
      </c>
      <c r="U131" s="140">
        <v>546</v>
      </c>
      <c r="V131" s="139" t="s">
        <v>586</v>
      </c>
      <c r="W131" s="139" t="s">
        <v>587</v>
      </c>
      <c r="X131" s="139" t="s">
        <v>588</v>
      </c>
      <c r="Y131" s="139" t="s">
        <v>589</v>
      </c>
      <c r="Z131" s="139" t="s">
        <v>590</v>
      </c>
      <c r="AA131" s="139" t="s">
        <v>591</v>
      </c>
      <c r="AB131" s="139" t="s">
        <v>586</v>
      </c>
      <c r="AC131" s="139" t="s">
        <v>587</v>
      </c>
      <c r="AD131" s="139" t="s">
        <v>588</v>
      </c>
      <c r="AE131" s="139" t="s">
        <v>589</v>
      </c>
      <c r="AF131" s="139" t="s">
        <v>590</v>
      </c>
      <c r="AG131" s="139" t="s">
        <v>591</v>
      </c>
      <c r="AH131" s="139" t="s">
        <v>592</v>
      </c>
      <c r="AI131" s="139" t="s">
        <v>429</v>
      </c>
      <c r="AJ131" s="140">
        <v>12074897.439999999</v>
      </c>
      <c r="AK131" s="139" t="s">
        <v>586</v>
      </c>
      <c r="AL131" s="139" t="s">
        <v>587</v>
      </c>
      <c r="AM131" s="139" t="s">
        <v>588</v>
      </c>
      <c r="AN131" s="139" t="s">
        <v>589</v>
      </c>
      <c r="AO131" s="139" t="s">
        <v>590</v>
      </c>
      <c r="AP131" s="139" t="s">
        <v>591</v>
      </c>
      <c r="AQ131" s="139" t="s">
        <v>592</v>
      </c>
      <c r="AR131" s="139" t="s">
        <v>429</v>
      </c>
      <c r="AS131" s="139" t="s">
        <v>429</v>
      </c>
      <c r="AT131" s="139" t="s">
        <v>593</v>
      </c>
      <c r="AU131" s="139" t="s">
        <v>437</v>
      </c>
      <c r="AV131" s="140">
        <v>2</v>
      </c>
      <c r="AW131" s="139" t="s">
        <v>594</v>
      </c>
      <c r="AX131" s="139" t="s">
        <v>595</v>
      </c>
      <c r="AY131" s="139" t="s">
        <v>596</v>
      </c>
      <c r="AZ131" s="140">
        <v>1</v>
      </c>
      <c r="BA131" s="139" t="s">
        <v>597</v>
      </c>
      <c r="BB131" s="140">
        <v>136500</v>
      </c>
      <c r="BC131" s="140">
        <v>11806759</v>
      </c>
      <c r="BD131" s="140">
        <v>150867.20000000001</v>
      </c>
      <c r="BE131" s="140">
        <v>86.496399999999994</v>
      </c>
      <c r="BF131" s="139" t="s">
        <v>880</v>
      </c>
      <c r="BG131" s="139" t="s">
        <v>583</v>
      </c>
      <c r="BH131" s="139" t="s">
        <v>958</v>
      </c>
      <c r="BI131" s="139" t="s">
        <v>598</v>
      </c>
      <c r="BJ131" s="139" t="s">
        <v>624</v>
      </c>
      <c r="BK131" s="139" t="s">
        <v>1142</v>
      </c>
      <c r="BL131" s="139" t="s">
        <v>583</v>
      </c>
      <c r="BM131" s="139" t="s">
        <v>915</v>
      </c>
      <c r="BN131" s="139" t="s">
        <v>1143</v>
      </c>
      <c r="BO131" s="139" t="s">
        <v>1144</v>
      </c>
      <c r="BP131" s="139" t="s">
        <v>1145</v>
      </c>
      <c r="BQ131" s="139" t="s">
        <v>611</v>
      </c>
      <c r="BR131" s="140">
        <v>1</v>
      </c>
      <c r="BS131" s="139" t="s">
        <v>601</v>
      </c>
      <c r="BT131" s="99">
        <f t="shared" si="7"/>
        <v>0</v>
      </c>
      <c r="BU131" s="99">
        <f t="shared" si="7"/>
        <v>1</v>
      </c>
      <c r="BV131" s="99">
        <f t="shared" si="4"/>
        <v>1</v>
      </c>
      <c r="BW131" s="139" t="s">
        <v>602</v>
      </c>
      <c r="BX131" s="139" t="s">
        <v>584</v>
      </c>
      <c r="BY131" s="140">
        <v>546</v>
      </c>
      <c r="BZ131" s="140">
        <v>0</v>
      </c>
      <c r="CA131" s="99">
        <v>109200</v>
      </c>
      <c r="CB131" s="140" t="s">
        <v>603</v>
      </c>
      <c r="CC131" s="140">
        <v>0</v>
      </c>
      <c r="CD131" s="140"/>
      <c r="CE131" s="139" t="s">
        <v>577</v>
      </c>
      <c r="CF131" s="139" t="s">
        <v>604</v>
      </c>
      <c r="CG131" s="139" t="s">
        <v>583</v>
      </c>
      <c r="CH131" s="139" t="s">
        <v>583</v>
      </c>
      <c r="CI131" s="139" t="s">
        <v>592</v>
      </c>
      <c r="CJ131" s="140">
        <v>12012</v>
      </c>
      <c r="CK131" s="140" t="s">
        <v>605</v>
      </c>
      <c r="CL131" s="140">
        <v>4000000</v>
      </c>
      <c r="CM131" s="99">
        <v>11466</v>
      </c>
      <c r="CN131" s="140">
        <v>0</v>
      </c>
      <c r="CO131" s="139" t="s">
        <v>583</v>
      </c>
      <c r="CP131" s="139" t="s">
        <v>583</v>
      </c>
      <c r="CQ131" s="140">
        <v>136500</v>
      </c>
      <c r="CR131" s="140">
        <v>11806759</v>
      </c>
      <c r="CS131" s="140"/>
      <c r="CT131" s="140">
        <v>1</v>
      </c>
      <c r="CU131" s="140">
        <v>12074897.439999999</v>
      </c>
      <c r="CV131" s="99">
        <v>150867.20000000001</v>
      </c>
      <c r="CW131" s="139" t="s">
        <v>1096</v>
      </c>
      <c r="CX131" s="140">
        <v>13.1578</v>
      </c>
      <c r="CY131" s="140"/>
      <c r="CZ131" s="140"/>
      <c r="DA131" s="140" t="s">
        <v>856</v>
      </c>
      <c r="DB131" s="140">
        <v>1159</v>
      </c>
      <c r="DC131" s="140"/>
    </row>
    <row r="132" spans="2:107" ht="11.25" customHeight="1" x14ac:dyDescent="0.15">
      <c r="B132" s="139" t="s">
        <v>577</v>
      </c>
      <c r="C132" s="140" t="s">
        <v>1380</v>
      </c>
      <c r="D132" s="140">
        <v>5</v>
      </c>
      <c r="E132" s="139" t="s">
        <v>1381</v>
      </c>
      <c r="F132" s="139" t="s">
        <v>618</v>
      </c>
      <c r="G132" s="140" t="s">
        <v>1380</v>
      </c>
      <c r="H132" s="139" t="s">
        <v>1382</v>
      </c>
      <c r="I132" s="140" t="s">
        <v>421</v>
      </c>
      <c r="J132" s="139" t="s">
        <v>582</v>
      </c>
      <c r="K132" s="139" t="s">
        <v>583</v>
      </c>
      <c r="L132" s="139" t="s">
        <v>583</v>
      </c>
      <c r="M132" s="139" t="s">
        <v>583</v>
      </c>
      <c r="N132" s="139" t="s">
        <v>441</v>
      </c>
      <c r="O132" s="139" t="s">
        <v>1374</v>
      </c>
      <c r="P132" s="139" t="s">
        <v>583</v>
      </c>
      <c r="Q132" s="139" t="s">
        <v>583</v>
      </c>
      <c r="R132" s="140">
        <v>1</v>
      </c>
      <c r="S132" s="140">
        <v>0</v>
      </c>
      <c r="T132" s="140">
        <v>1</v>
      </c>
      <c r="U132" s="140">
        <v>150</v>
      </c>
      <c r="V132" s="139" t="s">
        <v>679</v>
      </c>
      <c r="W132" s="139" t="s">
        <v>680</v>
      </c>
      <c r="X132" s="139" t="s">
        <v>681</v>
      </c>
      <c r="Y132" s="139" t="s">
        <v>682</v>
      </c>
      <c r="Z132" s="139" t="s">
        <v>683</v>
      </c>
      <c r="AA132" s="139" t="s">
        <v>684</v>
      </c>
      <c r="AB132" s="139" t="s">
        <v>679</v>
      </c>
      <c r="AC132" s="139" t="s">
        <v>680</v>
      </c>
      <c r="AD132" s="139" t="s">
        <v>681</v>
      </c>
      <c r="AE132" s="139" t="s">
        <v>682</v>
      </c>
      <c r="AF132" s="139" t="s">
        <v>683</v>
      </c>
      <c r="AG132" s="139" t="s">
        <v>684</v>
      </c>
      <c r="AH132" s="139" t="s">
        <v>621</v>
      </c>
      <c r="AI132" s="139" t="s">
        <v>430</v>
      </c>
      <c r="AJ132" s="140">
        <v>3873879</v>
      </c>
      <c r="AK132" s="139" t="s">
        <v>679</v>
      </c>
      <c r="AL132" s="139" t="s">
        <v>680</v>
      </c>
      <c r="AM132" s="139" t="s">
        <v>681</v>
      </c>
      <c r="AN132" s="139" t="s">
        <v>682</v>
      </c>
      <c r="AO132" s="139" t="s">
        <v>683</v>
      </c>
      <c r="AP132" s="139" t="s">
        <v>684</v>
      </c>
      <c r="AQ132" s="139" t="s">
        <v>621</v>
      </c>
      <c r="AR132" s="139" t="s">
        <v>430</v>
      </c>
      <c r="AS132" s="139" t="s">
        <v>430</v>
      </c>
      <c r="AT132" s="139" t="s">
        <v>593</v>
      </c>
      <c r="AU132" s="139" t="s">
        <v>437</v>
      </c>
      <c r="AV132" s="140">
        <v>0</v>
      </c>
      <c r="AW132" s="139" t="s">
        <v>594</v>
      </c>
      <c r="AX132" s="139" t="s">
        <v>622</v>
      </c>
      <c r="AY132" s="139" t="s">
        <v>623</v>
      </c>
      <c r="AZ132" s="140">
        <v>1</v>
      </c>
      <c r="BA132" s="139" t="s">
        <v>597</v>
      </c>
      <c r="BB132" s="140">
        <v>45000</v>
      </c>
      <c r="BC132" s="140">
        <v>3873879</v>
      </c>
      <c r="BD132" s="140">
        <v>48974.2</v>
      </c>
      <c r="BE132" s="140">
        <v>86.086200000000005</v>
      </c>
      <c r="BF132" s="139" t="s">
        <v>880</v>
      </c>
      <c r="BG132" s="139" t="s">
        <v>582</v>
      </c>
      <c r="BH132" s="139" t="s">
        <v>900</v>
      </c>
      <c r="BI132" s="139" t="s">
        <v>598</v>
      </c>
      <c r="BJ132" s="139" t="s">
        <v>624</v>
      </c>
      <c r="BK132" s="139" t="s">
        <v>882</v>
      </c>
      <c r="BL132" s="139" t="s">
        <v>583</v>
      </c>
      <c r="BM132" s="139" t="s">
        <v>883</v>
      </c>
      <c r="BN132" s="139" t="s">
        <v>583</v>
      </c>
      <c r="BO132" s="139" t="s">
        <v>623</v>
      </c>
      <c r="BP132" s="139" t="s">
        <v>884</v>
      </c>
      <c r="BQ132" s="139" t="s">
        <v>625</v>
      </c>
      <c r="BR132" s="140">
        <v>1</v>
      </c>
      <c r="BS132" s="139" t="s">
        <v>685</v>
      </c>
      <c r="BT132" s="99">
        <f t="shared" si="7"/>
        <v>0</v>
      </c>
      <c r="BU132" s="99">
        <f t="shared" si="7"/>
        <v>1</v>
      </c>
      <c r="BV132" s="99">
        <f t="shared" ref="BV132:BV195" si="8">MAX(BT132,BU132)</f>
        <v>1</v>
      </c>
      <c r="BW132" s="139" t="s">
        <v>635</v>
      </c>
      <c r="BX132" s="139" t="s">
        <v>441</v>
      </c>
      <c r="BY132" s="140">
        <v>150</v>
      </c>
      <c r="BZ132" s="140">
        <v>0</v>
      </c>
      <c r="CA132" s="99">
        <v>30000</v>
      </c>
      <c r="CB132" s="140" t="s">
        <v>603</v>
      </c>
      <c r="CC132" s="140">
        <v>0</v>
      </c>
      <c r="CD132" s="140"/>
      <c r="CE132" s="139" t="s">
        <v>577</v>
      </c>
      <c r="CF132" s="139" t="s">
        <v>604</v>
      </c>
      <c r="CG132" s="139" t="s">
        <v>583</v>
      </c>
      <c r="CH132" s="139" t="s">
        <v>583</v>
      </c>
      <c r="CI132" s="139" t="s">
        <v>621</v>
      </c>
      <c r="CJ132" s="140">
        <v>3000</v>
      </c>
      <c r="CK132" s="140" t="s">
        <v>605</v>
      </c>
      <c r="CL132" s="140">
        <v>4000000</v>
      </c>
      <c r="CM132" s="99">
        <v>2700</v>
      </c>
      <c r="CN132" s="140">
        <v>0</v>
      </c>
      <c r="CO132" s="139" t="s">
        <v>583</v>
      </c>
      <c r="CP132" s="139" t="s">
        <v>583</v>
      </c>
      <c r="CQ132" s="140">
        <v>45000</v>
      </c>
      <c r="CR132" s="140">
        <v>3873879</v>
      </c>
      <c r="CS132" s="140">
        <v>0</v>
      </c>
      <c r="CT132" s="140">
        <v>1</v>
      </c>
      <c r="CU132" s="140">
        <v>3873879</v>
      </c>
      <c r="CV132" s="99">
        <v>48974.2</v>
      </c>
      <c r="CW132" s="139" t="s">
        <v>606</v>
      </c>
      <c r="CX132" s="140">
        <v>18.1386</v>
      </c>
      <c r="CY132" s="140"/>
      <c r="CZ132" s="140"/>
      <c r="DA132" s="140" t="s">
        <v>902</v>
      </c>
      <c r="DB132" s="140">
        <v>645</v>
      </c>
      <c r="DC132" s="140"/>
    </row>
    <row r="133" spans="2:107" ht="11.25" customHeight="1" x14ac:dyDescent="0.15">
      <c r="B133" s="139" t="s">
        <v>577</v>
      </c>
      <c r="C133" s="140" t="s">
        <v>1383</v>
      </c>
      <c r="D133" s="140">
        <v>5</v>
      </c>
      <c r="E133" s="139" t="s">
        <v>1384</v>
      </c>
      <c r="F133" s="139" t="s">
        <v>580</v>
      </c>
      <c r="G133" s="140" t="s">
        <v>1383</v>
      </c>
      <c r="H133" s="139" t="s">
        <v>1385</v>
      </c>
      <c r="I133" s="140" t="s">
        <v>421</v>
      </c>
      <c r="J133" s="139" t="s">
        <v>582</v>
      </c>
      <c r="K133" s="139" t="s">
        <v>583</v>
      </c>
      <c r="L133" s="139" t="s">
        <v>583</v>
      </c>
      <c r="M133" s="139" t="s">
        <v>583</v>
      </c>
      <c r="N133" s="139" t="s">
        <v>1386</v>
      </c>
      <c r="O133" s="139" t="s">
        <v>1387</v>
      </c>
      <c r="P133" s="139" t="s">
        <v>583</v>
      </c>
      <c r="Q133" s="139" t="s">
        <v>583</v>
      </c>
      <c r="R133" s="140">
        <v>2</v>
      </c>
      <c r="S133" s="140">
        <v>0</v>
      </c>
      <c r="T133" s="140">
        <v>2</v>
      </c>
      <c r="U133" s="140">
        <v>21</v>
      </c>
      <c r="V133" s="139" t="s">
        <v>1069</v>
      </c>
      <c r="W133" s="139" t="s">
        <v>1070</v>
      </c>
      <c r="X133" s="139" t="s">
        <v>1071</v>
      </c>
      <c r="Y133" s="139" t="s">
        <v>1072</v>
      </c>
      <c r="Z133" s="139" t="s">
        <v>590</v>
      </c>
      <c r="AA133" s="139" t="s">
        <v>1073</v>
      </c>
      <c r="AB133" s="139" t="s">
        <v>1069</v>
      </c>
      <c r="AC133" s="139" t="s">
        <v>1070</v>
      </c>
      <c r="AD133" s="139" t="s">
        <v>1071</v>
      </c>
      <c r="AE133" s="139" t="s">
        <v>1072</v>
      </c>
      <c r="AF133" s="139" t="s">
        <v>590</v>
      </c>
      <c r="AG133" s="139" t="s">
        <v>1073</v>
      </c>
      <c r="AH133" s="139" t="s">
        <v>1074</v>
      </c>
      <c r="AI133" s="139" t="s">
        <v>435</v>
      </c>
      <c r="AJ133" s="140">
        <v>6687765</v>
      </c>
      <c r="AK133" s="139" t="s">
        <v>1069</v>
      </c>
      <c r="AL133" s="139" t="s">
        <v>1070</v>
      </c>
      <c r="AM133" s="139" t="s">
        <v>1071</v>
      </c>
      <c r="AN133" s="139" t="s">
        <v>1072</v>
      </c>
      <c r="AO133" s="139" t="s">
        <v>590</v>
      </c>
      <c r="AP133" s="139" t="s">
        <v>1073</v>
      </c>
      <c r="AQ133" s="139" t="s">
        <v>1074</v>
      </c>
      <c r="AR133" s="139" t="s">
        <v>435</v>
      </c>
      <c r="AS133" s="139" t="s">
        <v>435</v>
      </c>
      <c r="AT133" s="139" t="s">
        <v>593</v>
      </c>
      <c r="AU133" s="139" t="s">
        <v>437</v>
      </c>
      <c r="AV133" s="140">
        <v>2</v>
      </c>
      <c r="AW133" s="139" t="s">
        <v>594</v>
      </c>
      <c r="AX133" s="139" t="s">
        <v>653</v>
      </c>
      <c r="AY133" s="139" t="s">
        <v>1075</v>
      </c>
      <c r="AZ133" s="140">
        <v>1</v>
      </c>
      <c r="BA133" s="139" t="s">
        <v>597</v>
      </c>
      <c r="BB133" s="140">
        <v>79380</v>
      </c>
      <c r="BC133" s="140">
        <v>6687765</v>
      </c>
      <c r="BD133" s="140">
        <v>86624.48</v>
      </c>
      <c r="BE133" s="140">
        <v>84.25</v>
      </c>
      <c r="BF133" s="139" t="s">
        <v>880</v>
      </c>
      <c r="BG133" s="139" t="s">
        <v>583</v>
      </c>
      <c r="BH133" s="139" t="s">
        <v>1076</v>
      </c>
      <c r="BI133" s="139" t="s">
        <v>598</v>
      </c>
      <c r="BJ133" s="139" t="s">
        <v>599</v>
      </c>
      <c r="BK133" s="139" t="s">
        <v>583</v>
      </c>
      <c r="BL133" s="139" t="s">
        <v>583</v>
      </c>
      <c r="BM133" s="139" t="s">
        <v>583</v>
      </c>
      <c r="BN133" s="139" t="s">
        <v>842</v>
      </c>
      <c r="BO133" s="139" t="s">
        <v>843</v>
      </c>
      <c r="BP133" s="139" t="s">
        <v>925</v>
      </c>
      <c r="BQ133" s="139" t="s">
        <v>723</v>
      </c>
      <c r="BR133" s="140">
        <v>2</v>
      </c>
      <c r="BS133" s="139" t="s">
        <v>1077</v>
      </c>
      <c r="BT133" s="99">
        <f t="shared" si="7"/>
        <v>1</v>
      </c>
      <c r="BU133" s="99">
        <f t="shared" si="7"/>
        <v>0</v>
      </c>
      <c r="BV133" s="99">
        <f t="shared" si="8"/>
        <v>1</v>
      </c>
      <c r="BW133" s="139" t="s">
        <v>1078</v>
      </c>
      <c r="BX133" s="139" t="s">
        <v>1257</v>
      </c>
      <c r="BY133" s="140">
        <v>2</v>
      </c>
      <c r="BZ133" s="140">
        <v>0</v>
      </c>
      <c r="CA133" s="99">
        <v>10000</v>
      </c>
      <c r="CB133" s="140" t="s">
        <v>603</v>
      </c>
      <c r="CC133" s="140">
        <v>0</v>
      </c>
      <c r="CD133" s="140"/>
      <c r="CE133" s="139" t="s">
        <v>1080</v>
      </c>
      <c r="CF133" s="139" t="s">
        <v>604</v>
      </c>
      <c r="CG133" s="139" t="s">
        <v>583</v>
      </c>
      <c r="CH133" s="139" t="s">
        <v>583</v>
      </c>
      <c r="CI133" s="139" t="s">
        <v>1074</v>
      </c>
      <c r="CJ133" s="140">
        <v>1030</v>
      </c>
      <c r="CK133" s="140" t="s">
        <v>605</v>
      </c>
      <c r="CL133" s="140">
        <v>4000000</v>
      </c>
      <c r="CM133" s="99">
        <v>950</v>
      </c>
      <c r="CN133" s="140">
        <v>0</v>
      </c>
      <c r="CO133" s="139" t="s">
        <v>583</v>
      </c>
      <c r="CP133" s="139" t="s">
        <v>583</v>
      </c>
      <c r="CQ133" s="140">
        <v>16077.05</v>
      </c>
      <c r="CR133" s="140">
        <v>1354491</v>
      </c>
      <c r="CS133" s="140">
        <v>0</v>
      </c>
      <c r="CT133" s="140">
        <v>1</v>
      </c>
      <c r="CU133" s="140">
        <v>1354491.46</v>
      </c>
      <c r="CV133" s="99">
        <v>17544.29</v>
      </c>
      <c r="CW133" s="139" t="s">
        <v>606</v>
      </c>
      <c r="CX133" s="140">
        <v>18.467700000000001</v>
      </c>
      <c r="CY133" s="140"/>
      <c r="CZ133" s="140"/>
      <c r="DA133" s="140" t="s">
        <v>1081</v>
      </c>
      <c r="DB133" s="140">
        <v>1462</v>
      </c>
      <c r="DC133" s="140"/>
    </row>
    <row r="134" spans="2:107" ht="11.25" customHeight="1" x14ac:dyDescent="0.15">
      <c r="B134" s="139" t="s">
        <v>577</v>
      </c>
      <c r="C134" s="140" t="s">
        <v>1383</v>
      </c>
      <c r="D134" s="140">
        <v>5</v>
      </c>
      <c r="E134" s="139" t="s">
        <v>1388</v>
      </c>
      <c r="F134" s="139" t="s">
        <v>580</v>
      </c>
      <c r="G134" s="140" t="s">
        <v>1383</v>
      </c>
      <c r="H134" s="139" t="s">
        <v>1389</v>
      </c>
      <c r="I134" s="140" t="s">
        <v>421</v>
      </c>
      <c r="J134" s="139" t="s">
        <v>582</v>
      </c>
      <c r="K134" s="139" t="s">
        <v>583</v>
      </c>
      <c r="L134" s="139" t="s">
        <v>583</v>
      </c>
      <c r="M134" s="139" t="s">
        <v>583</v>
      </c>
      <c r="N134" s="139" t="s">
        <v>757</v>
      </c>
      <c r="O134" s="139" t="s">
        <v>1390</v>
      </c>
      <c r="P134" s="139" t="s">
        <v>583</v>
      </c>
      <c r="Q134" s="139" t="s">
        <v>583</v>
      </c>
      <c r="R134" s="140">
        <v>1</v>
      </c>
      <c r="S134" s="140">
        <v>0</v>
      </c>
      <c r="T134" s="140">
        <v>1</v>
      </c>
      <c r="U134" s="140">
        <v>19</v>
      </c>
      <c r="V134" s="139" t="s">
        <v>586</v>
      </c>
      <c r="W134" s="139" t="s">
        <v>587</v>
      </c>
      <c r="X134" s="139" t="s">
        <v>588</v>
      </c>
      <c r="Y134" s="139" t="s">
        <v>589</v>
      </c>
      <c r="Z134" s="139" t="s">
        <v>590</v>
      </c>
      <c r="AA134" s="139" t="s">
        <v>591</v>
      </c>
      <c r="AB134" s="139" t="s">
        <v>586</v>
      </c>
      <c r="AC134" s="139" t="s">
        <v>587</v>
      </c>
      <c r="AD134" s="139" t="s">
        <v>588</v>
      </c>
      <c r="AE134" s="139" t="s">
        <v>589</v>
      </c>
      <c r="AF134" s="139" t="s">
        <v>590</v>
      </c>
      <c r="AG134" s="139" t="s">
        <v>591</v>
      </c>
      <c r="AH134" s="139" t="s">
        <v>759</v>
      </c>
      <c r="AI134" s="139" t="s">
        <v>434</v>
      </c>
      <c r="AJ134" s="140">
        <v>12236133</v>
      </c>
      <c r="AK134" s="139" t="s">
        <v>586</v>
      </c>
      <c r="AL134" s="139" t="s">
        <v>587</v>
      </c>
      <c r="AM134" s="139" t="s">
        <v>588</v>
      </c>
      <c r="AN134" s="139" t="s">
        <v>589</v>
      </c>
      <c r="AO134" s="139" t="s">
        <v>590</v>
      </c>
      <c r="AP134" s="139" t="s">
        <v>591</v>
      </c>
      <c r="AQ134" s="139" t="s">
        <v>759</v>
      </c>
      <c r="AR134" s="139" t="s">
        <v>434</v>
      </c>
      <c r="AS134" s="139" t="s">
        <v>434</v>
      </c>
      <c r="AT134" s="139" t="s">
        <v>593</v>
      </c>
      <c r="AU134" s="139" t="s">
        <v>437</v>
      </c>
      <c r="AV134" s="140">
        <v>2</v>
      </c>
      <c r="AW134" s="139" t="s">
        <v>594</v>
      </c>
      <c r="AX134" s="139" t="s">
        <v>653</v>
      </c>
      <c r="AY134" s="139" t="s">
        <v>850</v>
      </c>
      <c r="AZ134" s="140">
        <v>1</v>
      </c>
      <c r="BA134" s="139" t="s">
        <v>597</v>
      </c>
      <c r="BB134" s="140">
        <v>145236</v>
      </c>
      <c r="BC134" s="140">
        <v>12236133</v>
      </c>
      <c r="BD134" s="140">
        <v>158490.71</v>
      </c>
      <c r="BE134" s="140">
        <v>84.25</v>
      </c>
      <c r="BF134" s="139" t="s">
        <v>880</v>
      </c>
      <c r="BG134" s="139" t="s">
        <v>583</v>
      </c>
      <c r="BH134" s="139" t="s">
        <v>851</v>
      </c>
      <c r="BI134" s="139" t="s">
        <v>598</v>
      </c>
      <c r="BJ134" s="139" t="s">
        <v>1100</v>
      </c>
      <c r="BK134" s="139" t="s">
        <v>1101</v>
      </c>
      <c r="BL134" s="139" t="s">
        <v>1101</v>
      </c>
      <c r="BM134" s="139" t="s">
        <v>583</v>
      </c>
      <c r="BN134" s="139" t="s">
        <v>1102</v>
      </c>
      <c r="BO134" s="139" t="s">
        <v>850</v>
      </c>
      <c r="BP134" s="139" t="s">
        <v>1104</v>
      </c>
      <c r="BQ134" s="139" t="s">
        <v>600</v>
      </c>
      <c r="BR134" s="140">
        <v>1</v>
      </c>
      <c r="BS134" s="139" t="s">
        <v>601</v>
      </c>
      <c r="BT134" s="99">
        <f t="shared" si="7"/>
        <v>0</v>
      </c>
      <c r="BU134" s="99">
        <f t="shared" si="7"/>
        <v>1</v>
      </c>
      <c r="BV134" s="99">
        <f t="shared" si="8"/>
        <v>1</v>
      </c>
      <c r="BW134" s="139" t="s">
        <v>602</v>
      </c>
      <c r="BX134" s="139" t="s">
        <v>757</v>
      </c>
      <c r="BY134" s="140">
        <v>19</v>
      </c>
      <c r="BZ134" s="140">
        <v>0</v>
      </c>
      <c r="CA134" s="99">
        <v>109200</v>
      </c>
      <c r="CB134" s="140" t="s">
        <v>603</v>
      </c>
      <c r="CC134" s="140">
        <v>0</v>
      </c>
      <c r="CD134" s="140"/>
      <c r="CE134" s="139" t="s">
        <v>577</v>
      </c>
      <c r="CF134" s="139" t="s">
        <v>604</v>
      </c>
      <c r="CG134" s="139" t="s">
        <v>583</v>
      </c>
      <c r="CH134" s="139" t="s">
        <v>583</v>
      </c>
      <c r="CI134" s="139" t="s">
        <v>759</v>
      </c>
      <c r="CJ134" s="140">
        <v>11466</v>
      </c>
      <c r="CK134" s="140" t="s">
        <v>605</v>
      </c>
      <c r="CL134" s="140">
        <v>4000000</v>
      </c>
      <c r="CM134" s="99">
        <v>10647</v>
      </c>
      <c r="CN134" s="140">
        <v>0</v>
      </c>
      <c r="CO134" s="139" t="s">
        <v>583</v>
      </c>
      <c r="CP134" s="139" t="s">
        <v>583</v>
      </c>
      <c r="CQ134" s="140">
        <v>145236</v>
      </c>
      <c r="CR134" s="140">
        <v>12236133</v>
      </c>
      <c r="CS134" s="140">
        <v>0</v>
      </c>
      <c r="CT134" s="140">
        <v>1</v>
      </c>
      <c r="CU134" s="140">
        <v>12236133</v>
      </c>
      <c r="CV134" s="99">
        <v>158490.71</v>
      </c>
      <c r="CW134" s="139" t="s">
        <v>606</v>
      </c>
      <c r="CX134" s="140">
        <v>14.885999999999999</v>
      </c>
      <c r="CY134" s="140"/>
      <c r="CZ134" s="140"/>
      <c r="DA134" s="140" t="s">
        <v>856</v>
      </c>
      <c r="DB134" s="140">
        <v>1043</v>
      </c>
      <c r="DC134" s="140"/>
    </row>
    <row r="135" spans="2:107" ht="11.25" customHeight="1" x14ac:dyDescent="0.15">
      <c r="B135" s="139" t="s">
        <v>577</v>
      </c>
      <c r="C135" s="140" t="s">
        <v>1391</v>
      </c>
      <c r="D135" s="140">
        <v>5</v>
      </c>
      <c r="E135" s="139" t="s">
        <v>1392</v>
      </c>
      <c r="F135" s="139" t="s">
        <v>618</v>
      </c>
      <c r="G135" s="140" t="s">
        <v>1391</v>
      </c>
      <c r="H135" s="139" t="s">
        <v>1393</v>
      </c>
      <c r="I135" s="140" t="s">
        <v>421</v>
      </c>
      <c r="J135" s="139" t="s">
        <v>582</v>
      </c>
      <c r="K135" s="139" t="s">
        <v>583</v>
      </c>
      <c r="L135" s="139" t="s">
        <v>583</v>
      </c>
      <c r="M135" s="139" t="s">
        <v>583</v>
      </c>
      <c r="N135" s="139" t="s">
        <v>441</v>
      </c>
      <c r="O135" s="139" t="s">
        <v>1394</v>
      </c>
      <c r="P135" s="139" t="s">
        <v>583</v>
      </c>
      <c r="Q135" s="139" t="s">
        <v>583</v>
      </c>
      <c r="R135" s="140">
        <v>1</v>
      </c>
      <c r="S135" s="140">
        <v>0</v>
      </c>
      <c r="T135" s="140">
        <v>1</v>
      </c>
      <c r="U135" s="140">
        <v>165</v>
      </c>
      <c r="V135" s="139" t="s">
        <v>640</v>
      </c>
      <c r="W135" s="139" t="s">
        <v>641</v>
      </c>
      <c r="X135" s="139" t="s">
        <v>642</v>
      </c>
      <c r="Y135" s="139" t="s">
        <v>643</v>
      </c>
      <c r="Z135" s="139" t="s">
        <v>644</v>
      </c>
      <c r="AA135" s="139" t="s">
        <v>645</v>
      </c>
      <c r="AB135" s="139" t="s">
        <v>640</v>
      </c>
      <c r="AC135" s="139" t="s">
        <v>641</v>
      </c>
      <c r="AD135" s="139" t="s">
        <v>642</v>
      </c>
      <c r="AE135" s="139" t="s">
        <v>643</v>
      </c>
      <c r="AF135" s="139" t="s">
        <v>644</v>
      </c>
      <c r="AG135" s="139" t="s">
        <v>645</v>
      </c>
      <c r="AH135" s="139" t="s">
        <v>621</v>
      </c>
      <c r="AI135" s="139" t="s">
        <v>430</v>
      </c>
      <c r="AJ135" s="140">
        <v>4225980</v>
      </c>
      <c r="AK135" s="139" t="s">
        <v>640</v>
      </c>
      <c r="AL135" s="139" t="s">
        <v>641</v>
      </c>
      <c r="AM135" s="139" t="s">
        <v>642</v>
      </c>
      <c r="AN135" s="139" t="s">
        <v>643</v>
      </c>
      <c r="AO135" s="139" t="s">
        <v>644</v>
      </c>
      <c r="AP135" s="139" t="s">
        <v>645</v>
      </c>
      <c r="AQ135" s="139" t="s">
        <v>621</v>
      </c>
      <c r="AR135" s="139" t="s">
        <v>430</v>
      </c>
      <c r="AS135" s="139" t="s">
        <v>430</v>
      </c>
      <c r="AT135" s="139" t="s">
        <v>593</v>
      </c>
      <c r="AU135" s="139" t="s">
        <v>437</v>
      </c>
      <c r="AV135" s="140">
        <v>0</v>
      </c>
      <c r="AW135" s="139" t="s">
        <v>594</v>
      </c>
      <c r="AX135" s="139" t="s">
        <v>622</v>
      </c>
      <c r="AY135" s="139" t="s">
        <v>646</v>
      </c>
      <c r="AZ135" s="140">
        <v>1</v>
      </c>
      <c r="BA135" s="139" t="s">
        <v>597</v>
      </c>
      <c r="BB135" s="140">
        <v>50160</v>
      </c>
      <c r="BC135" s="140">
        <v>4225980</v>
      </c>
      <c r="BD135" s="140">
        <v>54737.77</v>
      </c>
      <c r="BE135" s="140">
        <v>84.25</v>
      </c>
      <c r="BF135" s="139" t="s">
        <v>880</v>
      </c>
      <c r="BG135" s="139" t="s">
        <v>582</v>
      </c>
      <c r="BH135" s="139" t="s">
        <v>938</v>
      </c>
      <c r="BI135" s="139" t="s">
        <v>598</v>
      </c>
      <c r="BJ135" s="139" t="s">
        <v>624</v>
      </c>
      <c r="BK135" s="139" t="s">
        <v>882</v>
      </c>
      <c r="BL135" s="139" t="s">
        <v>583</v>
      </c>
      <c r="BM135" s="139" t="s">
        <v>939</v>
      </c>
      <c r="BN135" s="139" t="s">
        <v>583</v>
      </c>
      <c r="BO135" s="139" t="s">
        <v>623</v>
      </c>
      <c r="BP135" s="139" t="s">
        <v>884</v>
      </c>
      <c r="BQ135" s="139" t="s">
        <v>625</v>
      </c>
      <c r="BR135" s="140">
        <v>1</v>
      </c>
      <c r="BS135" s="139" t="s">
        <v>1367</v>
      </c>
      <c r="BT135" s="99">
        <f t="shared" si="7"/>
        <v>0</v>
      </c>
      <c r="BU135" s="99">
        <f t="shared" si="7"/>
        <v>0</v>
      </c>
      <c r="BV135" s="99">
        <f t="shared" si="8"/>
        <v>0</v>
      </c>
      <c r="BW135" s="139" t="s">
        <v>446</v>
      </c>
      <c r="BX135" s="139" t="s">
        <v>441</v>
      </c>
      <c r="BY135" s="140">
        <v>165</v>
      </c>
      <c r="BZ135" s="140">
        <v>0</v>
      </c>
      <c r="CA135" s="99">
        <v>33000</v>
      </c>
      <c r="CB135" s="140" t="s">
        <v>603</v>
      </c>
      <c r="CC135" s="140">
        <v>0</v>
      </c>
      <c r="CD135" s="140"/>
      <c r="CE135" s="139" t="s">
        <v>577</v>
      </c>
      <c r="CF135" s="139" t="s">
        <v>604</v>
      </c>
      <c r="CG135" s="139" t="s">
        <v>583</v>
      </c>
      <c r="CH135" s="139" t="s">
        <v>583</v>
      </c>
      <c r="CI135" s="139" t="s">
        <v>621</v>
      </c>
      <c r="CJ135" s="140">
        <v>3300</v>
      </c>
      <c r="CK135" s="140" t="s">
        <v>605</v>
      </c>
      <c r="CL135" s="140">
        <v>4000000</v>
      </c>
      <c r="CM135" s="99">
        <v>2970</v>
      </c>
      <c r="CN135" s="140">
        <v>0</v>
      </c>
      <c r="CO135" s="139" t="s">
        <v>583</v>
      </c>
      <c r="CP135" s="139" t="s">
        <v>583</v>
      </c>
      <c r="CQ135" s="140">
        <v>50160</v>
      </c>
      <c r="CR135" s="140">
        <v>4225980</v>
      </c>
      <c r="CS135" s="140">
        <v>0</v>
      </c>
      <c r="CT135" s="140">
        <v>1</v>
      </c>
      <c r="CU135" s="140">
        <v>4225980</v>
      </c>
      <c r="CV135" s="99">
        <v>54737.77</v>
      </c>
      <c r="CW135" s="139" t="s">
        <v>606</v>
      </c>
      <c r="CX135" s="140">
        <v>18.430199999999999</v>
      </c>
      <c r="CY135" s="140"/>
      <c r="CZ135" s="140"/>
      <c r="DA135" s="140" t="s">
        <v>941</v>
      </c>
      <c r="DB135" s="140">
        <v>659</v>
      </c>
      <c r="DC135" s="140"/>
    </row>
    <row r="136" spans="2:107" ht="11.25" customHeight="1" x14ac:dyDescent="0.15">
      <c r="B136" s="139" t="s">
        <v>577</v>
      </c>
      <c r="C136" s="140" t="s">
        <v>1391</v>
      </c>
      <c r="D136" s="140">
        <v>5</v>
      </c>
      <c r="E136" s="139" t="s">
        <v>1395</v>
      </c>
      <c r="F136" s="139" t="s">
        <v>729</v>
      </c>
      <c r="G136" s="140" t="s">
        <v>1391</v>
      </c>
      <c r="H136" s="139" t="s">
        <v>1396</v>
      </c>
      <c r="I136" s="140" t="s">
        <v>421</v>
      </c>
      <c r="J136" s="139" t="s">
        <v>582</v>
      </c>
      <c r="K136" s="139" t="s">
        <v>583</v>
      </c>
      <c r="L136" s="139" t="s">
        <v>583</v>
      </c>
      <c r="M136" s="139" t="s">
        <v>583</v>
      </c>
      <c r="N136" s="139" t="s">
        <v>731</v>
      </c>
      <c r="O136" s="139" t="s">
        <v>1397</v>
      </c>
      <c r="P136" s="139" t="s">
        <v>583</v>
      </c>
      <c r="Q136" s="139" t="s">
        <v>583</v>
      </c>
      <c r="R136" s="140">
        <v>1</v>
      </c>
      <c r="S136" s="140">
        <v>0</v>
      </c>
      <c r="T136" s="140">
        <v>1</v>
      </c>
      <c r="U136" s="140">
        <v>820</v>
      </c>
      <c r="V136" s="139" t="s">
        <v>691</v>
      </c>
      <c r="W136" s="139" t="s">
        <v>692</v>
      </c>
      <c r="X136" s="139" t="s">
        <v>693</v>
      </c>
      <c r="Y136" s="139" t="s">
        <v>694</v>
      </c>
      <c r="Z136" s="139" t="s">
        <v>695</v>
      </c>
      <c r="AA136" s="139" t="s">
        <v>696</v>
      </c>
      <c r="AB136" s="139" t="s">
        <v>691</v>
      </c>
      <c r="AC136" s="139" t="s">
        <v>692</v>
      </c>
      <c r="AD136" s="139" t="s">
        <v>693</v>
      </c>
      <c r="AE136" s="139" t="s">
        <v>694</v>
      </c>
      <c r="AF136" s="139" t="s">
        <v>695</v>
      </c>
      <c r="AG136" s="139" t="s">
        <v>696</v>
      </c>
      <c r="AH136" s="139" t="s">
        <v>733</v>
      </c>
      <c r="AI136" s="139" t="s">
        <v>432</v>
      </c>
      <c r="AJ136" s="140">
        <v>24375210</v>
      </c>
      <c r="AK136" s="139" t="s">
        <v>691</v>
      </c>
      <c r="AL136" s="139" t="s">
        <v>692</v>
      </c>
      <c r="AM136" s="139" t="s">
        <v>693</v>
      </c>
      <c r="AN136" s="139" t="s">
        <v>694</v>
      </c>
      <c r="AO136" s="139" t="s">
        <v>695</v>
      </c>
      <c r="AP136" s="139" t="s">
        <v>696</v>
      </c>
      <c r="AQ136" s="139" t="s">
        <v>733</v>
      </c>
      <c r="AR136" s="139" t="s">
        <v>432</v>
      </c>
      <c r="AS136" s="139" t="s">
        <v>432</v>
      </c>
      <c r="AT136" s="139" t="s">
        <v>593</v>
      </c>
      <c r="AU136" s="139" t="s">
        <v>437</v>
      </c>
      <c r="AV136" s="140">
        <v>2</v>
      </c>
      <c r="AW136" s="139" t="s">
        <v>594</v>
      </c>
      <c r="AX136" s="139" t="s">
        <v>653</v>
      </c>
      <c r="AY136" s="139" t="s">
        <v>734</v>
      </c>
      <c r="AZ136" s="140">
        <v>1</v>
      </c>
      <c r="BA136" s="139" t="s">
        <v>597</v>
      </c>
      <c r="BB136" s="140">
        <v>289320</v>
      </c>
      <c r="BC136" s="140">
        <v>24375210</v>
      </c>
      <c r="BD136" s="140">
        <v>315724.28999999998</v>
      </c>
      <c r="BE136" s="140">
        <v>84.25</v>
      </c>
      <c r="BF136" s="139" t="s">
        <v>880</v>
      </c>
      <c r="BG136" s="139" t="s">
        <v>583</v>
      </c>
      <c r="BH136" s="139" t="s">
        <v>736</v>
      </c>
      <c r="BI136" s="139" t="s">
        <v>598</v>
      </c>
      <c r="BJ136" s="139" t="s">
        <v>624</v>
      </c>
      <c r="BK136" s="139" t="s">
        <v>890</v>
      </c>
      <c r="BL136" s="139" t="s">
        <v>583</v>
      </c>
      <c r="BM136" s="139" t="s">
        <v>891</v>
      </c>
      <c r="BN136" s="139" t="s">
        <v>738</v>
      </c>
      <c r="BO136" s="139" t="s">
        <v>739</v>
      </c>
      <c r="BP136" s="139" t="s">
        <v>892</v>
      </c>
      <c r="BQ136" s="139" t="s">
        <v>741</v>
      </c>
      <c r="BR136" s="140">
        <v>1</v>
      </c>
      <c r="BS136" s="139" t="s">
        <v>742</v>
      </c>
      <c r="BT136" s="99">
        <f t="shared" si="7"/>
        <v>0</v>
      </c>
      <c r="BU136" s="99">
        <f t="shared" si="7"/>
        <v>0</v>
      </c>
      <c r="BV136" s="99">
        <f t="shared" si="8"/>
        <v>0</v>
      </c>
      <c r="BW136" s="139" t="s">
        <v>743</v>
      </c>
      <c r="BX136" s="139" t="s">
        <v>744</v>
      </c>
      <c r="BY136" s="140">
        <v>820</v>
      </c>
      <c r="BZ136" s="140">
        <v>0</v>
      </c>
      <c r="CA136" s="99">
        <v>164000</v>
      </c>
      <c r="CB136" s="140" t="s">
        <v>603</v>
      </c>
      <c r="CC136" s="140">
        <v>0</v>
      </c>
      <c r="CD136" s="140"/>
      <c r="CE136" s="139" t="s">
        <v>577</v>
      </c>
      <c r="CF136" s="139" t="s">
        <v>604</v>
      </c>
      <c r="CG136" s="139" t="s">
        <v>583</v>
      </c>
      <c r="CH136" s="139" t="s">
        <v>583</v>
      </c>
      <c r="CI136" s="139" t="s">
        <v>733</v>
      </c>
      <c r="CJ136" s="140">
        <v>18040</v>
      </c>
      <c r="CK136" s="140" t="s">
        <v>605</v>
      </c>
      <c r="CL136" s="140">
        <v>4000000</v>
      </c>
      <c r="CM136" s="99">
        <v>16400</v>
      </c>
      <c r="CN136" s="140">
        <v>0</v>
      </c>
      <c r="CO136" s="139" t="s">
        <v>583</v>
      </c>
      <c r="CP136" s="139" t="s">
        <v>583</v>
      </c>
      <c r="CQ136" s="140">
        <v>289320</v>
      </c>
      <c r="CR136" s="140">
        <v>24375210</v>
      </c>
      <c r="CS136" s="140">
        <v>0</v>
      </c>
      <c r="CT136" s="140">
        <v>1</v>
      </c>
      <c r="CU136" s="140">
        <v>24375210</v>
      </c>
      <c r="CV136" s="99">
        <v>315724.28999999998</v>
      </c>
      <c r="CW136" s="139" t="s">
        <v>606</v>
      </c>
      <c r="CX136" s="140">
        <v>19.2515</v>
      </c>
      <c r="CY136" s="140">
        <v>933</v>
      </c>
      <c r="CZ136" s="140" t="s">
        <v>894</v>
      </c>
      <c r="DA136" s="140" t="s">
        <v>895</v>
      </c>
      <c r="DB136" s="140">
        <v>36</v>
      </c>
      <c r="DC136" s="140"/>
    </row>
    <row r="137" spans="2:107" ht="11.25" customHeight="1" x14ac:dyDescent="0.15">
      <c r="B137" s="139" t="s">
        <v>577</v>
      </c>
      <c r="C137" s="140" t="s">
        <v>1391</v>
      </c>
      <c r="D137" s="140">
        <v>5</v>
      </c>
      <c r="E137" s="139" t="s">
        <v>1398</v>
      </c>
      <c r="F137" s="139" t="s">
        <v>580</v>
      </c>
      <c r="G137" s="140" t="s">
        <v>1391</v>
      </c>
      <c r="H137" s="139" t="s">
        <v>1399</v>
      </c>
      <c r="I137" s="140" t="s">
        <v>421</v>
      </c>
      <c r="J137" s="139" t="s">
        <v>582</v>
      </c>
      <c r="K137" s="139" t="s">
        <v>583</v>
      </c>
      <c r="L137" s="139" t="s">
        <v>583</v>
      </c>
      <c r="M137" s="139" t="s">
        <v>583</v>
      </c>
      <c r="N137" s="139" t="s">
        <v>757</v>
      </c>
      <c r="O137" s="139" t="s">
        <v>1400</v>
      </c>
      <c r="P137" s="139" t="s">
        <v>583</v>
      </c>
      <c r="Q137" s="139" t="s">
        <v>583</v>
      </c>
      <c r="R137" s="140">
        <v>1</v>
      </c>
      <c r="S137" s="140">
        <v>0</v>
      </c>
      <c r="T137" s="140">
        <v>1</v>
      </c>
      <c r="U137" s="140">
        <v>3</v>
      </c>
      <c r="V137" s="139" t="s">
        <v>859</v>
      </c>
      <c r="W137" s="139" t="s">
        <v>860</v>
      </c>
      <c r="X137" s="139" t="s">
        <v>861</v>
      </c>
      <c r="Y137" s="139" t="s">
        <v>862</v>
      </c>
      <c r="Z137" s="139" t="s">
        <v>590</v>
      </c>
      <c r="AA137" s="139" t="s">
        <v>839</v>
      </c>
      <c r="AB137" s="139" t="s">
        <v>859</v>
      </c>
      <c r="AC137" s="139" t="s">
        <v>860</v>
      </c>
      <c r="AD137" s="139" t="s">
        <v>861</v>
      </c>
      <c r="AE137" s="139" t="s">
        <v>862</v>
      </c>
      <c r="AF137" s="139" t="s">
        <v>590</v>
      </c>
      <c r="AG137" s="139" t="s">
        <v>839</v>
      </c>
      <c r="AH137" s="139" t="s">
        <v>759</v>
      </c>
      <c r="AI137" s="139" t="s">
        <v>434</v>
      </c>
      <c r="AJ137" s="140">
        <v>1896467.5</v>
      </c>
      <c r="AK137" s="139" t="s">
        <v>859</v>
      </c>
      <c r="AL137" s="139" t="s">
        <v>860</v>
      </c>
      <c r="AM137" s="139" t="s">
        <v>861</v>
      </c>
      <c r="AN137" s="139" t="s">
        <v>862</v>
      </c>
      <c r="AO137" s="139" t="s">
        <v>590</v>
      </c>
      <c r="AP137" s="139" t="s">
        <v>839</v>
      </c>
      <c r="AQ137" s="139" t="s">
        <v>759</v>
      </c>
      <c r="AR137" s="139" t="s">
        <v>434</v>
      </c>
      <c r="AS137" s="139" t="s">
        <v>434</v>
      </c>
      <c r="AT137" s="139" t="s">
        <v>593</v>
      </c>
      <c r="AU137" s="139" t="s">
        <v>437</v>
      </c>
      <c r="AV137" s="140">
        <v>2</v>
      </c>
      <c r="AW137" s="139" t="s">
        <v>594</v>
      </c>
      <c r="AX137" s="139" t="s">
        <v>595</v>
      </c>
      <c r="AY137" s="139" t="s">
        <v>840</v>
      </c>
      <c r="AZ137" s="140">
        <v>1</v>
      </c>
      <c r="BA137" s="139" t="s">
        <v>597</v>
      </c>
      <c r="BB137" s="140">
        <v>21700</v>
      </c>
      <c r="BC137" s="140">
        <v>1828225</v>
      </c>
      <c r="BD137" s="140">
        <v>24564.34</v>
      </c>
      <c r="BE137" s="140">
        <v>84.25</v>
      </c>
      <c r="BF137" s="139" t="s">
        <v>880</v>
      </c>
      <c r="BG137" s="139" t="s">
        <v>863</v>
      </c>
      <c r="BH137" s="139" t="s">
        <v>1122</v>
      </c>
      <c r="BI137" s="139" t="s">
        <v>598</v>
      </c>
      <c r="BJ137" s="139" t="s">
        <v>599</v>
      </c>
      <c r="BK137" s="139" t="s">
        <v>583</v>
      </c>
      <c r="BL137" s="139" t="s">
        <v>583</v>
      </c>
      <c r="BM137" s="139" t="s">
        <v>583</v>
      </c>
      <c r="BN137" s="139" t="s">
        <v>842</v>
      </c>
      <c r="BO137" s="139" t="s">
        <v>843</v>
      </c>
      <c r="BP137" s="139" t="s">
        <v>925</v>
      </c>
      <c r="BQ137" s="139" t="s">
        <v>723</v>
      </c>
      <c r="BR137" s="140">
        <v>1</v>
      </c>
      <c r="BS137" s="139" t="s">
        <v>864</v>
      </c>
      <c r="BT137" s="99">
        <f t="shared" si="7"/>
        <v>1</v>
      </c>
      <c r="BU137" s="99">
        <f t="shared" si="7"/>
        <v>0</v>
      </c>
      <c r="BV137" s="99">
        <f t="shared" si="8"/>
        <v>1</v>
      </c>
      <c r="BW137" s="139" t="s">
        <v>602</v>
      </c>
      <c r="BX137" s="139" t="s">
        <v>1124</v>
      </c>
      <c r="BY137" s="140">
        <v>3</v>
      </c>
      <c r="BZ137" s="140">
        <v>0</v>
      </c>
      <c r="CA137" s="99">
        <v>14000</v>
      </c>
      <c r="CB137" s="140" t="s">
        <v>603</v>
      </c>
      <c r="CC137" s="140">
        <v>0</v>
      </c>
      <c r="CD137" s="140"/>
      <c r="CE137" s="139" t="s">
        <v>577</v>
      </c>
      <c r="CF137" s="139" t="s">
        <v>604</v>
      </c>
      <c r="CG137" s="139" t="s">
        <v>583</v>
      </c>
      <c r="CH137" s="139" t="s">
        <v>583</v>
      </c>
      <c r="CI137" s="139" t="s">
        <v>759</v>
      </c>
      <c r="CJ137" s="140">
        <v>1470</v>
      </c>
      <c r="CK137" s="140" t="s">
        <v>605</v>
      </c>
      <c r="CL137" s="140">
        <v>4000000</v>
      </c>
      <c r="CM137" s="99">
        <v>1365</v>
      </c>
      <c r="CN137" s="140">
        <v>0</v>
      </c>
      <c r="CO137" s="139" t="s">
        <v>583</v>
      </c>
      <c r="CP137" s="139" t="s">
        <v>583</v>
      </c>
      <c r="CQ137" s="140">
        <v>21700</v>
      </c>
      <c r="CR137" s="140">
        <v>1828225</v>
      </c>
      <c r="CS137" s="140">
        <v>0</v>
      </c>
      <c r="CT137" s="140">
        <v>1</v>
      </c>
      <c r="CU137" s="140">
        <v>1896467.5</v>
      </c>
      <c r="CV137" s="99">
        <v>24564.34</v>
      </c>
      <c r="CW137" s="139" t="s">
        <v>606</v>
      </c>
      <c r="CX137" s="140">
        <v>17.995899999999999</v>
      </c>
      <c r="CY137" s="140">
        <v>1535</v>
      </c>
      <c r="CZ137" s="140" t="s">
        <v>1118</v>
      </c>
      <c r="DA137" s="140" t="s">
        <v>1119</v>
      </c>
      <c r="DB137" s="140">
        <v>1344</v>
      </c>
      <c r="DC137" s="140"/>
    </row>
    <row r="138" spans="2:107" ht="11.25" customHeight="1" x14ac:dyDescent="0.15">
      <c r="B138" s="139" t="s">
        <v>577</v>
      </c>
      <c r="C138" s="140" t="s">
        <v>1391</v>
      </c>
      <c r="D138" s="140">
        <v>5</v>
      </c>
      <c r="E138" s="139" t="s">
        <v>1401</v>
      </c>
      <c r="F138" s="139" t="s">
        <v>718</v>
      </c>
      <c r="G138" s="140" t="s">
        <v>1391</v>
      </c>
      <c r="H138" s="139" t="s">
        <v>1402</v>
      </c>
      <c r="I138" s="140" t="s">
        <v>421</v>
      </c>
      <c r="J138" s="139" t="s">
        <v>582</v>
      </c>
      <c r="K138" s="139" t="s">
        <v>583</v>
      </c>
      <c r="L138" s="139" t="s">
        <v>583</v>
      </c>
      <c r="M138" s="139" t="s">
        <v>583</v>
      </c>
      <c r="N138" s="139" t="s">
        <v>720</v>
      </c>
      <c r="O138" s="139" t="s">
        <v>923</v>
      </c>
      <c r="P138" s="139" t="s">
        <v>583</v>
      </c>
      <c r="Q138" s="139" t="s">
        <v>583</v>
      </c>
      <c r="R138" s="140">
        <v>1</v>
      </c>
      <c r="S138" s="140">
        <v>0</v>
      </c>
      <c r="T138" s="140">
        <v>1</v>
      </c>
      <c r="U138" s="140">
        <v>100</v>
      </c>
      <c r="V138" s="139" t="s">
        <v>662</v>
      </c>
      <c r="W138" s="139" t="s">
        <v>663</v>
      </c>
      <c r="X138" s="139" t="s">
        <v>664</v>
      </c>
      <c r="Y138" s="139" t="s">
        <v>665</v>
      </c>
      <c r="Z138" s="139" t="s">
        <v>666</v>
      </c>
      <c r="AA138" s="139" t="s">
        <v>667</v>
      </c>
      <c r="AB138" s="139" t="s">
        <v>662</v>
      </c>
      <c r="AC138" s="139" t="s">
        <v>663</v>
      </c>
      <c r="AD138" s="139" t="s">
        <v>664</v>
      </c>
      <c r="AE138" s="139" t="s">
        <v>665</v>
      </c>
      <c r="AF138" s="139" t="s">
        <v>666</v>
      </c>
      <c r="AG138" s="139" t="s">
        <v>667</v>
      </c>
      <c r="AH138" s="139" t="s">
        <v>592</v>
      </c>
      <c r="AI138" s="139" t="s">
        <v>429</v>
      </c>
      <c r="AJ138" s="140">
        <v>2549405</v>
      </c>
      <c r="AK138" s="139" t="s">
        <v>662</v>
      </c>
      <c r="AL138" s="139" t="s">
        <v>663</v>
      </c>
      <c r="AM138" s="139" t="s">
        <v>664</v>
      </c>
      <c r="AN138" s="139" t="s">
        <v>665</v>
      </c>
      <c r="AO138" s="139" t="s">
        <v>666</v>
      </c>
      <c r="AP138" s="139" t="s">
        <v>667</v>
      </c>
      <c r="AQ138" s="139" t="s">
        <v>592</v>
      </c>
      <c r="AR138" s="139" t="s">
        <v>429</v>
      </c>
      <c r="AS138" s="139" t="s">
        <v>429</v>
      </c>
      <c r="AT138" s="139" t="s">
        <v>593</v>
      </c>
      <c r="AU138" s="139" t="s">
        <v>437</v>
      </c>
      <c r="AV138" s="140">
        <v>2</v>
      </c>
      <c r="AW138" s="139" t="s">
        <v>594</v>
      </c>
      <c r="AX138" s="139" t="s">
        <v>595</v>
      </c>
      <c r="AY138" s="139" t="s">
        <v>722</v>
      </c>
      <c r="AZ138" s="140">
        <v>1</v>
      </c>
      <c r="BA138" s="139" t="s">
        <v>597</v>
      </c>
      <c r="BB138" s="140">
        <v>30000</v>
      </c>
      <c r="BC138" s="140">
        <v>2527500</v>
      </c>
      <c r="BD138" s="140">
        <v>33021.629999999997</v>
      </c>
      <c r="BE138" s="140">
        <v>84.25</v>
      </c>
      <c r="BF138" s="139" t="s">
        <v>880</v>
      </c>
      <c r="BG138" s="139" t="s">
        <v>583</v>
      </c>
      <c r="BH138" s="139" t="s">
        <v>924</v>
      </c>
      <c r="BI138" s="139" t="s">
        <v>598</v>
      </c>
      <c r="BJ138" s="139" t="s">
        <v>599</v>
      </c>
      <c r="BK138" s="139" t="s">
        <v>583</v>
      </c>
      <c r="BL138" s="139" t="s">
        <v>583</v>
      </c>
      <c r="BM138" s="139" t="s">
        <v>583</v>
      </c>
      <c r="BN138" s="139" t="s">
        <v>842</v>
      </c>
      <c r="BO138" s="139" t="s">
        <v>843</v>
      </c>
      <c r="BP138" s="139" t="s">
        <v>925</v>
      </c>
      <c r="BQ138" s="139" t="s">
        <v>723</v>
      </c>
      <c r="BR138" s="140">
        <v>1</v>
      </c>
      <c r="BS138" s="139" t="s">
        <v>724</v>
      </c>
      <c r="BT138" s="99">
        <f t="shared" si="7"/>
        <v>1</v>
      </c>
      <c r="BU138" s="99">
        <f t="shared" si="7"/>
        <v>0</v>
      </c>
      <c r="BV138" s="99">
        <f t="shared" si="8"/>
        <v>1</v>
      </c>
      <c r="BW138" s="139" t="s">
        <v>725</v>
      </c>
      <c r="BX138" s="139" t="s">
        <v>1403</v>
      </c>
      <c r="BY138" s="140">
        <v>100</v>
      </c>
      <c r="BZ138" s="140">
        <v>0</v>
      </c>
      <c r="CA138" s="99">
        <v>20000</v>
      </c>
      <c r="CB138" s="140" t="s">
        <v>603</v>
      </c>
      <c r="CC138" s="140">
        <v>0</v>
      </c>
      <c r="CD138" s="140"/>
      <c r="CE138" s="139" t="s">
        <v>577</v>
      </c>
      <c r="CF138" s="139" t="s">
        <v>604</v>
      </c>
      <c r="CG138" s="139" t="s">
        <v>583</v>
      </c>
      <c r="CH138" s="139" t="s">
        <v>583</v>
      </c>
      <c r="CI138" s="139" t="s">
        <v>592</v>
      </c>
      <c r="CJ138" s="140">
        <v>2100</v>
      </c>
      <c r="CK138" s="140" t="s">
        <v>605</v>
      </c>
      <c r="CL138" s="140">
        <v>4000000</v>
      </c>
      <c r="CM138" s="99">
        <v>2000</v>
      </c>
      <c r="CN138" s="140">
        <v>0</v>
      </c>
      <c r="CO138" s="139" t="s">
        <v>583</v>
      </c>
      <c r="CP138" s="139" t="s">
        <v>583</v>
      </c>
      <c r="CQ138" s="140">
        <v>30000</v>
      </c>
      <c r="CR138" s="140">
        <v>2527500</v>
      </c>
      <c r="CS138" s="140">
        <v>0</v>
      </c>
      <c r="CT138" s="140">
        <v>1</v>
      </c>
      <c r="CU138" s="140">
        <v>2549405</v>
      </c>
      <c r="CV138" s="99">
        <v>33021.629999999997</v>
      </c>
      <c r="CW138" s="139" t="s">
        <v>606</v>
      </c>
      <c r="CX138" s="140">
        <v>16.5108</v>
      </c>
      <c r="CY138" s="140"/>
      <c r="CZ138" s="140"/>
      <c r="DA138" s="140" t="s">
        <v>926</v>
      </c>
      <c r="DB138" s="140">
        <v>14</v>
      </c>
      <c r="DC138" s="140"/>
    </row>
    <row r="139" spans="2:107" ht="11.25" customHeight="1" x14ac:dyDescent="0.15">
      <c r="B139" s="139" t="s">
        <v>577</v>
      </c>
      <c r="C139" s="140" t="s">
        <v>1404</v>
      </c>
      <c r="D139" s="140">
        <v>5</v>
      </c>
      <c r="E139" s="139" t="s">
        <v>1405</v>
      </c>
      <c r="F139" s="139" t="s">
        <v>618</v>
      </c>
      <c r="G139" s="140" t="s">
        <v>1404</v>
      </c>
      <c r="H139" s="139" t="s">
        <v>1406</v>
      </c>
      <c r="I139" s="140" t="s">
        <v>421</v>
      </c>
      <c r="J139" s="139" t="s">
        <v>582</v>
      </c>
      <c r="K139" s="139" t="s">
        <v>583</v>
      </c>
      <c r="L139" s="139" t="s">
        <v>583</v>
      </c>
      <c r="M139" s="139" t="s">
        <v>583</v>
      </c>
      <c r="N139" s="139" t="s">
        <v>441</v>
      </c>
      <c r="O139" s="139" t="s">
        <v>1407</v>
      </c>
      <c r="P139" s="139" t="s">
        <v>583</v>
      </c>
      <c r="Q139" s="139" t="s">
        <v>583</v>
      </c>
      <c r="R139" s="140">
        <v>1</v>
      </c>
      <c r="S139" s="140">
        <v>0</v>
      </c>
      <c r="T139" s="140">
        <v>1</v>
      </c>
      <c r="U139" s="140">
        <v>564</v>
      </c>
      <c r="V139" s="139" t="s">
        <v>583</v>
      </c>
      <c r="W139" s="139" t="s">
        <v>583</v>
      </c>
      <c r="X139" s="139" t="s">
        <v>632</v>
      </c>
      <c r="Y139" s="139" t="s">
        <v>633</v>
      </c>
      <c r="Z139" s="139" t="s">
        <v>583</v>
      </c>
      <c r="AA139" s="139" t="s">
        <v>583</v>
      </c>
      <c r="AB139" s="139" t="s">
        <v>583</v>
      </c>
      <c r="AC139" s="139" t="s">
        <v>583</v>
      </c>
      <c r="AD139" s="139" t="s">
        <v>632</v>
      </c>
      <c r="AE139" s="139" t="s">
        <v>633</v>
      </c>
      <c r="AF139" s="139" t="s">
        <v>583</v>
      </c>
      <c r="AG139" s="139" t="s">
        <v>583</v>
      </c>
      <c r="AH139" s="139" t="s">
        <v>621</v>
      </c>
      <c r="AI139" s="139" t="s">
        <v>430</v>
      </c>
      <c r="AJ139" s="140">
        <v>14024598.84</v>
      </c>
      <c r="AK139" s="139" t="s">
        <v>583</v>
      </c>
      <c r="AL139" s="139" t="s">
        <v>583</v>
      </c>
      <c r="AM139" s="139" t="s">
        <v>632</v>
      </c>
      <c r="AN139" s="139" t="s">
        <v>633</v>
      </c>
      <c r="AO139" s="139" t="s">
        <v>583</v>
      </c>
      <c r="AP139" s="139" t="s">
        <v>583</v>
      </c>
      <c r="AQ139" s="139" t="s">
        <v>621</v>
      </c>
      <c r="AR139" s="139" t="s">
        <v>430</v>
      </c>
      <c r="AS139" s="139" t="s">
        <v>430</v>
      </c>
      <c r="AT139" s="139" t="s">
        <v>593</v>
      </c>
      <c r="AU139" s="139" t="s">
        <v>437</v>
      </c>
      <c r="AV139" s="140">
        <v>0</v>
      </c>
      <c r="AW139" s="139" t="s">
        <v>594</v>
      </c>
      <c r="AX139" s="139" t="s">
        <v>622</v>
      </c>
      <c r="AY139" s="139" t="s">
        <v>623</v>
      </c>
      <c r="AZ139" s="140">
        <v>1</v>
      </c>
      <c r="BA139" s="139" t="s">
        <v>597</v>
      </c>
      <c r="BB139" s="140">
        <v>169200</v>
      </c>
      <c r="BC139" s="140">
        <v>14024599</v>
      </c>
      <c r="BD139" s="140">
        <v>184814.82</v>
      </c>
      <c r="BE139" s="140">
        <v>82.887699999999995</v>
      </c>
      <c r="BF139" s="139" t="s">
        <v>880</v>
      </c>
      <c r="BG139" s="139" t="s">
        <v>582</v>
      </c>
      <c r="BH139" s="139" t="s">
        <v>931</v>
      </c>
      <c r="BI139" s="139" t="s">
        <v>598</v>
      </c>
      <c r="BJ139" s="139" t="s">
        <v>624</v>
      </c>
      <c r="BK139" s="139" t="s">
        <v>882</v>
      </c>
      <c r="BL139" s="139" t="s">
        <v>583</v>
      </c>
      <c r="BM139" s="139" t="s">
        <v>883</v>
      </c>
      <c r="BN139" s="139" t="s">
        <v>583</v>
      </c>
      <c r="BO139" s="139" t="s">
        <v>623</v>
      </c>
      <c r="BP139" s="139" t="s">
        <v>884</v>
      </c>
      <c r="BQ139" s="139" t="s">
        <v>625</v>
      </c>
      <c r="BR139" s="140">
        <v>1</v>
      </c>
      <c r="BS139" s="139" t="s">
        <v>634</v>
      </c>
      <c r="BT139" s="99">
        <f t="shared" si="7"/>
        <v>0</v>
      </c>
      <c r="BU139" s="99">
        <f t="shared" si="7"/>
        <v>1</v>
      </c>
      <c r="BV139" s="99">
        <f t="shared" si="8"/>
        <v>1</v>
      </c>
      <c r="BW139" s="139" t="s">
        <v>635</v>
      </c>
      <c r="BX139" s="139" t="s">
        <v>441</v>
      </c>
      <c r="BY139" s="140">
        <v>564</v>
      </c>
      <c r="BZ139" s="140">
        <v>0</v>
      </c>
      <c r="CA139" s="99">
        <v>112800</v>
      </c>
      <c r="CB139" s="140" t="s">
        <v>603</v>
      </c>
      <c r="CC139" s="140">
        <v>0</v>
      </c>
      <c r="CD139" s="140"/>
      <c r="CE139" s="139" t="s">
        <v>577</v>
      </c>
      <c r="CF139" s="139" t="s">
        <v>604</v>
      </c>
      <c r="CG139" s="139" t="s">
        <v>583</v>
      </c>
      <c r="CH139" s="139" t="s">
        <v>583</v>
      </c>
      <c r="CI139" s="139" t="s">
        <v>621</v>
      </c>
      <c r="CJ139" s="140">
        <v>11280</v>
      </c>
      <c r="CK139" s="140" t="s">
        <v>605</v>
      </c>
      <c r="CL139" s="140">
        <v>4000000</v>
      </c>
      <c r="CM139" s="99">
        <v>10152</v>
      </c>
      <c r="CN139" s="140">
        <v>0</v>
      </c>
      <c r="CO139" s="139" t="s">
        <v>583</v>
      </c>
      <c r="CP139" s="139" t="s">
        <v>583</v>
      </c>
      <c r="CQ139" s="140">
        <v>169200</v>
      </c>
      <c r="CR139" s="140">
        <v>14024599</v>
      </c>
      <c r="CS139" s="140">
        <v>0</v>
      </c>
      <c r="CT139" s="140">
        <v>1</v>
      </c>
      <c r="CU139" s="140">
        <v>14024598.84</v>
      </c>
      <c r="CV139" s="99">
        <v>184814.82</v>
      </c>
      <c r="CW139" s="139" t="s">
        <v>606</v>
      </c>
      <c r="CX139" s="140">
        <v>18.204799999999999</v>
      </c>
      <c r="CY139" s="140"/>
      <c r="CZ139" s="140"/>
      <c r="DA139" s="140" t="s">
        <v>933</v>
      </c>
      <c r="DB139" s="140">
        <v>598</v>
      </c>
      <c r="DC139" s="140"/>
    </row>
    <row r="140" spans="2:107" ht="11.25" customHeight="1" x14ac:dyDescent="0.15">
      <c r="B140" s="139" t="s">
        <v>577</v>
      </c>
      <c r="C140" s="140" t="s">
        <v>1404</v>
      </c>
      <c r="D140" s="140">
        <v>5</v>
      </c>
      <c r="E140" s="139" t="s">
        <v>1408</v>
      </c>
      <c r="F140" s="139" t="s">
        <v>580</v>
      </c>
      <c r="G140" s="140" t="s">
        <v>1404</v>
      </c>
      <c r="H140" s="139" t="s">
        <v>1409</v>
      </c>
      <c r="I140" s="140" t="s">
        <v>421</v>
      </c>
      <c r="J140" s="139" t="s">
        <v>582</v>
      </c>
      <c r="K140" s="139" t="s">
        <v>583</v>
      </c>
      <c r="L140" s="139" t="s">
        <v>583</v>
      </c>
      <c r="M140" s="139" t="s">
        <v>583</v>
      </c>
      <c r="N140" s="139" t="s">
        <v>757</v>
      </c>
      <c r="O140" s="139" t="s">
        <v>1410</v>
      </c>
      <c r="P140" s="139" t="s">
        <v>583</v>
      </c>
      <c r="Q140" s="139" t="s">
        <v>583</v>
      </c>
      <c r="R140" s="140">
        <v>1</v>
      </c>
      <c r="S140" s="140"/>
      <c r="T140" s="140">
        <v>1</v>
      </c>
      <c r="U140" s="140">
        <v>17</v>
      </c>
      <c r="V140" s="139" t="s">
        <v>586</v>
      </c>
      <c r="W140" s="139" t="s">
        <v>587</v>
      </c>
      <c r="X140" s="139" t="s">
        <v>588</v>
      </c>
      <c r="Y140" s="139" t="s">
        <v>589</v>
      </c>
      <c r="Z140" s="139" t="s">
        <v>590</v>
      </c>
      <c r="AA140" s="139" t="s">
        <v>591</v>
      </c>
      <c r="AB140" s="139" t="s">
        <v>586</v>
      </c>
      <c r="AC140" s="139" t="s">
        <v>587</v>
      </c>
      <c r="AD140" s="139" t="s">
        <v>588</v>
      </c>
      <c r="AE140" s="139" t="s">
        <v>589</v>
      </c>
      <c r="AF140" s="139" t="s">
        <v>590</v>
      </c>
      <c r="AG140" s="139" t="s">
        <v>591</v>
      </c>
      <c r="AH140" s="139" t="s">
        <v>759</v>
      </c>
      <c r="AI140" s="139" t="s">
        <v>434</v>
      </c>
      <c r="AJ140" s="140">
        <v>8731058.7699999996</v>
      </c>
      <c r="AK140" s="139" t="s">
        <v>586</v>
      </c>
      <c r="AL140" s="139" t="s">
        <v>587</v>
      </c>
      <c r="AM140" s="139" t="s">
        <v>588</v>
      </c>
      <c r="AN140" s="139" t="s">
        <v>589</v>
      </c>
      <c r="AO140" s="139" t="s">
        <v>590</v>
      </c>
      <c r="AP140" s="139" t="s">
        <v>591</v>
      </c>
      <c r="AQ140" s="139" t="s">
        <v>759</v>
      </c>
      <c r="AR140" s="139" t="s">
        <v>434</v>
      </c>
      <c r="AS140" s="139" t="s">
        <v>434</v>
      </c>
      <c r="AT140" s="139" t="s">
        <v>593</v>
      </c>
      <c r="AU140" s="139" t="s">
        <v>437</v>
      </c>
      <c r="AV140" s="140">
        <v>2</v>
      </c>
      <c r="AW140" s="139" t="s">
        <v>594</v>
      </c>
      <c r="AX140" s="139" t="s">
        <v>653</v>
      </c>
      <c r="AY140" s="139" t="s">
        <v>850</v>
      </c>
      <c r="AZ140" s="140">
        <v>1</v>
      </c>
      <c r="BA140" s="139" t="s">
        <v>597</v>
      </c>
      <c r="BB140" s="140">
        <v>105336</v>
      </c>
      <c r="BC140" s="140">
        <v>8731059</v>
      </c>
      <c r="BD140" s="140">
        <v>115057.06</v>
      </c>
      <c r="BE140" s="140">
        <v>82.887699999999995</v>
      </c>
      <c r="BF140" s="139" t="s">
        <v>880</v>
      </c>
      <c r="BG140" s="139" t="s">
        <v>583</v>
      </c>
      <c r="BH140" s="139" t="s">
        <v>851</v>
      </c>
      <c r="BI140" s="139" t="s">
        <v>598</v>
      </c>
      <c r="BJ140" s="139" t="s">
        <v>1100</v>
      </c>
      <c r="BK140" s="139" t="s">
        <v>1101</v>
      </c>
      <c r="BL140" s="139" t="s">
        <v>1101</v>
      </c>
      <c r="BM140" s="139" t="s">
        <v>583</v>
      </c>
      <c r="BN140" s="139" t="s">
        <v>1102</v>
      </c>
      <c r="BO140" s="139" t="s">
        <v>850</v>
      </c>
      <c r="BP140" s="139" t="s">
        <v>1104</v>
      </c>
      <c r="BQ140" s="139" t="s">
        <v>600</v>
      </c>
      <c r="BR140" s="140">
        <v>1</v>
      </c>
      <c r="BS140" s="139" t="s">
        <v>601</v>
      </c>
      <c r="BT140" s="99">
        <f t="shared" si="7"/>
        <v>0</v>
      </c>
      <c r="BU140" s="99">
        <f t="shared" si="7"/>
        <v>1</v>
      </c>
      <c r="BV140" s="99">
        <f t="shared" si="8"/>
        <v>1</v>
      </c>
      <c r="BW140" s="139" t="s">
        <v>602</v>
      </c>
      <c r="BX140" s="139" t="s">
        <v>757</v>
      </c>
      <c r="BY140" s="140">
        <v>17</v>
      </c>
      <c r="BZ140" s="140"/>
      <c r="CA140" s="99">
        <v>79200</v>
      </c>
      <c r="CB140" s="140" t="s">
        <v>603</v>
      </c>
      <c r="CC140" s="140"/>
      <c r="CD140" s="140"/>
      <c r="CE140" s="139" t="s">
        <v>577</v>
      </c>
      <c r="CF140" s="139" t="s">
        <v>604</v>
      </c>
      <c r="CG140" s="139" t="s">
        <v>583</v>
      </c>
      <c r="CH140" s="139" t="s">
        <v>583</v>
      </c>
      <c r="CI140" s="139" t="s">
        <v>759</v>
      </c>
      <c r="CJ140" s="140">
        <v>8316</v>
      </c>
      <c r="CK140" s="140" t="s">
        <v>605</v>
      </c>
      <c r="CL140" s="140">
        <v>4000000</v>
      </c>
      <c r="CM140" s="99">
        <v>7722</v>
      </c>
      <c r="CN140" s="140"/>
      <c r="CO140" s="139" t="s">
        <v>583</v>
      </c>
      <c r="CP140" s="139" t="s">
        <v>583</v>
      </c>
      <c r="CQ140" s="140">
        <v>105336</v>
      </c>
      <c r="CR140" s="140">
        <v>8731059</v>
      </c>
      <c r="CS140" s="140">
        <v>0</v>
      </c>
      <c r="CT140" s="140">
        <v>1</v>
      </c>
      <c r="CU140" s="140">
        <v>8731058.7699999996</v>
      </c>
      <c r="CV140" s="99">
        <v>115057.06</v>
      </c>
      <c r="CW140" s="139" t="s">
        <v>606</v>
      </c>
      <c r="CX140" s="140">
        <v>14.899900000000001</v>
      </c>
      <c r="CY140" s="140"/>
      <c r="CZ140" s="140"/>
      <c r="DA140" s="140" t="s">
        <v>856</v>
      </c>
      <c r="DB140" s="140">
        <v>1373</v>
      </c>
      <c r="DC140" s="140"/>
    </row>
    <row r="141" spans="2:107" ht="11.25" customHeight="1" x14ac:dyDescent="0.15">
      <c r="B141" s="139" t="s">
        <v>594</v>
      </c>
      <c r="C141" s="140" t="s">
        <v>1411</v>
      </c>
      <c r="D141" s="140">
        <v>5</v>
      </c>
      <c r="E141" s="139" t="s">
        <v>1412</v>
      </c>
      <c r="F141" s="139" t="s">
        <v>618</v>
      </c>
      <c r="G141" s="140" t="s">
        <v>1411</v>
      </c>
      <c r="H141" s="139" t="s">
        <v>1413</v>
      </c>
      <c r="I141" s="140" t="s">
        <v>421</v>
      </c>
      <c r="J141" s="139" t="s">
        <v>582</v>
      </c>
      <c r="K141" s="139" t="s">
        <v>583</v>
      </c>
      <c r="L141" s="139" t="s">
        <v>583</v>
      </c>
      <c r="M141" s="139" t="s">
        <v>583</v>
      </c>
      <c r="N141" s="139" t="s">
        <v>441</v>
      </c>
      <c r="O141" s="139" t="s">
        <v>1407</v>
      </c>
      <c r="P141" s="139" t="s">
        <v>583</v>
      </c>
      <c r="Q141" s="139" t="s">
        <v>583</v>
      </c>
      <c r="R141" s="140">
        <v>1</v>
      </c>
      <c r="S141" s="140">
        <v>0</v>
      </c>
      <c r="T141" s="140">
        <v>1</v>
      </c>
      <c r="U141" s="140">
        <v>564</v>
      </c>
      <c r="V141" s="139" t="s">
        <v>583</v>
      </c>
      <c r="W141" s="139" t="s">
        <v>583</v>
      </c>
      <c r="X141" s="139" t="s">
        <v>632</v>
      </c>
      <c r="Y141" s="139" t="s">
        <v>633</v>
      </c>
      <c r="Z141" s="139" t="s">
        <v>583</v>
      </c>
      <c r="AA141" s="139" t="s">
        <v>583</v>
      </c>
      <c r="AB141" s="139" t="s">
        <v>583</v>
      </c>
      <c r="AC141" s="139" t="s">
        <v>583</v>
      </c>
      <c r="AD141" s="139" t="s">
        <v>632</v>
      </c>
      <c r="AE141" s="139" t="s">
        <v>633</v>
      </c>
      <c r="AF141" s="139" t="s">
        <v>583</v>
      </c>
      <c r="AG141" s="139" t="s">
        <v>583</v>
      </c>
      <c r="AH141" s="139" t="s">
        <v>621</v>
      </c>
      <c r="AI141" s="139" t="s">
        <v>430</v>
      </c>
      <c r="AJ141" s="140">
        <v>14238146.16</v>
      </c>
      <c r="AK141" s="139" t="s">
        <v>583</v>
      </c>
      <c r="AL141" s="139" t="s">
        <v>583</v>
      </c>
      <c r="AM141" s="139" t="s">
        <v>632</v>
      </c>
      <c r="AN141" s="139" t="s">
        <v>633</v>
      </c>
      <c r="AO141" s="139" t="s">
        <v>583</v>
      </c>
      <c r="AP141" s="139" t="s">
        <v>583</v>
      </c>
      <c r="AQ141" s="139" t="s">
        <v>621</v>
      </c>
      <c r="AR141" s="139" t="s">
        <v>430</v>
      </c>
      <c r="AS141" s="139" t="s">
        <v>430</v>
      </c>
      <c r="AT141" s="139" t="s">
        <v>593</v>
      </c>
      <c r="AU141" s="139" t="s">
        <v>437</v>
      </c>
      <c r="AV141" s="140">
        <v>0</v>
      </c>
      <c r="AW141" s="139" t="s">
        <v>594</v>
      </c>
      <c r="AX141" s="139" t="s">
        <v>622</v>
      </c>
      <c r="AY141" s="139" t="s">
        <v>623</v>
      </c>
      <c r="AZ141" s="140">
        <v>1</v>
      </c>
      <c r="BA141" s="139" t="s">
        <v>597</v>
      </c>
      <c r="BB141" s="140">
        <v>169200</v>
      </c>
      <c r="BC141" s="140">
        <v>14238146</v>
      </c>
      <c r="BD141" s="140">
        <v>185651.42</v>
      </c>
      <c r="BE141" s="140">
        <v>84.149799999999999</v>
      </c>
      <c r="BF141" s="139" t="s">
        <v>880</v>
      </c>
      <c r="BG141" s="139" t="s">
        <v>582</v>
      </c>
      <c r="BH141" s="139" t="s">
        <v>931</v>
      </c>
      <c r="BI141" s="139" t="s">
        <v>598</v>
      </c>
      <c r="BJ141" s="139" t="s">
        <v>624</v>
      </c>
      <c r="BK141" s="139" t="s">
        <v>882</v>
      </c>
      <c r="BL141" s="139" t="s">
        <v>583</v>
      </c>
      <c r="BM141" s="139" t="s">
        <v>883</v>
      </c>
      <c r="BN141" s="139" t="s">
        <v>583</v>
      </c>
      <c r="BO141" s="139" t="s">
        <v>623</v>
      </c>
      <c r="BP141" s="139" t="s">
        <v>884</v>
      </c>
      <c r="BQ141" s="139" t="s">
        <v>625</v>
      </c>
      <c r="BR141" s="140">
        <v>1</v>
      </c>
      <c r="BS141" s="139" t="s">
        <v>634</v>
      </c>
      <c r="BT141" s="99">
        <f t="shared" si="7"/>
        <v>0</v>
      </c>
      <c r="BU141" s="99">
        <f t="shared" si="7"/>
        <v>1</v>
      </c>
      <c r="BV141" s="99">
        <f t="shared" si="8"/>
        <v>1</v>
      </c>
      <c r="BW141" s="139" t="s">
        <v>635</v>
      </c>
      <c r="BX141" s="139" t="s">
        <v>441</v>
      </c>
      <c r="BY141" s="140">
        <v>564</v>
      </c>
      <c r="BZ141" s="140">
        <v>0</v>
      </c>
      <c r="CA141" s="99">
        <v>112800</v>
      </c>
      <c r="CB141" s="140" t="s">
        <v>603</v>
      </c>
      <c r="CC141" s="140">
        <v>0</v>
      </c>
      <c r="CD141" s="140"/>
      <c r="CE141" s="139" t="s">
        <v>577</v>
      </c>
      <c r="CF141" s="139" t="s">
        <v>604</v>
      </c>
      <c r="CG141" s="139" t="s">
        <v>583</v>
      </c>
      <c r="CH141" s="139" t="s">
        <v>583</v>
      </c>
      <c r="CI141" s="139" t="s">
        <v>621</v>
      </c>
      <c r="CJ141" s="140">
        <v>11280</v>
      </c>
      <c r="CK141" s="140" t="s">
        <v>605</v>
      </c>
      <c r="CL141" s="140">
        <v>4000000</v>
      </c>
      <c r="CM141" s="99">
        <v>10152</v>
      </c>
      <c r="CN141" s="140">
        <v>0</v>
      </c>
      <c r="CO141" s="139" t="s">
        <v>583</v>
      </c>
      <c r="CP141" s="139" t="s">
        <v>583</v>
      </c>
      <c r="CQ141" s="140">
        <v>169200</v>
      </c>
      <c r="CR141" s="140">
        <v>14238146</v>
      </c>
      <c r="CS141" s="140"/>
      <c r="CT141" s="140">
        <v>1</v>
      </c>
      <c r="CU141" s="140">
        <v>14238146.16</v>
      </c>
      <c r="CV141" s="99">
        <v>185651.42</v>
      </c>
      <c r="CW141" s="139" t="s">
        <v>1096</v>
      </c>
      <c r="CX141" s="140">
        <v>18.287199999999999</v>
      </c>
      <c r="CY141" s="140"/>
      <c r="CZ141" s="140"/>
      <c r="DA141" s="140" t="s">
        <v>933</v>
      </c>
      <c r="DB141" s="140">
        <v>1079</v>
      </c>
      <c r="DC141" s="140"/>
    </row>
    <row r="142" spans="2:107" ht="11.25" customHeight="1" x14ac:dyDescent="0.15">
      <c r="B142" s="139" t="s">
        <v>577</v>
      </c>
      <c r="C142" s="140" t="s">
        <v>1414</v>
      </c>
      <c r="D142" s="140">
        <v>5</v>
      </c>
      <c r="E142" s="139" t="s">
        <v>1415</v>
      </c>
      <c r="F142" s="139" t="s">
        <v>580</v>
      </c>
      <c r="G142" s="140" t="s">
        <v>1414</v>
      </c>
      <c r="H142" s="139" t="s">
        <v>1416</v>
      </c>
      <c r="I142" s="140" t="s">
        <v>421</v>
      </c>
      <c r="J142" s="139" t="s">
        <v>582</v>
      </c>
      <c r="K142" s="139" t="s">
        <v>583</v>
      </c>
      <c r="L142" s="139" t="s">
        <v>583</v>
      </c>
      <c r="M142" s="139" t="s">
        <v>583</v>
      </c>
      <c r="N142" s="139" t="s">
        <v>1417</v>
      </c>
      <c r="O142" s="139" t="s">
        <v>1418</v>
      </c>
      <c r="P142" s="139" t="s">
        <v>583</v>
      </c>
      <c r="Q142" s="139" t="s">
        <v>583</v>
      </c>
      <c r="R142" s="140">
        <v>2</v>
      </c>
      <c r="S142" s="140">
        <v>0</v>
      </c>
      <c r="T142" s="140">
        <v>2</v>
      </c>
      <c r="U142" s="140">
        <v>25</v>
      </c>
      <c r="V142" s="139" t="s">
        <v>1069</v>
      </c>
      <c r="W142" s="139" t="s">
        <v>1070</v>
      </c>
      <c r="X142" s="139" t="s">
        <v>1071</v>
      </c>
      <c r="Y142" s="139" t="s">
        <v>1072</v>
      </c>
      <c r="Z142" s="139" t="s">
        <v>590</v>
      </c>
      <c r="AA142" s="139" t="s">
        <v>1073</v>
      </c>
      <c r="AB142" s="139" t="s">
        <v>1069</v>
      </c>
      <c r="AC142" s="139" t="s">
        <v>1070</v>
      </c>
      <c r="AD142" s="139" t="s">
        <v>1071</v>
      </c>
      <c r="AE142" s="139" t="s">
        <v>1072</v>
      </c>
      <c r="AF142" s="139" t="s">
        <v>590</v>
      </c>
      <c r="AG142" s="139" t="s">
        <v>1073</v>
      </c>
      <c r="AH142" s="139" t="s">
        <v>1074</v>
      </c>
      <c r="AI142" s="139" t="s">
        <v>435</v>
      </c>
      <c r="AJ142" s="140">
        <v>7923209.5999999996</v>
      </c>
      <c r="AK142" s="139" t="s">
        <v>1069</v>
      </c>
      <c r="AL142" s="139" t="s">
        <v>1070</v>
      </c>
      <c r="AM142" s="139" t="s">
        <v>1071</v>
      </c>
      <c r="AN142" s="139" t="s">
        <v>1072</v>
      </c>
      <c r="AO142" s="139" t="s">
        <v>590</v>
      </c>
      <c r="AP142" s="139" t="s">
        <v>1073</v>
      </c>
      <c r="AQ142" s="139" t="s">
        <v>1074</v>
      </c>
      <c r="AR142" s="139" t="s">
        <v>435</v>
      </c>
      <c r="AS142" s="139" t="s">
        <v>435</v>
      </c>
      <c r="AT142" s="139" t="s">
        <v>593</v>
      </c>
      <c r="AU142" s="139" t="s">
        <v>437</v>
      </c>
      <c r="AV142" s="140">
        <v>2</v>
      </c>
      <c r="AW142" s="139" t="s">
        <v>594</v>
      </c>
      <c r="AX142" s="139" t="s">
        <v>653</v>
      </c>
      <c r="AY142" s="139" t="s">
        <v>1075</v>
      </c>
      <c r="AZ142" s="140">
        <v>1</v>
      </c>
      <c r="BA142" s="139" t="s">
        <v>597</v>
      </c>
      <c r="BB142" s="140">
        <v>93316</v>
      </c>
      <c r="BC142" s="140">
        <v>7923210</v>
      </c>
      <c r="BD142" s="140">
        <v>103139</v>
      </c>
      <c r="BE142" s="140">
        <v>84.907300000000006</v>
      </c>
      <c r="BF142" s="139" t="s">
        <v>880</v>
      </c>
      <c r="BG142" s="139" t="s">
        <v>583</v>
      </c>
      <c r="BH142" s="139" t="s">
        <v>1076</v>
      </c>
      <c r="BI142" s="139" t="s">
        <v>598</v>
      </c>
      <c r="BJ142" s="139" t="s">
        <v>624</v>
      </c>
      <c r="BK142" s="139" t="s">
        <v>1060</v>
      </c>
      <c r="BL142" s="139" t="s">
        <v>583</v>
      </c>
      <c r="BM142" s="139" t="s">
        <v>583</v>
      </c>
      <c r="BN142" s="139" t="s">
        <v>842</v>
      </c>
      <c r="BO142" s="139" t="s">
        <v>843</v>
      </c>
      <c r="BP142" s="139" t="s">
        <v>925</v>
      </c>
      <c r="BQ142" s="139" t="s">
        <v>723</v>
      </c>
      <c r="BR142" s="140">
        <v>2</v>
      </c>
      <c r="BS142" s="139" t="s">
        <v>1077</v>
      </c>
      <c r="BT142" s="99">
        <f t="shared" si="7"/>
        <v>1</v>
      </c>
      <c r="BU142" s="99">
        <f t="shared" si="7"/>
        <v>0</v>
      </c>
      <c r="BV142" s="99">
        <f t="shared" si="8"/>
        <v>1</v>
      </c>
      <c r="BW142" s="139" t="s">
        <v>1078</v>
      </c>
      <c r="BX142" s="139" t="s">
        <v>1257</v>
      </c>
      <c r="BY142" s="140">
        <v>3</v>
      </c>
      <c r="BZ142" s="140">
        <v>0</v>
      </c>
      <c r="CA142" s="99">
        <v>12000</v>
      </c>
      <c r="CB142" s="140" t="s">
        <v>603</v>
      </c>
      <c r="CC142" s="140">
        <v>0</v>
      </c>
      <c r="CD142" s="140"/>
      <c r="CE142" s="139" t="s">
        <v>1080</v>
      </c>
      <c r="CF142" s="139" t="s">
        <v>604</v>
      </c>
      <c r="CG142" s="139" t="s">
        <v>583</v>
      </c>
      <c r="CH142" s="139" t="s">
        <v>583</v>
      </c>
      <c r="CI142" s="139" t="s">
        <v>1074</v>
      </c>
      <c r="CJ142" s="140">
        <v>1245</v>
      </c>
      <c r="CK142" s="140" t="s">
        <v>605</v>
      </c>
      <c r="CL142" s="140">
        <v>4000000</v>
      </c>
      <c r="CM142" s="99">
        <v>1140</v>
      </c>
      <c r="CN142" s="140">
        <v>0</v>
      </c>
      <c r="CO142" s="139" t="s">
        <v>583</v>
      </c>
      <c r="CP142" s="139" t="s">
        <v>583</v>
      </c>
      <c r="CQ142" s="140">
        <v>19159.63</v>
      </c>
      <c r="CR142" s="140">
        <v>1626792</v>
      </c>
      <c r="CS142" s="140">
        <v>0</v>
      </c>
      <c r="CT142" s="140">
        <v>1</v>
      </c>
      <c r="CU142" s="140">
        <v>1626792.45</v>
      </c>
      <c r="CV142" s="99">
        <v>21176.49</v>
      </c>
      <c r="CW142" s="139" t="s">
        <v>606</v>
      </c>
      <c r="CX142" s="140">
        <v>18.575900000000001</v>
      </c>
      <c r="CY142" s="140"/>
      <c r="CZ142" s="140"/>
      <c r="DA142" s="140" t="s">
        <v>1081</v>
      </c>
      <c r="DB142" s="140">
        <v>1186</v>
      </c>
      <c r="DC142" s="140"/>
    </row>
    <row r="143" spans="2:107" ht="11.25" customHeight="1" x14ac:dyDescent="0.15">
      <c r="B143" s="139" t="s">
        <v>577</v>
      </c>
      <c r="C143" s="140" t="s">
        <v>1419</v>
      </c>
      <c r="D143" s="140">
        <v>5</v>
      </c>
      <c r="E143" s="139" t="s">
        <v>1420</v>
      </c>
      <c r="F143" s="139" t="s">
        <v>580</v>
      </c>
      <c r="G143" s="140" t="s">
        <v>1419</v>
      </c>
      <c r="H143" s="139" t="s">
        <v>1421</v>
      </c>
      <c r="I143" s="140" t="s">
        <v>421</v>
      </c>
      <c r="J143" s="139" t="s">
        <v>582</v>
      </c>
      <c r="K143" s="139" t="s">
        <v>583</v>
      </c>
      <c r="L143" s="139" t="s">
        <v>583</v>
      </c>
      <c r="M143" s="139" t="s">
        <v>583</v>
      </c>
      <c r="N143" s="139" t="s">
        <v>584</v>
      </c>
      <c r="O143" s="139" t="s">
        <v>1422</v>
      </c>
      <c r="P143" s="139" t="s">
        <v>583</v>
      </c>
      <c r="Q143" s="139" t="s">
        <v>583</v>
      </c>
      <c r="R143" s="140">
        <v>1</v>
      </c>
      <c r="S143" s="140">
        <v>0</v>
      </c>
      <c r="T143" s="140">
        <v>1</v>
      </c>
      <c r="U143" s="140">
        <v>332</v>
      </c>
      <c r="V143" s="139" t="s">
        <v>586</v>
      </c>
      <c r="W143" s="139" t="s">
        <v>587</v>
      </c>
      <c r="X143" s="139" t="s">
        <v>588</v>
      </c>
      <c r="Y143" s="139" t="s">
        <v>589</v>
      </c>
      <c r="Z143" s="139" t="s">
        <v>590</v>
      </c>
      <c r="AA143" s="139" t="s">
        <v>591</v>
      </c>
      <c r="AB143" s="139" t="s">
        <v>586</v>
      </c>
      <c r="AC143" s="139" t="s">
        <v>587</v>
      </c>
      <c r="AD143" s="139" t="s">
        <v>588</v>
      </c>
      <c r="AE143" s="139" t="s">
        <v>589</v>
      </c>
      <c r="AF143" s="139" t="s">
        <v>590</v>
      </c>
      <c r="AG143" s="139" t="s">
        <v>591</v>
      </c>
      <c r="AH143" s="139" t="s">
        <v>592</v>
      </c>
      <c r="AI143" s="139" t="s">
        <v>429</v>
      </c>
      <c r="AJ143" s="140">
        <v>7280800.9800000004</v>
      </c>
      <c r="AK143" s="139" t="s">
        <v>586</v>
      </c>
      <c r="AL143" s="139" t="s">
        <v>587</v>
      </c>
      <c r="AM143" s="139" t="s">
        <v>588</v>
      </c>
      <c r="AN143" s="139" t="s">
        <v>589</v>
      </c>
      <c r="AO143" s="139" t="s">
        <v>590</v>
      </c>
      <c r="AP143" s="139" t="s">
        <v>591</v>
      </c>
      <c r="AQ143" s="139" t="s">
        <v>592</v>
      </c>
      <c r="AR143" s="139" t="s">
        <v>429</v>
      </c>
      <c r="AS143" s="139" t="s">
        <v>429</v>
      </c>
      <c r="AT143" s="139" t="s">
        <v>593</v>
      </c>
      <c r="AU143" s="139" t="s">
        <v>437</v>
      </c>
      <c r="AV143" s="140">
        <v>2</v>
      </c>
      <c r="AW143" s="139" t="s">
        <v>594</v>
      </c>
      <c r="AX143" s="139" t="s">
        <v>595</v>
      </c>
      <c r="AY143" s="139" t="s">
        <v>596</v>
      </c>
      <c r="AZ143" s="140">
        <v>1</v>
      </c>
      <c r="BA143" s="139" t="s">
        <v>597</v>
      </c>
      <c r="BB143" s="140">
        <v>83000</v>
      </c>
      <c r="BC143" s="140">
        <v>7047306</v>
      </c>
      <c r="BD143" s="140">
        <v>94776.55</v>
      </c>
      <c r="BE143" s="140">
        <v>84.907300000000006</v>
      </c>
      <c r="BF143" s="139" t="s">
        <v>880</v>
      </c>
      <c r="BG143" s="139" t="s">
        <v>583</v>
      </c>
      <c r="BH143" s="139" t="s">
        <v>958</v>
      </c>
      <c r="BI143" s="139" t="s">
        <v>598</v>
      </c>
      <c r="BJ143" s="139" t="s">
        <v>599</v>
      </c>
      <c r="BK143" s="139" t="s">
        <v>583</v>
      </c>
      <c r="BL143" s="139" t="s">
        <v>583</v>
      </c>
      <c r="BM143" s="139" t="s">
        <v>583</v>
      </c>
      <c r="BN143" s="139" t="s">
        <v>853</v>
      </c>
      <c r="BO143" s="139" t="s">
        <v>854</v>
      </c>
      <c r="BP143" s="139" t="s">
        <v>959</v>
      </c>
      <c r="BQ143" s="139" t="s">
        <v>600</v>
      </c>
      <c r="BR143" s="140">
        <v>1</v>
      </c>
      <c r="BS143" s="139" t="s">
        <v>1423</v>
      </c>
      <c r="BT143" s="99">
        <f t="shared" si="7"/>
        <v>0</v>
      </c>
      <c r="BU143" s="99">
        <f t="shared" si="7"/>
        <v>1</v>
      </c>
      <c r="BV143" s="99">
        <f t="shared" si="8"/>
        <v>1</v>
      </c>
      <c r="BW143" s="139" t="s">
        <v>602</v>
      </c>
      <c r="BX143" s="139" t="s">
        <v>584</v>
      </c>
      <c r="BY143" s="140">
        <v>332</v>
      </c>
      <c r="BZ143" s="140">
        <v>0</v>
      </c>
      <c r="CA143" s="99">
        <v>66400</v>
      </c>
      <c r="CB143" s="140" t="s">
        <v>603</v>
      </c>
      <c r="CC143" s="140">
        <v>0</v>
      </c>
      <c r="CD143" s="140"/>
      <c r="CE143" s="139" t="s">
        <v>577</v>
      </c>
      <c r="CF143" s="139" t="s">
        <v>604</v>
      </c>
      <c r="CG143" s="139" t="s">
        <v>583</v>
      </c>
      <c r="CH143" s="139" t="s">
        <v>583</v>
      </c>
      <c r="CI143" s="139" t="s">
        <v>592</v>
      </c>
      <c r="CJ143" s="140">
        <v>7304</v>
      </c>
      <c r="CK143" s="140" t="s">
        <v>605</v>
      </c>
      <c r="CL143" s="140">
        <v>4000000</v>
      </c>
      <c r="CM143" s="99">
        <v>6972</v>
      </c>
      <c r="CN143" s="140">
        <v>0</v>
      </c>
      <c r="CO143" s="139" t="s">
        <v>583</v>
      </c>
      <c r="CP143" s="139" t="s">
        <v>583</v>
      </c>
      <c r="CQ143" s="140">
        <v>83000</v>
      </c>
      <c r="CR143" s="140">
        <v>7047306</v>
      </c>
      <c r="CS143" s="140">
        <v>0</v>
      </c>
      <c r="CT143" s="140">
        <v>1</v>
      </c>
      <c r="CU143" s="140">
        <v>7280800.9800000004</v>
      </c>
      <c r="CV143" s="99">
        <v>94776.55</v>
      </c>
      <c r="CW143" s="139" t="s">
        <v>606</v>
      </c>
      <c r="CX143" s="140">
        <v>13.5939</v>
      </c>
      <c r="CY143" s="140"/>
      <c r="CZ143" s="140"/>
      <c r="DA143" s="140" t="s">
        <v>856</v>
      </c>
      <c r="DB143" s="140">
        <v>1308</v>
      </c>
      <c r="DC143" s="140"/>
    </row>
    <row r="144" spans="2:107" ht="11.25" customHeight="1" x14ac:dyDescent="0.15">
      <c r="B144" s="139" t="s">
        <v>577</v>
      </c>
      <c r="C144" s="140" t="s">
        <v>1424</v>
      </c>
      <c r="D144" s="140">
        <v>5</v>
      </c>
      <c r="E144" s="139" t="s">
        <v>1425</v>
      </c>
      <c r="F144" s="139" t="s">
        <v>718</v>
      </c>
      <c r="G144" s="140" t="s">
        <v>1426</v>
      </c>
      <c r="H144" s="139" t="s">
        <v>1427</v>
      </c>
      <c r="I144" s="140" t="s">
        <v>421</v>
      </c>
      <c r="J144" s="139" t="s">
        <v>582</v>
      </c>
      <c r="K144" s="139" t="s">
        <v>1133</v>
      </c>
      <c r="L144" s="139" t="s">
        <v>583</v>
      </c>
      <c r="M144" s="139" t="s">
        <v>583</v>
      </c>
      <c r="N144" s="139" t="s">
        <v>731</v>
      </c>
      <c r="O144" s="139" t="s">
        <v>1428</v>
      </c>
      <c r="P144" s="139" t="s">
        <v>583</v>
      </c>
      <c r="Q144" s="139" t="s">
        <v>583</v>
      </c>
      <c r="R144" s="140">
        <v>1</v>
      </c>
      <c r="S144" s="140">
        <v>0</v>
      </c>
      <c r="T144" s="140">
        <v>1</v>
      </c>
      <c r="U144" s="140">
        <v>387</v>
      </c>
      <c r="V144" s="139" t="s">
        <v>1218</v>
      </c>
      <c r="W144" s="139" t="s">
        <v>1219</v>
      </c>
      <c r="X144" s="139" t="s">
        <v>1220</v>
      </c>
      <c r="Y144" s="139" t="s">
        <v>1221</v>
      </c>
      <c r="Z144" s="139" t="s">
        <v>666</v>
      </c>
      <c r="AA144" s="139" t="s">
        <v>1222</v>
      </c>
      <c r="AB144" s="139" t="s">
        <v>1218</v>
      </c>
      <c r="AC144" s="139" t="s">
        <v>1219</v>
      </c>
      <c r="AD144" s="139" t="s">
        <v>1220</v>
      </c>
      <c r="AE144" s="139" t="s">
        <v>1221</v>
      </c>
      <c r="AF144" s="139" t="s">
        <v>666</v>
      </c>
      <c r="AG144" s="139" t="s">
        <v>1222</v>
      </c>
      <c r="AH144" s="139" t="s">
        <v>733</v>
      </c>
      <c r="AI144" s="139" t="s">
        <v>432</v>
      </c>
      <c r="AJ144" s="140">
        <v>13622381.48</v>
      </c>
      <c r="AK144" s="139" t="s">
        <v>1218</v>
      </c>
      <c r="AL144" s="139" t="s">
        <v>1219</v>
      </c>
      <c r="AM144" s="139" t="s">
        <v>1220</v>
      </c>
      <c r="AN144" s="139" t="s">
        <v>1221</v>
      </c>
      <c r="AO144" s="139" t="s">
        <v>666</v>
      </c>
      <c r="AP144" s="139" t="s">
        <v>1222</v>
      </c>
      <c r="AQ144" s="139" t="s">
        <v>733</v>
      </c>
      <c r="AR144" s="139" t="s">
        <v>432</v>
      </c>
      <c r="AS144" s="139" t="s">
        <v>432</v>
      </c>
      <c r="AT144" s="139" t="s">
        <v>593</v>
      </c>
      <c r="AU144" s="139" t="s">
        <v>437</v>
      </c>
      <c r="AV144" s="140">
        <v>2</v>
      </c>
      <c r="AW144" s="139" t="s">
        <v>594</v>
      </c>
      <c r="AX144" s="139" t="s">
        <v>653</v>
      </c>
      <c r="AY144" s="139" t="s">
        <v>1223</v>
      </c>
      <c r="AZ144" s="140">
        <v>1</v>
      </c>
      <c r="BA144" s="139" t="s">
        <v>597</v>
      </c>
      <c r="BB144" s="140">
        <v>155408</v>
      </c>
      <c r="BC144" s="140">
        <v>13622381</v>
      </c>
      <c r="BD144" s="140">
        <v>170363.03</v>
      </c>
      <c r="BE144" s="140">
        <v>87.655600000000007</v>
      </c>
      <c r="BF144" s="139" t="s">
        <v>880</v>
      </c>
      <c r="BG144" s="139" t="s">
        <v>583</v>
      </c>
      <c r="BH144" s="139" t="s">
        <v>1224</v>
      </c>
      <c r="BI144" s="139" t="s">
        <v>598</v>
      </c>
      <c r="BJ144" s="139" t="s">
        <v>599</v>
      </c>
      <c r="BK144" s="139" t="s">
        <v>583</v>
      </c>
      <c r="BL144" s="139" t="s">
        <v>583</v>
      </c>
      <c r="BM144" s="139" t="s">
        <v>1225</v>
      </c>
      <c r="BN144" s="139" t="s">
        <v>1226</v>
      </c>
      <c r="BO144" s="139" t="s">
        <v>1227</v>
      </c>
      <c r="BP144" s="139" t="s">
        <v>1228</v>
      </c>
      <c r="BQ144" s="139" t="s">
        <v>1229</v>
      </c>
      <c r="BR144" s="140">
        <v>1</v>
      </c>
      <c r="BS144" s="139" t="s">
        <v>1429</v>
      </c>
      <c r="BT144" s="99">
        <f t="shared" si="7"/>
        <v>0</v>
      </c>
      <c r="BU144" s="99">
        <f t="shared" si="7"/>
        <v>1</v>
      </c>
      <c r="BV144" s="99">
        <f t="shared" si="8"/>
        <v>1</v>
      </c>
      <c r="BW144" s="139" t="s">
        <v>602</v>
      </c>
      <c r="BX144" s="139" t="s">
        <v>731</v>
      </c>
      <c r="BY144" s="140">
        <v>387</v>
      </c>
      <c r="BZ144" s="140">
        <v>0</v>
      </c>
      <c r="CA144" s="99">
        <v>77400</v>
      </c>
      <c r="CB144" s="140" t="s">
        <v>603</v>
      </c>
      <c r="CC144" s="140">
        <v>0</v>
      </c>
      <c r="CD144" s="140"/>
      <c r="CE144" s="139" t="s">
        <v>577</v>
      </c>
      <c r="CF144" s="139" t="s">
        <v>604</v>
      </c>
      <c r="CG144" s="139" t="s">
        <v>583</v>
      </c>
      <c r="CH144" s="139" t="s">
        <v>583</v>
      </c>
      <c r="CI144" s="139" t="s">
        <v>733</v>
      </c>
      <c r="CJ144" s="140">
        <v>8514</v>
      </c>
      <c r="CK144" s="140" t="s">
        <v>605</v>
      </c>
      <c r="CL144" s="140">
        <v>4000000</v>
      </c>
      <c r="CM144" s="99">
        <v>7740</v>
      </c>
      <c r="CN144" s="140">
        <v>0</v>
      </c>
      <c r="CO144" s="139" t="s">
        <v>583</v>
      </c>
      <c r="CP144" s="139" t="s">
        <v>583</v>
      </c>
      <c r="CQ144" s="140">
        <v>155408</v>
      </c>
      <c r="CR144" s="140">
        <v>13622381</v>
      </c>
      <c r="CS144" s="140">
        <v>0</v>
      </c>
      <c r="CT144" s="140">
        <v>1</v>
      </c>
      <c r="CU144" s="140">
        <v>13622381.48</v>
      </c>
      <c r="CV144" s="99">
        <v>170363.03</v>
      </c>
      <c r="CW144" s="139" t="s">
        <v>606</v>
      </c>
      <c r="CX144" s="140">
        <v>22.0107</v>
      </c>
      <c r="CY144" s="140"/>
      <c r="CZ144" s="140"/>
      <c r="DA144" s="140" t="s">
        <v>1231</v>
      </c>
      <c r="DB144" s="140">
        <v>39</v>
      </c>
      <c r="DC144" s="140"/>
    </row>
    <row r="145" spans="2:107" ht="11.25" customHeight="1" x14ac:dyDescent="0.15">
      <c r="B145" s="139" t="s">
        <v>577</v>
      </c>
      <c r="C145" s="140" t="s">
        <v>1424</v>
      </c>
      <c r="D145" s="140">
        <v>5</v>
      </c>
      <c r="E145" s="139" t="s">
        <v>1430</v>
      </c>
      <c r="F145" s="139" t="s">
        <v>580</v>
      </c>
      <c r="G145" s="140" t="s">
        <v>1424</v>
      </c>
      <c r="H145" s="139" t="s">
        <v>1431</v>
      </c>
      <c r="I145" s="140" t="s">
        <v>421</v>
      </c>
      <c r="J145" s="139" t="s">
        <v>582</v>
      </c>
      <c r="K145" s="139" t="s">
        <v>583</v>
      </c>
      <c r="L145" s="139" t="s">
        <v>583</v>
      </c>
      <c r="M145" s="139" t="s">
        <v>583</v>
      </c>
      <c r="N145" s="139" t="s">
        <v>757</v>
      </c>
      <c r="O145" s="139" t="s">
        <v>1432</v>
      </c>
      <c r="P145" s="139" t="s">
        <v>583</v>
      </c>
      <c r="Q145" s="139" t="s">
        <v>583</v>
      </c>
      <c r="R145" s="140">
        <v>1</v>
      </c>
      <c r="S145" s="140">
        <v>0</v>
      </c>
      <c r="T145" s="140">
        <v>1</v>
      </c>
      <c r="U145" s="140">
        <v>4</v>
      </c>
      <c r="V145" s="139" t="s">
        <v>859</v>
      </c>
      <c r="W145" s="139" t="s">
        <v>860</v>
      </c>
      <c r="X145" s="139" t="s">
        <v>861</v>
      </c>
      <c r="Y145" s="139" t="s">
        <v>862</v>
      </c>
      <c r="Z145" s="139" t="s">
        <v>590</v>
      </c>
      <c r="AA145" s="139" t="s">
        <v>839</v>
      </c>
      <c r="AB145" s="139" t="s">
        <v>859</v>
      </c>
      <c r="AC145" s="139" t="s">
        <v>860</v>
      </c>
      <c r="AD145" s="139" t="s">
        <v>861</v>
      </c>
      <c r="AE145" s="139" t="s">
        <v>862</v>
      </c>
      <c r="AF145" s="139" t="s">
        <v>590</v>
      </c>
      <c r="AG145" s="139" t="s">
        <v>839</v>
      </c>
      <c r="AH145" s="139" t="s">
        <v>759</v>
      </c>
      <c r="AI145" s="139" t="s">
        <v>434</v>
      </c>
      <c r="AJ145" s="140">
        <v>2952226.82</v>
      </c>
      <c r="AK145" s="139" t="s">
        <v>859</v>
      </c>
      <c r="AL145" s="139" t="s">
        <v>860</v>
      </c>
      <c r="AM145" s="139" t="s">
        <v>861</v>
      </c>
      <c r="AN145" s="139" t="s">
        <v>862</v>
      </c>
      <c r="AO145" s="139" t="s">
        <v>590</v>
      </c>
      <c r="AP145" s="139" t="s">
        <v>839</v>
      </c>
      <c r="AQ145" s="139" t="s">
        <v>759</v>
      </c>
      <c r="AR145" s="139" t="s">
        <v>434</v>
      </c>
      <c r="AS145" s="139" t="s">
        <v>434</v>
      </c>
      <c r="AT145" s="139" t="s">
        <v>593</v>
      </c>
      <c r="AU145" s="139" t="s">
        <v>437</v>
      </c>
      <c r="AV145" s="140">
        <v>2</v>
      </c>
      <c r="AW145" s="139" t="s">
        <v>594</v>
      </c>
      <c r="AX145" s="139" t="s">
        <v>595</v>
      </c>
      <c r="AY145" s="139" t="s">
        <v>840</v>
      </c>
      <c r="AZ145" s="140">
        <v>1</v>
      </c>
      <c r="BA145" s="139" t="s">
        <v>597</v>
      </c>
      <c r="BB145" s="140">
        <v>34100</v>
      </c>
      <c r="BC145" s="140">
        <v>2895339</v>
      </c>
      <c r="BD145" s="140">
        <v>38430.1</v>
      </c>
      <c r="BE145" s="140">
        <v>84.907300000000006</v>
      </c>
      <c r="BF145" s="139" t="s">
        <v>880</v>
      </c>
      <c r="BG145" s="139" t="s">
        <v>863</v>
      </c>
      <c r="BH145" s="139" t="s">
        <v>1122</v>
      </c>
      <c r="BI145" s="139" t="s">
        <v>598</v>
      </c>
      <c r="BJ145" s="139" t="s">
        <v>599</v>
      </c>
      <c r="BK145" s="139" t="s">
        <v>583</v>
      </c>
      <c r="BL145" s="139" t="s">
        <v>583</v>
      </c>
      <c r="BM145" s="139" t="s">
        <v>583</v>
      </c>
      <c r="BN145" s="139" t="s">
        <v>842</v>
      </c>
      <c r="BO145" s="139" t="s">
        <v>843</v>
      </c>
      <c r="BP145" s="139" t="s">
        <v>925</v>
      </c>
      <c r="BQ145" s="139" t="s">
        <v>723</v>
      </c>
      <c r="BR145" s="140">
        <v>1</v>
      </c>
      <c r="BS145" s="139" t="s">
        <v>1433</v>
      </c>
      <c r="BT145" s="99">
        <f t="shared" si="7"/>
        <v>1</v>
      </c>
      <c r="BU145" s="99">
        <f t="shared" si="7"/>
        <v>0</v>
      </c>
      <c r="BV145" s="99">
        <f t="shared" si="8"/>
        <v>1</v>
      </c>
      <c r="BW145" s="139" t="s">
        <v>602</v>
      </c>
      <c r="BX145" s="139" t="s">
        <v>1124</v>
      </c>
      <c r="BY145" s="140">
        <v>4</v>
      </c>
      <c r="BZ145" s="140">
        <v>0</v>
      </c>
      <c r="CA145" s="99">
        <v>22000</v>
      </c>
      <c r="CB145" s="140" t="s">
        <v>603</v>
      </c>
      <c r="CC145" s="140">
        <v>0</v>
      </c>
      <c r="CD145" s="140"/>
      <c r="CE145" s="139" t="s">
        <v>577</v>
      </c>
      <c r="CF145" s="139" t="s">
        <v>604</v>
      </c>
      <c r="CG145" s="139" t="s">
        <v>583</v>
      </c>
      <c r="CH145" s="139" t="s">
        <v>583</v>
      </c>
      <c r="CI145" s="139" t="s">
        <v>759</v>
      </c>
      <c r="CJ145" s="140">
        <v>2310</v>
      </c>
      <c r="CK145" s="140" t="s">
        <v>605</v>
      </c>
      <c r="CL145" s="140">
        <v>4000000</v>
      </c>
      <c r="CM145" s="99">
        <v>2145</v>
      </c>
      <c r="CN145" s="140">
        <v>0</v>
      </c>
      <c r="CO145" s="139" t="s">
        <v>583</v>
      </c>
      <c r="CP145" s="139" t="s">
        <v>583</v>
      </c>
      <c r="CQ145" s="140">
        <v>34100</v>
      </c>
      <c r="CR145" s="140">
        <v>2895339</v>
      </c>
      <c r="CS145" s="140">
        <v>0</v>
      </c>
      <c r="CT145" s="140">
        <v>1</v>
      </c>
      <c r="CU145" s="140">
        <v>2952226.82</v>
      </c>
      <c r="CV145" s="99">
        <v>38430.1</v>
      </c>
      <c r="CW145" s="139" t="s">
        <v>606</v>
      </c>
      <c r="CX145" s="140">
        <v>17.9161</v>
      </c>
      <c r="CY145" s="140">
        <v>1535</v>
      </c>
      <c r="CZ145" s="140" t="s">
        <v>1118</v>
      </c>
      <c r="DA145" s="140" t="s">
        <v>1119</v>
      </c>
      <c r="DB145" s="140">
        <v>1540</v>
      </c>
      <c r="DC145" s="140"/>
    </row>
    <row r="146" spans="2:107" ht="11.25" customHeight="1" x14ac:dyDescent="0.15">
      <c r="B146" s="139" t="s">
        <v>577</v>
      </c>
      <c r="C146" s="140" t="s">
        <v>1424</v>
      </c>
      <c r="D146" s="140">
        <v>5</v>
      </c>
      <c r="E146" s="139" t="s">
        <v>1434</v>
      </c>
      <c r="F146" s="139" t="s">
        <v>718</v>
      </c>
      <c r="G146" s="140" t="s">
        <v>1424</v>
      </c>
      <c r="H146" s="139" t="s">
        <v>1435</v>
      </c>
      <c r="I146" s="140" t="s">
        <v>421</v>
      </c>
      <c r="J146" s="139" t="s">
        <v>582</v>
      </c>
      <c r="K146" s="139" t="s">
        <v>583</v>
      </c>
      <c r="L146" s="139" t="s">
        <v>583</v>
      </c>
      <c r="M146" s="139" t="s">
        <v>583</v>
      </c>
      <c r="N146" s="139" t="s">
        <v>720</v>
      </c>
      <c r="O146" s="139" t="s">
        <v>1436</v>
      </c>
      <c r="P146" s="139" t="s">
        <v>583</v>
      </c>
      <c r="Q146" s="139" t="s">
        <v>583</v>
      </c>
      <c r="R146" s="140">
        <v>1</v>
      </c>
      <c r="S146" s="140"/>
      <c r="T146" s="140">
        <v>1</v>
      </c>
      <c r="U146" s="140">
        <v>170</v>
      </c>
      <c r="V146" s="139" t="s">
        <v>662</v>
      </c>
      <c r="W146" s="139" t="s">
        <v>663</v>
      </c>
      <c r="X146" s="139" t="s">
        <v>664</v>
      </c>
      <c r="Y146" s="139" t="s">
        <v>665</v>
      </c>
      <c r="Z146" s="139" t="s">
        <v>666</v>
      </c>
      <c r="AA146" s="139" t="s">
        <v>667</v>
      </c>
      <c r="AB146" s="139" t="s">
        <v>662</v>
      </c>
      <c r="AC146" s="139" t="s">
        <v>663</v>
      </c>
      <c r="AD146" s="139" t="s">
        <v>664</v>
      </c>
      <c r="AE146" s="139" t="s">
        <v>665</v>
      </c>
      <c r="AF146" s="139" t="s">
        <v>666</v>
      </c>
      <c r="AG146" s="139" t="s">
        <v>667</v>
      </c>
      <c r="AH146" s="139" t="s">
        <v>592</v>
      </c>
      <c r="AI146" s="139" t="s">
        <v>429</v>
      </c>
      <c r="AJ146" s="140">
        <v>4352348.2</v>
      </c>
      <c r="AK146" s="139" t="s">
        <v>662</v>
      </c>
      <c r="AL146" s="139" t="s">
        <v>663</v>
      </c>
      <c r="AM146" s="139" t="s">
        <v>664</v>
      </c>
      <c r="AN146" s="139" t="s">
        <v>665</v>
      </c>
      <c r="AO146" s="139" t="s">
        <v>666</v>
      </c>
      <c r="AP146" s="139" t="s">
        <v>667</v>
      </c>
      <c r="AQ146" s="139" t="s">
        <v>592</v>
      </c>
      <c r="AR146" s="139" t="s">
        <v>429</v>
      </c>
      <c r="AS146" s="139" t="s">
        <v>429</v>
      </c>
      <c r="AT146" s="139" t="s">
        <v>593</v>
      </c>
      <c r="AU146" s="139" t="s">
        <v>437</v>
      </c>
      <c r="AV146" s="140">
        <v>2</v>
      </c>
      <c r="AW146" s="139" t="s">
        <v>594</v>
      </c>
      <c r="AX146" s="139" t="s">
        <v>595</v>
      </c>
      <c r="AY146" s="139" t="s">
        <v>722</v>
      </c>
      <c r="AZ146" s="140">
        <v>1</v>
      </c>
      <c r="BA146" s="139" t="s">
        <v>597</v>
      </c>
      <c r="BB146" s="140">
        <v>51000</v>
      </c>
      <c r="BC146" s="140">
        <v>4330272</v>
      </c>
      <c r="BD146" s="140">
        <v>56655.93</v>
      </c>
      <c r="BE146" s="140">
        <v>84.907300000000006</v>
      </c>
      <c r="BF146" s="139" t="s">
        <v>880</v>
      </c>
      <c r="BG146" s="139" t="s">
        <v>583</v>
      </c>
      <c r="BH146" s="139" t="s">
        <v>924</v>
      </c>
      <c r="BI146" s="139" t="s">
        <v>598</v>
      </c>
      <c r="BJ146" s="139" t="s">
        <v>599</v>
      </c>
      <c r="BK146" s="139" t="s">
        <v>583</v>
      </c>
      <c r="BL146" s="139" t="s">
        <v>583</v>
      </c>
      <c r="BM146" s="139" t="s">
        <v>583</v>
      </c>
      <c r="BN146" s="139" t="s">
        <v>842</v>
      </c>
      <c r="BO146" s="139" t="s">
        <v>843</v>
      </c>
      <c r="BP146" s="139" t="s">
        <v>925</v>
      </c>
      <c r="BQ146" s="139" t="s">
        <v>723</v>
      </c>
      <c r="BR146" s="140">
        <v>1</v>
      </c>
      <c r="BS146" s="139" t="s">
        <v>1437</v>
      </c>
      <c r="BT146" s="99">
        <f t="shared" si="7"/>
        <v>1</v>
      </c>
      <c r="BU146" s="99">
        <f t="shared" si="7"/>
        <v>0</v>
      </c>
      <c r="BV146" s="99">
        <f t="shared" si="8"/>
        <v>1</v>
      </c>
      <c r="BW146" s="139" t="s">
        <v>725</v>
      </c>
      <c r="BX146" s="139" t="s">
        <v>1438</v>
      </c>
      <c r="BY146" s="140">
        <v>170</v>
      </c>
      <c r="BZ146" s="140"/>
      <c r="CA146" s="99">
        <v>34000</v>
      </c>
      <c r="CB146" s="140" t="s">
        <v>603</v>
      </c>
      <c r="CC146" s="140"/>
      <c r="CD146" s="140"/>
      <c r="CE146" s="139" t="s">
        <v>577</v>
      </c>
      <c r="CF146" s="139" t="s">
        <v>604</v>
      </c>
      <c r="CG146" s="139" t="s">
        <v>583</v>
      </c>
      <c r="CH146" s="139" t="s">
        <v>583</v>
      </c>
      <c r="CI146" s="139" t="s">
        <v>592</v>
      </c>
      <c r="CJ146" s="140">
        <v>3570</v>
      </c>
      <c r="CK146" s="140" t="s">
        <v>605</v>
      </c>
      <c r="CL146" s="140">
        <v>4000000</v>
      </c>
      <c r="CM146" s="99">
        <v>3400</v>
      </c>
      <c r="CN146" s="140"/>
      <c r="CO146" s="139" t="s">
        <v>583</v>
      </c>
      <c r="CP146" s="139" t="s">
        <v>583</v>
      </c>
      <c r="CQ146" s="140">
        <v>51000</v>
      </c>
      <c r="CR146" s="140">
        <v>4330272</v>
      </c>
      <c r="CS146" s="140">
        <v>0</v>
      </c>
      <c r="CT146" s="140">
        <v>1</v>
      </c>
      <c r="CU146" s="140">
        <v>4352348.2</v>
      </c>
      <c r="CV146" s="99">
        <v>56655.93</v>
      </c>
      <c r="CW146" s="139" t="s">
        <v>606</v>
      </c>
      <c r="CX146" s="140">
        <v>16.663499999999999</v>
      </c>
      <c r="CY146" s="140"/>
      <c r="CZ146" s="140"/>
      <c r="DA146" s="140" t="s">
        <v>926</v>
      </c>
      <c r="DB146" s="140">
        <v>30</v>
      </c>
      <c r="DC146" s="140"/>
    </row>
    <row r="147" spans="2:107" ht="11.25" customHeight="1" x14ac:dyDescent="0.15">
      <c r="B147" s="139" t="s">
        <v>577</v>
      </c>
      <c r="C147" s="140" t="s">
        <v>1439</v>
      </c>
      <c r="D147" s="140">
        <v>5</v>
      </c>
      <c r="E147" s="139" t="s">
        <v>1440</v>
      </c>
      <c r="F147" s="139" t="s">
        <v>618</v>
      </c>
      <c r="G147" s="140" t="s">
        <v>1439</v>
      </c>
      <c r="H147" s="139" t="s">
        <v>1441</v>
      </c>
      <c r="I147" s="140" t="s">
        <v>421</v>
      </c>
      <c r="J147" s="139" t="s">
        <v>582</v>
      </c>
      <c r="K147" s="139" t="s">
        <v>583</v>
      </c>
      <c r="L147" s="139" t="s">
        <v>583</v>
      </c>
      <c r="M147" s="139" t="s">
        <v>583</v>
      </c>
      <c r="N147" s="139" t="s">
        <v>441</v>
      </c>
      <c r="O147" s="139" t="s">
        <v>1442</v>
      </c>
      <c r="P147" s="139" t="s">
        <v>583</v>
      </c>
      <c r="Q147" s="139" t="s">
        <v>583</v>
      </c>
      <c r="R147" s="140">
        <v>1</v>
      </c>
      <c r="S147" s="140">
        <v>0</v>
      </c>
      <c r="T147" s="140">
        <v>1</v>
      </c>
      <c r="U147" s="140">
        <v>282</v>
      </c>
      <c r="V147" s="139" t="s">
        <v>583</v>
      </c>
      <c r="W147" s="139" t="s">
        <v>583</v>
      </c>
      <c r="X147" s="139" t="s">
        <v>632</v>
      </c>
      <c r="Y147" s="139" t="s">
        <v>633</v>
      </c>
      <c r="Z147" s="139" t="s">
        <v>583</v>
      </c>
      <c r="AA147" s="139" t="s">
        <v>583</v>
      </c>
      <c r="AB147" s="139" t="s">
        <v>583</v>
      </c>
      <c r="AC147" s="139" t="s">
        <v>583</v>
      </c>
      <c r="AD147" s="139" t="s">
        <v>632</v>
      </c>
      <c r="AE147" s="139" t="s">
        <v>633</v>
      </c>
      <c r="AF147" s="139" t="s">
        <v>583</v>
      </c>
      <c r="AG147" s="139" t="s">
        <v>583</v>
      </c>
      <c r="AH147" s="139" t="s">
        <v>621</v>
      </c>
      <c r="AI147" s="139" t="s">
        <v>430</v>
      </c>
      <c r="AJ147" s="140">
        <v>7408845</v>
      </c>
      <c r="AK147" s="139" t="s">
        <v>583</v>
      </c>
      <c r="AL147" s="139" t="s">
        <v>583</v>
      </c>
      <c r="AM147" s="139" t="s">
        <v>632</v>
      </c>
      <c r="AN147" s="139" t="s">
        <v>633</v>
      </c>
      <c r="AO147" s="139" t="s">
        <v>583</v>
      </c>
      <c r="AP147" s="139" t="s">
        <v>583</v>
      </c>
      <c r="AQ147" s="139" t="s">
        <v>621</v>
      </c>
      <c r="AR147" s="139" t="s">
        <v>430</v>
      </c>
      <c r="AS147" s="139" t="s">
        <v>430</v>
      </c>
      <c r="AT147" s="139" t="s">
        <v>593</v>
      </c>
      <c r="AU147" s="139" t="s">
        <v>437</v>
      </c>
      <c r="AV147" s="140">
        <v>0</v>
      </c>
      <c r="AW147" s="139" t="s">
        <v>594</v>
      </c>
      <c r="AX147" s="139" t="s">
        <v>622</v>
      </c>
      <c r="AY147" s="139" t="s">
        <v>623</v>
      </c>
      <c r="AZ147" s="140">
        <v>1</v>
      </c>
      <c r="BA147" s="139" t="s">
        <v>597</v>
      </c>
      <c r="BB147" s="140">
        <v>84600</v>
      </c>
      <c r="BC147" s="140">
        <v>7408845</v>
      </c>
      <c r="BD147" s="140">
        <v>93419.69</v>
      </c>
      <c r="BE147" s="140">
        <v>87.575000000000003</v>
      </c>
      <c r="BF147" s="139" t="s">
        <v>880</v>
      </c>
      <c r="BG147" s="139" t="s">
        <v>582</v>
      </c>
      <c r="BH147" s="139" t="s">
        <v>931</v>
      </c>
      <c r="BI147" s="139" t="s">
        <v>598</v>
      </c>
      <c r="BJ147" s="139" t="s">
        <v>624</v>
      </c>
      <c r="BK147" s="139" t="s">
        <v>882</v>
      </c>
      <c r="BL147" s="139" t="s">
        <v>583</v>
      </c>
      <c r="BM147" s="139" t="s">
        <v>883</v>
      </c>
      <c r="BN147" s="139" t="s">
        <v>583</v>
      </c>
      <c r="BO147" s="139" t="s">
        <v>623</v>
      </c>
      <c r="BP147" s="139" t="s">
        <v>884</v>
      </c>
      <c r="BQ147" s="139" t="s">
        <v>625</v>
      </c>
      <c r="BR147" s="140">
        <v>1</v>
      </c>
      <c r="BS147" s="139" t="s">
        <v>1443</v>
      </c>
      <c r="BT147" s="99">
        <f t="shared" si="7"/>
        <v>0</v>
      </c>
      <c r="BU147" s="99">
        <f t="shared" si="7"/>
        <v>1</v>
      </c>
      <c r="BV147" s="99">
        <f t="shared" si="8"/>
        <v>1</v>
      </c>
      <c r="BW147" s="139" t="s">
        <v>635</v>
      </c>
      <c r="BX147" s="139" t="s">
        <v>441</v>
      </c>
      <c r="BY147" s="140">
        <v>282</v>
      </c>
      <c r="BZ147" s="140">
        <v>0</v>
      </c>
      <c r="CA147" s="99">
        <v>56400</v>
      </c>
      <c r="CB147" s="140" t="s">
        <v>603</v>
      </c>
      <c r="CC147" s="140">
        <v>0</v>
      </c>
      <c r="CD147" s="140"/>
      <c r="CE147" s="139" t="s">
        <v>577</v>
      </c>
      <c r="CF147" s="139" t="s">
        <v>604</v>
      </c>
      <c r="CG147" s="139" t="s">
        <v>583</v>
      </c>
      <c r="CH147" s="139" t="s">
        <v>583</v>
      </c>
      <c r="CI147" s="139" t="s">
        <v>621</v>
      </c>
      <c r="CJ147" s="140">
        <v>5640</v>
      </c>
      <c r="CK147" s="140" t="s">
        <v>605</v>
      </c>
      <c r="CL147" s="140">
        <v>4000000</v>
      </c>
      <c r="CM147" s="99">
        <v>5076</v>
      </c>
      <c r="CN147" s="140">
        <v>0</v>
      </c>
      <c r="CO147" s="139" t="s">
        <v>583</v>
      </c>
      <c r="CP147" s="139" t="s">
        <v>583</v>
      </c>
      <c r="CQ147" s="140">
        <v>84600</v>
      </c>
      <c r="CR147" s="140">
        <v>7408845</v>
      </c>
      <c r="CS147" s="140">
        <v>0</v>
      </c>
      <c r="CT147" s="140">
        <v>1</v>
      </c>
      <c r="CU147" s="140">
        <v>7408845</v>
      </c>
      <c r="CV147" s="99">
        <v>93419.69</v>
      </c>
      <c r="CW147" s="139" t="s">
        <v>606</v>
      </c>
      <c r="CX147" s="140">
        <v>18.404199999999999</v>
      </c>
      <c r="CY147" s="140"/>
      <c r="CZ147" s="140"/>
      <c r="DA147" s="140" t="s">
        <v>933</v>
      </c>
      <c r="DB147" s="140">
        <v>1206</v>
      </c>
      <c r="DC147" s="140"/>
    </row>
    <row r="148" spans="2:107" ht="11.25" customHeight="1" x14ac:dyDescent="0.15">
      <c r="B148" s="139" t="s">
        <v>577</v>
      </c>
      <c r="C148" s="140" t="s">
        <v>1444</v>
      </c>
      <c r="D148" s="140">
        <v>5</v>
      </c>
      <c r="E148" s="139" t="s">
        <v>1445</v>
      </c>
      <c r="F148" s="139" t="s">
        <v>580</v>
      </c>
      <c r="G148" s="140" t="s">
        <v>1444</v>
      </c>
      <c r="H148" s="139" t="s">
        <v>1446</v>
      </c>
      <c r="I148" s="140" t="s">
        <v>421</v>
      </c>
      <c r="J148" s="139" t="s">
        <v>582</v>
      </c>
      <c r="K148" s="139" t="s">
        <v>583</v>
      </c>
      <c r="L148" s="139" t="s">
        <v>583</v>
      </c>
      <c r="M148" s="139" t="s">
        <v>583</v>
      </c>
      <c r="N148" s="139" t="s">
        <v>1386</v>
      </c>
      <c r="O148" s="139" t="s">
        <v>1447</v>
      </c>
      <c r="P148" s="139" t="s">
        <v>583</v>
      </c>
      <c r="Q148" s="139" t="s">
        <v>583</v>
      </c>
      <c r="R148" s="140">
        <v>2</v>
      </c>
      <c r="S148" s="140">
        <v>0</v>
      </c>
      <c r="T148" s="140">
        <v>2</v>
      </c>
      <c r="U148" s="140">
        <v>22</v>
      </c>
      <c r="V148" s="139" t="s">
        <v>1069</v>
      </c>
      <c r="W148" s="139" t="s">
        <v>1070</v>
      </c>
      <c r="X148" s="139" t="s">
        <v>1071</v>
      </c>
      <c r="Y148" s="139" t="s">
        <v>1072</v>
      </c>
      <c r="Z148" s="139" t="s">
        <v>590</v>
      </c>
      <c r="AA148" s="139" t="s">
        <v>1073</v>
      </c>
      <c r="AB148" s="139" t="s">
        <v>1069</v>
      </c>
      <c r="AC148" s="139" t="s">
        <v>1070</v>
      </c>
      <c r="AD148" s="139" t="s">
        <v>1071</v>
      </c>
      <c r="AE148" s="139" t="s">
        <v>1072</v>
      </c>
      <c r="AF148" s="139" t="s">
        <v>590</v>
      </c>
      <c r="AG148" s="139" t="s">
        <v>1073</v>
      </c>
      <c r="AH148" s="139" t="s">
        <v>1074</v>
      </c>
      <c r="AI148" s="139" t="s">
        <v>435</v>
      </c>
      <c r="AJ148" s="140">
        <v>7261814.9900000002</v>
      </c>
      <c r="AK148" s="139" t="s">
        <v>1069</v>
      </c>
      <c r="AL148" s="139" t="s">
        <v>1070</v>
      </c>
      <c r="AM148" s="139" t="s">
        <v>1071</v>
      </c>
      <c r="AN148" s="139" t="s">
        <v>1072</v>
      </c>
      <c r="AO148" s="139" t="s">
        <v>590</v>
      </c>
      <c r="AP148" s="139" t="s">
        <v>1073</v>
      </c>
      <c r="AQ148" s="139" t="s">
        <v>1074</v>
      </c>
      <c r="AR148" s="139" t="s">
        <v>435</v>
      </c>
      <c r="AS148" s="139" t="s">
        <v>435</v>
      </c>
      <c r="AT148" s="139" t="s">
        <v>593</v>
      </c>
      <c r="AU148" s="139" t="s">
        <v>437</v>
      </c>
      <c r="AV148" s="140">
        <v>2</v>
      </c>
      <c r="AW148" s="139" t="s">
        <v>594</v>
      </c>
      <c r="AX148" s="139" t="s">
        <v>653</v>
      </c>
      <c r="AY148" s="139" t="s">
        <v>1075</v>
      </c>
      <c r="AZ148" s="140">
        <v>1</v>
      </c>
      <c r="BA148" s="139" t="s">
        <v>597</v>
      </c>
      <c r="BB148" s="140">
        <v>82174</v>
      </c>
      <c r="BC148" s="140">
        <v>7261815</v>
      </c>
      <c r="BD148" s="140">
        <v>90198.46</v>
      </c>
      <c r="BE148" s="140">
        <v>88.371200000000002</v>
      </c>
      <c r="BF148" s="139" t="s">
        <v>880</v>
      </c>
      <c r="BG148" s="139" t="s">
        <v>583</v>
      </c>
      <c r="BH148" s="139" t="s">
        <v>1076</v>
      </c>
      <c r="BI148" s="139" t="s">
        <v>598</v>
      </c>
      <c r="BJ148" s="139" t="s">
        <v>624</v>
      </c>
      <c r="BK148" s="139" t="s">
        <v>1060</v>
      </c>
      <c r="BL148" s="139" t="s">
        <v>583</v>
      </c>
      <c r="BM148" s="139" t="s">
        <v>583</v>
      </c>
      <c r="BN148" s="139" t="s">
        <v>842</v>
      </c>
      <c r="BO148" s="139" t="s">
        <v>843</v>
      </c>
      <c r="BP148" s="139" t="s">
        <v>925</v>
      </c>
      <c r="BQ148" s="139" t="s">
        <v>723</v>
      </c>
      <c r="BR148" s="140">
        <v>2</v>
      </c>
      <c r="BS148" s="139" t="s">
        <v>1448</v>
      </c>
      <c r="BT148" s="99">
        <f t="shared" ref="BT148:BU167" si="9">MIN(1,IFERROR(SEARCH(BT$2,$BS148),0))</f>
        <v>1</v>
      </c>
      <c r="BU148" s="99">
        <f t="shared" si="9"/>
        <v>0</v>
      </c>
      <c r="BV148" s="99">
        <f t="shared" si="8"/>
        <v>1</v>
      </c>
      <c r="BW148" s="139" t="s">
        <v>1078</v>
      </c>
      <c r="BX148" s="139" t="s">
        <v>1257</v>
      </c>
      <c r="BY148" s="140">
        <v>2</v>
      </c>
      <c r="BZ148" s="140">
        <v>0</v>
      </c>
      <c r="CA148" s="99">
        <v>8000</v>
      </c>
      <c r="CB148" s="140" t="s">
        <v>603</v>
      </c>
      <c r="CC148" s="140">
        <v>0</v>
      </c>
      <c r="CD148" s="140"/>
      <c r="CE148" s="139" t="s">
        <v>1080</v>
      </c>
      <c r="CF148" s="139" t="s">
        <v>604</v>
      </c>
      <c r="CG148" s="139" t="s">
        <v>583</v>
      </c>
      <c r="CH148" s="139" t="s">
        <v>583</v>
      </c>
      <c r="CI148" s="139" t="s">
        <v>1074</v>
      </c>
      <c r="CJ148" s="140">
        <v>830</v>
      </c>
      <c r="CK148" s="140" t="s">
        <v>605</v>
      </c>
      <c r="CL148" s="140">
        <v>4000000</v>
      </c>
      <c r="CM148" s="99">
        <v>760</v>
      </c>
      <c r="CN148" s="140">
        <v>0</v>
      </c>
      <c r="CO148" s="139" t="s">
        <v>583</v>
      </c>
      <c r="CP148" s="139" t="s">
        <v>583</v>
      </c>
      <c r="CQ148" s="140">
        <v>13616.19</v>
      </c>
      <c r="CR148" s="140">
        <v>1203279</v>
      </c>
      <c r="CS148" s="140">
        <v>0</v>
      </c>
      <c r="CT148" s="140">
        <v>1</v>
      </c>
      <c r="CU148" s="140">
        <v>1203279.05</v>
      </c>
      <c r="CV148" s="99">
        <v>14945.84</v>
      </c>
      <c r="CW148" s="139" t="s">
        <v>606</v>
      </c>
      <c r="CX148" s="140">
        <v>19.665600000000001</v>
      </c>
      <c r="CY148" s="140"/>
      <c r="CZ148" s="140"/>
      <c r="DA148" s="140" t="s">
        <v>1081</v>
      </c>
      <c r="DB148" s="140">
        <v>1464</v>
      </c>
      <c r="DC148" s="140"/>
    </row>
    <row r="149" spans="2:107" ht="11.25" customHeight="1" x14ac:dyDescent="0.15">
      <c r="B149" s="139" t="s">
        <v>577</v>
      </c>
      <c r="C149" s="140" t="s">
        <v>1444</v>
      </c>
      <c r="D149" s="140">
        <v>5</v>
      </c>
      <c r="E149" s="139" t="s">
        <v>1449</v>
      </c>
      <c r="F149" s="139" t="s">
        <v>580</v>
      </c>
      <c r="G149" s="140" t="s">
        <v>1444</v>
      </c>
      <c r="H149" s="139" t="s">
        <v>1450</v>
      </c>
      <c r="I149" s="140" t="s">
        <v>421</v>
      </c>
      <c r="J149" s="139" t="s">
        <v>582</v>
      </c>
      <c r="K149" s="139" t="s">
        <v>583</v>
      </c>
      <c r="L149" s="139" t="s">
        <v>583</v>
      </c>
      <c r="M149" s="139" t="s">
        <v>583</v>
      </c>
      <c r="N149" s="139" t="s">
        <v>584</v>
      </c>
      <c r="O149" s="139" t="s">
        <v>1422</v>
      </c>
      <c r="P149" s="139" t="s">
        <v>583</v>
      </c>
      <c r="Q149" s="139" t="s">
        <v>583</v>
      </c>
      <c r="R149" s="140">
        <v>1</v>
      </c>
      <c r="S149" s="140">
        <v>0</v>
      </c>
      <c r="T149" s="140">
        <v>1</v>
      </c>
      <c r="U149" s="140">
        <v>332</v>
      </c>
      <c r="V149" s="139" t="s">
        <v>586</v>
      </c>
      <c r="W149" s="139" t="s">
        <v>587</v>
      </c>
      <c r="X149" s="139" t="s">
        <v>588</v>
      </c>
      <c r="Y149" s="139" t="s">
        <v>589</v>
      </c>
      <c r="Z149" s="139" t="s">
        <v>590</v>
      </c>
      <c r="AA149" s="139" t="s">
        <v>591</v>
      </c>
      <c r="AB149" s="139" t="s">
        <v>586</v>
      </c>
      <c r="AC149" s="139" t="s">
        <v>587</v>
      </c>
      <c r="AD149" s="139" t="s">
        <v>588</v>
      </c>
      <c r="AE149" s="139" t="s">
        <v>589</v>
      </c>
      <c r="AF149" s="139" t="s">
        <v>590</v>
      </c>
      <c r="AG149" s="139" t="s">
        <v>591</v>
      </c>
      <c r="AH149" s="139" t="s">
        <v>592</v>
      </c>
      <c r="AI149" s="139" t="s">
        <v>429</v>
      </c>
      <c r="AJ149" s="140">
        <v>7608760.3200000003</v>
      </c>
      <c r="AK149" s="139" t="s">
        <v>586</v>
      </c>
      <c r="AL149" s="139" t="s">
        <v>587</v>
      </c>
      <c r="AM149" s="139" t="s">
        <v>588</v>
      </c>
      <c r="AN149" s="139" t="s">
        <v>589</v>
      </c>
      <c r="AO149" s="139" t="s">
        <v>590</v>
      </c>
      <c r="AP149" s="139" t="s">
        <v>591</v>
      </c>
      <c r="AQ149" s="139" t="s">
        <v>592</v>
      </c>
      <c r="AR149" s="139" t="s">
        <v>429</v>
      </c>
      <c r="AS149" s="139" t="s">
        <v>429</v>
      </c>
      <c r="AT149" s="139" t="s">
        <v>593</v>
      </c>
      <c r="AU149" s="139" t="s">
        <v>437</v>
      </c>
      <c r="AV149" s="140">
        <v>2</v>
      </c>
      <c r="AW149" s="139" t="s">
        <v>594</v>
      </c>
      <c r="AX149" s="139" t="s">
        <v>595</v>
      </c>
      <c r="AY149" s="139" t="s">
        <v>596</v>
      </c>
      <c r="AZ149" s="140">
        <v>1</v>
      </c>
      <c r="BA149" s="139" t="s">
        <v>597</v>
      </c>
      <c r="BB149" s="140">
        <v>83000</v>
      </c>
      <c r="BC149" s="140">
        <v>7334810</v>
      </c>
      <c r="BD149" s="140">
        <v>94507.839999999997</v>
      </c>
      <c r="BE149" s="140">
        <v>88.371200000000002</v>
      </c>
      <c r="BF149" s="139" t="s">
        <v>880</v>
      </c>
      <c r="BG149" s="139" t="s">
        <v>583</v>
      </c>
      <c r="BH149" s="139" t="s">
        <v>958</v>
      </c>
      <c r="BI149" s="139" t="s">
        <v>598</v>
      </c>
      <c r="BJ149" s="139" t="s">
        <v>599</v>
      </c>
      <c r="BK149" s="139" t="s">
        <v>583</v>
      </c>
      <c r="BL149" s="139" t="s">
        <v>583</v>
      </c>
      <c r="BM149" s="139" t="s">
        <v>583</v>
      </c>
      <c r="BN149" s="139" t="s">
        <v>853</v>
      </c>
      <c r="BO149" s="139" t="s">
        <v>854</v>
      </c>
      <c r="BP149" s="139" t="s">
        <v>959</v>
      </c>
      <c r="BQ149" s="139" t="s">
        <v>600</v>
      </c>
      <c r="BR149" s="140">
        <v>1</v>
      </c>
      <c r="BS149" s="139" t="s">
        <v>1284</v>
      </c>
      <c r="BT149" s="99">
        <f t="shared" si="9"/>
        <v>0</v>
      </c>
      <c r="BU149" s="99">
        <f t="shared" si="9"/>
        <v>1</v>
      </c>
      <c r="BV149" s="99">
        <f t="shared" si="8"/>
        <v>1</v>
      </c>
      <c r="BW149" s="139" t="s">
        <v>602</v>
      </c>
      <c r="BX149" s="139" t="s">
        <v>584</v>
      </c>
      <c r="BY149" s="140">
        <v>332</v>
      </c>
      <c r="BZ149" s="140">
        <v>0</v>
      </c>
      <c r="CA149" s="99">
        <v>66400</v>
      </c>
      <c r="CB149" s="140" t="s">
        <v>603</v>
      </c>
      <c r="CC149" s="140">
        <v>0</v>
      </c>
      <c r="CD149" s="140"/>
      <c r="CE149" s="139" t="s">
        <v>577</v>
      </c>
      <c r="CF149" s="139" t="s">
        <v>604</v>
      </c>
      <c r="CG149" s="139" t="s">
        <v>583</v>
      </c>
      <c r="CH149" s="139" t="s">
        <v>583</v>
      </c>
      <c r="CI149" s="139" t="s">
        <v>592</v>
      </c>
      <c r="CJ149" s="140">
        <v>7304</v>
      </c>
      <c r="CK149" s="140" t="s">
        <v>605</v>
      </c>
      <c r="CL149" s="140">
        <v>4000000</v>
      </c>
      <c r="CM149" s="99">
        <v>6972</v>
      </c>
      <c r="CN149" s="140">
        <v>0</v>
      </c>
      <c r="CO149" s="139" t="s">
        <v>583</v>
      </c>
      <c r="CP149" s="139" t="s">
        <v>583</v>
      </c>
      <c r="CQ149" s="140">
        <v>83000</v>
      </c>
      <c r="CR149" s="140">
        <v>7334810</v>
      </c>
      <c r="CS149" s="140">
        <v>0</v>
      </c>
      <c r="CT149" s="140">
        <v>1</v>
      </c>
      <c r="CU149" s="140">
        <v>7608760.3200000003</v>
      </c>
      <c r="CV149" s="99">
        <v>94507.839999999997</v>
      </c>
      <c r="CW149" s="139" t="s">
        <v>606</v>
      </c>
      <c r="CX149" s="140">
        <v>13.555300000000001</v>
      </c>
      <c r="CY149" s="140"/>
      <c r="CZ149" s="140"/>
      <c r="DA149" s="140" t="s">
        <v>856</v>
      </c>
      <c r="DB149" s="140">
        <v>1428</v>
      </c>
      <c r="DC149" s="140"/>
    </row>
    <row r="150" spans="2:107" ht="11.25" customHeight="1" x14ac:dyDescent="0.15">
      <c r="B150" s="139" t="s">
        <v>577</v>
      </c>
      <c r="C150" s="140" t="s">
        <v>1451</v>
      </c>
      <c r="D150" s="140">
        <v>5</v>
      </c>
      <c r="E150" s="139" t="s">
        <v>1452</v>
      </c>
      <c r="F150" s="139" t="s">
        <v>618</v>
      </c>
      <c r="G150" s="140" t="s">
        <v>1451</v>
      </c>
      <c r="H150" s="139" t="s">
        <v>1453</v>
      </c>
      <c r="I150" s="140" t="s">
        <v>421</v>
      </c>
      <c r="J150" s="139" t="s">
        <v>582</v>
      </c>
      <c r="K150" s="139" t="s">
        <v>583</v>
      </c>
      <c r="L150" s="139" t="s">
        <v>583</v>
      </c>
      <c r="M150" s="139" t="s">
        <v>583</v>
      </c>
      <c r="N150" s="139" t="s">
        <v>441</v>
      </c>
      <c r="O150" s="139" t="s">
        <v>1442</v>
      </c>
      <c r="P150" s="139" t="s">
        <v>583</v>
      </c>
      <c r="Q150" s="139" t="s">
        <v>583</v>
      </c>
      <c r="R150" s="140">
        <v>1</v>
      </c>
      <c r="S150" s="140">
        <v>0</v>
      </c>
      <c r="T150" s="140">
        <v>1</v>
      </c>
      <c r="U150" s="140">
        <v>423</v>
      </c>
      <c r="V150" s="139" t="s">
        <v>583</v>
      </c>
      <c r="W150" s="139" t="s">
        <v>583</v>
      </c>
      <c r="X150" s="139" t="s">
        <v>632</v>
      </c>
      <c r="Y150" s="139" t="s">
        <v>633</v>
      </c>
      <c r="Z150" s="139" t="s">
        <v>583</v>
      </c>
      <c r="AA150" s="139" t="s">
        <v>583</v>
      </c>
      <c r="AB150" s="139" t="s">
        <v>583</v>
      </c>
      <c r="AC150" s="139" t="s">
        <v>583</v>
      </c>
      <c r="AD150" s="139" t="s">
        <v>632</v>
      </c>
      <c r="AE150" s="139" t="s">
        <v>633</v>
      </c>
      <c r="AF150" s="139" t="s">
        <v>583</v>
      </c>
      <c r="AG150" s="139" t="s">
        <v>583</v>
      </c>
      <c r="AH150" s="139" t="s">
        <v>621</v>
      </c>
      <c r="AI150" s="139" t="s">
        <v>430</v>
      </c>
      <c r="AJ150" s="140">
        <v>11214305.279999999</v>
      </c>
      <c r="AK150" s="139" t="s">
        <v>583</v>
      </c>
      <c r="AL150" s="139" t="s">
        <v>583</v>
      </c>
      <c r="AM150" s="139" t="s">
        <v>632</v>
      </c>
      <c r="AN150" s="139" t="s">
        <v>633</v>
      </c>
      <c r="AO150" s="139" t="s">
        <v>583</v>
      </c>
      <c r="AP150" s="139" t="s">
        <v>583</v>
      </c>
      <c r="AQ150" s="139" t="s">
        <v>621</v>
      </c>
      <c r="AR150" s="139" t="s">
        <v>430</v>
      </c>
      <c r="AS150" s="139" t="s">
        <v>430</v>
      </c>
      <c r="AT150" s="139" t="s">
        <v>593</v>
      </c>
      <c r="AU150" s="139" t="s">
        <v>437</v>
      </c>
      <c r="AV150" s="140">
        <v>0</v>
      </c>
      <c r="AW150" s="139" t="s">
        <v>594</v>
      </c>
      <c r="AX150" s="139" t="s">
        <v>622</v>
      </c>
      <c r="AY150" s="139" t="s">
        <v>623</v>
      </c>
      <c r="AZ150" s="140">
        <v>1</v>
      </c>
      <c r="BA150" s="139" t="s">
        <v>597</v>
      </c>
      <c r="BB150" s="140">
        <v>126900</v>
      </c>
      <c r="BC150" s="140">
        <v>11214305</v>
      </c>
      <c r="BD150" s="140">
        <v>139292.04999999999</v>
      </c>
      <c r="BE150" s="140">
        <v>88.371200000000002</v>
      </c>
      <c r="BF150" s="139" t="s">
        <v>880</v>
      </c>
      <c r="BG150" s="139" t="s">
        <v>582</v>
      </c>
      <c r="BH150" s="139" t="s">
        <v>931</v>
      </c>
      <c r="BI150" s="139" t="s">
        <v>598</v>
      </c>
      <c r="BJ150" s="139" t="s">
        <v>624</v>
      </c>
      <c r="BK150" s="139" t="s">
        <v>882</v>
      </c>
      <c r="BL150" s="139" t="s">
        <v>583</v>
      </c>
      <c r="BM150" s="139" t="s">
        <v>883</v>
      </c>
      <c r="BN150" s="139" t="s">
        <v>583</v>
      </c>
      <c r="BO150" s="139" t="s">
        <v>623</v>
      </c>
      <c r="BP150" s="139" t="s">
        <v>884</v>
      </c>
      <c r="BQ150" s="139" t="s">
        <v>625</v>
      </c>
      <c r="BR150" s="140">
        <v>1</v>
      </c>
      <c r="BS150" s="139" t="s">
        <v>1454</v>
      </c>
      <c r="BT150" s="99">
        <f t="shared" si="9"/>
        <v>0</v>
      </c>
      <c r="BU150" s="99">
        <f t="shared" si="9"/>
        <v>1</v>
      </c>
      <c r="BV150" s="99">
        <f t="shared" si="8"/>
        <v>1</v>
      </c>
      <c r="BW150" s="139" t="s">
        <v>635</v>
      </c>
      <c r="BX150" s="139" t="s">
        <v>441</v>
      </c>
      <c r="BY150" s="140">
        <v>423</v>
      </c>
      <c r="BZ150" s="140">
        <v>0</v>
      </c>
      <c r="CA150" s="99">
        <v>84600</v>
      </c>
      <c r="CB150" s="140" t="s">
        <v>603</v>
      </c>
      <c r="CC150" s="140">
        <v>0</v>
      </c>
      <c r="CD150" s="140"/>
      <c r="CE150" s="139" t="s">
        <v>577</v>
      </c>
      <c r="CF150" s="139" t="s">
        <v>604</v>
      </c>
      <c r="CG150" s="139" t="s">
        <v>583</v>
      </c>
      <c r="CH150" s="139" t="s">
        <v>583</v>
      </c>
      <c r="CI150" s="139" t="s">
        <v>621</v>
      </c>
      <c r="CJ150" s="140">
        <v>8460</v>
      </c>
      <c r="CK150" s="140" t="s">
        <v>605</v>
      </c>
      <c r="CL150" s="140">
        <v>4000000</v>
      </c>
      <c r="CM150" s="99">
        <v>7614</v>
      </c>
      <c r="CN150" s="140">
        <v>0</v>
      </c>
      <c r="CO150" s="139" t="s">
        <v>583</v>
      </c>
      <c r="CP150" s="139" t="s">
        <v>583</v>
      </c>
      <c r="CQ150" s="140">
        <v>126900</v>
      </c>
      <c r="CR150" s="140">
        <v>11214305</v>
      </c>
      <c r="CS150" s="140">
        <v>0</v>
      </c>
      <c r="CT150" s="140">
        <v>1</v>
      </c>
      <c r="CU150" s="140">
        <v>11214305.279999999</v>
      </c>
      <c r="CV150" s="99">
        <v>139292.04999999999</v>
      </c>
      <c r="CW150" s="139" t="s">
        <v>606</v>
      </c>
      <c r="CX150" s="140">
        <v>18.2942</v>
      </c>
      <c r="CY150" s="140"/>
      <c r="CZ150" s="140"/>
      <c r="DA150" s="140" t="s">
        <v>933</v>
      </c>
      <c r="DB150" s="140">
        <v>987</v>
      </c>
      <c r="DC150" s="140"/>
    </row>
    <row r="151" spans="2:107" ht="11.25" customHeight="1" x14ac:dyDescent="0.15">
      <c r="B151" s="139" t="s">
        <v>577</v>
      </c>
      <c r="C151" s="140" t="s">
        <v>1455</v>
      </c>
      <c r="D151" s="140">
        <v>4</v>
      </c>
      <c r="E151" s="139" t="s">
        <v>1456</v>
      </c>
      <c r="F151" s="139" t="s">
        <v>729</v>
      </c>
      <c r="G151" s="140" t="s">
        <v>1455</v>
      </c>
      <c r="H151" s="139" t="s">
        <v>1457</v>
      </c>
      <c r="I151" s="140" t="s">
        <v>421</v>
      </c>
      <c r="J151" s="139" t="s">
        <v>582</v>
      </c>
      <c r="K151" s="139" t="s">
        <v>583</v>
      </c>
      <c r="L151" s="139" t="s">
        <v>583</v>
      </c>
      <c r="M151" s="139" t="s">
        <v>583</v>
      </c>
      <c r="N151" s="139" t="s">
        <v>1169</v>
      </c>
      <c r="O151" s="139" t="s">
        <v>1458</v>
      </c>
      <c r="P151" s="139" t="s">
        <v>583</v>
      </c>
      <c r="Q151" s="139" t="s">
        <v>583</v>
      </c>
      <c r="R151" s="140">
        <v>1</v>
      </c>
      <c r="S151" s="140">
        <v>0</v>
      </c>
      <c r="T151" s="140">
        <v>1</v>
      </c>
      <c r="U151" s="140">
        <v>145</v>
      </c>
      <c r="V151" s="139" t="s">
        <v>709</v>
      </c>
      <c r="W151" s="139" t="s">
        <v>710</v>
      </c>
      <c r="X151" s="139" t="s">
        <v>711</v>
      </c>
      <c r="Y151" s="139" t="s">
        <v>789</v>
      </c>
      <c r="Z151" s="139" t="s">
        <v>713</v>
      </c>
      <c r="AA151" s="139" t="s">
        <v>714</v>
      </c>
      <c r="AB151" s="139" t="s">
        <v>709</v>
      </c>
      <c r="AC151" s="139" t="s">
        <v>710</v>
      </c>
      <c r="AD151" s="139" t="s">
        <v>711</v>
      </c>
      <c r="AE151" s="139" t="s">
        <v>789</v>
      </c>
      <c r="AF151" s="139" t="s">
        <v>713</v>
      </c>
      <c r="AG151" s="139" t="s">
        <v>714</v>
      </c>
      <c r="AH151" s="139" t="s">
        <v>592</v>
      </c>
      <c r="AI151" s="139" t="s">
        <v>429</v>
      </c>
      <c r="AJ151" s="140">
        <v>3985541.1200000001</v>
      </c>
      <c r="AK151" s="139" t="s">
        <v>709</v>
      </c>
      <c r="AL151" s="139" t="s">
        <v>710</v>
      </c>
      <c r="AM151" s="139" t="s">
        <v>711</v>
      </c>
      <c r="AN151" s="139" t="s">
        <v>789</v>
      </c>
      <c r="AO151" s="139" t="s">
        <v>713</v>
      </c>
      <c r="AP151" s="139" t="s">
        <v>714</v>
      </c>
      <c r="AQ151" s="139" t="s">
        <v>592</v>
      </c>
      <c r="AR151" s="139" t="s">
        <v>429</v>
      </c>
      <c r="AS151" s="139" t="s">
        <v>429</v>
      </c>
      <c r="AT151" s="139" t="s">
        <v>593</v>
      </c>
      <c r="AU151" s="139" t="s">
        <v>437</v>
      </c>
      <c r="AV151" s="140">
        <v>2</v>
      </c>
      <c r="AW151" s="139" t="s">
        <v>594</v>
      </c>
      <c r="AX151" s="139" t="s">
        <v>595</v>
      </c>
      <c r="AY151" s="139" t="s">
        <v>722</v>
      </c>
      <c r="AZ151" s="140">
        <v>1</v>
      </c>
      <c r="BA151" s="139" t="s">
        <v>597</v>
      </c>
      <c r="BB151" s="140">
        <v>43500</v>
      </c>
      <c r="BC151" s="140">
        <v>3844147</v>
      </c>
      <c r="BD151" s="140">
        <v>49504.11</v>
      </c>
      <c r="BE151" s="140">
        <v>88.371200000000002</v>
      </c>
      <c r="BF151" s="139" t="s">
        <v>880</v>
      </c>
      <c r="BG151" s="139" t="s">
        <v>583</v>
      </c>
      <c r="BH151" s="139" t="s">
        <v>1459</v>
      </c>
      <c r="BI151" s="139" t="s">
        <v>598</v>
      </c>
      <c r="BJ151" s="139" t="s">
        <v>599</v>
      </c>
      <c r="BK151" s="139" t="s">
        <v>583</v>
      </c>
      <c r="BL151" s="139" t="s">
        <v>1060</v>
      </c>
      <c r="BM151" s="139" t="s">
        <v>583</v>
      </c>
      <c r="BN151" s="139" t="s">
        <v>842</v>
      </c>
      <c r="BO151" s="139" t="s">
        <v>843</v>
      </c>
      <c r="BP151" s="139" t="s">
        <v>925</v>
      </c>
      <c r="BQ151" s="139" t="s">
        <v>723</v>
      </c>
      <c r="BR151" s="140">
        <v>1</v>
      </c>
      <c r="BS151" s="139" t="s">
        <v>791</v>
      </c>
      <c r="BT151" s="99">
        <f t="shared" si="9"/>
        <v>0</v>
      </c>
      <c r="BU151" s="99">
        <f t="shared" si="9"/>
        <v>0</v>
      </c>
      <c r="BV151" s="99">
        <f t="shared" si="8"/>
        <v>0</v>
      </c>
      <c r="BW151" s="139" t="s">
        <v>1460</v>
      </c>
      <c r="BX151" s="139" t="s">
        <v>720</v>
      </c>
      <c r="BY151" s="140">
        <v>145</v>
      </c>
      <c r="BZ151" s="140">
        <v>0</v>
      </c>
      <c r="CA151" s="99">
        <v>29000</v>
      </c>
      <c r="CB151" s="140" t="s">
        <v>603</v>
      </c>
      <c r="CC151" s="140">
        <v>0</v>
      </c>
      <c r="CD151" s="140"/>
      <c r="CE151" s="139" t="s">
        <v>577</v>
      </c>
      <c r="CF151" s="139" t="s">
        <v>604</v>
      </c>
      <c r="CG151" s="139" t="s">
        <v>583</v>
      </c>
      <c r="CH151" s="139" t="s">
        <v>583</v>
      </c>
      <c r="CI151" s="139" t="s">
        <v>592</v>
      </c>
      <c r="CJ151" s="140">
        <v>3045</v>
      </c>
      <c r="CK151" s="140" t="s">
        <v>605</v>
      </c>
      <c r="CL151" s="140">
        <v>4000000</v>
      </c>
      <c r="CM151" s="99">
        <v>2900</v>
      </c>
      <c r="CN151" s="140">
        <v>0</v>
      </c>
      <c r="CO151" s="139" t="s">
        <v>583</v>
      </c>
      <c r="CP151" s="139" t="s">
        <v>583</v>
      </c>
      <c r="CQ151" s="140">
        <v>43500</v>
      </c>
      <c r="CR151" s="140">
        <v>3844147</v>
      </c>
      <c r="CS151" s="140">
        <v>0</v>
      </c>
      <c r="CT151" s="140">
        <v>1</v>
      </c>
      <c r="CU151" s="140">
        <v>3985541.1200000001</v>
      </c>
      <c r="CV151" s="99">
        <v>49504.11</v>
      </c>
      <c r="CW151" s="139" t="s">
        <v>606</v>
      </c>
      <c r="CX151" s="140">
        <v>17.070399999999999</v>
      </c>
      <c r="CY151" s="140">
        <v>35</v>
      </c>
      <c r="CZ151" s="140" t="s">
        <v>1062</v>
      </c>
      <c r="DA151" s="140" t="s">
        <v>1063</v>
      </c>
      <c r="DB151" s="140">
        <v>140</v>
      </c>
      <c r="DC151" s="140"/>
    </row>
    <row r="152" spans="2:107" ht="11.25" customHeight="1" x14ac:dyDescent="0.15">
      <c r="B152" s="139" t="s">
        <v>577</v>
      </c>
      <c r="C152" s="140" t="s">
        <v>1455</v>
      </c>
      <c r="D152" s="140">
        <v>4</v>
      </c>
      <c r="E152" s="139" t="s">
        <v>1461</v>
      </c>
      <c r="F152" s="139" t="s">
        <v>580</v>
      </c>
      <c r="G152" s="140" t="s">
        <v>1455</v>
      </c>
      <c r="H152" s="139" t="s">
        <v>1462</v>
      </c>
      <c r="I152" s="140" t="s">
        <v>421</v>
      </c>
      <c r="J152" s="139" t="s">
        <v>582</v>
      </c>
      <c r="K152" s="139" t="s">
        <v>583</v>
      </c>
      <c r="L152" s="139" t="s">
        <v>583</v>
      </c>
      <c r="M152" s="139" t="s">
        <v>583</v>
      </c>
      <c r="N152" s="139" t="s">
        <v>757</v>
      </c>
      <c r="O152" s="139" t="s">
        <v>1463</v>
      </c>
      <c r="P152" s="139" t="s">
        <v>583</v>
      </c>
      <c r="Q152" s="139" t="s">
        <v>583</v>
      </c>
      <c r="R152" s="140">
        <v>1</v>
      </c>
      <c r="S152" s="140">
        <v>0</v>
      </c>
      <c r="T152" s="140">
        <v>1</v>
      </c>
      <c r="U152" s="140">
        <v>4</v>
      </c>
      <c r="V152" s="139" t="s">
        <v>835</v>
      </c>
      <c r="W152" s="139" t="s">
        <v>836</v>
      </c>
      <c r="X152" s="139" t="s">
        <v>837</v>
      </c>
      <c r="Y152" s="139" t="s">
        <v>838</v>
      </c>
      <c r="Z152" s="139" t="s">
        <v>590</v>
      </c>
      <c r="AA152" s="139" t="s">
        <v>839</v>
      </c>
      <c r="AB152" s="139" t="s">
        <v>835</v>
      </c>
      <c r="AC152" s="139" t="s">
        <v>836</v>
      </c>
      <c r="AD152" s="139" t="s">
        <v>837</v>
      </c>
      <c r="AE152" s="139" t="s">
        <v>838</v>
      </c>
      <c r="AF152" s="139" t="s">
        <v>590</v>
      </c>
      <c r="AG152" s="139" t="s">
        <v>839</v>
      </c>
      <c r="AH152" s="139" t="s">
        <v>759</v>
      </c>
      <c r="AI152" s="139" t="s">
        <v>434</v>
      </c>
      <c r="AJ152" s="140">
        <v>3164572.67</v>
      </c>
      <c r="AK152" s="139" t="s">
        <v>835</v>
      </c>
      <c r="AL152" s="139" t="s">
        <v>836</v>
      </c>
      <c r="AM152" s="139" t="s">
        <v>837</v>
      </c>
      <c r="AN152" s="139" t="s">
        <v>838</v>
      </c>
      <c r="AO152" s="139" t="s">
        <v>590</v>
      </c>
      <c r="AP152" s="139" t="s">
        <v>839</v>
      </c>
      <c r="AQ152" s="139" t="s">
        <v>759</v>
      </c>
      <c r="AR152" s="139" t="s">
        <v>434</v>
      </c>
      <c r="AS152" s="139" t="s">
        <v>434</v>
      </c>
      <c r="AT152" s="139" t="s">
        <v>593</v>
      </c>
      <c r="AU152" s="139" t="s">
        <v>437</v>
      </c>
      <c r="AV152" s="140">
        <v>2</v>
      </c>
      <c r="AW152" s="139" t="s">
        <v>594</v>
      </c>
      <c r="AX152" s="139" t="s">
        <v>595</v>
      </c>
      <c r="AY152" s="139" t="s">
        <v>840</v>
      </c>
      <c r="AZ152" s="140">
        <v>1</v>
      </c>
      <c r="BA152" s="139" t="s">
        <v>597</v>
      </c>
      <c r="BB152" s="140">
        <v>35200</v>
      </c>
      <c r="BC152" s="140">
        <v>3110666</v>
      </c>
      <c r="BD152" s="140">
        <v>39306.92</v>
      </c>
      <c r="BE152" s="140">
        <v>88.371200000000002</v>
      </c>
      <c r="BF152" s="139" t="s">
        <v>880</v>
      </c>
      <c r="BG152" s="139" t="s">
        <v>863</v>
      </c>
      <c r="BH152" s="139" t="s">
        <v>841</v>
      </c>
      <c r="BI152" s="139" t="s">
        <v>598</v>
      </c>
      <c r="BJ152" s="139" t="s">
        <v>599</v>
      </c>
      <c r="BK152" s="139" t="s">
        <v>583</v>
      </c>
      <c r="BL152" s="139" t="s">
        <v>583</v>
      </c>
      <c r="BM152" s="139" t="s">
        <v>583</v>
      </c>
      <c r="BN152" s="139" t="s">
        <v>842</v>
      </c>
      <c r="BO152" s="139" t="s">
        <v>843</v>
      </c>
      <c r="BP152" s="139" t="s">
        <v>925</v>
      </c>
      <c r="BQ152" s="139" t="s">
        <v>723</v>
      </c>
      <c r="BR152" s="140">
        <v>1</v>
      </c>
      <c r="BS152" s="139" t="s">
        <v>1317</v>
      </c>
      <c r="BT152" s="99">
        <f t="shared" si="9"/>
        <v>1</v>
      </c>
      <c r="BU152" s="99">
        <f t="shared" si="9"/>
        <v>0</v>
      </c>
      <c r="BV152" s="99">
        <f t="shared" si="8"/>
        <v>1</v>
      </c>
      <c r="BW152" s="139" t="s">
        <v>602</v>
      </c>
      <c r="BX152" s="139" t="s">
        <v>1464</v>
      </c>
      <c r="BY152" s="140">
        <v>4</v>
      </c>
      <c r="BZ152" s="140">
        <v>0</v>
      </c>
      <c r="CA152" s="99">
        <v>22000</v>
      </c>
      <c r="CB152" s="140" t="s">
        <v>603</v>
      </c>
      <c r="CC152" s="140">
        <v>0</v>
      </c>
      <c r="CD152" s="140"/>
      <c r="CE152" s="139" t="s">
        <v>577</v>
      </c>
      <c r="CF152" s="139" t="s">
        <v>604</v>
      </c>
      <c r="CG152" s="139" t="s">
        <v>583</v>
      </c>
      <c r="CH152" s="139" t="s">
        <v>583</v>
      </c>
      <c r="CI152" s="139" t="s">
        <v>759</v>
      </c>
      <c r="CJ152" s="140">
        <v>2310</v>
      </c>
      <c r="CK152" s="140" t="s">
        <v>605</v>
      </c>
      <c r="CL152" s="140">
        <v>4000000</v>
      </c>
      <c r="CM152" s="99">
        <v>2145</v>
      </c>
      <c r="CN152" s="140">
        <v>0</v>
      </c>
      <c r="CO152" s="139" t="s">
        <v>583</v>
      </c>
      <c r="CP152" s="139" t="s">
        <v>583</v>
      </c>
      <c r="CQ152" s="140">
        <v>35200</v>
      </c>
      <c r="CR152" s="140">
        <v>3110666</v>
      </c>
      <c r="CS152" s="140">
        <v>0</v>
      </c>
      <c r="CT152" s="140">
        <v>1</v>
      </c>
      <c r="CU152" s="140">
        <v>3164572.67</v>
      </c>
      <c r="CV152" s="99">
        <v>39306.92</v>
      </c>
      <c r="CW152" s="139" t="s">
        <v>606</v>
      </c>
      <c r="CX152" s="140">
        <v>18.3249</v>
      </c>
      <c r="CY152" s="140"/>
      <c r="CZ152" s="140"/>
      <c r="DA152" s="140" t="s">
        <v>846</v>
      </c>
      <c r="DB152" s="140">
        <v>1103</v>
      </c>
      <c r="DC152" s="140"/>
    </row>
    <row r="153" spans="2:107" ht="11.25" customHeight="1" x14ac:dyDescent="0.15">
      <c r="B153" s="139" t="s">
        <v>577</v>
      </c>
      <c r="C153" s="140" t="s">
        <v>1455</v>
      </c>
      <c r="D153" s="140">
        <v>4</v>
      </c>
      <c r="E153" s="139" t="s">
        <v>1465</v>
      </c>
      <c r="F153" s="139" t="s">
        <v>718</v>
      </c>
      <c r="G153" s="140" t="s">
        <v>1455</v>
      </c>
      <c r="H153" s="139" t="s">
        <v>1466</v>
      </c>
      <c r="I153" s="140" t="s">
        <v>421</v>
      </c>
      <c r="J153" s="139" t="s">
        <v>582</v>
      </c>
      <c r="K153" s="139" t="s">
        <v>583</v>
      </c>
      <c r="L153" s="139" t="s">
        <v>583</v>
      </c>
      <c r="M153" s="139" t="s">
        <v>583</v>
      </c>
      <c r="N153" s="139" t="s">
        <v>720</v>
      </c>
      <c r="O153" s="139" t="s">
        <v>1467</v>
      </c>
      <c r="P153" s="139" t="s">
        <v>583</v>
      </c>
      <c r="Q153" s="139" t="s">
        <v>583</v>
      </c>
      <c r="R153" s="140">
        <v>1</v>
      </c>
      <c r="S153" s="140"/>
      <c r="T153" s="140">
        <v>1</v>
      </c>
      <c r="U153" s="140">
        <v>115</v>
      </c>
      <c r="V153" s="139" t="s">
        <v>662</v>
      </c>
      <c r="W153" s="139" t="s">
        <v>663</v>
      </c>
      <c r="X153" s="139" t="s">
        <v>664</v>
      </c>
      <c r="Y153" s="139" t="s">
        <v>665</v>
      </c>
      <c r="Z153" s="139" t="s">
        <v>666</v>
      </c>
      <c r="AA153" s="139" t="s">
        <v>667</v>
      </c>
      <c r="AB153" s="139" t="s">
        <v>662</v>
      </c>
      <c r="AC153" s="139" t="s">
        <v>663</v>
      </c>
      <c r="AD153" s="139" t="s">
        <v>664</v>
      </c>
      <c r="AE153" s="139" t="s">
        <v>665</v>
      </c>
      <c r="AF153" s="139" t="s">
        <v>666</v>
      </c>
      <c r="AG153" s="139" t="s">
        <v>667</v>
      </c>
      <c r="AH153" s="139" t="s">
        <v>592</v>
      </c>
      <c r="AI153" s="139" t="s">
        <v>429</v>
      </c>
      <c r="AJ153" s="140">
        <v>3071782.91</v>
      </c>
      <c r="AK153" s="139" t="s">
        <v>662</v>
      </c>
      <c r="AL153" s="139" t="s">
        <v>663</v>
      </c>
      <c r="AM153" s="139" t="s">
        <v>664</v>
      </c>
      <c r="AN153" s="139" t="s">
        <v>665</v>
      </c>
      <c r="AO153" s="139" t="s">
        <v>666</v>
      </c>
      <c r="AP153" s="139" t="s">
        <v>667</v>
      </c>
      <c r="AQ153" s="139" t="s">
        <v>592</v>
      </c>
      <c r="AR153" s="139" t="s">
        <v>429</v>
      </c>
      <c r="AS153" s="139" t="s">
        <v>429</v>
      </c>
      <c r="AT153" s="139" t="s">
        <v>593</v>
      </c>
      <c r="AU153" s="139" t="s">
        <v>437</v>
      </c>
      <c r="AV153" s="140">
        <v>2</v>
      </c>
      <c r="AW153" s="139" t="s">
        <v>594</v>
      </c>
      <c r="AX153" s="139" t="s">
        <v>595</v>
      </c>
      <c r="AY153" s="139" t="s">
        <v>722</v>
      </c>
      <c r="AZ153" s="140">
        <v>1</v>
      </c>
      <c r="BA153" s="139" t="s">
        <v>597</v>
      </c>
      <c r="BB153" s="140">
        <v>34500</v>
      </c>
      <c r="BC153" s="140">
        <v>3048806</v>
      </c>
      <c r="BD153" s="140">
        <v>38154.39</v>
      </c>
      <c r="BE153" s="140">
        <v>88.371200000000002</v>
      </c>
      <c r="BF153" s="139" t="s">
        <v>880</v>
      </c>
      <c r="BG153" s="139" t="s">
        <v>583</v>
      </c>
      <c r="BH153" s="139" t="s">
        <v>924</v>
      </c>
      <c r="BI153" s="139" t="s">
        <v>598</v>
      </c>
      <c r="BJ153" s="139" t="s">
        <v>599</v>
      </c>
      <c r="BK153" s="139" t="s">
        <v>583</v>
      </c>
      <c r="BL153" s="139" t="s">
        <v>583</v>
      </c>
      <c r="BM153" s="139" t="s">
        <v>583</v>
      </c>
      <c r="BN153" s="139" t="s">
        <v>842</v>
      </c>
      <c r="BO153" s="139" t="s">
        <v>843</v>
      </c>
      <c r="BP153" s="139" t="s">
        <v>925</v>
      </c>
      <c r="BQ153" s="139" t="s">
        <v>723</v>
      </c>
      <c r="BR153" s="140">
        <v>1</v>
      </c>
      <c r="BS153" s="139" t="s">
        <v>724</v>
      </c>
      <c r="BT153" s="99">
        <f t="shared" si="9"/>
        <v>1</v>
      </c>
      <c r="BU153" s="99">
        <f t="shared" si="9"/>
        <v>0</v>
      </c>
      <c r="BV153" s="99">
        <f t="shared" si="8"/>
        <v>1</v>
      </c>
      <c r="BW153" s="139" t="s">
        <v>725</v>
      </c>
      <c r="BX153" s="139" t="s">
        <v>1438</v>
      </c>
      <c r="BY153" s="140">
        <v>115</v>
      </c>
      <c r="BZ153" s="140"/>
      <c r="CA153" s="99">
        <v>23000</v>
      </c>
      <c r="CB153" s="140" t="s">
        <v>603</v>
      </c>
      <c r="CC153" s="140"/>
      <c r="CD153" s="140"/>
      <c r="CE153" s="139" t="s">
        <v>577</v>
      </c>
      <c r="CF153" s="139" t="s">
        <v>604</v>
      </c>
      <c r="CG153" s="139" t="s">
        <v>583</v>
      </c>
      <c r="CH153" s="139" t="s">
        <v>583</v>
      </c>
      <c r="CI153" s="139" t="s">
        <v>592</v>
      </c>
      <c r="CJ153" s="140">
        <v>2415</v>
      </c>
      <c r="CK153" s="140" t="s">
        <v>605</v>
      </c>
      <c r="CL153" s="140">
        <v>4000000</v>
      </c>
      <c r="CM153" s="99">
        <v>2300</v>
      </c>
      <c r="CN153" s="140"/>
      <c r="CO153" s="139" t="s">
        <v>583</v>
      </c>
      <c r="CP153" s="139" t="s">
        <v>583</v>
      </c>
      <c r="CQ153" s="140">
        <v>34500</v>
      </c>
      <c r="CR153" s="140">
        <v>3048806</v>
      </c>
      <c r="CS153" s="140">
        <v>0</v>
      </c>
      <c r="CT153" s="140">
        <v>1</v>
      </c>
      <c r="CU153" s="140">
        <v>3071782.91</v>
      </c>
      <c r="CV153" s="99">
        <v>38154.39</v>
      </c>
      <c r="CW153" s="139" t="s">
        <v>606</v>
      </c>
      <c r="CX153" s="140">
        <v>16.588899999999999</v>
      </c>
      <c r="CY153" s="140"/>
      <c r="CZ153" s="140"/>
      <c r="DA153" s="140" t="s">
        <v>926</v>
      </c>
      <c r="DB153" s="140">
        <v>24</v>
      </c>
      <c r="DC153" s="140"/>
    </row>
    <row r="154" spans="2:107" ht="11.25" customHeight="1" x14ac:dyDescent="0.15">
      <c r="B154" s="139" t="s">
        <v>577</v>
      </c>
      <c r="C154" s="140" t="s">
        <v>1455</v>
      </c>
      <c r="D154" s="140">
        <v>4</v>
      </c>
      <c r="E154" s="139" t="s">
        <v>1468</v>
      </c>
      <c r="F154" s="139" t="s">
        <v>580</v>
      </c>
      <c r="G154" s="140" t="s">
        <v>1455</v>
      </c>
      <c r="H154" s="139" t="s">
        <v>1469</v>
      </c>
      <c r="I154" s="140" t="s">
        <v>421</v>
      </c>
      <c r="J154" s="139" t="s">
        <v>582</v>
      </c>
      <c r="K154" s="139" t="s">
        <v>583</v>
      </c>
      <c r="L154" s="139" t="s">
        <v>583</v>
      </c>
      <c r="M154" s="139" t="s">
        <v>583</v>
      </c>
      <c r="N154" s="139" t="s">
        <v>757</v>
      </c>
      <c r="O154" s="139" t="s">
        <v>1463</v>
      </c>
      <c r="P154" s="139" t="s">
        <v>583</v>
      </c>
      <c r="Q154" s="139" t="s">
        <v>583</v>
      </c>
      <c r="R154" s="140">
        <v>1</v>
      </c>
      <c r="S154" s="140">
        <v>0</v>
      </c>
      <c r="T154" s="140">
        <v>1</v>
      </c>
      <c r="U154" s="140">
        <v>5</v>
      </c>
      <c r="V154" s="139" t="s">
        <v>859</v>
      </c>
      <c r="W154" s="139" t="s">
        <v>860</v>
      </c>
      <c r="X154" s="139" t="s">
        <v>861</v>
      </c>
      <c r="Y154" s="139" t="s">
        <v>862</v>
      </c>
      <c r="Z154" s="139" t="s">
        <v>590</v>
      </c>
      <c r="AA154" s="139" t="s">
        <v>839</v>
      </c>
      <c r="AB154" s="139" t="s">
        <v>859</v>
      </c>
      <c r="AC154" s="139" t="s">
        <v>860</v>
      </c>
      <c r="AD154" s="139" t="s">
        <v>861</v>
      </c>
      <c r="AE154" s="139" t="s">
        <v>862</v>
      </c>
      <c r="AF154" s="139" t="s">
        <v>590</v>
      </c>
      <c r="AG154" s="139" t="s">
        <v>839</v>
      </c>
      <c r="AH154" s="139" t="s">
        <v>759</v>
      </c>
      <c r="AI154" s="139" t="s">
        <v>434</v>
      </c>
      <c r="AJ154" s="140">
        <v>3739869.18</v>
      </c>
      <c r="AK154" s="139" t="s">
        <v>859</v>
      </c>
      <c r="AL154" s="139" t="s">
        <v>860</v>
      </c>
      <c r="AM154" s="139" t="s">
        <v>861</v>
      </c>
      <c r="AN154" s="139" t="s">
        <v>862</v>
      </c>
      <c r="AO154" s="139" t="s">
        <v>590</v>
      </c>
      <c r="AP154" s="139" t="s">
        <v>839</v>
      </c>
      <c r="AQ154" s="139" t="s">
        <v>759</v>
      </c>
      <c r="AR154" s="139" t="s">
        <v>434</v>
      </c>
      <c r="AS154" s="139" t="s">
        <v>434</v>
      </c>
      <c r="AT154" s="139" t="s">
        <v>593</v>
      </c>
      <c r="AU154" s="139" t="s">
        <v>437</v>
      </c>
      <c r="AV154" s="140">
        <v>2</v>
      </c>
      <c r="AW154" s="139" t="s">
        <v>594</v>
      </c>
      <c r="AX154" s="139" t="s">
        <v>595</v>
      </c>
      <c r="AY154" s="139" t="s">
        <v>840</v>
      </c>
      <c r="AZ154" s="140">
        <v>1</v>
      </c>
      <c r="BA154" s="139" t="s">
        <v>597</v>
      </c>
      <c r="BB154" s="140">
        <v>41600</v>
      </c>
      <c r="BC154" s="140">
        <v>3676242</v>
      </c>
      <c r="BD154" s="140">
        <v>46452.639999999999</v>
      </c>
      <c r="BE154" s="140">
        <v>88.371200000000002</v>
      </c>
      <c r="BF154" s="139" t="s">
        <v>880</v>
      </c>
      <c r="BG154" s="139" t="s">
        <v>863</v>
      </c>
      <c r="BH154" s="139" t="s">
        <v>1122</v>
      </c>
      <c r="BI154" s="139" t="s">
        <v>598</v>
      </c>
      <c r="BJ154" s="139" t="s">
        <v>599</v>
      </c>
      <c r="BK154" s="139" t="s">
        <v>583</v>
      </c>
      <c r="BL154" s="139" t="s">
        <v>583</v>
      </c>
      <c r="BM154" s="139" t="s">
        <v>583</v>
      </c>
      <c r="BN154" s="139" t="s">
        <v>842</v>
      </c>
      <c r="BO154" s="139" t="s">
        <v>843</v>
      </c>
      <c r="BP154" s="139" t="s">
        <v>925</v>
      </c>
      <c r="BQ154" s="139" t="s">
        <v>723</v>
      </c>
      <c r="BR154" s="140">
        <v>1</v>
      </c>
      <c r="BS154" s="139" t="s">
        <v>864</v>
      </c>
      <c r="BT154" s="99">
        <f t="shared" si="9"/>
        <v>1</v>
      </c>
      <c r="BU154" s="99">
        <f t="shared" si="9"/>
        <v>0</v>
      </c>
      <c r="BV154" s="99">
        <f t="shared" si="8"/>
        <v>1</v>
      </c>
      <c r="BW154" s="139" t="s">
        <v>602</v>
      </c>
      <c r="BX154" s="139" t="s">
        <v>1470</v>
      </c>
      <c r="BY154" s="140">
        <v>5</v>
      </c>
      <c r="BZ154" s="140">
        <v>0</v>
      </c>
      <c r="CA154" s="99">
        <v>26000</v>
      </c>
      <c r="CB154" s="140" t="s">
        <v>603</v>
      </c>
      <c r="CC154" s="140">
        <v>0</v>
      </c>
      <c r="CD154" s="140"/>
      <c r="CE154" s="139" t="s">
        <v>577</v>
      </c>
      <c r="CF154" s="139" t="s">
        <v>604</v>
      </c>
      <c r="CG154" s="139" t="s">
        <v>583</v>
      </c>
      <c r="CH154" s="139" t="s">
        <v>583</v>
      </c>
      <c r="CI154" s="139" t="s">
        <v>759</v>
      </c>
      <c r="CJ154" s="140">
        <v>2730</v>
      </c>
      <c r="CK154" s="140" t="s">
        <v>605</v>
      </c>
      <c r="CL154" s="140">
        <v>4000000</v>
      </c>
      <c r="CM154" s="99">
        <v>2535</v>
      </c>
      <c r="CN154" s="140">
        <v>0</v>
      </c>
      <c r="CO154" s="139" t="s">
        <v>583</v>
      </c>
      <c r="CP154" s="139" t="s">
        <v>583</v>
      </c>
      <c r="CQ154" s="140">
        <v>41600</v>
      </c>
      <c r="CR154" s="140">
        <v>3676242</v>
      </c>
      <c r="CS154" s="140">
        <v>0</v>
      </c>
      <c r="CT154" s="140">
        <v>1</v>
      </c>
      <c r="CU154" s="140">
        <v>3739869.18</v>
      </c>
      <c r="CV154" s="99">
        <v>46452.639999999999</v>
      </c>
      <c r="CW154" s="139" t="s">
        <v>606</v>
      </c>
      <c r="CX154" s="140">
        <v>18.3245</v>
      </c>
      <c r="CY154" s="140">
        <v>1535</v>
      </c>
      <c r="CZ154" s="140" t="s">
        <v>1118</v>
      </c>
      <c r="DA154" s="140" t="s">
        <v>1119</v>
      </c>
      <c r="DB154" s="140">
        <v>1095</v>
      </c>
      <c r="DC154" s="140"/>
    </row>
    <row r="155" spans="2:107" ht="11.25" customHeight="1" x14ac:dyDescent="0.15">
      <c r="B155" s="139" t="s">
        <v>577</v>
      </c>
      <c r="C155" s="140" t="s">
        <v>1471</v>
      </c>
      <c r="D155" s="140">
        <v>4</v>
      </c>
      <c r="E155" s="139" t="s">
        <v>1472</v>
      </c>
      <c r="F155" s="139" t="s">
        <v>729</v>
      </c>
      <c r="G155" s="140" t="s">
        <v>1471</v>
      </c>
      <c r="H155" s="139" t="s">
        <v>1473</v>
      </c>
      <c r="I155" s="140" t="s">
        <v>421</v>
      </c>
      <c r="J155" s="139" t="s">
        <v>582</v>
      </c>
      <c r="K155" s="139" t="s">
        <v>583</v>
      </c>
      <c r="L155" s="139" t="s">
        <v>583</v>
      </c>
      <c r="M155" s="139" t="s">
        <v>583</v>
      </c>
      <c r="N155" s="139" t="s">
        <v>778</v>
      </c>
      <c r="O155" s="139" t="s">
        <v>1474</v>
      </c>
      <c r="P155" s="139" t="s">
        <v>583</v>
      </c>
      <c r="Q155" s="139" t="s">
        <v>583</v>
      </c>
      <c r="R155" s="140">
        <v>1</v>
      </c>
      <c r="S155" s="140">
        <v>0</v>
      </c>
      <c r="T155" s="140">
        <v>1</v>
      </c>
      <c r="U155" s="140">
        <v>280</v>
      </c>
      <c r="V155" s="139" t="s">
        <v>691</v>
      </c>
      <c r="W155" s="139" t="s">
        <v>692</v>
      </c>
      <c r="X155" s="139" t="s">
        <v>693</v>
      </c>
      <c r="Y155" s="139" t="s">
        <v>694</v>
      </c>
      <c r="Z155" s="139" t="s">
        <v>695</v>
      </c>
      <c r="AA155" s="139" t="s">
        <v>696</v>
      </c>
      <c r="AB155" s="139" t="s">
        <v>691</v>
      </c>
      <c r="AC155" s="139" t="s">
        <v>692</v>
      </c>
      <c r="AD155" s="139" t="s">
        <v>693</v>
      </c>
      <c r="AE155" s="139" t="s">
        <v>694</v>
      </c>
      <c r="AF155" s="139" t="s">
        <v>695</v>
      </c>
      <c r="AG155" s="139" t="s">
        <v>696</v>
      </c>
      <c r="AH155" s="139" t="s">
        <v>751</v>
      </c>
      <c r="AI155" s="139" t="s">
        <v>433</v>
      </c>
      <c r="AJ155" s="140">
        <v>7954680.5499999998</v>
      </c>
      <c r="AK155" s="139" t="s">
        <v>691</v>
      </c>
      <c r="AL155" s="139" t="s">
        <v>692</v>
      </c>
      <c r="AM155" s="139" t="s">
        <v>693</v>
      </c>
      <c r="AN155" s="139" t="s">
        <v>694</v>
      </c>
      <c r="AO155" s="139" t="s">
        <v>695</v>
      </c>
      <c r="AP155" s="139" t="s">
        <v>696</v>
      </c>
      <c r="AQ155" s="139" t="s">
        <v>751</v>
      </c>
      <c r="AR155" s="139" t="s">
        <v>433</v>
      </c>
      <c r="AS155" s="139" t="s">
        <v>429</v>
      </c>
      <c r="AT155" s="139" t="s">
        <v>593</v>
      </c>
      <c r="AU155" s="139" t="s">
        <v>437</v>
      </c>
      <c r="AV155" s="140">
        <v>2</v>
      </c>
      <c r="AW155" s="139" t="s">
        <v>594</v>
      </c>
      <c r="AX155" s="139" t="s">
        <v>653</v>
      </c>
      <c r="AY155" s="139" t="s">
        <v>780</v>
      </c>
      <c r="AZ155" s="140">
        <v>1</v>
      </c>
      <c r="BA155" s="139" t="s">
        <v>597</v>
      </c>
      <c r="BB155" s="140">
        <v>90014.399999999994</v>
      </c>
      <c r="BC155" s="140">
        <v>7954681</v>
      </c>
      <c r="BD155" s="140">
        <v>98804.49</v>
      </c>
      <c r="BE155" s="140">
        <v>88.371200000000002</v>
      </c>
      <c r="BF155" s="139" t="s">
        <v>880</v>
      </c>
      <c r="BG155" s="139" t="s">
        <v>735</v>
      </c>
      <c r="BH155" s="139" t="s">
        <v>1112</v>
      </c>
      <c r="BI155" s="139" t="s">
        <v>598</v>
      </c>
      <c r="BJ155" s="139" t="s">
        <v>599</v>
      </c>
      <c r="BK155" s="139" t="s">
        <v>583</v>
      </c>
      <c r="BL155" s="139" t="s">
        <v>1475</v>
      </c>
      <c r="BM155" s="139" t="s">
        <v>583</v>
      </c>
      <c r="BN155" s="139" t="s">
        <v>738</v>
      </c>
      <c r="BO155" s="139" t="s">
        <v>1476</v>
      </c>
      <c r="BP155" s="139" t="s">
        <v>1477</v>
      </c>
      <c r="BQ155" s="139" t="s">
        <v>741</v>
      </c>
      <c r="BR155" s="140">
        <v>1</v>
      </c>
      <c r="BS155" s="139" t="s">
        <v>1478</v>
      </c>
      <c r="BT155" s="99">
        <f t="shared" si="9"/>
        <v>0</v>
      </c>
      <c r="BU155" s="99">
        <f t="shared" si="9"/>
        <v>0</v>
      </c>
      <c r="BV155" s="99">
        <f t="shared" si="8"/>
        <v>0</v>
      </c>
      <c r="BW155" s="139" t="s">
        <v>1479</v>
      </c>
      <c r="BX155" s="139" t="s">
        <v>778</v>
      </c>
      <c r="BY155" s="140">
        <v>280</v>
      </c>
      <c r="BZ155" s="140">
        <v>0</v>
      </c>
      <c r="CA155" s="99">
        <v>56000</v>
      </c>
      <c r="CB155" s="140" t="s">
        <v>603</v>
      </c>
      <c r="CC155" s="140">
        <v>0</v>
      </c>
      <c r="CD155" s="140"/>
      <c r="CE155" s="139" t="s">
        <v>577</v>
      </c>
      <c r="CF155" s="139" t="s">
        <v>604</v>
      </c>
      <c r="CG155" s="139" t="s">
        <v>583</v>
      </c>
      <c r="CH155" s="139" t="s">
        <v>583</v>
      </c>
      <c r="CI155" s="139" t="s">
        <v>592</v>
      </c>
      <c r="CJ155" s="140">
        <v>5880</v>
      </c>
      <c r="CK155" s="140" t="s">
        <v>605</v>
      </c>
      <c r="CL155" s="140">
        <v>4000000</v>
      </c>
      <c r="CM155" s="99">
        <v>5600</v>
      </c>
      <c r="CN155" s="140">
        <v>0</v>
      </c>
      <c r="CO155" s="139" t="s">
        <v>583</v>
      </c>
      <c r="CP155" s="139" t="s">
        <v>583</v>
      </c>
      <c r="CQ155" s="140">
        <v>90014.399999999994</v>
      </c>
      <c r="CR155" s="140">
        <v>7954681</v>
      </c>
      <c r="CS155" s="140">
        <v>0</v>
      </c>
      <c r="CT155" s="140">
        <v>1</v>
      </c>
      <c r="CU155" s="140">
        <v>7954680.5499999998</v>
      </c>
      <c r="CV155" s="99">
        <v>98804.49</v>
      </c>
      <c r="CW155" s="139" t="s">
        <v>606</v>
      </c>
      <c r="CX155" s="140">
        <v>17.643699999999999</v>
      </c>
      <c r="CY155" s="140">
        <v>933</v>
      </c>
      <c r="CZ155" s="140" t="s">
        <v>894</v>
      </c>
      <c r="DA155" s="140" t="s">
        <v>1480</v>
      </c>
      <c r="DB155" s="140">
        <v>249</v>
      </c>
      <c r="DC155" s="140"/>
    </row>
    <row r="156" spans="2:107" ht="11.25" customHeight="1" x14ac:dyDescent="0.15">
      <c r="B156" s="139" t="s">
        <v>577</v>
      </c>
      <c r="C156" s="140" t="s">
        <v>1471</v>
      </c>
      <c r="D156" s="140">
        <v>4</v>
      </c>
      <c r="E156" s="139" t="s">
        <v>1481</v>
      </c>
      <c r="F156" s="139" t="s">
        <v>729</v>
      </c>
      <c r="G156" s="140" t="s">
        <v>1471</v>
      </c>
      <c r="H156" s="139" t="s">
        <v>1482</v>
      </c>
      <c r="I156" s="140" t="s">
        <v>421</v>
      </c>
      <c r="J156" s="139" t="s">
        <v>582</v>
      </c>
      <c r="K156" s="139" t="s">
        <v>583</v>
      </c>
      <c r="L156" s="139" t="s">
        <v>583</v>
      </c>
      <c r="M156" s="139" t="s">
        <v>583</v>
      </c>
      <c r="N156" s="139" t="s">
        <v>731</v>
      </c>
      <c r="O156" s="139" t="s">
        <v>1483</v>
      </c>
      <c r="P156" s="139" t="s">
        <v>583</v>
      </c>
      <c r="Q156" s="139" t="s">
        <v>583</v>
      </c>
      <c r="R156" s="140">
        <v>1</v>
      </c>
      <c r="S156" s="140">
        <v>0</v>
      </c>
      <c r="T156" s="140">
        <v>1</v>
      </c>
      <c r="U156" s="140">
        <v>414</v>
      </c>
      <c r="V156" s="139" t="s">
        <v>691</v>
      </c>
      <c r="W156" s="139" t="s">
        <v>692</v>
      </c>
      <c r="X156" s="139" t="s">
        <v>693</v>
      </c>
      <c r="Y156" s="139" t="s">
        <v>694</v>
      </c>
      <c r="Z156" s="139" t="s">
        <v>695</v>
      </c>
      <c r="AA156" s="139" t="s">
        <v>696</v>
      </c>
      <c r="AB156" s="139" t="s">
        <v>691</v>
      </c>
      <c r="AC156" s="139" t="s">
        <v>692</v>
      </c>
      <c r="AD156" s="139" t="s">
        <v>693</v>
      </c>
      <c r="AE156" s="139" t="s">
        <v>694</v>
      </c>
      <c r="AF156" s="139" t="s">
        <v>695</v>
      </c>
      <c r="AG156" s="139" t="s">
        <v>696</v>
      </c>
      <c r="AH156" s="139" t="s">
        <v>733</v>
      </c>
      <c r="AI156" s="139" t="s">
        <v>432</v>
      </c>
      <c r="AJ156" s="140">
        <v>13153522.890000001</v>
      </c>
      <c r="AK156" s="139" t="s">
        <v>691</v>
      </c>
      <c r="AL156" s="139" t="s">
        <v>692</v>
      </c>
      <c r="AM156" s="139" t="s">
        <v>693</v>
      </c>
      <c r="AN156" s="139" t="s">
        <v>694</v>
      </c>
      <c r="AO156" s="139" t="s">
        <v>695</v>
      </c>
      <c r="AP156" s="139" t="s">
        <v>696</v>
      </c>
      <c r="AQ156" s="139" t="s">
        <v>733</v>
      </c>
      <c r="AR156" s="139" t="s">
        <v>432</v>
      </c>
      <c r="AS156" s="139" t="s">
        <v>432</v>
      </c>
      <c r="AT156" s="139" t="s">
        <v>593</v>
      </c>
      <c r="AU156" s="139" t="s">
        <v>437</v>
      </c>
      <c r="AV156" s="140">
        <v>2</v>
      </c>
      <c r="AW156" s="139" t="s">
        <v>594</v>
      </c>
      <c r="AX156" s="139" t="s">
        <v>653</v>
      </c>
      <c r="AY156" s="139" t="s">
        <v>734</v>
      </c>
      <c r="AZ156" s="140">
        <v>1</v>
      </c>
      <c r="BA156" s="139" t="s">
        <v>597</v>
      </c>
      <c r="BB156" s="140">
        <v>148844</v>
      </c>
      <c r="BC156" s="140">
        <v>13153523</v>
      </c>
      <c r="BD156" s="140">
        <v>163378.93</v>
      </c>
      <c r="BE156" s="140">
        <v>88.371200000000002</v>
      </c>
      <c r="BF156" s="139" t="s">
        <v>880</v>
      </c>
      <c r="BG156" s="139" t="s">
        <v>583</v>
      </c>
      <c r="BH156" s="139" t="s">
        <v>736</v>
      </c>
      <c r="BI156" s="139" t="s">
        <v>598</v>
      </c>
      <c r="BJ156" s="139" t="s">
        <v>599</v>
      </c>
      <c r="BK156" s="139" t="s">
        <v>583</v>
      </c>
      <c r="BL156" s="139" t="s">
        <v>1475</v>
      </c>
      <c r="BM156" s="139" t="s">
        <v>583</v>
      </c>
      <c r="BN156" s="139" t="s">
        <v>738</v>
      </c>
      <c r="BO156" s="139" t="s">
        <v>1476</v>
      </c>
      <c r="BP156" s="139" t="s">
        <v>1477</v>
      </c>
      <c r="BQ156" s="139" t="s">
        <v>741</v>
      </c>
      <c r="BR156" s="140">
        <v>1</v>
      </c>
      <c r="BS156" s="139" t="s">
        <v>742</v>
      </c>
      <c r="BT156" s="99">
        <f t="shared" si="9"/>
        <v>0</v>
      </c>
      <c r="BU156" s="99">
        <f t="shared" si="9"/>
        <v>0</v>
      </c>
      <c r="BV156" s="99">
        <f t="shared" si="8"/>
        <v>0</v>
      </c>
      <c r="BW156" s="139" t="s">
        <v>743</v>
      </c>
      <c r="BX156" s="139" t="s">
        <v>731</v>
      </c>
      <c r="BY156" s="140">
        <v>414</v>
      </c>
      <c r="BZ156" s="140">
        <v>0</v>
      </c>
      <c r="CA156" s="99">
        <v>82800</v>
      </c>
      <c r="CB156" s="140" t="s">
        <v>603</v>
      </c>
      <c r="CC156" s="140">
        <v>0</v>
      </c>
      <c r="CD156" s="140"/>
      <c r="CE156" s="139" t="s">
        <v>577</v>
      </c>
      <c r="CF156" s="139" t="s">
        <v>604</v>
      </c>
      <c r="CG156" s="139" t="s">
        <v>583</v>
      </c>
      <c r="CH156" s="139" t="s">
        <v>583</v>
      </c>
      <c r="CI156" s="139" t="s">
        <v>733</v>
      </c>
      <c r="CJ156" s="140">
        <v>9108</v>
      </c>
      <c r="CK156" s="140" t="s">
        <v>605</v>
      </c>
      <c r="CL156" s="140">
        <v>4000000</v>
      </c>
      <c r="CM156" s="99">
        <v>8280</v>
      </c>
      <c r="CN156" s="140">
        <v>0</v>
      </c>
      <c r="CO156" s="139" t="s">
        <v>583</v>
      </c>
      <c r="CP156" s="139" t="s">
        <v>583</v>
      </c>
      <c r="CQ156" s="140">
        <v>148844</v>
      </c>
      <c r="CR156" s="140">
        <v>13153523</v>
      </c>
      <c r="CS156" s="140">
        <v>0</v>
      </c>
      <c r="CT156" s="140">
        <v>1</v>
      </c>
      <c r="CU156" s="140">
        <v>13153522.890000001</v>
      </c>
      <c r="CV156" s="99">
        <v>163378.93</v>
      </c>
      <c r="CW156" s="139" t="s">
        <v>606</v>
      </c>
      <c r="CX156" s="140">
        <v>19.7318</v>
      </c>
      <c r="CY156" s="140">
        <v>933</v>
      </c>
      <c r="CZ156" s="140" t="s">
        <v>894</v>
      </c>
      <c r="DA156" s="140" t="s">
        <v>1480</v>
      </c>
      <c r="DB156" s="140">
        <v>150</v>
      </c>
      <c r="DC156" s="140"/>
    </row>
    <row r="157" spans="2:107" ht="11.25" customHeight="1" x14ac:dyDescent="0.15">
      <c r="B157" s="139" t="s">
        <v>577</v>
      </c>
      <c r="C157" s="140" t="s">
        <v>1471</v>
      </c>
      <c r="D157" s="140">
        <v>4</v>
      </c>
      <c r="E157" s="139" t="s">
        <v>1484</v>
      </c>
      <c r="F157" s="139" t="s">
        <v>729</v>
      </c>
      <c r="G157" s="140" t="s">
        <v>1471</v>
      </c>
      <c r="H157" s="139" t="s">
        <v>1485</v>
      </c>
      <c r="I157" s="140" t="s">
        <v>421</v>
      </c>
      <c r="J157" s="139" t="s">
        <v>582</v>
      </c>
      <c r="K157" s="139" t="s">
        <v>583</v>
      </c>
      <c r="L157" s="139" t="s">
        <v>583</v>
      </c>
      <c r="M157" s="139" t="s">
        <v>583</v>
      </c>
      <c r="N157" s="139" t="s">
        <v>778</v>
      </c>
      <c r="O157" s="139" t="s">
        <v>1474</v>
      </c>
      <c r="P157" s="139" t="s">
        <v>583</v>
      </c>
      <c r="Q157" s="139" t="s">
        <v>583</v>
      </c>
      <c r="R157" s="140">
        <v>1</v>
      </c>
      <c r="S157" s="140">
        <v>0</v>
      </c>
      <c r="T157" s="140">
        <v>1</v>
      </c>
      <c r="U157" s="140">
        <v>134</v>
      </c>
      <c r="V157" s="139" t="s">
        <v>691</v>
      </c>
      <c r="W157" s="139" t="s">
        <v>692</v>
      </c>
      <c r="X157" s="139" t="s">
        <v>693</v>
      </c>
      <c r="Y157" s="139" t="s">
        <v>694</v>
      </c>
      <c r="Z157" s="139" t="s">
        <v>695</v>
      </c>
      <c r="AA157" s="139" t="s">
        <v>696</v>
      </c>
      <c r="AB157" s="139" t="s">
        <v>691</v>
      </c>
      <c r="AC157" s="139" t="s">
        <v>692</v>
      </c>
      <c r="AD157" s="139" t="s">
        <v>693</v>
      </c>
      <c r="AE157" s="139" t="s">
        <v>694</v>
      </c>
      <c r="AF157" s="139" t="s">
        <v>695</v>
      </c>
      <c r="AG157" s="139" t="s">
        <v>696</v>
      </c>
      <c r="AH157" s="139" t="s">
        <v>751</v>
      </c>
      <c r="AI157" s="139" t="s">
        <v>433</v>
      </c>
      <c r="AJ157" s="140">
        <v>4505015.3099999996</v>
      </c>
      <c r="AK157" s="139" t="s">
        <v>691</v>
      </c>
      <c r="AL157" s="139" t="s">
        <v>692</v>
      </c>
      <c r="AM157" s="139" t="s">
        <v>693</v>
      </c>
      <c r="AN157" s="139" t="s">
        <v>694</v>
      </c>
      <c r="AO157" s="139" t="s">
        <v>695</v>
      </c>
      <c r="AP157" s="139" t="s">
        <v>696</v>
      </c>
      <c r="AQ157" s="139" t="s">
        <v>751</v>
      </c>
      <c r="AR157" s="139" t="s">
        <v>433</v>
      </c>
      <c r="AS157" s="139" t="s">
        <v>433</v>
      </c>
      <c r="AT157" s="139" t="s">
        <v>593</v>
      </c>
      <c r="AU157" s="139" t="s">
        <v>437</v>
      </c>
      <c r="AV157" s="140">
        <v>2</v>
      </c>
      <c r="AW157" s="139" t="s">
        <v>594</v>
      </c>
      <c r="AX157" s="139" t="s">
        <v>653</v>
      </c>
      <c r="AY157" s="139" t="s">
        <v>780</v>
      </c>
      <c r="AZ157" s="140">
        <v>1</v>
      </c>
      <c r="BA157" s="139" t="s">
        <v>597</v>
      </c>
      <c r="BB157" s="140">
        <v>50978.32</v>
      </c>
      <c r="BC157" s="140">
        <v>4505015</v>
      </c>
      <c r="BD157" s="140">
        <v>55956.46</v>
      </c>
      <c r="BE157" s="140">
        <v>88.371200000000002</v>
      </c>
      <c r="BF157" s="139" t="s">
        <v>880</v>
      </c>
      <c r="BG157" s="139" t="s">
        <v>735</v>
      </c>
      <c r="BH157" s="139" t="s">
        <v>1112</v>
      </c>
      <c r="BI157" s="139" t="s">
        <v>598</v>
      </c>
      <c r="BJ157" s="139" t="s">
        <v>599</v>
      </c>
      <c r="BK157" s="139" t="s">
        <v>583</v>
      </c>
      <c r="BL157" s="139" t="s">
        <v>1475</v>
      </c>
      <c r="BM157" s="139" t="s">
        <v>583</v>
      </c>
      <c r="BN157" s="139" t="s">
        <v>738</v>
      </c>
      <c r="BO157" s="139" t="s">
        <v>1476</v>
      </c>
      <c r="BP157" s="139" t="s">
        <v>1477</v>
      </c>
      <c r="BQ157" s="139" t="s">
        <v>741</v>
      </c>
      <c r="BR157" s="140">
        <v>1</v>
      </c>
      <c r="BS157" s="139" t="s">
        <v>1478</v>
      </c>
      <c r="BT157" s="99">
        <f t="shared" si="9"/>
        <v>0</v>
      </c>
      <c r="BU157" s="99">
        <f t="shared" si="9"/>
        <v>0</v>
      </c>
      <c r="BV157" s="99">
        <f t="shared" si="8"/>
        <v>0</v>
      </c>
      <c r="BW157" s="139" t="s">
        <v>1479</v>
      </c>
      <c r="BX157" s="139" t="s">
        <v>778</v>
      </c>
      <c r="BY157" s="140">
        <v>134</v>
      </c>
      <c r="BZ157" s="140">
        <v>0</v>
      </c>
      <c r="CA157" s="99">
        <v>26800</v>
      </c>
      <c r="CB157" s="140" t="s">
        <v>603</v>
      </c>
      <c r="CC157" s="140">
        <v>0</v>
      </c>
      <c r="CD157" s="140"/>
      <c r="CE157" s="139" t="s">
        <v>577</v>
      </c>
      <c r="CF157" s="139" t="s">
        <v>604</v>
      </c>
      <c r="CG157" s="139" t="s">
        <v>583</v>
      </c>
      <c r="CH157" s="139" t="s">
        <v>583</v>
      </c>
      <c r="CI157" s="139" t="s">
        <v>751</v>
      </c>
      <c r="CJ157" s="140">
        <v>2814</v>
      </c>
      <c r="CK157" s="140" t="s">
        <v>605</v>
      </c>
      <c r="CL157" s="140">
        <v>4000000</v>
      </c>
      <c r="CM157" s="99">
        <v>2680</v>
      </c>
      <c r="CN157" s="140">
        <v>0</v>
      </c>
      <c r="CO157" s="139" t="s">
        <v>583</v>
      </c>
      <c r="CP157" s="139" t="s">
        <v>583</v>
      </c>
      <c r="CQ157" s="140">
        <v>50978.32</v>
      </c>
      <c r="CR157" s="140">
        <v>4505015</v>
      </c>
      <c r="CS157" s="140">
        <v>0</v>
      </c>
      <c r="CT157" s="140">
        <v>1</v>
      </c>
      <c r="CU157" s="140">
        <v>4505015.3099999996</v>
      </c>
      <c r="CV157" s="99">
        <v>55956.46</v>
      </c>
      <c r="CW157" s="139" t="s">
        <v>606</v>
      </c>
      <c r="CX157" s="140">
        <v>20.879300000000001</v>
      </c>
      <c r="CY157" s="140">
        <v>933</v>
      </c>
      <c r="CZ157" s="140" t="s">
        <v>894</v>
      </c>
      <c r="DA157" s="140" t="s">
        <v>1480</v>
      </c>
      <c r="DB157" s="140">
        <v>163</v>
      </c>
      <c r="DC157" s="140"/>
    </row>
    <row r="158" spans="2:107" ht="11.25" customHeight="1" x14ac:dyDescent="0.15">
      <c r="B158" s="139" t="s">
        <v>577</v>
      </c>
      <c r="C158" s="140" t="s">
        <v>1486</v>
      </c>
      <c r="D158" s="140">
        <v>4</v>
      </c>
      <c r="E158" s="139" t="s">
        <v>1487</v>
      </c>
      <c r="F158" s="139" t="s">
        <v>580</v>
      </c>
      <c r="G158" s="140" t="s">
        <v>1486</v>
      </c>
      <c r="H158" s="139" t="s">
        <v>1488</v>
      </c>
      <c r="I158" s="140" t="s">
        <v>421</v>
      </c>
      <c r="J158" s="139" t="s">
        <v>582</v>
      </c>
      <c r="K158" s="139" t="s">
        <v>583</v>
      </c>
      <c r="L158" s="139" t="s">
        <v>583</v>
      </c>
      <c r="M158" s="139" t="s">
        <v>583</v>
      </c>
      <c r="N158" s="139" t="s">
        <v>731</v>
      </c>
      <c r="O158" s="139" t="s">
        <v>1217</v>
      </c>
      <c r="P158" s="139" t="s">
        <v>583</v>
      </c>
      <c r="Q158" s="139" t="s">
        <v>583</v>
      </c>
      <c r="R158" s="140">
        <v>1</v>
      </c>
      <c r="S158" s="140">
        <v>0</v>
      </c>
      <c r="T158" s="140">
        <v>1</v>
      </c>
      <c r="U158" s="140">
        <v>486</v>
      </c>
      <c r="V158" s="139" t="s">
        <v>586</v>
      </c>
      <c r="W158" s="139" t="s">
        <v>587</v>
      </c>
      <c r="X158" s="139" t="s">
        <v>588</v>
      </c>
      <c r="Y158" s="139" t="s">
        <v>589</v>
      </c>
      <c r="Z158" s="139" t="s">
        <v>590</v>
      </c>
      <c r="AA158" s="139" t="s">
        <v>591</v>
      </c>
      <c r="AB158" s="139" t="s">
        <v>586</v>
      </c>
      <c r="AC158" s="139" t="s">
        <v>587</v>
      </c>
      <c r="AD158" s="139" t="s">
        <v>588</v>
      </c>
      <c r="AE158" s="139" t="s">
        <v>589</v>
      </c>
      <c r="AF158" s="139" t="s">
        <v>590</v>
      </c>
      <c r="AG158" s="139" t="s">
        <v>591</v>
      </c>
      <c r="AH158" s="139" t="s">
        <v>733</v>
      </c>
      <c r="AI158" s="139" t="s">
        <v>432</v>
      </c>
      <c r="AJ158" s="140">
        <v>16220177.59</v>
      </c>
      <c r="AK158" s="139" t="s">
        <v>586</v>
      </c>
      <c r="AL158" s="139" t="s">
        <v>587</v>
      </c>
      <c r="AM158" s="139" t="s">
        <v>588</v>
      </c>
      <c r="AN158" s="139" t="s">
        <v>589</v>
      </c>
      <c r="AO158" s="139" t="s">
        <v>590</v>
      </c>
      <c r="AP158" s="139" t="s">
        <v>591</v>
      </c>
      <c r="AQ158" s="139" t="s">
        <v>733</v>
      </c>
      <c r="AR158" s="139" t="s">
        <v>432</v>
      </c>
      <c r="AS158" s="139" t="s">
        <v>432</v>
      </c>
      <c r="AT158" s="139" t="s">
        <v>593</v>
      </c>
      <c r="AU158" s="139" t="s">
        <v>437</v>
      </c>
      <c r="AV158" s="140">
        <v>2</v>
      </c>
      <c r="AW158" s="139" t="s">
        <v>594</v>
      </c>
      <c r="AX158" s="139" t="s">
        <v>653</v>
      </c>
      <c r="AY158" s="139" t="s">
        <v>850</v>
      </c>
      <c r="AZ158" s="140">
        <v>1</v>
      </c>
      <c r="BA158" s="139" t="s">
        <v>597</v>
      </c>
      <c r="BB158" s="140">
        <v>179820</v>
      </c>
      <c r="BC158" s="140">
        <v>16220178</v>
      </c>
      <c r="BD158" s="140">
        <v>198873.93</v>
      </c>
      <c r="BE158" s="140">
        <v>90.202299999999994</v>
      </c>
      <c r="BF158" s="139" t="s">
        <v>880</v>
      </c>
      <c r="BG158" s="139" t="s">
        <v>583</v>
      </c>
      <c r="BH158" s="139" t="s">
        <v>987</v>
      </c>
      <c r="BI158" s="139" t="s">
        <v>598</v>
      </c>
      <c r="BJ158" s="139" t="s">
        <v>1100</v>
      </c>
      <c r="BK158" s="139" t="s">
        <v>1101</v>
      </c>
      <c r="BL158" s="139" t="s">
        <v>1101</v>
      </c>
      <c r="BM158" s="139" t="s">
        <v>583</v>
      </c>
      <c r="BN158" s="139" t="s">
        <v>1102</v>
      </c>
      <c r="BO158" s="139" t="s">
        <v>850</v>
      </c>
      <c r="BP158" s="139" t="s">
        <v>1104</v>
      </c>
      <c r="BQ158" s="139" t="s">
        <v>600</v>
      </c>
      <c r="BR158" s="140">
        <v>1</v>
      </c>
      <c r="BS158" s="139" t="s">
        <v>988</v>
      </c>
      <c r="BT158" s="99">
        <f t="shared" si="9"/>
        <v>0</v>
      </c>
      <c r="BU158" s="99">
        <f t="shared" si="9"/>
        <v>1</v>
      </c>
      <c r="BV158" s="99">
        <f t="shared" si="8"/>
        <v>1</v>
      </c>
      <c r="BW158" s="139" t="s">
        <v>602</v>
      </c>
      <c r="BX158" s="139" t="s">
        <v>731</v>
      </c>
      <c r="BY158" s="140">
        <v>486</v>
      </c>
      <c r="BZ158" s="140">
        <v>0</v>
      </c>
      <c r="CA158" s="99">
        <v>97200</v>
      </c>
      <c r="CB158" s="140" t="s">
        <v>603</v>
      </c>
      <c r="CC158" s="140">
        <v>0</v>
      </c>
      <c r="CD158" s="140"/>
      <c r="CE158" s="139" t="s">
        <v>577</v>
      </c>
      <c r="CF158" s="139" t="s">
        <v>604</v>
      </c>
      <c r="CG158" s="139" t="s">
        <v>583</v>
      </c>
      <c r="CH158" s="139" t="s">
        <v>583</v>
      </c>
      <c r="CI158" s="139" t="s">
        <v>733</v>
      </c>
      <c r="CJ158" s="140">
        <v>10692</v>
      </c>
      <c r="CK158" s="140" t="s">
        <v>605</v>
      </c>
      <c r="CL158" s="140">
        <v>4000000</v>
      </c>
      <c r="CM158" s="99">
        <v>9720</v>
      </c>
      <c r="CN158" s="140">
        <v>0</v>
      </c>
      <c r="CO158" s="139" t="s">
        <v>583</v>
      </c>
      <c r="CP158" s="139" t="s">
        <v>583</v>
      </c>
      <c r="CQ158" s="140">
        <v>179820</v>
      </c>
      <c r="CR158" s="140">
        <v>16220178</v>
      </c>
      <c r="CS158" s="140">
        <v>0</v>
      </c>
      <c r="CT158" s="140">
        <v>1</v>
      </c>
      <c r="CU158" s="140">
        <v>16220177.59</v>
      </c>
      <c r="CV158" s="99">
        <v>198873.93</v>
      </c>
      <c r="CW158" s="139" t="s">
        <v>606</v>
      </c>
      <c r="CX158" s="140">
        <v>20.4603</v>
      </c>
      <c r="CY158" s="140"/>
      <c r="CZ158" s="140"/>
      <c r="DA158" s="140" t="s">
        <v>856</v>
      </c>
      <c r="DB158" s="140">
        <v>996</v>
      </c>
      <c r="DC158" s="140"/>
    </row>
    <row r="159" spans="2:107" ht="11.25" customHeight="1" x14ac:dyDescent="0.15">
      <c r="B159" s="139" t="s">
        <v>577</v>
      </c>
      <c r="C159" s="140" t="s">
        <v>1486</v>
      </c>
      <c r="D159" s="140">
        <v>4</v>
      </c>
      <c r="E159" s="139" t="s">
        <v>1489</v>
      </c>
      <c r="F159" s="139" t="s">
        <v>580</v>
      </c>
      <c r="G159" s="140" t="s">
        <v>1486</v>
      </c>
      <c r="H159" s="139" t="s">
        <v>1490</v>
      </c>
      <c r="I159" s="140" t="s">
        <v>421</v>
      </c>
      <c r="J159" s="139" t="s">
        <v>582</v>
      </c>
      <c r="K159" s="139" t="s">
        <v>583</v>
      </c>
      <c r="L159" s="139" t="s">
        <v>583</v>
      </c>
      <c r="M159" s="139" t="s">
        <v>583</v>
      </c>
      <c r="N159" s="139" t="s">
        <v>584</v>
      </c>
      <c r="O159" s="139" t="s">
        <v>1183</v>
      </c>
      <c r="P159" s="139" t="s">
        <v>583</v>
      </c>
      <c r="Q159" s="139" t="s">
        <v>583</v>
      </c>
      <c r="R159" s="140">
        <v>1</v>
      </c>
      <c r="S159" s="140">
        <v>0</v>
      </c>
      <c r="T159" s="140">
        <v>1</v>
      </c>
      <c r="U159" s="140">
        <v>400</v>
      </c>
      <c r="V159" s="139" t="s">
        <v>586</v>
      </c>
      <c r="W159" s="139" t="s">
        <v>587</v>
      </c>
      <c r="X159" s="139" t="s">
        <v>588</v>
      </c>
      <c r="Y159" s="139" t="s">
        <v>589</v>
      </c>
      <c r="Z159" s="139" t="s">
        <v>590</v>
      </c>
      <c r="AA159" s="139" t="s">
        <v>591</v>
      </c>
      <c r="AB159" s="139" t="s">
        <v>586</v>
      </c>
      <c r="AC159" s="139" t="s">
        <v>587</v>
      </c>
      <c r="AD159" s="139" t="s">
        <v>588</v>
      </c>
      <c r="AE159" s="139" t="s">
        <v>589</v>
      </c>
      <c r="AF159" s="139" t="s">
        <v>590</v>
      </c>
      <c r="AG159" s="139" t="s">
        <v>591</v>
      </c>
      <c r="AH159" s="139" t="s">
        <v>592</v>
      </c>
      <c r="AI159" s="139" t="s">
        <v>429</v>
      </c>
      <c r="AJ159" s="140">
        <v>9290836.9000000004</v>
      </c>
      <c r="AK159" s="139" t="s">
        <v>586</v>
      </c>
      <c r="AL159" s="139" t="s">
        <v>587</v>
      </c>
      <c r="AM159" s="139" t="s">
        <v>588</v>
      </c>
      <c r="AN159" s="139" t="s">
        <v>589</v>
      </c>
      <c r="AO159" s="139" t="s">
        <v>590</v>
      </c>
      <c r="AP159" s="139" t="s">
        <v>591</v>
      </c>
      <c r="AQ159" s="139" t="s">
        <v>592</v>
      </c>
      <c r="AR159" s="139" t="s">
        <v>429</v>
      </c>
      <c r="AS159" s="139" t="s">
        <v>429</v>
      </c>
      <c r="AT159" s="139" t="s">
        <v>593</v>
      </c>
      <c r="AU159" s="139" t="s">
        <v>437</v>
      </c>
      <c r="AV159" s="140">
        <v>2</v>
      </c>
      <c r="AW159" s="139" t="s">
        <v>594</v>
      </c>
      <c r="AX159" s="139" t="s">
        <v>595</v>
      </c>
      <c r="AY159" s="139" t="s">
        <v>596</v>
      </c>
      <c r="AZ159" s="140">
        <v>1</v>
      </c>
      <c r="BA159" s="139" t="s">
        <v>597</v>
      </c>
      <c r="BB159" s="140">
        <v>100000</v>
      </c>
      <c r="BC159" s="140">
        <v>9020230</v>
      </c>
      <c r="BD159" s="140">
        <v>113914</v>
      </c>
      <c r="BE159" s="140">
        <v>90.202299999999994</v>
      </c>
      <c r="BF159" s="139" t="s">
        <v>880</v>
      </c>
      <c r="BG159" s="139" t="s">
        <v>583</v>
      </c>
      <c r="BH159" s="139" t="s">
        <v>958</v>
      </c>
      <c r="BI159" s="139" t="s">
        <v>598</v>
      </c>
      <c r="BJ159" s="139" t="s">
        <v>624</v>
      </c>
      <c r="BK159" s="139" t="s">
        <v>1142</v>
      </c>
      <c r="BL159" s="139" t="s">
        <v>583</v>
      </c>
      <c r="BM159" s="139" t="s">
        <v>915</v>
      </c>
      <c r="BN159" s="139" t="s">
        <v>1143</v>
      </c>
      <c r="BO159" s="139" t="s">
        <v>1144</v>
      </c>
      <c r="BP159" s="139" t="s">
        <v>1145</v>
      </c>
      <c r="BQ159" s="139" t="s">
        <v>611</v>
      </c>
      <c r="BR159" s="140">
        <v>1</v>
      </c>
      <c r="BS159" s="139" t="s">
        <v>601</v>
      </c>
      <c r="BT159" s="99">
        <f t="shared" si="9"/>
        <v>0</v>
      </c>
      <c r="BU159" s="99">
        <f t="shared" si="9"/>
        <v>1</v>
      </c>
      <c r="BV159" s="99">
        <f t="shared" si="8"/>
        <v>1</v>
      </c>
      <c r="BW159" s="139" t="s">
        <v>602</v>
      </c>
      <c r="BX159" s="139" t="s">
        <v>584</v>
      </c>
      <c r="BY159" s="140">
        <v>400</v>
      </c>
      <c r="BZ159" s="140">
        <v>0</v>
      </c>
      <c r="CA159" s="99">
        <v>80000</v>
      </c>
      <c r="CB159" s="140" t="s">
        <v>603</v>
      </c>
      <c r="CC159" s="140">
        <v>0</v>
      </c>
      <c r="CD159" s="140"/>
      <c r="CE159" s="139" t="s">
        <v>577</v>
      </c>
      <c r="CF159" s="139" t="s">
        <v>604</v>
      </c>
      <c r="CG159" s="139" t="s">
        <v>583</v>
      </c>
      <c r="CH159" s="139" t="s">
        <v>583</v>
      </c>
      <c r="CI159" s="139" t="s">
        <v>592</v>
      </c>
      <c r="CJ159" s="140">
        <v>8800</v>
      </c>
      <c r="CK159" s="140" t="s">
        <v>605</v>
      </c>
      <c r="CL159" s="140">
        <v>4000000</v>
      </c>
      <c r="CM159" s="99">
        <v>8400</v>
      </c>
      <c r="CN159" s="140">
        <v>0</v>
      </c>
      <c r="CO159" s="139" t="s">
        <v>583</v>
      </c>
      <c r="CP159" s="139" t="s">
        <v>583</v>
      </c>
      <c r="CQ159" s="140">
        <v>100000</v>
      </c>
      <c r="CR159" s="140">
        <v>9020230</v>
      </c>
      <c r="CS159" s="140">
        <v>0</v>
      </c>
      <c r="CT159" s="140">
        <v>1</v>
      </c>
      <c r="CU159" s="140">
        <v>9290836.9000000004</v>
      </c>
      <c r="CV159" s="99">
        <v>113914</v>
      </c>
      <c r="CW159" s="139" t="s">
        <v>606</v>
      </c>
      <c r="CX159" s="140">
        <v>13.561199999999999</v>
      </c>
      <c r="CY159" s="140"/>
      <c r="CZ159" s="140"/>
      <c r="DA159" s="140" t="s">
        <v>856</v>
      </c>
      <c r="DB159" s="140">
        <v>1047</v>
      </c>
      <c r="DC159" s="140"/>
    </row>
    <row r="160" spans="2:107" ht="11.25" customHeight="1" x14ac:dyDescent="0.15">
      <c r="B160" s="139" t="s">
        <v>577</v>
      </c>
      <c r="C160" s="140" t="s">
        <v>1491</v>
      </c>
      <c r="D160" s="140">
        <v>4</v>
      </c>
      <c r="E160" s="139" t="s">
        <v>1492</v>
      </c>
      <c r="F160" s="139" t="s">
        <v>618</v>
      </c>
      <c r="G160" s="140" t="s">
        <v>1491</v>
      </c>
      <c r="H160" s="139" t="s">
        <v>1493</v>
      </c>
      <c r="I160" s="140" t="s">
        <v>421</v>
      </c>
      <c r="J160" s="139" t="s">
        <v>582</v>
      </c>
      <c r="K160" s="139" t="s">
        <v>583</v>
      </c>
      <c r="L160" s="139" t="s">
        <v>583</v>
      </c>
      <c r="M160" s="139" t="s">
        <v>583</v>
      </c>
      <c r="N160" s="139" t="s">
        <v>441</v>
      </c>
      <c r="O160" s="139" t="s">
        <v>1187</v>
      </c>
      <c r="P160" s="139" t="s">
        <v>583</v>
      </c>
      <c r="Q160" s="139" t="s">
        <v>583</v>
      </c>
      <c r="R160" s="140">
        <v>1</v>
      </c>
      <c r="S160" s="140">
        <v>0</v>
      </c>
      <c r="T160" s="140">
        <v>1</v>
      </c>
      <c r="U160" s="140">
        <v>140</v>
      </c>
      <c r="V160" s="139" t="s">
        <v>709</v>
      </c>
      <c r="W160" s="139" t="s">
        <v>710</v>
      </c>
      <c r="X160" s="139" t="s">
        <v>711</v>
      </c>
      <c r="Y160" s="139" t="s">
        <v>712</v>
      </c>
      <c r="Z160" s="139" t="s">
        <v>713</v>
      </c>
      <c r="AA160" s="139" t="s">
        <v>714</v>
      </c>
      <c r="AB160" s="139" t="s">
        <v>709</v>
      </c>
      <c r="AC160" s="139" t="s">
        <v>710</v>
      </c>
      <c r="AD160" s="139" t="s">
        <v>711</v>
      </c>
      <c r="AE160" s="139" t="s">
        <v>712</v>
      </c>
      <c r="AF160" s="139" t="s">
        <v>713</v>
      </c>
      <c r="AG160" s="139" t="s">
        <v>714</v>
      </c>
      <c r="AH160" s="139" t="s">
        <v>621</v>
      </c>
      <c r="AI160" s="139" t="s">
        <v>430</v>
      </c>
      <c r="AJ160" s="140">
        <v>3912232.24</v>
      </c>
      <c r="AK160" s="139" t="s">
        <v>709</v>
      </c>
      <c r="AL160" s="139" t="s">
        <v>710</v>
      </c>
      <c r="AM160" s="139" t="s">
        <v>711</v>
      </c>
      <c r="AN160" s="139" t="s">
        <v>712</v>
      </c>
      <c r="AO160" s="139" t="s">
        <v>713</v>
      </c>
      <c r="AP160" s="139" t="s">
        <v>714</v>
      </c>
      <c r="AQ160" s="139" t="s">
        <v>621</v>
      </c>
      <c r="AR160" s="139" t="s">
        <v>430</v>
      </c>
      <c r="AS160" s="139" t="s">
        <v>430</v>
      </c>
      <c r="AT160" s="139" t="s">
        <v>593</v>
      </c>
      <c r="AU160" s="139" t="s">
        <v>437</v>
      </c>
      <c r="AV160" s="140">
        <v>0</v>
      </c>
      <c r="AW160" s="139" t="s">
        <v>594</v>
      </c>
      <c r="AX160" s="139" t="s">
        <v>622</v>
      </c>
      <c r="AY160" s="139" t="s">
        <v>623</v>
      </c>
      <c r="AZ160" s="140">
        <v>1</v>
      </c>
      <c r="BA160" s="139" t="s">
        <v>597</v>
      </c>
      <c r="BB160" s="140">
        <v>43400</v>
      </c>
      <c r="BC160" s="140">
        <v>3912232</v>
      </c>
      <c r="BD160" s="140">
        <v>47927.93</v>
      </c>
      <c r="BE160" s="140">
        <v>90.143600000000006</v>
      </c>
      <c r="BF160" s="139" t="s">
        <v>880</v>
      </c>
      <c r="BG160" s="139" t="s">
        <v>582</v>
      </c>
      <c r="BH160" s="139" t="s">
        <v>881</v>
      </c>
      <c r="BI160" s="139" t="s">
        <v>598</v>
      </c>
      <c r="BJ160" s="139" t="s">
        <v>624</v>
      </c>
      <c r="BK160" s="139" t="s">
        <v>882</v>
      </c>
      <c r="BL160" s="139" t="s">
        <v>583</v>
      </c>
      <c r="BM160" s="139" t="s">
        <v>883</v>
      </c>
      <c r="BN160" s="139" t="s">
        <v>583</v>
      </c>
      <c r="BO160" s="139" t="s">
        <v>623</v>
      </c>
      <c r="BP160" s="139" t="s">
        <v>884</v>
      </c>
      <c r="BQ160" s="139" t="s">
        <v>625</v>
      </c>
      <c r="BR160" s="140">
        <v>1</v>
      </c>
      <c r="BS160" s="139" t="s">
        <v>715</v>
      </c>
      <c r="BT160" s="99">
        <f t="shared" si="9"/>
        <v>0</v>
      </c>
      <c r="BU160" s="99">
        <f t="shared" si="9"/>
        <v>1</v>
      </c>
      <c r="BV160" s="99">
        <f t="shared" si="8"/>
        <v>1</v>
      </c>
      <c r="BW160" s="139" t="s">
        <v>635</v>
      </c>
      <c r="BX160" s="139" t="s">
        <v>441</v>
      </c>
      <c r="BY160" s="140">
        <v>140</v>
      </c>
      <c r="BZ160" s="140">
        <v>0</v>
      </c>
      <c r="CA160" s="99">
        <v>28000</v>
      </c>
      <c r="CB160" s="140" t="s">
        <v>603</v>
      </c>
      <c r="CC160" s="140">
        <v>0</v>
      </c>
      <c r="CD160" s="140"/>
      <c r="CE160" s="139" t="s">
        <v>577</v>
      </c>
      <c r="CF160" s="139" t="s">
        <v>604</v>
      </c>
      <c r="CG160" s="139" t="s">
        <v>583</v>
      </c>
      <c r="CH160" s="139" t="s">
        <v>583</v>
      </c>
      <c r="CI160" s="139" t="s">
        <v>621</v>
      </c>
      <c r="CJ160" s="140">
        <v>2800</v>
      </c>
      <c r="CK160" s="140" t="s">
        <v>605</v>
      </c>
      <c r="CL160" s="140">
        <v>4000000</v>
      </c>
      <c r="CM160" s="99">
        <v>2520</v>
      </c>
      <c r="CN160" s="140">
        <v>0</v>
      </c>
      <c r="CO160" s="139" t="s">
        <v>583</v>
      </c>
      <c r="CP160" s="139" t="s">
        <v>583</v>
      </c>
      <c r="CQ160" s="140">
        <v>43400</v>
      </c>
      <c r="CR160" s="140">
        <v>3912232</v>
      </c>
      <c r="CS160" s="140">
        <v>0</v>
      </c>
      <c r="CT160" s="140">
        <v>1</v>
      </c>
      <c r="CU160" s="140">
        <v>3912232.24</v>
      </c>
      <c r="CV160" s="99">
        <v>47927.93</v>
      </c>
      <c r="CW160" s="139" t="s">
        <v>606</v>
      </c>
      <c r="CX160" s="140">
        <v>19.018999999999998</v>
      </c>
      <c r="CY160" s="140"/>
      <c r="CZ160" s="140"/>
      <c r="DA160" s="140" t="s">
        <v>886</v>
      </c>
      <c r="DB160" s="140">
        <v>1113</v>
      </c>
      <c r="DC160" s="140"/>
    </row>
    <row r="161" spans="2:107" ht="11.25" customHeight="1" x14ac:dyDescent="0.15">
      <c r="B161" s="139" t="s">
        <v>577</v>
      </c>
      <c r="C161" s="140" t="s">
        <v>1494</v>
      </c>
      <c r="D161" s="140">
        <v>4</v>
      </c>
      <c r="E161" s="139" t="s">
        <v>1495</v>
      </c>
      <c r="F161" s="139" t="s">
        <v>580</v>
      </c>
      <c r="G161" s="140" t="s">
        <v>1494</v>
      </c>
      <c r="H161" s="139" t="s">
        <v>1496</v>
      </c>
      <c r="I161" s="140" t="s">
        <v>421</v>
      </c>
      <c r="J161" s="139" t="s">
        <v>582</v>
      </c>
      <c r="K161" s="139" t="s">
        <v>583</v>
      </c>
      <c r="L161" s="139" t="s">
        <v>583</v>
      </c>
      <c r="M161" s="139" t="s">
        <v>583</v>
      </c>
      <c r="N161" s="139" t="s">
        <v>584</v>
      </c>
      <c r="O161" s="139" t="s">
        <v>1183</v>
      </c>
      <c r="P161" s="139" t="s">
        <v>583</v>
      </c>
      <c r="Q161" s="139" t="s">
        <v>583</v>
      </c>
      <c r="R161" s="140">
        <v>1</v>
      </c>
      <c r="S161" s="140">
        <v>0</v>
      </c>
      <c r="T161" s="140">
        <v>1</v>
      </c>
      <c r="U161" s="140">
        <v>495</v>
      </c>
      <c r="V161" s="139" t="s">
        <v>586</v>
      </c>
      <c r="W161" s="139" t="s">
        <v>587</v>
      </c>
      <c r="X161" s="139" t="s">
        <v>588</v>
      </c>
      <c r="Y161" s="139" t="s">
        <v>589</v>
      </c>
      <c r="Z161" s="139" t="s">
        <v>590</v>
      </c>
      <c r="AA161" s="139" t="s">
        <v>591</v>
      </c>
      <c r="AB161" s="139" t="s">
        <v>586</v>
      </c>
      <c r="AC161" s="139" t="s">
        <v>587</v>
      </c>
      <c r="AD161" s="139" t="s">
        <v>588</v>
      </c>
      <c r="AE161" s="139" t="s">
        <v>589</v>
      </c>
      <c r="AF161" s="139" t="s">
        <v>590</v>
      </c>
      <c r="AG161" s="139" t="s">
        <v>591</v>
      </c>
      <c r="AH161" s="139" t="s">
        <v>592</v>
      </c>
      <c r="AI161" s="139" t="s">
        <v>429</v>
      </c>
      <c r="AJ161" s="140">
        <v>11333984.08</v>
      </c>
      <c r="AK161" s="139" t="s">
        <v>586</v>
      </c>
      <c r="AL161" s="139" t="s">
        <v>587</v>
      </c>
      <c r="AM161" s="139" t="s">
        <v>588</v>
      </c>
      <c r="AN161" s="139" t="s">
        <v>589</v>
      </c>
      <c r="AO161" s="139" t="s">
        <v>590</v>
      </c>
      <c r="AP161" s="139" t="s">
        <v>591</v>
      </c>
      <c r="AQ161" s="139" t="s">
        <v>592</v>
      </c>
      <c r="AR161" s="139" t="s">
        <v>429</v>
      </c>
      <c r="AS161" s="139" t="s">
        <v>429</v>
      </c>
      <c r="AT161" s="139" t="s">
        <v>593</v>
      </c>
      <c r="AU161" s="139" t="s">
        <v>437</v>
      </c>
      <c r="AV161" s="140">
        <v>2</v>
      </c>
      <c r="AW161" s="139" t="s">
        <v>594</v>
      </c>
      <c r="AX161" s="139" t="s">
        <v>595</v>
      </c>
      <c r="AY161" s="139" t="s">
        <v>596</v>
      </c>
      <c r="AZ161" s="140">
        <v>1</v>
      </c>
      <c r="BA161" s="139" t="s">
        <v>597</v>
      </c>
      <c r="BB161" s="140">
        <v>123750</v>
      </c>
      <c r="BC161" s="140">
        <v>11057001</v>
      </c>
      <c r="BD161" s="140">
        <v>139090.67000000001</v>
      </c>
      <c r="BE161" s="140">
        <v>89.349500000000006</v>
      </c>
      <c r="BF161" s="139" t="s">
        <v>880</v>
      </c>
      <c r="BG161" s="139" t="s">
        <v>583</v>
      </c>
      <c r="BH161" s="139" t="s">
        <v>958</v>
      </c>
      <c r="BI161" s="139" t="s">
        <v>598</v>
      </c>
      <c r="BJ161" s="139" t="s">
        <v>599</v>
      </c>
      <c r="BK161" s="139" t="s">
        <v>583</v>
      </c>
      <c r="BL161" s="139" t="s">
        <v>583</v>
      </c>
      <c r="BM161" s="139" t="s">
        <v>1497</v>
      </c>
      <c r="BN161" s="139" t="s">
        <v>853</v>
      </c>
      <c r="BO161" s="139" t="s">
        <v>854</v>
      </c>
      <c r="BP161" s="139" t="s">
        <v>959</v>
      </c>
      <c r="BQ161" s="139" t="s">
        <v>600</v>
      </c>
      <c r="BR161" s="140">
        <v>1</v>
      </c>
      <c r="BS161" s="139" t="s">
        <v>601</v>
      </c>
      <c r="BT161" s="99">
        <f t="shared" si="9"/>
        <v>0</v>
      </c>
      <c r="BU161" s="99">
        <f t="shared" si="9"/>
        <v>1</v>
      </c>
      <c r="BV161" s="99">
        <f t="shared" si="8"/>
        <v>1</v>
      </c>
      <c r="BW161" s="139" t="s">
        <v>602</v>
      </c>
      <c r="BX161" s="139" t="s">
        <v>584</v>
      </c>
      <c r="BY161" s="140">
        <v>495</v>
      </c>
      <c r="BZ161" s="140">
        <v>0</v>
      </c>
      <c r="CA161" s="99">
        <v>99000</v>
      </c>
      <c r="CB161" s="140" t="s">
        <v>603</v>
      </c>
      <c r="CC161" s="140">
        <v>0</v>
      </c>
      <c r="CD161" s="140"/>
      <c r="CE161" s="139" t="s">
        <v>577</v>
      </c>
      <c r="CF161" s="139" t="s">
        <v>604</v>
      </c>
      <c r="CG161" s="139" t="s">
        <v>583</v>
      </c>
      <c r="CH161" s="139" t="s">
        <v>583</v>
      </c>
      <c r="CI161" s="139" t="s">
        <v>592</v>
      </c>
      <c r="CJ161" s="140">
        <v>10978</v>
      </c>
      <c r="CK161" s="140" t="s">
        <v>605</v>
      </c>
      <c r="CL161" s="140">
        <v>4000000</v>
      </c>
      <c r="CM161" s="99">
        <v>10479</v>
      </c>
      <c r="CN161" s="140">
        <v>0</v>
      </c>
      <c r="CO161" s="139" t="s">
        <v>583</v>
      </c>
      <c r="CP161" s="139" t="s">
        <v>583</v>
      </c>
      <c r="CQ161" s="140">
        <v>123750</v>
      </c>
      <c r="CR161" s="140">
        <v>11057001</v>
      </c>
      <c r="CS161" s="140">
        <v>0</v>
      </c>
      <c r="CT161" s="140">
        <v>1</v>
      </c>
      <c r="CU161" s="140">
        <v>11333984.08</v>
      </c>
      <c r="CV161" s="99">
        <v>139090.67000000001</v>
      </c>
      <c r="CW161" s="139" t="s">
        <v>606</v>
      </c>
      <c r="CX161" s="140">
        <v>13.273300000000001</v>
      </c>
      <c r="CY161" s="140"/>
      <c r="CZ161" s="140"/>
      <c r="DA161" s="140" t="s">
        <v>856</v>
      </c>
      <c r="DB161" s="140">
        <v>1178</v>
      </c>
      <c r="DC161" s="140"/>
    </row>
    <row r="162" spans="2:107" ht="11.25" customHeight="1" x14ac:dyDescent="0.15">
      <c r="B162" s="139" t="s">
        <v>577</v>
      </c>
      <c r="C162" s="140" t="s">
        <v>1498</v>
      </c>
      <c r="D162" s="140">
        <v>4</v>
      </c>
      <c r="E162" s="139" t="s">
        <v>1499</v>
      </c>
      <c r="F162" s="139" t="s">
        <v>718</v>
      </c>
      <c r="G162" s="140" t="s">
        <v>1498</v>
      </c>
      <c r="H162" s="139" t="s">
        <v>1500</v>
      </c>
      <c r="I162" s="140" t="s">
        <v>421</v>
      </c>
      <c r="J162" s="139" t="s">
        <v>582</v>
      </c>
      <c r="K162" s="139" t="s">
        <v>583</v>
      </c>
      <c r="L162" s="139" t="s">
        <v>583</v>
      </c>
      <c r="M162" s="139" t="s">
        <v>583</v>
      </c>
      <c r="N162" s="139" t="s">
        <v>720</v>
      </c>
      <c r="O162" s="139" t="s">
        <v>1310</v>
      </c>
      <c r="P162" s="139" t="s">
        <v>583</v>
      </c>
      <c r="Q162" s="139" t="s">
        <v>583</v>
      </c>
      <c r="R162" s="140">
        <v>1</v>
      </c>
      <c r="S162" s="140">
        <v>0</v>
      </c>
      <c r="T162" s="140">
        <v>1</v>
      </c>
      <c r="U162" s="140">
        <v>155</v>
      </c>
      <c r="V162" s="139" t="s">
        <v>662</v>
      </c>
      <c r="W162" s="139" t="s">
        <v>663</v>
      </c>
      <c r="X162" s="139" t="s">
        <v>664</v>
      </c>
      <c r="Y162" s="139" t="s">
        <v>665</v>
      </c>
      <c r="Z162" s="139" t="s">
        <v>666</v>
      </c>
      <c r="AA162" s="139" t="s">
        <v>667</v>
      </c>
      <c r="AB162" s="139" t="s">
        <v>662</v>
      </c>
      <c r="AC162" s="139" t="s">
        <v>663</v>
      </c>
      <c r="AD162" s="139" t="s">
        <v>664</v>
      </c>
      <c r="AE162" s="139" t="s">
        <v>665</v>
      </c>
      <c r="AF162" s="139" t="s">
        <v>666</v>
      </c>
      <c r="AG162" s="139" t="s">
        <v>667</v>
      </c>
      <c r="AH162" s="139" t="s">
        <v>592</v>
      </c>
      <c r="AI162" s="139" t="s">
        <v>429</v>
      </c>
      <c r="AJ162" s="140">
        <v>4177982.62</v>
      </c>
      <c r="AK162" s="139" t="s">
        <v>662</v>
      </c>
      <c r="AL162" s="139" t="s">
        <v>663</v>
      </c>
      <c r="AM162" s="139" t="s">
        <v>664</v>
      </c>
      <c r="AN162" s="139" t="s">
        <v>665</v>
      </c>
      <c r="AO162" s="139" t="s">
        <v>666</v>
      </c>
      <c r="AP162" s="139" t="s">
        <v>667</v>
      </c>
      <c r="AQ162" s="139" t="s">
        <v>592</v>
      </c>
      <c r="AR162" s="139" t="s">
        <v>429</v>
      </c>
      <c r="AS162" s="139" t="s">
        <v>429</v>
      </c>
      <c r="AT162" s="139" t="s">
        <v>593</v>
      </c>
      <c r="AU162" s="139" t="s">
        <v>437</v>
      </c>
      <c r="AV162" s="140">
        <v>2</v>
      </c>
      <c r="AW162" s="139" t="s">
        <v>594</v>
      </c>
      <c r="AX162" s="139" t="s">
        <v>595</v>
      </c>
      <c r="AY162" s="139" t="s">
        <v>722</v>
      </c>
      <c r="AZ162" s="140">
        <v>1</v>
      </c>
      <c r="BA162" s="139" t="s">
        <v>597</v>
      </c>
      <c r="BB162" s="140">
        <v>46500</v>
      </c>
      <c r="BC162" s="140">
        <v>4154752</v>
      </c>
      <c r="BD162" s="140">
        <v>51272.21</v>
      </c>
      <c r="BE162" s="140">
        <v>89.349500000000006</v>
      </c>
      <c r="BF162" s="139" t="s">
        <v>880</v>
      </c>
      <c r="BG162" s="139" t="s">
        <v>583</v>
      </c>
      <c r="BH162" s="139" t="s">
        <v>924</v>
      </c>
      <c r="BI162" s="139" t="s">
        <v>598</v>
      </c>
      <c r="BJ162" s="139" t="s">
        <v>599</v>
      </c>
      <c r="BK162" s="139" t="s">
        <v>583</v>
      </c>
      <c r="BL162" s="139" t="s">
        <v>583</v>
      </c>
      <c r="BM162" s="139" t="s">
        <v>583</v>
      </c>
      <c r="BN162" s="139" t="s">
        <v>842</v>
      </c>
      <c r="BO162" s="139" t="s">
        <v>843</v>
      </c>
      <c r="BP162" s="139" t="s">
        <v>925</v>
      </c>
      <c r="BQ162" s="139" t="s">
        <v>723</v>
      </c>
      <c r="BR162" s="140">
        <v>1</v>
      </c>
      <c r="BS162" s="139" t="s">
        <v>724</v>
      </c>
      <c r="BT162" s="99">
        <f t="shared" si="9"/>
        <v>1</v>
      </c>
      <c r="BU162" s="99">
        <f t="shared" si="9"/>
        <v>0</v>
      </c>
      <c r="BV162" s="99">
        <f t="shared" si="8"/>
        <v>1</v>
      </c>
      <c r="BW162" s="139" t="s">
        <v>725</v>
      </c>
      <c r="BX162" s="139" t="s">
        <v>726</v>
      </c>
      <c r="BY162" s="140">
        <v>155</v>
      </c>
      <c r="BZ162" s="140">
        <v>0</v>
      </c>
      <c r="CA162" s="99">
        <v>31000</v>
      </c>
      <c r="CB162" s="140" t="s">
        <v>603</v>
      </c>
      <c r="CC162" s="140">
        <v>0</v>
      </c>
      <c r="CD162" s="140"/>
      <c r="CE162" s="139" t="s">
        <v>577</v>
      </c>
      <c r="CF162" s="139" t="s">
        <v>604</v>
      </c>
      <c r="CG162" s="139" t="s">
        <v>583</v>
      </c>
      <c r="CH162" s="139" t="s">
        <v>583</v>
      </c>
      <c r="CI162" s="139" t="s">
        <v>592</v>
      </c>
      <c r="CJ162" s="140">
        <v>3255</v>
      </c>
      <c r="CK162" s="140" t="s">
        <v>605</v>
      </c>
      <c r="CL162" s="140">
        <v>4000000</v>
      </c>
      <c r="CM162" s="99">
        <v>3100</v>
      </c>
      <c r="CN162" s="140">
        <v>0</v>
      </c>
      <c r="CO162" s="139" t="s">
        <v>583</v>
      </c>
      <c r="CP162" s="139" t="s">
        <v>583</v>
      </c>
      <c r="CQ162" s="140">
        <v>46500</v>
      </c>
      <c r="CR162" s="140">
        <v>4154752</v>
      </c>
      <c r="CS162" s="140">
        <v>0</v>
      </c>
      <c r="CT162" s="140">
        <v>1</v>
      </c>
      <c r="CU162" s="140">
        <v>4177982.62</v>
      </c>
      <c r="CV162" s="99">
        <v>51272.21</v>
      </c>
      <c r="CW162" s="139" t="s">
        <v>606</v>
      </c>
      <c r="CX162" s="140">
        <v>16.539400000000001</v>
      </c>
      <c r="CY162" s="140"/>
      <c r="CZ162" s="140"/>
      <c r="DA162" s="140" t="s">
        <v>926</v>
      </c>
      <c r="DB162" s="140">
        <v>26</v>
      </c>
      <c r="DC162" s="140"/>
    </row>
    <row r="163" spans="2:107" ht="11.25" customHeight="1" x14ac:dyDescent="0.15">
      <c r="B163" s="139" t="s">
        <v>577</v>
      </c>
      <c r="C163" s="140" t="s">
        <v>1498</v>
      </c>
      <c r="D163" s="140">
        <v>4</v>
      </c>
      <c r="E163" s="139" t="s">
        <v>1501</v>
      </c>
      <c r="F163" s="139" t="s">
        <v>729</v>
      </c>
      <c r="G163" s="140" t="s">
        <v>1498</v>
      </c>
      <c r="H163" s="139" t="s">
        <v>1502</v>
      </c>
      <c r="I163" s="140" t="s">
        <v>421</v>
      </c>
      <c r="J163" s="139" t="s">
        <v>582</v>
      </c>
      <c r="K163" s="139" t="s">
        <v>583</v>
      </c>
      <c r="L163" s="139" t="s">
        <v>583</v>
      </c>
      <c r="M163" s="139" t="s">
        <v>583</v>
      </c>
      <c r="N163" s="139" t="s">
        <v>731</v>
      </c>
      <c r="O163" s="139" t="s">
        <v>1503</v>
      </c>
      <c r="P163" s="139" t="s">
        <v>583</v>
      </c>
      <c r="Q163" s="139" t="s">
        <v>583</v>
      </c>
      <c r="R163" s="140">
        <v>1</v>
      </c>
      <c r="S163" s="140">
        <v>0</v>
      </c>
      <c r="T163" s="140">
        <v>1</v>
      </c>
      <c r="U163" s="140">
        <v>769</v>
      </c>
      <c r="V163" s="139" t="s">
        <v>691</v>
      </c>
      <c r="W163" s="139" t="s">
        <v>692</v>
      </c>
      <c r="X163" s="139" t="s">
        <v>693</v>
      </c>
      <c r="Y163" s="139" t="s">
        <v>694</v>
      </c>
      <c r="Z163" s="139" t="s">
        <v>695</v>
      </c>
      <c r="AA163" s="139" t="s">
        <v>696</v>
      </c>
      <c r="AB163" s="139" t="s">
        <v>691</v>
      </c>
      <c r="AC163" s="139" t="s">
        <v>692</v>
      </c>
      <c r="AD163" s="139" t="s">
        <v>693</v>
      </c>
      <c r="AE163" s="139" t="s">
        <v>694</v>
      </c>
      <c r="AF163" s="139" t="s">
        <v>695</v>
      </c>
      <c r="AG163" s="139" t="s">
        <v>696</v>
      </c>
      <c r="AH163" s="139" t="s">
        <v>733</v>
      </c>
      <c r="AI163" s="139" t="s">
        <v>432</v>
      </c>
      <c r="AJ163" s="140">
        <v>24273936.059999999</v>
      </c>
      <c r="AK163" s="139" t="s">
        <v>691</v>
      </c>
      <c r="AL163" s="139" t="s">
        <v>692</v>
      </c>
      <c r="AM163" s="139" t="s">
        <v>693</v>
      </c>
      <c r="AN163" s="139" t="s">
        <v>694</v>
      </c>
      <c r="AO163" s="139" t="s">
        <v>695</v>
      </c>
      <c r="AP163" s="139" t="s">
        <v>696</v>
      </c>
      <c r="AQ163" s="139" t="s">
        <v>733</v>
      </c>
      <c r="AR163" s="139" t="s">
        <v>432</v>
      </c>
      <c r="AS163" s="139" t="s">
        <v>432</v>
      </c>
      <c r="AT163" s="139" t="s">
        <v>593</v>
      </c>
      <c r="AU163" s="139" t="s">
        <v>437</v>
      </c>
      <c r="AV163" s="140">
        <v>2</v>
      </c>
      <c r="AW163" s="139" t="s">
        <v>594</v>
      </c>
      <c r="AX163" s="139" t="s">
        <v>653</v>
      </c>
      <c r="AY163" s="139" t="s">
        <v>734</v>
      </c>
      <c r="AZ163" s="140">
        <v>1</v>
      </c>
      <c r="BA163" s="139" t="s">
        <v>597</v>
      </c>
      <c r="BB163" s="140">
        <v>271674</v>
      </c>
      <c r="BC163" s="140">
        <v>24273936</v>
      </c>
      <c r="BD163" s="140">
        <v>297889.78000000003</v>
      </c>
      <c r="BE163" s="140">
        <v>89.349500000000006</v>
      </c>
      <c r="BF163" s="139" t="s">
        <v>880</v>
      </c>
      <c r="BG163" s="139" t="s">
        <v>583</v>
      </c>
      <c r="BH163" s="139" t="s">
        <v>736</v>
      </c>
      <c r="BI163" s="139" t="s">
        <v>598</v>
      </c>
      <c r="BJ163" s="139" t="s">
        <v>599</v>
      </c>
      <c r="BK163" s="139" t="s">
        <v>583</v>
      </c>
      <c r="BL163" s="139" t="s">
        <v>1475</v>
      </c>
      <c r="BM163" s="139" t="s">
        <v>891</v>
      </c>
      <c r="BN163" s="139" t="s">
        <v>738</v>
      </c>
      <c r="BO163" s="139" t="s">
        <v>1476</v>
      </c>
      <c r="BP163" s="139" t="s">
        <v>1477</v>
      </c>
      <c r="BQ163" s="139" t="s">
        <v>741</v>
      </c>
      <c r="BR163" s="140">
        <v>1</v>
      </c>
      <c r="BS163" s="139" t="s">
        <v>742</v>
      </c>
      <c r="BT163" s="99">
        <f t="shared" si="9"/>
        <v>0</v>
      </c>
      <c r="BU163" s="99">
        <f t="shared" si="9"/>
        <v>0</v>
      </c>
      <c r="BV163" s="99">
        <f t="shared" si="8"/>
        <v>0</v>
      </c>
      <c r="BW163" s="139" t="s">
        <v>743</v>
      </c>
      <c r="BX163" s="139" t="s">
        <v>731</v>
      </c>
      <c r="BY163" s="140">
        <v>769</v>
      </c>
      <c r="BZ163" s="140">
        <v>0</v>
      </c>
      <c r="CA163" s="99">
        <v>153800</v>
      </c>
      <c r="CB163" s="140" t="s">
        <v>603</v>
      </c>
      <c r="CC163" s="140">
        <v>0</v>
      </c>
      <c r="CD163" s="140"/>
      <c r="CE163" s="139" t="s">
        <v>577</v>
      </c>
      <c r="CF163" s="139" t="s">
        <v>604</v>
      </c>
      <c r="CG163" s="139" t="s">
        <v>583</v>
      </c>
      <c r="CH163" s="139" t="s">
        <v>583</v>
      </c>
      <c r="CI163" s="139" t="s">
        <v>733</v>
      </c>
      <c r="CJ163" s="140">
        <v>16918</v>
      </c>
      <c r="CK163" s="140" t="s">
        <v>605</v>
      </c>
      <c r="CL163" s="140">
        <v>4000000</v>
      </c>
      <c r="CM163" s="99">
        <v>15380</v>
      </c>
      <c r="CN163" s="140">
        <v>0</v>
      </c>
      <c r="CO163" s="139" t="s">
        <v>583</v>
      </c>
      <c r="CP163" s="139" t="s">
        <v>583</v>
      </c>
      <c r="CQ163" s="140">
        <v>271674</v>
      </c>
      <c r="CR163" s="140">
        <v>24273936</v>
      </c>
      <c r="CS163" s="140">
        <v>0</v>
      </c>
      <c r="CT163" s="140">
        <v>1</v>
      </c>
      <c r="CU163" s="140">
        <v>24273936.059999999</v>
      </c>
      <c r="CV163" s="99">
        <v>297889.78000000003</v>
      </c>
      <c r="CW163" s="139" t="s">
        <v>606</v>
      </c>
      <c r="CX163" s="140">
        <v>19.368600000000001</v>
      </c>
      <c r="CY163" s="140">
        <v>933</v>
      </c>
      <c r="CZ163" s="140" t="s">
        <v>894</v>
      </c>
      <c r="DA163" s="140" t="s">
        <v>1480</v>
      </c>
      <c r="DB163" s="140">
        <v>320</v>
      </c>
      <c r="DC163" s="140"/>
    </row>
    <row r="164" spans="2:107" ht="11.25" customHeight="1" x14ac:dyDescent="0.15">
      <c r="B164" s="139" t="s">
        <v>577</v>
      </c>
      <c r="C164" s="140" t="s">
        <v>1498</v>
      </c>
      <c r="D164" s="140">
        <v>4</v>
      </c>
      <c r="E164" s="139" t="s">
        <v>1504</v>
      </c>
      <c r="F164" s="139" t="s">
        <v>618</v>
      </c>
      <c r="G164" s="140" t="s">
        <v>1498</v>
      </c>
      <c r="H164" s="139" t="s">
        <v>1505</v>
      </c>
      <c r="I164" s="140" t="s">
        <v>421</v>
      </c>
      <c r="J164" s="139" t="s">
        <v>582</v>
      </c>
      <c r="K164" s="139" t="s">
        <v>583</v>
      </c>
      <c r="L164" s="139" t="s">
        <v>583</v>
      </c>
      <c r="M164" s="139" t="s">
        <v>583</v>
      </c>
      <c r="N164" s="139" t="s">
        <v>441</v>
      </c>
      <c r="O164" s="139" t="s">
        <v>930</v>
      </c>
      <c r="P164" s="139" t="s">
        <v>583</v>
      </c>
      <c r="Q164" s="139" t="s">
        <v>583</v>
      </c>
      <c r="R164" s="140">
        <v>1</v>
      </c>
      <c r="S164" s="140">
        <v>0</v>
      </c>
      <c r="T164" s="140">
        <v>1</v>
      </c>
      <c r="U164" s="140">
        <v>150</v>
      </c>
      <c r="V164" s="139" t="s">
        <v>679</v>
      </c>
      <c r="W164" s="139" t="s">
        <v>680</v>
      </c>
      <c r="X164" s="139" t="s">
        <v>681</v>
      </c>
      <c r="Y164" s="139" t="s">
        <v>682</v>
      </c>
      <c r="Z164" s="139" t="s">
        <v>683</v>
      </c>
      <c r="AA164" s="139" t="s">
        <v>684</v>
      </c>
      <c r="AB164" s="139" t="s">
        <v>679</v>
      </c>
      <c r="AC164" s="139" t="s">
        <v>680</v>
      </c>
      <c r="AD164" s="139" t="s">
        <v>681</v>
      </c>
      <c r="AE164" s="139" t="s">
        <v>682</v>
      </c>
      <c r="AF164" s="139" t="s">
        <v>683</v>
      </c>
      <c r="AG164" s="139" t="s">
        <v>684</v>
      </c>
      <c r="AH164" s="139" t="s">
        <v>621</v>
      </c>
      <c r="AI164" s="139" t="s">
        <v>430</v>
      </c>
      <c r="AJ164" s="140">
        <v>4020727.5</v>
      </c>
      <c r="AK164" s="139" t="s">
        <v>679</v>
      </c>
      <c r="AL164" s="139" t="s">
        <v>680</v>
      </c>
      <c r="AM164" s="139" t="s">
        <v>681</v>
      </c>
      <c r="AN164" s="139" t="s">
        <v>682</v>
      </c>
      <c r="AO164" s="139" t="s">
        <v>683</v>
      </c>
      <c r="AP164" s="139" t="s">
        <v>684</v>
      </c>
      <c r="AQ164" s="139" t="s">
        <v>621</v>
      </c>
      <c r="AR164" s="139" t="s">
        <v>430</v>
      </c>
      <c r="AS164" s="139" t="s">
        <v>430</v>
      </c>
      <c r="AT164" s="139" t="s">
        <v>593</v>
      </c>
      <c r="AU164" s="139" t="s">
        <v>437</v>
      </c>
      <c r="AV164" s="140">
        <v>0</v>
      </c>
      <c r="AW164" s="139" t="s">
        <v>594</v>
      </c>
      <c r="AX164" s="139" t="s">
        <v>622</v>
      </c>
      <c r="AY164" s="139" t="s">
        <v>623</v>
      </c>
      <c r="AZ164" s="140">
        <v>1</v>
      </c>
      <c r="BA164" s="139" t="s">
        <v>597</v>
      </c>
      <c r="BB164" s="140">
        <v>45000</v>
      </c>
      <c r="BC164" s="140">
        <v>4020728</v>
      </c>
      <c r="BD164" s="140">
        <v>49342.37</v>
      </c>
      <c r="BE164" s="140">
        <v>89.349500000000006</v>
      </c>
      <c r="BF164" s="139" t="s">
        <v>880</v>
      </c>
      <c r="BG164" s="139" t="s">
        <v>582</v>
      </c>
      <c r="BH164" s="139" t="s">
        <v>900</v>
      </c>
      <c r="BI164" s="139" t="s">
        <v>598</v>
      </c>
      <c r="BJ164" s="139" t="s">
        <v>624</v>
      </c>
      <c r="BK164" s="139" t="s">
        <v>882</v>
      </c>
      <c r="BL164" s="139" t="s">
        <v>583</v>
      </c>
      <c r="BM164" s="139" t="s">
        <v>883</v>
      </c>
      <c r="BN164" s="139" t="s">
        <v>583</v>
      </c>
      <c r="BO164" s="139" t="s">
        <v>623</v>
      </c>
      <c r="BP164" s="139" t="s">
        <v>884</v>
      </c>
      <c r="BQ164" s="139" t="s">
        <v>625</v>
      </c>
      <c r="BR164" s="140">
        <v>1</v>
      </c>
      <c r="BS164" s="139" t="s">
        <v>685</v>
      </c>
      <c r="BT164" s="99">
        <f t="shared" si="9"/>
        <v>0</v>
      </c>
      <c r="BU164" s="99">
        <f t="shared" si="9"/>
        <v>1</v>
      </c>
      <c r="BV164" s="99">
        <f t="shared" si="8"/>
        <v>1</v>
      </c>
      <c r="BW164" s="139" t="s">
        <v>635</v>
      </c>
      <c r="BX164" s="139" t="s">
        <v>441</v>
      </c>
      <c r="BY164" s="140">
        <v>150</v>
      </c>
      <c r="BZ164" s="140">
        <v>0</v>
      </c>
      <c r="CA164" s="99">
        <v>30000</v>
      </c>
      <c r="CB164" s="140" t="s">
        <v>603</v>
      </c>
      <c r="CC164" s="140">
        <v>0</v>
      </c>
      <c r="CD164" s="140"/>
      <c r="CE164" s="139" t="s">
        <v>577</v>
      </c>
      <c r="CF164" s="139" t="s">
        <v>604</v>
      </c>
      <c r="CG164" s="139" t="s">
        <v>583</v>
      </c>
      <c r="CH164" s="139" t="s">
        <v>583</v>
      </c>
      <c r="CI164" s="139" t="s">
        <v>621</v>
      </c>
      <c r="CJ164" s="140">
        <v>3000</v>
      </c>
      <c r="CK164" s="140" t="s">
        <v>605</v>
      </c>
      <c r="CL164" s="140">
        <v>4000000</v>
      </c>
      <c r="CM164" s="99">
        <v>2700</v>
      </c>
      <c r="CN164" s="140">
        <v>0</v>
      </c>
      <c r="CO164" s="139" t="s">
        <v>583</v>
      </c>
      <c r="CP164" s="139" t="s">
        <v>583</v>
      </c>
      <c r="CQ164" s="140">
        <v>45000</v>
      </c>
      <c r="CR164" s="140">
        <v>4020728</v>
      </c>
      <c r="CS164" s="140">
        <v>0</v>
      </c>
      <c r="CT164" s="140">
        <v>1</v>
      </c>
      <c r="CU164" s="140">
        <v>4020727.5</v>
      </c>
      <c r="CV164" s="99">
        <v>49342.37</v>
      </c>
      <c r="CW164" s="139" t="s">
        <v>606</v>
      </c>
      <c r="CX164" s="140">
        <v>18.274999999999999</v>
      </c>
      <c r="CY164" s="140"/>
      <c r="CZ164" s="140"/>
      <c r="DA164" s="140" t="s">
        <v>902</v>
      </c>
      <c r="DB164" s="140">
        <v>979</v>
      </c>
      <c r="DC164" s="140"/>
    </row>
    <row r="165" spans="2:107" ht="11.25" customHeight="1" x14ac:dyDescent="0.15">
      <c r="B165" s="139" t="s">
        <v>577</v>
      </c>
      <c r="C165" s="140" t="s">
        <v>1498</v>
      </c>
      <c r="D165" s="140">
        <v>4</v>
      </c>
      <c r="E165" s="139" t="s">
        <v>1506</v>
      </c>
      <c r="F165" s="139" t="s">
        <v>580</v>
      </c>
      <c r="G165" s="140" t="s">
        <v>1498</v>
      </c>
      <c r="H165" s="139" t="s">
        <v>1507</v>
      </c>
      <c r="I165" s="140" t="s">
        <v>421</v>
      </c>
      <c r="J165" s="139" t="s">
        <v>582</v>
      </c>
      <c r="K165" s="139" t="s">
        <v>583</v>
      </c>
      <c r="L165" s="139" t="s">
        <v>583</v>
      </c>
      <c r="M165" s="139" t="s">
        <v>583</v>
      </c>
      <c r="N165" s="139" t="s">
        <v>1169</v>
      </c>
      <c r="O165" s="139" t="s">
        <v>1246</v>
      </c>
      <c r="P165" s="139" t="s">
        <v>583</v>
      </c>
      <c r="Q165" s="139" t="s">
        <v>583</v>
      </c>
      <c r="R165" s="140">
        <v>1</v>
      </c>
      <c r="S165" s="140">
        <v>0</v>
      </c>
      <c r="T165" s="140">
        <v>1</v>
      </c>
      <c r="U165" s="140">
        <v>100</v>
      </c>
      <c r="V165" s="139" t="s">
        <v>907</v>
      </c>
      <c r="W165" s="139" t="s">
        <v>908</v>
      </c>
      <c r="X165" s="139" t="s">
        <v>909</v>
      </c>
      <c r="Y165" s="139" t="s">
        <v>910</v>
      </c>
      <c r="Z165" s="139" t="s">
        <v>644</v>
      </c>
      <c r="AA165" s="139" t="s">
        <v>911</v>
      </c>
      <c r="AB165" s="139" t="s">
        <v>907</v>
      </c>
      <c r="AC165" s="139" t="s">
        <v>908</v>
      </c>
      <c r="AD165" s="139" t="s">
        <v>909</v>
      </c>
      <c r="AE165" s="139" t="s">
        <v>910</v>
      </c>
      <c r="AF165" s="139" t="s">
        <v>644</v>
      </c>
      <c r="AG165" s="139" t="s">
        <v>911</v>
      </c>
      <c r="AH165" s="139" t="s">
        <v>592</v>
      </c>
      <c r="AI165" s="139" t="s">
        <v>429</v>
      </c>
      <c r="AJ165" s="140">
        <v>2725963</v>
      </c>
      <c r="AK165" s="139" t="s">
        <v>907</v>
      </c>
      <c r="AL165" s="139" t="s">
        <v>908</v>
      </c>
      <c r="AM165" s="139" t="s">
        <v>909</v>
      </c>
      <c r="AN165" s="139" t="s">
        <v>910</v>
      </c>
      <c r="AO165" s="139" t="s">
        <v>644</v>
      </c>
      <c r="AP165" s="139" t="s">
        <v>911</v>
      </c>
      <c r="AQ165" s="139" t="s">
        <v>592</v>
      </c>
      <c r="AR165" s="139" t="s">
        <v>429</v>
      </c>
      <c r="AS165" s="139" t="s">
        <v>429</v>
      </c>
      <c r="AT165" s="139" t="s">
        <v>593</v>
      </c>
      <c r="AU165" s="139" t="s">
        <v>437</v>
      </c>
      <c r="AV165" s="140">
        <v>2</v>
      </c>
      <c r="AW165" s="139" t="s">
        <v>594</v>
      </c>
      <c r="AX165" s="139" t="s">
        <v>595</v>
      </c>
      <c r="AY165" s="139" t="s">
        <v>722</v>
      </c>
      <c r="AZ165" s="140">
        <v>1</v>
      </c>
      <c r="BA165" s="139" t="s">
        <v>597</v>
      </c>
      <c r="BB165" s="140">
        <v>30000</v>
      </c>
      <c r="BC165" s="140">
        <v>2680485</v>
      </c>
      <c r="BD165" s="140">
        <v>33453.019999999997</v>
      </c>
      <c r="BE165" s="140">
        <v>89.349500000000006</v>
      </c>
      <c r="BF165" s="139" t="s">
        <v>880</v>
      </c>
      <c r="BG165" s="139" t="s">
        <v>583</v>
      </c>
      <c r="BH165" s="139" t="s">
        <v>1171</v>
      </c>
      <c r="BI165" s="139" t="s">
        <v>598</v>
      </c>
      <c r="BJ165" s="139" t="s">
        <v>624</v>
      </c>
      <c r="BK165" s="139" t="s">
        <v>914</v>
      </c>
      <c r="BL165" s="139" t="s">
        <v>583</v>
      </c>
      <c r="BM165" s="139" t="s">
        <v>915</v>
      </c>
      <c r="BN165" s="139" t="s">
        <v>916</v>
      </c>
      <c r="BO165" s="139" t="s">
        <v>917</v>
      </c>
      <c r="BP165" s="139" t="s">
        <v>918</v>
      </c>
      <c r="BQ165" s="139" t="s">
        <v>772</v>
      </c>
      <c r="BR165" s="140">
        <v>1</v>
      </c>
      <c r="BS165" s="139" t="s">
        <v>1247</v>
      </c>
      <c r="BT165" s="99">
        <f t="shared" si="9"/>
        <v>0</v>
      </c>
      <c r="BU165" s="99">
        <f t="shared" si="9"/>
        <v>1</v>
      </c>
      <c r="BV165" s="99">
        <f t="shared" si="8"/>
        <v>1</v>
      </c>
      <c r="BW165" s="139" t="s">
        <v>602</v>
      </c>
      <c r="BX165" s="139" t="s">
        <v>1169</v>
      </c>
      <c r="BY165" s="140">
        <v>100</v>
      </c>
      <c r="BZ165" s="140">
        <v>0</v>
      </c>
      <c r="CA165" s="99">
        <v>20000</v>
      </c>
      <c r="CB165" s="140" t="s">
        <v>603</v>
      </c>
      <c r="CC165" s="140">
        <v>0</v>
      </c>
      <c r="CD165" s="140"/>
      <c r="CE165" s="139" t="s">
        <v>577</v>
      </c>
      <c r="CF165" s="139" t="s">
        <v>604</v>
      </c>
      <c r="CG165" s="139" t="s">
        <v>583</v>
      </c>
      <c r="CH165" s="139" t="s">
        <v>583</v>
      </c>
      <c r="CI165" s="139" t="s">
        <v>592</v>
      </c>
      <c r="CJ165" s="140">
        <v>2100</v>
      </c>
      <c r="CK165" s="140" t="s">
        <v>605</v>
      </c>
      <c r="CL165" s="140">
        <v>4000000</v>
      </c>
      <c r="CM165" s="99">
        <v>2000</v>
      </c>
      <c r="CN165" s="140">
        <v>0</v>
      </c>
      <c r="CO165" s="139" t="s">
        <v>583</v>
      </c>
      <c r="CP165" s="139" t="s">
        <v>583</v>
      </c>
      <c r="CQ165" s="140">
        <v>30000</v>
      </c>
      <c r="CR165" s="140">
        <v>2680485</v>
      </c>
      <c r="CS165" s="140">
        <v>0</v>
      </c>
      <c r="CT165" s="140">
        <v>1</v>
      </c>
      <c r="CU165" s="140">
        <v>2725963</v>
      </c>
      <c r="CV165" s="99">
        <v>33453.019999999997</v>
      </c>
      <c r="CW165" s="139" t="s">
        <v>606</v>
      </c>
      <c r="CX165" s="140">
        <v>16.726500000000001</v>
      </c>
      <c r="CY165" s="140"/>
      <c r="CZ165" s="140"/>
      <c r="DA165" s="140" t="s">
        <v>920</v>
      </c>
      <c r="DB165" s="140">
        <v>1260</v>
      </c>
      <c r="DC165" s="140"/>
    </row>
    <row r="166" spans="2:107" ht="11.25" customHeight="1" x14ac:dyDescent="0.15">
      <c r="B166" s="139" t="s">
        <v>577</v>
      </c>
      <c r="C166" s="140" t="s">
        <v>1508</v>
      </c>
      <c r="D166" s="140">
        <v>4</v>
      </c>
      <c r="E166" s="139" t="s">
        <v>1509</v>
      </c>
      <c r="F166" s="139" t="s">
        <v>618</v>
      </c>
      <c r="G166" s="140" t="s">
        <v>1508</v>
      </c>
      <c r="H166" s="139" t="s">
        <v>1510</v>
      </c>
      <c r="I166" s="140" t="s">
        <v>421</v>
      </c>
      <c r="J166" s="139" t="s">
        <v>582</v>
      </c>
      <c r="K166" s="139" t="s">
        <v>583</v>
      </c>
      <c r="L166" s="139" t="s">
        <v>583</v>
      </c>
      <c r="M166" s="139" t="s">
        <v>583</v>
      </c>
      <c r="N166" s="139" t="s">
        <v>441</v>
      </c>
      <c r="O166" s="139" t="s">
        <v>930</v>
      </c>
      <c r="P166" s="139" t="s">
        <v>583</v>
      </c>
      <c r="Q166" s="139" t="s">
        <v>583</v>
      </c>
      <c r="R166" s="140">
        <v>1</v>
      </c>
      <c r="S166" s="140">
        <v>0</v>
      </c>
      <c r="T166" s="140">
        <v>1</v>
      </c>
      <c r="U166" s="140">
        <v>363</v>
      </c>
      <c r="V166" s="139" t="s">
        <v>583</v>
      </c>
      <c r="W166" s="139" t="s">
        <v>583</v>
      </c>
      <c r="X166" s="139" t="s">
        <v>632</v>
      </c>
      <c r="Y166" s="139" t="s">
        <v>633</v>
      </c>
      <c r="Z166" s="139" t="s">
        <v>583</v>
      </c>
      <c r="AA166" s="139" t="s">
        <v>583</v>
      </c>
      <c r="AB166" s="139" t="s">
        <v>583</v>
      </c>
      <c r="AC166" s="139" t="s">
        <v>583</v>
      </c>
      <c r="AD166" s="139" t="s">
        <v>632</v>
      </c>
      <c r="AE166" s="139" t="s">
        <v>633</v>
      </c>
      <c r="AF166" s="139" t="s">
        <v>583</v>
      </c>
      <c r="AG166" s="139" t="s">
        <v>583</v>
      </c>
      <c r="AH166" s="139" t="s">
        <v>621</v>
      </c>
      <c r="AI166" s="139" t="s">
        <v>430</v>
      </c>
      <c r="AJ166" s="140">
        <v>9730160.5500000007</v>
      </c>
      <c r="AK166" s="139" t="s">
        <v>583</v>
      </c>
      <c r="AL166" s="139" t="s">
        <v>583</v>
      </c>
      <c r="AM166" s="139" t="s">
        <v>632</v>
      </c>
      <c r="AN166" s="139" t="s">
        <v>633</v>
      </c>
      <c r="AO166" s="139" t="s">
        <v>583</v>
      </c>
      <c r="AP166" s="139" t="s">
        <v>583</v>
      </c>
      <c r="AQ166" s="139" t="s">
        <v>621</v>
      </c>
      <c r="AR166" s="139" t="s">
        <v>430</v>
      </c>
      <c r="AS166" s="139" t="s">
        <v>430</v>
      </c>
      <c r="AT166" s="139" t="s">
        <v>593</v>
      </c>
      <c r="AU166" s="139" t="s">
        <v>437</v>
      </c>
      <c r="AV166" s="140">
        <v>0</v>
      </c>
      <c r="AW166" s="139" t="s">
        <v>594</v>
      </c>
      <c r="AX166" s="139" t="s">
        <v>622</v>
      </c>
      <c r="AY166" s="139" t="s">
        <v>623</v>
      </c>
      <c r="AZ166" s="140">
        <v>1</v>
      </c>
      <c r="BA166" s="139" t="s">
        <v>597</v>
      </c>
      <c r="BB166" s="140">
        <v>108900</v>
      </c>
      <c r="BC166" s="140">
        <v>9730161</v>
      </c>
      <c r="BD166" s="140">
        <v>119408.55</v>
      </c>
      <c r="BE166" s="140">
        <v>89.349500000000006</v>
      </c>
      <c r="BF166" s="139" t="s">
        <v>880</v>
      </c>
      <c r="BG166" s="139" t="s">
        <v>582</v>
      </c>
      <c r="BH166" s="139" t="s">
        <v>931</v>
      </c>
      <c r="BI166" s="139" t="s">
        <v>598</v>
      </c>
      <c r="BJ166" s="139" t="s">
        <v>624</v>
      </c>
      <c r="BK166" s="139" t="s">
        <v>882</v>
      </c>
      <c r="BL166" s="139" t="s">
        <v>583</v>
      </c>
      <c r="BM166" s="139" t="s">
        <v>883</v>
      </c>
      <c r="BN166" s="139" t="s">
        <v>583</v>
      </c>
      <c r="BO166" s="139" t="s">
        <v>623</v>
      </c>
      <c r="BP166" s="139" t="s">
        <v>884</v>
      </c>
      <c r="BQ166" s="139" t="s">
        <v>625</v>
      </c>
      <c r="BR166" s="140">
        <v>1</v>
      </c>
      <c r="BS166" s="139" t="s">
        <v>634</v>
      </c>
      <c r="BT166" s="99">
        <f t="shared" si="9"/>
        <v>0</v>
      </c>
      <c r="BU166" s="99">
        <f t="shared" si="9"/>
        <v>1</v>
      </c>
      <c r="BV166" s="99">
        <f t="shared" si="8"/>
        <v>1</v>
      </c>
      <c r="BW166" s="139" t="s">
        <v>635</v>
      </c>
      <c r="BX166" s="139" t="s">
        <v>441</v>
      </c>
      <c r="BY166" s="140">
        <v>363</v>
      </c>
      <c r="BZ166" s="140">
        <v>0</v>
      </c>
      <c r="CA166" s="99">
        <v>72600</v>
      </c>
      <c r="CB166" s="140" t="s">
        <v>603</v>
      </c>
      <c r="CC166" s="140">
        <v>0</v>
      </c>
      <c r="CD166" s="140"/>
      <c r="CE166" s="139" t="s">
        <v>577</v>
      </c>
      <c r="CF166" s="139" t="s">
        <v>604</v>
      </c>
      <c r="CG166" s="139" t="s">
        <v>583</v>
      </c>
      <c r="CH166" s="139" t="s">
        <v>583</v>
      </c>
      <c r="CI166" s="139" t="s">
        <v>621</v>
      </c>
      <c r="CJ166" s="140">
        <v>7260</v>
      </c>
      <c r="CK166" s="140" t="s">
        <v>605</v>
      </c>
      <c r="CL166" s="140">
        <v>4000000</v>
      </c>
      <c r="CM166" s="99">
        <v>6534</v>
      </c>
      <c r="CN166" s="140">
        <v>0</v>
      </c>
      <c r="CO166" s="139" t="s">
        <v>583</v>
      </c>
      <c r="CP166" s="139" t="s">
        <v>583</v>
      </c>
      <c r="CQ166" s="140">
        <v>108900</v>
      </c>
      <c r="CR166" s="140">
        <v>9730161</v>
      </c>
      <c r="CS166" s="140">
        <v>0</v>
      </c>
      <c r="CT166" s="140">
        <v>1</v>
      </c>
      <c r="CU166" s="140">
        <v>9730160.5500000007</v>
      </c>
      <c r="CV166" s="99">
        <v>119408.55</v>
      </c>
      <c r="CW166" s="139" t="s">
        <v>606</v>
      </c>
      <c r="CX166" s="140">
        <v>18.274999999999999</v>
      </c>
      <c r="CY166" s="140"/>
      <c r="CZ166" s="140"/>
      <c r="DA166" s="140" t="s">
        <v>933</v>
      </c>
      <c r="DB166" s="140">
        <v>1144</v>
      </c>
      <c r="DC166" s="140"/>
    </row>
    <row r="167" spans="2:107" ht="11.25" customHeight="1" x14ac:dyDescent="0.15">
      <c r="B167" s="139" t="s">
        <v>577</v>
      </c>
      <c r="C167" s="140" t="s">
        <v>1511</v>
      </c>
      <c r="D167" s="140">
        <v>4</v>
      </c>
      <c r="E167" s="139" t="s">
        <v>1512</v>
      </c>
      <c r="F167" s="139" t="s">
        <v>580</v>
      </c>
      <c r="G167" s="140" t="s">
        <v>1511</v>
      </c>
      <c r="H167" s="139" t="s">
        <v>1513</v>
      </c>
      <c r="I167" s="140" t="s">
        <v>421</v>
      </c>
      <c r="J167" s="139" t="s">
        <v>582</v>
      </c>
      <c r="K167" s="139" t="s">
        <v>583</v>
      </c>
      <c r="L167" s="139" t="s">
        <v>583</v>
      </c>
      <c r="M167" s="139" t="s">
        <v>583</v>
      </c>
      <c r="N167" s="139" t="s">
        <v>1514</v>
      </c>
      <c r="O167" s="139" t="s">
        <v>1515</v>
      </c>
      <c r="P167" s="139" t="s">
        <v>583</v>
      </c>
      <c r="Q167" s="139" t="s">
        <v>583</v>
      </c>
      <c r="R167" s="140">
        <v>1</v>
      </c>
      <c r="S167" s="140">
        <v>0</v>
      </c>
      <c r="T167" s="140">
        <v>1</v>
      </c>
      <c r="U167" s="140">
        <v>14</v>
      </c>
      <c r="V167" s="139" t="s">
        <v>859</v>
      </c>
      <c r="W167" s="139" t="s">
        <v>860</v>
      </c>
      <c r="X167" s="139" t="s">
        <v>861</v>
      </c>
      <c r="Y167" s="139" t="s">
        <v>862</v>
      </c>
      <c r="Z167" s="139" t="s">
        <v>590</v>
      </c>
      <c r="AA167" s="139" t="s">
        <v>839</v>
      </c>
      <c r="AB167" s="139" t="s">
        <v>859</v>
      </c>
      <c r="AC167" s="139" t="s">
        <v>860</v>
      </c>
      <c r="AD167" s="139" t="s">
        <v>861</v>
      </c>
      <c r="AE167" s="139" t="s">
        <v>862</v>
      </c>
      <c r="AF167" s="139" t="s">
        <v>590</v>
      </c>
      <c r="AG167" s="139" t="s">
        <v>839</v>
      </c>
      <c r="AH167" s="139" t="s">
        <v>759</v>
      </c>
      <c r="AI167" s="139" t="s">
        <v>434</v>
      </c>
      <c r="AJ167" s="140">
        <v>11889739.02</v>
      </c>
      <c r="AK167" s="139" t="s">
        <v>859</v>
      </c>
      <c r="AL167" s="139" t="s">
        <v>860</v>
      </c>
      <c r="AM167" s="139" t="s">
        <v>861</v>
      </c>
      <c r="AN167" s="139" t="s">
        <v>862</v>
      </c>
      <c r="AO167" s="139" t="s">
        <v>590</v>
      </c>
      <c r="AP167" s="139" t="s">
        <v>839</v>
      </c>
      <c r="AQ167" s="139" t="s">
        <v>759</v>
      </c>
      <c r="AR167" s="139" t="s">
        <v>434</v>
      </c>
      <c r="AS167" s="139" t="s">
        <v>434</v>
      </c>
      <c r="AT167" s="139" t="s">
        <v>593</v>
      </c>
      <c r="AU167" s="139" t="s">
        <v>437</v>
      </c>
      <c r="AV167" s="140">
        <v>2</v>
      </c>
      <c r="AW167" s="139" t="s">
        <v>594</v>
      </c>
      <c r="AX167" s="139" t="s">
        <v>595</v>
      </c>
      <c r="AY167" s="139" t="s">
        <v>840</v>
      </c>
      <c r="AZ167" s="140">
        <v>1</v>
      </c>
      <c r="BA167" s="139" t="s">
        <v>597</v>
      </c>
      <c r="BB167" s="140">
        <v>129600</v>
      </c>
      <c r="BC167" s="140">
        <v>11594508</v>
      </c>
      <c r="BD167" s="140">
        <v>145674.01999999999</v>
      </c>
      <c r="BE167" s="140">
        <v>89.463800000000006</v>
      </c>
      <c r="BF167" s="139" t="s">
        <v>880</v>
      </c>
      <c r="BG167" s="139" t="s">
        <v>863</v>
      </c>
      <c r="BH167" s="139" t="s">
        <v>1122</v>
      </c>
      <c r="BI167" s="139" t="s">
        <v>598</v>
      </c>
      <c r="BJ167" s="139" t="s">
        <v>599</v>
      </c>
      <c r="BK167" s="139" t="s">
        <v>583</v>
      </c>
      <c r="BL167" s="139" t="s">
        <v>583</v>
      </c>
      <c r="BM167" s="139" t="s">
        <v>583</v>
      </c>
      <c r="BN167" s="139" t="s">
        <v>842</v>
      </c>
      <c r="BO167" s="139" t="s">
        <v>843</v>
      </c>
      <c r="BP167" s="139" t="s">
        <v>925</v>
      </c>
      <c r="BQ167" s="139" t="s">
        <v>723</v>
      </c>
      <c r="BR167" s="140">
        <v>1</v>
      </c>
      <c r="BS167" s="139" t="s">
        <v>864</v>
      </c>
      <c r="BT167" s="99">
        <f t="shared" si="9"/>
        <v>1</v>
      </c>
      <c r="BU167" s="99">
        <f t="shared" si="9"/>
        <v>0</v>
      </c>
      <c r="BV167" s="99">
        <f t="shared" si="8"/>
        <v>1</v>
      </c>
      <c r="BW167" s="139" t="s">
        <v>602</v>
      </c>
      <c r="BX167" s="139" t="s">
        <v>1470</v>
      </c>
      <c r="BY167" s="140">
        <v>14</v>
      </c>
      <c r="BZ167" s="140">
        <v>0</v>
      </c>
      <c r="CA167" s="99">
        <v>81000</v>
      </c>
      <c r="CB167" s="140" t="s">
        <v>603</v>
      </c>
      <c r="CC167" s="140">
        <v>0</v>
      </c>
      <c r="CD167" s="140"/>
      <c r="CE167" s="139" t="s">
        <v>577</v>
      </c>
      <c r="CF167" s="139" t="s">
        <v>604</v>
      </c>
      <c r="CG167" s="139" t="s">
        <v>583</v>
      </c>
      <c r="CH167" s="139" t="s">
        <v>583</v>
      </c>
      <c r="CI167" s="139" t="s">
        <v>759</v>
      </c>
      <c r="CJ167" s="140">
        <v>8505</v>
      </c>
      <c r="CK167" s="140" t="s">
        <v>605</v>
      </c>
      <c r="CL167" s="140">
        <v>4000000</v>
      </c>
      <c r="CM167" s="99">
        <v>7898</v>
      </c>
      <c r="CN167" s="140">
        <v>0</v>
      </c>
      <c r="CO167" s="139" t="s">
        <v>583</v>
      </c>
      <c r="CP167" s="139" t="s">
        <v>583</v>
      </c>
      <c r="CQ167" s="140">
        <v>129600</v>
      </c>
      <c r="CR167" s="140">
        <v>11594508</v>
      </c>
      <c r="CS167" s="140">
        <v>0</v>
      </c>
      <c r="CT167" s="140">
        <v>1</v>
      </c>
      <c r="CU167" s="140">
        <v>11889739.02</v>
      </c>
      <c r="CV167" s="99">
        <v>145674.01999999999</v>
      </c>
      <c r="CW167" s="139" t="s">
        <v>606</v>
      </c>
      <c r="CX167" s="140">
        <v>18.444400000000002</v>
      </c>
      <c r="CY167" s="140">
        <v>1535</v>
      </c>
      <c r="CZ167" s="140" t="s">
        <v>1118</v>
      </c>
      <c r="DA167" s="140" t="s">
        <v>1119</v>
      </c>
      <c r="DB167" s="140">
        <v>1370</v>
      </c>
      <c r="DC167" s="140"/>
    </row>
    <row r="168" spans="2:107" ht="11.25" customHeight="1" x14ac:dyDescent="0.15">
      <c r="B168" s="139" t="s">
        <v>577</v>
      </c>
      <c r="C168" s="140" t="s">
        <v>1516</v>
      </c>
      <c r="D168" s="140">
        <v>4</v>
      </c>
      <c r="E168" s="139" t="s">
        <v>1517</v>
      </c>
      <c r="F168" s="139" t="s">
        <v>729</v>
      </c>
      <c r="G168" s="140" t="s">
        <v>1516</v>
      </c>
      <c r="H168" s="139" t="s">
        <v>1518</v>
      </c>
      <c r="I168" s="140" t="s">
        <v>421</v>
      </c>
      <c r="J168" s="139" t="s">
        <v>582</v>
      </c>
      <c r="K168" s="139" t="s">
        <v>583</v>
      </c>
      <c r="L168" s="139" t="s">
        <v>583</v>
      </c>
      <c r="M168" s="139" t="s">
        <v>583</v>
      </c>
      <c r="N168" s="139" t="s">
        <v>731</v>
      </c>
      <c r="O168" s="139" t="s">
        <v>1503</v>
      </c>
      <c r="P168" s="139" t="s">
        <v>583</v>
      </c>
      <c r="Q168" s="139" t="s">
        <v>583</v>
      </c>
      <c r="R168" s="140">
        <v>1</v>
      </c>
      <c r="S168" s="140">
        <v>0</v>
      </c>
      <c r="T168" s="140">
        <v>1</v>
      </c>
      <c r="U168" s="140">
        <v>357</v>
      </c>
      <c r="V168" s="139" t="s">
        <v>691</v>
      </c>
      <c r="W168" s="139" t="s">
        <v>692</v>
      </c>
      <c r="X168" s="139" t="s">
        <v>693</v>
      </c>
      <c r="Y168" s="139" t="s">
        <v>694</v>
      </c>
      <c r="Z168" s="139" t="s">
        <v>695</v>
      </c>
      <c r="AA168" s="139" t="s">
        <v>696</v>
      </c>
      <c r="AB168" s="139" t="s">
        <v>691</v>
      </c>
      <c r="AC168" s="139" t="s">
        <v>692</v>
      </c>
      <c r="AD168" s="139" t="s">
        <v>693</v>
      </c>
      <c r="AE168" s="139" t="s">
        <v>694</v>
      </c>
      <c r="AF168" s="139" t="s">
        <v>695</v>
      </c>
      <c r="AG168" s="139" t="s">
        <v>696</v>
      </c>
      <c r="AH168" s="139" t="s">
        <v>733</v>
      </c>
      <c r="AI168" s="139" t="s">
        <v>432</v>
      </c>
      <c r="AJ168" s="140">
        <v>11540097.98</v>
      </c>
      <c r="AK168" s="139" t="s">
        <v>691</v>
      </c>
      <c r="AL168" s="139" t="s">
        <v>692</v>
      </c>
      <c r="AM168" s="139" t="s">
        <v>693</v>
      </c>
      <c r="AN168" s="139" t="s">
        <v>694</v>
      </c>
      <c r="AO168" s="139" t="s">
        <v>695</v>
      </c>
      <c r="AP168" s="139" t="s">
        <v>696</v>
      </c>
      <c r="AQ168" s="139" t="s">
        <v>733</v>
      </c>
      <c r="AR168" s="139" t="s">
        <v>432</v>
      </c>
      <c r="AS168" s="139" t="s">
        <v>432</v>
      </c>
      <c r="AT168" s="139" t="s">
        <v>593</v>
      </c>
      <c r="AU168" s="139" t="s">
        <v>437</v>
      </c>
      <c r="AV168" s="140">
        <v>2</v>
      </c>
      <c r="AW168" s="139" t="s">
        <v>594</v>
      </c>
      <c r="AX168" s="139" t="s">
        <v>653</v>
      </c>
      <c r="AY168" s="139" t="s">
        <v>734</v>
      </c>
      <c r="AZ168" s="140">
        <v>1</v>
      </c>
      <c r="BA168" s="139" t="s">
        <v>597</v>
      </c>
      <c r="BB168" s="140">
        <v>129122</v>
      </c>
      <c r="BC168" s="140">
        <v>11540098</v>
      </c>
      <c r="BD168" s="140">
        <v>141327.67999999999</v>
      </c>
      <c r="BE168" s="140">
        <v>89.373599999999996</v>
      </c>
      <c r="BF168" s="139" t="s">
        <v>880</v>
      </c>
      <c r="BG168" s="139" t="s">
        <v>583</v>
      </c>
      <c r="BH168" s="139" t="s">
        <v>736</v>
      </c>
      <c r="BI168" s="139" t="s">
        <v>598</v>
      </c>
      <c r="BJ168" s="139" t="s">
        <v>624</v>
      </c>
      <c r="BK168" s="139" t="s">
        <v>890</v>
      </c>
      <c r="BL168" s="139" t="s">
        <v>583</v>
      </c>
      <c r="BM168" s="139" t="s">
        <v>583</v>
      </c>
      <c r="BN168" s="139" t="s">
        <v>738</v>
      </c>
      <c r="BO168" s="139" t="s">
        <v>1476</v>
      </c>
      <c r="BP168" s="139" t="s">
        <v>1477</v>
      </c>
      <c r="BQ168" s="139" t="s">
        <v>741</v>
      </c>
      <c r="BR168" s="140">
        <v>1</v>
      </c>
      <c r="BS168" s="139" t="s">
        <v>742</v>
      </c>
      <c r="BT168" s="99">
        <f t="shared" ref="BT168:BU187" si="10">MIN(1,IFERROR(SEARCH(BT$2,$BS168),0))</f>
        <v>0</v>
      </c>
      <c r="BU168" s="99">
        <f t="shared" si="10"/>
        <v>0</v>
      </c>
      <c r="BV168" s="99">
        <f t="shared" si="8"/>
        <v>0</v>
      </c>
      <c r="BW168" s="139" t="s">
        <v>743</v>
      </c>
      <c r="BX168" s="139" t="s">
        <v>731</v>
      </c>
      <c r="BY168" s="140">
        <v>357</v>
      </c>
      <c r="BZ168" s="140">
        <v>0</v>
      </c>
      <c r="CA168" s="99">
        <v>71400</v>
      </c>
      <c r="CB168" s="140" t="s">
        <v>603</v>
      </c>
      <c r="CC168" s="140">
        <v>0</v>
      </c>
      <c r="CD168" s="140"/>
      <c r="CE168" s="139" t="s">
        <v>577</v>
      </c>
      <c r="CF168" s="139" t="s">
        <v>604</v>
      </c>
      <c r="CG168" s="139" t="s">
        <v>583</v>
      </c>
      <c r="CH168" s="139" t="s">
        <v>583</v>
      </c>
      <c r="CI168" s="139" t="s">
        <v>733</v>
      </c>
      <c r="CJ168" s="140">
        <v>7854</v>
      </c>
      <c r="CK168" s="140" t="s">
        <v>605</v>
      </c>
      <c r="CL168" s="140">
        <v>4000000</v>
      </c>
      <c r="CM168" s="99">
        <v>7140</v>
      </c>
      <c r="CN168" s="140">
        <v>0</v>
      </c>
      <c r="CO168" s="139" t="s">
        <v>583</v>
      </c>
      <c r="CP168" s="139" t="s">
        <v>583</v>
      </c>
      <c r="CQ168" s="140">
        <v>129122</v>
      </c>
      <c r="CR168" s="140">
        <v>11540098</v>
      </c>
      <c r="CS168" s="140">
        <v>0</v>
      </c>
      <c r="CT168" s="140">
        <v>1</v>
      </c>
      <c r="CU168" s="140">
        <v>11540097.98</v>
      </c>
      <c r="CV168" s="99">
        <v>141327.67999999999</v>
      </c>
      <c r="CW168" s="139" t="s">
        <v>606</v>
      </c>
      <c r="CX168" s="140">
        <v>19.793800000000001</v>
      </c>
      <c r="CY168" s="140">
        <v>933</v>
      </c>
      <c r="CZ168" s="140" t="s">
        <v>894</v>
      </c>
      <c r="DA168" s="140" t="s">
        <v>1480</v>
      </c>
      <c r="DB168" s="140">
        <v>163</v>
      </c>
      <c r="DC168" s="140"/>
    </row>
    <row r="169" spans="2:107" ht="11.25" customHeight="1" x14ac:dyDescent="0.15">
      <c r="B169" s="139" t="s">
        <v>577</v>
      </c>
      <c r="C169" s="140" t="s">
        <v>1519</v>
      </c>
      <c r="D169" s="140">
        <v>4</v>
      </c>
      <c r="E169" s="139" t="s">
        <v>1520</v>
      </c>
      <c r="F169" s="139" t="s">
        <v>580</v>
      </c>
      <c r="G169" s="140" t="s">
        <v>1519</v>
      </c>
      <c r="H169" s="139" t="s">
        <v>1521</v>
      </c>
      <c r="I169" s="140" t="s">
        <v>421</v>
      </c>
      <c r="J169" s="139" t="s">
        <v>582</v>
      </c>
      <c r="K169" s="139" t="s">
        <v>583</v>
      </c>
      <c r="L169" s="139" t="s">
        <v>583</v>
      </c>
      <c r="M169" s="139" t="s">
        <v>583</v>
      </c>
      <c r="N169" s="139" t="s">
        <v>1169</v>
      </c>
      <c r="O169" s="139" t="s">
        <v>1246</v>
      </c>
      <c r="P169" s="139" t="s">
        <v>583</v>
      </c>
      <c r="Q169" s="139" t="s">
        <v>583</v>
      </c>
      <c r="R169" s="140">
        <v>1</v>
      </c>
      <c r="S169" s="140">
        <v>0</v>
      </c>
      <c r="T169" s="140">
        <v>1</v>
      </c>
      <c r="U169" s="140">
        <v>75</v>
      </c>
      <c r="V169" s="139" t="s">
        <v>907</v>
      </c>
      <c r="W169" s="139" t="s">
        <v>908</v>
      </c>
      <c r="X169" s="139" t="s">
        <v>909</v>
      </c>
      <c r="Y169" s="139" t="s">
        <v>910</v>
      </c>
      <c r="Z169" s="139" t="s">
        <v>644</v>
      </c>
      <c r="AA169" s="139" t="s">
        <v>911</v>
      </c>
      <c r="AB169" s="139" t="s">
        <v>907</v>
      </c>
      <c r="AC169" s="139" t="s">
        <v>908</v>
      </c>
      <c r="AD169" s="139" t="s">
        <v>909</v>
      </c>
      <c r="AE169" s="139" t="s">
        <v>910</v>
      </c>
      <c r="AF169" s="139" t="s">
        <v>644</v>
      </c>
      <c r="AG169" s="139" t="s">
        <v>911</v>
      </c>
      <c r="AH169" s="139" t="s">
        <v>592</v>
      </c>
      <c r="AI169" s="139" t="s">
        <v>429</v>
      </c>
      <c r="AJ169" s="140">
        <v>2039990.61</v>
      </c>
      <c r="AK169" s="139" t="s">
        <v>907</v>
      </c>
      <c r="AL169" s="139" t="s">
        <v>908</v>
      </c>
      <c r="AM169" s="139" t="s">
        <v>909</v>
      </c>
      <c r="AN169" s="139" t="s">
        <v>910</v>
      </c>
      <c r="AO169" s="139" t="s">
        <v>644</v>
      </c>
      <c r="AP169" s="139" t="s">
        <v>911</v>
      </c>
      <c r="AQ169" s="139" t="s">
        <v>592</v>
      </c>
      <c r="AR169" s="139" t="s">
        <v>429</v>
      </c>
      <c r="AS169" s="139" t="s">
        <v>429</v>
      </c>
      <c r="AT169" s="139" t="s">
        <v>593</v>
      </c>
      <c r="AU169" s="139" t="s">
        <v>437</v>
      </c>
      <c r="AV169" s="140">
        <v>2</v>
      </c>
      <c r="AW169" s="139" t="s">
        <v>594</v>
      </c>
      <c r="AX169" s="139" t="s">
        <v>595</v>
      </c>
      <c r="AY169" s="139" t="s">
        <v>722</v>
      </c>
      <c r="AZ169" s="140">
        <v>1</v>
      </c>
      <c r="BA169" s="139" t="s">
        <v>597</v>
      </c>
      <c r="BB169" s="140">
        <v>22500</v>
      </c>
      <c r="BC169" s="140">
        <v>2017328</v>
      </c>
      <c r="BD169" s="140">
        <v>24991.34</v>
      </c>
      <c r="BE169" s="140">
        <v>89.659000000000006</v>
      </c>
      <c r="BF169" s="139" t="s">
        <v>880</v>
      </c>
      <c r="BG169" s="139" t="s">
        <v>583</v>
      </c>
      <c r="BH169" s="139" t="s">
        <v>1171</v>
      </c>
      <c r="BI169" s="139" t="s">
        <v>598</v>
      </c>
      <c r="BJ169" s="139" t="s">
        <v>624</v>
      </c>
      <c r="BK169" s="139" t="s">
        <v>914</v>
      </c>
      <c r="BL169" s="139" t="s">
        <v>583</v>
      </c>
      <c r="BM169" s="139" t="s">
        <v>915</v>
      </c>
      <c r="BN169" s="139" t="s">
        <v>916</v>
      </c>
      <c r="BO169" s="139" t="s">
        <v>917</v>
      </c>
      <c r="BP169" s="139" t="s">
        <v>918</v>
      </c>
      <c r="BQ169" s="139" t="s">
        <v>772</v>
      </c>
      <c r="BR169" s="140">
        <v>1</v>
      </c>
      <c r="BS169" s="139" t="s">
        <v>1247</v>
      </c>
      <c r="BT169" s="99">
        <f t="shared" si="10"/>
        <v>0</v>
      </c>
      <c r="BU169" s="99">
        <f t="shared" si="10"/>
        <v>1</v>
      </c>
      <c r="BV169" s="99">
        <f t="shared" si="8"/>
        <v>1</v>
      </c>
      <c r="BW169" s="139" t="s">
        <v>602</v>
      </c>
      <c r="BX169" s="139" t="s">
        <v>1169</v>
      </c>
      <c r="BY169" s="140">
        <v>75</v>
      </c>
      <c r="BZ169" s="140">
        <v>0</v>
      </c>
      <c r="CA169" s="99">
        <v>15000</v>
      </c>
      <c r="CB169" s="140" t="s">
        <v>603</v>
      </c>
      <c r="CC169" s="140">
        <v>0</v>
      </c>
      <c r="CD169" s="140"/>
      <c r="CE169" s="139" t="s">
        <v>577</v>
      </c>
      <c r="CF169" s="139" t="s">
        <v>604</v>
      </c>
      <c r="CG169" s="139" t="s">
        <v>583</v>
      </c>
      <c r="CH169" s="139" t="s">
        <v>583</v>
      </c>
      <c r="CI169" s="139" t="s">
        <v>592</v>
      </c>
      <c r="CJ169" s="140">
        <v>1725</v>
      </c>
      <c r="CK169" s="140" t="s">
        <v>605</v>
      </c>
      <c r="CL169" s="140">
        <v>4000000</v>
      </c>
      <c r="CM169" s="99">
        <v>1575</v>
      </c>
      <c r="CN169" s="140">
        <v>0</v>
      </c>
      <c r="CO169" s="139" t="s">
        <v>583</v>
      </c>
      <c r="CP169" s="139" t="s">
        <v>583</v>
      </c>
      <c r="CQ169" s="140">
        <v>22500</v>
      </c>
      <c r="CR169" s="140">
        <v>2017328</v>
      </c>
      <c r="CS169" s="140">
        <v>0</v>
      </c>
      <c r="CT169" s="140">
        <v>1</v>
      </c>
      <c r="CU169" s="140">
        <v>2039990.61</v>
      </c>
      <c r="CV169" s="99">
        <v>24991.34</v>
      </c>
      <c r="CW169" s="139" t="s">
        <v>606</v>
      </c>
      <c r="CX169" s="140">
        <v>15.8675</v>
      </c>
      <c r="CY169" s="140"/>
      <c r="CZ169" s="140"/>
      <c r="DA169" s="140" t="s">
        <v>920</v>
      </c>
      <c r="DB169" s="140">
        <v>1234</v>
      </c>
      <c r="DC169" s="140"/>
    </row>
    <row r="170" spans="2:107" ht="11.25" customHeight="1" x14ac:dyDescent="0.15">
      <c r="B170" s="139" t="s">
        <v>577</v>
      </c>
      <c r="C170" s="140" t="s">
        <v>1519</v>
      </c>
      <c r="D170" s="140">
        <v>4</v>
      </c>
      <c r="E170" s="139" t="s">
        <v>1522</v>
      </c>
      <c r="F170" s="139" t="s">
        <v>618</v>
      </c>
      <c r="G170" s="140" t="s">
        <v>1519</v>
      </c>
      <c r="H170" s="139" t="s">
        <v>1523</v>
      </c>
      <c r="I170" s="140" t="s">
        <v>421</v>
      </c>
      <c r="J170" s="139" t="s">
        <v>582</v>
      </c>
      <c r="K170" s="139" t="s">
        <v>583</v>
      </c>
      <c r="L170" s="139" t="s">
        <v>583</v>
      </c>
      <c r="M170" s="139" t="s">
        <v>583</v>
      </c>
      <c r="N170" s="139" t="s">
        <v>441</v>
      </c>
      <c r="O170" s="139" t="s">
        <v>930</v>
      </c>
      <c r="P170" s="139" t="s">
        <v>583</v>
      </c>
      <c r="Q170" s="139" t="s">
        <v>583</v>
      </c>
      <c r="R170" s="140">
        <v>1</v>
      </c>
      <c r="S170" s="140">
        <v>0</v>
      </c>
      <c r="T170" s="140">
        <v>1</v>
      </c>
      <c r="U170" s="140">
        <v>305</v>
      </c>
      <c r="V170" s="139" t="s">
        <v>709</v>
      </c>
      <c r="W170" s="139" t="s">
        <v>710</v>
      </c>
      <c r="X170" s="139" t="s">
        <v>711</v>
      </c>
      <c r="Y170" s="139" t="s">
        <v>712</v>
      </c>
      <c r="Z170" s="139" t="s">
        <v>713</v>
      </c>
      <c r="AA170" s="139" t="s">
        <v>714</v>
      </c>
      <c r="AB170" s="139" t="s">
        <v>709</v>
      </c>
      <c r="AC170" s="139" t="s">
        <v>710</v>
      </c>
      <c r="AD170" s="139" t="s">
        <v>711</v>
      </c>
      <c r="AE170" s="139" t="s">
        <v>712</v>
      </c>
      <c r="AF170" s="139" t="s">
        <v>713</v>
      </c>
      <c r="AG170" s="139" t="s">
        <v>714</v>
      </c>
      <c r="AH170" s="139" t="s">
        <v>621</v>
      </c>
      <c r="AI170" s="139" t="s">
        <v>430</v>
      </c>
      <c r="AJ170" s="140">
        <v>8477258.4499999993</v>
      </c>
      <c r="AK170" s="139" t="s">
        <v>709</v>
      </c>
      <c r="AL170" s="139" t="s">
        <v>710</v>
      </c>
      <c r="AM170" s="139" t="s">
        <v>711</v>
      </c>
      <c r="AN170" s="139" t="s">
        <v>712</v>
      </c>
      <c r="AO170" s="139" t="s">
        <v>713</v>
      </c>
      <c r="AP170" s="139" t="s">
        <v>714</v>
      </c>
      <c r="AQ170" s="139" t="s">
        <v>621</v>
      </c>
      <c r="AR170" s="139" t="s">
        <v>430</v>
      </c>
      <c r="AS170" s="139" t="s">
        <v>430</v>
      </c>
      <c r="AT170" s="139" t="s">
        <v>593</v>
      </c>
      <c r="AU170" s="139" t="s">
        <v>437</v>
      </c>
      <c r="AV170" s="140">
        <v>0</v>
      </c>
      <c r="AW170" s="139" t="s">
        <v>594</v>
      </c>
      <c r="AX170" s="139" t="s">
        <v>622</v>
      </c>
      <c r="AY170" s="139" t="s">
        <v>623</v>
      </c>
      <c r="AZ170" s="140">
        <v>1</v>
      </c>
      <c r="BA170" s="139" t="s">
        <v>597</v>
      </c>
      <c r="BB170" s="140">
        <v>94550</v>
      </c>
      <c r="BC170" s="140">
        <v>8477258</v>
      </c>
      <c r="BD170" s="140">
        <v>103852.46</v>
      </c>
      <c r="BE170" s="140">
        <v>89.659000000000006</v>
      </c>
      <c r="BF170" s="139" t="s">
        <v>880</v>
      </c>
      <c r="BG170" s="139" t="s">
        <v>582</v>
      </c>
      <c r="BH170" s="139" t="s">
        <v>881</v>
      </c>
      <c r="BI170" s="139" t="s">
        <v>598</v>
      </c>
      <c r="BJ170" s="139" t="s">
        <v>624</v>
      </c>
      <c r="BK170" s="139" t="s">
        <v>882</v>
      </c>
      <c r="BL170" s="139" t="s">
        <v>583</v>
      </c>
      <c r="BM170" s="139" t="s">
        <v>883</v>
      </c>
      <c r="BN170" s="139" t="s">
        <v>583</v>
      </c>
      <c r="BO170" s="139" t="s">
        <v>623</v>
      </c>
      <c r="BP170" s="139" t="s">
        <v>884</v>
      </c>
      <c r="BQ170" s="139" t="s">
        <v>625</v>
      </c>
      <c r="BR170" s="140">
        <v>1</v>
      </c>
      <c r="BS170" s="139" t="s">
        <v>715</v>
      </c>
      <c r="BT170" s="99">
        <f t="shared" si="10"/>
        <v>0</v>
      </c>
      <c r="BU170" s="99">
        <f t="shared" si="10"/>
        <v>1</v>
      </c>
      <c r="BV170" s="99">
        <f t="shared" si="8"/>
        <v>1</v>
      </c>
      <c r="BW170" s="139" t="s">
        <v>635</v>
      </c>
      <c r="BX170" s="139" t="s">
        <v>441</v>
      </c>
      <c r="BY170" s="140">
        <v>305</v>
      </c>
      <c r="BZ170" s="140">
        <v>0</v>
      </c>
      <c r="CA170" s="99">
        <v>61000</v>
      </c>
      <c r="CB170" s="140" t="s">
        <v>603</v>
      </c>
      <c r="CC170" s="140">
        <v>0</v>
      </c>
      <c r="CD170" s="140"/>
      <c r="CE170" s="139" t="s">
        <v>577</v>
      </c>
      <c r="CF170" s="139" t="s">
        <v>604</v>
      </c>
      <c r="CG170" s="139" t="s">
        <v>583</v>
      </c>
      <c r="CH170" s="139" t="s">
        <v>583</v>
      </c>
      <c r="CI170" s="139" t="s">
        <v>621</v>
      </c>
      <c r="CJ170" s="140">
        <v>6100</v>
      </c>
      <c r="CK170" s="140" t="s">
        <v>605</v>
      </c>
      <c r="CL170" s="140">
        <v>4000000</v>
      </c>
      <c r="CM170" s="99">
        <v>5490</v>
      </c>
      <c r="CN170" s="140">
        <v>0</v>
      </c>
      <c r="CO170" s="139" t="s">
        <v>583</v>
      </c>
      <c r="CP170" s="139" t="s">
        <v>583</v>
      </c>
      <c r="CQ170" s="140">
        <v>94550</v>
      </c>
      <c r="CR170" s="140">
        <v>8477258</v>
      </c>
      <c r="CS170" s="140">
        <v>0</v>
      </c>
      <c r="CT170" s="140">
        <v>1</v>
      </c>
      <c r="CU170" s="140">
        <v>8477258.4499999993</v>
      </c>
      <c r="CV170" s="99">
        <v>103852.46</v>
      </c>
      <c r="CW170" s="139" t="s">
        <v>606</v>
      </c>
      <c r="CX170" s="140">
        <v>18.916699999999999</v>
      </c>
      <c r="CY170" s="140"/>
      <c r="CZ170" s="140"/>
      <c r="DA170" s="140" t="s">
        <v>886</v>
      </c>
      <c r="DB170" s="140">
        <v>615</v>
      </c>
      <c r="DC170" s="140"/>
    </row>
    <row r="171" spans="2:107" ht="11.25" customHeight="1" x14ac:dyDescent="0.15">
      <c r="B171" s="139" t="s">
        <v>577</v>
      </c>
      <c r="C171" s="140" t="s">
        <v>1524</v>
      </c>
      <c r="D171" s="140">
        <v>4</v>
      </c>
      <c r="E171" s="139" t="s">
        <v>1525</v>
      </c>
      <c r="F171" s="139" t="s">
        <v>718</v>
      </c>
      <c r="G171" s="140" t="s">
        <v>1524</v>
      </c>
      <c r="H171" s="139" t="s">
        <v>1526</v>
      </c>
      <c r="I171" s="140" t="s">
        <v>421</v>
      </c>
      <c r="J171" s="139" t="s">
        <v>582</v>
      </c>
      <c r="K171" s="139" t="s">
        <v>583</v>
      </c>
      <c r="L171" s="139" t="s">
        <v>583</v>
      </c>
      <c r="M171" s="139" t="s">
        <v>583</v>
      </c>
      <c r="N171" s="139" t="s">
        <v>720</v>
      </c>
      <c r="O171" s="139" t="s">
        <v>1310</v>
      </c>
      <c r="P171" s="139" t="s">
        <v>583</v>
      </c>
      <c r="Q171" s="139" t="s">
        <v>583</v>
      </c>
      <c r="R171" s="140">
        <v>1</v>
      </c>
      <c r="S171" s="140">
        <v>0</v>
      </c>
      <c r="T171" s="140">
        <v>1</v>
      </c>
      <c r="U171" s="140">
        <v>100</v>
      </c>
      <c r="V171" s="139" t="s">
        <v>662</v>
      </c>
      <c r="W171" s="139" t="s">
        <v>663</v>
      </c>
      <c r="X171" s="139" t="s">
        <v>664</v>
      </c>
      <c r="Y171" s="139" t="s">
        <v>665</v>
      </c>
      <c r="Z171" s="139" t="s">
        <v>666</v>
      </c>
      <c r="AA171" s="139" t="s">
        <v>667</v>
      </c>
      <c r="AB171" s="139" t="s">
        <v>662</v>
      </c>
      <c r="AC171" s="139" t="s">
        <v>663</v>
      </c>
      <c r="AD171" s="139" t="s">
        <v>664</v>
      </c>
      <c r="AE171" s="139" t="s">
        <v>665</v>
      </c>
      <c r="AF171" s="139" t="s">
        <v>666</v>
      </c>
      <c r="AG171" s="139" t="s">
        <v>667</v>
      </c>
      <c r="AH171" s="139" t="s">
        <v>592</v>
      </c>
      <c r="AI171" s="139" t="s">
        <v>429</v>
      </c>
      <c r="AJ171" s="140">
        <v>2728353.56</v>
      </c>
      <c r="AK171" s="139" t="s">
        <v>662</v>
      </c>
      <c r="AL171" s="139" t="s">
        <v>663</v>
      </c>
      <c r="AM171" s="139" t="s">
        <v>664</v>
      </c>
      <c r="AN171" s="139" t="s">
        <v>665</v>
      </c>
      <c r="AO171" s="139" t="s">
        <v>666</v>
      </c>
      <c r="AP171" s="139" t="s">
        <v>667</v>
      </c>
      <c r="AQ171" s="139" t="s">
        <v>592</v>
      </c>
      <c r="AR171" s="139" t="s">
        <v>429</v>
      </c>
      <c r="AS171" s="139" t="s">
        <v>429</v>
      </c>
      <c r="AT171" s="139" t="s">
        <v>593</v>
      </c>
      <c r="AU171" s="139" t="s">
        <v>437</v>
      </c>
      <c r="AV171" s="140">
        <v>2</v>
      </c>
      <c r="AW171" s="139" t="s">
        <v>594</v>
      </c>
      <c r="AX171" s="139" t="s">
        <v>595</v>
      </c>
      <c r="AY171" s="139" t="s">
        <v>722</v>
      </c>
      <c r="AZ171" s="140">
        <v>1</v>
      </c>
      <c r="BA171" s="139" t="s">
        <v>597</v>
      </c>
      <c r="BB171" s="140">
        <v>30000</v>
      </c>
      <c r="BC171" s="140">
        <v>2704911</v>
      </c>
      <c r="BD171" s="140">
        <v>33474.879999999997</v>
      </c>
      <c r="BE171" s="140">
        <v>90.163700000000006</v>
      </c>
      <c r="BF171" s="139" t="s">
        <v>880</v>
      </c>
      <c r="BG171" s="139" t="s">
        <v>583</v>
      </c>
      <c r="BH171" s="139" t="s">
        <v>924</v>
      </c>
      <c r="BI171" s="139" t="s">
        <v>598</v>
      </c>
      <c r="BJ171" s="139" t="s">
        <v>599</v>
      </c>
      <c r="BK171" s="139" t="s">
        <v>583</v>
      </c>
      <c r="BL171" s="139" t="s">
        <v>583</v>
      </c>
      <c r="BM171" s="139" t="s">
        <v>583</v>
      </c>
      <c r="BN171" s="139" t="s">
        <v>842</v>
      </c>
      <c r="BO171" s="139" t="s">
        <v>843</v>
      </c>
      <c r="BP171" s="139" t="s">
        <v>925</v>
      </c>
      <c r="BQ171" s="139" t="s">
        <v>723</v>
      </c>
      <c r="BR171" s="140">
        <v>1</v>
      </c>
      <c r="BS171" s="139" t="s">
        <v>724</v>
      </c>
      <c r="BT171" s="99">
        <f t="shared" si="10"/>
        <v>1</v>
      </c>
      <c r="BU171" s="99">
        <f t="shared" si="10"/>
        <v>0</v>
      </c>
      <c r="BV171" s="99">
        <f t="shared" si="8"/>
        <v>1</v>
      </c>
      <c r="BW171" s="139" t="s">
        <v>725</v>
      </c>
      <c r="BX171" s="139" t="s">
        <v>1157</v>
      </c>
      <c r="BY171" s="140">
        <v>100</v>
      </c>
      <c r="BZ171" s="140">
        <v>0</v>
      </c>
      <c r="CA171" s="99">
        <v>20000</v>
      </c>
      <c r="CB171" s="140" t="s">
        <v>603</v>
      </c>
      <c r="CC171" s="140">
        <v>0</v>
      </c>
      <c r="CD171" s="140"/>
      <c r="CE171" s="139" t="s">
        <v>577</v>
      </c>
      <c r="CF171" s="139" t="s">
        <v>604</v>
      </c>
      <c r="CG171" s="139" t="s">
        <v>583</v>
      </c>
      <c r="CH171" s="139" t="s">
        <v>583</v>
      </c>
      <c r="CI171" s="139" t="s">
        <v>592</v>
      </c>
      <c r="CJ171" s="140">
        <v>2300</v>
      </c>
      <c r="CK171" s="140" t="s">
        <v>605</v>
      </c>
      <c r="CL171" s="140">
        <v>4000000</v>
      </c>
      <c r="CM171" s="99">
        <v>2100</v>
      </c>
      <c r="CN171" s="140">
        <v>0</v>
      </c>
      <c r="CO171" s="139" t="s">
        <v>583</v>
      </c>
      <c r="CP171" s="139" t="s">
        <v>583</v>
      </c>
      <c r="CQ171" s="140">
        <v>30000</v>
      </c>
      <c r="CR171" s="140">
        <v>2704911</v>
      </c>
      <c r="CS171" s="140">
        <v>0</v>
      </c>
      <c r="CT171" s="140">
        <v>1</v>
      </c>
      <c r="CU171" s="140">
        <v>2728353.56</v>
      </c>
      <c r="CV171" s="99">
        <v>33474.879999999997</v>
      </c>
      <c r="CW171" s="139" t="s">
        <v>606</v>
      </c>
      <c r="CX171" s="140">
        <v>15.9404</v>
      </c>
      <c r="CY171" s="140"/>
      <c r="CZ171" s="140"/>
      <c r="DA171" s="140" t="s">
        <v>926</v>
      </c>
      <c r="DB171" s="140">
        <v>30</v>
      </c>
      <c r="DC171" s="140"/>
    </row>
    <row r="172" spans="2:107" ht="11.25" customHeight="1" x14ac:dyDescent="0.15">
      <c r="B172" s="139" t="s">
        <v>577</v>
      </c>
      <c r="C172" s="140" t="s">
        <v>1524</v>
      </c>
      <c r="D172" s="140">
        <v>4</v>
      </c>
      <c r="E172" s="139" t="s">
        <v>1527</v>
      </c>
      <c r="F172" s="139" t="s">
        <v>580</v>
      </c>
      <c r="G172" s="140" t="s">
        <v>1524</v>
      </c>
      <c r="H172" s="139" t="s">
        <v>1528</v>
      </c>
      <c r="I172" s="140" t="s">
        <v>421</v>
      </c>
      <c r="J172" s="139" t="s">
        <v>582</v>
      </c>
      <c r="K172" s="139" t="s">
        <v>583</v>
      </c>
      <c r="L172" s="139" t="s">
        <v>583</v>
      </c>
      <c r="M172" s="139" t="s">
        <v>583</v>
      </c>
      <c r="N172" s="139" t="s">
        <v>1529</v>
      </c>
      <c r="O172" s="139" t="s">
        <v>1316</v>
      </c>
      <c r="P172" s="139" t="s">
        <v>583</v>
      </c>
      <c r="Q172" s="139" t="s">
        <v>583</v>
      </c>
      <c r="R172" s="140">
        <v>1</v>
      </c>
      <c r="S172" s="140">
        <v>0</v>
      </c>
      <c r="T172" s="140">
        <v>1</v>
      </c>
      <c r="U172" s="140">
        <v>13</v>
      </c>
      <c r="V172" s="139" t="s">
        <v>859</v>
      </c>
      <c r="W172" s="139" t="s">
        <v>860</v>
      </c>
      <c r="X172" s="139" t="s">
        <v>861</v>
      </c>
      <c r="Y172" s="139" t="s">
        <v>862</v>
      </c>
      <c r="Z172" s="139" t="s">
        <v>590</v>
      </c>
      <c r="AA172" s="139" t="s">
        <v>839</v>
      </c>
      <c r="AB172" s="139" t="s">
        <v>859</v>
      </c>
      <c r="AC172" s="139" t="s">
        <v>860</v>
      </c>
      <c r="AD172" s="139" t="s">
        <v>861</v>
      </c>
      <c r="AE172" s="139" t="s">
        <v>862</v>
      </c>
      <c r="AF172" s="139" t="s">
        <v>590</v>
      </c>
      <c r="AG172" s="139" t="s">
        <v>839</v>
      </c>
      <c r="AH172" s="139" t="s">
        <v>759</v>
      </c>
      <c r="AI172" s="139" t="s">
        <v>434</v>
      </c>
      <c r="AJ172" s="140">
        <v>10705136.1</v>
      </c>
      <c r="AK172" s="139" t="s">
        <v>859</v>
      </c>
      <c r="AL172" s="139" t="s">
        <v>860</v>
      </c>
      <c r="AM172" s="139" t="s">
        <v>861</v>
      </c>
      <c r="AN172" s="139" t="s">
        <v>862</v>
      </c>
      <c r="AO172" s="139" t="s">
        <v>590</v>
      </c>
      <c r="AP172" s="139" t="s">
        <v>839</v>
      </c>
      <c r="AQ172" s="139" t="s">
        <v>759</v>
      </c>
      <c r="AR172" s="139" t="s">
        <v>434</v>
      </c>
      <c r="AS172" s="139" t="s">
        <v>434</v>
      </c>
      <c r="AT172" s="139" t="s">
        <v>593</v>
      </c>
      <c r="AU172" s="139" t="s">
        <v>437</v>
      </c>
      <c r="AV172" s="140">
        <v>2</v>
      </c>
      <c r="AW172" s="139" t="s">
        <v>594</v>
      </c>
      <c r="AX172" s="139" t="s">
        <v>595</v>
      </c>
      <c r="AY172" s="139" t="s">
        <v>840</v>
      </c>
      <c r="AZ172" s="140">
        <v>1</v>
      </c>
      <c r="BA172" s="139" t="s">
        <v>597</v>
      </c>
      <c r="BB172" s="140">
        <v>116800</v>
      </c>
      <c r="BC172" s="140">
        <v>10531120</v>
      </c>
      <c r="BD172" s="140">
        <v>131344.10999999999</v>
      </c>
      <c r="BE172" s="140">
        <v>90.163700000000006</v>
      </c>
      <c r="BF172" s="139" t="s">
        <v>880</v>
      </c>
      <c r="BG172" s="139" t="s">
        <v>863</v>
      </c>
      <c r="BH172" s="139" t="s">
        <v>1122</v>
      </c>
      <c r="BI172" s="139" t="s">
        <v>598</v>
      </c>
      <c r="BJ172" s="139" t="s">
        <v>599</v>
      </c>
      <c r="BK172" s="139" t="s">
        <v>583</v>
      </c>
      <c r="BL172" s="139" t="s">
        <v>583</v>
      </c>
      <c r="BM172" s="139" t="s">
        <v>583</v>
      </c>
      <c r="BN172" s="139" t="s">
        <v>842</v>
      </c>
      <c r="BO172" s="139" t="s">
        <v>843</v>
      </c>
      <c r="BP172" s="139" t="s">
        <v>925</v>
      </c>
      <c r="BQ172" s="139" t="s">
        <v>723</v>
      </c>
      <c r="BR172" s="140">
        <v>1</v>
      </c>
      <c r="BS172" s="139" t="s">
        <v>864</v>
      </c>
      <c r="BT172" s="99">
        <f t="shared" si="10"/>
        <v>1</v>
      </c>
      <c r="BU172" s="99">
        <f t="shared" si="10"/>
        <v>0</v>
      </c>
      <c r="BV172" s="99">
        <f t="shared" si="8"/>
        <v>1</v>
      </c>
      <c r="BW172" s="139" t="s">
        <v>602</v>
      </c>
      <c r="BX172" s="139" t="s">
        <v>1124</v>
      </c>
      <c r="BY172" s="140">
        <v>13</v>
      </c>
      <c r="BZ172" s="140">
        <v>0</v>
      </c>
      <c r="CA172" s="99">
        <v>73000</v>
      </c>
      <c r="CB172" s="140" t="s">
        <v>603</v>
      </c>
      <c r="CC172" s="140">
        <v>0</v>
      </c>
      <c r="CD172" s="140"/>
      <c r="CE172" s="139" t="s">
        <v>577</v>
      </c>
      <c r="CF172" s="139" t="s">
        <v>604</v>
      </c>
      <c r="CG172" s="139" t="s">
        <v>583</v>
      </c>
      <c r="CH172" s="139" t="s">
        <v>583</v>
      </c>
      <c r="CI172" s="139" t="s">
        <v>759</v>
      </c>
      <c r="CJ172" s="140">
        <v>7665</v>
      </c>
      <c r="CK172" s="140" t="s">
        <v>605</v>
      </c>
      <c r="CL172" s="140">
        <v>4000000</v>
      </c>
      <c r="CM172" s="99">
        <v>7118</v>
      </c>
      <c r="CN172" s="140">
        <v>0</v>
      </c>
      <c r="CO172" s="139" t="s">
        <v>583</v>
      </c>
      <c r="CP172" s="139" t="s">
        <v>583</v>
      </c>
      <c r="CQ172" s="140">
        <v>116800</v>
      </c>
      <c r="CR172" s="140">
        <v>10531120</v>
      </c>
      <c r="CS172" s="140">
        <v>0</v>
      </c>
      <c r="CT172" s="140">
        <v>1</v>
      </c>
      <c r="CU172" s="140">
        <v>10705136.1</v>
      </c>
      <c r="CV172" s="99">
        <v>131344.10999999999</v>
      </c>
      <c r="CW172" s="139" t="s">
        <v>606</v>
      </c>
      <c r="CX172" s="140">
        <v>18.452400000000001</v>
      </c>
      <c r="CY172" s="140">
        <v>1535</v>
      </c>
      <c r="CZ172" s="140" t="s">
        <v>1118</v>
      </c>
      <c r="DA172" s="140" t="s">
        <v>1119</v>
      </c>
      <c r="DB172" s="140">
        <v>1178</v>
      </c>
      <c r="DC172" s="140"/>
    </row>
    <row r="173" spans="2:107" ht="11.25" customHeight="1" x14ac:dyDescent="0.15">
      <c r="B173" s="139" t="s">
        <v>577</v>
      </c>
      <c r="C173" s="140" t="s">
        <v>1524</v>
      </c>
      <c r="D173" s="140">
        <v>4</v>
      </c>
      <c r="E173" s="139" t="s">
        <v>1530</v>
      </c>
      <c r="F173" s="139" t="s">
        <v>580</v>
      </c>
      <c r="G173" s="140" t="s">
        <v>1524</v>
      </c>
      <c r="H173" s="139" t="s">
        <v>1531</v>
      </c>
      <c r="I173" s="140" t="s">
        <v>421</v>
      </c>
      <c r="J173" s="139" t="s">
        <v>582</v>
      </c>
      <c r="K173" s="139" t="s">
        <v>583</v>
      </c>
      <c r="L173" s="139" t="s">
        <v>583</v>
      </c>
      <c r="M173" s="139" t="s">
        <v>583</v>
      </c>
      <c r="N173" s="139" t="s">
        <v>1532</v>
      </c>
      <c r="O173" s="139" t="s">
        <v>1533</v>
      </c>
      <c r="P173" s="139" t="s">
        <v>583</v>
      </c>
      <c r="Q173" s="139" t="s">
        <v>583</v>
      </c>
      <c r="R173" s="140">
        <v>1</v>
      </c>
      <c r="S173" s="140">
        <v>0</v>
      </c>
      <c r="T173" s="140">
        <v>1</v>
      </c>
      <c r="U173" s="140">
        <v>6</v>
      </c>
      <c r="V173" s="139" t="s">
        <v>640</v>
      </c>
      <c r="W173" s="139" t="s">
        <v>641</v>
      </c>
      <c r="X173" s="139" t="s">
        <v>642</v>
      </c>
      <c r="Y173" s="139" t="s">
        <v>643</v>
      </c>
      <c r="Z173" s="139" t="s">
        <v>644</v>
      </c>
      <c r="AA173" s="139" t="s">
        <v>645</v>
      </c>
      <c r="AB173" s="139" t="s">
        <v>640</v>
      </c>
      <c r="AC173" s="139" t="s">
        <v>641</v>
      </c>
      <c r="AD173" s="139" t="s">
        <v>642</v>
      </c>
      <c r="AE173" s="139" t="s">
        <v>643</v>
      </c>
      <c r="AF173" s="139" t="s">
        <v>644</v>
      </c>
      <c r="AG173" s="139" t="s">
        <v>645</v>
      </c>
      <c r="AH173" s="139" t="s">
        <v>1534</v>
      </c>
      <c r="AI173" s="139" t="s">
        <v>1535</v>
      </c>
      <c r="AJ173" s="140">
        <v>4779577.74</v>
      </c>
      <c r="AK173" s="139" t="s">
        <v>640</v>
      </c>
      <c r="AL173" s="139" t="s">
        <v>641</v>
      </c>
      <c r="AM173" s="139" t="s">
        <v>642</v>
      </c>
      <c r="AN173" s="139" t="s">
        <v>643</v>
      </c>
      <c r="AO173" s="139" t="s">
        <v>644</v>
      </c>
      <c r="AP173" s="139" t="s">
        <v>645</v>
      </c>
      <c r="AQ173" s="139" t="s">
        <v>759</v>
      </c>
      <c r="AR173" s="139" t="s">
        <v>434</v>
      </c>
      <c r="AS173" s="139" t="s">
        <v>434</v>
      </c>
      <c r="AT173" s="139" t="s">
        <v>593</v>
      </c>
      <c r="AU173" s="139" t="s">
        <v>437</v>
      </c>
      <c r="AV173" s="140">
        <v>2</v>
      </c>
      <c r="AW173" s="139" t="s">
        <v>594</v>
      </c>
      <c r="AX173" s="139" t="s">
        <v>595</v>
      </c>
      <c r="AY173" s="139" t="s">
        <v>1536</v>
      </c>
      <c r="AZ173" s="140">
        <v>1</v>
      </c>
      <c r="BA173" s="139" t="s">
        <v>597</v>
      </c>
      <c r="BB173" s="140">
        <v>52810</v>
      </c>
      <c r="BC173" s="140">
        <v>4761545</v>
      </c>
      <c r="BD173" s="140">
        <v>58641.89</v>
      </c>
      <c r="BE173" s="140">
        <v>90.163700000000006</v>
      </c>
      <c r="BF173" s="139" t="s">
        <v>880</v>
      </c>
      <c r="BG173" s="139" t="s">
        <v>583</v>
      </c>
      <c r="BH173" s="139" t="s">
        <v>1537</v>
      </c>
      <c r="BI173" s="139" t="s">
        <v>598</v>
      </c>
      <c r="BJ173" s="139" t="s">
        <v>599</v>
      </c>
      <c r="BK173" s="139" t="s">
        <v>583</v>
      </c>
      <c r="BL173" s="139" t="s">
        <v>583</v>
      </c>
      <c r="BM173" s="139" t="s">
        <v>939</v>
      </c>
      <c r="BN173" s="139" t="s">
        <v>916</v>
      </c>
      <c r="BO173" s="139" t="s">
        <v>917</v>
      </c>
      <c r="BP173" s="139" t="s">
        <v>918</v>
      </c>
      <c r="BQ173" s="139" t="s">
        <v>772</v>
      </c>
      <c r="BR173" s="140">
        <v>1</v>
      </c>
      <c r="BS173" s="139" t="s">
        <v>1538</v>
      </c>
      <c r="BT173" s="99">
        <f t="shared" si="10"/>
        <v>1</v>
      </c>
      <c r="BU173" s="99">
        <f t="shared" si="10"/>
        <v>1</v>
      </c>
      <c r="BV173" s="99">
        <f t="shared" si="8"/>
        <v>1</v>
      </c>
      <c r="BW173" s="139" t="s">
        <v>1539</v>
      </c>
      <c r="BX173" s="139" t="s">
        <v>1540</v>
      </c>
      <c r="BY173" s="140">
        <v>6</v>
      </c>
      <c r="BZ173" s="140">
        <v>0</v>
      </c>
      <c r="CA173" s="99">
        <v>28000</v>
      </c>
      <c r="CB173" s="140" t="s">
        <v>603</v>
      </c>
      <c r="CC173" s="140">
        <v>0</v>
      </c>
      <c r="CD173" s="140"/>
      <c r="CE173" s="139" t="s">
        <v>577</v>
      </c>
      <c r="CF173" s="139" t="s">
        <v>604</v>
      </c>
      <c r="CG173" s="139" t="s">
        <v>583</v>
      </c>
      <c r="CH173" s="139" t="s">
        <v>583</v>
      </c>
      <c r="CI173" s="139" t="s">
        <v>759</v>
      </c>
      <c r="CJ173" s="140">
        <v>2800</v>
      </c>
      <c r="CK173" s="140" t="s">
        <v>605</v>
      </c>
      <c r="CL173" s="140">
        <v>4000000</v>
      </c>
      <c r="CM173" s="99">
        <v>2660</v>
      </c>
      <c r="CN173" s="140">
        <v>0</v>
      </c>
      <c r="CO173" s="139" t="s">
        <v>583</v>
      </c>
      <c r="CP173" s="139" t="s">
        <v>583</v>
      </c>
      <c r="CQ173" s="140">
        <v>52810</v>
      </c>
      <c r="CR173" s="140">
        <v>4761545</v>
      </c>
      <c r="CS173" s="140">
        <v>0</v>
      </c>
      <c r="CT173" s="140">
        <v>1</v>
      </c>
      <c r="CU173" s="140">
        <v>4779577.74</v>
      </c>
      <c r="CV173" s="99">
        <v>58641.89</v>
      </c>
      <c r="CW173" s="139" t="s">
        <v>606</v>
      </c>
      <c r="CX173" s="140">
        <v>22.0458</v>
      </c>
      <c r="CY173" s="140"/>
      <c r="CZ173" s="140"/>
      <c r="DA173" s="140" t="s">
        <v>941</v>
      </c>
      <c r="DB173" s="140">
        <v>1243</v>
      </c>
      <c r="DC173" s="140"/>
    </row>
    <row r="174" spans="2:107" ht="11.25" customHeight="1" x14ac:dyDescent="0.15">
      <c r="B174" s="139" t="s">
        <v>577</v>
      </c>
      <c r="C174" s="140" t="s">
        <v>1524</v>
      </c>
      <c r="D174" s="140">
        <v>4</v>
      </c>
      <c r="E174" s="139" t="s">
        <v>1541</v>
      </c>
      <c r="F174" s="139" t="s">
        <v>718</v>
      </c>
      <c r="G174" s="140" t="s">
        <v>1542</v>
      </c>
      <c r="H174" s="139" t="s">
        <v>1543</v>
      </c>
      <c r="I174" s="140" t="s">
        <v>421</v>
      </c>
      <c r="J174" s="139" t="s">
        <v>582</v>
      </c>
      <c r="K174" s="139" t="s">
        <v>1133</v>
      </c>
      <c r="L174" s="139" t="s">
        <v>583</v>
      </c>
      <c r="M174" s="139" t="s">
        <v>583</v>
      </c>
      <c r="N174" s="139" t="s">
        <v>731</v>
      </c>
      <c r="O174" s="139" t="s">
        <v>1234</v>
      </c>
      <c r="P174" s="139" t="s">
        <v>583</v>
      </c>
      <c r="Q174" s="139" t="s">
        <v>583</v>
      </c>
      <c r="R174" s="140">
        <v>1</v>
      </c>
      <c r="S174" s="140">
        <v>0</v>
      </c>
      <c r="T174" s="140">
        <v>1</v>
      </c>
      <c r="U174" s="140">
        <v>399</v>
      </c>
      <c r="V174" s="139" t="s">
        <v>1218</v>
      </c>
      <c r="W174" s="139" t="s">
        <v>1219</v>
      </c>
      <c r="X174" s="139" t="s">
        <v>1220</v>
      </c>
      <c r="Y174" s="139" t="s">
        <v>1221</v>
      </c>
      <c r="Z174" s="139" t="s">
        <v>666</v>
      </c>
      <c r="AA174" s="139" t="s">
        <v>1222</v>
      </c>
      <c r="AB174" s="139" t="s">
        <v>1218</v>
      </c>
      <c r="AC174" s="139" t="s">
        <v>1219</v>
      </c>
      <c r="AD174" s="139" t="s">
        <v>1220</v>
      </c>
      <c r="AE174" s="139" t="s">
        <v>1221</v>
      </c>
      <c r="AF174" s="139" t="s">
        <v>666</v>
      </c>
      <c r="AG174" s="139" t="s">
        <v>1222</v>
      </c>
      <c r="AH174" s="139" t="s">
        <v>733</v>
      </c>
      <c r="AI174" s="139" t="s">
        <v>432</v>
      </c>
      <c r="AJ174" s="140">
        <v>14363020.16</v>
      </c>
      <c r="AK174" s="139" t="s">
        <v>1218</v>
      </c>
      <c r="AL174" s="139" t="s">
        <v>1219</v>
      </c>
      <c r="AM174" s="139" t="s">
        <v>1220</v>
      </c>
      <c r="AN174" s="139" t="s">
        <v>1221</v>
      </c>
      <c r="AO174" s="139" t="s">
        <v>666</v>
      </c>
      <c r="AP174" s="139" t="s">
        <v>1222</v>
      </c>
      <c r="AQ174" s="139" t="s">
        <v>733</v>
      </c>
      <c r="AR174" s="139" t="s">
        <v>432</v>
      </c>
      <c r="AS174" s="139" t="s">
        <v>432</v>
      </c>
      <c r="AT174" s="139" t="s">
        <v>593</v>
      </c>
      <c r="AU174" s="139" t="s">
        <v>437</v>
      </c>
      <c r="AV174" s="140">
        <v>2</v>
      </c>
      <c r="AW174" s="139" t="s">
        <v>594</v>
      </c>
      <c r="AX174" s="139" t="s">
        <v>653</v>
      </c>
      <c r="AY174" s="139" t="s">
        <v>1223</v>
      </c>
      <c r="AZ174" s="140">
        <v>1</v>
      </c>
      <c r="BA174" s="139" t="s">
        <v>597</v>
      </c>
      <c r="BB174" s="140">
        <v>160016</v>
      </c>
      <c r="BC174" s="140">
        <v>14363020</v>
      </c>
      <c r="BD174" s="140">
        <v>174959.5</v>
      </c>
      <c r="BE174" s="140">
        <v>89.759900000000002</v>
      </c>
      <c r="BF174" s="139" t="s">
        <v>880</v>
      </c>
      <c r="BG174" s="139" t="s">
        <v>583</v>
      </c>
      <c r="BH174" s="139" t="s">
        <v>1224</v>
      </c>
      <c r="BI174" s="139" t="s">
        <v>598</v>
      </c>
      <c r="BJ174" s="139" t="s">
        <v>599</v>
      </c>
      <c r="BK174" s="139" t="s">
        <v>583</v>
      </c>
      <c r="BL174" s="139" t="s">
        <v>583</v>
      </c>
      <c r="BM174" s="139" t="s">
        <v>1225</v>
      </c>
      <c r="BN174" s="139" t="s">
        <v>1226</v>
      </c>
      <c r="BO174" s="139" t="s">
        <v>1227</v>
      </c>
      <c r="BP174" s="139" t="s">
        <v>1228</v>
      </c>
      <c r="BQ174" s="139" t="s">
        <v>1229</v>
      </c>
      <c r="BR174" s="140">
        <v>1</v>
      </c>
      <c r="BS174" s="139" t="s">
        <v>1429</v>
      </c>
      <c r="BT174" s="99">
        <f t="shared" si="10"/>
        <v>0</v>
      </c>
      <c r="BU174" s="99">
        <f t="shared" si="10"/>
        <v>1</v>
      </c>
      <c r="BV174" s="99">
        <f t="shared" si="8"/>
        <v>1</v>
      </c>
      <c r="BW174" s="139" t="s">
        <v>602</v>
      </c>
      <c r="BX174" s="139" t="s">
        <v>731</v>
      </c>
      <c r="BY174" s="140">
        <v>399</v>
      </c>
      <c r="BZ174" s="140">
        <v>0</v>
      </c>
      <c r="CA174" s="99">
        <v>79800</v>
      </c>
      <c r="CB174" s="140" t="s">
        <v>603</v>
      </c>
      <c r="CC174" s="140">
        <v>0</v>
      </c>
      <c r="CD174" s="140"/>
      <c r="CE174" s="139" t="s">
        <v>577</v>
      </c>
      <c r="CF174" s="139" t="s">
        <v>604</v>
      </c>
      <c r="CG174" s="139" t="s">
        <v>583</v>
      </c>
      <c r="CH174" s="139" t="s">
        <v>583</v>
      </c>
      <c r="CI174" s="139" t="s">
        <v>733</v>
      </c>
      <c r="CJ174" s="140">
        <v>8778</v>
      </c>
      <c r="CK174" s="140" t="s">
        <v>605</v>
      </c>
      <c r="CL174" s="140">
        <v>4000000</v>
      </c>
      <c r="CM174" s="99">
        <v>7980</v>
      </c>
      <c r="CN174" s="140">
        <v>0</v>
      </c>
      <c r="CO174" s="139" t="s">
        <v>583</v>
      </c>
      <c r="CP174" s="139" t="s">
        <v>583</v>
      </c>
      <c r="CQ174" s="140">
        <v>160016</v>
      </c>
      <c r="CR174" s="140">
        <v>14363020</v>
      </c>
      <c r="CS174" s="140">
        <v>0</v>
      </c>
      <c r="CT174" s="140">
        <v>1</v>
      </c>
      <c r="CU174" s="140">
        <v>14363020.16</v>
      </c>
      <c r="CV174" s="99">
        <v>174959.5</v>
      </c>
      <c r="CW174" s="139" t="s">
        <v>606</v>
      </c>
      <c r="CX174" s="140">
        <v>21.924700000000001</v>
      </c>
      <c r="CY174" s="140"/>
      <c r="CZ174" s="140"/>
      <c r="DA174" s="140" t="s">
        <v>1231</v>
      </c>
      <c r="DB174" s="140">
        <v>33</v>
      </c>
      <c r="DC174" s="140"/>
    </row>
    <row r="175" spans="2:107" ht="11.25" customHeight="1" x14ac:dyDescent="0.15">
      <c r="B175" s="139" t="s">
        <v>577</v>
      </c>
      <c r="C175" s="140" t="s">
        <v>1544</v>
      </c>
      <c r="D175" s="140">
        <v>4</v>
      </c>
      <c r="E175" s="139" t="s">
        <v>1545</v>
      </c>
      <c r="F175" s="139" t="s">
        <v>718</v>
      </c>
      <c r="G175" s="140" t="s">
        <v>1544</v>
      </c>
      <c r="H175" s="139" t="s">
        <v>1546</v>
      </c>
      <c r="I175" s="140" t="s">
        <v>421</v>
      </c>
      <c r="J175" s="139" t="s">
        <v>582</v>
      </c>
      <c r="K175" s="139" t="s">
        <v>583</v>
      </c>
      <c r="L175" s="139" t="s">
        <v>583</v>
      </c>
      <c r="M175" s="139" t="s">
        <v>583</v>
      </c>
      <c r="N175" s="139" t="s">
        <v>1547</v>
      </c>
      <c r="O175" s="139" t="s">
        <v>1548</v>
      </c>
      <c r="P175" s="139" t="s">
        <v>583</v>
      </c>
      <c r="Q175" s="139" t="s">
        <v>583</v>
      </c>
      <c r="R175" s="140">
        <v>2</v>
      </c>
      <c r="S175" s="140">
        <v>0</v>
      </c>
      <c r="T175" s="140">
        <v>2</v>
      </c>
      <c r="U175" s="140">
        <v>26</v>
      </c>
      <c r="V175" s="139" t="s">
        <v>662</v>
      </c>
      <c r="W175" s="139" t="s">
        <v>663</v>
      </c>
      <c r="X175" s="139" t="s">
        <v>664</v>
      </c>
      <c r="Y175" s="139" t="s">
        <v>665</v>
      </c>
      <c r="Z175" s="139" t="s">
        <v>666</v>
      </c>
      <c r="AA175" s="139" t="s">
        <v>667</v>
      </c>
      <c r="AB175" s="139" t="s">
        <v>662</v>
      </c>
      <c r="AC175" s="139" t="s">
        <v>663</v>
      </c>
      <c r="AD175" s="139" t="s">
        <v>664</v>
      </c>
      <c r="AE175" s="139" t="s">
        <v>665</v>
      </c>
      <c r="AF175" s="139" t="s">
        <v>666</v>
      </c>
      <c r="AG175" s="139" t="s">
        <v>667</v>
      </c>
      <c r="AH175" s="139" t="s">
        <v>1549</v>
      </c>
      <c r="AI175" s="139" t="s">
        <v>436</v>
      </c>
      <c r="AJ175" s="140">
        <v>9699810.8499999996</v>
      </c>
      <c r="AK175" s="139" t="s">
        <v>662</v>
      </c>
      <c r="AL175" s="139" t="s">
        <v>663</v>
      </c>
      <c r="AM175" s="139" t="s">
        <v>664</v>
      </c>
      <c r="AN175" s="139" t="s">
        <v>665</v>
      </c>
      <c r="AO175" s="139" t="s">
        <v>666</v>
      </c>
      <c r="AP175" s="139" t="s">
        <v>667</v>
      </c>
      <c r="AQ175" s="139" t="s">
        <v>1549</v>
      </c>
      <c r="AR175" s="139" t="s">
        <v>436</v>
      </c>
      <c r="AS175" s="139" t="s">
        <v>436</v>
      </c>
      <c r="AT175" s="139" t="s">
        <v>593</v>
      </c>
      <c r="AU175" s="139" t="s">
        <v>437</v>
      </c>
      <c r="AV175" s="140">
        <v>2</v>
      </c>
      <c r="AW175" s="139" t="s">
        <v>594</v>
      </c>
      <c r="AX175" s="139" t="s">
        <v>583</v>
      </c>
      <c r="AY175" s="139" t="s">
        <v>1550</v>
      </c>
      <c r="AZ175" s="140">
        <v>1</v>
      </c>
      <c r="BA175" s="139" t="s">
        <v>597</v>
      </c>
      <c r="BB175" s="140">
        <v>101880</v>
      </c>
      <c r="BC175" s="140">
        <v>9185878</v>
      </c>
      <c r="BD175" s="140">
        <v>119009.51</v>
      </c>
      <c r="BE175" s="140">
        <v>90.163700000000006</v>
      </c>
      <c r="BF175" s="139" t="s">
        <v>880</v>
      </c>
      <c r="BG175" s="139" t="s">
        <v>583</v>
      </c>
      <c r="BH175" s="139" t="s">
        <v>1551</v>
      </c>
      <c r="BI175" s="139" t="s">
        <v>598</v>
      </c>
      <c r="BJ175" s="139" t="s">
        <v>599</v>
      </c>
      <c r="BK175" s="139" t="s">
        <v>583</v>
      </c>
      <c r="BL175" s="139" t="s">
        <v>583</v>
      </c>
      <c r="BM175" s="139" t="s">
        <v>583</v>
      </c>
      <c r="BN175" s="139" t="s">
        <v>842</v>
      </c>
      <c r="BO175" s="139" t="s">
        <v>843</v>
      </c>
      <c r="BP175" s="139" t="s">
        <v>925</v>
      </c>
      <c r="BQ175" s="139" t="s">
        <v>723</v>
      </c>
      <c r="BR175" s="140">
        <v>1</v>
      </c>
      <c r="BS175" s="139" t="s">
        <v>1552</v>
      </c>
      <c r="BT175" s="99">
        <f t="shared" si="10"/>
        <v>1</v>
      </c>
      <c r="BU175" s="99">
        <f t="shared" si="10"/>
        <v>0</v>
      </c>
      <c r="BV175" s="99">
        <f t="shared" si="8"/>
        <v>1</v>
      </c>
      <c r="BW175" s="139" t="s">
        <v>602</v>
      </c>
      <c r="BX175" s="139" t="s">
        <v>1553</v>
      </c>
      <c r="BY175" s="140">
        <v>6</v>
      </c>
      <c r="BZ175" s="140">
        <v>0</v>
      </c>
      <c r="CA175" s="99">
        <v>36000</v>
      </c>
      <c r="CB175" s="140" t="s">
        <v>603</v>
      </c>
      <c r="CC175" s="140">
        <v>0</v>
      </c>
      <c r="CD175" s="140"/>
      <c r="CE175" s="139" t="s">
        <v>577</v>
      </c>
      <c r="CF175" s="139" t="s">
        <v>604</v>
      </c>
      <c r="CG175" s="139" t="s">
        <v>583</v>
      </c>
      <c r="CH175" s="139" t="s">
        <v>583</v>
      </c>
      <c r="CI175" s="139" t="s">
        <v>1549</v>
      </c>
      <c r="CJ175" s="140">
        <v>3760</v>
      </c>
      <c r="CK175" s="140" t="s">
        <v>605</v>
      </c>
      <c r="CL175" s="140">
        <v>4000000</v>
      </c>
      <c r="CM175" s="99">
        <v>3420</v>
      </c>
      <c r="CN175" s="140">
        <v>0</v>
      </c>
      <c r="CO175" s="139" t="s">
        <v>583</v>
      </c>
      <c r="CP175" s="139" t="s">
        <v>583</v>
      </c>
      <c r="CQ175" s="140">
        <v>46800</v>
      </c>
      <c r="CR175" s="140">
        <v>4219661</v>
      </c>
      <c r="CS175" s="140">
        <v>0</v>
      </c>
      <c r="CT175" s="140">
        <v>1</v>
      </c>
      <c r="CU175" s="140">
        <v>4302659.55</v>
      </c>
      <c r="CV175" s="99">
        <v>52790.45</v>
      </c>
      <c r="CW175" s="139" t="s">
        <v>606</v>
      </c>
      <c r="CX175" s="140">
        <v>15.4358</v>
      </c>
      <c r="CY175" s="140"/>
      <c r="CZ175" s="140"/>
      <c r="DA175" s="140" t="s">
        <v>926</v>
      </c>
      <c r="DB175" s="140">
        <v>16</v>
      </c>
      <c r="DC175" s="140"/>
    </row>
    <row r="176" spans="2:107" ht="11.25" customHeight="1" x14ac:dyDescent="0.15">
      <c r="B176" s="139" t="s">
        <v>577</v>
      </c>
      <c r="C176" s="140" t="s">
        <v>1544</v>
      </c>
      <c r="D176" s="140">
        <v>4</v>
      </c>
      <c r="E176" s="139" t="s">
        <v>1554</v>
      </c>
      <c r="F176" s="139" t="s">
        <v>729</v>
      </c>
      <c r="G176" s="140" t="s">
        <v>1544</v>
      </c>
      <c r="H176" s="139" t="s">
        <v>1555</v>
      </c>
      <c r="I176" s="140" t="s">
        <v>421</v>
      </c>
      <c r="J176" s="139" t="s">
        <v>582</v>
      </c>
      <c r="K176" s="139" t="s">
        <v>583</v>
      </c>
      <c r="L176" s="139" t="s">
        <v>583</v>
      </c>
      <c r="M176" s="139" t="s">
        <v>583</v>
      </c>
      <c r="N176" s="139" t="s">
        <v>731</v>
      </c>
      <c r="O176" s="139" t="s">
        <v>1556</v>
      </c>
      <c r="P176" s="139" t="s">
        <v>583</v>
      </c>
      <c r="Q176" s="139" t="s">
        <v>583</v>
      </c>
      <c r="R176" s="140">
        <v>1</v>
      </c>
      <c r="S176" s="140">
        <v>0</v>
      </c>
      <c r="T176" s="140">
        <v>1</v>
      </c>
      <c r="U176" s="140">
        <v>360</v>
      </c>
      <c r="V176" s="139" t="s">
        <v>1557</v>
      </c>
      <c r="W176" s="139" t="s">
        <v>1558</v>
      </c>
      <c r="X176" s="139" t="s">
        <v>1559</v>
      </c>
      <c r="Y176" s="139" t="s">
        <v>1560</v>
      </c>
      <c r="Z176" s="139" t="s">
        <v>644</v>
      </c>
      <c r="AA176" s="139" t="s">
        <v>1561</v>
      </c>
      <c r="AB176" s="139" t="s">
        <v>1557</v>
      </c>
      <c r="AC176" s="139" t="s">
        <v>1558</v>
      </c>
      <c r="AD176" s="139" t="s">
        <v>1559</v>
      </c>
      <c r="AE176" s="139" t="s">
        <v>1560</v>
      </c>
      <c r="AF176" s="139" t="s">
        <v>644</v>
      </c>
      <c r="AG176" s="139" t="s">
        <v>1561</v>
      </c>
      <c r="AH176" s="139" t="s">
        <v>733</v>
      </c>
      <c r="AI176" s="139" t="s">
        <v>432</v>
      </c>
      <c r="AJ176" s="140">
        <v>11441773.529999999</v>
      </c>
      <c r="AK176" s="139" t="s">
        <v>1557</v>
      </c>
      <c r="AL176" s="139" t="s">
        <v>1558</v>
      </c>
      <c r="AM176" s="139" t="s">
        <v>1559</v>
      </c>
      <c r="AN176" s="139" t="s">
        <v>1560</v>
      </c>
      <c r="AO176" s="139" t="s">
        <v>644</v>
      </c>
      <c r="AP176" s="139" t="s">
        <v>1561</v>
      </c>
      <c r="AQ176" s="139" t="s">
        <v>733</v>
      </c>
      <c r="AR176" s="139" t="s">
        <v>432</v>
      </c>
      <c r="AS176" s="139" t="s">
        <v>432</v>
      </c>
      <c r="AT176" s="139" t="s">
        <v>593</v>
      </c>
      <c r="AU176" s="139" t="s">
        <v>437</v>
      </c>
      <c r="AV176" s="140">
        <v>2</v>
      </c>
      <c r="AW176" s="139" t="s">
        <v>594</v>
      </c>
      <c r="AX176" s="139" t="s">
        <v>653</v>
      </c>
      <c r="AY176" s="139" t="s">
        <v>1562</v>
      </c>
      <c r="AZ176" s="140">
        <v>1</v>
      </c>
      <c r="BA176" s="139" t="s">
        <v>597</v>
      </c>
      <c r="BB176" s="140">
        <v>126900</v>
      </c>
      <c r="BC176" s="140">
        <v>11441774</v>
      </c>
      <c r="BD176" s="140">
        <v>140382.10999999999</v>
      </c>
      <c r="BE176" s="140">
        <v>90.163700000000006</v>
      </c>
      <c r="BF176" s="139" t="s">
        <v>880</v>
      </c>
      <c r="BG176" s="139" t="s">
        <v>863</v>
      </c>
      <c r="BH176" s="139" t="s">
        <v>1563</v>
      </c>
      <c r="BI176" s="139" t="s">
        <v>598</v>
      </c>
      <c r="BJ176" s="139" t="s">
        <v>599</v>
      </c>
      <c r="BK176" s="139" t="s">
        <v>583</v>
      </c>
      <c r="BL176" s="139" t="s">
        <v>1060</v>
      </c>
      <c r="BM176" s="139" t="s">
        <v>583</v>
      </c>
      <c r="BN176" s="139" t="s">
        <v>842</v>
      </c>
      <c r="BO176" s="139" t="s">
        <v>843</v>
      </c>
      <c r="BP176" s="139" t="s">
        <v>925</v>
      </c>
      <c r="BQ176" s="139" t="s">
        <v>723</v>
      </c>
      <c r="BR176" s="140">
        <v>1</v>
      </c>
      <c r="BS176" s="139" t="s">
        <v>791</v>
      </c>
      <c r="BT176" s="99">
        <f t="shared" si="10"/>
        <v>0</v>
      </c>
      <c r="BU176" s="99">
        <f t="shared" si="10"/>
        <v>0</v>
      </c>
      <c r="BV176" s="99">
        <f t="shared" si="8"/>
        <v>0</v>
      </c>
      <c r="BW176" s="139" t="s">
        <v>743</v>
      </c>
      <c r="BX176" s="139" t="s">
        <v>731</v>
      </c>
      <c r="BY176" s="140">
        <v>360</v>
      </c>
      <c r="BZ176" s="140">
        <v>0</v>
      </c>
      <c r="CA176" s="99">
        <v>72000</v>
      </c>
      <c r="CB176" s="140" t="s">
        <v>603</v>
      </c>
      <c r="CC176" s="140">
        <v>0</v>
      </c>
      <c r="CD176" s="140"/>
      <c r="CE176" s="139" t="s">
        <v>577</v>
      </c>
      <c r="CF176" s="139" t="s">
        <v>604</v>
      </c>
      <c r="CG176" s="139" t="s">
        <v>583</v>
      </c>
      <c r="CH176" s="139" t="s">
        <v>583</v>
      </c>
      <c r="CI176" s="139" t="s">
        <v>733</v>
      </c>
      <c r="CJ176" s="140">
        <v>7920</v>
      </c>
      <c r="CK176" s="140" t="s">
        <v>605</v>
      </c>
      <c r="CL176" s="140">
        <v>4000000</v>
      </c>
      <c r="CM176" s="99">
        <v>7200</v>
      </c>
      <c r="CN176" s="140">
        <v>0</v>
      </c>
      <c r="CO176" s="139" t="s">
        <v>583</v>
      </c>
      <c r="CP176" s="139" t="s">
        <v>583</v>
      </c>
      <c r="CQ176" s="140">
        <v>126900</v>
      </c>
      <c r="CR176" s="140">
        <v>11441774</v>
      </c>
      <c r="CS176" s="140">
        <v>0</v>
      </c>
      <c r="CT176" s="140">
        <v>1</v>
      </c>
      <c r="CU176" s="140">
        <v>11441773.529999999</v>
      </c>
      <c r="CV176" s="99">
        <v>140382.10999999999</v>
      </c>
      <c r="CW176" s="139" t="s">
        <v>606</v>
      </c>
      <c r="CX176" s="140">
        <v>19.497499999999999</v>
      </c>
      <c r="CY176" s="140">
        <v>35</v>
      </c>
      <c r="CZ176" s="140" t="s">
        <v>1564</v>
      </c>
      <c r="DA176" s="140" t="s">
        <v>1363</v>
      </c>
      <c r="DB176" s="140">
        <v>159</v>
      </c>
      <c r="DC176" s="140"/>
    </row>
    <row r="177" spans="2:107" ht="11.25" customHeight="1" x14ac:dyDescent="0.15">
      <c r="B177" s="139" t="s">
        <v>577</v>
      </c>
      <c r="C177" s="140" t="s">
        <v>1565</v>
      </c>
      <c r="D177" s="140">
        <v>4</v>
      </c>
      <c r="E177" s="139" t="s">
        <v>1566</v>
      </c>
      <c r="F177" s="139" t="s">
        <v>748</v>
      </c>
      <c r="G177" s="140" t="s">
        <v>1565</v>
      </c>
      <c r="H177" s="139" t="s">
        <v>1567</v>
      </c>
      <c r="I177" s="140" t="s">
        <v>421</v>
      </c>
      <c r="J177" s="139" t="s">
        <v>582</v>
      </c>
      <c r="K177" s="139" t="s">
        <v>583</v>
      </c>
      <c r="L177" s="139" t="s">
        <v>583</v>
      </c>
      <c r="M177" s="139" t="s">
        <v>583</v>
      </c>
      <c r="N177" s="139" t="s">
        <v>1568</v>
      </c>
      <c r="O177" s="139" t="s">
        <v>1569</v>
      </c>
      <c r="P177" s="139" t="s">
        <v>583</v>
      </c>
      <c r="Q177" s="139" t="s">
        <v>583</v>
      </c>
      <c r="R177" s="140">
        <v>1</v>
      </c>
      <c r="S177" s="140"/>
      <c r="T177" s="140">
        <v>1</v>
      </c>
      <c r="U177" s="140">
        <v>140</v>
      </c>
      <c r="V177" s="139" t="s">
        <v>819</v>
      </c>
      <c r="W177" s="139" t="s">
        <v>820</v>
      </c>
      <c r="X177" s="139" t="s">
        <v>821</v>
      </c>
      <c r="Y177" s="139" t="s">
        <v>822</v>
      </c>
      <c r="Z177" s="139" t="s">
        <v>823</v>
      </c>
      <c r="AA177" s="139" t="s">
        <v>824</v>
      </c>
      <c r="AB177" s="139" t="s">
        <v>819</v>
      </c>
      <c r="AC177" s="139" t="s">
        <v>820</v>
      </c>
      <c r="AD177" s="139" t="s">
        <v>821</v>
      </c>
      <c r="AE177" s="139" t="s">
        <v>822</v>
      </c>
      <c r="AF177" s="139" t="s">
        <v>823</v>
      </c>
      <c r="AG177" s="139" t="s">
        <v>824</v>
      </c>
      <c r="AH177" s="139" t="s">
        <v>759</v>
      </c>
      <c r="AI177" s="139" t="s">
        <v>434</v>
      </c>
      <c r="AJ177" s="140">
        <v>3904088.21</v>
      </c>
      <c r="AK177" s="139" t="s">
        <v>819</v>
      </c>
      <c r="AL177" s="139" t="s">
        <v>820</v>
      </c>
      <c r="AM177" s="139" t="s">
        <v>821</v>
      </c>
      <c r="AN177" s="139" t="s">
        <v>822</v>
      </c>
      <c r="AO177" s="139" t="s">
        <v>823</v>
      </c>
      <c r="AP177" s="139" t="s">
        <v>824</v>
      </c>
      <c r="AQ177" s="139" t="s">
        <v>759</v>
      </c>
      <c r="AR177" s="139" t="s">
        <v>434</v>
      </c>
      <c r="AS177" s="139" t="s">
        <v>434</v>
      </c>
      <c r="AT177" s="139" t="s">
        <v>593</v>
      </c>
      <c r="AU177" s="139" t="s">
        <v>437</v>
      </c>
      <c r="AV177" s="140">
        <v>2</v>
      </c>
      <c r="AW177" s="139" t="s">
        <v>594</v>
      </c>
      <c r="AX177" s="139" t="s">
        <v>595</v>
      </c>
      <c r="AY177" s="139" t="s">
        <v>840</v>
      </c>
      <c r="AZ177" s="140">
        <v>1</v>
      </c>
      <c r="BA177" s="139" t="s">
        <v>597</v>
      </c>
      <c r="BB177" s="140">
        <v>40600</v>
      </c>
      <c r="BC177" s="140">
        <v>3660646</v>
      </c>
      <c r="BD177" s="140">
        <v>47900.28</v>
      </c>
      <c r="BE177" s="140">
        <v>90.163700000000006</v>
      </c>
      <c r="BF177" s="139" t="s">
        <v>880</v>
      </c>
      <c r="BG177" s="139" t="s">
        <v>863</v>
      </c>
      <c r="BH177" s="139" t="s">
        <v>826</v>
      </c>
      <c r="BI177" s="139" t="s">
        <v>598</v>
      </c>
      <c r="BJ177" s="139" t="s">
        <v>599</v>
      </c>
      <c r="BK177" s="139" t="s">
        <v>583</v>
      </c>
      <c r="BL177" s="139" t="s">
        <v>583</v>
      </c>
      <c r="BM177" s="139" t="s">
        <v>583</v>
      </c>
      <c r="BN177" s="139" t="s">
        <v>828</v>
      </c>
      <c r="BO177" s="139" t="s">
        <v>829</v>
      </c>
      <c r="BP177" s="139" t="s">
        <v>925</v>
      </c>
      <c r="BQ177" s="139" t="s">
        <v>723</v>
      </c>
      <c r="BR177" s="140">
        <v>1</v>
      </c>
      <c r="BS177" s="139" t="s">
        <v>1570</v>
      </c>
      <c r="BT177" s="99">
        <f t="shared" si="10"/>
        <v>1</v>
      </c>
      <c r="BU177" s="99">
        <f t="shared" si="10"/>
        <v>1</v>
      </c>
      <c r="BV177" s="99">
        <f t="shared" si="8"/>
        <v>1</v>
      </c>
      <c r="BW177" s="139" t="s">
        <v>602</v>
      </c>
      <c r="BX177" s="139" t="s">
        <v>817</v>
      </c>
      <c r="BY177" s="140">
        <v>140</v>
      </c>
      <c r="BZ177" s="140"/>
      <c r="CA177" s="99">
        <v>28000</v>
      </c>
      <c r="CB177" s="140" t="s">
        <v>603</v>
      </c>
      <c r="CC177" s="140"/>
      <c r="CD177" s="140"/>
      <c r="CE177" s="139" t="s">
        <v>577</v>
      </c>
      <c r="CF177" s="139" t="s">
        <v>604</v>
      </c>
      <c r="CG177" s="139" t="s">
        <v>583</v>
      </c>
      <c r="CH177" s="139" t="s">
        <v>583</v>
      </c>
      <c r="CI177" s="139" t="s">
        <v>759</v>
      </c>
      <c r="CJ177" s="140">
        <v>2940</v>
      </c>
      <c r="CK177" s="140" t="s">
        <v>605</v>
      </c>
      <c r="CL177" s="140">
        <v>4000000</v>
      </c>
      <c r="CM177" s="99">
        <v>2730</v>
      </c>
      <c r="CN177" s="140"/>
      <c r="CO177" s="139" t="s">
        <v>583</v>
      </c>
      <c r="CP177" s="139" t="s">
        <v>583</v>
      </c>
      <c r="CQ177" s="140">
        <v>40600</v>
      </c>
      <c r="CR177" s="140">
        <v>3660646</v>
      </c>
      <c r="CS177" s="140">
        <v>0</v>
      </c>
      <c r="CT177" s="140">
        <v>1</v>
      </c>
      <c r="CU177" s="140">
        <v>3904088.21</v>
      </c>
      <c r="CV177" s="99">
        <v>47900.28</v>
      </c>
      <c r="CW177" s="139" t="s">
        <v>606</v>
      </c>
      <c r="CX177" s="140">
        <v>17.5459</v>
      </c>
      <c r="CY177" s="140"/>
      <c r="CZ177" s="140"/>
      <c r="DA177" s="140" t="s">
        <v>832</v>
      </c>
      <c r="DB177" s="140">
        <v>48</v>
      </c>
      <c r="DC177" s="140"/>
    </row>
    <row r="178" spans="2:107" ht="11.25" customHeight="1" x14ac:dyDescent="0.15">
      <c r="B178" s="139" t="s">
        <v>577</v>
      </c>
      <c r="C178" s="140" t="s">
        <v>1565</v>
      </c>
      <c r="D178" s="140">
        <v>4</v>
      </c>
      <c r="E178" s="139" t="s">
        <v>1571</v>
      </c>
      <c r="F178" s="139" t="s">
        <v>618</v>
      </c>
      <c r="G178" s="140" t="s">
        <v>1565</v>
      </c>
      <c r="H178" s="139" t="s">
        <v>1572</v>
      </c>
      <c r="I178" s="140" t="s">
        <v>421</v>
      </c>
      <c r="J178" s="139" t="s">
        <v>582</v>
      </c>
      <c r="K178" s="139" t="s">
        <v>583</v>
      </c>
      <c r="L178" s="139" t="s">
        <v>583</v>
      </c>
      <c r="M178" s="139" t="s">
        <v>583</v>
      </c>
      <c r="N178" s="139" t="s">
        <v>660</v>
      </c>
      <c r="O178" s="139" t="s">
        <v>1279</v>
      </c>
      <c r="P178" s="139" t="s">
        <v>583</v>
      </c>
      <c r="Q178" s="139" t="s">
        <v>583</v>
      </c>
      <c r="R178" s="140">
        <v>1</v>
      </c>
      <c r="S178" s="140">
        <v>0</v>
      </c>
      <c r="T178" s="140">
        <v>1</v>
      </c>
      <c r="U178" s="140">
        <v>282</v>
      </c>
      <c r="V178" s="139" t="s">
        <v>945</v>
      </c>
      <c r="W178" s="139" t="s">
        <v>946</v>
      </c>
      <c r="X178" s="139" t="s">
        <v>947</v>
      </c>
      <c r="Y178" s="139" t="s">
        <v>948</v>
      </c>
      <c r="Z178" s="139" t="s">
        <v>949</v>
      </c>
      <c r="AA178" s="139" t="s">
        <v>950</v>
      </c>
      <c r="AB178" s="139" t="s">
        <v>945</v>
      </c>
      <c r="AC178" s="139" t="s">
        <v>946</v>
      </c>
      <c r="AD178" s="139" t="s">
        <v>947</v>
      </c>
      <c r="AE178" s="139" t="s">
        <v>948</v>
      </c>
      <c r="AF178" s="139" t="s">
        <v>949</v>
      </c>
      <c r="AG178" s="139" t="s">
        <v>950</v>
      </c>
      <c r="AH178" s="139" t="s">
        <v>621</v>
      </c>
      <c r="AI178" s="139" t="s">
        <v>430</v>
      </c>
      <c r="AJ178" s="140">
        <v>7043047.2599999998</v>
      </c>
      <c r="AK178" s="139" t="s">
        <v>945</v>
      </c>
      <c r="AL178" s="139" t="s">
        <v>946</v>
      </c>
      <c r="AM178" s="139" t="s">
        <v>947</v>
      </c>
      <c r="AN178" s="139" t="s">
        <v>948</v>
      </c>
      <c r="AO178" s="139" t="s">
        <v>949</v>
      </c>
      <c r="AP178" s="139" t="s">
        <v>950</v>
      </c>
      <c r="AQ178" s="139" t="s">
        <v>621</v>
      </c>
      <c r="AR178" s="139" t="s">
        <v>430</v>
      </c>
      <c r="AS178" s="139" t="s">
        <v>430</v>
      </c>
      <c r="AT178" s="139" t="s">
        <v>593</v>
      </c>
      <c r="AU178" s="139" t="s">
        <v>437</v>
      </c>
      <c r="AV178" s="140">
        <v>0</v>
      </c>
      <c r="AW178" s="139" t="s">
        <v>594</v>
      </c>
      <c r="AX178" s="139" t="s">
        <v>622</v>
      </c>
      <c r="AY178" s="139" t="s">
        <v>623</v>
      </c>
      <c r="AZ178" s="140">
        <v>1</v>
      </c>
      <c r="BA178" s="139" t="s">
        <v>951</v>
      </c>
      <c r="BB178" s="140">
        <v>115439.16</v>
      </c>
      <c r="BC178" s="140">
        <v>7043047</v>
      </c>
      <c r="BD178" s="140">
        <v>86412.99</v>
      </c>
      <c r="BE178" s="140">
        <v>61.010899999999999</v>
      </c>
      <c r="BF178" s="139" t="s">
        <v>880</v>
      </c>
      <c r="BG178" s="139" t="s">
        <v>582</v>
      </c>
      <c r="BH178" s="139" t="s">
        <v>952</v>
      </c>
      <c r="BI178" s="139" t="s">
        <v>598</v>
      </c>
      <c r="BJ178" s="139" t="s">
        <v>624</v>
      </c>
      <c r="BK178" s="139" t="s">
        <v>882</v>
      </c>
      <c r="BL178" s="139" t="s">
        <v>583</v>
      </c>
      <c r="BM178" s="139" t="s">
        <v>953</v>
      </c>
      <c r="BN178" s="139" t="s">
        <v>583</v>
      </c>
      <c r="BO178" s="139" t="s">
        <v>623</v>
      </c>
      <c r="BP178" s="139" t="s">
        <v>884</v>
      </c>
      <c r="BQ178" s="139" t="s">
        <v>625</v>
      </c>
      <c r="BR178" s="140">
        <v>1</v>
      </c>
      <c r="BS178" s="139" t="s">
        <v>634</v>
      </c>
      <c r="BT178" s="99">
        <f t="shared" si="10"/>
        <v>0</v>
      </c>
      <c r="BU178" s="99">
        <f t="shared" si="10"/>
        <v>1</v>
      </c>
      <c r="BV178" s="99">
        <f t="shared" si="8"/>
        <v>1</v>
      </c>
      <c r="BW178" s="139" t="s">
        <v>635</v>
      </c>
      <c r="BX178" s="139" t="s">
        <v>441</v>
      </c>
      <c r="BY178" s="140">
        <v>282</v>
      </c>
      <c r="BZ178" s="140">
        <v>0</v>
      </c>
      <c r="CA178" s="99">
        <v>56400</v>
      </c>
      <c r="CB178" s="140" t="s">
        <v>603</v>
      </c>
      <c r="CC178" s="140">
        <v>0</v>
      </c>
      <c r="CD178" s="140"/>
      <c r="CE178" s="139" t="s">
        <v>577</v>
      </c>
      <c r="CF178" s="139" t="s">
        <v>604</v>
      </c>
      <c r="CG178" s="139" t="s">
        <v>583</v>
      </c>
      <c r="CH178" s="139" t="s">
        <v>583</v>
      </c>
      <c r="CI178" s="139" t="s">
        <v>621</v>
      </c>
      <c r="CJ178" s="140">
        <v>5640</v>
      </c>
      <c r="CK178" s="140" t="s">
        <v>605</v>
      </c>
      <c r="CL178" s="140">
        <v>4000000</v>
      </c>
      <c r="CM178" s="99">
        <v>5076</v>
      </c>
      <c r="CN178" s="140">
        <v>0</v>
      </c>
      <c r="CO178" s="139" t="s">
        <v>583</v>
      </c>
      <c r="CP178" s="139" t="s">
        <v>583</v>
      </c>
      <c r="CQ178" s="140">
        <v>115439.16</v>
      </c>
      <c r="CR178" s="140">
        <v>7043047</v>
      </c>
      <c r="CS178" s="140">
        <v>0</v>
      </c>
      <c r="CT178" s="140">
        <v>1</v>
      </c>
      <c r="CU178" s="140">
        <v>7043047.2599999998</v>
      </c>
      <c r="CV178" s="99">
        <v>86412.99</v>
      </c>
      <c r="CW178" s="139" t="s">
        <v>606</v>
      </c>
      <c r="CX178" s="140">
        <v>17.023800000000001</v>
      </c>
      <c r="CY178" s="140"/>
      <c r="CZ178" s="140"/>
      <c r="DA178" s="140" t="s">
        <v>933</v>
      </c>
      <c r="DB178" s="140">
        <v>232</v>
      </c>
      <c r="DC178" s="140"/>
    </row>
    <row r="179" spans="2:107" ht="11.25" customHeight="1" x14ac:dyDescent="0.15">
      <c r="B179" s="139" t="s">
        <v>577</v>
      </c>
      <c r="C179" s="140" t="s">
        <v>1565</v>
      </c>
      <c r="D179" s="140">
        <v>4</v>
      </c>
      <c r="E179" s="139" t="s">
        <v>1573</v>
      </c>
      <c r="F179" s="139" t="s">
        <v>580</v>
      </c>
      <c r="G179" s="140" t="s">
        <v>1565</v>
      </c>
      <c r="H179" s="139" t="s">
        <v>1574</v>
      </c>
      <c r="I179" s="140" t="s">
        <v>421</v>
      </c>
      <c r="J179" s="139" t="s">
        <v>582</v>
      </c>
      <c r="K179" s="139" t="s">
        <v>583</v>
      </c>
      <c r="L179" s="139" t="s">
        <v>583</v>
      </c>
      <c r="M179" s="139" t="s">
        <v>583</v>
      </c>
      <c r="N179" s="139" t="s">
        <v>584</v>
      </c>
      <c r="O179" s="139" t="s">
        <v>1265</v>
      </c>
      <c r="P179" s="139" t="s">
        <v>583</v>
      </c>
      <c r="Q179" s="139" t="s">
        <v>583</v>
      </c>
      <c r="R179" s="140">
        <v>1</v>
      </c>
      <c r="S179" s="140">
        <v>0</v>
      </c>
      <c r="T179" s="140">
        <v>1</v>
      </c>
      <c r="U179" s="140">
        <v>305</v>
      </c>
      <c r="V179" s="139" t="s">
        <v>586</v>
      </c>
      <c r="W179" s="139" t="s">
        <v>587</v>
      </c>
      <c r="X179" s="139" t="s">
        <v>588</v>
      </c>
      <c r="Y179" s="139" t="s">
        <v>589</v>
      </c>
      <c r="Z179" s="139" t="s">
        <v>590</v>
      </c>
      <c r="AA179" s="139" t="s">
        <v>591</v>
      </c>
      <c r="AB179" s="139" t="s">
        <v>586</v>
      </c>
      <c r="AC179" s="139" t="s">
        <v>587</v>
      </c>
      <c r="AD179" s="139" t="s">
        <v>588</v>
      </c>
      <c r="AE179" s="139" t="s">
        <v>589</v>
      </c>
      <c r="AF179" s="139" t="s">
        <v>590</v>
      </c>
      <c r="AG179" s="139" t="s">
        <v>591</v>
      </c>
      <c r="AH179" s="139" t="s">
        <v>592</v>
      </c>
      <c r="AI179" s="139" t="s">
        <v>429</v>
      </c>
      <c r="AJ179" s="140">
        <v>7310472.7999999998</v>
      </c>
      <c r="AK179" s="139" t="s">
        <v>586</v>
      </c>
      <c r="AL179" s="139" t="s">
        <v>587</v>
      </c>
      <c r="AM179" s="139" t="s">
        <v>588</v>
      </c>
      <c r="AN179" s="139" t="s">
        <v>589</v>
      </c>
      <c r="AO179" s="139" t="s">
        <v>590</v>
      </c>
      <c r="AP179" s="139" t="s">
        <v>591</v>
      </c>
      <c r="AQ179" s="139" t="s">
        <v>592</v>
      </c>
      <c r="AR179" s="139" t="s">
        <v>429</v>
      </c>
      <c r="AS179" s="139" t="s">
        <v>429</v>
      </c>
      <c r="AT179" s="139" t="s">
        <v>593</v>
      </c>
      <c r="AU179" s="139" t="s">
        <v>437</v>
      </c>
      <c r="AV179" s="140">
        <v>2</v>
      </c>
      <c r="AW179" s="139" t="s">
        <v>594</v>
      </c>
      <c r="AX179" s="139" t="s">
        <v>595</v>
      </c>
      <c r="AY179" s="139" t="s">
        <v>596</v>
      </c>
      <c r="AZ179" s="140">
        <v>1</v>
      </c>
      <c r="BA179" s="139" t="s">
        <v>597</v>
      </c>
      <c r="BB179" s="140">
        <v>78080</v>
      </c>
      <c r="BC179" s="140">
        <v>7039982</v>
      </c>
      <c r="BD179" s="140">
        <v>89694.1</v>
      </c>
      <c r="BE179" s="140">
        <v>90.163700000000006</v>
      </c>
      <c r="BF179" s="139" t="s">
        <v>880</v>
      </c>
      <c r="BG179" s="139" t="s">
        <v>583</v>
      </c>
      <c r="BH179" s="139" t="s">
        <v>958</v>
      </c>
      <c r="BI179" s="139" t="s">
        <v>598</v>
      </c>
      <c r="BJ179" s="139" t="s">
        <v>624</v>
      </c>
      <c r="BK179" s="139" t="s">
        <v>1142</v>
      </c>
      <c r="BL179" s="139" t="s">
        <v>583</v>
      </c>
      <c r="BM179" s="139" t="s">
        <v>583</v>
      </c>
      <c r="BN179" s="139" t="s">
        <v>1143</v>
      </c>
      <c r="BO179" s="139" t="s">
        <v>1144</v>
      </c>
      <c r="BP179" s="139" t="s">
        <v>1145</v>
      </c>
      <c r="BQ179" s="139" t="s">
        <v>611</v>
      </c>
      <c r="BR179" s="140">
        <v>1</v>
      </c>
      <c r="BS179" s="139" t="s">
        <v>601</v>
      </c>
      <c r="BT179" s="99">
        <f t="shared" si="10"/>
        <v>0</v>
      </c>
      <c r="BU179" s="99">
        <f t="shared" si="10"/>
        <v>1</v>
      </c>
      <c r="BV179" s="99">
        <f t="shared" si="8"/>
        <v>1</v>
      </c>
      <c r="BW179" s="139" t="s">
        <v>602</v>
      </c>
      <c r="BX179" s="139" t="s">
        <v>584</v>
      </c>
      <c r="BY179" s="140">
        <v>305</v>
      </c>
      <c r="BZ179" s="140">
        <v>0</v>
      </c>
      <c r="CA179" s="99">
        <v>61000</v>
      </c>
      <c r="CB179" s="140" t="s">
        <v>603</v>
      </c>
      <c r="CC179" s="140">
        <v>0</v>
      </c>
      <c r="CD179" s="140"/>
      <c r="CE179" s="139" t="s">
        <v>577</v>
      </c>
      <c r="CF179" s="139" t="s">
        <v>604</v>
      </c>
      <c r="CG179" s="139" t="s">
        <v>583</v>
      </c>
      <c r="CH179" s="139" t="s">
        <v>583</v>
      </c>
      <c r="CI179" s="139" t="s">
        <v>592</v>
      </c>
      <c r="CJ179" s="140">
        <v>6710</v>
      </c>
      <c r="CK179" s="140" t="s">
        <v>605</v>
      </c>
      <c r="CL179" s="140">
        <v>4000000</v>
      </c>
      <c r="CM179" s="99">
        <v>6405</v>
      </c>
      <c r="CN179" s="140">
        <v>0</v>
      </c>
      <c r="CO179" s="139" t="s">
        <v>583</v>
      </c>
      <c r="CP179" s="139" t="s">
        <v>583</v>
      </c>
      <c r="CQ179" s="140">
        <v>78080</v>
      </c>
      <c r="CR179" s="140">
        <v>7039982</v>
      </c>
      <c r="CS179" s="140">
        <v>0</v>
      </c>
      <c r="CT179" s="140">
        <v>1</v>
      </c>
      <c r="CU179" s="140">
        <v>7310472.7999999998</v>
      </c>
      <c r="CV179" s="99">
        <v>89694.1</v>
      </c>
      <c r="CW179" s="139" t="s">
        <v>606</v>
      </c>
      <c r="CX179" s="140">
        <v>14.0038</v>
      </c>
      <c r="CY179" s="140"/>
      <c r="CZ179" s="140"/>
      <c r="DA179" s="140" t="s">
        <v>856</v>
      </c>
      <c r="DB179" s="140">
        <v>1511</v>
      </c>
      <c r="DC179" s="140"/>
    </row>
    <row r="180" spans="2:107" ht="11.25" customHeight="1" x14ac:dyDescent="0.15">
      <c r="B180" s="139" t="s">
        <v>577</v>
      </c>
      <c r="C180" s="140" t="s">
        <v>1575</v>
      </c>
      <c r="D180" s="140">
        <v>4</v>
      </c>
      <c r="E180" s="139" t="s">
        <v>1576</v>
      </c>
      <c r="F180" s="139" t="s">
        <v>618</v>
      </c>
      <c r="G180" s="140" t="s">
        <v>1575</v>
      </c>
      <c r="H180" s="139" t="s">
        <v>1577</v>
      </c>
      <c r="I180" s="140" t="s">
        <v>421</v>
      </c>
      <c r="J180" s="139" t="s">
        <v>582</v>
      </c>
      <c r="K180" s="139" t="s">
        <v>583</v>
      </c>
      <c r="L180" s="139" t="s">
        <v>583</v>
      </c>
      <c r="M180" s="139" t="s">
        <v>583</v>
      </c>
      <c r="N180" s="139" t="s">
        <v>1578</v>
      </c>
      <c r="O180" s="139" t="s">
        <v>1579</v>
      </c>
      <c r="P180" s="139" t="s">
        <v>583</v>
      </c>
      <c r="Q180" s="139" t="s">
        <v>583</v>
      </c>
      <c r="R180" s="140">
        <v>1</v>
      </c>
      <c r="S180" s="140">
        <v>0</v>
      </c>
      <c r="T180" s="140">
        <v>1</v>
      </c>
      <c r="U180" s="140">
        <v>82</v>
      </c>
      <c r="V180" s="139" t="s">
        <v>1192</v>
      </c>
      <c r="W180" s="139" t="s">
        <v>1193</v>
      </c>
      <c r="X180" s="139" t="s">
        <v>1194</v>
      </c>
      <c r="Y180" s="139" t="s">
        <v>1580</v>
      </c>
      <c r="Z180" s="139" t="s">
        <v>1196</v>
      </c>
      <c r="AA180" s="139" t="s">
        <v>1197</v>
      </c>
      <c r="AB180" s="139" t="s">
        <v>1192</v>
      </c>
      <c r="AC180" s="139" t="s">
        <v>1193</v>
      </c>
      <c r="AD180" s="139" t="s">
        <v>1194</v>
      </c>
      <c r="AE180" s="139" t="s">
        <v>1580</v>
      </c>
      <c r="AF180" s="139" t="s">
        <v>1196</v>
      </c>
      <c r="AG180" s="139" t="s">
        <v>1197</v>
      </c>
      <c r="AH180" s="139" t="s">
        <v>621</v>
      </c>
      <c r="AI180" s="139" t="s">
        <v>430</v>
      </c>
      <c r="AJ180" s="140">
        <v>10212620.640000001</v>
      </c>
      <c r="AK180" s="139" t="s">
        <v>1192</v>
      </c>
      <c r="AL180" s="139" t="s">
        <v>1193</v>
      </c>
      <c r="AM180" s="139" t="s">
        <v>1194</v>
      </c>
      <c r="AN180" s="139" t="s">
        <v>1580</v>
      </c>
      <c r="AO180" s="139" t="s">
        <v>1196</v>
      </c>
      <c r="AP180" s="139" t="s">
        <v>1197</v>
      </c>
      <c r="AQ180" s="139" t="s">
        <v>621</v>
      </c>
      <c r="AR180" s="139" t="s">
        <v>430</v>
      </c>
      <c r="AS180" s="139" t="s">
        <v>430</v>
      </c>
      <c r="AT180" s="139" t="s">
        <v>593</v>
      </c>
      <c r="AU180" s="139" t="s">
        <v>437</v>
      </c>
      <c r="AV180" s="140">
        <v>0</v>
      </c>
      <c r="AW180" s="139" t="s">
        <v>594</v>
      </c>
      <c r="AX180" s="139" t="s">
        <v>622</v>
      </c>
      <c r="AY180" s="139" t="s">
        <v>1581</v>
      </c>
      <c r="AZ180" s="140">
        <v>1</v>
      </c>
      <c r="BA180" s="139" t="s">
        <v>597</v>
      </c>
      <c r="BB180" s="140">
        <v>113469.15</v>
      </c>
      <c r="BC180" s="140">
        <v>10212621</v>
      </c>
      <c r="BD180" s="140">
        <v>125038.51</v>
      </c>
      <c r="BE180" s="140">
        <v>90.003500000000003</v>
      </c>
      <c r="BF180" s="139" t="s">
        <v>880</v>
      </c>
      <c r="BG180" s="139" t="s">
        <v>582</v>
      </c>
      <c r="BH180" s="139" t="s">
        <v>1582</v>
      </c>
      <c r="BI180" s="139" t="s">
        <v>598</v>
      </c>
      <c r="BJ180" s="139" t="s">
        <v>624</v>
      </c>
      <c r="BK180" s="139" t="s">
        <v>882</v>
      </c>
      <c r="BL180" s="139" t="s">
        <v>583</v>
      </c>
      <c r="BM180" s="139" t="s">
        <v>953</v>
      </c>
      <c r="BN180" s="139" t="s">
        <v>583</v>
      </c>
      <c r="BO180" s="139" t="s">
        <v>623</v>
      </c>
      <c r="BP180" s="139" t="s">
        <v>884</v>
      </c>
      <c r="BQ180" s="139" t="s">
        <v>625</v>
      </c>
      <c r="BR180" s="140">
        <v>1</v>
      </c>
      <c r="BS180" s="139" t="s">
        <v>1583</v>
      </c>
      <c r="BT180" s="99">
        <f t="shared" si="10"/>
        <v>1</v>
      </c>
      <c r="BU180" s="99">
        <f t="shared" si="10"/>
        <v>0</v>
      </c>
      <c r="BV180" s="99">
        <f t="shared" si="8"/>
        <v>1</v>
      </c>
      <c r="BW180" s="139" t="s">
        <v>602</v>
      </c>
      <c r="BX180" s="139" t="s">
        <v>1578</v>
      </c>
      <c r="BY180" s="140">
        <v>82</v>
      </c>
      <c r="BZ180" s="140">
        <v>0</v>
      </c>
      <c r="CA180" s="99">
        <v>16400</v>
      </c>
      <c r="CB180" s="140" t="s">
        <v>603</v>
      </c>
      <c r="CC180" s="140">
        <v>0</v>
      </c>
      <c r="CD180" s="140"/>
      <c r="CE180" s="139" t="s">
        <v>577</v>
      </c>
      <c r="CF180" s="139" t="s">
        <v>604</v>
      </c>
      <c r="CG180" s="139" t="s">
        <v>583</v>
      </c>
      <c r="CH180" s="139" t="s">
        <v>583</v>
      </c>
      <c r="CI180" s="139" t="s">
        <v>621</v>
      </c>
      <c r="CJ180" s="140">
        <v>1640</v>
      </c>
      <c r="CK180" s="140" t="s">
        <v>657</v>
      </c>
      <c r="CL180" s="140">
        <v>4000000</v>
      </c>
      <c r="CM180" s="99">
        <v>1558</v>
      </c>
      <c r="CN180" s="140">
        <v>0</v>
      </c>
      <c r="CO180" s="139" t="s">
        <v>583</v>
      </c>
      <c r="CP180" s="139" t="s">
        <v>583</v>
      </c>
      <c r="CQ180" s="140">
        <v>113469.15</v>
      </c>
      <c r="CR180" s="140">
        <v>10212621</v>
      </c>
      <c r="CS180" s="140">
        <v>0</v>
      </c>
      <c r="CT180" s="140">
        <v>1</v>
      </c>
      <c r="CU180" s="140">
        <v>10212620.640000001</v>
      </c>
      <c r="CV180" s="99">
        <v>125038.51</v>
      </c>
      <c r="CW180" s="139" t="s">
        <v>606</v>
      </c>
      <c r="CX180" s="140">
        <v>80.255799999999994</v>
      </c>
      <c r="CY180" s="140"/>
      <c r="CZ180" s="140"/>
      <c r="DA180" s="140" t="s">
        <v>933</v>
      </c>
      <c r="DB180" s="140">
        <v>882</v>
      </c>
      <c r="DC180" s="140"/>
    </row>
    <row r="181" spans="2:107" ht="11.25" customHeight="1" x14ac:dyDescent="0.15">
      <c r="B181" s="139" t="s">
        <v>577</v>
      </c>
      <c r="C181" s="140" t="s">
        <v>1575</v>
      </c>
      <c r="D181" s="140">
        <v>4</v>
      </c>
      <c r="E181" s="139" t="s">
        <v>1584</v>
      </c>
      <c r="F181" s="139" t="s">
        <v>580</v>
      </c>
      <c r="G181" s="140" t="s">
        <v>1575</v>
      </c>
      <c r="H181" s="139" t="s">
        <v>1585</v>
      </c>
      <c r="I181" s="140" t="s">
        <v>421</v>
      </c>
      <c r="J181" s="139" t="s">
        <v>582</v>
      </c>
      <c r="K181" s="139" t="s">
        <v>583</v>
      </c>
      <c r="L181" s="139" t="s">
        <v>583</v>
      </c>
      <c r="M181" s="139" t="s">
        <v>583</v>
      </c>
      <c r="N181" s="139" t="s">
        <v>731</v>
      </c>
      <c r="O181" s="139" t="s">
        <v>1586</v>
      </c>
      <c r="P181" s="139" t="s">
        <v>583</v>
      </c>
      <c r="Q181" s="139" t="s">
        <v>583</v>
      </c>
      <c r="R181" s="140">
        <v>1</v>
      </c>
      <c r="S181" s="140">
        <v>0</v>
      </c>
      <c r="T181" s="140">
        <v>1</v>
      </c>
      <c r="U181" s="140">
        <v>328</v>
      </c>
      <c r="V181" s="139" t="s">
        <v>586</v>
      </c>
      <c r="W181" s="139" t="s">
        <v>587</v>
      </c>
      <c r="X181" s="139" t="s">
        <v>588</v>
      </c>
      <c r="Y181" s="139" t="s">
        <v>589</v>
      </c>
      <c r="Z181" s="139" t="s">
        <v>590</v>
      </c>
      <c r="AA181" s="139" t="s">
        <v>591</v>
      </c>
      <c r="AB181" s="139" t="s">
        <v>586</v>
      </c>
      <c r="AC181" s="139" t="s">
        <v>587</v>
      </c>
      <c r="AD181" s="139" t="s">
        <v>588</v>
      </c>
      <c r="AE181" s="139" t="s">
        <v>589</v>
      </c>
      <c r="AF181" s="139" t="s">
        <v>590</v>
      </c>
      <c r="AG181" s="139" t="s">
        <v>591</v>
      </c>
      <c r="AH181" s="139" t="s">
        <v>733</v>
      </c>
      <c r="AI181" s="139" t="s">
        <v>432</v>
      </c>
      <c r="AJ181" s="140">
        <v>10922824.76</v>
      </c>
      <c r="AK181" s="139" t="s">
        <v>586</v>
      </c>
      <c r="AL181" s="139" t="s">
        <v>587</v>
      </c>
      <c r="AM181" s="139" t="s">
        <v>588</v>
      </c>
      <c r="AN181" s="139" t="s">
        <v>589</v>
      </c>
      <c r="AO181" s="139" t="s">
        <v>590</v>
      </c>
      <c r="AP181" s="139" t="s">
        <v>591</v>
      </c>
      <c r="AQ181" s="139" t="s">
        <v>733</v>
      </c>
      <c r="AR181" s="139" t="s">
        <v>432</v>
      </c>
      <c r="AS181" s="139" t="s">
        <v>432</v>
      </c>
      <c r="AT181" s="139" t="s">
        <v>593</v>
      </c>
      <c r="AU181" s="139" t="s">
        <v>437</v>
      </c>
      <c r="AV181" s="140">
        <v>2</v>
      </c>
      <c r="AW181" s="139" t="s">
        <v>594</v>
      </c>
      <c r="AX181" s="139" t="s">
        <v>653</v>
      </c>
      <c r="AY181" s="139" t="s">
        <v>850</v>
      </c>
      <c r="AZ181" s="140">
        <v>1</v>
      </c>
      <c r="BA181" s="139" t="s">
        <v>597</v>
      </c>
      <c r="BB181" s="140">
        <v>121360</v>
      </c>
      <c r="BC181" s="140">
        <v>10922825</v>
      </c>
      <c r="BD181" s="140">
        <v>133733.92000000001</v>
      </c>
      <c r="BE181" s="140">
        <v>90.003500000000003</v>
      </c>
      <c r="BF181" s="139" t="s">
        <v>880</v>
      </c>
      <c r="BG181" s="139" t="s">
        <v>583</v>
      </c>
      <c r="BH181" s="139" t="s">
        <v>987</v>
      </c>
      <c r="BI181" s="139" t="s">
        <v>598</v>
      </c>
      <c r="BJ181" s="139" t="s">
        <v>599</v>
      </c>
      <c r="BK181" s="139" t="s">
        <v>583</v>
      </c>
      <c r="BL181" s="139" t="s">
        <v>583</v>
      </c>
      <c r="BM181" s="139" t="s">
        <v>583</v>
      </c>
      <c r="BN181" s="139" t="s">
        <v>853</v>
      </c>
      <c r="BO181" s="139" t="s">
        <v>854</v>
      </c>
      <c r="BP181" s="139" t="s">
        <v>959</v>
      </c>
      <c r="BQ181" s="139" t="s">
        <v>600</v>
      </c>
      <c r="BR181" s="140">
        <v>1</v>
      </c>
      <c r="BS181" s="139" t="s">
        <v>988</v>
      </c>
      <c r="BT181" s="99">
        <f t="shared" si="10"/>
        <v>0</v>
      </c>
      <c r="BU181" s="99">
        <f t="shared" si="10"/>
        <v>1</v>
      </c>
      <c r="BV181" s="99">
        <f t="shared" si="8"/>
        <v>1</v>
      </c>
      <c r="BW181" s="139" t="s">
        <v>602</v>
      </c>
      <c r="BX181" s="139" t="s">
        <v>731</v>
      </c>
      <c r="BY181" s="140">
        <v>328</v>
      </c>
      <c r="BZ181" s="140">
        <v>0</v>
      </c>
      <c r="CA181" s="99">
        <v>65600</v>
      </c>
      <c r="CB181" s="140" t="s">
        <v>603</v>
      </c>
      <c r="CC181" s="140">
        <v>0</v>
      </c>
      <c r="CD181" s="140"/>
      <c r="CE181" s="139" t="s">
        <v>577</v>
      </c>
      <c r="CF181" s="139" t="s">
        <v>604</v>
      </c>
      <c r="CG181" s="139" t="s">
        <v>583</v>
      </c>
      <c r="CH181" s="139" t="s">
        <v>583</v>
      </c>
      <c r="CI181" s="139" t="s">
        <v>733</v>
      </c>
      <c r="CJ181" s="140">
        <v>7216</v>
      </c>
      <c r="CK181" s="140" t="s">
        <v>605</v>
      </c>
      <c r="CL181" s="140">
        <v>4000000</v>
      </c>
      <c r="CM181" s="99">
        <v>6560</v>
      </c>
      <c r="CN181" s="140">
        <v>0</v>
      </c>
      <c r="CO181" s="139" t="s">
        <v>583</v>
      </c>
      <c r="CP181" s="139" t="s">
        <v>583</v>
      </c>
      <c r="CQ181" s="140">
        <v>121360</v>
      </c>
      <c r="CR181" s="140">
        <v>10922825</v>
      </c>
      <c r="CS181" s="140">
        <v>0</v>
      </c>
      <c r="CT181" s="140">
        <v>1</v>
      </c>
      <c r="CU181" s="140">
        <v>10922824.76</v>
      </c>
      <c r="CV181" s="99">
        <v>133733.92000000001</v>
      </c>
      <c r="CW181" s="139" t="s">
        <v>606</v>
      </c>
      <c r="CX181" s="140">
        <v>20.386299999999999</v>
      </c>
      <c r="CY181" s="140"/>
      <c r="CZ181" s="140"/>
      <c r="DA181" s="140" t="s">
        <v>856</v>
      </c>
      <c r="DB181" s="140">
        <v>1108</v>
      </c>
      <c r="DC181" s="140"/>
    </row>
    <row r="182" spans="2:107" ht="11.25" customHeight="1" x14ac:dyDescent="0.15">
      <c r="B182" s="139" t="s">
        <v>577</v>
      </c>
      <c r="C182" s="140" t="s">
        <v>1542</v>
      </c>
      <c r="D182" s="140">
        <v>4</v>
      </c>
      <c r="E182" s="139" t="s">
        <v>1587</v>
      </c>
      <c r="F182" s="139" t="s">
        <v>729</v>
      </c>
      <c r="G182" s="140" t="s">
        <v>1542</v>
      </c>
      <c r="H182" s="139" t="s">
        <v>1588</v>
      </c>
      <c r="I182" s="140" t="s">
        <v>421</v>
      </c>
      <c r="J182" s="139" t="s">
        <v>582</v>
      </c>
      <c r="K182" s="139" t="s">
        <v>583</v>
      </c>
      <c r="L182" s="139" t="s">
        <v>583</v>
      </c>
      <c r="M182" s="139" t="s">
        <v>583</v>
      </c>
      <c r="N182" s="139" t="s">
        <v>731</v>
      </c>
      <c r="O182" s="139" t="s">
        <v>1589</v>
      </c>
      <c r="P182" s="139" t="s">
        <v>583</v>
      </c>
      <c r="Q182" s="139" t="s">
        <v>583</v>
      </c>
      <c r="R182" s="140">
        <v>1</v>
      </c>
      <c r="S182" s="140">
        <v>0</v>
      </c>
      <c r="T182" s="140">
        <v>1</v>
      </c>
      <c r="U182" s="140">
        <v>357</v>
      </c>
      <c r="V182" s="139" t="s">
        <v>691</v>
      </c>
      <c r="W182" s="139" t="s">
        <v>692</v>
      </c>
      <c r="X182" s="139" t="s">
        <v>693</v>
      </c>
      <c r="Y182" s="139" t="s">
        <v>694</v>
      </c>
      <c r="Z182" s="139" t="s">
        <v>695</v>
      </c>
      <c r="AA182" s="139" t="s">
        <v>696</v>
      </c>
      <c r="AB182" s="139" t="s">
        <v>691</v>
      </c>
      <c r="AC182" s="139" t="s">
        <v>692</v>
      </c>
      <c r="AD182" s="139" t="s">
        <v>693</v>
      </c>
      <c r="AE182" s="139" t="s">
        <v>694</v>
      </c>
      <c r="AF182" s="139" t="s">
        <v>695</v>
      </c>
      <c r="AG182" s="139" t="s">
        <v>696</v>
      </c>
      <c r="AH182" s="139" t="s">
        <v>733</v>
      </c>
      <c r="AI182" s="139" t="s">
        <v>432</v>
      </c>
      <c r="AJ182" s="140">
        <v>11589977.810000001</v>
      </c>
      <c r="AK182" s="139" t="s">
        <v>691</v>
      </c>
      <c r="AL182" s="139" t="s">
        <v>692</v>
      </c>
      <c r="AM182" s="139" t="s">
        <v>693</v>
      </c>
      <c r="AN182" s="139" t="s">
        <v>694</v>
      </c>
      <c r="AO182" s="139" t="s">
        <v>695</v>
      </c>
      <c r="AP182" s="139" t="s">
        <v>696</v>
      </c>
      <c r="AQ182" s="139" t="s">
        <v>733</v>
      </c>
      <c r="AR182" s="139" t="s">
        <v>432</v>
      </c>
      <c r="AS182" s="139" t="s">
        <v>432</v>
      </c>
      <c r="AT182" s="139" t="s">
        <v>593</v>
      </c>
      <c r="AU182" s="139" t="s">
        <v>437</v>
      </c>
      <c r="AV182" s="140">
        <v>2</v>
      </c>
      <c r="AW182" s="139" t="s">
        <v>594</v>
      </c>
      <c r="AX182" s="139" t="s">
        <v>653</v>
      </c>
      <c r="AY182" s="139" t="s">
        <v>734</v>
      </c>
      <c r="AZ182" s="140">
        <v>1</v>
      </c>
      <c r="BA182" s="139" t="s">
        <v>597</v>
      </c>
      <c r="BB182" s="140">
        <v>129122</v>
      </c>
      <c r="BC182" s="140">
        <v>11589978</v>
      </c>
      <c r="BD182" s="140">
        <v>141180.38</v>
      </c>
      <c r="BE182" s="140">
        <v>89.759900000000002</v>
      </c>
      <c r="BF182" s="139" t="s">
        <v>880</v>
      </c>
      <c r="BG182" s="139" t="s">
        <v>583</v>
      </c>
      <c r="BH182" s="139" t="s">
        <v>736</v>
      </c>
      <c r="BI182" s="139" t="s">
        <v>598</v>
      </c>
      <c r="BJ182" s="139" t="s">
        <v>599</v>
      </c>
      <c r="BK182" s="139" t="s">
        <v>583</v>
      </c>
      <c r="BL182" s="139" t="s">
        <v>1475</v>
      </c>
      <c r="BM182" s="139" t="s">
        <v>891</v>
      </c>
      <c r="BN182" s="139" t="s">
        <v>738</v>
      </c>
      <c r="BO182" s="139" t="s">
        <v>1476</v>
      </c>
      <c r="BP182" s="139" t="s">
        <v>1477</v>
      </c>
      <c r="BQ182" s="139" t="s">
        <v>741</v>
      </c>
      <c r="BR182" s="140">
        <v>1</v>
      </c>
      <c r="BS182" s="139" t="s">
        <v>742</v>
      </c>
      <c r="BT182" s="99">
        <f t="shared" si="10"/>
        <v>0</v>
      </c>
      <c r="BU182" s="99">
        <f t="shared" si="10"/>
        <v>0</v>
      </c>
      <c r="BV182" s="99">
        <f t="shared" si="8"/>
        <v>0</v>
      </c>
      <c r="BW182" s="139" t="s">
        <v>743</v>
      </c>
      <c r="BX182" s="139" t="s">
        <v>731</v>
      </c>
      <c r="BY182" s="140">
        <v>357</v>
      </c>
      <c r="BZ182" s="140">
        <v>0</v>
      </c>
      <c r="CA182" s="99">
        <v>71400</v>
      </c>
      <c r="CB182" s="140" t="s">
        <v>603</v>
      </c>
      <c r="CC182" s="140">
        <v>0</v>
      </c>
      <c r="CD182" s="140"/>
      <c r="CE182" s="139" t="s">
        <v>577</v>
      </c>
      <c r="CF182" s="139" t="s">
        <v>604</v>
      </c>
      <c r="CG182" s="139" t="s">
        <v>583</v>
      </c>
      <c r="CH182" s="139" t="s">
        <v>583</v>
      </c>
      <c r="CI182" s="139" t="s">
        <v>733</v>
      </c>
      <c r="CJ182" s="140">
        <v>7854</v>
      </c>
      <c r="CK182" s="140" t="s">
        <v>605</v>
      </c>
      <c r="CL182" s="140">
        <v>4000000</v>
      </c>
      <c r="CM182" s="99">
        <v>7140</v>
      </c>
      <c r="CN182" s="140">
        <v>0</v>
      </c>
      <c r="CO182" s="139" t="s">
        <v>583</v>
      </c>
      <c r="CP182" s="139" t="s">
        <v>583</v>
      </c>
      <c r="CQ182" s="140">
        <v>129122</v>
      </c>
      <c r="CR182" s="140">
        <v>11589978</v>
      </c>
      <c r="CS182" s="140">
        <v>0</v>
      </c>
      <c r="CT182" s="140">
        <v>1</v>
      </c>
      <c r="CU182" s="140">
        <v>11589977.810000001</v>
      </c>
      <c r="CV182" s="99">
        <v>141180.38</v>
      </c>
      <c r="CW182" s="139" t="s">
        <v>606</v>
      </c>
      <c r="CX182" s="140">
        <v>19.773199999999999</v>
      </c>
      <c r="CY182" s="140">
        <v>933</v>
      </c>
      <c r="CZ182" s="140" t="s">
        <v>894</v>
      </c>
      <c r="DA182" s="140" t="s">
        <v>1480</v>
      </c>
      <c r="DB182" s="140">
        <v>296</v>
      </c>
      <c r="DC182" s="140"/>
    </row>
    <row r="183" spans="2:107" ht="11.25" customHeight="1" x14ac:dyDescent="0.15">
      <c r="B183" s="139" t="s">
        <v>577</v>
      </c>
      <c r="C183" s="140" t="s">
        <v>1590</v>
      </c>
      <c r="D183" s="140">
        <v>4</v>
      </c>
      <c r="E183" s="139" t="s">
        <v>1591</v>
      </c>
      <c r="F183" s="139" t="s">
        <v>580</v>
      </c>
      <c r="G183" s="140" t="s">
        <v>1590</v>
      </c>
      <c r="H183" s="139" t="s">
        <v>1592</v>
      </c>
      <c r="I183" s="140" t="s">
        <v>421</v>
      </c>
      <c r="J183" s="139" t="s">
        <v>582</v>
      </c>
      <c r="K183" s="139" t="s">
        <v>583</v>
      </c>
      <c r="L183" s="139" t="s">
        <v>583</v>
      </c>
      <c r="M183" s="139" t="s">
        <v>583</v>
      </c>
      <c r="N183" s="139" t="s">
        <v>1593</v>
      </c>
      <c r="O183" s="139" t="s">
        <v>1594</v>
      </c>
      <c r="P183" s="139" t="s">
        <v>583</v>
      </c>
      <c r="Q183" s="139" t="s">
        <v>583</v>
      </c>
      <c r="R183" s="140">
        <v>1</v>
      </c>
      <c r="S183" s="140">
        <v>0</v>
      </c>
      <c r="T183" s="140">
        <v>1</v>
      </c>
      <c r="U183" s="140">
        <v>8</v>
      </c>
      <c r="V183" s="139" t="s">
        <v>907</v>
      </c>
      <c r="W183" s="139" t="s">
        <v>908</v>
      </c>
      <c r="X183" s="139" t="s">
        <v>909</v>
      </c>
      <c r="Y183" s="139" t="s">
        <v>1595</v>
      </c>
      <c r="Z183" s="139" t="s">
        <v>644</v>
      </c>
      <c r="AA183" s="139" t="s">
        <v>911</v>
      </c>
      <c r="AB183" s="139" t="s">
        <v>907</v>
      </c>
      <c r="AC183" s="139" t="s">
        <v>908</v>
      </c>
      <c r="AD183" s="139" t="s">
        <v>909</v>
      </c>
      <c r="AE183" s="139" t="s">
        <v>1595</v>
      </c>
      <c r="AF183" s="139" t="s">
        <v>644</v>
      </c>
      <c r="AG183" s="139" t="s">
        <v>911</v>
      </c>
      <c r="AH183" s="139" t="s">
        <v>751</v>
      </c>
      <c r="AI183" s="139" t="s">
        <v>433</v>
      </c>
      <c r="AJ183" s="140">
        <v>6076846.8099999996</v>
      </c>
      <c r="AK183" s="139" t="s">
        <v>907</v>
      </c>
      <c r="AL183" s="139" t="s">
        <v>908</v>
      </c>
      <c r="AM183" s="139" t="s">
        <v>909</v>
      </c>
      <c r="AN183" s="139" t="s">
        <v>1595</v>
      </c>
      <c r="AO183" s="139" t="s">
        <v>644</v>
      </c>
      <c r="AP183" s="139" t="s">
        <v>911</v>
      </c>
      <c r="AQ183" s="139" t="s">
        <v>751</v>
      </c>
      <c r="AR183" s="139" t="s">
        <v>433</v>
      </c>
      <c r="AS183" s="139" t="s">
        <v>433</v>
      </c>
      <c r="AT183" s="139" t="s">
        <v>593</v>
      </c>
      <c r="AU183" s="139" t="s">
        <v>437</v>
      </c>
      <c r="AV183" s="140">
        <v>2</v>
      </c>
      <c r="AW183" s="139" t="s">
        <v>594</v>
      </c>
      <c r="AX183" s="139" t="s">
        <v>595</v>
      </c>
      <c r="AY183" s="139" t="s">
        <v>1596</v>
      </c>
      <c r="AZ183" s="140">
        <v>1</v>
      </c>
      <c r="BA183" s="139" t="s">
        <v>597</v>
      </c>
      <c r="BB183" s="140">
        <v>63000</v>
      </c>
      <c r="BC183" s="140">
        <v>5652807</v>
      </c>
      <c r="BD183" s="140">
        <v>73945.66</v>
      </c>
      <c r="BE183" s="140">
        <v>89.727099999999993</v>
      </c>
      <c r="BF183" s="139" t="s">
        <v>880</v>
      </c>
      <c r="BG183" s="139" t="s">
        <v>583</v>
      </c>
      <c r="BH183" s="139" t="s">
        <v>1597</v>
      </c>
      <c r="BI183" s="139" t="s">
        <v>598</v>
      </c>
      <c r="BJ183" s="139" t="s">
        <v>624</v>
      </c>
      <c r="BK183" s="139" t="s">
        <v>914</v>
      </c>
      <c r="BL183" s="139" t="s">
        <v>583</v>
      </c>
      <c r="BM183" s="139" t="s">
        <v>915</v>
      </c>
      <c r="BN183" s="139" t="s">
        <v>916</v>
      </c>
      <c r="BO183" s="139" t="s">
        <v>917</v>
      </c>
      <c r="BP183" s="139" t="s">
        <v>918</v>
      </c>
      <c r="BQ183" s="139" t="s">
        <v>772</v>
      </c>
      <c r="BR183" s="140">
        <v>1</v>
      </c>
      <c r="BS183" s="139" t="s">
        <v>1247</v>
      </c>
      <c r="BT183" s="99">
        <f t="shared" si="10"/>
        <v>0</v>
      </c>
      <c r="BU183" s="99">
        <f t="shared" si="10"/>
        <v>1</v>
      </c>
      <c r="BV183" s="99">
        <f t="shared" si="8"/>
        <v>1</v>
      </c>
      <c r="BW183" s="139" t="s">
        <v>602</v>
      </c>
      <c r="BX183" s="139" t="s">
        <v>1593</v>
      </c>
      <c r="BY183" s="140">
        <v>8</v>
      </c>
      <c r="BZ183" s="140">
        <v>0</v>
      </c>
      <c r="CA183" s="99">
        <v>40000</v>
      </c>
      <c r="CB183" s="140" t="s">
        <v>603</v>
      </c>
      <c r="CC183" s="140">
        <v>0</v>
      </c>
      <c r="CD183" s="140"/>
      <c r="CE183" s="139" t="s">
        <v>577</v>
      </c>
      <c r="CF183" s="139" t="s">
        <v>604</v>
      </c>
      <c r="CG183" s="139" t="s">
        <v>583</v>
      </c>
      <c r="CH183" s="139" t="s">
        <v>583</v>
      </c>
      <c r="CI183" s="139" t="s">
        <v>751</v>
      </c>
      <c r="CJ183" s="140">
        <v>4400</v>
      </c>
      <c r="CK183" s="140" t="s">
        <v>605</v>
      </c>
      <c r="CL183" s="140">
        <v>4000000</v>
      </c>
      <c r="CM183" s="99">
        <v>4200</v>
      </c>
      <c r="CN183" s="140">
        <v>0</v>
      </c>
      <c r="CO183" s="139" t="s">
        <v>583</v>
      </c>
      <c r="CP183" s="139" t="s">
        <v>583</v>
      </c>
      <c r="CQ183" s="140">
        <v>63000</v>
      </c>
      <c r="CR183" s="140">
        <v>5652807</v>
      </c>
      <c r="CS183" s="140">
        <v>0</v>
      </c>
      <c r="CT183" s="140">
        <v>1</v>
      </c>
      <c r="CU183" s="140">
        <v>6076846.8099999996</v>
      </c>
      <c r="CV183" s="99">
        <v>73945.66</v>
      </c>
      <c r="CW183" s="139" t="s">
        <v>606</v>
      </c>
      <c r="CX183" s="140">
        <v>17.606100000000001</v>
      </c>
      <c r="CY183" s="140"/>
      <c r="CZ183" s="140"/>
      <c r="DA183" s="140" t="s">
        <v>920</v>
      </c>
      <c r="DB183" s="140">
        <v>1628</v>
      </c>
      <c r="DC183" s="140"/>
    </row>
    <row r="184" spans="2:107" ht="11.25" customHeight="1" x14ac:dyDescent="0.15">
      <c r="B184" s="139" t="s">
        <v>577</v>
      </c>
      <c r="C184" s="140" t="s">
        <v>1590</v>
      </c>
      <c r="D184" s="140">
        <v>4</v>
      </c>
      <c r="E184" s="139" t="s">
        <v>1598</v>
      </c>
      <c r="F184" s="139" t="s">
        <v>580</v>
      </c>
      <c r="G184" s="140" t="s">
        <v>1590</v>
      </c>
      <c r="H184" s="139" t="s">
        <v>1599</v>
      </c>
      <c r="I184" s="140" t="s">
        <v>421</v>
      </c>
      <c r="J184" s="139" t="s">
        <v>582</v>
      </c>
      <c r="K184" s="139" t="s">
        <v>583</v>
      </c>
      <c r="L184" s="139" t="s">
        <v>583</v>
      </c>
      <c r="M184" s="139" t="s">
        <v>583</v>
      </c>
      <c r="N184" s="139" t="s">
        <v>1532</v>
      </c>
      <c r="O184" s="139" t="s">
        <v>1600</v>
      </c>
      <c r="P184" s="139" t="s">
        <v>583</v>
      </c>
      <c r="Q184" s="139" t="s">
        <v>583</v>
      </c>
      <c r="R184" s="140">
        <v>1</v>
      </c>
      <c r="S184" s="140">
        <v>0</v>
      </c>
      <c r="T184" s="140">
        <v>1</v>
      </c>
      <c r="U184" s="140">
        <v>150</v>
      </c>
      <c r="V184" s="139" t="s">
        <v>640</v>
      </c>
      <c r="W184" s="139" t="s">
        <v>641</v>
      </c>
      <c r="X184" s="139" t="s">
        <v>642</v>
      </c>
      <c r="Y184" s="139" t="s">
        <v>643</v>
      </c>
      <c r="Z184" s="139" t="s">
        <v>644</v>
      </c>
      <c r="AA184" s="139" t="s">
        <v>645</v>
      </c>
      <c r="AB184" s="139" t="s">
        <v>640</v>
      </c>
      <c r="AC184" s="139" t="s">
        <v>641</v>
      </c>
      <c r="AD184" s="139" t="s">
        <v>642</v>
      </c>
      <c r="AE184" s="139" t="s">
        <v>643</v>
      </c>
      <c r="AF184" s="139" t="s">
        <v>644</v>
      </c>
      <c r="AG184" s="139" t="s">
        <v>645</v>
      </c>
      <c r="AH184" s="139" t="s">
        <v>1534</v>
      </c>
      <c r="AI184" s="139" t="s">
        <v>1535</v>
      </c>
      <c r="AJ184" s="140">
        <v>5094704.74</v>
      </c>
      <c r="AK184" s="139" t="s">
        <v>640</v>
      </c>
      <c r="AL184" s="139" t="s">
        <v>641</v>
      </c>
      <c r="AM184" s="139" t="s">
        <v>642</v>
      </c>
      <c r="AN184" s="139" t="s">
        <v>643</v>
      </c>
      <c r="AO184" s="139" t="s">
        <v>644</v>
      </c>
      <c r="AP184" s="139" t="s">
        <v>645</v>
      </c>
      <c r="AQ184" s="139" t="s">
        <v>759</v>
      </c>
      <c r="AR184" s="139" t="s">
        <v>434</v>
      </c>
      <c r="AS184" s="139" t="s">
        <v>434</v>
      </c>
      <c r="AT184" s="139" t="s">
        <v>593</v>
      </c>
      <c r="AU184" s="139" t="s">
        <v>437</v>
      </c>
      <c r="AV184" s="140">
        <v>2</v>
      </c>
      <c r="AW184" s="139" t="s">
        <v>594</v>
      </c>
      <c r="AX184" s="139" t="s">
        <v>595</v>
      </c>
      <c r="AY184" s="139" t="s">
        <v>1536</v>
      </c>
      <c r="AZ184" s="140">
        <v>1</v>
      </c>
      <c r="BA184" s="139" t="s">
        <v>597</v>
      </c>
      <c r="BB184" s="140">
        <v>56580</v>
      </c>
      <c r="BC184" s="140">
        <v>5076759</v>
      </c>
      <c r="BD184" s="140">
        <v>61994.54</v>
      </c>
      <c r="BE184" s="140">
        <v>89.727099999999993</v>
      </c>
      <c r="BF184" s="139" t="s">
        <v>880</v>
      </c>
      <c r="BG184" s="139" t="s">
        <v>583</v>
      </c>
      <c r="BH184" s="139" t="s">
        <v>1537</v>
      </c>
      <c r="BI184" s="139" t="s">
        <v>598</v>
      </c>
      <c r="BJ184" s="139" t="s">
        <v>599</v>
      </c>
      <c r="BK184" s="139" t="s">
        <v>583</v>
      </c>
      <c r="BL184" s="139" t="s">
        <v>583</v>
      </c>
      <c r="BM184" s="139" t="s">
        <v>939</v>
      </c>
      <c r="BN184" s="139" t="s">
        <v>916</v>
      </c>
      <c r="BO184" s="139" t="s">
        <v>917</v>
      </c>
      <c r="BP184" s="139" t="s">
        <v>918</v>
      </c>
      <c r="BQ184" s="139" t="s">
        <v>772</v>
      </c>
      <c r="BR184" s="140">
        <v>1</v>
      </c>
      <c r="BS184" s="139" t="s">
        <v>1538</v>
      </c>
      <c r="BT184" s="99">
        <f t="shared" si="10"/>
        <v>1</v>
      </c>
      <c r="BU184" s="99">
        <f t="shared" si="10"/>
        <v>1</v>
      </c>
      <c r="BV184" s="99">
        <f t="shared" si="8"/>
        <v>1</v>
      </c>
      <c r="BW184" s="139" t="s">
        <v>1539</v>
      </c>
      <c r="BX184" s="139" t="s">
        <v>1540</v>
      </c>
      <c r="BY184" s="140">
        <v>150</v>
      </c>
      <c r="BZ184" s="140">
        <v>0</v>
      </c>
      <c r="CA184" s="99">
        <v>30000</v>
      </c>
      <c r="CB184" s="140" t="s">
        <v>603</v>
      </c>
      <c r="CC184" s="140">
        <v>0</v>
      </c>
      <c r="CD184" s="140"/>
      <c r="CE184" s="139" t="s">
        <v>577</v>
      </c>
      <c r="CF184" s="139" t="s">
        <v>604</v>
      </c>
      <c r="CG184" s="139" t="s">
        <v>583</v>
      </c>
      <c r="CH184" s="139" t="s">
        <v>583</v>
      </c>
      <c r="CI184" s="139" t="s">
        <v>759</v>
      </c>
      <c r="CJ184" s="140">
        <v>3000</v>
      </c>
      <c r="CK184" s="140" t="s">
        <v>605</v>
      </c>
      <c r="CL184" s="140">
        <v>4000000</v>
      </c>
      <c r="CM184" s="99">
        <v>2850</v>
      </c>
      <c r="CN184" s="140">
        <v>0</v>
      </c>
      <c r="CO184" s="139" t="s">
        <v>583</v>
      </c>
      <c r="CP184" s="139" t="s">
        <v>583</v>
      </c>
      <c r="CQ184" s="140">
        <v>56580</v>
      </c>
      <c r="CR184" s="140">
        <v>5076759</v>
      </c>
      <c r="CS184" s="140">
        <v>0</v>
      </c>
      <c r="CT184" s="140">
        <v>1</v>
      </c>
      <c r="CU184" s="140">
        <v>5094704.74</v>
      </c>
      <c r="CV184" s="99">
        <v>61994.54</v>
      </c>
      <c r="CW184" s="139" t="s">
        <v>606</v>
      </c>
      <c r="CX184" s="140">
        <v>21.752500000000001</v>
      </c>
      <c r="CY184" s="140"/>
      <c r="CZ184" s="140"/>
      <c r="DA184" s="140" t="s">
        <v>941</v>
      </c>
      <c r="DB184" s="140">
        <v>1601</v>
      </c>
      <c r="DC184" s="140"/>
    </row>
    <row r="185" spans="2:107" ht="11.25" customHeight="1" x14ac:dyDescent="0.15">
      <c r="B185" s="139" t="s">
        <v>577</v>
      </c>
      <c r="C185" s="140" t="s">
        <v>1590</v>
      </c>
      <c r="D185" s="140">
        <v>4</v>
      </c>
      <c r="E185" s="139" t="s">
        <v>1601</v>
      </c>
      <c r="F185" s="139" t="s">
        <v>580</v>
      </c>
      <c r="G185" s="140" t="s">
        <v>1590</v>
      </c>
      <c r="H185" s="139" t="s">
        <v>1602</v>
      </c>
      <c r="I185" s="140" t="s">
        <v>421</v>
      </c>
      <c r="J185" s="139" t="s">
        <v>582</v>
      </c>
      <c r="K185" s="139" t="s">
        <v>583</v>
      </c>
      <c r="L185" s="139" t="s">
        <v>583</v>
      </c>
      <c r="M185" s="139" t="s">
        <v>583</v>
      </c>
      <c r="N185" s="139" t="s">
        <v>1067</v>
      </c>
      <c r="O185" s="139" t="s">
        <v>1255</v>
      </c>
      <c r="P185" s="139" t="s">
        <v>583</v>
      </c>
      <c r="Q185" s="139" t="s">
        <v>583</v>
      </c>
      <c r="R185" s="140">
        <v>2</v>
      </c>
      <c r="S185" s="140">
        <v>0</v>
      </c>
      <c r="T185" s="140">
        <v>2</v>
      </c>
      <c r="U185" s="140">
        <v>28</v>
      </c>
      <c r="V185" s="139" t="s">
        <v>1069</v>
      </c>
      <c r="W185" s="139" t="s">
        <v>1070</v>
      </c>
      <c r="X185" s="139" t="s">
        <v>1071</v>
      </c>
      <c r="Y185" s="139" t="s">
        <v>1072</v>
      </c>
      <c r="Z185" s="139" t="s">
        <v>590</v>
      </c>
      <c r="AA185" s="139" t="s">
        <v>1073</v>
      </c>
      <c r="AB185" s="139" t="s">
        <v>1069</v>
      </c>
      <c r="AC185" s="139" t="s">
        <v>1070</v>
      </c>
      <c r="AD185" s="139" t="s">
        <v>1071</v>
      </c>
      <c r="AE185" s="139" t="s">
        <v>1072</v>
      </c>
      <c r="AF185" s="139" t="s">
        <v>590</v>
      </c>
      <c r="AG185" s="139" t="s">
        <v>1073</v>
      </c>
      <c r="AH185" s="139" t="s">
        <v>1074</v>
      </c>
      <c r="AI185" s="139" t="s">
        <v>435</v>
      </c>
      <c r="AJ185" s="140">
        <v>9505868.4299999997</v>
      </c>
      <c r="AK185" s="139" t="s">
        <v>1069</v>
      </c>
      <c r="AL185" s="139" t="s">
        <v>1070</v>
      </c>
      <c r="AM185" s="139" t="s">
        <v>1071</v>
      </c>
      <c r="AN185" s="139" t="s">
        <v>1072</v>
      </c>
      <c r="AO185" s="139" t="s">
        <v>590</v>
      </c>
      <c r="AP185" s="139" t="s">
        <v>1073</v>
      </c>
      <c r="AQ185" s="139" t="s">
        <v>1074</v>
      </c>
      <c r="AR185" s="139" t="s">
        <v>435</v>
      </c>
      <c r="AS185" s="139" t="s">
        <v>435</v>
      </c>
      <c r="AT185" s="139" t="s">
        <v>593</v>
      </c>
      <c r="AU185" s="139" t="s">
        <v>437</v>
      </c>
      <c r="AV185" s="140">
        <v>2</v>
      </c>
      <c r="AW185" s="139" t="s">
        <v>594</v>
      </c>
      <c r="AX185" s="139" t="s">
        <v>653</v>
      </c>
      <c r="AY185" s="139" t="s">
        <v>1075</v>
      </c>
      <c r="AZ185" s="140">
        <v>1</v>
      </c>
      <c r="BA185" s="139" t="s">
        <v>597</v>
      </c>
      <c r="BB185" s="140">
        <v>105942</v>
      </c>
      <c r="BC185" s="140">
        <v>9505868</v>
      </c>
      <c r="BD185" s="140">
        <v>115671.45</v>
      </c>
      <c r="BE185" s="140">
        <v>89.727099999999993</v>
      </c>
      <c r="BF185" s="139" t="s">
        <v>880</v>
      </c>
      <c r="BG185" s="139" t="s">
        <v>583</v>
      </c>
      <c r="BH185" s="139" t="s">
        <v>1076</v>
      </c>
      <c r="BI185" s="139" t="s">
        <v>598</v>
      </c>
      <c r="BJ185" s="139" t="s">
        <v>624</v>
      </c>
      <c r="BK185" s="139" t="s">
        <v>1060</v>
      </c>
      <c r="BL185" s="139" t="s">
        <v>583</v>
      </c>
      <c r="BM185" s="139" t="s">
        <v>583</v>
      </c>
      <c r="BN185" s="139" t="s">
        <v>842</v>
      </c>
      <c r="BO185" s="139" t="s">
        <v>843</v>
      </c>
      <c r="BP185" s="139" t="s">
        <v>925</v>
      </c>
      <c r="BQ185" s="139" t="s">
        <v>723</v>
      </c>
      <c r="BR185" s="140">
        <v>2</v>
      </c>
      <c r="BS185" s="139" t="s">
        <v>1077</v>
      </c>
      <c r="BT185" s="99">
        <f t="shared" si="10"/>
        <v>1</v>
      </c>
      <c r="BU185" s="99">
        <f t="shared" si="10"/>
        <v>0</v>
      </c>
      <c r="BV185" s="99">
        <f t="shared" si="8"/>
        <v>1</v>
      </c>
      <c r="BW185" s="139" t="s">
        <v>1078</v>
      </c>
      <c r="BX185" s="139" t="s">
        <v>1257</v>
      </c>
      <c r="BY185" s="140">
        <v>2</v>
      </c>
      <c r="BZ185" s="140">
        <v>0</v>
      </c>
      <c r="CA185" s="99">
        <v>7000</v>
      </c>
      <c r="CB185" s="140" t="s">
        <v>603</v>
      </c>
      <c r="CC185" s="140">
        <v>0</v>
      </c>
      <c r="CD185" s="140"/>
      <c r="CE185" s="139" t="s">
        <v>1080</v>
      </c>
      <c r="CF185" s="139" t="s">
        <v>604</v>
      </c>
      <c r="CG185" s="139" t="s">
        <v>583</v>
      </c>
      <c r="CH185" s="139" t="s">
        <v>583</v>
      </c>
      <c r="CI185" s="139" t="s">
        <v>1074</v>
      </c>
      <c r="CJ185" s="140">
        <v>730</v>
      </c>
      <c r="CK185" s="140" t="s">
        <v>605</v>
      </c>
      <c r="CL185" s="140">
        <v>4000000</v>
      </c>
      <c r="CM185" s="99">
        <v>665</v>
      </c>
      <c r="CN185" s="140">
        <v>0</v>
      </c>
      <c r="CO185" s="139" t="s">
        <v>583</v>
      </c>
      <c r="CP185" s="139" t="s">
        <v>583</v>
      </c>
      <c r="CQ185" s="140">
        <v>14271.45</v>
      </c>
      <c r="CR185" s="140">
        <v>1280536</v>
      </c>
      <c r="CS185" s="140">
        <v>0</v>
      </c>
      <c r="CT185" s="140">
        <v>1</v>
      </c>
      <c r="CU185" s="140">
        <v>1280535.82</v>
      </c>
      <c r="CV185" s="99">
        <v>15582.1</v>
      </c>
      <c r="CW185" s="139" t="s">
        <v>606</v>
      </c>
      <c r="CX185" s="140">
        <v>23.431699999999999</v>
      </c>
      <c r="CY185" s="140">
        <v>1535</v>
      </c>
      <c r="CZ185" s="140" t="s">
        <v>1603</v>
      </c>
      <c r="DA185" s="140" t="s">
        <v>1119</v>
      </c>
      <c r="DB185" s="140">
        <v>1174</v>
      </c>
      <c r="DC185" s="140"/>
    </row>
    <row r="186" spans="2:107" ht="11.25" customHeight="1" x14ac:dyDescent="0.15">
      <c r="B186" s="139" t="s">
        <v>577</v>
      </c>
      <c r="C186" s="140" t="s">
        <v>1590</v>
      </c>
      <c r="D186" s="140">
        <v>4</v>
      </c>
      <c r="E186" s="139" t="s">
        <v>1604</v>
      </c>
      <c r="F186" s="139" t="s">
        <v>618</v>
      </c>
      <c r="G186" s="140" t="s">
        <v>1590</v>
      </c>
      <c r="H186" s="139" t="s">
        <v>1605</v>
      </c>
      <c r="I186" s="140" t="s">
        <v>421</v>
      </c>
      <c r="J186" s="139" t="s">
        <v>582</v>
      </c>
      <c r="K186" s="139" t="s">
        <v>583</v>
      </c>
      <c r="L186" s="139" t="s">
        <v>583</v>
      </c>
      <c r="M186" s="139" t="s">
        <v>583</v>
      </c>
      <c r="N186" s="139" t="s">
        <v>441</v>
      </c>
      <c r="O186" s="139" t="s">
        <v>1606</v>
      </c>
      <c r="P186" s="139" t="s">
        <v>583</v>
      </c>
      <c r="Q186" s="139" t="s">
        <v>583</v>
      </c>
      <c r="R186" s="140">
        <v>1</v>
      </c>
      <c r="S186" s="140">
        <v>0</v>
      </c>
      <c r="T186" s="140">
        <v>1</v>
      </c>
      <c r="U186" s="140">
        <v>386</v>
      </c>
      <c r="V186" s="139" t="s">
        <v>691</v>
      </c>
      <c r="W186" s="139" t="s">
        <v>692</v>
      </c>
      <c r="X186" s="139" t="s">
        <v>693</v>
      </c>
      <c r="Y186" s="139" t="s">
        <v>694</v>
      </c>
      <c r="Z186" s="139" t="s">
        <v>695</v>
      </c>
      <c r="AA186" s="139" t="s">
        <v>696</v>
      </c>
      <c r="AB186" s="139" t="s">
        <v>691</v>
      </c>
      <c r="AC186" s="139" t="s">
        <v>692</v>
      </c>
      <c r="AD186" s="139" t="s">
        <v>693</v>
      </c>
      <c r="AE186" s="139" t="s">
        <v>694</v>
      </c>
      <c r="AF186" s="139" t="s">
        <v>695</v>
      </c>
      <c r="AG186" s="139" t="s">
        <v>696</v>
      </c>
      <c r="AH186" s="139" t="s">
        <v>621</v>
      </c>
      <c r="AI186" s="139" t="s">
        <v>430</v>
      </c>
      <c r="AJ186" s="140">
        <v>10944552.75</v>
      </c>
      <c r="AK186" s="139" t="s">
        <v>691</v>
      </c>
      <c r="AL186" s="139" t="s">
        <v>692</v>
      </c>
      <c r="AM186" s="139" t="s">
        <v>693</v>
      </c>
      <c r="AN186" s="139" t="s">
        <v>694</v>
      </c>
      <c r="AO186" s="139" t="s">
        <v>695</v>
      </c>
      <c r="AP186" s="139" t="s">
        <v>696</v>
      </c>
      <c r="AQ186" s="139" t="s">
        <v>621</v>
      </c>
      <c r="AR186" s="139" t="s">
        <v>430</v>
      </c>
      <c r="AS186" s="139" t="s">
        <v>430</v>
      </c>
      <c r="AT186" s="139" t="s">
        <v>593</v>
      </c>
      <c r="AU186" s="139" t="s">
        <v>437</v>
      </c>
      <c r="AV186" s="140">
        <v>0</v>
      </c>
      <c r="AW186" s="139" t="s">
        <v>594</v>
      </c>
      <c r="AX186" s="139" t="s">
        <v>622</v>
      </c>
      <c r="AY186" s="139" t="s">
        <v>623</v>
      </c>
      <c r="AZ186" s="140">
        <v>1</v>
      </c>
      <c r="BA186" s="139" t="s">
        <v>597</v>
      </c>
      <c r="BB186" s="140">
        <v>121976</v>
      </c>
      <c r="BC186" s="140">
        <v>10944553</v>
      </c>
      <c r="BD186" s="140">
        <v>133177.98000000001</v>
      </c>
      <c r="BE186" s="140">
        <v>89.727099999999993</v>
      </c>
      <c r="BF186" s="139" t="s">
        <v>880</v>
      </c>
      <c r="BG186" s="139" t="s">
        <v>582</v>
      </c>
      <c r="BH186" s="139" t="s">
        <v>1018</v>
      </c>
      <c r="BI186" s="139" t="s">
        <v>598</v>
      </c>
      <c r="BJ186" s="139" t="s">
        <v>624</v>
      </c>
      <c r="BK186" s="139" t="s">
        <v>882</v>
      </c>
      <c r="BL186" s="139" t="s">
        <v>583</v>
      </c>
      <c r="BM186" s="139" t="s">
        <v>1019</v>
      </c>
      <c r="BN186" s="139" t="s">
        <v>1020</v>
      </c>
      <c r="BO186" s="139" t="s">
        <v>623</v>
      </c>
      <c r="BP186" s="139" t="s">
        <v>1021</v>
      </c>
      <c r="BQ186" s="139" t="s">
        <v>625</v>
      </c>
      <c r="BR186" s="140">
        <v>1</v>
      </c>
      <c r="BS186" s="139" t="s">
        <v>1478</v>
      </c>
      <c r="BT186" s="99">
        <f t="shared" si="10"/>
        <v>0</v>
      </c>
      <c r="BU186" s="99">
        <f t="shared" si="10"/>
        <v>0</v>
      </c>
      <c r="BV186" s="99">
        <f t="shared" si="8"/>
        <v>0</v>
      </c>
      <c r="BW186" s="139" t="s">
        <v>446</v>
      </c>
      <c r="BX186" s="139" t="s">
        <v>441</v>
      </c>
      <c r="BY186" s="140">
        <v>386</v>
      </c>
      <c r="BZ186" s="140">
        <v>0</v>
      </c>
      <c r="CA186" s="99">
        <v>77200</v>
      </c>
      <c r="CB186" s="140" t="s">
        <v>603</v>
      </c>
      <c r="CC186" s="140">
        <v>0</v>
      </c>
      <c r="CD186" s="140"/>
      <c r="CE186" s="139" t="s">
        <v>577</v>
      </c>
      <c r="CF186" s="139" t="s">
        <v>604</v>
      </c>
      <c r="CG186" s="139" t="s">
        <v>583</v>
      </c>
      <c r="CH186" s="139" t="s">
        <v>583</v>
      </c>
      <c r="CI186" s="139" t="s">
        <v>621</v>
      </c>
      <c r="CJ186" s="140">
        <v>8116</v>
      </c>
      <c r="CK186" s="140" t="s">
        <v>605</v>
      </c>
      <c r="CL186" s="140">
        <v>4000000</v>
      </c>
      <c r="CM186" s="99">
        <v>6948</v>
      </c>
      <c r="CN186" s="140">
        <v>0</v>
      </c>
      <c r="CO186" s="139" t="s">
        <v>583</v>
      </c>
      <c r="CP186" s="139" t="s">
        <v>583</v>
      </c>
      <c r="CQ186" s="140">
        <v>121976</v>
      </c>
      <c r="CR186" s="140">
        <v>10944553</v>
      </c>
      <c r="CS186" s="140">
        <v>0</v>
      </c>
      <c r="CT186" s="140">
        <v>1</v>
      </c>
      <c r="CU186" s="140">
        <v>10944552.75</v>
      </c>
      <c r="CV186" s="99">
        <v>133177.98000000001</v>
      </c>
      <c r="CW186" s="139" t="s">
        <v>606</v>
      </c>
      <c r="CX186" s="140">
        <v>19.1678</v>
      </c>
      <c r="CY186" s="140">
        <v>933</v>
      </c>
      <c r="CZ186" s="140" t="s">
        <v>894</v>
      </c>
      <c r="DA186" s="140" t="s">
        <v>1480</v>
      </c>
      <c r="DB186" s="140">
        <v>787</v>
      </c>
      <c r="DC186" s="140"/>
    </row>
    <row r="187" spans="2:107" ht="11.25" customHeight="1" x14ac:dyDescent="0.15">
      <c r="B187" s="139" t="s">
        <v>577</v>
      </c>
      <c r="C187" s="140" t="s">
        <v>1590</v>
      </c>
      <c r="D187" s="140">
        <v>4</v>
      </c>
      <c r="E187" s="139" t="s">
        <v>1607</v>
      </c>
      <c r="F187" s="139" t="s">
        <v>729</v>
      </c>
      <c r="G187" s="140" t="s">
        <v>1590</v>
      </c>
      <c r="H187" s="139" t="s">
        <v>1608</v>
      </c>
      <c r="I187" s="140" t="s">
        <v>421</v>
      </c>
      <c r="J187" s="139" t="s">
        <v>582</v>
      </c>
      <c r="K187" s="139" t="s">
        <v>583</v>
      </c>
      <c r="L187" s="139" t="s">
        <v>583</v>
      </c>
      <c r="M187" s="139" t="s">
        <v>583</v>
      </c>
      <c r="N187" s="139" t="s">
        <v>778</v>
      </c>
      <c r="O187" s="139" t="s">
        <v>1609</v>
      </c>
      <c r="P187" s="139" t="s">
        <v>583</v>
      </c>
      <c r="Q187" s="139" t="s">
        <v>583</v>
      </c>
      <c r="R187" s="140">
        <v>1</v>
      </c>
      <c r="S187" s="140">
        <v>0</v>
      </c>
      <c r="T187" s="140">
        <v>1</v>
      </c>
      <c r="U187" s="140">
        <v>386</v>
      </c>
      <c r="V187" s="139" t="s">
        <v>691</v>
      </c>
      <c r="W187" s="139" t="s">
        <v>692</v>
      </c>
      <c r="X187" s="139" t="s">
        <v>693</v>
      </c>
      <c r="Y187" s="139" t="s">
        <v>694</v>
      </c>
      <c r="Z187" s="139" t="s">
        <v>695</v>
      </c>
      <c r="AA187" s="139" t="s">
        <v>696</v>
      </c>
      <c r="AB187" s="139" t="s">
        <v>691</v>
      </c>
      <c r="AC187" s="139" t="s">
        <v>692</v>
      </c>
      <c r="AD187" s="139" t="s">
        <v>693</v>
      </c>
      <c r="AE187" s="139" t="s">
        <v>694</v>
      </c>
      <c r="AF187" s="139" t="s">
        <v>695</v>
      </c>
      <c r="AG187" s="139" t="s">
        <v>696</v>
      </c>
      <c r="AH187" s="139" t="s">
        <v>751</v>
      </c>
      <c r="AI187" s="139" t="s">
        <v>433</v>
      </c>
      <c r="AJ187" s="140">
        <v>11843194.779999999</v>
      </c>
      <c r="AK187" s="139" t="s">
        <v>691</v>
      </c>
      <c r="AL187" s="139" t="s">
        <v>692</v>
      </c>
      <c r="AM187" s="139" t="s">
        <v>693</v>
      </c>
      <c r="AN187" s="139" t="s">
        <v>694</v>
      </c>
      <c r="AO187" s="139" t="s">
        <v>695</v>
      </c>
      <c r="AP187" s="139" t="s">
        <v>696</v>
      </c>
      <c r="AQ187" s="139" t="s">
        <v>751</v>
      </c>
      <c r="AR187" s="139" t="s">
        <v>433</v>
      </c>
      <c r="AS187" s="139" t="s">
        <v>433</v>
      </c>
      <c r="AT187" s="139" t="s">
        <v>593</v>
      </c>
      <c r="AU187" s="139" t="s">
        <v>437</v>
      </c>
      <c r="AV187" s="140">
        <v>2</v>
      </c>
      <c r="AW187" s="139" t="s">
        <v>594</v>
      </c>
      <c r="AX187" s="139" t="s">
        <v>653</v>
      </c>
      <c r="AY187" s="139" t="s">
        <v>780</v>
      </c>
      <c r="AZ187" s="140">
        <v>1</v>
      </c>
      <c r="BA187" s="139" t="s">
        <v>597</v>
      </c>
      <c r="BB187" s="140">
        <v>131991.28</v>
      </c>
      <c r="BC187" s="140">
        <v>11843195</v>
      </c>
      <c r="BD187" s="140">
        <v>144113.03</v>
      </c>
      <c r="BE187" s="140">
        <v>89.727099999999993</v>
      </c>
      <c r="BF187" s="139" t="s">
        <v>880</v>
      </c>
      <c r="BG187" s="139" t="s">
        <v>735</v>
      </c>
      <c r="BH187" s="139" t="s">
        <v>1112</v>
      </c>
      <c r="BI187" s="139" t="s">
        <v>598</v>
      </c>
      <c r="BJ187" s="139" t="s">
        <v>624</v>
      </c>
      <c r="BK187" s="139" t="s">
        <v>890</v>
      </c>
      <c r="BL187" s="139" t="s">
        <v>583</v>
      </c>
      <c r="BM187" s="139" t="s">
        <v>891</v>
      </c>
      <c r="BN187" s="139" t="s">
        <v>738</v>
      </c>
      <c r="BO187" s="139" t="s">
        <v>1476</v>
      </c>
      <c r="BP187" s="139" t="s">
        <v>1477</v>
      </c>
      <c r="BQ187" s="139" t="s">
        <v>741</v>
      </c>
      <c r="BR187" s="140">
        <v>1</v>
      </c>
      <c r="BS187" s="139" t="s">
        <v>1478</v>
      </c>
      <c r="BT187" s="99">
        <f t="shared" si="10"/>
        <v>0</v>
      </c>
      <c r="BU187" s="99">
        <f t="shared" si="10"/>
        <v>0</v>
      </c>
      <c r="BV187" s="99">
        <f t="shared" si="8"/>
        <v>0</v>
      </c>
      <c r="BW187" s="139" t="s">
        <v>1479</v>
      </c>
      <c r="BX187" s="139" t="s">
        <v>778</v>
      </c>
      <c r="BY187" s="140">
        <v>386</v>
      </c>
      <c r="BZ187" s="140">
        <v>0</v>
      </c>
      <c r="CA187" s="99">
        <v>77200</v>
      </c>
      <c r="CB187" s="140" t="s">
        <v>603</v>
      </c>
      <c r="CC187" s="140">
        <v>0</v>
      </c>
      <c r="CD187" s="140"/>
      <c r="CE187" s="139" t="s">
        <v>577</v>
      </c>
      <c r="CF187" s="139" t="s">
        <v>604</v>
      </c>
      <c r="CG187" s="139" t="s">
        <v>583</v>
      </c>
      <c r="CH187" s="139" t="s">
        <v>583</v>
      </c>
      <c r="CI187" s="139" t="s">
        <v>751</v>
      </c>
      <c r="CJ187" s="140">
        <v>8106</v>
      </c>
      <c r="CK187" s="140" t="s">
        <v>605</v>
      </c>
      <c r="CL187" s="140">
        <v>4000000</v>
      </c>
      <c r="CM187" s="99">
        <v>7720</v>
      </c>
      <c r="CN187" s="140">
        <v>0</v>
      </c>
      <c r="CO187" s="139" t="s">
        <v>583</v>
      </c>
      <c r="CP187" s="139" t="s">
        <v>583</v>
      </c>
      <c r="CQ187" s="140">
        <v>131991.28</v>
      </c>
      <c r="CR187" s="140">
        <v>11843195</v>
      </c>
      <c r="CS187" s="140">
        <v>0</v>
      </c>
      <c r="CT187" s="140">
        <v>1</v>
      </c>
      <c r="CU187" s="140">
        <v>11843194.779999999</v>
      </c>
      <c r="CV187" s="99">
        <v>144113.03</v>
      </c>
      <c r="CW187" s="139" t="s">
        <v>606</v>
      </c>
      <c r="CX187" s="140">
        <v>18.6675</v>
      </c>
      <c r="CY187" s="140">
        <v>933</v>
      </c>
      <c r="CZ187" s="140" t="s">
        <v>894</v>
      </c>
      <c r="DA187" s="140" t="s">
        <v>1480</v>
      </c>
      <c r="DB187" s="140">
        <v>246</v>
      </c>
      <c r="DC187" s="140"/>
    </row>
    <row r="188" spans="2:107" ht="11.25" customHeight="1" x14ac:dyDescent="0.15">
      <c r="B188" s="139" t="s">
        <v>577</v>
      </c>
      <c r="C188" s="140" t="s">
        <v>1590</v>
      </c>
      <c r="D188" s="140">
        <v>4</v>
      </c>
      <c r="E188" s="139" t="s">
        <v>1610</v>
      </c>
      <c r="F188" s="139" t="s">
        <v>729</v>
      </c>
      <c r="G188" s="140" t="s">
        <v>1590</v>
      </c>
      <c r="H188" s="139" t="s">
        <v>1611</v>
      </c>
      <c r="I188" s="140" t="s">
        <v>421</v>
      </c>
      <c r="J188" s="139" t="s">
        <v>582</v>
      </c>
      <c r="K188" s="139" t="s">
        <v>583</v>
      </c>
      <c r="L188" s="139" t="s">
        <v>583</v>
      </c>
      <c r="M188" s="139" t="s">
        <v>583</v>
      </c>
      <c r="N188" s="139" t="s">
        <v>1169</v>
      </c>
      <c r="O188" s="139" t="s">
        <v>1612</v>
      </c>
      <c r="P188" s="139" t="s">
        <v>583</v>
      </c>
      <c r="Q188" s="139" t="s">
        <v>583</v>
      </c>
      <c r="R188" s="140">
        <v>1</v>
      </c>
      <c r="S188" s="140">
        <v>0</v>
      </c>
      <c r="T188" s="140">
        <v>1</v>
      </c>
      <c r="U188" s="140">
        <v>110</v>
      </c>
      <c r="V188" s="139" t="s">
        <v>709</v>
      </c>
      <c r="W188" s="139" t="s">
        <v>710</v>
      </c>
      <c r="X188" s="139" t="s">
        <v>711</v>
      </c>
      <c r="Y188" s="139" t="s">
        <v>789</v>
      </c>
      <c r="Z188" s="139" t="s">
        <v>713</v>
      </c>
      <c r="AA188" s="139" t="s">
        <v>714</v>
      </c>
      <c r="AB188" s="139" t="s">
        <v>709</v>
      </c>
      <c r="AC188" s="139" t="s">
        <v>710</v>
      </c>
      <c r="AD188" s="139" t="s">
        <v>711</v>
      </c>
      <c r="AE188" s="139" t="s">
        <v>789</v>
      </c>
      <c r="AF188" s="139" t="s">
        <v>713</v>
      </c>
      <c r="AG188" s="139" t="s">
        <v>714</v>
      </c>
      <c r="AH188" s="139" t="s">
        <v>592</v>
      </c>
      <c r="AI188" s="139" t="s">
        <v>429</v>
      </c>
      <c r="AJ188" s="140">
        <v>3068666.82</v>
      </c>
      <c r="AK188" s="139" t="s">
        <v>709</v>
      </c>
      <c r="AL188" s="139" t="s">
        <v>710</v>
      </c>
      <c r="AM188" s="139" t="s">
        <v>711</v>
      </c>
      <c r="AN188" s="139" t="s">
        <v>789</v>
      </c>
      <c r="AO188" s="139" t="s">
        <v>713</v>
      </c>
      <c r="AP188" s="139" t="s">
        <v>714</v>
      </c>
      <c r="AQ188" s="139" t="s">
        <v>592</v>
      </c>
      <c r="AR188" s="139" t="s">
        <v>429</v>
      </c>
      <c r="AS188" s="139" t="s">
        <v>429</v>
      </c>
      <c r="AT188" s="139" t="s">
        <v>593</v>
      </c>
      <c r="AU188" s="139" t="s">
        <v>437</v>
      </c>
      <c r="AV188" s="140">
        <v>2</v>
      </c>
      <c r="AW188" s="139" t="s">
        <v>594</v>
      </c>
      <c r="AX188" s="139" t="s">
        <v>595</v>
      </c>
      <c r="AY188" s="139" t="s">
        <v>722</v>
      </c>
      <c r="AZ188" s="140">
        <v>1</v>
      </c>
      <c r="BA188" s="139" t="s">
        <v>597</v>
      </c>
      <c r="BB188" s="140">
        <v>33000</v>
      </c>
      <c r="BC188" s="140">
        <v>2960994</v>
      </c>
      <c r="BD188" s="140">
        <v>37340.839999999997</v>
      </c>
      <c r="BE188" s="140">
        <v>89.727099999999993</v>
      </c>
      <c r="BF188" s="139" t="s">
        <v>880</v>
      </c>
      <c r="BG188" s="139" t="s">
        <v>583</v>
      </c>
      <c r="BH188" s="139" t="s">
        <v>1459</v>
      </c>
      <c r="BI188" s="139" t="s">
        <v>598</v>
      </c>
      <c r="BJ188" s="139" t="s">
        <v>599</v>
      </c>
      <c r="BK188" s="139" t="s">
        <v>583</v>
      </c>
      <c r="BL188" s="139" t="s">
        <v>1060</v>
      </c>
      <c r="BM188" s="139" t="s">
        <v>583</v>
      </c>
      <c r="BN188" s="139" t="s">
        <v>842</v>
      </c>
      <c r="BO188" s="139" t="s">
        <v>843</v>
      </c>
      <c r="BP188" s="139" t="s">
        <v>925</v>
      </c>
      <c r="BQ188" s="139" t="s">
        <v>723</v>
      </c>
      <c r="BR188" s="140">
        <v>1</v>
      </c>
      <c r="BS188" s="139" t="s">
        <v>791</v>
      </c>
      <c r="BT188" s="99">
        <f t="shared" ref="BT188:BU207" si="11">MIN(1,IFERROR(SEARCH(BT$2,$BS188),0))</f>
        <v>0</v>
      </c>
      <c r="BU188" s="99">
        <f t="shared" si="11"/>
        <v>0</v>
      </c>
      <c r="BV188" s="99">
        <f t="shared" si="8"/>
        <v>0</v>
      </c>
      <c r="BW188" s="139" t="s">
        <v>1460</v>
      </c>
      <c r="BX188" s="139" t="s">
        <v>720</v>
      </c>
      <c r="BY188" s="140">
        <v>110</v>
      </c>
      <c r="BZ188" s="140">
        <v>0</v>
      </c>
      <c r="CA188" s="99">
        <v>22000</v>
      </c>
      <c r="CB188" s="140" t="s">
        <v>603</v>
      </c>
      <c r="CC188" s="140">
        <v>0</v>
      </c>
      <c r="CD188" s="140"/>
      <c r="CE188" s="139" t="s">
        <v>577</v>
      </c>
      <c r="CF188" s="139" t="s">
        <v>604</v>
      </c>
      <c r="CG188" s="139" t="s">
        <v>583</v>
      </c>
      <c r="CH188" s="139" t="s">
        <v>583</v>
      </c>
      <c r="CI188" s="139" t="s">
        <v>592</v>
      </c>
      <c r="CJ188" s="140">
        <v>2310</v>
      </c>
      <c r="CK188" s="140" t="s">
        <v>605</v>
      </c>
      <c r="CL188" s="140">
        <v>4000000</v>
      </c>
      <c r="CM188" s="99">
        <v>2200</v>
      </c>
      <c r="CN188" s="140">
        <v>0</v>
      </c>
      <c r="CO188" s="139" t="s">
        <v>583</v>
      </c>
      <c r="CP188" s="139" t="s">
        <v>583</v>
      </c>
      <c r="CQ188" s="140">
        <v>33000</v>
      </c>
      <c r="CR188" s="140">
        <v>2960994</v>
      </c>
      <c r="CS188" s="140">
        <v>0</v>
      </c>
      <c r="CT188" s="140">
        <v>1</v>
      </c>
      <c r="CU188" s="140">
        <v>3068666.82</v>
      </c>
      <c r="CV188" s="99">
        <v>37340.839999999997</v>
      </c>
      <c r="CW188" s="139" t="s">
        <v>606</v>
      </c>
      <c r="CX188" s="140">
        <v>16.973099999999999</v>
      </c>
      <c r="CY188" s="140">
        <v>35</v>
      </c>
      <c r="CZ188" s="140" t="s">
        <v>1062</v>
      </c>
      <c r="DA188" s="140" t="s">
        <v>1363</v>
      </c>
      <c r="DB188" s="140">
        <v>46</v>
      </c>
      <c r="DC188" s="140"/>
    </row>
    <row r="189" spans="2:107" ht="11.25" customHeight="1" x14ac:dyDescent="0.15">
      <c r="B189" s="139" t="s">
        <v>577</v>
      </c>
      <c r="C189" s="140" t="s">
        <v>1613</v>
      </c>
      <c r="D189" s="140">
        <v>4</v>
      </c>
      <c r="E189" s="139" t="s">
        <v>1614</v>
      </c>
      <c r="F189" s="139" t="s">
        <v>748</v>
      </c>
      <c r="G189" s="140" t="s">
        <v>1613</v>
      </c>
      <c r="H189" s="139" t="s">
        <v>1615</v>
      </c>
      <c r="I189" s="140" t="s">
        <v>421</v>
      </c>
      <c r="J189" s="139" t="s">
        <v>582</v>
      </c>
      <c r="K189" s="139" t="s">
        <v>583</v>
      </c>
      <c r="L189" s="139" t="s">
        <v>583</v>
      </c>
      <c r="M189" s="139" t="s">
        <v>583</v>
      </c>
      <c r="N189" s="139" t="s">
        <v>1568</v>
      </c>
      <c r="O189" s="139" t="s">
        <v>1616</v>
      </c>
      <c r="P189" s="139" t="s">
        <v>583</v>
      </c>
      <c r="Q189" s="139" t="s">
        <v>583</v>
      </c>
      <c r="R189" s="140">
        <v>1</v>
      </c>
      <c r="S189" s="140">
        <v>0</v>
      </c>
      <c r="T189" s="140">
        <v>1</v>
      </c>
      <c r="U189" s="140">
        <v>210</v>
      </c>
      <c r="V189" s="139" t="s">
        <v>819</v>
      </c>
      <c r="W189" s="139" t="s">
        <v>820</v>
      </c>
      <c r="X189" s="139" t="s">
        <v>821</v>
      </c>
      <c r="Y189" s="139" t="s">
        <v>822</v>
      </c>
      <c r="Z189" s="139" t="s">
        <v>823</v>
      </c>
      <c r="AA189" s="139" t="s">
        <v>824</v>
      </c>
      <c r="AB189" s="139" t="s">
        <v>819</v>
      </c>
      <c r="AC189" s="139" t="s">
        <v>820</v>
      </c>
      <c r="AD189" s="139" t="s">
        <v>821</v>
      </c>
      <c r="AE189" s="139" t="s">
        <v>822</v>
      </c>
      <c r="AF189" s="139" t="s">
        <v>823</v>
      </c>
      <c r="AG189" s="139" t="s">
        <v>824</v>
      </c>
      <c r="AH189" s="139" t="s">
        <v>759</v>
      </c>
      <c r="AI189" s="139" t="s">
        <v>434</v>
      </c>
      <c r="AJ189" s="140">
        <v>6165049.8600000003</v>
      </c>
      <c r="AK189" s="139" t="s">
        <v>819</v>
      </c>
      <c r="AL189" s="139" t="s">
        <v>820</v>
      </c>
      <c r="AM189" s="139" t="s">
        <v>821</v>
      </c>
      <c r="AN189" s="139" t="s">
        <v>822</v>
      </c>
      <c r="AO189" s="139" t="s">
        <v>823</v>
      </c>
      <c r="AP189" s="139" t="s">
        <v>824</v>
      </c>
      <c r="AQ189" s="139" t="s">
        <v>759</v>
      </c>
      <c r="AR189" s="139" t="s">
        <v>434</v>
      </c>
      <c r="AS189" s="139" t="s">
        <v>434</v>
      </c>
      <c r="AT189" s="139" t="s">
        <v>593</v>
      </c>
      <c r="AU189" s="139" t="s">
        <v>437</v>
      </c>
      <c r="AV189" s="140">
        <v>2</v>
      </c>
      <c r="AW189" s="139" t="s">
        <v>594</v>
      </c>
      <c r="AX189" s="139" t="s">
        <v>595</v>
      </c>
      <c r="AY189" s="139" t="s">
        <v>840</v>
      </c>
      <c r="AZ189" s="140">
        <v>1</v>
      </c>
      <c r="BA189" s="139" t="s">
        <v>597</v>
      </c>
      <c r="BB189" s="140">
        <v>60900</v>
      </c>
      <c r="BC189" s="140">
        <v>5483022</v>
      </c>
      <c r="BD189" s="140">
        <v>75598.5</v>
      </c>
      <c r="BE189" s="140">
        <v>90.033199999999994</v>
      </c>
      <c r="BF189" s="139" t="s">
        <v>880</v>
      </c>
      <c r="BG189" s="139" t="s">
        <v>863</v>
      </c>
      <c r="BH189" s="139" t="s">
        <v>826</v>
      </c>
      <c r="BI189" s="139" t="s">
        <v>598</v>
      </c>
      <c r="BJ189" s="139" t="s">
        <v>599</v>
      </c>
      <c r="BK189" s="139" t="s">
        <v>583</v>
      </c>
      <c r="BL189" s="139" t="s">
        <v>583</v>
      </c>
      <c r="BM189" s="139" t="s">
        <v>583</v>
      </c>
      <c r="BN189" s="139" t="s">
        <v>828</v>
      </c>
      <c r="BO189" s="139" t="s">
        <v>829</v>
      </c>
      <c r="BP189" s="139" t="s">
        <v>925</v>
      </c>
      <c r="BQ189" s="139" t="s">
        <v>723</v>
      </c>
      <c r="BR189" s="140">
        <v>1</v>
      </c>
      <c r="BS189" s="139" t="s">
        <v>1617</v>
      </c>
      <c r="BT189" s="99">
        <f t="shared" si="11"/>
        <v>1</v>
      </c>
      <c r="BU189" s="99">
        <f t="shared" si="11"/>
        <v>1</v>
      </c>
      <c r="BV189" s="99">
        <f t="shared" si="8"/>
        <v>1</v>
      </c>
      <c r="BW189" s="139" t="s">
        <v>602</v>
      </c>
      <c r="BX189" s="139" t="s">
        <v>817</v>
      </c>
      <c r="BY189" s="140">
        <v>210</v>
      </c>
      <c r="BZ189" s="140">
        <v>0</v>
      </c>
      <c r="CA189" s="99">
        <v>42000</v>
      </c>
      <c r="CB189" s="140" t="s">
        <v>603</v>
      </c>
      <c r="CC189" s="140">
        <v>0</v>
      </c>
      <c r="CD189" s="140"/>
      <c r="CE189" s="139" t="s">
        <v>577</v>
      </c>
      <c r="CF189" s="139" t="s">
        <v>604</v>
      </c>
      <c r="CG189" s="139" t="s">
        <v>583</v>
      </c>
      <c r="CH189" s="139" t="s">
        <v>583</v>
      </c>
      <c r="CI189" s="139" t="s">
        <v>759</v>
      </c>
      <c r="CJ189" s="140">
        <v>4410</v>
      </c>
      <c r="CK189" s="140" t="s">
        <v>605</v>
      </c>
      <c r="CL189" s="140">
        <v>4000000</v>
      </c>
      <c r="CM189" s="99">
        <v>4095</v>
      </c>
      <c r="CN189" s="140">
        <v>0</v>
      </c>
      <c r="CO189" s="139" t="s">
        <v>583</v>
      </c>
      <c r="CP189" s="139" t="s">
        <v>583</v>
      </c>
      <c r="CQ189" s="140">
        <v>60900</v>
      </c>
      <c r="CR189" s="140">
        <v>5483022</v>
      </c>
      <c r="CS189" s="140">
        <v>1</v>
      </c>
      <c r="CT189" s="140">
        <v>6</v>
      </c>
      <c r="CU189" s="140">
        <v>6165049.8600000003</v>
      </c>
      <c r="CV189" s="99">
        <v>75598.5</v>
      </c>
      <c r="CW189" s="139" t="s">
        <v>606</v>
      </c>
      <c r="CX189" s="140">
        <v>18.461200000000002</v>
      </c>
      <c r="CY189" s="140"/>
      <c r="CZ189" s="140"/>
      <c r="DA189" s="140" t="s">
        <v>832</v>
      </c>
      <c r="DB189" s="140">
        <v>155</v>
      </c>
      <c r="DC189" s="140"/>
    </row>
    <row r="190" spans="2:107" ht="11.25" customHeight="1" x14ac:dyDescent="0.15">
      <c r="B190" s="139" t="s">
        <v>577</v>
      </c>
      <c r="C190" s="140" t="s">
        <v>1494</v>
      </c>
      <c r="D190" s="140">
        <v>4</v>
      </c>
      <c r="E190" s="139" t="s">
        <v>1618</v>
      </c>
      <c r="F190" s="139" t="s">
        <v>580</v>
      </c>
      <c r="G190" s="140" t="s">
        <v>1494</v>
      </c>
      <c r="H190" s="139" t="s">
        <v>1619</v>
      </c>
      <c r="I190" s="140" t="s">
        <v>421</v>
      </c>
      <c r="J190" s="139" t="s">
        <v>582</v>
      </c>
      <c r="K190" s="139" t="s">
        <v>583</v>
      </c>
      <c r="L190" s="139" t="s">
        <v>583</v>
      </c>
      <c r="M190" s="139" t="s">
        <v>583</v>
      </c>
      <c r="N190" s="139" t="s">
        <v>1532</v>
      </c>
      <c r="O190" s="139" t="s">
        <v>1620</v>
      </c>
      <c r="P190" s="139" t="s">
        <v>583</v>
      </c>
      <c r="Q190" s="139" t="s">
        <v>583</v>
      </c>
      <c r="R190" s="140">
        <v>1</v>
      </c>
      <c r="S190" s="140">
        <v>0</v>
      </c>
      <c r="T190" s="140">
        <v>1</v>
      </c>
      <c r="U190" s="140">
        <v>6</v>
      </c>
      <c r="V190" s="139" t="s">
        <v>640</v>
      </c>
      <c r="W190" s="139" t="s">
        <v>641</v>
      </c>
      <c r="X190" s="139" t="s">
        <v>642</v>
      </c>
      <c r="Y190" s="139" t="s">
        <v>643</v>
      </c>
      <c r="Z190" s="139" t="s">
        <v>644</v>
      </c>
      <c r="AA190" s="139" t="s">
        <v>645</v>
      </c>
      <c r="AB190" s="139" t="s">
        <v>640</v>
      </c>
      <c r="AC190" s="139" t="s">
        <v>641</v>
      </c>
      <c r="AD190" s="139" t="s">
        <v>642</v>
      </c>
      <c r="AE190" s="139" t="s">
        <v>643</v>
      </c>
      <c r="AF190" s="139" t="s">
        <v>644</v>
      </c>
      <c r="AG190" s="139" t="s">
        <v>645</v>
      </c>
      <c r="AH190" s="139" t="s">
        <v>1534</v>
      </c>
      <c r="AI190" s="139" t="s">
        <v>1535</v>
      </c>
      <c r="AJ190" s="140">
        <v>4736417</v>
      </c>
      <c r="AK190" s="139" t="s">
        <v>640</v>
      </c>
      <c r="AL190" s="139" t="s">
        <v>641</v>
      </c>
      <c r="AM190" s="139" t="s">
        <v>642</v>
      </c>
      <c r="AN190" s="139" t="s">
        <v>643</v>
      </c>
      <c r="AO190" s="139" t="s">
        <v>644</v>
      </c>
      <c r="AP190" s="139" t="s">
        <v>645</v>
      </c>
      <c r="AQ190" s="139" t="s">
        <v>759</v>
      </c>
      <c r="AR190" s="139" t="s">
        <v>434</v>
      </c>
      <c r="AS190" s="139" t="s">
        <v>434</v>
      </c>
      <c r="AT190" s="139" t="s">
        <v>593</v>
      </c>
      <c r="AU190" s="139" t="s">
        <v>437</v>
      </c>
      <c r="AV190" s="140">
        <v>2</v>
      </c>
      <c r="AW190" s="139" t="s">
        <v>594</v>
      </c>
      <c r="AX190" s="139" t="s">
        <v>595</v>
      </c>
      <c r="AY190" s="139" t="s">
        <v>1536</v>
      </c>
      <c r="AZ190" s="140">
        <v>1</v>
      </c>
      <c r="BA190" s="139" t="s">
        <v>597</v>
      </c>
      <c r="BB190" s="140">
        <v>52810</v>
      </c>
      <c r="BC190" s="140">
        <v>4718547</v>
      </c>
      <c r="BD190" s="140">
        <v>58125.32</v>
      </c>
      <c r="BE190" s="140">
        <v>89.349500000000006</v>
      </c>
      <c r="BF190" s="139" t="s">
        <v>880</v>
      </c>
      <c r="BG190" s="139" t="s">
        <v>583</v>
      </c>
      <c r="BH190" s="139" t="s">
        <v>1537</v>
      </c>
      <c r="BI190" s="139" t="s">
        <v>598</v>
      </c>
      <c r="BJ190" s="139" t="s">
        <v>599</v>
      </c>
      <c r="BK190" s="139" t="s">
        <v>583</v>
      </c>
      <c r="BL190" s="139" t="s">
        <v>583</v>
      </c>
      <c r="BM190" s="139" t="s">
        <v>939</v>
      </c>
      <c r="BN190" s="139" t="s">
        <v>916</v>
      </c>
      <c r="BO190" s="139" t="s">
        <v>917</v>
      </c>
      <c r="BP190" s="139" t="s">
        <v>918</v>
      </c>
      <c r="BQ190" s="139" t="s">
        <v>772</v>
      </c>
      <c r="BR190" s="140">
        <v>1</v>
      </c>
      <c r="BS190" s="139" t="s">
        <v>1538</v>
      </c>
      <c r="BT190" s="99">
        <f t="shared" si="11"/>
        <v>1</v>
      </c>
      <c r="BU190" s="99">
        <f t="shared" si="11"/>
        <v>1</v>
      </c>
      <c r="BV190" s="99">
        <f t="shared" si="8"/>
        <v>1</v>
      </c>
      <c r="BW190" s="139" t="s">
        <v>1539</v>
      </c>
      <c r="BX190" s="139" t="s">
        <v>1540</v>
      </c>
      <c r="BY190" s="140">
        <v>6</v>
      </c>
      <c r="BZ190" s="140">
        <v>0</v>
      </c>
      <c r="CA190" s="99">
        <v>28000</v>
      </c>
      <c r="CB190" s="140" t="s">
        <v>603</v>
      </c>
      <c r="CC190" s="140">
        <v>0</v>
      </c>
      <c r="CD190" s="140"/>
      <c r="CE190" s="139" t="s">
        <v>577</v>
      </c>
      <c r="CF190" s="139" t="s">
        <v>604</v>
      </c>
      <c r="CG190" s="139" t="s">
        <v>583</v>
      </c>
      <c r="CH190" s="139" t="s">
        <v>583</v>
      </c>
      <c r="CI190" s="139" t="s">
        <v>759</v>
      </c>
      <c r="CJ190" s="140">
        <v>2800</v>
      </c>
      <c r="CK190" s="140" t="s">
        <v>605</v>
      </c>
      <c r="CL190" s="140">
        <v>4000000</v>
      </c>
      <c r="CM190" s="99">
        <v>2660</v>
      </c>
      <c r="CN190" s="140">
        <v>0</v>
      </c>
      <c r="CO190" s="139" t="s">
        <v>583</v>
      </c>
      <c r="CP190" s="139" t="s">
        <v>583</v>
      </c>
      <c r="CQ190" s="140">
        <v>52810</v>
      </c>
      <c r="CR190" s="140">
        <v>4718547</v>
      </c>
      <c r="CS190" s="140">
        <v>0</v>
      </c>
      <c r="CT190" s="140">
        <v>1</v>
      </c>
      <c r="CU190" s="140">
        <v>4736417</v>
      </c>
      <c r="CV190" s="99">
        <v>58125.32</v>
      </c>
      <c r="CW190" s="139" t="s">
        <v>606</v>
      </c>
      <c r="CX190" s="140">
        <v>21.851600000000001</v>
      </c>
      <c r="CY190" s="140"/>
      <c r="CZ190" s="140"/>
      <c r="DA190" s="140" t="s">
        <v>941</v>
      </c>
      <c r="DB190" s="140">
        <v>1159</v>
      </c>
      <c r="DC190" s="140"/>
    </row>
    <row r="191" spans="2:107" ht="11.25" customHeight="1" x14ac:dyDescent="0.15">
      <c r="B191" s="139" t="s">
        <v>577</v>
      </c>
      <c r="C191" s="140" t="s">
        <v>1621</v>
      </c>
      <c r="D191" s="140">
        <v>4</v>
      </c>
      <c r="E191" s="139" t="s">
        <v>1622</v>
      </c>
      <c r="F191" s="139" t="s">
        <v>580</v>
      </c>
      <c r="G191" s="140" t="s">
        <v>1621</v>
      </c>
      <c r="H191" s="139" t="s">
        <v>1623</v>
      </c>
      <c r="I191" s="140" t="s">
        <v>421</v>
      </c>
      <c r="J191" s="139" t="s">
        <v>582</v>
      </c>
      <c r="K191" s="139" t="s">
        <v>583</v>
      </c>
      <c r="L191" s="139" t="s">
        <v>583</v>
      </c>
      <c r="M191" s="139" t="s">
        <v>583</v>
      </c>
      <c r="N191" s="139" t="s">
        <v>1417</v>
      </c>
      <c r="O191" s="139" t="s">
        <v>1624</v>
      </c>
      <c r="P191" s="139" t="s">
        <v>583</v>
      </c>
      <c r="Q191" s="139" t="s">
        <v>583</v>
      </c>
      <c r="R191" s="140">
        <v>2</v>
      </c>
      <c r="S191" s="140">
        <v>0</v>
      </c>
      <c r="T191" s="140">
        <v>2</v>
      </c>
      <c r="U191" s="140">
        <v>28</v>
      </c>
      <c r="V191" s="139" t="s">
        <v>907</v>
      </c>
      <c r="W191" s="139" t="s">
        <v>908</v>
      </c>
      <c r="X191" s="139" t="s">
        <v>909</v>
      </c>
      <c r="Y191" s="139" t="s">
        <v>910</v>
      </c>
      <c r="Z191" s="139" t="s">
        <v>644</v>
      </c>
      <c r="AA191" s="139" t="s">
        <v>911</v>
      </c>
      <c r="AB191" s="139" t="s">
        <v>907</v>
      </c>
      <c r="AC191" s="139" t="s">
        <v>908</v>
      </c>
      <c r="AD191" s="139" t="s">
        <v>909</v>
      </c>
      <c r="AE191" s="139" t="s">
        <v>910</v>
      </c>
      <c r="AF191" s="139" t="s">
        <v>644</v>
      </c>
      <c r="AG191" s="139" t="s">
        <v>911</v>
      </c>
      <c r="AH191" s="139" t="s">
        <v>1074</v>
      </c>
      <c r="AI191" s="139" t="s">
        <v>435</v>
      </c>
      <c r="AJ191" s="140">
        <v>8050690.6900000004</v>
      </c>
      <c r="AK191" s="139" t="s">
        <v>907</v>
      </c>
      <c r="AL191" s="139" t="s">
        <v>908</v>
      </c>
      <c r="AM191" s="139" t="s">
        <v>909</v>
      </c>
      <c r="AN191" s="139" t="s">
        <v>910</v>
      </c>
      <c r="AO191" s="139" t="s">
        <v>644</v>
      </c>
      <c r="AP191" s="139" t="s">
        <v>911</v>
      </c>
      <c r="AQ191" s="139" t="s">
        <v>1074</v>
      </c>
      <c r="AR191" s="139" t="s">
        <v>435</v>
      </c>
      <c r="AS191" s="139" t="s">
        <v>435</v>
      </c>
      <c r="AT191" s="139" t="s">
        <v>593</v>
      </c>
      <c r="AU191" s="139" t="s">
        <v>437</v>
      </c>
      <c r="AV191" s="140">
        <v>2</v>
      </c>
      <c r="AW191" s="139" t="s">
        <v>594</v>
      </c>
      <c r="AX191" s="139" t="s">
        <v>595</v>
      </c>
      <c r="AY191" s="139" t="s">
        <v>1625</v>
      </c>
      <c r="AZ191" s="140">
        <v>1</v>
      </c>
      <c r="BA191" s="139" t="s">
        <v>597</v>
      </c>
      <c r="BB191" s="140">
        <v>83265.600000000006</v>
      </c>
      <c r="BC191" s="140">
        <v>7517984</v>
      </c>
      <c r="BD191" s="140">
        <v>97703.98</v>
      </c>
      <c r="BE191" s="140">
        <v>90.289199999999994</v>
      </c>
      <c r="BF191" s="139" t="s">
        <v>880</v>
      </c>
      <c r="BG191" s="139" t="s">
        <v>735</v>
      </c>
      <c r="BH191" s="139" t="s">
        <v>1626</v>
      </c>
      <c r="BI191" s="139" t="s">
        <v>598</v>
      </c>
      <c r="BJ191" s="139" t="s">
        <v>624</v>
      </c>
      <c r="BK191" s="139" t="s">
        <v>914</v>
      </c>
      <c r="BL191" s="139" t="s">
        <v>583</v>
      </c>
      <c r="BM191" s="139" t="s">
        <v>915</v>
      </c>
      <c r="BN191" s="139" t="s">
        <v>916</v>
      </c>
      <c r="BO191" s="139" t="s">
        <v>917</v>
      </c>
      <c r="BP191" s="139" t="s">
        <v>918</v>
      </c>
      <c r="BQ191" s="139" t="s">
        <v>772</v>
      </c>
      <c r="BR191" s="140">
        <v>2</v>
      </c>
      <c r="BS191" s="139" t="s">
        <v>1247</v>
      </c>
      <c r="BT191" s="99">
        <f t="shared" si="11"/>
        <v>0</v>
      </c>
      <c r="BU191" s="99">
        <f t="shared" si="11"/>
        <v>1</v>
      </c>
      <c r="BV191" s="99">
        <f t="shared" si="8"/>
        <v>1</v>
      </c>
      <c r="BW191" s="139" t="s">
        <v>602</v>
      </c>
      <c r="BX191" s="139" t="s">
        <v>1417</v>
      </c>
      <c r="BY191" s="140">
        <v>1</v>
      </c>
      <c r="BZ191" s="140">
        <v>0</v>
      </c>
      <c r="CA191" s="99">
        <v>4000</v>
      </c>
      <c r="CB191" s="140" t="s">
        <v>603</v>
      </c>
      <c r="CC191" s="140">
        <v>0</v>
      </c>
      <c r="CD191" s="140"/>
      <c r="CE191" s="139" t="s">
        <v>1080</v>
      </c>
      <c r="CF191" s="139" t="s">
        <v>604</v>
      </c>
      <c r="CG191" s="139" t="s">
        <v>583</v>
      </c>
      <c r="CH191" s="139" t="s">
        <v>583</v>
      </c>
      <c r="CI191" s="139" t="s">
        <v>1074</v>
      </c>
      <c r="CJ191" s="140">
        <v>415</v>
      </c>
      <c r="CK191" s="140" t="s">
        <v>605</v>
      </c>
      <c r="CL191" s="140">
        <v>4000000</v>
      </c>
      <c r="CM191" s="99">
        <v>380</v>
      </c>
      <c r="CN191" s="140">
        <v>0</v>
      </c>
      <c r="CO191" s="139" t="s">
        <v>583</v>
      </c>
      <c r="CP191" s="139" t="s">
        <v>583</v>
      </c>
      <c r="CQ191" s="140">
        <v>6600</v>
      </c>
      <c r="CR191" s="140">
        <v>595909</v>
      </c>
      <c r="CS191" s="140">
        <v>0</v>
      </c>
      <c r="CT191" s="140">
        <v>1</v>
      </c>
      <c r="CU191" s="140">
        <v>606788.56999999995</v>
      </c>
      <c r="CV191" s="99">
        <v>7364.05</v>
      </c>
      <c r="CW191" s="139" t="s">
        <v>606</v>
      </c>
      <c r="CX191" s="140">
        <v>19.379100000000001</v>
      </c>
      <c r="CY191" s="140"/>
      <c r="CZ191" s="140"/>
      <c r="DA191" s="140" t="s">
        <v>920</v>
      </c>
      <c r="DB191" s="140">
        <v>1435</v>
      </c>
      <c r="DC191" s="140"/>
    </row>
    <row r="192" spans="2:107" ht="11.25" customHeight="1" x14ac:dyDescent="0.15">
      <c r="B192" s="139" t="s">
        <v>577</v>
      </c>
      <c r="C192" s="140" t="s">
        <v>1621</v>
      </c>
      <c r="D192" s="140">
        <v>4</v>
      </c>
      <c r="E192" s="139" t="s">
        <v>1627</v>
      </c>
      <c r="F192" s="139" t="s">
        <v>580</v>
      </c>
      <c r="G192" s="140" t="s">
        <v>1621</v>
      </c>
      <c r="H192" s="139" t="s">
        <v>1628</v>
      </c>
      <c r="I192" s="140" t="s">
        <v>421</v>
      </c>
      <c r="J192" s="139" t="s">
        <v>582</v>
      </c>
      <c r="K192" s="139" t="s">
        <v>583</v>
      </c>
      <c r="L192" s="139" t="s">
        <v>583</v>
      </c>
      <c r="M192" s="139" t="s">
        <v>583</v>
      </c>
      <c r="N192" s="139" t="s">
        <v>1629</v>
      </c>
      <c r="O192" s="139" t="s">
        <v>758</v>
      </c>
      <c r="P192" s="139" t="s">
        <v>583</v>
      </c>
      <c r="Q192" s="139" t="s">
        <v>583</v>
      </c>
      <c r="R192" s="140">
        <v>1</v>
      </c>
      <c r="S192" s="140">
        <v>0</v>
      </c>
      <c r="T192" s="140">
        <v>1</v>
      </c>
      <c r="U192" s="140">
        <v>13</v>
      </c>
      <c r="V192" s="139" t="s">
        <v>859</v>
      </c>
      <c r="W192" s="139" t="s">
        <v>860</v>
      </c>
      <c r="X192" s="139" t="s">
        <v>861</v>
      </c>
      <c r="Y192" s="139" t="s">
        <v>862</v>
      </c>
      <c r="Z192" s="139" t="s">
        <v>590</v>
      </c>
      <c r="AA192" s="139" t="s">
        <v>839</v>
      </c>
      <c r="AB192" s="139" t="s">
        <v>859</v>
      </c>
      <c r="AC192" s="139" t="s">
        <v>860</v>
      </c>
      <c r="AD192" s="139" t="s">
        <v>861</v>
      </c>
      <c r="AE192" s="139" t="s">
        <v>862</v>
      </c>
      <c r="AF192" s="139" t="s">
        <v>590</v>
      </c>
      <c r="AG192" s="139" t="s">
        <v>839</v>
      </c>
      <c r="AH192" s="139" t="s">
        <v>759</v>
      </c>
      <c r="AI192" s="139" t="s">
        <v>434</v>
      </c>
      <c r="AJ192" s="140">
        <v>11566046.52</v>
      </c>
      <c r="AK192" s="139" t="s">
        <v>859</v>
      </c>
      <c r="AL192" s="139" t="s">
        <v>860</v>
      </c>
      <c r="AM192" s="139" t="s">
        <v>861</v>
      </c>
      <c r="AN192" s="139" t="s">
        <v>862</v>
      </c>
      <c r="AO192" s="139" t="s">
        <v>590</v>
      </c>
      <c r="AP192" s="139" t="s">
        <v>839</v>
      </c>
      <c r="AQ192" s="139" t="s">
        <v>759</v>
      </c>
      <c r="AR192" s="139" t="s">
        <v>434</v>
      </c>
      <c r="AS192" s="139" t="s">
        <v>434</v>
      </c>
      <c r="AT192" s="139" t="s">
        <v>593</v>
      </c>
      <c r="AU192" s="139" t="s">
        <v>437</v>
      </c>
      <c r="AV192" s="140">
        <v>2</v>
      </c>
      <c r="AW192" s="139" t="s">
        <v>594</v>
      </c>
      <c r="AX192" s="139" t="s">
        <v>595</v>
      </c>
      <c r="AY192" s="139" t="s">
        <v>840</v>
      </c>
      <c r="AZ192" s="140">
        <v>1</v>
      </c>
      <c r="BA192" s="139" t="s">
        <v>597</v>
      </c>
      <c r="BB192" s="140">
        <v>124800</v>
      </c>
      <c r="BC192" s="140">
        <v>11268092</v>
      </c>
      <c r="BD192" s="140">
        <v>140366.69</v>
      </c>
      <c r="BE192" s="140">
        <v>90.289199999999994</v>
      </c>
      <c r="BF192" s="139" t="s">
        <v>880</v>
      </c>
      <c r="BG192" s="139" t="s">
        <v>863</v>
      </c>
      <c r="BH192" s="139" t="s">
        <v>1122</v>
      </c>
      <c r="BI192" s="139" t="s">
        <v>598</v>
      </c>
      <c r="BJ192" s="139" t="s">
        <v>599</v>
      </c>
      <c r="BK192" s="139" t="s">
        <v>583</v>
      </c>
      <c r="BL192" s="139" t="s">
        <v>583</v>
      </c>
      <c r="BM192" s="139" t="s">
        <v>583</v>
      </c>
      <c r="BN192" s="139" t="s">
        <v>842</v>
      </c>
      <c r="BO192" s="139" t="s">
        <v>843</v>
      </c>
      <c r="BP192" s="139" t="s">
        <v>925</v>
      </c>
      <c r="BQ192" s="139" t="s">
        <v>723</v>
      </c>
      <c r="BR192" s="140">
        <v>1</v>
      </c>
      <c r="BS192" s="139" t="s">
        <v>864</v>
      </c>
      <c r="BT192" s="99">
        <f t="shared" si="11"/>
        <v>1</v>
      </c>
      <c r="BU192" s="99">
        <f t="shared" si="11"/>
        <v>0</v>
      </c>
      <c r="BV192" s="99">
        <f t="shared" si="8"/>
        <v>1</v>
      </c>
      <c r="BW192" s="139" t="s">
        <v>602</v>
      </c>
      <c r="BX192" s="139" t="s">
        <v>1630</v>
      </c>
      <c r="BY192" s="140">
        <v>13</v>
      </c>
      <c r="BZ192" s="140">
        <v>0</v>
      </c>
      <c r="CA192" s="99">
        <v>78000</v>
      </c>
      <c r="CB192" s="140" t="s">
        <v>603</v>
      </c>
      <c r="CC192" s="140">
        <v>0</v>
      </c>
      <c r="CD192" s="140"/>
      <c r="CE192" s="139" t="s">
        <v>577</v>
      </c>
      <c r="CF192" s="139" t="s">
        <v>604</v>
      </c>
      <c r="CG192" s="139" t="s">
        <v>583</v>
      </c>
      <c r="CH192" s="139" t="s">
        <v>583</v>
      </c>
      <c r="CI192" s="139" t="s">
        <v>759</v>
      </c>
      <c r="CJ192" s="140">
        <v>8190</v>
      </c>
      <c r="CK192" s="140" t="s">
        <v>605</v>
      </c>
      <c r="CL192" s="140">
        <v>4000000</v>
      </c>
      <c r="CM192" s="99">
        <v>7605</v>
      </c>
      <c r="CN192" s="140">
        <v>0</v>
      </c>
      <c r="CO192" s="139" t="s">
        <v>583</v>
      </c>
      <c r="CP192" s="139" t="s">
        <v>583</v>
      </c>
      <c r="CQ192" s="140">
        <v>124800</v>
      </c>
      <c r="CR192" s="140">
        <v>11268092</v>
      </c>
      <c r="CS192" s="140">
        <v>0</v>
      </c>
      <c r="CT192" s="140">
        <v>1</v>
      </c>
      <c r="CU192" s="140">
        <v>11566046.52</v>
      </c>
      <c r="CV192" s="99">
        <v>140366.69</v>
      </c>
      <c r="CW192" s="139" t="s">
        <v>606</v>
      </c>
      <c r="CX192" s="140">
        <v>18.4572</v>
      </c>
      <c r="CY192" s="140">
        <v>1535</v>
      </c>
      <c r="CZ192" s="140" t="s">
        <v>1118</v>
      </c>
      <c r="DA192" s="140" t="s">
        <v>1119</v>
      </c>
      <c r="DB192" s="140">
        <v>1344</v>
      </c>
      <c r="DC192" s="140"/>
    </row>
    <row r="193" spans="2:107" ht="11.25" customHeight="1" x14ac:dyDescent="0.15">
      <c r="B193" s="139" t="s">
        <v>577</v>
      </c>
      <c r="C193" s="140" t="s">
        <v>1631</v>
      </c>
      <c r="D193" s="140">
        <v>4</v>
      </c>
      <c r="E193" s="139" t="s">
        <v>1632</v>
      </c>
      <c r="F193" s="139" t="s">
        <v>580</v>
      </c>
      <c r="G193" s="140" t="s">
        <v>1631</v>
      </c>
      <c r="H193" s="139" t="s">
        <v>1633</v>
      </c>
      <c r="I193" s="140" t="s">
        <v>421</v>
      </c>
      <c r="J193" s="139" t="s">
        <v>582</v>
      </c>
      <c r="K193" s="139" t="s">
        <v>583</v>
      </c>
      <c r="L193" s="139" t="s">
        <v>583</v>
      </c>
      <c r="M193" s="139" t="s">
        <v>583</v>
      </c>
      <c r="N193" s="139" t="s">
        <v>731</v>
      </c>
      <c r="O193" s="139" t="s">
        <v>1099</v>
      </c>
      <c r="P193" s="139" t="s">
        <v>583</v>
      </c>
      <c r="Q193" s="139" t="s">
        <v>583</v>
      </c>
      <c r="R193" s="140">
        <v>1</v>
      </c>
      <c r="S193" s="140">
        <v>0</v>
      </c>
      <c r="T193" s="140">
        <v>1</v>
      </c>
      <c r="U193" s="140">
        <v>488</v>
      </c>
      <c r="V193" s="139" t="s">
        <v>586</v>
      </c>
      <c r="W193" s="139" t="s">
        <v>587</v>
      </c>
      <c r="X193" s="139" t="s">
        <v>588</v>
      </c>
      <c r="Y193" s="139" t="s">
        <v>589</v>
      </c>
      <c r="Z193" s="139" t="s">
        <v>590</v>
      </c>
      <c r="AA193" s="139" t="s">
        <v>591</v>
      </c>
      <c r="AB193" s="139" t="s">
        <v>586</v>
      </c>
      <c r="AC193" s="139" t="s">
        <v>587</v>
      </c>
      <c r="AD193" s="139" t="s">
        <v>588</v>
      </c>
      <c r="AE193" s="139" t="s">
        <v>589</v>
      </c>
      <c r="AF193" s="139" t="s">
        <v>590</v>
      </c>
      <c r="AG193" s="139" t="s">
        <v>591</v>
      </c>
      <c r="AH193" s="139" t="s">
        <v>733</v>
      </c>
      <c r="AI193" s="139" t="s">
        <v>432</v>
      </c>
      <c r="AJ193" s="140">
        <v>15912644.460000001</v>
      </c>
      <c r="AK193" s="139" t="s">
        <v>586</v>
      </c>
      <c r="AL193" s="139" t="s">
        <v>587</v>
      </c>
      <c r="AM193" s="139" t="s">
        <v>588</v>
      </c>
      <c r="AN193" s="139" t="s">
        <v>589</v>
      </c>
      <c r="AO193" s="139" t="s">
        <v>590</v>
      </c>
      <c r="AP193" s="139" t="s">
        <v>591</v>
      </c>
      <c r="AQ193" s="139" t="s">
        <v>733</v>
      </c>
      <c r="AR193" s="139" t="s">
        <v>432</v>
      </c>
      <c r="AS193" s="139" t="s">
        <v>432</v>
      </c>
      <c r="AT193" s="139" t="s">
        <v>593</v>
      </c>
      <c r="AU193" s="139" t="s">
        <v>437</v>
      </c>
      <c r="AV193" s="140">
        <v>2</v>
      </c>
      <c r="AW193" s="139" t="s">
        <v>594</v>
      </c>
      <c r="AX193" s="139" t="s">
        <v>653</v>
      </c>
      <c r="AY193" s="139" t="s">
        <v>850</v>
      </c>
      <c r="AZ193" s="140">
        <v>1</v>
      </c>
      <c r="BA193" s="139" t="s">
        <v>597</v>
      </c>
      <c r="BB193" s="140">
        <v>180560</v>
      </c>
      <c r="BC193" s="140">
        <v>15912644</v>
      </c>
      <c r="BD193" s="140">
        <v>197252.86</v>
      </c>
      <c r="BE193" s="140">
        <v>88.129400000000004</v>
      </c>
      <c r="BF193" s="139" t="s">
        <v>880</v>
      </c>
      <c r="BG193" s="139" t="s">
        <v>583</v>
      </c>
      <c r="BH193" s="139" t="s">
        <v>987</v>
      </c>
      <c r="BI193" s="139" t="s">
        <v>598</v>
      </c>
      <c r="BJ193" s="139" t="s">
        <v>1100</v>
      </c>
      <c r="BK193" s="139" t="s">
        <v>1101</v>
      </c>
      <c r="BL193" s="139" t="s">
        <v>1101</v>
      </c>
      <c r="BM193" s="139" t="s">
        <v>583</v>
      </c>
      <c r="BN193" s="139" t="s">
        <v>1102</v>
      </c>
      <c r="BO193" s="139" t="s">
        <v>1103</v>
      </c>
      <c r="BP193" s="139" t="s">
        <v>1104</v>
      </c>
      <c r="BQ193" s="139" t="s">
        <v>600</v>
      </c>
      <c r="BR193" s="140">
        <v>1</v>
      </c>
      <c r="BS193" s="139" t="s">
        <v>988</v>
      </c>
      <c r="BT193" s="99">
        <f t="shared" si="11"/>
        <v>0</v>
      </c>
      <c r="BU193" s="99">
        <f t="shared" si="11"/>
        <v>1</v>
      </c>
      <c r="BV193" s="99">
        <f t="shared" si="8"/>
        <v>1</v>
      </c>
      <c r="BW193" s="139" t="s">
        <v>602</v>
      </c>
      <c r="BX193" s="139" t="s">
        <v>731</v>
      </c>
      <c r="BY193" s="140">
        <v>488</v>
      </c>
      <c r="BZ193" s="140">
        <v>0</v>
      </c>
      <c r="CA193" s="99">
        <v>97600</v>
      </c>
      <c r="CB193" s="140" t="s">
        <v>603</v>
      </c>
      <c r="CC193" s="140">
        <v>0</v>
      </c>
      <c r="CD193" s="140"/>
      <c r="CE193" s="139" t="s">
        <v>577</v>
      </c>
      <c r="CF193" s="139" t="s">
        <v>604</v>
      </c>
      <c r="CG193" s="139" t="s">
        <v>583</v>
      </c>
      <c r="CH193" s="139" t="s">
        <v>583</v>
      </c>
      <c r="CI193" s="139" t="s">
        <v>733</v>
      </c>
      <c r="CJ193" s="140">
        <v>10736</v>
      </c>
      <c r="CK193" s="140" t="s">
        <v>605</v>
      </c>
      <c r="CL193" s="140">
        <v>4000000</v>
      </c>
      <c r="CM193" s="99">
        <v>9760</v>
      </c>
      <c r="CN193" s="140">
        <v>0</v>
      </c>
      <c r="CO193" s="139" t="s">
        <v>583</v>
      </c>
      <c r="CP193" s="139" t="s">
        <v>583</v>
      </c>
      <c r="CQ193" s="140">
        <v>180560</v>
      </c>
      <c r="CR193" s="140">
        <v>15912644</v>
      </c>
      <c r="CS193" s="140">
        <v>0</v>
      </c>
      <c r="CT193" s="140">
        <v>1</v>
      </c>
      <c r="CU193" s="140">
        <v>15912644.460000001</v>
      </c>
      <c r="CV193" s="99">
        <v>197252.86</v>
      </c>
      <c r="CW193" s="139" t="s">
        <v>606</v>
      </c>
      <c r="CX193" s="140">
        <v>20.2103</v>
      </c>
      <c r="CY193" s="140"/>
      <c r="CZ193" s="140"/>
      <c r="DA193" s="140" t="s">
        <v>856</v>
      </c>
      <c r="DB193" s="140">
        <v>1283</v>
      </c>
      <c r="DC193" s="140"/>
    </row>
    <row r="194" spans="2:107" ht="11.25" customHeight="1" x14ac:dyDescent="0.15">
      <c r="B194" s="139" t="s">
        <v>577</v>
      </c>
      <c r="C194" s="140" t="s">
        <v>1634</v>
      </c>
      <c r="D194" s="140">
        <v>4</v>
      </c>
      <c r="E194" s="139" t="s">
        <v>1635</v>
      </c>
      <c r="F194" s="139" t="s">
        <v>618</v>
      </c>
      <c r="G194" s="140" t="s">
        <v>1634</v>
      </c>
      <c r="H194" s="139" t="s">
        <v>1636</v>
      </c>
      <c r="I194" s="140" t="s">
        <v>421</v>
      </c>
      <c r="J194" s="139" t="s">
        <v>582</v>
      </c>
      <c r="K194" s="139" t="s">
        <v>583</v>
      </c>
      <c r="L194" s="139" t="s">
        <v>583</v>
      </c>
      <c r="M194" s="139" t="s">
        <v>583</v>
      </c>
      <c r="N194" s="139" t="s">
        <v>441</v>
      </c>
      <c r="O194" s="139" t="s">
        <v>630</v>
      </c>
      <c r="P194" s="139" t="s">
        <v>583</v>
      </c>
      <c r="Q194" s="139" t="s">
        <v>583</v>
      </c>
      <c r="R194" s="140">
        <v>1</v>
      </c>
      <c r="S194" s="140">
        <v>0</v>
      </c>
      <c r="T194" s="140">
        <v>1</v>
      </c>
      <c r="U194" s="140">
        <v>282</v>
      </c>
      <c r="V194" s="139" t="s">
        <v>583</v>
      </c>
      <c r="W194" s="139" t="s">
        <v>583</v>
      </c>
      <c r="X194" s="139" t="s">
        <v>632</v>
      </c>
      <c r="Y194" s="139" t="s">
        <v>633</v>
      </c>
      <c r="Z194" s="139" t="s">
        <v>583</v>
      </c>
      <c r="AA194" s="139" t="s">
        <v>583</v>
      </c>
      <c r="AB194" s="139" t="s">
        <v>583</v>
      </c>
      <c r="AC194" s="139" t="s">
        <v>583</v>
      </c>
      <c r="AD194" s="139" t="s">
        <v>632</v>
      </c>
      <c r="AE194" s="139" t="s">
        <v>633</v>
      </c>
      <c r="AF194" s="139" t="s">
        <v>583</v>
      </c>
      <c r="AG194" s="139" t="s">
        <v>583</v>
      </c>
      <c r="AH194" s="139" t="s">
        <v>621</v>
      </c>
      <c r="AI194" s="139" t="s">
        <v>430</v>
      </c>
      <c r="AJ194" s="140">
        <v>7336571.2199999997</v>
      </c>
      <c r="AK194" s="139" t="s">
        <v>583</v>
      </c>
      <c r="AL194" s="139" t="s">
        <v>583</v>
      </c>
      <c r="AM194" s="139" t="s">
        <v>632</v>
      </c>
      <c r="AN194" s="139" t="s">
        <v>633</v>
      </c>
      <c r="AO194" s="139" t="s">
        <v>583</v>
      </c>
      <c r="AP194" s="139" t="s">
        <v>583</v>
      </c>
      <c r="AQ194" s="139" t="s">
        <v>621</v>
      </c>
      <c r="AR194" s="139" t="s">
        <v>430</v>
      </c>
      <c r="AS194" s="139" t="s">
        <v>430</v>
      </c>
      <c r="AT194" s="139" t="s">
        <v>593</v>
      </c>
      <c r="AU194" s="139" t="s">
        <v>437</v>
      </c>
      <c r="AV194" s="140">
        <v>0</v>
      </c>
      <c r="AW194" s="139" t="s">
        <v>594</v>
      </c>
      <c r="AX194" s="139" t="s">
        <v>622</v>
      </c>
      <c r="AY194" s="139" t="s">
        <v>623</v>
      </c>
      <c r="AZ194" s="140">
        <v>1</v>
      </c>
      <c r="BA194" s="139" t="s">
        <v>597</v>
      </c>
      <c r="BB194" s="140">
        <v>84600</v>
      </c>
      <c r="BC194" s="140">
        <v>7336571</v>
      </c>
      <c r="BD194" s="140">
        <v>92451.02</v>
      </c>
      <c r="BE194" s="140">
        <v>86.720699999999994</v>
      </c>
      <c r="BF194" s="139" t="s">
        <v>880</v>
      </c>
      <c r="BG194" s="139" t="s">
        <v>582</v>
      </c>
      <c r="BH194" s="139" t="s">
        <v>931</v>
      </c>
      <c r="BI194" s="139" t="s">
        <v>598</v>
      </c>
      <c r="BJ194" s="139" t="s">
        <v>624</v>
      </c>
      <c r="BK194" s="139" t="s">
        <v>882</v>
      </c>
      <c r="BL194" s="139" t="s">
        <v>583</v>
      </c>
      <c r="BM194" s="139" t="s">
        <v>883</v>
      </c>
      <c r="BN194" s="139" t="s">
        <v>583</v>
      </c>
      <c r="BO194" s="139" t="s">
        <v>623</v>
      </c>
      <c r="BP194" s="139" t="s">
        <v>884</v>
      </c>
      <c r="BQ194" s="139" t="s">
        <v>625</v>
      </c>
      <c r="BR194" s="140">
        <v>1</v>
      </c>
      <c r="BS194" s="139" t="s">
        <v>634</v>
      </c>
      <c r="BT194" s="99">
        <f t="shared" si="11"/>
        <v>0</v>
      </c>
      <c r="BU194" s="99">
        <f t="shared" si="11"/>
        <v>1</v>
      </c>
      <c r="BV194" s="99">
        <f t="shared" si="8"/>
        <v>1</v>
      </c>
      <c r="BW194" s="139" t="s">
        <v>635</v>
      </c>
      <c r="BX194" s="139" t="s">
        <v>441</v>
      </c>
      <c r="BY194" s="140">
        <v>282</v>
      </c>
      <c r="BZ194" s="140">
        <v>0</v>
      </c>
      <c r="CA194" s="99">
        <v>56400</v>
      </c>
      <c r="CB194" s="140" t="s">
        <v>603</v>
      </c>
      <c r="CC194" s="140">
        <v>0</v>
      </c>
      <c r="CD194" s="140"/>
      <c r="CE194" s="139" t="s">
        <v>577</v>
      </c>
      <c r="CF194" s="139" t="s">
        <v>604</v>
      </c>
      <c r="CG194" s="139" t="s">
        <v>583</v>
      </c>
      <c r="CH194" s="139" t="s">
        <v>583</v>
      </c>
      <c r="CI194" s="139" t="s">
        <v>621</v>
      </c>
      <c r="CJ194" s="140">
        <v>5780</v>
      </c>
      <c r="CK194" s="140" t="s">
        <v>605</v>
      </c>
      <c r="CL194" s="140">
        <v>4000000</v>
      </c>
      <c r="CM194" s="99">
        <v>5076</v>
      </c>
      <c r="CN194" s="140">
        <v>0</v>
      </c>
      <c r="CO194" s="139" t="s">
        <v>583</v>
      </c>
      <c r="CP194" s="139" t="s">
        <v>583</v>
      </c>
      <c r="CQ194" s="140">
        <v>84600</v>
      </c>
      <c r="CR194" s="140">
        <v>7336571</v>
      </c>
      <c r="CS194" s="140">
        <v>0</v>
      </c>
      <c r="CT194" s="140">
        <v>1</v>
      </c>
      <c r="CU194" s="140">
        <v>7336571.2199999997</v>
      </c>
      <c r="CV194" s="99">
        <v>92451.02</v>
      </c>
      <c r="CW194" s="139" t="s">
        <v>606</v>
      </c>
      <c r="CX194" s="140">
        <v>18.2134</v>
      </c>
      <c r="CY194" s="140"/>
      <c r="CZ194" s="140"/>
      <c r="DA194" s="140" t="s">
        <v>933</v>
      </c>
      <c r="DB194" s="140">
        <v>659</v>
      </c>
      <c r="DC194" s="140"/>
    </row>
    <row r="195" spans="2:107" ht="11.25" customHeight="1" x14ac:dyDescent="0.15">
      <c r="B195" s="139" t="s">
        <v>577</v>
      </c>
      <c r="C195" s="140" t="s">
        <v>1637</v>
      </c>
      <c r="D195" s="140">
        <v>4</v>
      </c>
      <c r="E195" s="139" t="s">
        <v>1638</v>
      </c>
      <c r="F195" s="139" t="s">
        <v>580</v>
      </c>
      <c r="G195" s="140" t="s">
        <v>1637</v>
      </c>
      <c r="H195" s="139" t="s">
        <v>1639</v>
      </c>
      <c r="I195" s="140" t="s">
        <v>421</v>
      </c>
      <c r="J195" s="139" t="s">
        <v>582</v>
      </c>
      <c r="K195" s="139" t="s">
        <v>583</v>
      </c>
      <c r="L195" s="139" t="s">
        <v>583</v>
      </c>
      <c r="M195" s="139" t="s">
        <v>583</v>
      </c>
      <c r="N195" s="139" t="s">
        <v>1386</v>
      </c>
      <c r="O195" s="139" t="s">
        <v>1640</v>
      </c>
      <c r="P195" s="139" t="s">
        <v>583</v>
      </c>
      <c r="Q195" s="139" t="s">
        <v>583</v>
      </c>
      <c r="R195" s="140">
        <v>2</v>
      </c>
      <c r="S195" s="140">
        <v>0</v>
      </c>
      <c r="T195" s="140">
        <v>2</v>
      </c>
      <c r="U195" s="140">
        <v>28</v>
      </c>
      <c r="V195" s="139" t="s">
        <v>1069</v>
      </c>
      <c r="W195" s="139" t="s">
        <v>1070</v>
      </c>
      <c r="X195" s="139" t="s">
        <v>1071</v>
      </c>
      <c r="Y195" s="139" t="s">
        <v>1072</v>
      </c>
      <c r="Z195" s="139" t="s">
        <v>590</v>
      </c>
      <c r="AA195" s="139" t="s">
        <v>1073</v>
      </c>
      <c r="AB195" s="139" t="s">
        <v>1069</v>
      </c>
      <c r="AC195" s="139" t="s">
        <v>1070</v>
      </c>
      <c r="AD195" s="139" t="s">
        <v>1071</v>
      </c>
      <c r="AE195" s="139" t="s">
        <v>1072</v>
      </c>
      <c r="AF195" s="139" t="s">
        <v>590</v>
      </c>
      <c r="AG195" s="139" t="s">
        <v>1073</v>
      </c>
      <c r="AH195" s="139" t="s">
        <v>1074</v>
      </c>
      <c r="AI195" s="139" t="s">
        <v>435</v>
      </c>
      <c r="AJ195" s="140">
        <v>8964653.1300000008</v>
      </c>
      <c r="AK195" s="139" t="s">
        <v>1069</v>
      </c>
      <c r="AL195" s="139" t="s">
        <v>1070</v>
      </c>
      <c r="AM195" s="139" t="s">
        <v>1071</v>
      </c>
      <c r="AN195" s="139" t="s">
        <v>1072</v>
      </c>
      <c r="AO195" s="139" t="s">
        <v>590</v>
      </c>
      <c r="AP195" s="139" t="s">
        <v>1073</v>
      </c>
      <c r="AQ195" s="139" t="s">
        <v>1074</v>
      </c>
      <c r="AR195" s="139" t="s">
        <v>435</v>
      </c>
      <c r="AS195" s="139" t="s">
        <v>435</v>
      </c>
      <c r="AT195" s="139" t="s">
        <v>593</v>
      </c>
      <c r="AU195" s="139" t="s">
        <v>437</v>
      </c>
      <c r="AV195" s="140">
        <v>2</v>
      </c>
      <c r="AW195" s="139" t="s">
        <v>594</v>
      </c>
      <c r="AX195" s="139" t="s">
        <v>653</v>
      </c>
      <c r="AY195" s="139" t="s">
        <v>1075</v>
      </c>
      <c r="AZ195" s="140">
        <v>1</v>
      </c>
      <c r="BA195" s="139" t="s">
        <v>597</v>
      </c>
      <c r="BB195" s="140">
        <v>105942</v>
      </c>
      <c r="BC195" s="140">
        <v>8964653</v>
      </c>
      <c r="BD195" s="140">
        <v>115003.69</v>
      </c>
      <c r="BE195" s="140">
        <v>84.618499999999997</v>
      </c>
      <c r="BF195" s="139" t="s">
        <v>880</v>
      </c>
      <c r="BG195" s="139" t="s">
        <v>583</v>
      </c>
      <c r="BH195" s="139" t="s">
        <v>1076</v>
      </c>
      <c r="BI195" s="139" t="s">
        <v>598</v>
      </c>
      <c r="BJ195" s="139" t="s">
        <v>599</v>
      </c>
      <c r="BK195" s="139" t="s">
        <v>583</v>
      </c>
      <c r="BL195" s="139" t="s">
        <v>583</v>
      </c>
      <c r="BM195" s="139" t="s">
        <v>583</v>
      </c>
      <c r="BN195" s="139" t="s">
        <v>842</v>
      </c>
      <c r="BO195" s="139" t="s">
        <v>843</v>
      </c>
      <c r="BP195" s="139" t="s">
        <v>925</v>
      </c>
      <c r="BQ195" s="139" t="s">
        <v>723</v>
      </c>
      <c r="BR195" s="140">
        <v>2</v>
      </c>
      <c r="BS195" s="139" t="s">
        <v>1077</v>
      </c>
      <c r="BT195" s="99">
        <f t="shared" si="11"/>
        <v>1</v>
      </c>
      <c r="BU195" s="99">
        <f t="shared" si="11"/>
        <v>0</v>
      </c>
      <c r="BV195" s="99">
        <f t="shared" si="8"/>
        <v>1</v>
      </c>
      <c r="BW195" s="139" t="s">
        <v>1078</v>
      </c>
      <c r="BX195" s="139" t="s">
        <v>1257</v>
      </c>
      <c r="BY195" s="140">
        <v>2</v>
      </c>
      <c r="BZ195" s="140">
        <v>0</v>
      </c>
      <c r="CA195" s="99">
        <v>7000</v>
      </c>
      <c r="CB195" s="140" t="s">
        <v>603</v>
      </c>
      <c r="CC195" s="140">
        <v>0</v>
      </c>
      <c r="CD195" s="140"/>
      <c r="CE195" s="139" t="s">
        <v>1080</v>
      </c>
      <c r="CF195" s="139" t="s">
        <v>604</v>
      </c>
      <c r="CG195" s="139" t="s">
        <v>583</v>
      </c>
      <c r="CH195" s="139" t="s">
        <v>583</v>
      </c>
      <c r="CI195" s="139" t="s">
        <v>1074</v>
      </c>
      <c r="CJ195" s="140">
        <v>730</v>
      </c>
      <c r="CK195" s="140" t="s">
        <v>605</v>
      </c>
      <c r="CL195" s="140">
        <v>4000000</v>
      </c>
      <c r="CM195" s="99">
        <v>665</v>
      </c>
      <c r="CN195" s="140">
        <v>0</v>
      </c>
      <c r="CO195" s="139" t="s">
        <v>583</v>
      </c>
      <c r="CP195" s="139" t="s">
        <v>583</v>
      </c>
      <c r="CQ195" s="140">
        <v>14271.45</v>
      </c>
      <c r="CR195" s="140">
        <v>1207629</v>
      </c>
      <c r="CS195" s="140">
        <v>0</v>
      </c>
      <c r="CT195" s="140">
        <v>1</v>
      </c>
      <c r="CU195" s="140">
        <v>1207628.69</v>
      </c>
      <c r="CV195" s="99">
        <v>15492.15</v>
      </c>
      <c r="CW195" s="139" t="s">
        <v>606</v>
      </c>
      <c r="CX195" s="140">
        <v>23.296500000000002</v>
      </c>
      <c r="CY195" s="140">
        <v>1535</v>
      </c>
      <c r="CZ195" s="140" t="s">
        <v>1603</v>
      </c>
      <c r="DA195" s="140" t="s">
        <v>1119</v>
      </c>
      <c r="DB195" s="140">
        <v>1527</v>
      </c>
      <c r="DC195" s="140"/>
    </row>
    <row r="196" spans="2:107" ht="11.25" customHeight="1" x14ac:dyDescent="0.15">
      <c r="B196" s="139" t="s">
        <v>577</v>
      </c>
      <c r="C196" s="140" t="s">
        <v>1641</v>
      </c>
      <c r="D196" s="140">
        <v>4</v>
      </c>
      <c r="E196" s="139" t="s">
        <v>1642</v>
      </c>
      <c r="F196" s="139" t="s">
        <v>580</v>
      </c>
      <c r="G196" s="140" t="s">
        <v>1641</v>
      </c>
      <c r="H196" s="139" t="s">
        <v>1643</v>
      </c>
      <c r="I196" s="140" t="s">
        <v>421</v>
      </c>
      <c r="J196" s="139" t="s">
        <v>582</v>
      </c>
      <c r="K196" s="139" t="s">
        <v>583</v>
      </c>
      <c r="L196" s="139" t="s">
        <v>583</v>
      </c>
      <c r="M196" s="139" t="s">
        <v>583</v>
      </c>
      <c r="N196" s="139" t="s">
        <v>1532</v>
      </c>
      <c r="O196" s="139" t="s">
        <v>1644</v>
      </c>
      <c r="P196" s="139" t="s">
        <v>583</v>
      </c>
      <c r="Q196" s="139" t="s">
        <v>583</v>
      </c>
      <c r="R196" s="140">
        <v>1</v>
      </c>
      <c r="S196" s="140">
        <v>0</v>
      </c>
      <c r="T196" s="140">
        <v>1</v>
      </c>
      <c r="U196" s="140">
        <v>130</v>
      </c>
      <c r="V196" s="139" t="s">
        <v>640</v>
      </c>
      <c r="W196" s="139" t="s">
        <v>641</v>
      </c>
      <c r="X196" s="139" t="s">
        <v>642</v>
      </c>
      <c r="Y196" s="139" t="s">
        <v>643</v>
      </c>
      <c r="Z196" s="139" t="s">
        <v>644</v>
      </c>
      <c r="AA196" s="139" t="s">
        <v>645</v>
      </c>
      <c r="AB196" s="139" t="s">
        <v>640</v>
      </c>
      <c r="AC196" s="139" t="s">
        <v>641</v>
      </c>
      <c r="AD196" s="139" t="s">
        <v>642</v>
      </c>
      <c r="AE196" s="139" t="s">
        <v>643</v>
      </c>
      <c r="AF196" s="139" t="s">
        <v>644</v>
      </c>
      <c r="AG196" s="139" t="s">
        <v>645</v>
      </c>
      <c r="AH196" s="139" t="s">
        <v>1534</v>
      </c>
      <c r="AI196" s="139" t="s">
        <v>1535</v>
      </c>
      <c r="AJ196" s="140">
        <v>4141655.18</v>
      </c>
      <c r="AK196" s="139" t="s">
        <v>640</v>
      </c>
      <c r="AL196" s="139" t="s">
        <v>641</v>
      </c>
      <c r="AM196" s="139" t="s">
        <v>642</v>
      </c>
      <c r="AN196" s="139" t="s">
        <v>643</v>
      </c>
      <c r="AO196" s="139" t="s">
        <v>644</v>
      </c>
      <c r="AP196" s="139" t="s">
        <v>645</v>
      </c>
      <c r="AQ196" s="139" t="s">
        <v>759</v>
      </c>
      <c r="AR196" s="139" t="s">
        <v>434</v>
      </c>
      <c r="AS196" s="139" t="s">
        <v>434</v>
      </c>
      <c r="AT196" s="139" t="s">
        <v>593</v>
      </c>
      <c r="AU196" s="139" t="s">
        <v>437</v>
      </c>
      <c r="AV196" s="140">
        <v>2</v>
      </c>
      <c r="AW196" s="139" t="s">
        <v>594</v>
      </c>
      <c r="AX196" s="139" t="s">
        <v>595</v>
      </c>
      <c r="AY196" s="139" t="s">
        <v>1536</v>
      </c>
      <c r="AZ196" s="140">
        <v>1</v>
      </c>
      <c r="BA196" s="139" t="s">
        <v>597</v>
      </c>
      <c r="BB196" s="140">
        <v>49040</v>
      </c>
      <c r="BC196" s="140">
        <v>4124833</v>
      </c>
      <c r="BD196" s="140">
        <v>53562.84</v>
      </c>
      <c r="BE196" s="140">
        <v>84.111599999999996</v>
      </c>
      <c r="BF196" s="139" t="s">
        <v>880</v>
      </c>
      <c r="BG196" s="139" t="s">
        <v>583</v>
      </c>
      <c r="BH196" s="139" t="s">
        <v>1537</v>
      </c>
      <c r="BI196" s="139" t="s">
        <v>598</v>
      </c>
      <c r="BJ196" s="139" t="s">
        <v>599</v>
      </c>
      <c r="BK196" s="139" t="s">
        <v>583</v>
      </c>
      <c r="BL196" s="139" t="s">
        <v>583</v>
      </c>
      <c r="BM196" s="139" t="s">
        <v>939</v>
      </c>
      <c r="BN196" s="139" t="s">
        <v>916</v>
      </c>
      <c r="BO196" s="139" t="s">
        <v>917</v>
      </c>
      <c r="BP196" s="139" t="s">
        <v>918</v>
      </c>
      <c r="BQ196" s="139" t="s">
        <v>772</v>
      </c>
      <c r="BR196" s="140">
        <v>1</v>
      </c>
      <c r="BS196" s="139" t="s">
        <v>1538</v>
      </c>
      <c r="BT196" s="99">
        <f t="shared" si="11"/>
        <v>1</v>
      </c>
      <c r="BU196" s="99">
        <f t="shared" si="11"/>
        <v>1</v>
      </c>
      <c r="BV196" s="99">
        <f t="shared" ref="BV196:BV259" si="12">MAX(BT196,BU196)</f>
        <v>1</v>
      </c>
      <c r="BW196" s="139" t="s">
        <v>1539</v>
      </c>
      <c r="BX196" s="139" t="s">
        <v>1540</v>
      </c>
      <c r="BY196" s="140">
        <v>130</v>
      </c>
      <c r="BZ196" s="140">
        <v>0</v>
      </c>
      <c r="CA196" s="99">
        <v>26000</v>
      </c>
      <c r="CB196" s="140" t="s">
        <v>603</v>
      </c>
      <c r="CC196" s="140">
        <v>0</v>
      </c>
      <c r="CD196" s="140"/>
      <c r="CE196" s="139" t="s">
        <v>577</v>
      </c>
      <c r="CF196" s="139" t="s">
        <v>604</v>
      </c>
      <c r="CG196" s="139" t="s">
        <v>583</v>
      </c>
      <c r="CH196" s="139" t="s">
        <v>583</v>
      </c>
      <c r="CI196" s="139" t="s">
        <v>759</v>
      </c>
      <c r="CJ196" s="140">
        <v>2600</v>
      </c>
      <c r="CK196" s="140" t="s">
        <v>605</v>
      </c>
      <c r="CL196" s="140">
        <v>4000000</v>
      </c>
      <c r="CM196" s="99">
        <v>2470</v>
      </c>
      <c r="CN196" s="140">
        <v>0</v>
      </c>
      <c r="CO196" s="139" t="s">
        <v>583</v>
      </c>
      <c r="CP196" s="139" t="s">
        <v>583</v>
      </c>
      <c r="CQ196" s="140">
        <v>49040</v>
      </c>
      <c r="CR196" s="140">
        <v>4124833</v>
      </c>
      <c r="CS196" s="140">
        <v>0</v>
      </c>
      <c r="CT196" s="140">
        <v>1</v>
      </c>
      <c r="CU196" s="140">
        <v>4141655.18</v>
      </c>
      <c r="CV196" s="99">
        <v>53562.84</v>
      </c>
      <c r="CW196" s="139" t="s">
        <v>606</v>
      </c>
      <c r="CX196" s="140">
        <v>21.685400000000001</v>
      </c>
      <c r="CY196" s="140"/>
      <c r="CZ196" s="140"/>
      <c r="DA196" s="140" t="s">
        <v>941</v>
      </c>
      <c r="DB196" s="140">
        <v>1406</v>
      </c>
      <c r="DC196" s="140"/>
    </row>
    <row r="197" spans="2:107" ht="11.25" customHeight="1" x14ac:dyDescent="0.15">
      <c r="B197" s="139" t="s">
        <v>577</v>
      </c>
      <c r="C197" s="140" t="s">
        <v>1645</v>
      </c>
      <c r="D197" s="140">
        <v>4</v>
      </c>
      <c r="E197" s="139" t="s">
        <v>1646</v>
      </c>
      <c r="F197" s="139" t="s">
        <v>718</v>
      </c>
      <c r="G197" s="140" t="s">
        <v>1645</v>
      </c>
      <c r="H197" s="139" t="s">
        <v>1647</v>
      </c>
      <c r="I197" s="140" t="s">
        <v>421</v>
      </c>
      <c r="J197" s="139" t="s">
        <v>582</v>
      </c>
      <c r="K197" s="139" t="s">
        <v>583</v>
      </c>
      <c r="L197" s="139" t="s">
        <v>583</v>
      </c>
      <c r="M197" s="139" t="s">
        <v>583</v>
      </c>
      <c r="N197" s="139" t="s">
        <v>1547</v>
      </c>
      <c r="O197" s="139" t="s">
        <v>1648</v>
      </c>
      <c r="P197" s="139" t="s">
        <v>583</v>
      </c>
      <c r="Q197" s="139" t="s">
        <v>583</v>
      </c>
      <c r="R197" s="140">
        <v>2</v>
      </c>
      <c r="S197" s="140">
        <v>0</v>
      </c>
      <c r="T197" s="140">
        <v>2</v>
      </c>
      <c r="U197" s="140">
        <v>26</v>
      </c>
      <c r="V197" s="139" t="s">
        <v>662</v>
      </c>
      <c r="W197" s="139" t="s">
        <v>663</v>
      </c>
      <c r="X197" s="139" t="s">
        <v>664</v>
      </c>
      <c r="Y197" s="139" t="s">
        <v>665</v>
      </c>
      <c r="Z197" s="139" t="s">
        <v>666</v>
      </c>
      <c r="AA197" s="139" t="s">
        <v>667</v>
      </c>
      <c r="AB197" s="139" t="s">
        <v>662</v>
      </c>
      <c r="AC197" s="139" t="s">
        <v>663</v>
      </c>
      <c r="AD197" s="139" t="s">
        <v>664</v>
      </c>
      <c r="AE197" s="139" t="s">
        <v>665</v>
      </c>
      <c r="AF197" s="139" t="s">
        <v>666</v>
      </c>
      <c r="AG197" s="139" t="s">
        <v>667</v>
      </c>
      <c r="AH197" s="139" t="s">
        <v>1549</v>
      </c>
      <c r="AI197" s="139" t="s">
        <v>436</v>
      </c>
      <c r="AJ197" s="140">
        <v>9048725.9299999997</v>
      </c>
      <c r="AK197" s="139" t="s">
        <v>662</v>
      </c>
      <c r="AL197" s="139" t="s">
        <v>663</v>
      </c>
      <c r="AM197" s="139" t="s">
        <v>664</v>
      </c>
      <c r="AN197" s="139" t="s">
        <v>665</v>
      </c>
      <c r="AO197" s="139" t="s">
        <v>666</v>
      </c>
      <c r="AP197" s="139" t="s">
        <v>667</v>
      </c>
      <c r="AQ197" s="139" t="s">
        <v>1549</v>
      </c>
      <c r="AR197" s="139" t="s">
        <v>436</v>
      </c>
      <c r="AS197" s="139" t="s">
        <v>436</v>
      </c>
      <c r="AT197" s="139" t="s">
        <v>593</v>
      </c>
      <c r="AU197" s="139" t="s">
        <v>437</v>
      </c>
      <c r="AV197" s="140">
        <v>2</v>
      </c>
      <c r="AW197" s="139" t="s">
        <v>594</v>
      </c>
      <c r="AX197" s="139" t="s">
        <v>583</v>
      </c>
      <c r="AY197" s="139" t="s">
        <v>1550</v>
      </c>
      <c r="AZ197" s="140">
        <v>1</v>
      </c>
      <c r="BA197" s="139" t="s">
        <v>597</v>
      </c>
      <c r="BB197" s="140">
        <v>101880</v>
      </c>
      <c r="BC197" s="140">
        <v>8569290</v>
      </c>
      <c r="BD197" s="140">
        <v>117024.57</v>
      </c>
      <c r="BE197" s="140">
        <v>84.111599999999996</v>
      </c>
      <c r="BF197" s="139" t="s">
        <v>880</v>
      </c>
      <c r="BG197" s="139" t="s">
        <v>583</v>
      </c>
      <c r="BH197" s="139" t="s">
        <v>1551</v>
      </c>
      <c r="BI197" s="139" t="s">
        <v>598</v>
      </c>
      <c r="BJ197" s="139" t="s">
        <v>599</v>
      </c>
      <c r="BK197" s="139" t="s">
        <v>583</v>
      </c>
      <c r="BL197" s="139" t="s">
        <v>583</v>
      </c>
      <c r="BM197" s="139" t="s">
        <v>583</v>
      </c>
      <c r="BN197" s="139" t="s">
        <v>842</v>
      </c>
      <c r="BO197" s="139" t="s">
        <v>843</v>
      </c>
      <c r="BP197" s="139" t="s">
        <v>925</v>
      </c>
      <c r="BQ197" s="139" t="s">
        <v>723</v>
      </c>
      <c r="BR197" s="140">
        <v>1</v>
      </c>
      <c r="BS197" s="139" t="s">
        <v>1649</v>
      </c>
      <c r="BT197" s="99">
        <f t="shared" si="11"/>
        <v>1</v>
      </c>
      <c r="BU197" s="99">
        <f t="shared" si="11"/>
        <v>0</v>
      </c>
      <c r="BV197" s="99">
        <f t="shared" si="12"/>
        <v>1</v>
      </c>
      <c r="BW197" s="139" t="s">
        <v>602</v>
      </c>
      <c r="BX197" s="139" t="s">
        <v>1553</v>
      </c>
      <c r="BY197" s="140">
        <v>6</v>
      </c>
      <c r="BZ197" s="140">
        <v>0</v>
      </c>
      <c r="CA197" s="99">
        <v>36000</v>
      </c>
      <c r="CB197" s="140" t="s">
        <v>603</v>
      </c>
      <c r="CC197" s="140">
        <v>0</v>
      </c>
      <c r="CD197" s="140"/>
      <c r="CE197" s="139" t="s">
        <v>577</v>
      </c>
      <c r="CF197" s="139" t="s">
        <v>604</v>
      </c>
      <c r="CG197" s="139" t="s">
        <v>583</v>
      </c>
      <c r="CH197" s="139" t="s">
        <v>583</v>
      </c>
      <c r="CI197" s="139" t="s">
        <v>1549</v>
      </c>
      <c r="CJ197" s="140">
        <v>3760</v>
      </c>
      <c r="CK197" s="140" t="s">
        <v>605</v>
      </c>
      <c r="CL197" s="140">
        <v>4000000</v>
      </c>
      <c r="CM197" s="99">
        <v>3420</v>
      </c>
      <c r="CN197" s="140">
        <v>0</v>
      </c>
      <c r="CO197" s="139" t="s">
        <v>583</v>
      </c>
      <c r="CP197" s="139" t="s">
        <v>583</v>
      </c>
      <c r="CQ197" s="140">
        <v>46800</v>
      </c>
      <c r="CR197" s="140">
        <v>3936423</v>
      </c>
      <c r="CS197" s="140">
        <v>0</v>
      </c>
      <c r="CT197" s="140">
        <v>1</v>
      </c>
      <c r="CU197" s="140">
        <v>4013850.13</v>
      </c>
      <c r="CV197" s="99">
        <v>51909.97</v>
      </c>
      <c r="CW197" s="139" t="s">
        <v>606</v>
      </c>
      <c r="CX197" s="140">
        <v>15.1784</v>
      </c>
      <c r="CY197" s="140"/>
      <c r="CZ197" s="140"/>
      <c r="DA197" s="140" t="s">
        <v>926</v>
      </c>
      <c r="DB197" s="140">
        <v>21</v>
      </c>
      <c r="DC197" s="140"/>
    </row>
    <row r="198" spans="2:107" ht="11.25" customHeight="1" x14ac:dyDescent="0.15">
      <c r="B198" s="139" t="s">
        <v>577</v>
      </c>
      <c r="C198" s="140" t="s">
        <v>1645</v>
      </c>
      <c r="D198" s="140">
        <v>4</v>
      </c>
      <c r="E198" s="139" t="s">
        <v>1650</v>
      </c>
      <c r="F198" s="139" t="s">
        <v>618</v>
      </c>
      <c r="G198" s="140" t="s">
        <v>1645</v>
      </c>
      <c r="H198" s="139" t="s">
        <v>1651</v>
      </c>
      <c r="I198" s="140" t="s">
        <v>421</v>
      </c>
      <c r="J198" s="139" t="s">
        <v>582</v>
      </c>
      <c r="K198" s="139" t="s">
        <v>583</v>
      </c>
      <c r="L198" s="139" t="s">
        <v>583</v>
      </c>
      <c r="M198" s="139" t="s">
        <v>583</v>
      </c>
      <c r="N198" s="139" t="s">
        <v>441</v>
      </c>
      <c r="O198" s="139" t="s">
        <v>630</v>
      </c>
      <c r="P198" s="139" t="s">
        <v>583</v>
      </c>
      <c r="Q198" s="139" t="s">
        <v>583</v>
      </c>
      <c r="R198" s="140">
        <v>1</v>
      </c>
      <c r="S198" s="140">
        <v>0</v>
      </c>
      <c r="T198" s="140">
        <v>1</v>
      </c>
      <c r="U198" s="140">
        <v>150</v>
      </c>
      <c r="V198" s="139" t="s">
        <v>679</v>
      </c>
      <c r="W198" s="139" t="s">
        <v>680</v>
      </c>
      <c r="X198" s="139" t="s">
        <v>681</v>
      </c>
      <c r="Y198" s="139" t="s">
        <v>682</v>
      </c>
      <c r="Z198" s="139" t="s">
        <v>683</v>
      </c>
      <c r="AA198" s="139" t="s">
        <v>684</v>
      </c>
      <c r="AB198" s="139" t="s">
        <v>679</v>
      </c>
      <c r="AC198" s="139" t="s">
        <v>680</v>
      </c>
      <c r="AD198" s="139" t="s">
        <v>681</v>
      </c>
      <c r="AE198" s="139" t="s">
        <v>682</v>
      </c>
      <c r="AF198" s="139" t="s">
        <v>683</v>
      </c>
      <c r="AG198" s="139" t="s">
        <v>684</v>
      </c>
      <c r="AH198" s="139" t="s">
        <v>621</v>
      </c>
      <c r="AI198" s="139" t="s">
        <v>430</v>
      </c>
      <c r="AJ198" s="140">
        <v>3785022</v>
      </c>
      <c r="AK198" s="139" t="s">
        <v>679</v>
      </c>
      <c r="AL198" s="139" t="s">
        <v>680</v>
      </c>
      <c r="AM198" s="139" t="s">
        <v>681</v>
      </c>
      <c r="AN198" s="139" t="s">
        <v>682</v>
      </c>
      <c r="AO198" s="139" t="s">
        <v>683</v>
      </c>
      <c r="AP198" s="139" t="s">
        <v>684</v>
      </c>
      <c r="AQ198" s="139" t="s">
        <v>621</v>
      </c>
      <c r="AR198" s="139" t="s">
        <v>430</v>
      </c>
      <c r="AS198" s="139" t="s">
        <v>430</v>
      </c>
      <c r="AT198" s="139" t="s">
        <v>593</v>
      </c>
      <c r="AU198" s="139" t="s">
        <v>437</v>
      </c>
      <c r="AV198" s="140">
        <v>0</v>
      </c>
      <c r="AW198" s="139" t="s">
        <v>594</v>
      </c>
      <c r="AX198" s="139" t="s">
        <v>622</v>
      </c>
      <c r="AY198" s="139" t="s">
        <v>623</v>
      </c>
      <c r="AZ198" s="140">
        <v>1</v>
      </c>
      <c r="BA198" s="139" t="s">
        <v>597</v>
      </c>
      <c r="BB198" s="140">
        <v>45000</v>
      </c>
      <c r="BC198" s="140">
        <v>3785022</v>
      </c>
      <c r="BD198" s="140">
        <v>48950.6</v>
      </c>
      <c r="BE198" s="140">
        <v>84.111599999999996</v>
      </c>
      <c r="BF198" s="139" t="s">
        <v>880</v>
      </c>
      <c r="BG198" s="139" t="s">
        <v>582</v>
      </c>
      <c r="BH198" s="139" t="s">
        <v>900</v>
      </c>
      <c r="BI198" s="139" t="s">
        <v>598</v>
      </c>
      <c r="BJ198" s="139" t="s">
        <v>624</v>
      </c>
      <c r="BK198" s="139" t="s">
        <v>882</v>
      </c>
      <c r="BL198" s="139" t="s">
        <v>583</v>
      </c>
      <c r="BM198" s="139" t="s">
        <v>883</v>
      </c>
      <c r="BN198" s="139" t="s">
        <v>583</v>
      </c>
      <c r="BO198" s="139" t="s">
        <v>623</v>
      </c>
      <c r="BP198" s="139" t="s">
        <v>884</v>
      </c>
      <c r="BQ198" s="139" t="s">
        <v>625</v>
      </c>
      <c r="BR198" s="140">
        <v>1</v>
      </c>
      <c r="BS198" s="139" t="s">
        <v>685</v>
      </c>
      <c r="BT198" s="99">
        <f t="shared" si="11"/>
        <v>0</v>
      </c>
      <c r="BU198" s="99">
        <f t="shared" si="11"/>
        <v>1</v>
      </c>
      <c r="BV198" s="99">
        <f t="shared" si="12"/>
        <v>1</v>
      </c>
      <c r="BW198" s="139" t="s">
        <v>635</v>
      </c>
      <c r="BX198" s="139" t="s">
        <v>441</v>
      </c>
      <c r="BY198" s="140">
        <v>150</v>
      </c>
      <c r="BZ198" s="140">
        <v>0</v>
      </c>
      <c r="CA198" s="99">
        <v>30000</v>
      </c>
      <c r="CB198" s="140" t="s">
        <v>603</v>
      </c>
      <c r="CC198" s="140">
        <v>0</v>
      </c>
      <c r="CD198" s="140"/>
      <c r="CE198" s="139" t="s">
        <v>577</v>
      </c>
      <c r="CF198" s="139" t="s">
        <v>604</v>
      </c>
      <c r="CG198" s="139" t="s">
        <v>583</v>
      </c>
      <c r="CH198" s="139" t="s">
        <v>583</v>
      </c>
      <c r="CI198" s="139" t="s">
        <v>621</v>
      </c>
      <c r="CJ198" s="140">
        <v>3000</v>
      </c>
      <c r="CK198" s="140" t="s">
        <v>605</v>
      </c>
      <c r="CL198" s="140">
        <v>4000000</v>
      </c>
      <c r="CM198" s="99">
        <v>2700</v>
      </c>
      <c r="CN198" s="140">
        <v>0</v>
      </c>
      <c r="CO198" s="139" t="s">
        <v>583</v>
      </c>
      <c r="CP198" s="139" t="s">
        <v>583</v>
      </c>
      <c r="CQ198" s="140">
        <v>45000</v>
      </c>
      <c r="CR198" s="140">
        <v>3785022</v>
      </c>
      <c r="CS198" s="140">
        <v>0</v>
      </c>
      <c r="CT198" s="140">
        <v>1</v>
      </c>
      <c r="CU198" s="140">
        <v>3785022</v>
      </c>
      <c r="CV198" s="99">
        <v>48950.6</v>
      </c>
      <c r="CW198" s="139" t="s">
        <v>606</v>
      </c>
      <c r="CX198" s="140">
        <v>18.129899999999999</v>
      </c>
      <c r="CY198" s="140"/>
      <c r="CZ198" s="140"/>
      <c r="DA198" s="140" t="s">
        <v>902</v>
      </c>
      <c r="DB198" s="140">
        <v>602</v>
      </c>
      <c r="DC198" s="140"/>
    </row>
    <row r="199" spans="2:107" ht="11.25" customHeight="1" x14ac:dyDescent="0.15">
      <c r="B199" s="139" t="s">
        <v>577</v>
      </c>
      <c r="C199" s="140" t="s">
        <v>1645</v>
      </c>
      <c r="D199" s="140">
        <v>4</v>
      </c>
      <c r="E199" s="139" t="s">
        <v>1652</v>
      </c>
      <c r="F199" s="139" t="s">
        <v>618</v>
      </c>
      <c r="G199" s="140" t="s">
        <v>1645</v>
      </c>
      <c r="H199" s="139" t="s">
        <v>1653</v>
      </c>
      <c r="I199" s="140" t="s">
        <v>421</v>
      </c>
      <c r="J199" s="139" t="s">
        <v>582</v>
      </c>
      <c r="K199" s="139" t="s">
        <v>583</v>
      </c>
      <c r="L199" s="139" t="s">
        <v>583</v>
      </c>
      <c r="M199" s="139" t="s">
        <v>583</v>
      </c>
      <c r="N199" s="139" t="s">
        <v>650</v>
      </c>
      <c r="O199" s="139" t="s">
        <v>1088</v>
      </c>
      <c r="P199" s="139" t="s">
        <v>583</v>
      </c>
      <c r="Q199" s="139" t="s">
        <v>583</v>
      </c>
      <c r="R199" s="140">
        <v>1</v>
      </c>
      <c r="S199" s="140">
        <v>0</v>
      </c>
      <c r="T199" s="140">
        <v>1</v>
      </c>
      <c r="U199" s="140">
        <v>223</v>
      </c>
      <c r="V199" s="139" t="s">
        <v>586</v>
      </c>
      <c r="W199" s="139" t="s">
        <v>587</v>
      </c>
      <c r="X199" s="139" t="s">
        <v>588</v>
      </c>
      <c r="Y199" s="139" t="s">
        <v>589</v>
      </c>
      <c r="Z199" s="139" t="s">
        <v>590</v>
      </c>
      <c r="AA199" s="139" t="s">
        <v>591</v>
      </c>
      <c r="AB199" s="139" t="s">
        <v>586</v>
      </c>
      <c r="AC199" s="139" t="s">
        <v>587</v>
      </c>
      <c r="AD199" s="139" t="s">
        <v>588</v>
      </c>
      <c r="AE199" s="139" t="s">
        <v>589</v>
      </c>
      <c r="AF199" s="139" t="s">
        <v>590</v>
      </c>
      <c r="AG199" s="139" t="s">
        <v>591</v>
      </c>
      <c r="AH199" s="139" t="s">
        <v>652</v>
      </c>
      <c r="AI199" s="139" t="s">
        <v>431</v>
      </c>
      <c r="AJ199" s="140">
        <v>25010584.260000002</v>
      </c>
      <c r="AK199" s="139" t="s">
        <v>586</v>
      </c>
      <c r="AL199" s="139" t="s">
        <v>587</v>
      </c>
      <c r="AM199" s="139" t="s">
        <v>588</v>
      </c>
      <c r="AN199" s="139" t="s">
        <v>589</v>
      </c>
      <c r="AO199" s="139" t="s">
        <v>590</v>
      </c>
      <c r="AP199" s="139" t="s">
        <v>591</v>
      </c>
      <c r="AQ199" s="139" t="s">
        <v>652</v>
      </c>
      <c r="AR199" s="139" t="s">
        <v>431</v>
      </c>
      <c r="AS199" s="139" t="s">
        <v>431</v>
      </c>
      <c r="AT199" s="139" t="s">
        <v>593</v>
      </c>
      <c r="AU199" s="139" t="s">
        <v>437</v>
      </c>
      <c r="AV199" s="140">
        <v>0</v>
      </c>
      <c r="AW199" s="139" t="s">
        <v>594</v>
      </c>
      <c r="AX199" s="139" t="s">
        <v>653</v>
      </c>
      <c r="AY199" s="139" t="s">
        <v>623</v>
      </c>
      <c r="AZ199" s="140">
        <v>1</v>
      </c>
      <c r="BA199" s="139" t="s">
        <v>597</v>
      </c>
      <c r="BB199" s="140">
        <v>297350</v>
      </c>
      <c r="BC199" s="140">
        <v>25010584</v>
      </c>
      <c r="BD199" s="140">
        <v>323454.69</v>
      </c>
      <c r="BE199" s="140">
        <v>84.111599999999996</v>
      </c>
      <c r="BF199" s="139" t="s">
        <v>880</v>
      </c>
      <c r="BG199" s="139" t="s">
        <v>582</v>
      </c>
      <c r="BH199" s="139" t="s">
        <v>970</v>
      </c>
      <c r="BI199" s="139" t="s">
        <v>598</v>
      </c>
      <c r="BJ199" s="139" t="s">
        <v>624</v>
      </c>
      <c r="BK199" s="139" t="s">
        <v>882</v>
      </c>
      <c r="BL199" s="139" t="s">
        <v>583</v>
      </c>
      <c r="BM199" s="139" t="s">
        <v>883</v>
      </c>
      <c r="BN199" s="139" t="s">
        <v>971</v>
      </c>
      <c r="BO199" s="139" t="s">
        <v>972</v>
      </c>
      <c r="BP199" s="139" t="s">
        <v>973</v>
      </c>
      <c r="BQ199" s="139" t="s">
        <v>625</v>
      </c>
      <c r="BR199" s="140">
        <v>1</v>
      </c>
      <c r="BS199" s="139" t="s">
        <v>1654</v>
      </c>
      <c r="BT199" s="99">
        <f t="shared" si="11"/>
        <v>0</v>
      </c>
      <c r="BU199" s="99">
        <f t="shared" si="11"/>
        <v>1</v>
      </c>
      <c r="BV199" s="99">
        <f t="shared" si="12"/>
        <v>1</v>
      </c>
      <c r="BW199" s="139" t="s">
        <v>655</v>
      </c>
      <c r="BX199" s="139" t="s">
        <v>656</v>
      </c>
      <c r="BY199" s="140">
        <v>223</v>
      </c>
      <c r="BZ199" s="140">
        <v>0</v>
      </c>
      <c r="CA199" s="99">
        <v>44600</v>
      </c>
      <c r="CB199" s="140" t="s">
        <v>603</v>
      </c>
      <c r="CC199" s="140">
        <v>0</v>
      </c>
      <c r="CD199" s="140"/>
      <c r="CE199" s="139" t="s">
        <v>577</v>
      </c>
      <c r="CF199" s="139" t="s">
        <v>604</v>
      </c>
      <c r="CG199" s="139" t="s">
        <v>583</v>
      </c>
      <c r="CH199" s="139" t="s">
        <v>583</v>
      </c>
      <c r="CI199" s="139" t="s">
        <v>652</v>
      </c>
      <c r="CJ199" s="140">
        <v>4683</v>
      </c>
      <c r="CK199" s="140" t="s">
        <v>657</v>
      </c>
      <c r="CL199" s="140">
        <v>4000000</v>
      </c>
      <c r="CM199" s="99">
        <v>4460</v>
      </c>
      <c r="CN199" s="140">
        <v>0</v>
      </c>
      <c r="CO199" s="139" t="s">
        <v>583</v>
      </c>
      <c r="CP199" s="139" t="s">
        <v>583</v>
      </c>
      <c r="CQ199" s="140">
        <v>297350</v>
      </c>
      <c r="CR199" s="140">
        <v>25010584</v>
      </c>
      <c r="CS199" s="140">
        <v>0</v>
      </c>
      <c r="CT199" s="140">
        <v>1</v>
      </c>
      <c r="CU199" s="140">
        <v>25010584.260000002</v>
      </c>
      <c r="CV199" s="99">
        <v>323454.69</v>
      </c>
      <c r="CW199" s="139" t="s">
        <v>606</v>
      </c>
      <c r="CX199" s="140">
        <v>72.523499999999999</v>
      </c>
      <c r="CY199" s="140"/>
      <c r="CZ199" s="140"/>
      <c r="DA199" s="140" t="s">
        <v>856</v>
      </c>
      <c r="DB199" s="140">
        <v>953</v>
      </c>
      <c r="DC199" s="140"/>
    </row>
    <row r="200" spans="2:107" ht="11.25" customHeight="1" x14ac:dyDescent="0.15">
      <c r="B200" s="139" t="s">
        <v>577</v>
      </c>
      <c r="C200" s="140" t="s">
        <v>1645</v>
      </c>
      <c r="D200" s="140">
        <v>4</v>
      </c>
      <c r="E200" s="139" t="s">
        <v>1655</v>
      </c>
      <c r="F200" s="139" t="s">
        <v>580</v>
      </c>
      <c r="G200" s="140" t="s">
        <v>1645</v>
      </c>
      <c r="H200" s="139" t="s">
        <v>1656</v>
      </c>
      <c r="I200" s="140" t="s">
        <v>421</v>
      </c>
      <c r="J200" s="139" t="s">
        <v>582</v>
      </c>
      <c r="K200" s="139" t="s">
        <v>583</v>
      </c>
      <c r="L200" s="139" t="s">
        <v>583</v>
      </c>
      <c r="M200" s="139" t="s">
        <v>583</v>
      </c>
      <c r="N200" s="139" t="s">
        <v>1169</v>
      </c>
      <c r="O200" s="139" t="s">
        <v>1170</v>
      </c>
      <c r="P200" s="139" t="s">
        <v>583</v>
      </c>
      <c r="Q200" s="139" t="s">
        <v>583</v>
      </c>
      <c r="R200" s="140">
        <v>1</v>
      </c>
      <c r="S200" s="140">
        <v>0</v>
      </c>
      <c r="T200" s="140">
        <v>1</v>
      </c>
      <c r="U200" s="140">
        <v>100</v>
      </c>
      <c r="V200" s="139" t="s">
        <v>907</v>
      </c>
      <c r="W200" s="139" t="s">
        <v>908</v>
      </c>
      <c r="X200" s="139" t="s">
        <v>909</v>
      </c>
      <c r="Y200" s="139" t="s">
        <v>910</v>
      </c>
      <c r="Z200" s="139" t="s">
        <v>644</v>
      </c>
      <c r="AA200" s="139" t="s">
        <v>911</v>
      </c>
      <c r="AB200" s="139" t="s">
        <v>907</v>
      </c>
      <c r="AC200" s="139" t="s">
        <v>908</v>
      </c>
      <c r="AD200" s="139" t="s">
        <v>909</v>
      </c>
      <c r="AE200" s="139" t="s">
        <v>910</v>
      </c>
      <c r="AF200" s="139" t="s">
        <v>644</v>
      </c>
      <c r="AG200" s="139" t="s">
        <v>911</v>
      </c>
      <c r="AH200" s="139" t="s">
        <v>592</v>
      </c>
      <c r="AI200" s="139" t="s">
        <v>429</v>
      </c>
      <c r="AJ200" s="140">
        <v>2545444.12</v>
      </c>
      <c r="AK200" s="139" t="s">
        <v>907</v>
      </c>
      <c r="AL200" s="139" t="s">
        <v>908</v>
      </c>
      <c r="AM200" s="139" t="s">
        <v>909</v>
      </c>
      <c r="AN200" s="139" t="s">
        <v>910</v>
      </c>
      <c r="AO200" s="139" t="s">
        <v>644</v>
      </c>
      <c r="AP200" s="139" t="s">
        <v>911</v>
      </c>
      <c r="AQ200" s="139" t="s">
        <v>592</v>
      </c>
      <c r="AR200" s="139" t="s">
        <v>429</v>
      </c>
      <c r="AS200" s="139" t="s">
        <v>429</v>
      </c>
      <c r="AT200" s="139" t="s">
        <v>593</v>
      </c>
      <c r="AU200" s="139" t="s">
        <v>437</v>
      </c>
      <c r="AV200" s="140">
        <v>2</v>
      </c>
      <c r="AW200" s="139" t="s">
        <v>594</v>
      </c>
      <c r="AX200" s="139" t="s">
        <v>595</v>
      </c>
      <c r="AY200" s="139" t="s">
        <v>722</v>
      </c>
      <c r="AZ200" s="140">
        <v>1</v>
      </c>
      <c r="BA200" s="139" t="s">
        <v>597</v>
      </c>
      <c r="BB200" s="140">
        <v>30000</v>
      </c>
      <c r="BC200" s="140">
        <v>2523348</v>
      </c>
      <c r="BD200" s="140">
        <v>32919.5</v>
      </c>
      <c r="BE200" s="140">
        <v>84.111599999999996</v>
      </c>
      <c r="BF200" s="139" t="s">
        <v>880</v>
      </c>
      <c r="BG200" s="139" t="s">
        <v>583</v>
      </c>
      <c r="BH200" s="139" t="s">
        <v>1171</v>
      </c>
      <c r="BI200" s="139" t="s">
        <v>598</v>
      </c>
      <c r="BJ200" s="139" t="s">
        <v>624</v>
      </c>
      <c r="BK200" s="139" t="s">
        <v>914</v>
      </c>
      <c r="BL200" s="139" t="s">
        <v>583</v>
      </c>
      <c r="BM200" s="139" t="s">
        <v>915</v>
      </c>
      <c r="BN200" s="139" t="s">
        <v>916</v>
      </c>
      <c r="BO200" s="139" t="s">
        <v>917</v>
      </c>
      <c r="BP200" s="139" t="s">
        <v>918</v>
      </c>
      <c r="BQ200" s="139" t="s">
        <v>772</v>
      </c>
      <c r="BR200" s="140">
        <v>1</v>
      </c>
      <c r="BS200" s="139" t="s">
        <v>1657</v>
      </c>
      <c r="BT200" s="99">
        <f t="shared" si="11"/>
        <v>0</v>
      </c>
      <c r="BU200" s="99">
        <f t="shared" si="11"/>
        <v>1</v>
      </c>
      <c r="BV200" s="99">
        <f t="shared" si="12"/>
        <v>1</v>
      </c>
      <c r="BW200" s="139" t="s">
        <v>602</v>
      </c>
      <c r="BX200" s="139" t="s">
        <v>1169</v>
      </c>
      <c r="BY200" s="140">
        <v>100</v>
      </c>
      <c r="BZ200" s="140">
        <v>0</v>
      </c>
      <c r="CA200" s="99">
        <v>20000</v>
      </c>
      <c r="CB200" s="140" t="s">
        <v>603</v>
      </c>
      <c r="CC200" s="140">
        <v>0</v>
      </c>
      <c r="CD200" s="140"/>
      <c r="CE200" s="139" t="s">
        <v>577</v>
      </c>
      <c r="CF200" s="139" t="s">
        <v>604</v>
      </c>
      <c r="CG200" s="139" t="s">
        <v>583</v>
      </c>
      <c r="CH200" s="139" t="s">
        <v>583</v>
      </c>
      <c r="CI200" s="139" t="s">
        <v>592</v>
      </c>
      <c r="CJ200" s="140">
        <v>2300</v>
      </c>
      <c r="CK200" s="140" t="s">
        <v>605</v>
      </c>
      <c r="CL200" s="140">
        <v>4000000</v>
      </c>
      <c r="CM200" s="99">
        <v>2100</v>
      </c>
      <c r="CN200" s="140">
        <v>0</v>
      </c>
      <c r="CO200" s="139" t="s">
        <v>583</v>
      </c>
      <c r="CP200" s="139" t="s">
        <v>583</v>
      </c>
      <c r="CQ200" s="140">
        <v>30000</v>
      </c>
      <c r="CR200" s="140">
        <v>2523348</v>
      </c>
      <c r="CS200" s="140">
        <v>0</v>
      </c>
      <c r="CT200" s="140">
        <v>1</v>
      </c>
      <c r="CU200" s="140">
        <v>2545444.12</v>
      </c>
      <c r="CV200" s="99">
        <v>32919.5</v>
      </c>
      <c r="CW200" s="139" t="s">
        <v>606</v>
      </c>
      <c r="CX200" s="140">
        <v>15.676</v>
      </c>
      <c r="CY200" s="140"/>
      <c r="CZ200" s="140"/>
      <c r="DA200" s="140" t="s">
        <v>920</v>
      </c>
      <c r="DB200" s="140">
        <v>1532</v>
      </c>
      <c r="DC200" s="140"/>
    </row>
    <row r="201" spans="2:107" ht="11.25" customHeight="1" x14ac:dyDescent="0.15">
      <c r="B201" s="139" t="s">
        <v>577</v>
      </c>
      <c r="C201" s="140" t="s">
        <v>1645</v>
      </c>
      <c r="D201" s="140">
        <v>4</v>
      </c>
      <c r="E201" s="139" t="s">
        <v>1658</v>
      </c>
      <c r="F201" s="139" t="s">
        <v>718</v>
      </c>
      <c r="G201" s="140" t="s">
        <v>1645</v>
      </c>
      <c r="H201" s="139" t="s">
        <v>1659</v>
      </c>
      <c r="I201" s="140" t="s">
        <v>421</v>
      </c>
      <c r="J201" s="139" t="s">
        <v>582</v>
      </c>
      <c r="K201" s="139" t="s">
        <v>583</v>
      </c>
      <c r="L201" s="139" t="s">
        <v>583</v>
      </c>
      <c r="M201" s="139" t="s">
        <v>583</v>
      </c>
      <c r="N201" s="139" t="s">
        <v>720</v>
      </c>
      <c r="O201" s="139" t="s">
        <v>721</v>
      </c>
      <c r="P201" s="139" t="s">
        <v>583</v>
      </c>
      <c r="Q201" s="139" t="s">
        <v>583</v>
      </c>
      <c r="R201" s="140">
        <v>1</v>
      </c>
      <c r="S201" s="140"/>
      <c r="T201" s="140">
        <v>1</v>
      </c>
      <c r="U201" s="140">
        <v>100</v>
      </c>
      <c r="V201" s="139" t="s">
        <v>662</v>
      </c>
      <c r="W201" s="139" t="s">
        <v>663</v>
      </c>
      <c r="X201" s="139" t="s">
        <v>664</v>
      </c>
      <c r="Y201" s="139" t="s">
        <v>665</v>
      </c>
      <c r="Z201" s="139" t="s">
        <v>666</v>
      </c>
      <c r="AA201" s="139" t="s">
        <v>667</v>
      </c>
      <c r="AB201" s="139" t="s">
        <v>662</v>
      </c>
      <c r="AC201" s="139" t="s">
        <v>663</v>
      </c>
      <c r="AD201" s="139" t="s">
        <v>664</v>
      </c>
      <c r="AE201" s="139" t="s">
        <v>665</v>
      </c>
      <c r="AF201" s="139" t="s">
        <v>666</v>
      </c>
      <c r="AG201" s="139" t="s">
        <v>667</v>
      </c>
      <c r="AH201" s="139" t="s">
        <v>592</v>
      </c>
      <c r="AI201" s="139" t="s">
        <v>429</v>
      </c>
      <c r="AJ201" s="140">
        <v>2545217.02</v>
      </c>
      <c r="AK201" s="139" t="s">
        <v>662</v>
      </c>
      <c r="AL201" s="139" t="s">
        <v>663</v>
      </c>
      <c r="AM201" s="139" t="s">
        <v>664</v>
      </c>
      <c r="AN201" s="139" t="s">
        <v>665</v>
      </c>
      <c r="AO201" s="139" t="s">
        <v>666</v>
      </c>
      <c r="AP201" s="139" t="s">
        <v>667</v>
      </c>
      <c r="AQ201" s="139" t="s">
        <v>592</v>
      </c>
      <c r="AR201" s="139" t="s">
        <v>429</v>
      </c>
      <c r="AS201" s="139" t="s">
        <v>429</v>
      </c>
      <c r="AT201" s="139" t="s">
        <v>593</v>
      </c>
      <c r="AU201" s="139" t="s">
        <v>437</v>
      </c>
      <c r="AV201" s="140">
        <v>2</v>
      </c>
      <c r="AW201" s="139" t="s">
        <v>594</v>
      </c>
      <c r="AX201" s="139" t="s">
        <v>595</v>
      </c>
      <c r="AY201" s="139" t="s">
        <v>722</v>
      </c>
      <c r="AZ201" s="140">
        <v>1</v>
      </c>
      <c r="BA201" s="139" t="s">
        <v>597</v>
      </c>
      <c r="BB201" s="140">
        <v>30000</v>
      </c>
      <c r="BC201" s="140">
        <v>2523348</v>
      </c>
      <c r="BD201" s="140">
        <v>32916.559999999998</v>
      </c>
      <c r="BE201" s="140">
        <v>84.111599999999996</v>
      </c>
      <c r="BF201" s="139" t="s">
        <v>880</v>
      </c>
      <c r="BG201" s="139" t="s">
        <v>583</v>
      </c>
      <c r="BH201" s="139" t="s">
        <v>924</v>
      </c>
      <c r="BI201" s="139" t="s">
        <v>598</v>
      </c>
      <c r="BJ201" s="139" t="s">
        <v>599</v>
      </c>
      <c r="BK201" s="139" t="s">
        <v>583</v>
      </c>
      <c r="BL201" s="139" t="s">
        <v>583</v>
      </c>
      <c r="BM201" s="139" t="s">
        <v>583</v>
      </c>
      <c r="BN201" s="139" t="s">
        <v>842</v>
      </c>
      <c r="BO201" s="139" t="s">
        <v>843</v>
      </c>
      <c r="BP201" s="139" t="s">
        <v>925</v>
      </c>
      <c r="BQ201" s="139" t="s">
        <v>723</v>
      </c>
      <c r="BR201" s="140">
        <v>1</v>
      </c>
      <c r="BS201" s="139" t="s">
        <v>1288</v>
      </c>
      <c r="BT201" s="99">
        <f t="shared" si="11"/>
        <v>1</v>
      </c>
      <c r="BU201" s="99">
        <f t="shared" si="11"/>
        <v>0</v>
      </c>
      <c r="BV201" s="99">
        <f t="shared" si="12"/>
        <v>1</v>
      </c>
      <c r="BW201" s="139" t="s">
        <v>725</v>
      </c>
      <c r="BX201" s="139" t="s">
        <v>1660</v>
      </c>
      <c r="BY201" s="140">
        <v>100</v>
      </c>
      <c r="BZ201" s="140"/>
      <c r="CA201" s="99">
        <v>20000</v>
      </c>
      <c r="CB201" s="140" t="s">
        <v>603</v>
      </c>
      <c r="CC201" s="140"/>
      <c r="CD201" s="140"/>
      <c r="CE201" s="139" t="s">
        <v>577</v>
      </c>
      <c r="CF201" s="139" t="s">
        <v>604</v>
      </c>
      <c r="CG201" s="139" t="s">
        <v>583</v>
      </c>
      <c r="CH201" s="139" t="s">
        <v>583</v>
      </c>
      <c r="CI201" s="139" t="s">
        <v>592</v>
      </c>
      <c r="CJ201" s="140">
        <v>2300</v>
      </c>
      <c r="CK201" s="140" t="s">
        <v>605</v>
      </c>
      <c r="CL201" s="140">
        <v>4000000</v>
      </c>
      <c r="CM201" s="99">
        <v>2100</v>
      </c>
      <c r="CN201" s="140"/>
      <c r="CO201" s="139" t="s">
        <v>583</v>
      </c>
      <c r="CP201" s="139" t="s">
        <v>583</v>
      </c>
      <c r="CQ201" s="140">
        <v>30000</v>
      </c>
      <c r="CR201" s="140">
        <v>2523348</v>
      </c>
      <c r="CS201" s="140">
        <v>0</v>
      </c>
      <c r="CT201" s="140">
        <v>1</v>
      </c>
      <c r="CU201" s="140">
        <v>2545217.02</v>
      </c>
      <c r="CV201" s="99">
        <v>32916.559999999998</v>
      </c>
      <c r="CW201" s="139" t="s">
        <v>606</v>
      </c>
      <c r="CX201" s="140">
        <v>15.6746</v>
      </c>
      <c r="CY201" s="140"/>
      <c r="CZ201" s="140"/>
      <c r="DA201" s="140" t="s">
        <v>926</v>
      </c>
      <c r="DB201" s="140">
        <v>18</v>
      </c>
      <c r="DC201" s="140"/>
    </row>
    <row r="202" spans="2:107" ht="11.25" customHeight="1" x14ac:dyDescent="0.15">
      <c r="B202" s="139" t="s">
        <v>577</v>
      </c>
      <c r="C202" s="140" t="s">
        <v>1645</v>
      </c>
      <c r="D202" s="140">
        <v>4</v>
      </c>
      <c r="E202" s="139" t="s">
        <v>1661</v>
      </c>
      <c r="F202" s="139" t="s">
        <v>580</v>
      </c>
      <c r="G202" s="140" t="s">
        <v>1645</v>
      </c>
      <c r="H202" s="139" t="s">
        <v>1662</v>
      </c>
      <c r="I202" s="140" t="s">
        <v>421</v>
      </c>
      <c r="J202" s="139" t="s">
        <v>582</v>
      </c>
      <c r="K202" s="139" t="s">
        <v>583</v>
      </c>
      <c r="L202" s="139" t="s">
        <v>583</v>
      </c>
      <c r="M202" s="139" t="s">
        <v>583</v>
      </c>
      <c r="N202" s="139" t="s">
        <v>1417</v>
      </c>
      <c r="O202" s="139" t="s">
        <v>1624</v>
      </c>
      <c r="P202" s="139" t="s">
        <v>583</v>
      </c>
      <c r="Q202" s="139" t="s">
        <v>583</v>
      </c>
      <c r="R202" s="140">
        <v>2</v>
      </c>
      <c r="S202" s="140">
        <v>0</v>
      </c>
      <c r="T202" s="140">
        <v>2</v>
      </c>
      <c r="U202" s="140">
        <v>9</v>
      </c>
      <c r="V202" s="139" t="s">
        <v>907</v>
      </c>
      <c r="W202" s="139" t="s">
        <v>908</v>
      </c>
      <c r="X202" s="139" t="s">
        <v>909</v>
      </c>
      <c r="Y202" s="139" t="s">
        <v>910</v>
      </c>
      <c r="Z202" s="139" t="s">
        <v>644</v>
      </c>
      <c r="AA202" s="139" t="s">
        <v>911</v>
      </c>
      <c r="AB202" s="139" t="s">
        <v>907</v>
      </c>
      <c r="AC202" s="139" t="s">
        <v>908</v>
      </c>
      <c r="AD202" s="139" t="s">
        <v>909</v>
      </c>
      <c r="AE202" s="139" t="s">
        <v>910</v>
      </c>
      <c r="AF202" s="139" t="s">
        <v>644</v>
      </c>
      <c r="AG202" s="139" t="s">
        <v>911</v>
      </c>
      <c r="AH202" s="139" t="s">
        <v>1074</v>
      </c>
      <c r="AI202" s="139" t="s">
        <v>435</v>
      </c>
      <c r="AJ202" s="140">
        <v>2556388.7200000002</v>
      </c>
      <c r="AK202" s="139" t="s">
        <v>907</v>
      </c>
      <c r="AL202" s="139" t="s">
        <v>908</v>
      </c>
      <c r="AM202" s="139" t="s">
        <v>909</v>
      </c>
      <c r="AN202" s="139" t="s">
        <v>910</v>
      </c>
      <c r="AO202" s="139" t="s">
        <v>644</v>
      </c>
      <c r="AP202" s="139" t="s">
        <v>911</v>
      </c>
      <c r="AQ202" s="139" t="s">
        <v>1074</v>
      </c>
      <c r="AR202" s="139" t="s">
        <v>435</v>
      </c>
      <c r="AS202" s="139" t="s">
        <v>435</v>
      </c>
      <c r="AT202" s="139" t="s">
        <v>593</v>
      </c>
      <c r="AU202" s="139" t="s">
        <v>437</v>
      </c>
      <c r="AV202" s="140">
        <v>2</v>
      </c>
      <c r="AW202" s="139" t="s">
        <v>594</v>
      </c>
      <c r="AX202" s="139" t="s">
        <v>595</v>
      </c>
      <c r="AY202" s="139" t="s">
        <v>1625</v>
      </c>
      <c r="AZ202" s="140">
        <v>1</v>
      </c>
      <c r="BA202" s="139" t="s">
        <v>597</v>
      </c>
      <c r="BB202" s="140">
        <v>24970.799999999999</v>
      </c>
      <c r="BC202" s="140">
        <v>2100334</v>
      </c>
      <c r="BD202" s="140">
        <v>33061.040000000001</v>
      </c>
      <c r="BE202" s="140">
        <v>84.111599999999996</v>
      </c>
      <c r="BF202" s="139" t="s">
        <v>880</v>
      </c>
      <c r="BG202" s="139" t="s">
        <v>735</v>
      </c>
      <c r="BH202" s="139" t="s">
        <v>1626</v>
      </c>
      <c r="BI202" s="139" t="s">
        <v>598</v>
      </c>
      <c r="BJ202" s="139" t="s">
        <v>624</v>
      </c>
      <c r="BK202" s="139" t="s">
        <v>914</v>
      </c>
      <c r="BL202" s="139" t="s">
        <v>583</v>
      </c>
      <c r="BM202" s="139" t="s">
        <v>915</v>
      </c>
      <c r="BN202" s="139" t="s">
        <v>916</v>
      </c>
      <c r="BO202" s="139" t="s">
        <v>917</v>
      </c>
      <c r="BP202" s="139" t="s">
        <v>918</v>
      </c>
      <c r="BQ202" s="139" t="s">
        <v>772</v>
      </c>
      <c r="BR202" s="140">
        <v>2</v>
      </c>
      <c r="BS202" s="139" t="s">
        <v>1663</v>
      </c>
      <c r="BT202" s="99">
        <f t="shared" si="11"/>
        <v>0</v>
      </c>
      <c r="BU202" s="99">
        <f t="shared" si="11"/>
        <v>1</v>
      </c>
      <c r="BV202" s="99">
        <f t="shared" si="12"/>
        <v>1</v>
      </c>
      <c r="BW202" s="139" t="s">
        <v>602</v>
      </c>
      <c r="BX202" s="139" t="s">
        <v>1417</v>
      </c>
      <c r="BY202" s="140">
        <v>1</v>
      </c>
      <c r="BZ202" s="140">
        <v>0</v>
      </c>
      <c r="CA202" s="99">
        <v>4000</v>
      </c>
      <c r="CB202" s="140" t="s">
        <v>603</v>
      </c>
      <c r="CC202" s="140">
        <v>0</v>
      </c>
      <c r="CD202" s="140"/>
      <c r="CE202" s="139" t="s">
        <v>1080</v>
      </c>
      <c r="CF202" s="139" t="s">
        <v>604</v>
      </c>
      <c r="CG202" s="139" t="s">
        <v>1664</v>
      </c>
      <c r="CH202" s="139" t="s">
        <v>583</v>
      </c>
      <c r="CI202" s="139" t="s">
        <v>1074</v>
      </c>
      <c r="CJ202" s="140">
        <v>415</v>
      </c>
      <c r="CK202" s="140" t="s">
        <v>605</v>
      </c>
      <c r="CL202" s="140">
        <v>4000000</v>
      </c>
      <c r="CM202" s="99">
        <v>380</v>
      </c>
      <c r="CN202" s="140">
        <v>0</v>
      </c>
      <c r="CO202" s="139" t="s">
        <v>583</v>
      </c>
      <c r="CP202" s="139" t="s">
        <v>583</v>
      </c>
      <c r="CQ202" s="140">
        <v>6600</v>
      </c>
      <c r="CR202" s="140">
        <v>555137</v>
      </c>
      <c r="CS202" s="140">
        <v>0</v>
      </c>
      <c r="CT202" s="140">
        <v>1</v>
      </c>
      <c r="CU202" s="140">
        <v>591117.81999999995</v>
      </c>
      <c r="CV202" s="99">
        <v>7644.76</v>
      </c>
      <c r="CW202" s="139" t="s">
        <v>606</v>
      </c>
      <c r="CX202" s="140">
        <v>20.117799999999999</v>
      </c>
      <c r="CY202" s="140"/>
      <c r="CZ202" s="140"/>
      <c r="DA202" s="140" t="s">
        <v>920</v>
      </c>
      <c r="DB202" s="140">
        <v>1160</v>
      </c>
      <c r="DC202" s="140"/>
    </row>
    <row r="203" spans="2:107" ht="11.25" customHeight="1" x14ac:dyDescent="0.15">
      <c r="B203" s="139" t="s">
        <v>577</v>
      </c>
      <c r="C203" s="140" t="s">
        <v>1665</v>
      </c>
      <c r="D203" s="140">
        <v>4</v>
      </c>
      <c r="E203" s="139" t="s">
        <v>1666</v>
      </c>
      <c r="F203" s="139" t="s">
        <v>580</v>
      </c>
      <c r="G203" s="140" t="s">
        <v>1665</v>
      </c>
      <c r="H203" s="139" t="s">
        <v>1667</v>
      </c>
      <c r="I203" s="140" t="s">
        <v>421</v>
      </c>
      <c r="J203" s="139" t="s">
        <v>582</v>
      </c>
      <c r="K203" s="139" t="s">
        <v>583</v>
      </c>
      <c r="L203" s="139" t="s">
        <v>583</v>
      </c>
      <c r="M203" s="139" t="s">
        <v>583</v>
      </c>
      <c r="N203" s="139" t="s">
        <v>1629</v>
      </c>
      <c r="O203" s="139" t="s">
        <v>758</v>
      </c>
      <c r="P203" s="139" t="s">
        <v>583</v>
      </c>
      <c r="Q203" s="139" t="s">
        <v>583</v>
      </c>
      <c r="R203" s="140">
        <v>1</v>
      </c>
      <c r="S203" s="140">
        <v>0</v>
      </c>
      <c r="T203" s="140">
        <v>1</v>
      </c>
      <c r="U203" s="140">
        <v>4</v>
      </c>
      <c r="V203" s="139" t="s">
        <v>835</v>
      </c>
      <c r="W203" s="139" t="s">
        <v>836</v>
      </c>
      <c r="X203" s="139" t="s">
        <v>837</v>
      </c>
      <c r="Y203" s="139" t="s">
        <v>838</v>
      </c>
      <c r="Z203" s="139" t="s">
        <v>590</v>
      </c>
      <c r="AA203" s="139" t="s">
        <v>839</v>
      </c>
      <c r="AB203" s="139" t="s">
        <v>835</v>
      </c>
      <c r="AC203" s="139" t="s">
        <v>836</v>
      </c>
      <c r="AD203" s="139" t="s">
        <v>837</v>
      </c>
      <c r="AE203" s="139" t="s">
        <v>838</v>
      </c>
      <c r="AF203" s="139" t="s">
        <v>590</v>
      </c>
      <c r="AG203" s="139" t="s">
        <v>839</v>
      </c>
      <c r="AH203" s="139" t="s">
        <v>759</v>
      </c>
      <c r="AI203" s="139" t="s">
        <v>434</v>
      </c>
      <c r="AJ203" s="140">
        <v>3031382.06</v>
      </c>
      <c r="AK203" s="139" t="s">
        <v>835</v>
      </c>
      <c r="AL203" s="139" t="s">
        <v>836</v>
      </c>
      <c r="AM203" s="139" t="s">
        <v>837</v>
      </c>
      <c r="AN203" s="139" t="s">
        <v>838</v>
      </c>
      <c r="AO203" s="139" t="s">
        <v>590</v>
      </c>
      <c r="AP203" s="139" t="s">
        <v>839</v>
      </c>
      <c r="AQ203" s="139" t="s">
        <v>759</v>
      </c>
      <c r="AR203" s="139" t="s">
        <v>434</v>
      </c>
      <c r="AS203" s="139" t="s">
        <v>434</v>
      </c>
      <c r="AT203" s="139" t="s">
        <v>593</v>
      </c>
      <c r="AU203" s="139" t="s">
        <v>437</v>
      </c>
      <c r="AV203" s="140">
        <v>2</v>
      </c>
      <c r="AW203" s="139" t="s">
        <v>594</v>
      </c>
      <c r="AX203" s="139" t="s">
        <v>595</v>
      </c>
      <c r="AY203" s="139" t="s">
        <v>840</v>
      </c>
      <c r="AZ203" s="140">
        <v>1</v>
      </c>
      <c r="BA203" s="139" t="s">
        <v>597</v>
      </c>
      <c r="BB203" s="140">
        <v>35200</v>
      </c>
      <c r="BC203" s="140">
        <v>2960728</v>
      </c>
      <c r="BD203" s="140">
        <v>39203.99</v>
      </c>
      <c r="BE203" s="140">
        <v>84.111599999999996</v>
      </c>
      <c r="BF203" s="139" t="s">
        <v>880</v>
      </c>
      <c r="BG203" s="139" t="s">
        <v>863</v>
      </c>
      <c r="BH203" s="139" t="s">
        <v>841</v>
      </c>
      <c r="BI203" s="139" t="s">
        <v>598</v>
      </c>
      <c r="BJ203" s="139" t="s">
        <v>599</v>
      </c>
      <c r="BK203" s="139" t="s">
        <v>583</v>
      </c>
      <c r="BL203" s="139" t="s">
        <v>583</v>
      </c>
      <c r="BM203" s="139" t="s">
        <v>583</v>
      </c>
      <c r="BN203" s="139" t="s">
        <v>842</v>
      </c>
      <c r="BO203" s="139" t="s">
        <v>843</v>
      </c>
      <c r="BP203" s="139" t="s">
        <v>925</v>
      </c>
      <c r="BQ203" s="139" t="s">
        <v>723</v>
      </c>
      <c r="BR203" s="140">
        <v>1</v>
      </c>
      <c r="BS203" s="139" t="s">
        <v>1095</v>
      </c>
      <c r="BT203" s="99">
        <f t="shared" si="11"/>
        <v>1</v>
      </c>
      <c r="BU203" s="99">
        <f t="shared" si="11"/>
        <v>0</v>
      </c>
      <c r="BV203" s="99">
        <f t="shared" si="12"/>
        <v>1</v>
      </c>
      <c r="BW203" s="139" t="s">
        <v>602</v>
      </c>
      <c r="BX203" s="139" t="s">
        <v>1464</v>
      </c>
      <c r="BY203" s="140">
        <v>4</v>
      </c>
      <c r="BZ203" s="140">
        <v>0</v>
      </c>
      <c r="CA203" s="99">
        <v>22000</v>
      </c>
      <c r="CB203" s="140" t="s">
        <v>603</v>
      </c>
      <c r="CC203" s="140">
        <v>0</v>
      </c>
      <c r="CD203" s="140"/>
      <c r="CE203" s="139" t="s">
        <v>577</v>
      </c>
      <c r="CF203" s="139" t="s">
        <v>604</v>
      </c>
      <c r="CG203" s="139" t="s">
        <v>583</v>
      </c>
      <c r="CH203" s="139" t="s">
        <v>583</v>
      </c>
      <c r="CI203" s="139" t="s">
        <v>759</v>
      </c>
      <c r="CJ203" s="140">
        <v>2310</v>
      </c>
      <c r="CK203" s="140" t="s">
        <v>605</v>
      </c>
      <c r="CL203" s="140">
        <v>4000000</v>
      </c>
      <c r="CM203" s="99">
        <v>2145</v>
      </c>
      <c r="CN203" s="140">
        <v>0</v>
      </c>
      <c r="CO203" s="139" t="s">
        <v>583</v>
      </c>
      <c r="CP203" s="139" t="s">
        <v>583</v>
      </c>
      <c r="CQ203" s="140">
        <v>35200</v>
      </c>
      <c r="CR203" s="140">
        <v>2960728</v>
      </c>
      <c r="CS203" s="140">
        <v>0</v>
      </c>
      <c r="CT203" s="140">
        <v>1</v>
      </c>
      <c r="CU203" s="140">
        <v>3031382.06</v>
      </c>
      <c r="CV203" s="99">
        <v>39203.99</v>
      </c>
      <c r="CW203" s="139" t="s">
        <v>606</v>
      </c>
      <c r="CX203" s="140">
        <v>18.276900000000001</v>
      </c>
      <c r="CY203" s="140">
        <v>1535</v>
      </c>
      <c r="CZ203" s="140" t="s">
        <v>1668</v>
      </c>
      <c r="DA203" s="140" t="s">
        <v>1119</v>
      </c>
      <c r="DB203" s="140">
        <v>1045</v>
      </c>
      <c r="DC203" s="140"/>
    </row>
    <row r="204" spans="2:107" ht="11.25" customHeight="1" x14ac:dyDescent="0.15">
      <c r="B204" s="139" t="s">
        <v>577</v>
      </c>
      <c r="C204" s="140" t="s">
        <v>1665</v>
      </c>
      <c r="D204" s="140">
        <v>4</v>
      </c>
      <c r="E204" s="139" t="s">
        <v>1669</v>
      </c>
      <c r="F204" s="139" t="s">
        <v>618</v>
      </c>
      <c r="G204" s="140" t="s">
        <v>1665</v>
      </c>
      <c r="H204" s="139" t="s">
        <v>1670</v>
      </c>
      <c r="I204" s="140" t="s">
        <v>421</v>
      </c>
      <c r="J204" s="139" t="s">
        <v>582</v>
      </c>
      <c r="K204" s="139" t="s">
        <v>583</v>
      </c>
      <c r="L204" s="139" t="s">
        <v>583</v>
      </c>
      <c r="M204" s="139" t="s">
        <v>583</v>
      </c>
      <c r="N204" s="139" t="s">
        <v>441</v>
      </c>
      <c r="O204" s="139" t="s">
        <v>630</v>
      </c>
      <c r="P204" s="139" t="s">
        <v>583</v>
      </c>
      <c r="Q204" s="139" t="s">
        <v>583</v>
      </c>
      <c r="R204" s="140">
        <v>1</v>
      </c>
      <c r="S204" s="140">
        <v>0</v>
      </c>
      <c r="T204" s="140">
        <v>1</v>
      </c>
      <c r="U204" s="140">
        <v>423</v>
      </c>
      <c r="V204" s="139" t="s">
        <v>583</v>
      </c>
      <c r="W204" s="139" t="s">
        <v>583</v>
      </c>
      <c r="X204" s="139" t="s">
        <v>632</v>
      </c>
      <c r="Y204" s="139" t="s">
        <v>633</v>
      </c>
      <c r="Z204" s="139" t="s">
        <v>583</v>
      </c>
      <c r="AA204" s="139" t="s">
        <v>583</v>
      </c>
      <c r="AB204" s="139" t="s">
        <v>583</v>
      </c>
      <c r="AC204" s="139" t="s">
        <v>583</v>
      </c>
      <c r="AD204" s="139" t="s">
        <v>632</v>
      </c>
      <c r="AE204" s="139" t="s">
        <v>633</v>
      </c>
      <c r="AF204" s="139" t="s">
        <v>583</v>
      </c>
      <c r="AG204" s="139" t="s">
        <v>583</v>
      </c>
      <c r="AH204" s="139" t="s">
        <v>621</v>
      </c>
      <c r="AI204" s="139" t="s">
        <v>430</v>
      </c>
      <c r="AJ204" s="140">
        <v>10673762.039999999</v>
      </c>
      <c r="AK204" s="139" t="s">
        <v>583</v>
      </c>
      <c r="AL204" s="139" t="s">
        <v>583</v>
      </c>
      <c r="AM204" s="139" t="s">
        <v>632</v>
      </c>
      <c r="AN204" s="139" t="s">
        <v>633</v>
      </c>
      <c r="AO204" s="139" t="s">
        <v>583</v>
      </c>
      <c r="AP204" s="139" t="s">
        <v>583</v>
      </c>
      <c r="AQ204" s="139" t="s">
        <v>621</v>
      </c>
      <c r="AR204" s="139" t="s">
        <v>430</v>
      </c>
      <c r="AS204" s="139" t="s">
        <v>430</v>
      </c>
      <c r="AT204" s="139" t="s">
        <v>593</v>
      </c>
      <c r="AU204" s="139" t="s">
        <v>437</v>
      </c>
      <c r="AV204" s="140">
        <v>0</v>
      </c>
      <c r="AW204" s="139" t="s">
        <v>594</v>
      </c>
      <c r="AX204" s="139" t="s">
        <v>622</v>
      </c>
      <c r="AY204" s="139" t="s">
        <v>623</v>
      </c>
      <c r="AZ204" s="140">
        <v>1</v>
      </c>
      <c r="BA204" s="139" t="s">
        <v>597</v>
      </c>
      <c r="BB204" s="140">
        <v>126900</v>
      </c>
      <c r="BC204" s="140">
        <v>10673762</v>
      </c>
      <c r="BD204" s="140">
        <v>138040.69</v>
      </c>
      <c r="BE204" s="140">
        <v>84.111599999999996</v>
      </c>
      <c r="BF204" s="139" t="s">
        <v>880</v>
      </c>
      <c r="BG204" s="139" t="s">
        <v>582</v>
      </c>
      <c r="BH204" s="139" t="s">
        <v>931</v>
      </c>
      <c r="BI204" s="139" t="s">
        <v>598</v>
      </c>
      <c r="BJ204" s="139" t="s">
        <v>624</v>
      </c>
      <c r="BK204" s="139" t="s">
        <v>882</v>
      </c>
      <c r="BL204" s="139" t="s">
        <v>583</v>
      </c>
      <c r="BM204" s="139" t="s">
        <v>883</v>
      </c>
      <c r="BN204" s="139" t="s">
        <v>583</v>
      </c>
      <c r="BO204" s="139" t="s">
        <v>623</v>
      </c>
      <c r="BP204" s="139" t="s">
        <v>884</v>
      </c>
      <c r="BQ204" s="139" t="s">
        <v>625</v>
      </c>
      <c r="BR204" s="140">
        <v>1</v>
      </c>
      <c r="BS204" s="139" t="s">
        <v>634</v>
      </c>
      <c r="BT204" s="99">
        <f t="shared" si="11"/>
        <v>0</v>
      </c>
      <c r="BU204" s="99">
        <f t="shared" si="11"/>
        <v>1</v>
      </c>
      <c r="BV204" s="99">
        <f t="shared" si="12"/>
        <v>1</v>
      </c>
      <c r="BW204" s="139" t="s">
        <v>635</v>
      </c>
      <c r="BX204" s="139" t="s">
        <v>441</v>
      </c>
      <c r="BY204" s="140">
        <v>423</v>
      </c>
      <c r="BZ204" s="140">
        <v>0</v>
      </c>
      <c r="CA204" s="99">
        <v>84600</v>
      </c>
      <c r="CB204" s="140" t="s">
        <v>603</v>
      </c>
      <c r="CC204" s="140">
        <v>0</v>
      </c>
      <c r="CD204" s="140"/>
      <c r="CE204" s="139" t="s">
        <v>577</v>
      </c>
      <c r="CF204" s="139" t="s">
        <v>604</v>
      </c>
      <c r="CG204" s="139" t="s">
        <v>583</v>
      </c>
      <c r="CH204" s="139" t="s">
        <v>583</v>
      </c>
      <c r="CI204" s="139" t="s">
        <v>621</v>
      </c>
      <c r="CJ204" s="140">
        <v>8760</v>
      </c>
      <c r="CK204" s="140" t="s">
        <v>605</v>
      </c>
      <c r="CL204" s="140">
        <v>4000000</v>
      </c>
      <c r="CM204" s="99">
        <v>7614</v>
      </c>
      <c r="CN204" s="140">
        <v>0</v>
      </c>
      <c r="CO204" s="139" t="s">
        <v>583</v>
      </c>
      <c r="CP204" s="139" t="s">
        <v>583</v>
      </c>
      <c r="CQ204" s="140">
        <v>126900</v>
      </c>
      <c r="CR204" s="140">
        <v>10673762</v>
      </c>
      <c r="CS204" s="140">
        <v>0</v>
      </c>
      <c r="CT204" s="140">
        <v>1</v>
      </c>
      <c r="CU204" s="140">
        <v>10673762.039999999</v>
      </c>
      <c r="CV204" s="99">
        <v>138040.69</v>
      </c>
      <c r="CW204" s="139" t="s">
        <v>606</v>
      </c>
      <c r="CX204" s="140">
        <v>18.129899999999999</v>
      </c>
      <c r="CY204" s="140"/>
      <c r="CZ204" s="140"/>
      <c r="DA204" s="140" t="s">
        <v>933</v>
      </c>
      <c r="DB204" s="140">
        <v>1151</v>
      </c>
      <c r="DC204" s="140"/>
    </row>
    <row r="205" spans="2:107" ht="11.25" customHeight="1" x14ac:dyDescent="0.15">
      <c r="B205" s="139" t="s">
        <v>577</v>
      </c>
      <c r="C205" s="140" t="s">
        <v>1665</v>
      </c>
      <c r="D205" s="140">
        <v>4</v>
      </c>
      <c r="E205" s="139" t="s">
        <v>1671</v>
      </c>
      <c r="F205" s="139" t="s">
        <v>729</v>
      </c>
      <c r="G205" s="140" t="s">
        <v>1665</v>
      </c>
      <c r="H205" s="139" t="s">
        <v>1672</v>
      </c>
      <c r="I205" s="140" t="s">
        <v>421</v>
      </c>
      <c r="J205" s="139" t="s">
        <v>582</v>
      </c>
      <c r="K205" s="139" t="s">
        <v>583</v>
      </c>
      <c r="L205" s="139" t="s">
        <v>583</v>
      </c>
      <c r="M205" s="139" t="s">
        <v>583</v>
      </c>
      <c r="N205" s="139" t="s">
        <v>731</v>
      </c>
      <c r="O205" s="139" t="s">
        <v>1673</v>
      </c>
      <c r="P205" s="139" t="s">
        <v>583</v>
      </c>
      <c r="Q205" s="139" t="s">
        <v>583</v>
      </c>
      <c r="R205" s="140">
        <v>1</v>
      </c>
      <c r="S205" s="140">
        <v>0</v>
      </c>
      <c r="T205" s="140">
        <v>1</v>
      </c>
      <c r="U205" s="140">
        <v>387</v>
      </c>
      <c r="V205" s="139" t="s">
        <v>1557</v>
      </c>
      <c r="W205" s="139" t="s">
        <v>1558</v>
      </c>
      <c r="X205" s="139" t="s">
        <v>1559</v>
      </c>
      <c r="Y205" s="139" t="s">
        <v>1560</v>
      </c>
      <c r="Z205" s="139" t="s">
        <v>644</v>
      </c>
      <c r="AA205" s="139" t="s">
        <v>1561</v>
      </c>
      <c r="AB205" s="139" t="s">
        <v>1557</v>
      </c>
      <c r="AC205" s="139" t="s">
        <v>1558</v>
      </c>
      <c r="AD205" s="139" t="s">
        <v>1559</v>
      </c>
      <c r="AE205" s="139" t="s">
        <v>1560</v>
      </c>
      <c r="AF205" s="139" t="s">
        <v>644</v>
      </c>
      <c r="AG205" s="139" t="s">
        <v>1561</v>
      </c>
      <c r="AH205" s="139" t="s">
        <v>733</v>
      </c>
      <c r="AI205" s="139" t="s">
        <v>432</v>
      </c>
      <c r="AJ205" s="140">
        <v>11418957.17</v>
      </c>
      <c r="AK205" s="139" t="s">
        <v>1557</v>
      </c>
      <c r="AL205" s="139" t="s">
        <v>1558</v>
      </c>
      <c r="AM205" s="139" t="s">
        <v>1559</v>
      </c>
      <c r="AN205" s="139" t="s">
        <v>1560</v>
      </c>
      <c r="AO205" s="139" t="s">
        <v>644</v>
      </c>
      <c r="AP205" s="139" t="s">
        <v>1561</v>
      </c>
      <c r="AQ205" s="139" t="s">
        <v>733</v>
      </c>
      <c r="AR205" s="139" t="s">
        <v>432</v>
      </c>
      <c r="AS205" s="139" t="s">
        <v>432</v>
      </c>
      <c r="AT205" s="139" t="s">
        <v>593</v>
      </c>
      <c r="AU205" s="139" t="s">
        <v>437</v>
      </c>
      <c r="AV205" s="140">
        <v>2</v>
      </c>
      <c r="AW205" s="139" t="s">
        <v>594</v>
      </c>
      <c r="AX205" s="139" t="s">
        <v>653</v>
      </c>
      <c r="AY205" s="139" t="s">
        <v>1562</v>
      </c>
      <c r="AZ205" s="140">
        <v>1</v>
      </c>
      <c r="BA205" s="139" t="s">
        <v>597</v>
      </c>
      <c r="BB205" s="140">
        <v>135759.6</v>
      </c>
      <c r="BC205" s="140">
        <v>11418957</v>
      </c>
      <c r="BD205" s="140">
        <v>147678.09</v>
      </c>
      <c r="BE205" s="140">
        <v>84.111599999999996</v>
      </c>
      <c r="BF205" s="139" t="s">
        <v>880</v>
      </c>
      <c r="BG205" s="139" t="s">
        <v>863</v>
      </c>
      <c r="BH205" s="139" t="s">
        <v>1563</v>
      </c>
      <c r="BI205" s="139" t="s">
        <v>598</v>
      </c>
      <c r="BJ205" s="139" t="s">
        <v>599</v>
      </c>
      <c r="BK205" s="139" t="s">
        <v>583</v>
      </c>
      <c r="BL205" s="139" t="s">
        <v>1060</v>
      </c>
      <c r="BM205" s="139" t="s">
        <v>583</v>
      </c>
      <c r="BN205" s="139" t="s">
        <v>842</v>
      </c>
      <c r="BO205" s="139" t="s">
        <v>843</v>
      </c>
      <c r="BP205" s="139" t="s">
        <v>925</v>
      </c>
      <c r="BQ205" s="139" t="s">
        <v>723</v>
      </c>
      <c r="BR205" s="140">
        <v>1</v>
      </c>
      <c r="BS205" s="139" t="s">
        <v>791</v>
      </c>
      <c r="BT205" s="99">
        <f t="shared" si="11"/>
        <v>0</v>
      </c>
      <c r="BU205" s="99">
        <f t="shared" si="11"/>
        <v>0</v>
      </c>
      <c r="BV205" s="99">
        <f t="shared" si="12"/>
        <v>0</v>
      </c>
      <c r="BW205" s="139" t="s">
        <v>743</v>
      </c>
      <c r="BX205" s="139" t="s">
        <v>731</v>
      </c>
      <c r="BY205" s="140">
        <v>387</v>
      </c>
      <c r="BZ205" s="140">
        <v>0</v>
      </c>
      <c r="CA205" s="99">
        <v>77400</v>
      </c>
      <c r="CB205" s="140" t="s">
        <v>603</v>
      </c>
      <c r="CC205" s="140">
        <v>0</v>
      </c>
      <c r="CD205" s="140"/>
      <c r="CE205" s="139" t="s">
        <v>577</v>
      </c>
      <c r="CF205" s="139" t="s">
        <v>604</v>
      </c>
      <c r="CG205" s="139" t="s">
        <v>583</v>
      </c>
      <c r="CH205" s="139" t="s">
        <v>583</v>
      </c>
      <c r="CI205" s="139" t="s">
        <v>733</v>
      </c>
      <c r="CJ205" s="140">
        <v>8514</v>
      </c>
      <c r="CK205" s="140" t="s">
        <v>605</v>
      </c>
      <c r="CL205" s="140">
        <v>4000000</v>
      </c>
      <c r="CM205" s="99">
        <v>7740</v>
      </c>
      <c r="CN205" s="140">
        <v>0</v>
      </c>
      <c r="CO205" s="139" t="s">
        <v>583</v>
      </c>
      <c r="CP205" s="139" t="s">
        <v>583</v>
      </c>
      <c r="CQ205" s="140">
        <v>135759.6</v>
      </c>
      <c r="CR205" s="140">
        <v>11418957</v>
      </c>
      <c r="CS205" s="140">
        <v>0</v>
      </c>
      <c r="CT205" s="140">
        <v>1</v>
      </c>
      <c r="CU205" s="140">
        <v>11418957.17</v>
      </c>
      <c r="CV205" s="99">
        <v>147678.09</v>
      </c>
      <c r="CW205" s="139" t="s">
        <v>606</v>
      </c>
      <c r="CX205" s="140">
        <v>19.079899999999999</v>
      </c>
      <c r="CY205" s="140">
        <v>35</v>
      </c>
      <c r="CZ205" s="140" t="s">
        <v>1564</v>
      </c>
      <c r="DA205" s="140" t="s">
        <v>1363</v>
      </c>
      <c r="DB205" s="140">
        <v>563</v>
      </c>
      <c r="DC205" s="140"/>
    </row>
    <row r="206" spans="2:107" ht="11.25" customHeight="1" x14ac:dyDescent="0.15">
      <c r="B206" s="139" t="s">
        <v>577</v>
      </c>
      <c r="C206" s="140" t="s">
        <v>1665</v>
      </c>
      <c r="D206" s="140">
        <v>4</v>
      </c>
      <c r="E206" s="139" t="s">
        <v>1674</v>
      </c>
      <c r="F206" s="139" t="s">
        <v>580</v>
      </c>
      <c r="G206" s="140" t="s">
        <v>1665</v>
      </c>
      <c r="H206" s="139" t="s">
        <v>1675</v>
      </c>
      <c r="I206" s="140" t="s">
        <v>421</v>
      </c>
      <c r="J206" s="139" t="s">
        <v>582</v>
      </c>
      <c r="K206" s="139" t="s">
        <v>583</v>
      </c>
      <c r="L206" s="139" t="s">
        <v>583</v>
      </c>
      <c r="M206" s="139" t="s">
        <v>583</v>
      </c>
      <c r="N206" s="139" t="s">
        <v>731</v>
      </c>
      <c r="O206" s="139" t="s">
        <v>1099</v>
      </c>
      <c r="P206" s="139" t="s">
        <v>583</v>
      </c>
      <c r="Q206" s="139" t="s">
        <v>583</v>
      </c>
      <c r="R206" s="140">
        <v>1</v>
      </c>
      <c r="S206" s="140">
        <v>0</v>
      </c>
      <c r="T206" s="140">
        <v>1</v>
      </c>
      <c r="U206" s="140">
        <v>527</v>
      </c>
      <c r="V206" s="139" t="s">
        <v>586</v>
      </c>
      <c r="W206" s="139" t="s">
        <v>587</v>
      </c>
      <c r="X206" s="139" t="s">
        <v>588</v>
      </c>
      <c r="Y206" s="139" t="s">
        <v>589</v>
      </c>
      <c r="Z206" s="139" t="s">
        <v>590</v>
      </c>
      <c r="AA206" s="139" t="s">
        <v>591</v>
      </c>
      <c r="AB206" s="139" t="s">
        <v>586</v>
      </c>
      <c r="AC206" s="139" t="s">
        <v>587</v>
      </c>
      <c r="AD206" s="139" t="s">
        <v>588</v>
      </c>
      <c r="AE206" s="139" t="s">
        <v>589</v>
      </c>
      <c r="AF206" s="139" t="s">
        <v>590</v>
      </c>
      <c r="AG206" s="139" t="s">
        <v>591</v>
      </c>
      <c r="AH206" s="139" t="s">
        <v>733</v>
      </c>
      <c r="AI206" s="139" t="s">
        <v>432</v>
      </c>
      <c r="AJ206" s="140">
        <v>16400920.880000001</v>
      </c>
      <c r="AK206" s="139" t="s">
        <v>586</v>
      </c>
      <c r="AL206" s="139" t="s">
        <v>587</v>
      </c>
      <c r="AM206" s="139" t="s">
        <v>588</v>
      </c>
      <c r="AN206" s="139" t="s">
        <v>589</v>
      </c>
      <c r="AO206" s="139" t="s">
        <v>590</v>
      </c>
      <c r="AP206" s="139" t="s">
        <v>591</v>
      </c>
      <c r="AQ206" s="139" t="s">
        <v>733</v>
      </c>
      <c r="AR206" s="139" t="s">
        <v>432</v>
      </c>
      <c r="AS206" s="139" t="s">
        <v>432</v>
      </c>
      <c r="AT206" s="139" t="s">
        <v>593</v>
      </c>
      <c r="AU206" s="139" t="s">
        <v>437</v>
      </c>
      <c r="AV206" s="140">
        <v>2</v>
      </c>
      <c r="AW206" s="139" t="s">
        <v>594</v>
      </c>
      <c r="AX206" s="139" t="s">
        <v>653</v>
      </c>
      <c r="AY206" s="139" t="s">
        <v>850</v>
      </c>
      <c r="AZ206" s="140">
        <v>1</v>
      </c>
      <c r="BA206" s="139" t="s">
        <v>597</v>
      </c>
      <c r="BB206" s="140">
        <v>194990</v>
      </c>
      <c r="BC206" s="140">
        <v>16400921</v>
      </c>
      <c r="BD206" s="140">
        <v>212108.39</v>
      </c>
      <c r="BE206" s="140">
        <v>84.111599999999996</v>
      </c>
      <c r="BF206" s="139" t="s">
        <v>880</v>
      </c>
      <c r="BG206" s="139" t="s">
        <v>583</v>
      </c>
      <c r="BH206" s="139" t="s">
        <v>987</v>
      </c>
      <c r="BI206" s="139" t="s">
        <v>598</v>
      </c>
      <c r="BJ206" s="139" t="s">
        <v>1100</v>
      </c>
      <c r="BK206" s="139" t="s">
        <v>1101</v>
      </c>
      <c r="BL206" s="139" t="s">
        <v>1101</v>
      </c>
      <c r="BM206" s="139" t="s">
        <v>583</v>
      </c>
      <c r="BN206" s="139" t="s">
        <v>1102</v>
      </c>
      <c r="BO206" s="139" t="s">
        <v>1103</v>
      </c>
      <c r="BP206" s="139" t="s">
        <v>1104</v>
      </c>
      <c r="BQ206" s="139" t="s">
        <v>600</v>
      </c>
      <c r="BR206" s="140">
        <v>1</v>
      </c>
      <c r="BS206" s="139" t="s">
        <v>1676</v>
      </c>
      <c r="BT206" s="99">
        <f t="shared" si="11"/>
        <v>0</v>
      </c>
      <c r="BU206" s="99">
        <f t="shared" si="11"/>
        <v>1</v>
      </c>
      <c r="BV206" s="99">
        <f t="shared" si="12"/>
        <v>1</v>
      </c>
      <c r="BW206" s="139" t="s">
        <v>602</v>
      </c>
      <c r="BX206" s="139" t="s">
        <v>731</v>
      </c>
      <c r="BY206" s="140">
        <v>527</v>
      </c>
      <c r="BZ206" s="140">
        <v>0</v>
      </c>
      <c r="CA206" s="99">
        <v>105400</v>
      </c>
      <c r="CB206" s="140" t="s">
        <v>603</v>
      </c>
      <c r="CC206" s="140">
        <v>0</v>
      </c>
      <c r="CD206" s="140"/>
      <c r="CE206" s="139" t="s">
        <v>577</v>
      </c>
      <c r="CF206" s="139" t="s">
        <v>604</v>
      </c>
      <c r="CG206" s="139" t="s">
        <v>583</v>
      </c>
      <c r="CH206" s="139" t="s">
        <v>583</v>
      </c>
      <c r="CI206" s="139" t="s">
        <v>733</v>
      </c>
      <c r="CJ206" s="140">
        <v>11594</v>
      </c>
      <c r="CK206" s="140" t="s">
        <v>605</v>
      </c>
      <c r="CL206" s="140">
        <v>4000000</v>
      </c>
      <c r="CM206" s="99">
        <v>10540</v>
      </c>
      <c r="CN206" s="140">
        <v>0</v>
      </c>
      <c r="CO206" s="139" t="s">
        <v>583</v>
      </c>
      <c r="CP206" s="139" t="s">
        <v>583</v>
      </c>
      <c r="CQ206" s="140">
        <v>194990</v>
      </c>
      <c r="CR206" s="140">
        <v>16400921</v>
      </c>
      <c r="CS206" s="140">
        <v>0</v>
      </c>
      <c r="CT206" s="140">
        <v>1</v>
      </c>
      <c r="CU206" s="140">
        <v>16400920.880000001</v>
      </c>
      <c r="CV206" s="99">
        <v>212108.39</v>
      </c>
      <c r="CW206" s="139" t="s">
        <v>606</v>
      </c>
      <c r="CX206" s="140">
        <v>20.124099999999999</v>
      </c>
      <c r="CY206" s="140"/>
      <c r="CZ206" s="140"/>
      <c r="DA206" s="140" t="s">
        <v>856</v>
      </c>
      <c r="DB206" s="140">
        <v>1415</v>
      </c>
      <c r="DC206" s="140"/>
    </row>
    <row r="207" spans="2:107" ht="11.25" customHeight="1" x14ac:dyDescent="0.15">
      <c r="B207" s="139" t="s">
        <v>577</v>
      </c>
      <c r="C207" s="140" t="s">
        <v>1665</v>
      </c>
      <c r="D207" s="140">
        <v>4</v>
      </c>
      <c r="E207" s="139" t="s">
        <v>1677</v>
      </c>
      <c r="F207" s="139" t="s">
        <v>580</v>
      </c>
      <c r="G207" s="140" t="s">
        <v>1665</v>
      </c>
      <c r="H207" s="139" t="s">
        <v>1678</v>
      </c>
      <c r="I207" s="140" t="s">
        <v>421</v>
      </c>
      <c r="J207" s="139" t="s">
        <v>582</v>
      </c>
      <c r="K207" s="139" t="s">
        <v>583</v>
      </c>
      <c r="L207" s="139" t="s">
        <v>583</v>
      </c>
      <c r="M207" s="139" t="s">
        <v>583</v>
      </c>
      <c r="N207" s="139" t="s">
        <v>1629</v>
      </c>
      <c r="O207" s="139" t="s">
        <v>758</v>
      </c>
      <c r="P207" s="139" t="s">
        <v>583</v>
      </c>
      <c r="Q207" s="139" t="s">
        <v>583</v>
      </c>
      <c r="R207" s="140">
        <v>1</v>
      </c>
      <c r="S207" s="140">
        <v>0</v>
      </c>
      <c r="T207" s="140">
        <v>1</v>
      </c>
      <c r="U207" s="140">
        <v>11</v>
      </c>
      <c r="V207" s="139" t="s">
        <v>859</v>
      </c>
      <c r="W207" s="139" t="s">
        <v>860</v>
      </c>
      <c r="X207" s="139" t="s">
        <v>861</v>
      </c>
      <c r="Y207" s="139" t="s">
        <v>862</v>
      </c>
      <c r="Z207" s="139" t="s">
        <v>590</v>
      </c>
      <c r="AA207" s="139" t="s">
        <v>839</v>
      </c>
      <c r="AB207" s="139" t="s">
        <v>859</v>
      </c>
      <c r="AC207" s="139" t="s">
        <v>860</v>
      </c>
      <c r="AD207" s="139" t="s">
        <v>861</v>
      </c>
      <c r="AE207" s="139" t="s">
        <v>862</v>
      </c>
      <c r="AF207" s="139" t="s">
        <v>590</v>
      </c>
      <c r="AG207" s="139" t="s">
        <v>839</v>
      </c>
      <c r="AH207" s="139" t="s">
        <v>759</v>
      </c>
      <c r="AI207" s="139" t="s">
        <v>434</v>
      </c>
      <c r="AJ207" s="140">
        <v>8756017.5600000005</v>
      </c>
      <c r="AK207" s="139" t="s">
        <v>859</v>
      </c>
      <c r="AL207" s="139" t="s">
        <v>860</v>
      </c>
      <c r="AM207" s="139" t="s">
        <v>861</v>
      </c>
      <c r="AN207" s="139" t="s">
        <v>862</v>
      </c>
      <c r="AO207" s="139" t="s">
        <v>590</v>
      </c>
      <c r="AP207" s="139" t="s">
        <v>839</v>
      </c>
      <c r="AQ207" s="139" t="s">
        <v>759</v>
      </c>
      <c r="AR207" s="139" t="s">
        <v>434</v>
      </c>
      <c r="AS207" s="139" t="s">
        <v>434</v>
      </c>
      <c r="AT207" s="139" t="s">
        <v>593</v>
      </c>
      <c r="AU207" s="139" t="s">
        <v>437</v>
      </c>
      <c r="AV207" s="140">
        <v>2</v>
      </c>
      <c r="AW207" s="139" t="s">
        <v>594</v>
      </c>
      <c r="AX207" s="139" t="s">
        <v>595</v>
      </c>
      <c r="AY207" s="139" t="s">
        <v>840</v>
      </c>
      <c r="AZ207" s="140">
        <v>1</v>
      </c>
      <c r="BA207" s="139" t="s">
        <v>597</v>
      </c>
      <c r="BB207" s="140">
        <v>102400</v>
      </c>
      <c r="BC207" s="140">
        <v>8613028</v>
      </c>
      <c r="BD207" s="140">
        <v>113239.06</v>
      </c>
      <c r="BE207" s="140">
        <v>84.111599999999996</v>
      </c>
      <c r="BF207" s="139" t="s">
        <v>880</v>
      </c>
      <c r="BG207" s="139" t="s">
        <v>863</v>
      </c>
      <c r="BH207" s="139" t="s">
        <v>1122</v>
      </c>
      <c r="BI207" s="139" t="s">
        <v>598</v>
      </c>
      <c r="BJ207" s="139" t="s">
        <v>599</v>
      </c>
      <c r="BK207" s="139" t="s">
        <v>583</v>
      </c>
      <c r="BL207" s="139" t="s">
        <v>583</v>
      </c>
      <c r="BM207" s="139" t="s">
        <v>583</v>
      </c>
      <c r="BN207" s="139" t="s">
        <v>842</v>
      </c>
      <c r="BO207" s="139" t="s">
        <v>843</v>
      </c>
      <c r="BP207" s="139" t="s">
        <v>925</v>
      </c>
      <c r="BQ207" s="139" t="s">
        <v>723</v>
      </c>
      <c r="BR207" s="140">
        <v>1</v>
      </c>
      <c r="BS207" s="139" t="s">
        <v>1679</v>
      </c>
      <c r="BT207" s="99">
        <f t="shared" si="11"/>
        <v>1</v>
      </c>
      <c r="BU207" s="99">
        <f t="shared" si="11"/>
        <v>0</v>
      </c>
      <c r="BV207" s="99">
        <f t="shared" si="12"/>
        <v>1</v>
      </c>
      <c r="BW207" s="139" t="s">
        <v>602</v>
      </c>
      <c r="BX207" s="139" t="s">
        <v>1630</v>
      </c>
      <c r="BY207" s="140">
        <v>11</v>
      </c>
      <c r="BZ207" s="140">
        <v>0</v>
      </c>
      <c r="CA207" s="99">
        <v>64000</v>
      </c>
      <c r="CB207" s="140" t="s">
        <v>603</v>
      </c>
      <c r="CC207" s="140">
        <v>0</v>
      </c>
      <c r="CD207" s="140"/>
      <c r="CE207" s="139" t="s">
        <v>577</v>
      </c>
      <c r="CF207" s="139" t="s">
        <v>604</v>
      </c>
      <c r="CG207" s="139" t="s">
        <v>583</v>
      </c>
      <c r="CH207" s="139" t="s">
        <v>583</v>
      </c>
      <c r="CI207" s="139" t="s">
        <v>759</v>
      </c>
      <c r="CJ207" s="140">
        <v>6720</v>
      </c>
      <c r="CK207" s="140" t="s">
        <v>605</v>
      </c>
      <c r="CL207" s="140">
        <v>4000000</v>
      </c>
      <c r="CM207" s="99">
        <v>6240</v>
      </c>
      <c r="CN207" s="140">
        <v>0</v>
      </c>
      <c r="CO207" s="139" t="s">
        <v>583</v>
      </c>
      <c r="CP207" s="139" t="s">
        <v>583</v>
      </c>
      <c r="CQ207" s="140">
        <v>102400</v>
      </c>
      <c r="CR207" s="140">
        <v>8613028</v>
      </c>
      <c r="CS207" s="140">
        <v>0</v>
      </c>
      <c r="CT207" s="140">
        <v>1</v>
      </c>
      <c r="CU207" s="140">
        <v>8756017.5600000005</v>
      </c>
      <c r="CV207" s="99">
        <v>113239.06</v>
      </c>
      <c r="CW207" s="139" t="s">
        <v>606</v>
      </c>
      <c r="CX207" s="140">
        <v>18.147300000000001</v>
      </c>
      <c r="CY207" s="140">
        <v>1535</v>
      </c>
      <c r="CZ207" s="140" t="s">
        <v>1118</v>
      </c>
      <c r="DA207" s="140" t="s">
        <v>1119</v>
      </c>
      <c r="DB207" s="140">
        <v>1112</v>
      </c>
      <c r="DC207" s="140"/>
    </row>
    <row r="208" spans="2:107" ht="11.25" customHeight="1" x14ac:dyDescent="0.15">
      <c r="B208" s="139" t="s">
        <v>577</v>
      </c>
      <c r="C208" s="140" t="s">
        <v>1680</v>
      </c>
      <c r="D208" s="140">
        <v>3</v>
      </c>
      <c r="E208" s="139" t="s">
        <v>1681</v>
      </c>
      <c r="F208" s="139" t="s">
        <v>580</v>
      </c>
      <c r="G208" s="140" t="s">
        <v>1682</v>
      </c>
      <c r="H208" s="139" t="s">
        <v>1683</v>
      </c>
      <c r="I208" s="140" t="s">
        <v>421</v>
      </c>
      <c r="J208" s="139" t="s">
        <v>582</v>
      </c>
      <c r="K208" s="139" t="s">
        <v>583</v>
      </c>
      <c r="L208" s="139" t="s">
        <v>583</v>
      </c>
      <c r="M208" s="139" t="s">
        <v>583</v>
      </c>
      <c r="N208" s="139" t="s">
        <v>1386</v>
      </c>
      <c r="O208" s="139" t="s">
        <v>1640</v>
      </c>
      <c r="P208" s="139" t="s">
        <v>583</v>
      </c>
      <c r="Q208" s="139" t="s">
        <v>583</v>
      </c>
      <c r="R208" s="140">
        <v>2</v>
      </c>
      <c r="S208" s="140">
        <v>0</v>
      </c>
      <c r="T208" s="140">
        <v>2</v>
      </c>
      <c r="U208" s="140">
        <v>23</v>
      </c>
      <c r="V208" s="139" t="s">
        <v>1069</v>
      </c>
      <c r="W208" s="139" t="s">
        <v>1070</v>
      </c>
      <c r="X208" s="139" t="s">
        <v>1071</v>
      </c>
      <c r="Y208" s="139" t="s">
        <v>1072</v>
      </c>
      <c r="Z208" s="139" t="s">
        <v>590</v>
      </c>
      <c r="AA208" s="139" t="s">
        <v>1073</v>
      </c>
      <c r="AB208" s="139" t="s">
        <v>1069</v>
      </c>
      <c r="AC208" s="139" t="s">
        <v>1070</v>
      </c>
      <c r="AD208" s="139" t="s">
        <v>1071</v>
      </c>
      <c r="AE208" s="139" t="s">
        <v>1072</v>
      </c>
      <c r="AF208" s="139" t="s">
        <v>590</v>
      </c>
      <c r="AG208" s="139" t="s">
        <v>1073</v>
      </c>
      <c r="AH208" s="139" t="s">
        <v>1074</v>
      </c>
      <c r="AI208" s="139" t="s">
        <v>435</v>
      </c>
      <c r="AJ208" s="140">
        <v>6236356.7800000003</v>
      </c>
      <c r="AK208" s="139" t="s">
        <v>1069</v>
      </c>
      <c r="AL208" s="139" t="s">
        <v>1070</v>
      </c>
      <c r="AM208" s="139" t="s">
        <v>1071</v>
      </c>
      <c r="AN208" s="139" t="s">
        <v>1072</v>
      </c>
      <c r="AO208" s="139" t="s">
        <v>590</v>
      </c>
      <c r="AP208" s="139" t="s">
        <v>1073</v>
      </c>
      <c r="AQ208" s="139" t="s">
        <v>1074</v>
      </c>
      <c r="AR208" s="139" t="s">
        <v>435</v>
      </c>
      <c r="AS208" s="139" t="s">
        <v>435</v>
      </c>
      <c r="AT208" s="139" t="s">
        <v>593</v>
      </c>
      <c r="AU208" s="139" t="s">
        <v>437</v>
      </c>
      <c r="AV208" s="140">
        <v>2</v>
      </c>
      <c r="AW208" s="139" t="s">
        <v>594</v>
      </c>
      <c r="AX208" s="139" t="s">
        <v>653</v>
      </c>
      <c r="AY208" s="139" t="s">
        <v>1075</v>
      </c>
      <c r="AZ208" s="140">
        <v>1</v>
      </c>
      <c r="BA208" s="139" t="s">
        <v>597</v>
      </c>
      <c r="BB208" s="140">
        <v>76554</v>
      </c>
      <c r="BC208" s="140">
        <v>6236357</v>
      </c>
      <c r="BD208" s="140">
        <v>81409.899999999994</v>
      </c>
      <c r="BE208" s="140">
        <v>81.463499999999996</v>
      </c>
      <c r="BF208" s="139" t="s">
        <v>880</v>
      </c>
      <c r="BG208" s="139" t="s">
        <v>583</v>
      </c>
      <c r="BH208" s="139" t="s">
        <v>1076</v>
      </c>
      <c r="BI208" s="139" t="s">
        <v>598</v>
      </c>
      <c r="BJ208" s="139" t="s">
        <v>599</v>
      </c>
      <c r="BK208" s="139" t="s">
        <v>583</v>
      </c>
      <c r="BL208" s="139" t="s">
        <v>583</v>
      </c>
      <c r="BM208" s="139" t="s">
        <v>583</v>
      </c>
      <c r="BN208" s="139" t="s">
        <v>842</v>
      </c>
      <c r="BO208" s="139" t="s">
        <v>843</v>
      </c>
      <c r="BP208" s="139" t="s">
        <v>830</v>
      </c>
      <c r="BQ208" s="139" t="s">
        <v>723</v>
      </c>
      <c r="BR208" s="140">
        <v>2</v>
      </c>
      <c r="BS208" s="139" t="s">
        <v>1077</v>
      </c>
      <c r="BT208" s="99">
        <f t="shared" ref="BT208:BU227" si="13">MIN(1,IFERROR(SEARCH(BT$2,$BS208),0))</f>
        <v>1</v>
      </c>
      <c r="BU208" s="99">
        <f t="shared" si="13"/>
        <v>0</v>
      </c>
      <c r="BV208" s="99">
        <f t="shared" si="12"/>
        <v>1</v>
      </c>
      <c r="BW208" s="139" t="s">
        <v>1078</v>
      </c>
      <c r="BX208" s="139" t="s">
        <v>1257</v>
      </c>
      <c r="BY208" s="140">
        <v>1</v>
      </c>
      <c r="BZ208" s="140">
        <v>0</v>
      </c>
      <c r="CA208" s="99">
        <v>6400</v>
      </c>
      <c r="CB208" s="140" t="s">
        <v>603</v>
      </c>
      <c r="CC208" s="140">
        <v>0</v>
      </c>
      <c r="CD208" s="140"/>
      <c r="CE208" s="139" t="s">
        <v>1080</v>
      </c>
      <c r="CF208" s="139" t="s">
        <v>604</v>
      </c>
      <c r="CG208" s="139" t="s">
        <v>583</v>
      </c>
      <c r="CH208" s="139" t="s">
        <v>583</v>
      </c>
      <c r="CI208" s="139" t="s">
        <v>1074</v>
      </c>
      <c r="CJ208" s="140">
        <v>670</v>
      </c>
      <c r="CK208" s="140" t="s">
        <v>605</v>
      </c>
      <c r="CL208" s="140">
        <v>4000000</v>
      </c>
      <c r="CM208" s="99">
        <v>608</v>
      </c>
      <c r="CN208" s="140">
        <v>0</v>
      </c>
      <c r="CO208" s="139" t="s">
        <v>583</v>
      </c>
      <c r="CP208" s="139" t="s">
        <v>583</v>
      </c>
      <c r="CQ208" s="140">
        <v>13168.21</v>
      </c>
      <c r="CR208" s="140">
        <v>1072728</v>
      </c>
      <c r="CS208" s="140">
        <v>0</v>
      </c>
      <c r="CT208" s="140">
        <v>1</v>
      </c>
      <c r="CU208" s="140">
        <v>1072728.48</v>
      </c>
      <c r="CV208" s="99">
        <v>14003.48</v>
      </c>
      <c r="CW208" s="139" t="s">
        <v>606</v>
      </c>
      <c r="CX208" s="140">
        <v>23.032</v>
      </c>
      <c r="CY208" s="140">
        <v>1535</v>
      </c>
      <c r="CZ208" s="140" t="s">
        <v>1603</v>
      </c>
      <c r="DA208" s="140" t="s">
        <v>1119</v>
      </c>
      <c r="DB208" s="140">
        <v>1147</v>
      </c>
      <c r="DC208" s="140"/>
    </row>
    <row r="209" spans="2:107" ht="11.25" customHeight="1" x14ac:dyDescent="0.15">
      <c r="B209" s="139" t="s">
        <v>577</v>
      </c>
      <c r="C209" s="140" t="s">
        <v>1680</v>
      </c>
      <c r="D209" s="140">
        <v>3</v>
      </c>
      <c r="E209" s="139" t="s">
        <v>1684</v>
      </c>
      <c r="F209" s="139" t="s">
        <v>580</v>
      </c>
      <c r="G209" s="140" t="s">
        <v>1680</v>
      </c>
      <c r="H209" s="139" t="s">
        <v>1685</v>
      </c>
      <c r="I209" s="140" t="s">
        <v>421</v>
      </c>
      <c r="J209" s="139" t="s">
        <v>582</v>
      </c>
      <c r="K209" s="139" t="s">
        <v>583</v>
      </c>
      <c r="L209" s="139" t="s">
        <v>583</v>
      </c>
      <c r="M209" s="139" t="s">
        <v>583</v>
      </c>
      <c r="N209" s="139" t="s">
        <v>731</v>
      </c>
      <c r="O209" s="139" t="s">
        <v>1099</v>
      </c>
      <c r="P209" s="139" t="s">
        <v>583</v>
      </c>
      <c r="Q209" s="139" t="s">
        <v>583</v>
      </c>
      <c r="R209" s="140">
        <v>1</v>
      </c>
      <c r="S209" s="140">
        <v>0</v>
      </c>
      <c r="T209" s="140">
        <v>1</v>
      </c>
      <c r="U209" s="140">
        <v>383</v>
      </c>
      <c r="V209" s="139" t="s">
        <v>586</v>
      </c>
      <c r="W209" s="139" t="s">
        <v>587</v>
      </c>
      <c r="X209" s="139" t="s">
        <v>588</v>
      </c>
      <c r="Y209" s="139" t="s">
        <v>589</v>
      </c>
      <c r="Z209" s="139" t="s">
        <v>590</v>
      </c>
      <c r="AA209" s="139" t="s">
        <v>591</v>
      </c>
      <c r="AB209" s="139" t="s">
        <v>586</v>
      </c>
      <c r="AC209" s="139" t="s">
        <v>587</v>
      </c>
      <c r="AD209" s="139" t="s">
        <v>588</v>
      </c>
      <c r="AE209" s="139" t="s">
        <v>589</v>
      </c>
      <c r="AF209" s="139" t="s">
        <v>590</v>
      </c>
      <c r="AG209" s="139" t="s">
        <v>591</v>
      </c>
      <c r="AH209" s="139" t="s">
        <v>733</v>
      </c>
      <c r="AI209" s="139" t="s">
        <v>432</v>
      </c>
      <c r="AJ209" s="140">
        <v>11673162.859999999</v>
      </c>
      <c r="AK209" s="139" t="s">
        <v>586</v>
      </c>
      <c r="AL209" s="139" t="s">
        <v>587</v>
      </c>
      <c r="AM209" s="139" t="s">
        <v>588</v>
      </c>
      <c r="AN209" s="139" t="s">
        <v>589</v>
      </c>
      <c r="AO209" s="139" t="s">
        <v>590</v>
      </c>
      <c r="AP209" s="139" t="s">
        <v>591</v>
      </c>
      <c r="AQ209" s="139" t="s">
        <v>733</v>
      </c>
      <c r="AR209" s="139" t="s">
        <v>432</v>
      </c>
      <c r="AS209" s="139" t="s">
        <v>432</v>
      </c>
      <c r="AT209" s="139" t="s">
        <v>593</v>
      </c>
      <c r="AU209" s="139" t="s">
        <v>437</v>
      </c>
      <c r="AV209" s="140">
        <v>2</v>
      </c>
      <c r="AW209" s="139" t="s">
        <v>594</v>
      </c>
      <c r="AX209" s="139" t="s">
        <v>653</v>
      </c>
      <c r="AY209" s="139" t="s">
        <v>850</v>
      </c>
      <c r="AZ209" s="140">
        <v>1</v>
      </c>
      <c r="BA209" s="139" t="s">
        <v>597</v>
      </c>
      <c r="BB209" s="140">
        <v>141710</v>
      </c>
      <c r="BC209" s="140">
        <v>11673163</v>
      </c>
      <c r="BD209" s="140">
        <v>151124.16</v>
      </c>
      <c r="BE209" s="140">
        <v>82.373599999999996</v>
      </c>
      <c r="BF209" s="139" t="s">
        <v>880</v>
      </c>
      <c r="BG209" s="139" t="s">
        <v>583</v>
      </c>
      <c r="BH209" s="139" t="s">
        <v>987</v>
      </c>
      <c r="BI209" s="139" t="s">
        <v>598</v>
      </c>
      <c r="BJ209" s="139" t="s">
        <v>1100</v>
      </c>
      <c r="BK209" s="139" t="s">
        <v>1101</v>
      </c>
      <c r="BL209" s="139" t="s">
        <v>1101</v>
      </c>
      <c r="BM209" s="139" t="s">
        <v>583</v>
      </c>
      <c r="BN209" s="139" t="s">
        <v>1102</v>
      </c>
      <c r="BO209" s="139" t="s">
        <v>1103</v>
      </c>
      <c r="BP209" s="139" t="s">
        <v>1686</v>
      </c>
      <c r="BQ209" s="139" t="s">
        <v>600</v>
      </c>
      <c r="BR209" s="140">
        <v>1</v>
      </c>
      <c r="BS209" s="139" t="s">
        <v>988</v>
      </c>
      <c r="BT209" s="99">
        <f t="shared" si="13"/>
        <v>0</v>
      </c>
      <c r="BU209" s="99">
        <f t="shared" si="13"/>
        <v>1</v>
      </c>
      <c r="BV209" s="99">
        <f t="shared" si="12"/>
        <v>1</v>
      </c>
      <c r="BW209" s="139" t="s">
        <v>602</v>
      </c>
      <c r="BX209" s="139" t="s">
        <v>731</v>
      </c>
      <c r="BY209" s="140">
        <v>383</v>
      </c>
      <c r="BZ209" s="140">
        <v>0</v>
      </c>
      <c r="CA209" s="99">
        <v>76600</v>
      </c>
      <c r="CB209" s="140" t="s">
        <v>603</v>
      </c>
      <c r="CC209" s="140">
        <v>0</v>
      </c>
      <c r="CD209" s="140"/>
      <c r="CE209" s="139" t="s">
        <v>577</v>
      </c>
      <c r="CF209" s="139" t="s">
        <v>604</v>
      </c>
      <c r="CG209" s="139" t="s">
        <v>583</v>
      </c>
      <c r="CH209" s="139" t="s">
        <v>583</v>
      </c>
      <c r="CI209" s="139" t="s">
        <v>733</v>
      </c>
      <c r="CJ209" s="140">
        <v>8426</v>
      </c>
      <c r="CK209" s="140" t="s">
        <v>605</v>
      </c>
      <c r="CL209" s="140">
        <v>4000000</v>
      </c>
      <c r="CM209" s="99">
        <v>7660</v>
      </c>
      <c r="CN209" s="140">
        <v>0</v>
      </c>
      <c r="CO209" s="139" t="s">
        <v>583</v>
      </c>
      <c r="CP209" s="139" t="s">
        <v>583</v>
      </c>
      <c r="CQ209" s="140">
        <v>141710</v>
      </c>
      <c r="CR209" s="140">
        <v>11673163</v>
      </c>
      <c r="CS209" s="140">
        <v>0</v>
      </c>
      <c r="CT209" s="140">
        <v>1</v>
      </c>
      <c r="CU209" s="140">
        <v>11673162.859999999</v>
      </c>
      <c r="CV209" s="99">
        <v>151124.16</v>
      </c>
      <c r="CW209" s="139" t="s">
        <v>606</v>
      </c>
      <c r="CX209" s="140">
        <v>19.728999999999999</v>
      </c>
      <c r="CY209" s="140"/>
      <c r="CZ209" s="140"/>
      <c r="DA209" s="140" t="s">
        <v>856</v>
      </c>
      <c r="DB209" s="140">
        <v>1180</v>
      </c>
      <c r="DC209" s="140"/>
    </row>
    <row r="210" spans="2:107" ht="11.25" customHeight="1" x14ac:dyDescent="0.15">
      <c r="B210" s="139" t="s">
        <v>577</v>
      </c>
      <c r="C210" s="140" t="s">
        <v>1682</v>
      </c>
      <c r="D210" s="140">
        <v>3</v>
      </c>
      <c r="E210" s="139" t="s">
        <v>1687</v>
      </c>
      <c r="F210" s="139" t="s">
        <v>718</v>
      </c>
      <c r="G210" s="140" t="s">
        <v>1682</v>
      </c>
      <c r="H210" s="139" t="s">
        <v>1688</v>
      </c>
      <c r="I210" s="140" t="s">
        <v>421</v>
      </c>
      <c r="J210" s="139" t="s">
        <v>582</v>
      </c>
      <c r="K210" s="139" t="s">
        <v>583</v>
      </c>
      <c r="L210" s="139" t="s">
        <v>583</v>
      </c>
      <c r="M210" s="139" t="s">
        <v>583</v>
      </c>
      <c r="N210" s="139" t="s">
        <v>720</v>
      </c>
      <c r="O210" s="139" t="s">
        <v>721</v>
      </c>
      <c r="P210" s="139" t="s">
        <v>583</v>
      </c>
      <c r="Q210" s="139" t="s">
        <v>583</v>
      </c>
      <c r="R210" s="140">
        <v>1</v>
      </c>
      <c r="S210" s="140">
        <v>0</v>
      </c>
      <c r="T210" s="140">
        <v>1</v>
      </c>
      <c r="U210" s="140">
        <v>100</v>
      </c>
      <c r="V210" s="139" t="s">
        <v>662</v>
      </c>
      <c r="W210" s="139" t="s">
        <v>663</v>
      </c>
      <c r="X210" s="139" t="s">
        <v>664</v>
      </c>
      <c r="Y210" s="139" t="s">
        <v>665</v>
      </c>
      <c r="Z210" s="139" t="s">
        <v>666</v>
      </c>
      <c r="AA210" s="139" t="s">
        <v>667</v>
      </c>
      <c r="AB210" s="139" t="s">
        <v>662</v>
      </c>
      <c r="AC210" s="139" t="s">
        <v>663</v>
      </c>
      <c r="AD210" s="139" t="s">
        <v>664</v>
      </c>
      <c r="AE210" s="139" t="s">
        <v>665</v>
      </c>
      <c r="AF210" s="139" t="s">
        <v>666</v>
      </c>
      <c r="AG210" s="139" t="s">
        <v>667</v>
      </c>
      <c r="AH210" s="139" t="s">
        <v>592</v>
      </c>
      <c r="AI210" s="139" t="s">
        <v>429</v>
      </c>
      <c r="AJ210" s="140">
        <v>2465085.5099999998</v>
      </c>
      <c r="AK210" s="139" t="s">
        <v>662</v>
      </c>
      <c r="AL210" s="139" t="s">
        <v>663</v>
      </c>
      <c r="AM210" s="139" t="s">
        <v>664</v>
      </c>
      <c r="AN210" s="139" t="s">
        <v>665</v>
      </c>
      <c r="AO210" s="139" t="s">
        <v>666</v>
      </c>
      <c r="AP210" s="139" t="s">
        <v>667</v>
      </c>
      <c r="AQ210" s="139" t="s">
        <v>592</v>
      </c>
      <c r="AR210" s="139" t="s">
        <v>429</v>
      </c>
      <c r="AS210" s="139" t="s">
        <v>429</v>
      </c>
      <c r="AT210" s="139" t="s">
        <v>593</v>
      </c>
      <c r="AU210" s="139" t="s">
        <v>437</v>
      </c>
      <c r="AV210" s="140">
        <v>2</v>
      </c>
      <c r="AW210" s="139" t="s">
        <v>594</v>
      </c>
      <c r="AX210" s="139" t="s">
        <v>595</v>
      </c>
      <c r="AY210" s="139" t="s">
        <v>722</v>
      </c>
      <c r="AZ210" s="140">
        <v>1</v>
      </c>
      <c r="BA210" s="139" t="s">
        <v>597</v>
      </c>
      <c r="BB210" s="140">
        <v>30000</v>
      </c>
      <c r="BC210" s="140">
        <v>2443905</v>
      </c>
      <c r="BD210" s="140">
        <v>32179.42</v>
      </c>
      <c r="BE210" s="140">
        <v>81.463499999999996</v>
      </c>
      <c r="BF210" s="139" t="s">
        <v>880</v>
      </c>
      <c r="BG210" s="139" t="s">
        <v>583</v>
      </c>
      <c r="BH210" s="139" t="s">
        <v>924</v>
      </c>
      <c r="BI210" s="139" t="s">
        <v>598</v>
      </c>
      <c r="BJ210" s="139" t="s">
        <v>599</v>
      </c>
      <c r="BK210" s="139" t="s">
        <v>583</v>
      </c>
      <c r="BL210" s="139" t="s">
        <v>583</v>
      </c>
      <c r="BM210" s="139" t="s">
        <v>583</v>
      </c>
      <c r="BN210" s="139" t="s">
        <v>842</v>
      </c>
      <c r="BO210" s="139" t="s">
        <v>843</v>
      </c>
      <c r="BP210" s="139" t="s">
        <v>830</v>
      </c>
      <c r="BQ210" s="139" t="s">
        <v>723</v>
      </c>
      <c r="BR210" s="140">
        <v>1</v>
      </c>
      <c r="BS210" s="139" t="s">
        <v>1689</v>
      </c>
      <c r="BT210" s="99">
        <f t="shared" si="13"/>
        <v>1</v>
      </c>
      <c r="BU210" s="99">
        <f t="shared" si="13"/>
        <v>0</v>
      </c>
      <c r="BV210" s="99">
        <f t="shared" si="12"/>
        <v>1</v>
      </c>
      <c r="BW210" s="139" t="s">
        <v>725</v>
      </c>
      <c r="BX210" s="139" t="s">
        <v>1660</v>
      </c>
      <c r="BY210" s="140">
        <v>100</v>
      </c>
      <c r="BZ210" s="140">
        <v>0</v>
      </c>
      <c r="CA210" s="99">
        <v>20000</v>
      </c>
      <c r="CB210" s="140" t="s">
        <v>603</v>
      </c>
      <c r="CC210" s="140">
        <v>0</v>
      </c>
      <c r="CD210" s="140"/>
      <c r="CE210" s="139" t="s">
        <v>577</v>
      </c>
      <c r="CF210" s="139" t="s">
        <v>604</v>
      </c>
      <c r="CG210" s="139" t="s">
        <v>583</v>
      </c>
      <c r="CH210" s="139" t="s">
        <v>583</v>
      </c>
      <c r="CI210" s="139" t="s">
        <v>592</v>
      </c>
      <c r="CJ210" s="140">
        <v>2300</v>
      </c>
      <c r="CK210" s="140" t="s">
        <v>605</v>
      </c>
      <c r="CL210" s="140">
        <v>4000000</v>
      </c>
      <c r="CM210" s="99">
        <v>2100</v>
      </c>
      <c r="CN210" s="140">
        <v>0</v>
      </c>
      <c r="CO210" s="139" t="s">
        <v>583</v>
      </c>
      <c r="CP210" s="139" t="s">
        <v>583</v>
      </c>
      <c r="CQ210" s="140">
        <v>30000</v>
      </c>
      <c r="CR210" s="140">
        <v>2443905</v>
      </c>
      <c r="CS210" s="140">
        <v>0</v>
      </c>
      <c r="CT210" s="140">
        <v>1</v>
      </c>
      <c r="CU210" s="140">
        <v>2465085.5099999998</v>
      </c>
      <c r="CV210" s="99">
        <v>32179.42</v>
      </c>
      <c r="CW210" s="139" t="s">
        <v>606</v>
      </c>
      <c r="CX210" s="140">
        <v>15.323499999999999</v>
      </c>
      <c r="CY210" s="140"/>
      <c r="CZ210" s="140"/>
      <c r="DA210" s="140" t="s">
        <v>926</v>
      </c>
      <c r="DB210" s="140">
        <v>15</v>
      </c>
      <c r="DC210" s="140"/>
    </row>
    <row r="211" spans="2:107" ht="11.25" customHeight="1" x14ac:dyDescent="0.15">
      <c r="B211" s="139" t="s">
        <v>577</v>
      </c>
      <c r="C211" s="140" t="s">
        <v>1682</v>
      </c>
      <c r="D211" s="140">
        <v>3</v>
      </c>
      <c r="E211" s="139" t="s">
        <v>1690</v>
      </c>
      <c r="F211" s="139" t="s">
        <v>618</v>
      </c>
      <c r="G211" s="140" t="s">
        <v>1682</v>
      </c>
      <c r="H211" s="139" t="s">
        <v>1691</v>
      </c>
      <c r="I211" s="140" t="s">
        <v>421</v>
      </c>
      <c r="J211" s="139" t="s">
        <v>582</v>
      </c>
      <c r="K211" s="139" t="s">
        <v>583</v>
      </c>
      <c r="L211" s="139" t="s">
        <v>583</v>
      </c>
      <c r="M211" s="139" t="s">
        <v>583</v>
      </c>
      <c r="N211" s="139" t="s">
        <v>441</v>
      </c>
      <c r="O211" s="139" t="s">
        <v>1107</v>
      </c>
      <c r="P211" s="139" t="s">
        <v>583</v>
      </c>
      <c r="Q211" s="139" t="s">
        <v>583</v>
      </c>
      <c r="R211" s="140">
        <v>1</v>
      </c>
      <c r="S211" s="140">
        <v>0</v>
      </c>
      <c r="T211" s="140">
        <v>1</v>
      </c>
      <c r="U211" s="140">
        <v>250</v>
      </c>
      <c r="V211" s="139" t="s">
        <v>640</v>
      </c>
      <c r="W211" s="139" t="s">
        <v>641</v>
      </c>
      <c r="X211" s="139" t="s">
        <v>642</v>
      </c>
      <c r="Y211" s="139" t="s">
        <v>643</v>
      </c>
      <c r="Z211" s="139" t="s">
        <v>644</v>
      </c>
      <c r="AA211" s="139" t="s">
        <v>645</v>
      </c>
      <c r="AB211" s="139" t="s">
        <v>640</v>
      </c>
      <c r="AC211" s="139" t="s">
        <v>641</v>
      </c>
      <c r="AD211" s="139" t="s">
        <v>642</v>
      </c>
      <c r="AE211" s="139" t="s">
        <v>643</v>
      </c>
      <c r="AF211" s="139" t="s">
        <v>644</v>
      </c>
      <c r="AG211" s="139" t="s">
        <v>645</v>
      </c>
      <c r="AH211" s="139" t="s">
        <v>621</v>
      </c>
      <c r="AI211" s="139" t="s">
        <v>430</v>
      </c>
      <c r="AJ211" s="140">
        <v>6191226</v>
      </c>
      <c r="AK211" s="139" t="s">
        <v>640</v>
      </c>
      <c r="AL211" s="139" t="s">
        <v>641</v>
      </c>
      <c r="AM211" s="139" t="s">
        <v>642</v>
      </c>
      <c r="AN211" s="139" t="s">
        <v>643</v>
      </c>
      <c r="AO211" s="139" t="s">
        <v>644</v>
      </c>
      <c r="AP211" s="139" t="s">
        <v>645</v>
      </c>
      <c r="AQ211" s="139" t="s">
        <v>621</v>
      </c>
      <c r="AR211" s="139" t="s">
        <v>430</v>
      </c>
      <c r="AS211" s="139" t="s">
        <v>430</v>
      </c>
      <c r="AT211" s="139" t="s">
        <v>593</v>
      </c>
      <c r="AU211" s="139" t="s">
        <v>437</v>
      </c>
      <c r="AV211" s="140">
        <v>0</v>
      </c>
      <c r="AW211" s="139" t="s">
        <v>594</v>
      </c>
      <c r="AX211" s="139" t="s">
        <v>622</v>
      </c>
      <c r="AY211" s="139" t="s">
        <v>646</v>
      </c>
      <c r="AZ211" s="140">
        <v>1</v>
      </c>
      <c r="BA211" s="139" t="s">
        <v>597</v>
      </c>
      <c r="BB211" s="140">
        <v>76000</v>
      </c>
      <c r="BC211" s="140">
        <v>6191226</v>
      </c>
      <c r="BD211" s="140">
        <v>80820.759999999995</v>
      </c>
      <c r="BE211" s="140">
        <v>81.463499999999996</v>
      </c>
      <c r="BF211" s="139" t="s">
        <v>880</v>
      </c>
      <c r="BG211" s="139" t="s">
        <v>582</v>
      </c>
      <c r="BH211" s="139" t="s">
        <v>938</v>
      </c>
      <c r="BI211" s="139" t="s">
        <v>598</v>
      </c>
      <c r="BJ211" s="139" t="s">
        <v>624</v>
      </c>
      <c r="BK211" s="139" t="s">
        <v>882</v>
      </c>
      <c r="BL211" s="139" t="s">
        <v>583</v>
      </c>
      <c r="BM211" s="139" t="s">
        <v>939</v>
      </c>
      <c r="BN211" s="139" t="s">
        <v>583</v>
      </c>
      <c r="BO211" s="139" t="s">
        <v>623</v>
      </c>
      <c r="BP211" s="139" t="s">
        <v>1692</v>
      </c>
      <c r="BQ211" s="139" t="s">
        <v>625</v>
      </c>
      <c r="BR211" s="140">
        <v>1</v>
      </c>
      <c r="BS211" s="139" t="s">
        <v>1367</v>
      </c>
      <c r="BT211" s="99">
        <f t="shared" si="13"/>
        <v>0</v>
      </c>
      <c r="BU211" s="99">
        <f t="shared" si="13"/>
        <v>0</v>
      </c>
      <c r="BV211" s="99">
        <f t="shared" si="12"/>
        <v>0</v>
      </c>
      <c r="BW211" s="139" t="s">
        <v>446</v>
      </c>
      <c r="BX211" s="139" t="s">
        <v>441</v>
      </c>
      <c r="BY211" s="140">
        <v>250</v>
      </c>
      <c r="BZ211" s="140">
        <v>0</v>
      </c>
      <c r="CA211" s="99">
        <v>50000</v>
      </c>
      <c r="CB211" s="140" t="s">
        <v>603</v>
      </c>
      <c r="CC211" s="140">
        <v>0</v>
      </c>
      <c r="CD211" s="140"/>
      <c r="CE211" s="139" t="s">
        <v>577</v>
      </c>
      <c r="CF211" s="139" t="s">
        <v>604</v>
      </c>
      <c r="CG211" s="139" t="s">
        <v>583</v>
      </c>
      <c r="CH211" s="139" t="s">
        <v>583</v>
      </c>
      <c r="CI211" s="139" t="s">
        <v>621</v>
      </c>
      <c r="CJ211" s="140">
        <v>5390</v>
      </c>
      <c r="CK211" s="140" t="s">
        <v>605</v>
      </c>
      <c r="CL211" s="140">
        <v>4000000</v>
      </c>
      <c r="CM211" s="99">
        <v>4500</v>
      </c>
      <c r="CN211" s="140">
        <v>0</v>
      </c>
      <c r="CO211" s="139" t="s">
        <v>583</v>
      </c>
      <c r="CP211" s="139" t="s">
        <v>583</v>
      </c>
      <c r="CQ211" s="140">
        <v>76000</v>
      </c>
      <c r="CR211" s="140">
        <v>6191226</v>
      </c>
      <c r="CS211" s="140">
        <v>0</v>
      </c>
      <c r="CT211" s="140">
        <v>1</v>
      </c>
      <c r="CU211" s="140">
        <v>6191226</v>
      </c>
      <c r="CV211" s="99">
        <v>80820.759999999995</v>
      </c>
      <c r="CW211" s="139" t="s">
        <v>606</v>
      </c>
      <c r="CX211" s="140">
        <v>17.9602</v>
      </c>
      <c r="CY211" s="140"/>
      <c r="CZ211" s="140"/>
      <c r="DA211" s="140" t="s">
        <v>941</v>
      </c>
      <c r="DB211" s="140">
        <v>1147</v>
      </c>
      <c r="DC211" s="140"/>
    </row>
    <row r="212" spans="2:107" ht="11.25" customHeight="1" x14ac:dyDescent="0.15">
      <c r="B212" s="139" t="s">
        <v>577</v>
      </c>
      <c r="C212" s="140" t="s">
        <v>1682</v>
      </c>
      <c r="D212" s="140">
        <v>3</v>
      </c>
      <c r="E212" s="139" t="s">
        <v>1693</v>
      </c>
      <c r="F212" s="139" t="s">
        <v>580</v>
      </c>
      <c r="G212" s="140" t="s">
        <v>1682</v>
      </c>
      <c r="H212" s="139" t="s">
        <v>1694</v>
      </c>
      <c r="I212" s="140" t="s">
        <v>421</v>
      </c>
      <c r="J212" s="139" t="s">
        <v>582</v>
      </c>
      <c r="K212" s="139" t="s">
        <v>583</v>
      </c>
      <c r="L212" s="139" t="s">
        <v>583</v>
      </c>
      <c r="M212" s="139" t="s">
        <v>583</v>
      </c>
      <c r="N212" s="139" t="s">
        <v>1532</v>
      </c>
      <c r="O212" s="139" t="s">
        <v>1644</v>
      </c>
      <c r="P212" s="139" t="s">
        <v>583</v>
      </c>
      <c r="Q212" s="139" t="s">
        <v>583</v>
      </c>
      <c r="R212" s="140">
        <v>1</v>
      </c>
      <c r="S212" s="140">
        <v>0</v>
      </c>
      <c r="T212" s="140">
        <v>1</v>
      </c>
      <c r="U212" s="140">
        <v>6</v>
      </c>
      <c r="V212" s="139" t="s">
        <v>640</v>
      </c>
      <c r="W212" s="139" t="s">
        <v>641</v>
      </c>
      <c r="X212" s="139" t="s">
        <v>642</v>
      </c>
      <c r="Y212" s="139" t="s">
        <v>643</v>
      </c>
      <c r="Z212" s="139" t="s">
        <v>644</v>
      </c>
      <c r="AA212" s="139" t="s">
        <v>645</v>
      </c>
      <c r="AB212" s="139" t="s">
        <v>640</v>
      </c>
      <c r="AC212" s="139" t="s">
        <v>641</v>
      </c>
      <c r="AD212" s="139" t="s">
        <v>642</v>
      </c>
      <c r="AE212" s="139" t="s">
        <v>643</v>
      </c>
      <c r="AF212" s="139" t="s">
        <v>644</v>
      </c>
      <c r="AG212" s="139" t="s">
        <v>645</v>
      </c>
      <c r="AH212" s="139" t="s">
        <v>1534</v>
      </c>
      <c r="AI212" s="139" t="s">
        <v>1535</v>
      </c>
      <c r="AJ212" s="140">
        <v>4011262.74</v>
      </c>
      <c r="AK212" s="139" t="s">
        <v>640</v>
      </c>
      <c r="AL212" s="139" t="s">
        <v>641</v>
      </c>
      <c r="AM212" s="139" t="s">
        <v>642</v>
      </c>
      <c r="AN212" s="139" t="s">
        <v>643</v>
      </c>
      <c r="AO212" s="139" t="s">
        <v>644</v>
      </c>
      <c r="AP212" s="139" t="s">
        <v>645</v>
      </c>
      <c r="AQ212" s="139" t="s">
        <v>759</v>
      </c>
      <c r="AR212" s="139" t="s">
        <v>434</v>
      </c>
      <c r="AS212" s="139" t="s">
        <v>434</v>
      </c>
      <c r="AT212" s="139" t="s">
        <v>593</v>
      </c>
      <c r="AU212" s="139" t="s">
        <v>437</v>
      </c>
      <c r="AV212" s="140">
        <v>2</v>
      </c>
      <c r="AW212" s="139" t="s">
        <v>594</v>
      </c>
      <c r="AX212" s="139" t="s">
        <v>595</v>
      </c>
      <c r="AY212" s="139" t="s">
        <v>1536</v>
      </c>
      <c r="AZ212" s="140">
        <v>1</v>
      </c>
      <c r="BA212" s="139" t="s">
        <v>597</v>
      </c>
      <c r="BB212" s="140">
        <v>49040</v>
      </c>
      <c r="BC212" s="140">
        <v>3994970</v>
      </c>
      <c r="BD212" s="140">
        <v>52363.35</v>
      </c>
      <c r="BE212" s="140">
        <v>81.463499999999996</v>
      </c>
      <c r="BF212" s="139" t="s">
        <v>880</v>
      </c>
      <c r="BG212" s="139" t="s">
        <v>583</v>
      </c>
      <c r="BH212" s="139" t="s">
        <v>1537</v>
      </c>
      <c r="BI212" s="139" t="s">
        <v>598</v>
      </c>
      <c r="BJ212" s="139" t="s">
        <v>599</v>
      </c>
      <c r="BK212" s="139" t="s">
        <v>583</v>
      </c>
      <c r="BL212" s="139" t="s">
        <v>583</v>
      </c>
      <c r="BM212" s="139" t="s">
        <v>939</v>
      </c>
      <c r="BN212" s="139" t="s">
        <v>916</v>
      </c>
      <c r="BO212" s="139" t="s">
        <v>917</v>
      </c>
      <c r="BP212" s="139" t="s">
        <v>918</v>
      </c>
      <c r="BQ212" s="139" t="s">
        <v>772</v>
      </c>
      <c r="BR212" s="140">
        <v>1</v>
      </c>
      <c r="BS212" s="139" t="s">
        <v>1695</v>
      </c>
      <c r="BT212" s="99">
        <f t="shared" si="13"/>
        <v>1</v>
      </c>
      <c r="BU212" s="99">
        <f t="shared" si="13"/>
        <v>1</v>
      </c>
      <c r="BV212" s="99">
        <f t="shared" si="12"/>
        <v>1</v>
      </c>
      <c r="BW212" s="139" t="s">
        <v>1539</v>
      </c>
      <c r="BX212" s="139" t="s">
        <v>1540</v>
      </c>
      <c r="BY212" s="140">
        <v>6</v>
      </c>
      <c r="BZ212" s="140">
        <v>0</v>
      </c>
      <c r="CA212" s="99">
        <v>26000</v>
      </c>
      <c r="CB212" s="140" t="s">
        <v>603</v>
      </c>
      <c r="CC212" s="140">
        <v>0</v>
      </c>
      <c r="CD212" s="140"/>
      <c r="CE212" s="139" t="s">
        <v>577</v>
      </c>
      <c r="CF212" s="139" t="s">
        <v>604</v>
      </c>
      <c r="CG212" s="139" t="s">
        <v>583</v>
      </c>
      <c r="CH212" s="139" t="s">
        <v>583</v>
      </c>
      <c r="CI212" s="139" t="s">
        <v>759</v>
      </c>
      <c r="CJ212" s="140">
        <v>2600</v>
      </c>
      <c r="CK212" s="140" t="s">
        <v>605</v>
      </c>
      <c r="CL212" s="140">
        <v>4000000</v>
      </c>
      <c r="CM212" s="99">
        <v>2470</v>
      </c>
      <c r="CN212" s="140">
        <v>0</v>
      </c>
      <c r="CO212" s="139" t="s">
        <v>583</v>
      </c>
      <c r="CP212" s="139" t="s">
        <v>583</v>
      </c>
      <c r="CQ212" s="140">
        <v>49040</v>
      </c>
      <c r="CR212" s="140">
        <v>3994970</v>
      </c>
      <c r="CS212" s="140">
        <v>0</v>
      </c>
      <c r="CT212" s="140">
        <v>1</v>
      </c>
      <c r="CU212" s="140">
        <v>4011262.74</v>
      </c>
      <c r="CV212" s="99">
        <v>52363.35</v>
      </c>
      <c r="CW212" s="139" t="s">
        <v>606</v>
      </c>
      <c r="CX212" s="140">
        <v>21.1997</v>
      </c>
      <c r="CY212" s="140"/>
      <c r="CZ212" s="140"/>
      <c r="DA212" s="140" t="s">
        <v>941</v>
      </c>
      <c r="DB212" s="140">
        <v>1145</v>
      </c>
      <c r="DC212" s="140"/>
    </row>
    <row r="213" spans="2:107" ht="11.25" customHeight="1" x14ac:dyDescent="0.15">
      <c r="B213" s="139" t="s">
        <v>577</v>
      </c>
      <c r="C213" s="140" t="s">
        <v>1682</v>
      </c>
      <c r="D213" s="140">
        <v>3</v>
      </c>
      <c r="E213" s="139" t="s">
        <v>1696</v>
      </c>
      <c r="F213" s="139" t="s">
        <v>580</v>
      </c>
      <c r="G213" s="140" t="s">
        <v>1697</v>
      </c>
      <c r="H213" s="139" t="s">
        <v>1698</v>
      </c>
      <c r="I213" s="140" t="s">
        <v>421</v>
      </c>
      <c r="J213" s="139" t="s">
        <v>582</v>
      </c>
      <c r="K213" s="139" t="s">
        <v>583</v>
      </c>
      <c r="L213" s="139" t="s">
        <v>583</v>
      </c>
      <c r="M213" s="139" t="s">
        <v>583</v>
      </c>
      <c r="N213" s="139" t="s">
        <v>1529</v>
      </c>
      <c r="O213" s="139" t="s">
        <v>758</v>
      </c>
      <c r="P213" s="139" t="s">
        <v>583</v>
      </c>
      <c r="Q213" s="139" t="s">
        <v>583</v>
      </c>
      <c r="R213" s="140">
        <v>1</v>
      </c>
      <c r="S213" s="140">
        <v>0</v>
      </c>
      <c r="T213" s="140">
        <v>1</v>
      </c>
      <c r="U213" s="140">
        <v>7</v>
      </c>
      <c r="V213" s="139" t="s">
        <v>859</v>
      </c>
      <c r="W213" s="139" t="s">
        <v>860</v>
      </c>
      <c r="X213" s="139" t="s">
        <v>861</v>
      </c>
      <c r="Y213" s="139" t="s">
        <v>862</v>
      </c>
      <c r="Z213" s="139" t="s">
        <v>590</v>
      </c>
      <c r="AA213" s="139" t="s">
        <v>839</v>
      </c>
      <c r="AB213" s="139" t="s">
        <v>859</v>
      </c>
      <c r="AC213" s="139" t="s">
        <v>860</v>
      </c>
      <c r="AD213" s="139" t="s">
        <v>861</v>
      </c>
      <c r="AE213" s="139" t="s">
        <v>862</v>
      </c>
      <c r="AF213" s="139" t="s">
        <v>590</v>
      </c>
      <c r="AG213" s="139" t="s">
        <v>839</v>
      </c>
      <c r="AH213" s="139" t="s">
        <v>759</v>
      </c>
      <c r="AI213" s="139" t="s">
        <v>434</v>
      </c>
      <c r="AJ213" s="140">
        <v>5612020.5199999996</v>
      </c>
      <c r="AK213" s="139" t="s">
        <v>859</v>
      </c>
      <c r="AL213" s="139" t="s">
        <v>860</v>
      </c>
      <c r="AM213" s="139" t="s">
        <v>861</v>
      </c>
      <c r="AN213" s="139" t="s">
        <v>862</v>
      </c>
      <c r="AO213" s="139" t="s">
        <v>590</v>
      </c>
      <c r="AP213" s="139" t="s">
        <v>839</v>
      </c>
      <c r="AQ213" s="139" t="s">
        <v>759</v>
      </c>
      <c r="AR213" s="139" t="s">
        <v>434</v>
      </c>
      <c r="AS213" s="139" t="s">
        <v>434</v>
      </c>
      <c r="AT213" s="139" t="s">
        <v>593</v>
      </c>
      <c r="AU213" s="139" t="s">
        <v>437</v>
      </c>
      <c r="AV213" s="140">
        <v>2</v>
      </c>
      <c r="AW213" s="139" t="s">
        <v>594</v>
      </c>
      <c r="AX213" s="139" t="s">
        <v>595</v>
      </c>
      <c r="AY213" s="139" t="s">
        <v>840</v>
      </c>
      <c r="AZ213" s="140">
        <v>1</v>
      </c>
      <c r="BA213" s="139" t="s">
        <v>597</v>
      </c>
      <c r="BB213" s="140">
        <v>67200</v>
      </c>
      <c r="BC213" s="140">
        <v>5474347</v>
      </c>
      <c r="BD213" s="140">
        <v>73259.77</v>
      </c>
      <c r="BE213" s="140">
        <v>81.463499999999996</v>
      </c>
      <c r="BF213" s="139" t="s">
        <v>880</v>
      </c>
      <c r="BG213" s="139" t="s">
        <v>863</v>
      </c>
      <c r="BH213" s="139" t="s">
        <v>1122</v>
      </c>
      <c r="BI213" s="139" t="s">
        <v>598</v>
      </c>
      <c r="BJ213" s="139" t="s">
        <v>599</v>
      </c>
      <c r="BK213" s="139" t="s">
        <v>583</v>
      </c>
      <c r="BL213" s="139" t="s">
        <v>583</v>
      </c>
      <c r="BM213" s="139" t="s">
        <v>583</v>
      </c>
      <c r="BN213" s="139" t="s">
        <v>842</v>
      </c>
      <c r="BO213" s="139" t="s">
        <v>843</v>
      </c>
      <c r="BP213" s="139" t="s">
        <v>830</v>
      </c>
      <c r="BQ213" s="139" t="s">
        <v>723</v>
      </c>
      <c r="BR213" s="140">
        <v>1</v>
      </c>
      <c r="BS213" s="139" t="s">
        <v>1699</v>
      </c>
      <c r="BT213" s="99">
        <f t="shared" si="13"/>
        <v>1</v>
      </c>
      <c r="BU213" s="99">
        <f t="shared" si="13"/>
        <v>0</v>
      </c>
      <c r="BV213" s="99">
        <f t="shared" si="12"/>
        <v>1</v>
      </c>
      <c r="BW213" s="139" t="s">
        <v>602</v>
      </c>
      <c r="BX213" s="139" t="s">
        <v>1700</v>
      </c>
      <c r="BY213" s="140">
        <v>7</v>
      </c>
      <c r="BZ213" s="140">
        <v>0</v>
      </c>
      <c r="CA213" s="99">
        <v>42000</v>
      </c>
      <c r="CB213" s="140" t="s">
        <v>603</v>
      </c>
      <c r="CC213" s="140">
        <v>0</v>
      </c>
      <c r="CD213" s="140"/>
      <c r="CE213" s="139" t="s">
        <v>577</v>
      </c>
      <c r="CF213" s="139" t="s">
        <v>604</v>
      </c>
      <c r="CG213" s="139" t="s">
        <v>583</v>
      </c>
      <c r="CH213" s="139" t="s">
        <v>583</v>
      </c>
      <c r="CI213" s="139" t="s">
        <v>759</v>
      </c>
      <c r="CJ213" s="140">
        <v>4410</v>
      </c>
      <c r="CK213" s="140" t="s">
        <v>605</v>
      </c>
      <c r="CL213" s="140">
        <v>4000000</v>
      </c>
      <c r="CM213" s="99">
        <v>4095</v>
      </c>
      <c r="CN213" s="140">
        <v>0</v>
      </c>
      <c r="CO213" s="139" t="s">
        <v>583</v>
      </c>
      <c r="CP213" s="139" t="s">
        <v>583</v>
      </c>
      <c r="CQ213" s="140">
        <v>67200</v>
      </c>
      <c r="CR213" s="140">
        <v>5474347</v>
      </c>
      <c r="CS213" s="140">
        <v>0</v>
      </c>
      <c r="CT213" s="140">
        <v>1</v>
      </c>
      <c r="CU213" s="140">
        <v>5612020.5199999996</v>
      </c>
      <c r="CV213" s="99">
        <v>73259.77</v>
      </c>
      <c r="CW213" s="139" t="s">
        <v>606</v>
      </c>
      <c r="CX213" s="140">
        <v>17.8901</v>
      </c>
      <c r="CY213" s="140">
        <v>1535</v>
      </c>
      <c r="CZ213" s="140" t="s">
        <v>1118</v>
      </c>
      <c r="DA213" s="140" t="s">
        <v>1119</v>
      </c>
      <c r="DB213" s="140">
        <v>996</v>
      </c>
      <c r="DC213" s="140"/>
    </row>
    <row r="214" spans="2:107" ht="11.25" customHeight="1" x14ac:dyDescent="0.15">
      <c r="B214" s="139" t="s">
        <v>577</v>
      </c>
      <c r="C214" s="140" t="s">
        <v>1697</v>
      </c>
      <c r="D214" s="140">
        <v>3</v>
      </c>
      <c r="E214" s="139" t="s">
        <v>1701</v>
      </c>
      <c r="F214" s="139" t="s">
        <v>580</v>
      </c>
      <c r="G214" s="140" t="s">
        <v>1697</v>
      </c>
      <c r="H214" s="139" t="s">
        <v>1702</v>
      </c>
      <c r="I214" s="140" t="s">
        <v>421</v>
      </c>
      <c r="J214" s="139" t="s">
        <v>582</v>
      </c>
      <c r="K214" s="139" t="s">
        <v>583</v>
      </c>
      <c r="L214" s="139" t="s">
        <v>583</v>
      </c>
      <c r="M214" s="139" t="s">
        <v>583</v>
      </c>
      <c r="N214" s="139" t="s">
        <v>1169</v>
      </c>
      <c r="O214" s="139" t="s">
        <v>1170</v>
      </c>
      <c r="P214" s="139" t="s">
        <v>583</v>
      </c>
      <c r="Q214" s="139" t="s">
        <v>583</v>
      </c>
      <c r="R214" s="140">
        <v>1</v>
      </c>
      <c r="S214" s="140">
        <v>0</v>
      </c>
      <c r="T214" s="140">
        <v>1</v>
      </c>
      <c r="U214" s="140">
        <v>75</v>
      </c>
      <c r="V214" s="139" t="s">
        <v>907</v>
      </c>
      <c r="W214" s="139" t="s">
        <v>908</v>
      </c>
      <c r="X214" s="139" t="s">
        <v>909</v>
      </c>
      <c r="Y214" s="139" t="s">
        <v>910</v>
      </c>
      <c r="Z214" s="139" t="s">
        <v>644</v>
      </c>
      <c r="AA214" s="139" t="s">
        <v>911</v>
      </c>
      <c r="AB214" s="139" t="s">
        <v>907</v>
      </c>
      <c r="AC214" s="139" t="s">
        <v>908</v>
      </c>
      <c r="AD214" s="139" t="s">
        <v>909</v>
      </c>
      <c r="AE214" s="139" t="s">
        <v>910</v>
      </c>
      <c r="AF214" s="139" t="s">
        <v>644</v>
      </c>
      <c r="AG214" s="139" t="s">
        <v>911</v>
      </c>
      <c r="AH214" s="139" t="s">
        <v>592</v>
      </c>
      <c r="AI214" s="139" t="s">
        <v>429</v>
      </c>
      <c r="AJ214" s="140">
        <v>1811657.01</v>
      </c>
      <c r="AK214" s="139" t="s">
        <v>907</v>
      </c>
      <c r="AL214" s="139" t="s">
        <v>908</v>
      </c>
      <c r="AM214" s="139" t="s">
        <v>909</v>
      </c>
      <c r="AN214" s="139" t="s">
        <v>910</v>
      </c>
      <c r="AO214" s="139" t="s">
        <v>644</v>
      </c>
      <c r="AP214" s="139" t="s">
        <v>911</v>
      </c>
      <c r="AQ214" s="139" t="s">
        <v>592</v>
      </c>
      <c r="AR214" s="139" t="s">
        <v>429</v>
      </c>
      <c r="AS214" s="139" t="s">
        <v>429</v>
      </c>
      <c r="AT214" s="139" t="s">
        <v>593</v>
      </c>
      <c r="AU214" s="139" t="s">
        <v>437</v>
      </c>
      <c r="AV214" s="140">
        <v>2</v>
      </c>
      <c r="AW214" s="139" t="s">
        <v>594</v>
      </c>
      <c r="AX214" s="139" t="s">
        <v>595</v>
      </c>
      <c r="AY214" s="139" t="s">
        <v>722</v>
      </c>
      <c r="AZ214" s="140">
        <v>1</v>
      </c>
      <c r="BA214" s="139" t="s">
        <v>597</v>
      </c>
      <c r="BB214" s="140">
        <v>22050</v>
      </c>
      <c r="BC214" s="140">
        <v>1796270</v>
      </c>
      <c r="BD214" s="140">
        <v>23649.52</v>
      </c>
      <c r="BE214" s="140">
        <v>81.463499999999996</v>
      </c>
      <c r="BF214" s="139" t="s">
        <v>880</v>
      </c>
      <c r="BG214" s="139" t="s">
        <v>583</v>
      </c>
      <c r="BH214" s="139" t="s">
        <v>1171</v>
      </c>
      <c r="BI214" s="139" t="s">
        <v>598</v>
      </c>
      <c r="BJ214" s="139" t="s">
        <v>624</v>
      </c>
      <c r="BK214" s="139" t="s">
        <v>1703</v>
      </c>
      <c r="BL214" s="139" t="s">
        <v>583</v>
      </c>
      <c r="BM214" s="139" t="s">
        <v>915</v>
      </c>
      <c r="BN214" s="139" t="s">
        <v>916</v>
      </c>
      <c r="BO214" s="139" t="s">
        <v>917</v>
      </c>
      <c r="BP214" s="139" t="s">
        <v>918</v>
      </c>
      <c r="BQ214" s="139" t="s">
        <v>772</v>
      </c>
      <c r="BR214" s="140">
        <v>1</v>
      </c>
      <c r="BS214" s="139" t="s">
        <v>1247</v>
      </c>
      <c r="BT214" s="99">
        <f t="shared" si="13"/>
        <v>0</v>
      </c>
      <c r="BU214" s="99">
        <f t="shared" si="13"/>
        <v>1</v>
      </c>
      <c r="BV214" s="99">
        <f t="shared" si="12"/>
        <v>1</v>
      </c>
      <c r="BW214" s="139" t="s">
        <v>602</v>
      </c>
      <c r="BX214" s="139" t="s">
        <v>1169</v>
      </c>
      <c r="BY214" s="140">
        <v>75</v>
      </c>
      <c r="BZ214" s="140">
        <v>0</v>
      </c>
      <c r="CA214" s="99">
        <v>15000</v>
      </c>
      <c r="CB214" s="140" t="s">
        <v>603</v>
      </c>
      <c r="CC214" s="140">
        <v>0</v>
      </c>
      <c r="CD214" s="140"/>
      <c r="CE214" s="139" t="s">
        <v>577</v>
      </c>
      <c r="CF214" s="139" t="s">
        <v>604</v>
      </c>
      <c r="CG214" s="139" t="s">
        <v>583</v>
      </c>
      <c r="CH214" s="139" t="s">
        <v>583</v>
      </c>
      <c r="CI214" s="139" t="s">
        <v>592</v>
      </c>
      <c r="CJ214" s="140">
        <v>1725</v>
      </c>
      <c r="CK214" s="140" t="s">
        <v>605</v>
      </c>
      <c r="CL214" s="140">
        <v>4000000</v>
      </c>
      <c r="CM214" s="99">
        <v>1525</v>
      </c>
      <c r="CN214" s="140">
        <v>0</v>
      </c>
      <c r="CO214" s="139" t="s">
        <v>583</v>
      </c>
      <c r="CP214" s="139" t="s">
        <v>583</v>
      </c>
      <c r="CQ214" s="140">
        <v>22050</v>
      </c>
      <c r="CR214" s="140">
        <v>1796270</v>
      </c>
      <c r="CS214" s="140">
        <v>0</v>
      </c>
      <c r="CT214" s="140">
        <v>1</v>
      </c>
      <c r="CU214" s="140">
        <v>1811657.01</v>
      </c>
      <c r="CV214" s="99">
        <v>23649.52</v>
      </c>
      <c r="CW214" s="139" t="s">
        <v>606</v>
      </c>
      <c r="CX214" s="140">
        <v>15.507899999999999</v>
      </c>
      <c r="CY214" s="140"/>
      <c r="CZ214" s="140"/>
      <c r="DA214" s="140" t="s">
        <v>920</v>
      </c>
      <c r="DB214" s="140">
        <v>1426</v>
      </c>
      <c r="DC214" s="140"/>
    </row>
    <row r="215" spans="2:107" ht="11.25" customHeight="1" x14ac:dyDescent="0.15">
      <c r="B215" s="139" t="s">
        <v>577</v>
      </c>
      <c r="C215" s="140" t="s">
        <v>1697</v>
      </c>
      <c r="D215" s="140">
        <v>3</v>
      </c>
      <c r="E215" s="139" t="s">
        <v>1704</v>
      </c>
      <c r="F215" s="139" t="s">
        <v>580</v>
      </c>
      <c r="G215" s="140" t="s">
        <v>1697</v>
      </c>
      <c r="H215" s="139" t="s">
        <v>1705</v>
      </c>
      <c r="I215" s="140" t="s">
        <v>421</v>
      </c>
      <c r="J215" s="139" t="s">
        <v>582</v>
      </c>
      <c r="K215" s="139" t="s">
        <v>583</v>
      </c>
      <c r="L215" s="139" t="s">
        <v>583</v>
      </c>
      <c r="M215" s="139" t="s">
        <v>583</v>
      </c>
      <c r="N215" s="139" t="s">
        <v>1417</v>
      </c>
      <c r="O215" s="139" t="s">
        <v>1624</v>
      </c>
      <c r="P215" s="139" t="s">
        <v>583</v>
      </c>
      <c r="Q215" s="139" t="s">
        <v>583</v>
      </c>
      <c r="R215" s="140">
        <v>2</v>
      </c>
      <c r="S215" s="140">
        <v>0</v>
      </c>
      <c r="T215" s="140">
        <v>2</v>
      </c>
      <c r="U215" s="140">
        <v>20</v>
      </c>
      <c r="V215" s="139" t="s">
        <v>907</v>
      </c>
      <c r="W215" s="139" t="s">
        <v>908</v>
      </c>
      <c r="X215" s="139" t="s">
        <v>909</v>
      </c>
      <c r="Y215" s="139" t="s">
        <v>910</v>
      </c>
      <c r="Z215" s="139" t="s">
        <v>644</v>
      </c>
      <c r="AA215" s="139" t="s">
        <v>911</v>
      </c>
      <c r="AB215" s="139" t="s">
        <v>907</v>
      </c>
      <c r="AC215" s="139" t="s">
        <v>908</v>
      </c>
      <c r="AD215" s="139" t="s">
        <v>909</v>
      </c>
      <c r="AE215" s="139" t="s">
        <v>910</v>
      </c>
      <c r="AF215" s="139" t="s">
        <v>644</v>
      </c>
      <c r="AG215" s="139" t="s">
        <v>911</v>
      </c>
      <c r="AH215" s="139" t="s">
        <v>1074</v>
      </c>
      <c r="AI215" s="139" t="s">
        <v>435</v>
      </c>
      <c r="AJ215" s="140">
        <v>4687501.04</v>
      </c>
      <c r="AK215" s="139" t="s">
        <v>907</v>
      </c>
      <c r="AL215" s="139" t="s">
        <v>908</v>
      </c>
      <c r="AM215" s="139" t="s">
        <v>909</v>
      </c>
      <c r="AN215" s="139" t="s">
        <v>910</v>
      </c>
      <c r="AO215" s="139" t="s">
        <v>644</v>
      </c>
      <c r="AP215" s="139" t="s">
        <v>911</v>
      </c>
      <c r="AQ215" s="139" t="s">
        <v>1074</v>
      </c>
      <c r="AR215" s="139" t="s">
        <v>435</v>
      </c>
      <c r="AS215" s="139" t="s">
        <v>435</v>
      </c>
      <c r="AT215" s="139" t="s">
        <v>593</v>
      </c>
      <c r="AU215" s="139" t="s">
        <v>437</v>
      </c>
      <c r="AV215" s="140">
        <v>2</v>
      </c>
      <c r="AW215" s="139" t="s">
        <v>594</v>
      </c>
      <c r="AX215" s="139" t="s">
        <v>595</v>
      </c>
      <c r="AY215" s="139" t="s">
        <v>1625</v>
      </c>
      <c r="AZ215" s="140">
        <v>1</v>
      </c>
      <c r="BA215" s="139" t="s">
        <v>597</v>
      </c>
      <c r="BB215" s="140">
        <v>52530</v>
      </c>
      <c r="BC215" s="140">
        <v>4279278</v>
      </c>
      <c r="BD215" s="140">
        <v>61191.01</v>
      </c>
      <c r="BE215" s="140">
        <v>81.463499999999996</v>
      </c>
      <c r="BF215" s="139" t="s">
        <v>880</v>
      </c>
      <c r="BG215" s="139" t="s">
        <v>735</v>
      </c>
      <c r="BH215" s="139" t="s">
        <v>1626</v>
      </c>
      <c r="BI215" s="139" t="s">
        <v>598</v>
      </c>
      <c r="BJ215" s="139" t="s">
        <v>624</v>
      </c>
      <c r="BK215" s="139" t="s">
        <v>1703</v>
      </c>
      <c r="BL215" s="139" t="s">
        <v>583</v>
      </c>
      <c r="BM215" s="139" t="s">
        <v>915</v>
      </c>
      <c r="BN215" s="139" t="s">
        <v>916</v>
      </c>
      <c r="BO215" s="139" t="s">
        <v>917</v>
      </c>
      <c r="BP215" s="139" t="s">
        <v>918</v>
      </c>
      <c r="BQ215" s="139" t="s">
        <v>772</v>
      </c>
      <c r="BR215" s="140">
        <v>2</v>
      </c>
      <c r="BS215" s="139" t="s">
        <v>1706</v>
      </c>
      <c r="BT215" s="99">
        <f t="shared" si="13"/>
        <v>0</v>
      </c>
      <c r="BU215" s="99">
        <f t="shared" si="13"/>
        <v>1</v>
      </c>
      <c r="BV215" s="99">
        <f t="shared" si="12"/>
        <v>1</v>
      </c>
      <c r="BW215" s="139" t="s">
        <v>602</v>
      </c>
      <c r="BX215" s="139" t="s">
        <v>1417</v>
      </c>
      <c r="BY215" s="140">
        <v>1</v>
      </c>
      <c r="BZ215" s="140">
        <v>0</v>
      </c>
      <c r="CA215" s="99">
        <v>3200</v>
      </c>
      <c r="CB215" s="140" t="s">
        <v>603</v>
      </c>
      <c r="CC215" s="140">
        <v>0</v>
      </c>
      <c r="CD215" s="140"/>
      <c r="CE215" s="139" t="s">
        <v>1080</v>
      </c>
      <c r="CF215" s="139" t="s">
        <v>604</v>
      </c>
      <c r="CG215" s="139" t="s">
        <v>1664</v>
      </c>
      <c r="CH215" s="139" t="s">
        <v>583</v>
      </c>
      <c r="CI215" s="139" t="s">
        <v>1074</v>
      </c>
      <c r="CJ215" s="140">
        <v>330</v>
      </c>
      <c r="CK215" s="140" t="s">
        <v>605</v>
      </c>
      <c r="CL215" s="140">
        <v>4000000</v>
      </c>
      <c r="CM215" s="99">
        <v>304</v>
      </c>
      <c r="CN215" s="140">
        <v>0</v>
      </c>
      <c r="CO215" s="139" t="s">
        <v>583</v>
      </c>
      <c r="CP215" s="139" t="s">
        <v>583</v>
      </c>
      <c r="CQ215" s="140">
        <v>5280</v>
      </c>
      <c r="CR215" s="140">
        <v>430127</v>
      </c>
      <c r="CS215" s="140">
        <v>0</v>
      </c>
      <c r="CT215" s="140">
        <v>1</v>
      </c>
      <c r="CU215" s="140">
        <v>440913.05</v>
      </c>
      <c r="CV215" s="99">
        <v>5755.71</v>
      </c>
      <c r="CW215" s="139" t="s">
        <v>606</v>
      </c>
      <c r="CX215" s="140">
        <v>18.933299999999999</v>
      </c>
      <c r="CY215" s="140"/>
      <c r="CZ215" s="140"/>
      <c r="DA215" s="140" t="s">
        <v>920</v>
      </c>
      <c r="DB215" s="140">
        <v>1328</v>
      </c>
      <c r="DC215" s="140"/>
    </row>
    <row r="216" spans="2:107" ht="11.25" customHeight="1" x14ac:dyDescent="0.15">
      <c r="B216" s="139" t="s">
        <v>577</v>
      </c>
      <c r="C216" s="140" t="s">
        <v>1697</v>
      </c>
      <c r="D216" s="140">
        <v>3</v>
      </c>
      <c r="E216" s="139" t="s">
        <v>1707</v>
      </c>
      <c r="F216" s="139" t="s">
        <v>580</v>
      </c>
      <c r="G216" s="140" t="s">
        <v>1697</v>
      </c>
      <c r="H216" s="139" t="s">
        <v>1708</v>
      </c>
      <c r="I216" s="140" t="s">
        <v>421</v>
      </c>
      <c r="J216" s="139" t="s">
        <v>582</v>
      </c>
      <c r="K216" s="139" t="s">
        <v>583</v>
      </c>
      <c r="L216" s="139" t="s">
        <v>583</v>
      </c>
      <c r="M216" s="139" t="s">
        <v>583</v>
      </c>
      <c r="N216" s="139" t="s">
        <v>731</v>
      </c>
      <c r="O216" s="139" t="s">
        <v>1099</v>
      </c>
      <c r="P216" s="139" t="s">
        <v>583</v>
      </c>
      <c r="Q216" s="139" t="s">
        <v>583</v>
      </c>
      <c r="R216" s="140">
        <v>1</v>
      </c>
      <c r="S216" s="140">
        <v>0</v>
      </c>
      <c r="T216" s="140">
        <v>1</v>
      </c>
      <c r="U216" s="140">
        <v>578</v>
      </c>
      <c r="V216" s="139" t="s">
        <v>586</v>
      </c>
      <c r="W216" s="139" t="s">
        <v>587</v>
      </c>
      <c r="X216" s="139" t="s">
        <v>588</v>
      </c>
      <c r="Y216" s="139" t="s">
        <v>589</v>
      </c>
      <c r="Z216" s="139" t="s">
        <v>590</v>
      </c>
      <c r="AA216" s="139" t="s">
        <v>591</v>
      </c>
      <c r="AB216" s="139" t="s">
        <v>586</v>
      </c>
      <c r="AC216" s="139" t="s">
        <v>587</v>
      </c>
      <c r="AD216" s="139" t="s">
        <v>588</v>
      </c>
      <c r="AE216" s="139" t="s">
        <v>589</v>
      </c>
      <c r="AF216" s="139" t="s">
        <v>590</v>
      </c>
      <c r="AG216" s="139" t="s">
        <v>591</v>
      </c>
      <c r="AH216" s="139" t="s">
        <v>733</v>
      </c>
      <c r="AI216" s="139" t="s">
        <v>432</v>
      </c>
      <c r="AJ216" s="140">
        <v>17421784.109999999</v>
      </c>
      <c r="AK216" s="139" t="s">
        <v>586</v>
      </c>
      <c r="AL216" s="139" t="s">
        <v>587</v>
      </c>
      <c r="AM216" s="139" t="s">
        <v>588</v>
      </c>
      <c r="AN216" s="139" t="s">
        <v>589</v>
      </c>
      <c r="AO216" s="139" t="s">
        <v>590</v>
      </c>
      <c r="AP216" s="139" t="s">
        <v>591</v>
      </c>
      <c r="AQ216" s="139" t="s">
        <v>733</v>
      </c>
      <c r="AR216" s="139" t="s">
        <v>432</v>
      </c>
      <c r="AS216" s="139" t="s">
        <v>432</v>
      </c>
      <c r="AT216" s="139" t="s">
        <v>593</v>
      </c>
      <c r="AU216" s="139" t="s">
        <v>437</v>
      </c>
      <c r="AV216" s="140">
        <v>2</v>
      </c>
      <c r="AW216" s="139" t="s">
        <v>594</v>
      </c>
      <c r="AX216" s="139" t="s">
        <v>653</v>
      </c>
      <c r="AY216" s="139" t="s">
        <v>850</v>
      </c>
      <c r="AZ216" s="140">
        <v>1</v>
      </c>
      <c r="BA216" s="139" t="s">
        <v>597</v>
      </c>
      <c r="BB216" s="140">
        <v>213860</v>
      </c>
      <c r="BC216" s="140">
        <v>17421784</v>
      </c>
      <c r="BD216" s="140">
        <v>227425.37</v>
      </c>
      <c r="BE216" s="140">
        <v>81.463499999999996</v>
      </c>
      <c r="BF216" s="139" t="s">
        <v>880</v>
      </c>
      <c r="BG216" s="139" t="s">
        <v>583</v>
      </c>
      <c r="BH216" s="139" t="s">
        <v>987</v>
      </c>
      <c r="BI216" s="139" t="s">
        <v>598</v>
      </c>
      <c r="BJ216" s="139" t="s">
        <v>1100</v>
      </c>
      <c r="BK216" s="139" t="s">
        <v>1101</v>
      </c>
      <c r="BL216" s="139" t="s">
        <v>1101</v>
      </c>
      <c r="BM216" s="139" t="s">
        <v>583</v>
      </c>
      <c r="BN216" s="139" t="s">
        <v>1102</v>
      </c>
      <c r="BO216" s="139" t="s">
        <v>1103</v>
      </c>
      <c r="BP216" s="139" t="s">
        <v>1686</v>
      </c>
      <c r="BQ216" s="139" t="s">
        <v>600</v>
      </c>
      <c r="BR216" s="140">
        <v>1</v>
      </c>
      <c r="BS216" s="139" t="s">
        <v>1709</v>
      </c>
      <c r="BT216" s="99">
        <f t="shared" si="13"/>
        <v>0</v>
      </c>
      <c r="BU216" s="99">
        <f t="shared" si="13"/>
        <v>1</v>
      </c>
      <c r="BV216" s="99">
        <f t="shared" si="12"/>
        <v>1</v>
      </c>
      <c r="BW216" s="139" t="s">
        <v>602</v>
      </c>
      <c r="BX216" s="139" t="s">
        <v>731</v>
      </c>
      <c r="BY216" s="140">
        <v>578</v>
      </c>
      <c r="BZ216" s="140">
        <v>0</v>
      </c>
      <c r="CA216" s="99">
        <v>115600</v>
      </c>
      <c r="CB216" s="140" t="s">
        <v>603</v>
      </c>
      <c r="CC216" s="140">
        <v>0</v>
      </c>
      <c r="CD216" s="140"/>
      <c r="CE216" s="139" t="s">
        <v>577</v>
      </c>
      <c r="CF216" s="139" t="s">
        <v>604</v>
      </c>
      <c r="CG216" s="139" t="s">
        <v>583</v>
      </c>
      <c r="CH216" s="139" t="s">
        <v>583</v>
      </c>
      <c r="CI216" s="139" t="s">
        <v>733</v>
      </c>
      <c r="CJ216" s="140">
        <v>12716</v>
      </c>
      <c r="CK216" s="140" t="s">
        <v>605</v>
      </c>
      <c r="CL216" s="140">
        <v>4000000</v>
      </c>
      <c r="CM216" s="99">
        <v>11560</v>
      </c>
      <c r="CN216" s="140">
        <v>0</v>
      </c>
      <c r="CO216" s="139" t="s">
        <v>583</v>
      </c>
      <c r="CP216" s="139" t="s">
        <v>583</v>
      </c>
      <c r="CQ216" s="140">
        <v>213860</v>
      </c>
      <c r="CR216" s="140">
        <v>17421784</v>
      </c>
      <c r="CS216" s="140">
        <v>0</v>
      </c>
      <c r="CT216" s="140">
        <v>1</v>
      </c>
      <c r="CU216" s="140">
        <v>17421784.109999999</v>
      </c>
      <c r="CV216" s="99">
        <v>227425.37</v>
      </c>
      <c r="CW216" s="139" t="s">
        <v>606</v>
      </c>
      <c r="CX216" s="140">
        <v>19.673500000000001</v>
      </c>
      <c r="CY216" s="140"/>
      <c r="CZ216" s="140"/>
      <c r="DA216" s="140" t="s">
        <v>856</v>
      </c>
      <c r="DB216" s="140">
        <v>1359</v>
      </c>
      <c r="DC216" s="140"/>
    </row>
    <row r="217" spans="2:107" ht="11.25" customHeight="1" x14ac:dyDescent="0.15">
      <c r="B217" s="139" t="s">
        <v>577</v>
      </c>
      <c r="C217" s="140" t="s">
        <v>1710</v>
      </c>
      <c r="D217" s="140">
        <v>3</v>
      </c>
      <c r="E217" s="139" t="s">
        <v>1711</v>
      </c>
      <c r="F217" s="139" t="s">
        <v>718</v>
      </c>
      <c r="G217" s="140" t="s">
        <v>1710</v>
      </c>
      <c r="H217" s="139" t="s">
        <v>1712</v>
      </c>
      <c r="I217" s="140" t="s">
        <v>421</v>
      </c>
      <c r="J217" s="139" t="s">
        <v>582</v>
      </c>
      <c r="K217" s="139" t="s">
        <v>583</v>
      </c>
      <c r="L217" s="139" t="s">
        <v>583</v>
      </c>
      <c r="M217" s="139" t="s">
        <v>583</v>
      </c>
      <c r="N217" s="139" t="s">
        <v>1547</v>
      </c>
      <c r="O217" s="139" t="s">
        <v>1648</v>
      </c>
      <c r="P217" s="139" t="s">
        <v>583</v>
      </c>
      <c r="Q217" s="139" t="s">
        <v>583</v>
      </c>
      <c r="R217" s="140">
        <v>2</v>
      </c>
      <c r="S217" s="140">
        <v>0</v>
      </c>
      <c r="T217" s="140">
        <v>2</v>
      </c>
      <c r="U217" s="140">
        <v>26</v>
      </c>
      <c r="V217" s="139" t="s">
        <v>662</v>
      </c>
      <c r="W217" s="139" t="s">
        <v>663</v>
      </c>
      <c r="X217" s="139" t="s">
        <v>664</v>
      </c>
      <c r="Y217" s="139" t="s">
        <v>665</v>
      </c>
      <c r="Z217" s="139" t="s">
        <v>666</v>
      </c>
      <c r="AA217" s="139" t="s">
        <v>667</v>
      </c>
      <c r="AB217" s="139" t="s">
        <v>662</v>
      </c>
      <c r="AC217" s="139" t="s">
        <v>663</v>
      </c>
      <c r="AD217" s="139" t="s">
        <v>664</v>
      </c>
      <c r="AE217" s="139" t="s">
        <v>665</v>
      </c>
      <c r="AF217" s="139" t="s">
        <v>666</v>
      </c>
      <c r="AG217" s="139" t="s">
        <v>667</v>
      </c>
      <c r="AH217" s="139" t="s">
        <v>1549</v>
      </c>
      <c r="AI217" s="139" t="s">
        <v>436</v>
      </c>
      <c r="AJ217" s="140">
        <v>8763843.3300000001</v>
      </c>
      <c r="AK217" s="139" t="s">
        <v>662</v>
      </c>
      <c r="AL217" s="139" t="s">
        <v>663</v>
      </c>
      <c r="AM217" s="139" t="s">
        <v>664</v>
      </c>
      <c r="AN217" s="139" t="s">
        <v>665</v>
      </c>
      <c r="AO217" s="139" t="s">
        <v>666</v>
      </c>
      <c r="AP217" s="139" t="s">
        <v>667</v>
      </c>
      <c r="AQ217" s="139" t="s">
        <v>1549</v>
      </c>
      <c r="AR217" s="139" t="s">
        <v>436</v>
      </c>
      <c r="AS217" s="139" t="s">
        <v>436</v>
      </c>
      <c r="AT217" s="139" t="s">
        <v>593</v>
      </c>
      <c r="AU217" s="139" t="s">
        <v>437</v>
      </c>
      <c r="AV217" s="140">
        <v>2</v>
      </c>
      <c r="AW217" s="139" t="s">
        <v>594</v>
      </c>
      <c r="AX217" s="139" t="s">
        <v>583</v>
      </c>
      <c r="AY217" s="139" t="s">
        <v>1550</v>
      </c>
      <c r="AZ217" s="140">
        <v>1</v>
      </c>
      <c r="BA217" s="139" t="s">
        <v>597</v>
      </c>
      <c r="BB217" s="140">
        <v>101880</v>
      </c>
      <c r="BC217" s="140">
        <v>8299501</v>
      </c>
      <c r="BD217" s="140">
        <v>114403.91</v>
      </c>
      <c r="BE217" s="140">
        <v>81.463499999999996</v>
      </c>
      <c r="BF217" s="139" t="s">
        <v>880</v>
      </c>
      <c r="BG217" s="139" t="s">
        <v>583</v>
      </c>
      <c r="BH217" s="139" t="s">
        <v>1551</v>
      </c>
      <c r="BI217" s="139" t="s">
        <v>598</v>
      </c>
      <c r="BJ217" s="139" t="s">
        <v>599</v>
      </c>
      <c r="BK217" s="139" t="s">
        <v>583</v>
      </c>
      <c r="BL217" s="139" t="s">
        <v>583</v>
      </c>
      <c r="BM217" s="139" t="s">
        <v>583</v>
      </c>
      <c r="BN217" s="139" t="s">
        <v>842</v>
      </c>
      <c r="BO217" s="139" t="s">
        <v>843</v>
      </c>
      <c r="BP217" s="139" t="s">
        <v>830</v>
      </c>
      <c r="BQ217" s="139" t="s">
        <v>723</v>
      </c>
      <c r="BR217" s="140">
        <v>1</v>
      </c>
      <c r="BS217" s="139" t="s">
        <v>1552</v>
      </c>
      <c r="BT217" s="99">
        <f t="shared" si="13"/>
        <v>1</v>
      </c>
      <c r="BU217" s="99">
        <f t="shared" si="13"/>
        <v>0</v>
      </c>
      <c r="BV217" s="99">
        <f t="shared" si="12"/>
        <v>1</v>
      </c>
      <c r="BW217" s="139" t="s">
        <v>602</v>
      </c>
      <c r="BX217" s="139" t="s">
        <v>1553</v>
      </c>
      <c r="BY217" s="140">
        <v>6</v>
      </c>
      <c r="BZ217" s="140">
        <v>0</v>
      </c>
      <c r="CA217" s="99">
        <v>36000</v>
      </c>
      <c r="CB217" s="140" t="s">
        <v>603</v>
      </c>
      <c r="CC217" s="140">
        <v>0</v>
      </c>
      <c r="CD217" s="140"/>
      <c r="CE217" s="139" t="s">
        <v>577</v>
      </c>
      <c r="CF217" s="139" t="s">
        <v>604</v>
      </c>
      <c r="CG217" s="139" t="s">
        <v>583</v>
      </c>
      <c r="CH217" s="139" t="s">
        <v>583</v>
      </c>
      <c r="CI217" s="139" t="s">
        <v>1549</v>
      </c>
      <c r="CJ217" s="140">
        <v>3760</v>
      </c>
      <c r="CK217" s="140" t="s">
        <v>605</v>
      </c>
      <c r="CL217" s="140">
        <v>4000000</v>
      </c>
      <c r="CM217" s="99">
        <v>3420</v>
      </c>
      <c r="CN217" s="140">
        <v>0</v>
      </c>
      <c r="CO217" s="139" t="s">
        <v>583</v>
      </c>
      <c r="CP217" s="139" t="s">
        <v>583</v>
      </c>
      <c r="CQ217" s="140">
        <v>46800</v>
      </c>
      <c r="CR217" s="140">
        <v>3812492</v>
      </c>
      <c r="CS217" s="140">
        <v>0</v>
      </c>
      <c r="CT217" s="140">
        <v>1</v>
      </c>
      <c r="CU217" s="140">
        <v>3887481.4</v>
      </c>
      <c r="CV217" s="99">
        <v>50747.49</v>
      </c>
      <c r="CW217" s="139" t="s">
        <v>606</v>
      </c>
      <c r="CX217" s="140">
        <v>14.8384</v>
      </c>
      <c r="CY217" s="140"/>
      <c r="CZ217" s="140"/>
      <c r="DA217" s="140" t="s">
        <v>926</v>
      </c>
      <c r="DB217" s="140">
        <v>10</v>
      </c>
      <c r="DC217" s="140"/>
    </row>
    <row r="218" spans="2:107" ht="11.25" customHeight="1" x14ac:dyDescent="0.15">
      <c r="B218" s="139" t="s">
        <v>577</v>
      </c>
      <c r="C218" s="140" t="s">
        <v>1713</v>
      </c>
      <c r="D218" s="140">
        <v>3</v>
      </c>
      <c r="E218" s="139" t="s">
        <v>1714</v>
      </c>
      <c r="F218" s="139" t="s">
        <v>580</v>
      </c>
      <c r="G218" s="140" t="s">
        <v>1713</v>
      </c>
      <c r="H218" s="139" t="s">
        <v>1715</v>
      </c>
      <c r="I218" s="140" t="s">
        <v>421</v>
      </c>
      <c r="J218" s="139" t="s">
        <v>582</v>
      </c>
      <c r="K218" s="139" t="s">
        <v>583</v>
      </c>
      <c r="L218" s="139" t="s">
        <v>583</v>
      </c>
      <c r="M218" s="139" t="s">
        <v>583</v>
      </c>
      <c r="N218" s="139" t="s">
        <v>1138</v>
      </c>
      <c r="O218" s="139" t="s">
        <v>1139</v>
      </c>
      <c r="P218" s="139" t="s">
        <v>583</v>
      </c>
      <c r="Q218" s="139" t="s">
        <v>583</v>
      </c>
      <c r="R218" s="140">
        <v>1</v>
      </c>
      <c r="S218" s="140">
        <v>0</v>
      </c>
      <c r="T218" s="140">
        <v>1</v>
      </c>
      <c r="U218" s="140">
        <v>260</v>
      </c>
      <c r="V218" s="139" t="s">
        <v>586</v>
      </c>
      <c r="W218" s="139" t="s">
        <v>587</v>
      </c>
      <c r="X218" s="139" t="s">
        <v>588</v>
      </c>
      <c r="Y218" s="139" t="s">
        <v>589</v>
      </c>
      <c r="Z218" s="139" t="s">
        <v>590</v>
      </c>
      <c r="AA218" s="139" t="s">
        <v>591</v>
      </c>
      <c r="AB218" s="139" t="s">
        <v>586</v>
      </c>
      <c r="AC218" s="139" t="s">
        <v>587</v>
      </c>
      <c r="AD218" s="139" t="s">
        <v>588</v>
      </c>
      <c r="AE218" s="139" t="s">
        <v>589</v>
      </c>
      <c r="AF218" s="139" t="s">
        <v>590</v>
      </c>
      <c r="AG218" s="139" t="s">
        <v>591</v>
      </c>
      <c r="AH218" s="139" t="s">
        <v>733</v>
      </c>
      <c r="AI218" s="139" t="s">
        <v>432</v>
      </c>
      <c r="AJ218" s="140">
        <v>9493590.5999999996</v>
      </c>
      <c r="AK218" s="139" t="s">
        <v>586</v>
      </c>
      <c r="AL218" s="139" t="s">
        <v>587</v>
      </c>
      <c r="AM218" s="139" t="s">
        <v>588</v>
      </c>
      <c r="AN218" s="139" t="s">
        <v>589</v>
      </c>
      <c r="AO218" s="139" t="s">
        <v>590</v>
      </c>
      <c r="AP218" s="139" t="s">
        <v>591</v>
      </c>
      <c r="AQ218" s="139" t="s">
        <v>733</v>
      </c>
      <c r="AR218" s="139" t="s">
        <v>432</v>
      </c>
      <c r="AS218" s="139" t="s">
        <v>432</v>
      </c>
      <c r="AT218" s="139" t="s">
        <v>593</v>
      </c>
      <c r="AU218" s="139" t="s">
        <v>437</v>
      </c>
      <c r="AV218" s="140">
        <v>2</v>
      </c>
      <c r="AW218" s="139" t="s">
        <v>594</v>
      </c>
      <c r="AX218" s="139" t="s">
        <v>653</v>
      </c>
      <c r="AY218" s="139" t="s">
        <v>1140</v>
      </c>
      <c r="AZ218" s="140">
        <v>1</v>
      </c>
      <c r="BA218" s="139" t="s">
        <v>597</v>
      </c>
      <c r="BB218" s="140">
        <v>117000</v>
      </c>
      <c r="BC218" s="140">
        <v>9493591</v>
      </c>
      <c r="BD218" s="140">
        <v>124246.21</v>
      </c>
      <c r="BE218" s="140">
        <v>81.141800000000003</v>
      </c>
      <c r="BF218" s="139" t="s">
        <v>880</v>
      </c>
      <c r="BG218" s="139" t="s">
        <v>583</v>
      </c>
      <c r="BH218" s="139" t="s">
        <v>1141</v>
      </c>
      <c r="BI218" s="139" t="s">
        <v>598</v>
      </c>
      <c r="BJ218" s="139" t="s">
        <v>624</v>
      </c>
      <c r="BK218" s="139" t="s">
        <v>1142</v>
      </c>
      <c r="BL218" s="139" t="s">
        <v>583</v>
      </c>
      <c r="BM218" s="139" t="s">
        <v>915</v>
      </c>
      <c r="BN218" s="139" t="s">
        <v>1143</v>
      </c>
      <c r="BO218" s="139" t="s">
        <v>1144</v>
      </c>
      <c r="BP218" s="139" t="s">
        <v>1716</v>
      </c>
      <c r="BQ218" s="139" t="s">
        <v>611</v>
      </c>
      <c r="BR218" s="140">
        <v>1</v>
      </c>
      <c r="BS218" s="139" t="s">
        <v>1717</v>
      </c>
      <c r="BT218" s="99">
        <f t="shared" si="13"/>
        <v>0</v>
      </c>
      <c r="BU218" s="99">
        <f t="shared" si="13"/>
        <v>0</v>
      </c>
      <c r="BV218" s="99">
        <f t="shared" si="12"/>
        <v>0</v>
      </c>
      <c r="BW218" s="139" t="s">
        <v>602</v>
      </c>
      <c r="BX218" s="139" t="s">
        <v>1138</v>
      </c>
      <c r="BY218" s="140">
        <v>260</v>
      </c>
      <c r="BZ218" s="140">
        <v>0</v>
      </c>
      <c r="CA218" s="99">
        <v>52000</v>
      </c>
      <c r="CB218" s="140" t="s">
        <v>603</v>
      </c>
      <c r="CC218" s="140">
        <v>0</v>
      </c>
      <c r="CD218" s="140"/>
      <c r="CE218" s="139" t="s">
        <v>577</v>
      </c>
      <c r="CF218" s="139" t="s">
        <v>775</v>
      </c>
      <c r="CG218" s="139" t="s">
        <v>583</v>
      </c>
      <c r="CH218" s="139" t="s">
        <v>583</v>
      </c>
      <c r="CI218" s="139" t="s">
        <v>733</v>
      </c>
      <c r="CJ218" s="140">
        <v>5200</v>
      </c>
      <c r="CK218" s="140" t="s">
        <v>657</v>
      </c>
      <c r="CL218" s="140">
        <v>4000000</v>
      </c>
      <c r="CM218" s="99">
        <v>4680</v>
      </c>
      <c r="CN218" s="140">
        <v>0</v>
      </c>
      <c r="CO218" s="139" t="s">
        <v>583</v>
      </c>
      <c r="CP218" s="139" t="s">
        <v>583</v>
      </c>
      <c r="CQ218" s="140">
        <v>117000</v>
      </c>
      <c r="CR218" s="140">
        <v>9493591</v>
      </c>
      <c r="CS218" s="140">
        <v>0</v>
      </c>
      <c r="CT218" s="140">
        <v>1</v>
      </c>
      <c r="CU218" s="140">
        <v>9493590.5999999996</v>
      </c>
      <c r="CV218" s="99">
        <v>124246.21</v>
      </c>
      <c r="CW218" s="139" t="s">
        <v>606</v>
      </c>
      <c r="CX218" s="140">
        <v>26.548300000000001</v>
      </c>
      <c r="CY218" s="140"/>
      <c r="CZ218" s="140"/>
      <c r="DA218" s="140" t="s">
        <v>856</v>
      </c>
      <c r="DB218" s="140">
        <v>1601</v>
      </c>
      <c r="DC218" s="140"/>
    </row>
    <row r="219" spans="2:107" ht="11.25" customHeight="1" x14ac:dyDescent="0.15">
      <c r="B219" s="139" t="s">
        <v>577</v>
      </c>
      <c r="C219" s="140" t="s">
        <v>1718</v>
      </c>
      <c r="D219" s="140">
        <v>3</v>
      </c>
      <c r="E219" s="139" t="s">
        <v>1719</v>
      </c>
      <c r="F219" s="139" t="s">
        <v>580</v>
      </c>
      <c r="G219" s="140" t="s">
        <v>1718</v>
      </c>
      <c r="H219" s="139" t="s">
        <v>1720</v>
      </c>
      <c r="I219" s="140" t="s">
        <v>421</v>
      </c>
      <c r="J219" s="139" t="s">
        <v>582</v>
      </c>
      <c r="K219" s="139" t="s">
        <v>583</v>
      </c>
      <c r="L219" s="139" t="s">
        <v>583</v>
      </c>
      <c r="M219" s="139" t="s">
        <v>583</v>
      </c>
      <c r="N219" s="139" t="s">
        <v>731</v>
      </c>
      <c r="O219" s="139" t="s">
        <v>1099</v>
      </c>
      <c r="P219" s="139" t="s">
        <v>583</v>
      </c>
      <c r="Q219" s="139" t="s">
        <v>583</v>
      </c>
      <c r="R219" s="140">
        <v>1</v>
      </c>
      <c r="S219" s="140">
        <v>0</v>
      </c>
      <c r="T219" s="140">
        <v>1</v>
      </c>
      <c r="U219" s="140">
        <v>582</v>
      </c>
      <c r="V219" s="139" t="s">
        <v>586</v>
      </c>
      <c r="W219" s="139" t="s">
        <v>587</v>
      </c>
      <c r="X219" s="139" t="s">
        <v>588</v>
      </c>
      <c r="Y219" s="139" t="s">
        <v>589</v>
      </c>
      <c r="Z219" s="139" t="s">
        <v>590</v>
      </c>
      <c r="AA219" s="139" t="s">
        <v>591</v>
      </c>
      <c r="AB219" s="139" t="s">
        <v>586</v>
      </c>
      <c r="AC219" s="139" t="s">
        <v>587</v>
      </c>
      <c r="AD219" s="139" t="s">
        <v>588</v>
      </c>
      <c r="AE219" s="139" t="s">
        <v>589</v>
      </c>
      <c r="AF219" s="139" t="s">
        <v>590</v>
      </c>
      <c r="AG219" s="139" t="s">
        <v>591</v>
      </c>
      <c r="AH219" s="139" t="s">
        <v>733</v>
      </c>
      <c r="AI219" s="139" t="s">
        <v>432</v>
      </c>
      <c r="AJ219" s="140">
        <v>17358600.469999999</v>
      </c>
      <c r="AK219" s="139" t="s">
        <v>586</v>
      </c>
      <c r="AL219" s="139" t="s">
        <v>587</v>
      </c>
      <c r="AM219" s="139" t="s">
        <v>588</v>
      </c>
      <c r="AN219" s="139" t="s">
        <v>589</v>
      </c>
      <c r="AO219" s="139" t="s">
        <v>590</v>
      </c>
      <c r="AP219" s="139" t="s">
        <v>591</v>
      </c>
      <c r="AQ219" s="139" t="s">
        <v>733</v>
      </c>
      <c r="AR219" s="139" t="s">
        <v>432</v>
      </c>
      <c r="AS219" s="139" t="s">
        <v>432</v>
      </c>
      <c r="AT219" s="139" t="s">
        <v>593</v>
      </c>
      <c r="AU219" s="139" t="s">
        <v>437</v>
      </c>
      <c r="AV219" s="140">
        <v>2</v>
      </c>
      <c r="AW219" s="139" t="s">
        <v>594</v>
      </c>
      <c r="AX219" s="139" t="s">
        <v>653</v>
      </c>
      <c r="AY219" s="139" t="s">
        <v>850</v>
      </c>
      <c r="AZ219" s="140">
        <v>1</v>
      </c>
      <c r="BA219" s="139" t="s">
        <v>597</v>
      </c>
      <c r="BB219" s="140">
        <v>215340</v>
      </c>
      <c r="BC219" s="140">
        <v>17358600</v>
      </c>
      <c r="BD219" s="140">
        <v>230034.37</v>
      </c>
      <c r="BE219" s="140">
        <v>80.610200000000006</v>
      </c>
      <c r="BF219" s="139" t="s">
        <v>880</v>
      </c>
      <c r="BG219" s="139" t="s">
        <v>583</v>
      </c>
      <c r="BH219" s="139" t="s">
        <v>987</v>
      </c>
      <c r="BI219" s="139" t="s">
        <v>598</v>
      </c>
      <c r="BJ219" s="139" t="s">
        <v>1100</v>
      </c>
      <c r="BK219" s="139" t="s">
        <v>1101</v>
      </c>
      <c r="BL219" s="139" t="s">
        <v>1101</v>
      </c>
      <c r="BM219" s="139" t="s">
        <v>583</v>
      </c>
      <c r="BN219" s="139" t="s">
        <v>1102</v>
      </c>
      <c r="BO219" s="139" t="s">
        <v>1103</v>
      </c>
      <c r="BP219" s="139" t="s">
        <v>1686</v>
      </c>
      <c r="BQ219" s="139" t="s">
        <v>600</v>
      </c>
      <c r="BR219" s="140">
        <v>1</v>
      </c>
      <c r="BS219" s="139" t="s">
        <v>1721</v>
      </c>
      <c r="BT219" s="99">
        <f t="shared" si="13"/>
        <v>0</v>
      </c>
      <c r="BU219" s="99">
        <f t="shared" si="13"/>
        <v>1</v>
      </c>
      <c r="BV219" s="99">
        <f t="shared" si="12"/>
        <v>1</v>
      </c>
      <c r="BW219" s="139" t="s">
        <v>602</v>
      </c>
      <c r="BX219" s="139" t="s">
        <v>731</v>
      </c>
      <c r="BY219" s="140">
        <v>582</v>
      </c>
      <c r="BZ219" s="140">
        <v>0</v>
      </c>
      <c r="CA219" s="99">
        <v>116400</v>
      </c>
      <c r="CB219" s="140" t="s">
        <v>603</v>
      </c>
      <c r="CC219" s="140">
        <v>0</v>
      </c>
      <c r="CD219" s="140"/>
      <c r="CE219" s="139" t="s">
        <v>577</v>
      </c>
      <c r="CF219" s="139" t="s">
        <v>604</v>
      </c>
      <c r="CG219" s="139" t="s">
        <v>583</v>
      </c>
      <c r="CH219" s="139" t="s">
        <v>583</v>
      </c>
      <c r="CI219" s="139" t="s">
        <v>733</v>
      </c>
      <c r="CJ219" s="140">
        <v>12804</v>
      </c>
      <c r="CK219" s="140" t="s">
        <v>605</v>
      </c>
      <c r="CL219" s="140">
        <v>4000000</v>
      </c>
      <c r="CM219" s="99">
        <v>11640</v>
      </c>
      <c r="CN219" s="140">
        <v>0</v>
      </c>
      <c r="CO219" s="139" t="s">
        <v>583</v>
      </c>
      <c r="CP219" s="139" t="s">
        <v>583</v>
      </c>
      <c r="CQ219" s="140">
        <v>215340</v>
      </c>
      <c r="CR219" s="140">
        <v>17358600</v>
      </c>
      <c r="CS219" s="140">
        <v>0</v>
      </c>
      <c r="CT219" s="140">
        <v>1</v>
      </c>
      <c r="CU219" s="140">
        <v>17358600.469999999</v>
      </c>
      <c r="CV219" s="99">
        <v>230034.37</v>
      </c>
      <c r="CW219" s="139" t="s">
        <v>606</v>
      </c>
      <c r="CX219" s="140">
        <v>19.7624</v>
      </c>
      <c r="CY219" s="140"/>
      <c r="CZ219" s="140"/>
      <c r="DA219" s="140" t="s">
        <v>856</v>
      </c>
      <c r="DB219" s="140">
        <v>1101</v>
      </c>
      <c r="DC219" s="140"/>
    </row>
    <row r="220" spans="2:107" ht="11.25" customHeight="1" x14ac:dyDescent="0.15">
      <c r="B220" s="139" t="s">
        <v>577</v>
      </c>
      <c r="C220" s="140" t="s">
        <v>1718</v>
      </c>
      <c r="D220" s="140">
        <v>3</v>
      </c>
      <c r="E220" s="139" t="s">
        <v>1722</v>
      </c>
      <c r="F220" s="139" t="s">
        <v>580</v>
      </c>
      <c r="G220" s="140" t="s">
        <v>1718</v>
      </c>
      <c r="H220" s="139" t="s">
        <v>1723</v>
      </c>
      <c r="I220" s="140" t="s">
        <v>421</v>
      </c>
      <c r="J220" s="139" t="s">
        <v>582</v>
      </c>
      <c r="K220" s="139" t="s">
        <v>583</v>
      </c>
      <c r="L220" s="139" t="s">
        <v>583</v>
      </c>
      <c r="M220" s="139" t="s">
        <v>583</v>
      </c>
      <c r="N220" s="139" t="s">
        <v>1417</v>
      </c>
      <c r="O220" s="139" t="s">
        <v>1724</v>
      </c>
      <c r="P220" s="139" t="s">
        <v>583</v>
      </c>
      <c r="Q220" s="139" t="s">
        <v>583</v>
      </c>
      <c r="R220" s="140">
        <v>2</v>
      </c>
      <c r="S220" s="140">
        <v>0</v>
      </c>
      <c r="T220" s="140">
        <v>2</v>
      </c>
      <c r="U220" s="140">
        <v>28</v>
      </c>
      <c r="V220" s="139" t="s">
        <v>1069</v>
      </c>
      <c r="W220" s="139" t="s">
        <v>1070</v>
      </c>
      <c r="X220" s="139" t="s">
        <v>1071</v>
      </c>
      <c r="Y220" s="139" t="s">
        <v>1072</v>
      </c>
      <c r="Z220" s="139" t="s">
        <v>590</v>
      </c>
      <c r="AA220" s="139" t="s">
        <v>1073</v>
      </c>
      <c r="AB220" s="139" t="s">
        <v>1069</v>
      </c>
      <c r="AC220" s="139" t="s">
        <v>1070</v>
      </c>
      <c r="AD220" s="139" t="s">
        <v>1071</v>
      </c>
      <c r="AE220" s="139" t="s">
        <v>1072</v>
      </c>
      <c r="AF220" s="139" t="s">
        <v>590</v>
      </c>
      <c r="AG220" s="139" t="s">
        <v>1073</v>
      </c>
      <c r="AH220" s="139" t="s">
        <v>1074</v>
      </c>
      <c r="AI220" s="139" t="s">
        <v>435</v>
      </c>
      <c r="AJ220" s="140">
        <v>7074351.1500000004</v>
      </c>
      <c r="AK220" s="139" t="s">
        <v>1069</v>
      </c>
      <c r="AL220" s="139" t="s">
        <v>1070</v>
      </c>
      <c r="AM220" s="139" t="s">
        <v>1071</v>
      </c>
      <c r="AN220" s="139" t="s">
        <v>1072</v>
      </c>
      <c r="AO220" s="139" t="s">
        <v>590</v>
      </c>
      <c r="AP220" s="139" t="s">
        <v>1073</v>
      </c>
      <c r="AQ220" s="139" t="s">
        <v>1074</v>
      </c>
      <c r="AR220" s="139" t="s">
        <v>435</v>
      </c>
      <c r="AS220" s="139" t="s">
        <v>435</v>
      </c>
      <c r="AT220" s="139" t="s">
        <v>593</v>
      </c>
      <c r="AU220" s="139" t="s">
        <v>437</v>
      </c>
      <c r="AV220" s="140">
        <v>2</v>
      </c>
      <c r="AW220" s="139" t="s">
        <v>594</v>
      </c>
      <c r="AX220" s="139" t="s">
        <v>653</v>
      </c>
      <c r="AY220" s="139" t="s">
        <v>1075</v>
      </c>
      <c r="AZ220" s="140">
        <v>1</v>
      </c>
      <c r="BA220" s="139" t="s">
        <v>597</v>
      </c>
      <c r="BB220" s="140">
        <v>87760</v>
      </c>
      <c r="BC220" s="140">
        <v>7074351</v>
      </c>
      <c r="BD220" s="140">
        <v>93748.56</v>
      </c>
      <c r="BE220" s="140">
        <v>80.610200000000006</v>
      </c>
      <c r="BF220" s="139" t="s">
        <v>880</v>
      </c>
      <c r="BG220" s="139" t="s">
        <v>583</v>
      </c>
      <c r="BH220" s="139" t="s">
        <v>1076</v>
      </c>
      <c r="BI220" s="139" t="s">
        <v>598</v>
      </c>
      <c r="BJ220" s="139" t="s">
        <v>599</v>
      </c>
      <c r="BK220" s="139" t="s">
        <v>583</v>
      </c>
      <c r="BL220" s="139" t="s">
        <v>583</v>
      </c>
      <c r="BM220" s="139" t="s">
        <v>583</v>
      </c>
      <c r="BN220" s="139" t="s">
        <v>842</v>
      </c>
      <c r="BO220" s="139" t="s">
        <v>843</v>
      </c>
      <c r="BP220" s="139" t="s">
        <v>830</v>
      </c>
      <c r="BQ220" s="139" t="s">
        <v>723</v>
      </c>
      <c r="BR220" s="140">
        <v>2</v>
      </c>
      <c r="BS220" s="139" t="s">
        <v>1725</v>
      </c>
      <c r="BT220" s="99">
        <f t="shared" si="13"/>
        <v>1</v>
      </c>
      <c r="BU220" s="99">
        <f t="shared" si="13"/>
        <v>0</v>
      </c>
      <c r="BV220" s="99">
        <f t="shared" si="12"/>
        <v>1</v>
      </c>
      <c r="BW220" s="139" t="s">
        <v>1078</v>
      </c>
      <c r="BX220" s="139" t="s">
        <v>1257</v>
      </c>
      <c r="BY220" s="140">
        <v>2</v>
      </c>
      <c r="BZ220" s="140">
        <v>0</v>
      </c>
      <c r="CA220" s="99">
        <v>6000</v>
      </c>
      <c r="CB220" s="140" t="s">
        <v>603</v>
      </c>
      <c r="CC220" s="140">
        <v>0</v>
      </c>
      <c r="CD220" s="140"/>
      <c r="CE220" s="139" t="s">
        <v>1080</v>
      </c>
      <c r="CF220" s="139" t="s">
        <v>604</v>
      </c>
      <c r="CG220" s="139" t="s">
        <v>583</v>
      </c>
      <c r="CH220" s="139" t="s">
        <v>583</v>
      </c>
      <c r="CI220" s="139" t="s">
        <v>1074</v>
      </c>
      <c r="CJ220" s="140">
        <v>630</v>
      </c>
      <c r="CK220" s="140" t="s">
        <v>605</v>
      </c>
      <c r="CL220" s="140">
        <v>4000000</v>
      </c>
      <c r="CM220" s="99">
        <v>570</v>
      </c>
      <c r="CN220" s="140">
        <v>0</v>
      </c>
      <c r="CO220" s="139" t="s">
        <v>583</v>
      </c>
      <c r="CP220" s="139" t="s">
        <v>583</v>
      </c>
      <c r="CQ220" s="140">
        <v>12288.19</v>
      </c>
      <c r="CR220" s="140">
        <v>990553</v>
      </c>
      <c r="CS220" s="140">
        <v>0</v>
      </c>
      <c r="CT220" s="140">
        <v>1</v>
      </c>
      <c r="CU220" s="140">
        <v>990553.45</v>
      </c>
      <c r="CV220" s="99">
        <v>13126.71</v>
      </c>
      <c r="CW220" s="139" t="s">
        <v>606</v>
      </c>
      <c r="CX220" s="140">
        <v>23.029299999999999</v>
      </c>
      <c r="CY220" s="140">
        <v>1535</v>
      </c>
      <c r="CZ220" s="140" t="s">
        <v>1603</v>
      </c>
      <c r="DA220" s="140" t="s">
        <v>1119</v>
      </c>
      <c r="DB220" s="140">
        <v>1511</v>
      </c>
      <c r="DC220" s="140"/>
    </row>
    <row r="221" spans="2:107" ht="11.25" customHeight="1" x14ac:dyDescent="0.15">
      <c r="B221" s="139" t="s">
        <v>577</v>
      </c>
      <c r="C221" s="140" t="s">
        <v>1726</v>
      </c>
      <c r="D221" s="140">
        <v>3</v>
      </c>
      <c r="E221" s="139" t="s">
        <v>1727</v>
      </c>
      <c r="F221" s="139" t="s">
        <v>618</v>
      </c>
      <c r="G221" s="140" t="s">
        <v>1726</v>
      </c>
      <c r="H221" s="139" t="s">
        <v>1728</v>
      </c>
      <c r="I221" s="140" t="s">
        <v>421</v>
      </c>
      <c r="J221" s="139" t="s">
        <v>582</v>
      </c>
      <c r="K221" s="139" t="s">
        <v>583</v>
      </c>
      <c r="L221" s="139" t="s">
        <v>583</v>
      </c>
      <c r="M221" s="139" t="s">
        <v>583</v>
      </c>
      <c r="N221" s="139" t="s">
        <v>441</v>
      </c>
      <c r="O221" s="139" t="s">
        <v>630</v>
      </c>
      <c r="P221" s="139" t="s">
        <v>583</v>
      </c>
      <c r="Q221" s="139" t="s">
        <v>583</v>
      </c>
      <c r="R221" s="140">
        <v>1</v>
      </c>
      <c r="S221" s="140">
        <v>0</v>
      </c>
      <c r="T221" s="140">
        <v>1</v>
      </c>
      <c r="U221" s="140">
        <v>150</v>
      </c>
      <c r="V221" s="139" t="s">
        <v>679</v>
      </c>
      <c r="W221" s="139" t="s">
        <v>680</v>
      </c>
      <c r="X221" s="139" t="s">
        <v>681</v>
      </c>
      <c r="Y221" s="139" t="s">
        <v>682</v>
      </c>
      <c r="Z221" s="139" t="s">
        <v>683</v>
      </c>
      <c r="AA221" s="139" t="s">
        <v>684</v>
      </c>
      <c r="AB221" s="139" t="s">
        <v>679</v>
      </c>
      <c r="AC221" s="139" t="s">
        <v>680</v>
      </c>
      <c r="AD221" s="139" t="s">
        <v>681</v>
      </c>
      <c r="AE221" s="139" t="s">
        <v>682</v>
      </c>
      <c r="AF221" s="139" t="s">
        <v>683</v>
      </c>
      <c r="AG221" s="139" t="s">
        <v>684</v>
      </c>
      <c r="AH221" s="139" t="s">
        <v>621</v>
      </c>
      <c r="AI221" s="139" t="s">
        <v>430</v>
      </c>
      <c r="AJ221" s="140">
        <v>3618040.5</v>
      </c>
      <c r="AK221" s="139" t="s">
        <v>679</v>
      </c>
      <c r="AL221" s="139" t="s">
        <v>680</v>
      </c>
      <c r="AM221" s="139" t="s">
        <v>681</v>
      </c>
      <c r="AN221" s="139" t="s">
        <v>682</v>
      </c>
      <c r="AO221" s="139" t="s">
        <v>683</v>
      </c>
      <c r="AP221" s="139" t="s">
        <v>684</v>
      </c>
      <c r="AQ221" s="139" t="s">
        <v>621</v>
      </c>
      <c r="AR221" s="139" t="s">
        <v>430</v>
      </c>
      <c r="AS221" s="139" t="s">
        <v>430</v>
      </c>
      <c r="AT221" s="139" t="s">
        <v>593</v>
      </c>
      <c r="AU221" s="139" t="s">
        <v>437</v>
      </c>
      <c r="AV221" s="140">
        <v>0</v>
      </c>
      <c r="AW221" s="139" t="s">
        <v>594</v>
      </c>
      <c r="AX221" s="139" t="s">
        <v>622</v>
      </c>
      <c r="AY221" s="139" t="s">
        <v>623</v>
      </c>
      <c r="AZ221" s="140">
        <v>1</v>
      </c>
      <c r="BA221" s="139" t="s">
        <v>597</v>
      </c>
      <c r="BB221" s="140">
        <v>45000</v>
      </c>
      <c r="BC221" s="140">
        <v>3618041</v>
      </c>
      <c r="BD221" s="140">
        <v>47643.03</v>
      </c>
      <c r="BE221" s="140">
        <v>80.400899999999993</v>
      </c>
      <c r="BF221" s="139" t="s">
        <v>880</v>
      </c>
      <c r="BG221" s="139" t="s">
        <v>582</v>
      </c>
      <c r="BH221" s="139" t="s">
        <v>900</v>
      </c>
      <c r="BI221" s="139" t="s">
        <v>598</v>
      </c>
      <c r="BJ221" s="139" t="s">
        <v>624</v>
      </c>
      <c r="BK221" s="139" t="s">
        <v>882</v>
      </c>
      <c r="BL221" s="139" t="s">
        <v>583</v>
      </c>
      <c r="BM221" s="139" t="s">
        <v>883</v>
      </c>
      <c r="BN221" s="139" t="s">
        <v>583</v>
      </c>
      <c r="BO221" s="139" t="s">
        <v>623</v>
      </c>
      <c r="BP221" s="139" t="s">
        <v>1692</v>
      </c>
      <c r="BQ221" s="139" t="s">
        <v>625</v>
      </c>
      <c r="BR221" s="140">
        <v>1</v>
      </c>
      <c r="BS221" s="139" t="s">
        <v>685</v>
      </c>
      <c r="BT221" s="99">
        <f t="shared" si="13"/>
        <v>0</v>
      </c>
      <c r="BU221" s="99">
        <f t="shared" si="13"/>
        <v>1</v>
      </c>
      <c r="BV221" s="99">
        <f t="shared" si="12"/>
        <v>1</v>
      </c>
      <c r="BW221" s="139" t="s">
        <v>635</v>
      </c>
      <c r="BX221" s="139" t="s">
        <v>441</v>
      </c>
      <c r="BY221" s="140">
        <v>150</v>
      </c>
      <c r="BZ221" s="140">
        <v>0</v>
      </c>
      <c r="CA221" s="99">
        <v>30000</v>
      </c>
      <c r="CB221" s="140" t="s">
        <v>603</v>
      </c>
      <c r="CC221" s="140">
        <v>0</v>
      </c>
      <c r="CD221" s="140"/>
      <c r="CE221" s="139" t="s">
        <v>577</v>
      </c>
      <c r="CF221" s="139" t="s">
        <v>604</v>
      </c>
      <c r="CG221" s="139" t="s">
        <v>583</v>
      </c>
      <c r="CH221" s="139" t="s">
        <v>583</v>
      </c>
      <c r="CI221" s="139" t="s">
        <v>621</v>
      </c>
      <c r="CJ221" s="140">
        <v>3000</v>
      </c>
      <c r="CK221" s="140" t="s">
        <v>605</v>
      </c>
      <c r="CL221" s="140">
        <v>4000000</v>
      </c>
      <c r="CM221" s="99">
        <v>2700</v>
      </c>
      <c r="CN221" s="140">
        <v>0</v>
      </c>
      <c r="CO221" s="139" t="s">
        <v>583</v>
      </c>
      <c r="CP221" s="139" t="s">
        <v>583</v>
      </c>
      <c r="CQ221" s="140">
        <v>45000</v>
      </c>
      <c r="CR221" s="140">
        <v>3618041</v>
      </c>
      <c r="CS221" s="140">
        <v>0</v>
      </c>
      <c r="CT221" s="140">
        <v>1</v>
      </c>
      <c r="CU221" s="140">
        <v>3618040.5</v>
      </c>
      <c r="CV221" s="99">
        <v>47643.03</v>
      </c>
      <c r="CW221" s="139" t="s">
        <v>606</v>
      </c>
      <c r="CX221" s="140">
        <v>17.645600000000002</v>
      </c>
      <c r="CY221" s="140"/>
      <c r="CZ221" s="140"/>
      <c r="DA221" s="140" t="s">
        <v>902</v>
      </c>
      <c r="DB221" s="140">
        <v>1089</v>
      </c>
      <c r="DC221" s="140"/>
    </row>
    <row r="222" spans="2:107" ht="11.25" customHeight="1" x14ac:dyDescent="0.15">
      <c r="B222" s="139" t="s">
        <v>577</v>
      </c>
      <c r="C222" s="140" t="s">
        <v>1726</v>
      </c>
      <c r="D222" s="140">
        <v>3</v>
      </c>
      <c r="E222" s="139" t="s">
        <v>1729</v>
      </c>
      <c r="F222" s="139" t="s">
        <v>580</v>
      </c>
      <c r="G222" s="140" t="s">
        <v>1726</v>
      </c>
      <c r="H222" s="139" t="s">
        <v>1730</v>
      </c>
      <c r="I222" s="140" t="s">
        <v>421</v>
      </c>
      <c r="J222" s="139" t="s">
        <v>582</v>
      </c>
      <c r="K222" s="139" t="s">
        <v>583</v>
      </c>
      <c r="L222" s="139" t="s">
        <v>583</v>
      </c>
      <c r="M222" s="139" t="s">
        <v>583</v>
      </c>
      <c r="N222" s="139" t="s">
        <v>1532</v>
      </c>
      <c r="O222" s="139" t="s">
        <v>1644</v>
      </c>
      <c r="P222" s="139" t="s">
        <v>583</v>
      </c>
      <c r="Q222" s="139" t="s">
        <v>583</v>
      </c>
      <c r="R222" s="140">
        <v>1</v>
      </c>
      <c r="S222" s="140">
        <v>0</v>
      </c>
      <c r="T222" s="140">
        <v>1</v>
      </c>
      <c r="U222" s="140">
        <v>130</v>
      </c>
      <c r="V222" s="139" t="s">
        <v>640</v>
      </c>
      <c r="W222" s="139" t="s">
        <v>641</v>
      </c>
      <c r="X222" s="139" t="s">
        <v>642</v>
      </c>
      <c r="Y222" s="139" t="s">
        <v>643</v>
      </c>
      <c r="Z222" s="139" t="s">
        <v>644</v>
      </c>
      <c r="AA222" s="139" t="s">
        <v>645</v>
      </c>
      <c r="AB222" s="139" t="s">
        <v>640</v>
      </c>
      <c r="AC222" s="139" t="s">
        <v>641</v>
      </c>
      <c r="AD222" s="139" t="s">
        <v>642</v>
      </c>
      <c r="AE222" s="139" t="s">
        <v>643</v>
      </c>
      <c r="AF222" s="139" t="s">
        <v>644</v>
      </c>
      <c r="AG222" s="139" t="s">
        <v>645</v>
      </c>
      <c r="AH222" s="139" t="s">
        <v>1534</v>
      </c>
      <c r="AI222" s="139" t="s">
        <v>1535</v>
      </c>
      <c r="AJ222" s="140">
        <v>3958940.32</v>
      </c>
      <c r="AK222" s="139" t="s">
        <v>640</v>
      </c>
      <c r="AL222" s="139" t="s">
        <v>641</v>
      </c>
      <c r="AM222" s="139" t="s">
        <v>642</v>
      </c>
      <c r="AN222" s="139" t="s">
        <v>643</v>
      </c>
      <c r="AO222" s="139" t="s">
        <v>644</v>
      </c>
      <c r="AP222" s="139" t="s">
        <v>645</v>
      </c>
      <c r="AQ222" s="139" t="s">
        <v>759</v>
      </c>
      <c r="AR222" s="139" t="s">
        <v>434</v>
      </c>
      <c r="AS222" s="139" t="s">
        <v>434</v>
      </c>
      <c r="AT222" s="139" t="s">
        <v>593</v>
      </c>
      <c r="AU222" s="139" t="s">
        <v>437</v>
      </c>
      <c r="AV222" s="140">
        <v>2</v>
      </c>
      <c r="AW222" s="139" t="s">
        <v>594</v>
      </c>
      <c r="AX222" s="139" t="s">
        <v>595</v>
      </c>
      <c r="AY222" s="139" t="s">
        <v>1536</v>
      </c>
      <c r="AZ222" s="140">
        <v>1</v>
      </c>
      <c r="BA222" s="139" t="s">
        <v>597</v>
      </c>
      <c r="BB222" s="140">
        <v>49040</v>
      </c>
      <c r="BC222" s="140">
        <v>3942860</v>
      </c>
      <c r="BD222" s="140">
        <v>52132.07</v>
      </c>
      <c r="BE222" s="140">
        <v>80.400899999999993</v>
      </c>
      <c r="BF222" s="139" t="s">
        <v>880</v>
      </c>
      <c r="BG222" s="139" t="s">
        <v>583</v>
      </c>
      <c r="BH222" s="139" t="s">
        <v>1537</v>
      </c>
      <c r="BI222" s="139" t="s">
        <v>598</v>
      </c>
      <c r="BJ222" s="139" t="s">
        <v>599</v>
      </c>
      <c r="BK222" s="139" t="s">
        <v>583</v>
      </c>
      <c r="BL222" s="139" t="s">
        <v>583</v>
      </c>
      <c r="BM222" s="139" t="s">
        <v>939</v>
      </c>
      <c r="BN222" s="139" t="s">
        <v>916</v>
      </c>
      <c r="BO222" s="139" t="s">
        <v>917</v>
      </c>
      <c r="BP222" s="139" t="s">
        <v>918</v>
      </c>
      <c r="BQ222" s="139" t="s">
        <v>772</v>
      </c>
      <c r="BR222" s="140">
        <v>1</v>
      </c>
      <c r="BS222" s="139" t="s">
        <v>1731</v>
      </c>
      <c r="BT222" s="99">
        <f t="shared" si="13"/>
        <v>1</v>
      </c>
      <c r="BU222" s="99">
        <f t="shared" si="13"/>
        <v>1</v>
      </c>
      <c r="BV222" s="99">
        <f t="shared" si="12"/>
        <v>1</v>
      </c>
      <c r="BW222" s="139" t="s">
        <v>1539</v>
      </c>
      <c r="BX222" s="139" t="s">
        <v>1540</v>
      </c>
      <c r="BY222" s="140">
        <v>130</v>
      </c>
      <c r="BZ222" s="140">
        <v>0</v>
      </c>
      <c r="CA222" s="99">
        <v>26000</v>
      </c>
      <c r="CB222" s="140" t="s">
        <v>603</v>
      </c>
      <c r="CC222" s="140">
        <v>0</v>
      </c>
      <c r="CD222" s="140"/>
      <c r="CE222" s="139" t="s">
        <v>577</v>
      </c>
      <c r="CF222" s="139" t="s">
        <v>604</v>
      </c>
      <c r="CG222" s="139" t="s">
        <v>583</v>
      </c>
      <c r="CH222" s="139" t="s">
        <v>583</v>
      </c>
      <c r="CI222" s="139" t="s">
        <v>759</v>
      </c>
      <c r="CJ222" s="140">
        <v>2600</v>
      </c>
      <c r="CK222" s="140" t="s">
        <v>605</v>
      </c>
      <c r="CL222" s="140">
        <v>4000000</v>
      </c>
      <c r="CM222" s="99">
        <v>2470</v>
      </c>
      <c r="CN222" s="140">
        <v>0</v>
      </c>
      <c r="CO222" s="139" t="s">
        <v>583</v>
      </c>
      <c r="CP222" s="139" t="s">
        <v>583</v>
      </c>
      <c r="CQ222" s="140">
        <v>49040</v>
      </c>
      <c r="CR222" s="140">
        <v>3942860</v>
      </c>
      <c r="CS222" s="140">
        <v>0</v>
      </c>
      <c r="CT222" s="140">
        <v>1</v>
      </c>
      <c r="CU222" s="140">
        <v>3958940.32</v>
      </c>
      <c r="CV222" s="99">
        <v>52132.07</v>
      </c>
      <c r="CW222" s="139" t="s">
        <v>606</v>
      </c>
      <c r="CX222" s="140">
        <v>21.106100000000001</v>
      </c>
      <c r="CY222" s="140"/>
      <c r="CZ222" s="140"/>
      <c r="DA222" s="140" t="s">
        <v>941</v>
      </c>
      <c r="DB222" s="140">
        <v>1328</v>
      </c>
      <c r="DC222" s="140"/>
    </row>
    <row r="223" spans="2:107" ht="11.25" customHeight="1" x14ac:dyDescent="0.15">
      <c r="B223" s="139" t="s">
        <v>577</v>
      </c>
      <c r="C223" s="140" t="s">
        <v>1726</v>
      </c>
      <c r="D223" s="140">
        <v>3</v>
      </c>
      <c r="E223" s="139" t="s">
        <v>1732</v>
      </c>
      <c r="F223" s="139" t="s">
        <v>729</v>
      </c>
      <c r="G223" s="140" t="s">
        <v>1726</v>
      </c>
      <c r="H223" s="139" t="s">
        <v>1733</v>
      </c>
      <c r="I223" s="140" t="s">
        <v>421</v>
      </c>
      <c r="J223" s="139" t="s">
        <v>582</v>
      </c>
      <c r="K223" s="139" t="s">
        <v>583</v>
      </c>
      <c r="L223" s="139" t="s">
        <v>583</v>
      </c>
      <c r="M223" s="139" t="s">
        <v>583</v>
      </c>
      <c r="N223" s="139" t="s">
        <v>444</v>
      </c>
      <c r="O223" s="139" t="s">
        <v>1128</v>
      </c>
      <c r="P223" s="139" t="s">
        <v>583</v>
      </c>
      <c r="Q223" s="139" t="s">
        <v>583</v>
      </c>
      <c r="R223" s="140">
        <v>1</v>
      </c>
      <c r="S223" s="140">
        <v>0</v>
      </c>
      <c r="T223" s="140">
        <v>1</v>
      </c>
      <c r="U223" s="140">
        <v>13</v>
      </c>
      <c r="V223" s="139" t="s">
        <v>709</v>
      </c>
      <c r="W223" s="139" t="s">
        <v>710</v>
      </c>
      <c r="X223" s="139" t="s">
        <v>711</v>
      </c>
      <c r="Y223" s="139" t="s">
        <v>789</v>
      </c>
      <c r="Z223" s="139" t="s">
        <v>713</v>
      </c>
      <c r="AA223" s="139" t="s">
        <v>714</v>
      </c>
      <c r="AB223" s="139" t="s">
        <v>709</v>
      </c>
      <c r="AC223" s="139" t="s">
        <v>710</v>
      </c>
      <c r="AD223" s="139" t="s">
        <v>711</v>
      </c>
      <c r="AE223" s="139" t="s">
        <v>789</v>
      </c>
      <c r="AF223" s="139" t="s">
        <v>713</v>
      </c>
      <c r="AG223" s="139" t="s">
        <v>714</v>
      </c>
      <c r="AH223" s="139" t="s">
        <v>751</v>
      </c>
      <c r="AI223" s="139" t="s">
        <v>433</v>
      </c>
      <c r="AJ223" s="140">
        <v>7436279.2400000002</v>
      </c>
      <c r="AK223" s="139" t="s">
        <v>709</v>
      </c>
      <c r="AL223" s="139" t="s">
        <v>710</v>
      </c>
      <c r="AM223" s="139" t="s">
        <v>711</v>
      </c>
      <c r="AN223" s="139" t="s">
        <v>789</v>
      </c>
      <c r="AO223" s="139" t="s">
        <v>713</v>
      </c>
      <c r="AP223" s="139" t="s">
        <v>714</v>
      </c>
      <c r="AQ223" s="139" t="s">
        <v>751</v>
      </c>
      <c r="AR223" s="139" t="s">
        <v>433</v>
      </c>
      <c r="AS223" s="139" t="s">
        <v>433</v>
      </c>
      <c r="AT223" s="139" t="s">
        <v>593</v>
      </c>
      <c r="AU223" s="139" t="s">
        <v>437</v>
      </c>
      <c r="AV223" s="140">
        <v>2</v>
      </c>
      <c r="AW223" s="139" t="s">
        <v>594</v>
      </c>
      <c r="AX223" s="139" t="s">
        <v>653</v>
      </c>
      <c r="AY223" s="139" t="s">
        <v>790</v>
      </c>
      <c r="AZ223" s="140">
        <v>1</v>
      </c>
      <c r="BA223" s="139" t="s">
        <v>597</v>
      </c>
      <c r="BB223" s="140">
        <v>92490</v>
      </c>
      <c r="BC223" s="140">
        <v>7436279</v>
      </c>
      <c r="BD223" s="140">
        <v>97922.31</v>
      </c>
      <c r="BE223" s="140">
        <v>80.400899999999993</v>
      </c>
      <c r="BF223" s="139" t="s">
        <v>880</v>
      </c>
      <c r="BG223" s="139" t="s">
        <v>583</v>
      </c>
      <c r="BH223" s="139" t="s">
        <v>1059</v>
      </c>
      <c r="BI223" s="139" t="s">
        <v>598</v>
      </c>
      <c r="BJ223" s="139" t="s">
        <v>599</v>
      </c>
      <c r="BK223" s="139" t="s">
        <v>583</v>
      </c>
      <c r="BL223" s="139" t="s">
        <v>1060</v>
      </c>
      <c r="BM223" s="139" t="s">
        <v>583</v>
      </c>
      <c r="BN223" s="139" t="s">
        <v>842</v>
      </c>
      <c r="BO223" s="139" t="s">
        <v>843</v>
      </c>
      <c r="BP223" s="139" t="s">
        <v>830</v>
      </c>
      <c r="BQ223" s="139" t="s">
        <v>723</v>
      </c>
      <c r="BR223" s="140">
        <v>1</v>
      </c>
      <c r="BS223" s="139" t="s">
        <v>1734</v>
      </c>
      <c r="BT223" s="99">
        <f t="shared" si="13"/>
        <v>0</v>
      </c>
      <c r="BU223" s="99">
        <f t="shared" si="13"/>
        <v>0</v>
      </c>
      <c r="BV223" s="99">
        <f t="shared" si="12"/>
        <v>0</v>
      </c>
      <c r="BW223" s="139" t="s">
        <v>602</v>
      </c>
      <c r="BX223" s="139" t="s">
        <v>443</v>
      </c>
      <c r="BY223" s="140">
        <v>13</v>
      </c>
      <c r="BZ223" s="140">
        <v>0</v>
      </c>
      <c r="CA223" s="99">
        <v>61000</v>
      </c>
      <c r="CB223" s="140" t="s">
        <v>603</v>
      </c>
      <c r="CC223" s="140">
        <v>0</v>
      </c>
      <c r="CD223" s="140"/>
      <c r="CE223" s="139" t="s">
        <v>577</v>
      </c>
      <c r="CF223" s="139" t="s">
        <v>604</v>
      </c>
      <c r="CG223" s="139" t="s">
        <v>583</v>
      </c>
      <c r="CH223" s="139" t="s">
        <v>583</v>
      </c>
      <c r="CI223" s="139" t="s">
        <v>751</v>
      </c>
      <c r="CJ223" s="140">
        <v>6405</v>
      </c>
      <c r="CK223" s="140" t="s">
        <v>605</v>
      </c>
      <c r="CL223" s="140">
        <v>4000000</v>
      </c>
      <c r="CM223" s="99">
        <v>6100</v>
      </c>
      <c r="CN223" s="140">
        <v>0</v>
      </c>
      <c r="CO223" s="139" t="s">
        <v>583</v>
      </c>
      <c r="CP223" s="139" t="s">
        <v>583</v>
      </c>
      <c r="CQ223" s="140">
        <v>92490</v>
      </c>
      <c r="CR223" s="140">
        <v>7436279</v>
      </c>
      <c r="CS223" s="140">
        <v>0</v>
      </c>
      <c r="CT223" s="140">
        <v>1</v>
      </c>
      <c r="CU223" s="140">
        <v>7436279.2400000002</v>
      </c>
      <c r="CV223" s="99">
        <v>97922.31</v>
      </c>
      <c r="CW223" s="139" t="s">
        <v>606</v>
      </c>
      <c r="CX223" s="140">
        <v>16.052800000000001</v>
      </c>
      <c r="CY223" s="140">
        <v>35</v>
      </c>
      <c r="CZ223" s="140" t="s">
        <v>1062</v>
      </c>
      <c r="DA223" s="140" t="s">
        <v>1063</v>
      </c>
      <c r="DB223" s="140">
        <v>127</v>
      </c>
      <c r="DC223" s="140"/>
    </row>
    <row r="224" spans="2:107" ht="11.25" customHeight="1" x14ac:dyDescent="0.15">
      <c r="B224" s="139" t="s">
        <v>577</v>
      </c>
      <c r="C224" s="140" t="s">
        <v>1726</v>
      </c>
      <c r="D224" s="140">
        <v>3</v>
      </c>
      <c r="E224" s="139" t="s">
        <v>1735</v>
      </c>
      <c r="F224" s="139" t="s">
        <v>580</v>
      </c>
      <c r="G224" s="140" t="s">
        <v>1726</v>
      </c>
      <c r="H224" s="139" t="s">
        <v>1736</v>
      </c>
      <c r="I224" s="140" t="s">
        <v>421</v>
      </c>
      <c r="J224" s="139" t="s">
        <v>582</v>
      </c>
      <c r="K224" s="139" t="s">
        <v>583</v>
      </c>
      <c r="L224" s="139" t="s">
        <v>583</v>
      </c>
      <c r="M224" s="139" t="s">
        <v>583</v>
      </c>
      <c r="N224" s="139" t="s">
        <v>1529</v>
      </c>
      <c r="O224" s="139" t="s">
        <v>758</v>
      </c>
      <c r="P224" s="139" t="s">
        <v>583</v>
      </c>
      <c r="Q224" s="139" t="s">
        <v>583</v>
      </c>
      <c r="R224" s="140">
        <v>1</v>
      </c>
      <c r="S224" s="140">
        <v>0</v>
      </c>
      <c r="T224" s="140">
        <v>1</v>
      </c>
      <c r="U224" s="140">
        <v>6</v>
      </c>
      <c r="V224" s="139" t="s">
        <v>859</v>
      </c>
      <c r="W224" s="139" t="s">
        <v>860</v>
      </c>
      <c r="X224" s="139" t="s">
        <v>861</v>
      </c>
      <c r="Y224" s="139" t="s">
        <v>862</v>
      </c>
      <c r="Z224" s="139" t="s">
        <v>590</v>
      </c>
      <c r="AA224" s="139" t="s">
        <v>839</v>
      </c>
      <c r="AB224" s="139" t="s">
        <v>859</v>
      </c>
      <c r="AC224" s="139" t="s">
        <v>860</v>
      </c>
      <c r="AD224" s="139" t="s">
        <v>861</v>
      </c>
      <c r="AE224" s="139" t="s">
        <v>862</v>
      </c>
      <c r="AF224" s="139" t="s">
        <v>590</v>
      </c>
      <c r="AG224" s="139" t="s">
        <v>839</v>
      </c>
      <c r="AH224" s="139" t="s">
        <v>759</v>
      </c>
      <c r="AI224" s="139" t="s">
        <v>434</v>
      </c>
      <c r="AJ224" s="140">
        <v>4944655.3499999996</v>
      </c>
      <c r="AK224" s="139" t="s">
        <v>859</v>
      </c>
      <c r="AL224" s="139" t="s">
        <v>860</v>
      </c>
      <c r="AM224" s="139" t="s">
        <v>861</v>
      </c>
      <c r="AN224" s="139" t="s">
        <v>862</v>
      </c>
      <c r="AO224" s="139" t="s">
        <v>590</v>
      </c>
      <c r="AP224" s="139" t="s">
        <v>839</v>
      </c>
      <c r="AQ224" s="139" t="s">
        <v>759</v>
      </c>
      <c r="AR224" s="139" t="s">
        <v>434</v>
      </c>
      <c r="AS224" s="139" t="s">
        <v>434</v>
      </c>
      <c r="AT224" s="139" t="s">
        <v>593</v>
      </c>
      <c r="AU224" s="139" t="s">
        <v>437</v>
      </c>
      <c r="AV224" s="140">
        <v>2</v>
      </c>
      <c r="AW224" s="139" t="s">
        <v>594</v>
      </c>
      <c r="AX224" s="139" t="s">
        <v>595</v>
      </c>
      <c r="AY224" s="139" t="s">
        <v>840</v>
      </c>
      <c r="AZ224" s="140">
        <v>1</v>
      </c>
      <c r="BA224" s="139" t="s">
        <v>597</v>
      </c>
      <c r="BB224" s="140">
        <v>57600</v>
      </c>
      <c r="BC224" s="140">
        <v>4631092</v>
      </c>
      <c r="BD224" s="140">
        <v>65112.14</v>
      </c>
      <c r="BE224" s="140">
        <v>80.400899999999993</v>
      </c>
      <c r="BF224" s="139" t="s">
        <v>880</v>
      </c>
      <c r="BG224" s="139" t="s">
        <v>863</v>
      </c>
      <c r="BH224" s="139" t="s">
        <v>1122</v>
      </c>
      <c r="BI224" s="139" t="s">
        <v>598</v>
      </c>
      <c r="BJ224" s="139" t="s">
        <v>599</v>
      </c>
      <c r="BK224" s="139" t="s">
        <v>583</v>
      </c>
      <c r="BL224" s="139" t="s">
        <v>583</v>
      </c>
      <c r="BM224" s="139" t="s">
        <v>583</v>
      </c>
      <c r="BN224" s="139" t="s">
        <v>842</v>
      </c>
      <c r="BO224" s="139" t="s">
        <v>843</v>
      </c>
      <c r="BP224" s="139" t="s">
        <v>830</v>
      </c>
      <c r="BQ224" s="139" t="s">
        <v>723</v>
      </c>
      <c r="BR224" s="140">
        <v>1</v>
      </c>
      <c r="BS224" s="139" t="s">
        <v>1699</v>
      </c>
      <c r="BT224" s="99">
        <f t="shared" si="13"/>
        <v>1</v>
      </c>
      <c r="BU224" s="99">
        <f t="shared" si="13"/>
        <v>0</v>
      </c>
      <c r="BV224" s="99">
        <f t="shared" si="12"/>
        <v>1</v>
      </c>
      <c r="BW224" s="139" t="s">
        <v>602</v>
      </c>
      <c r="BX224" s="139" t="s">
        <v>1700</v>
      </c>
      <c r="BY224" s="140">
        <v>6</v>
      </c>
      <c r="BZ224" s="140">
        <v>0</v>
      </c>
      <c r="CA224" s="99">
        <v>36000</v>
      </c>
      <c r="CB224" s="140" t="s">
        <v>603</v>
      </c>
      <c r="CC224" s="140">
        <v>0</v>
      </c>
      <c r="CD224" s="140"/>
      <c r="CE224" s="139" t="s">
        <v>577</v>
      </c>
      <c r="CF224" s="139" t="s">
        <v>604</v>
      </c>
      <c r="CG224" s="139" t="s">
        <v>583</v>
      </c>
      <c r="CH224" s="139" t="s">
        <v>583</v>
      </c>
      <c r="CI224" s="139" t="s">
        <v>759</v>
      </c>
      <c r="CJ224" s="140">
        <v>3780</v>
      </c>
      <c r="CK224" s="140" t="s">
        <v>605</v>
      </c>
      <c r="CL224" s="140">
        <v>4000000</v>
      </c>
      <c r="CM224" s="99">
        <v>3510</v>
      </c>
      <c r="CN224" s="140">
        <v>0</v>
      </c>
      <c r="CO224" s="139" t="s">
        <v>583</v>
      </c>
      <c r="CP224" s="139" t="s">
        <v>583</v>
      </c>
      <c r="CQ224" s="140">
        <v>57600</v>
      </c>
      <c r="CR224" s="140">
        <v>4631092</v>
      </c>
      <c r="CS224" s="140">
        <v>0</v>
      </c>
      <c r="CT224" s="140">
        <v>1</v>
      </c>
      <c r="CU224" s="140">
        <v>4944655.3499999996</v>
      </c>
      <c r="CV224" s="99">
        <v>65112.14</v>
      </c>
      <c r="CW224" s="139" t="s">
        <v>606</v>
      </c>
      <c r="CX224" s="140">
        <v>18.5505</v>
      </c>
      <c r="CY224" s="140">
        <v>1535</v>
      </c>
      <c r="CZ224" s="140" t="s">
        <v>1118</v>
      </c>
      <c r="DA224" s="140" t="s">
        <v>1119</v>
      </c>
      <c r="DB224" s="140">
        <v>1579</v>
      </c>
      <c r="DC224" s="140"/>
    </row>
    <row r="225" spans="2:107" ht="11.25" customHeight="1" x14ac:dyDescent="0.15">
      <c r="B225" s="139" t="s">
        <v>577</v>
      </c>
      <c r="C225" s="140" t="s">
        <v>1737</v>
      </c>
      <c r="D225" s="140">
        <v>3</v>
      </c>
      <c r="E225" s="139" t="s">
        <v>1738</v>
      </c>
      <c r="F225" s="139" t="s">
        <v>580</v>
      </c>
      <c r="G225" s="140" t="s">
        <v>1737</v>
      </c>
      <c r="H225" s="139" t="s">
        <v>1739</v>
      </c>
      <c r="I225" s="140" t="s">
        <v>421</v>
      </c>
      <c r="J225" s="139" t="s">
        <v>582</v>
      </c>
      <c r="K225" s="139" t="s">
        <v>583</v>
      </c>
      <c r="L225" s="139" t="s">
        <v>583</v>
      </c>
      <c r="M225" s="139" t="s">
        <v>583</v>
      </c>
      <c r="N225" s="139" t="s">
        <v>1417</v>
      </c>
      <c r="O225" s="139" t="s">
        <v>1624</v>
      </c>
      <c r="P225" s="139" t="s">
        <v>583</v>
      </c>
      <c r="Q225" s="139" t="s">
        <v>583</v>
      </c>
      <c r="R225" s="140">
        <v>2</v>
      </c>
      <c r="S225" s="140">
        <v>0</v>
      </c>
      <c r="T225" s="140">
        <v>2</v>
      </c>
      <c r="U225" s="140">
        <v>26</v>
      </c>
      <c r="V225" s="139" t="s">
        <v>907</v>
      </c>
      <c r="W225" s="139" t="s">
        <v>908</v>
      </c>
      <c r="X225" s="139" t="s">
        <v>909</v>
      </c>
      <c r="Y225" s="139" t="s">
        <v>910</v>
      </c>
      <c r="Z225" s="139" t="s">
        <v>644</v>
      </c>
      <c r="AA225" s="139" t="s">
        <v>911</v>
      </c>
      <c r="AB225" s="139" t="s">
        <v>907</v>
      </c>
      <c r="AC225" s="139" t="s">
        <v>908</v>
      </c>
      <c r="AD225" s="139" t="s">
        <v>909</v>
      </c>
      <c r="AE225" s="139" t="s">
        <v>910</v>
      </c>
      <c r="AF225" s="139" t="s">
        <v>644</v>
      </c>
      <c r="AG225" s="139" t="s">
        <v>911</v>
      </c>
      <c r="AH225" s="139" t="s">
        <v>1074</v>
      </c>
      <c r="AI225" s="139" t="s">
        <v>435</v>
      </c>
      <c r="AJ225" s="140">
        <v>6358167.5</v>
      </c>
      <c r="AK225" s="139" t="s">
        <v>907</v>
      </c>
      <c r="AL225" s="139" t="s">
        <v>908</v>
      </c>
      <c r="AM225" s="139" t="s">
        <v>909</v>
      </c>
      <c r="AN225" s="139" t="s">
        <v>910</v>
      </c>
      <c r="AO225" s="139" t="s">
        <v>644</v>
      </c>
      <c r="AP225" s="139" t="s">
        <v>911</v>
      </c>
      <c r="AQ225" s="139" t="s">
        <v>1074</v>
      </c>
      <c r="AR225" s="139" t="s">
        <v>435</v>
      </c>
      <c r="AS225" s="139" t="s">
        <v>435</v>
      </c>
      <c r="AT225" s="139" t="s">
        <v>593</v>
      </c>
      <c r="AU225" s="139" t="s">
        <v>437</v>
      </c>
      <c r="AV225" s="140">
        <v>2</v>
      </c>
      <c r="AW225" s="139" t="s">
        <v>594</v>
      </c>
      <c r="AX225" s="139" t="s">
        <v>595</v>
      </c>
      <c r="AY225" s="139" t="s">
        <v>1625</v>
      </c>
      <c r="AZ225" s="140">
        <v>1</v>
      </c>
      <c r="BA225" s="139" t="s">
        <v>597</v>
      </c>
      <c r="BB225" s="140">
        <v>73180.800000000003</v>
      </c>
      <c r="BC225" s="140">
        <v>5883802</v>
      </c>
      <c r="BD225" s="140">
        <v>83725.539999999994</v>
      </c>
      <c r="BE225" s="140">
        <v>80.400899999999993</v>
      </c>
      <c r="BF225" s="139" t="s">
        <v>880</v>
      </c>
      <c r="BG225" s="139" t="s">
        <v>735</v>
      </c>
      <c r="BH225" s="139" t="s">
        <v>1626</v>
      </c>
      <c r="BI225" s="139" t="s">
        <v>598</v>
      </c>
      <c r="BJ225" s="139" t="s">
        <v>624</v>
      </c>
      <c r="BK225" s="139" t="s">
        <v>1703</v>
      </c>
      <c r="BL225" s="139" t="s">
        <v>583</v>
      </c>
      <c r="BM225" s="139" t="s">
        <v>915</v>
      </c>
      <c r="BN225" s="139" t="s">
        <v>916</v>
      </c>
      <c r="BO225" s="139" t="s">
        <v>917</v>
      </c>
      <c r="BP225" s="139" t="s">
        <v>918</v>
      </c>
      <c r="BQ225" s="139" t="s">
        <v>772</v>
      </c>
      <c r="BR225" s="140">
        <v>2</v>
      </c>
      <c r="BS225" s="139" t="s">
        <v>1740</v>
      </c>
      <c r="BT225" s="99">
        <f t="shared" si="13"/>
        <v>0</v>
      </c>
      <c r="BU225" s="99">
        <f t="shared" si="13"/>
        <v>1</v>
      </c>
      <c r="BV225" s="99">
        <f t="shared" si="12"/>
        <v>1</v>
      </c>
      <c r="BW225" s="139" t="s">
        <v>602</v>
      </c>
      <c r="BX225" s="139" t="s">
        <v>1417</v>
      </c>
      <c r="BY225" s="140">
        <v>2</v>
      </c>
      <c r="BZ225" s="140">
        <v>0</v>
      </c>
      <c r="CA225" s="99">
        <v>9000</v>
      </c>
      <c r="CB225" s="140" t="s">
        <v>603</v>
      </c>
      <c r="CC225" s="140">
        <v>0</v>
      </c>
      <c r="CD225" s="140"/>
      <c r="CE225" s="139" t="s">
        <v>1080</v>
      </c>
      <c r="CF225" s="139" t="s">
        <v>604</v>
      </c>
      <c r="CG225" s="139" t="s">
        <v>1664</v>
      </c>
      <c r="CH225" s="139" t="s">
        <v>583</v>
      </c>
      <c r="CI225" s="139" t="s">
        <v>1074</v>
      </c>
      <c r="CJ225" s="140">
        <v>927</v>
      </c>
      <c r="CK225" s="140" t="s">
        <v>605</v>
      </c>
      <c r="CL225" s="140">
        <v>4000000</v>
      </c>
      <c r="CM225" s="99">
        <v>855</v>
      </c>
      <c r="CN225" s="140">
        <v>0</v>
      </c>
      <c r="CO225" s="139" t="s">
        <v>583</v>
      </c>
      <c r="CP225" s="139" t="s">
        <v>583</v>
      </c>
      <c r="CQ225" s="140">
        <v>14850</v>
      </c>
      <c r="CR225" s="140">
        <v>1193953</v>
      </c>
      <c r="CS225" s="140">
        <v>0</v>
      </c>
      <c r="CT225" s="140">
        <v>1</v>
      </c>
      <c r="CU225" s="140">
        <v>1221427.97</v>
      </c>
      <c r="CV225" s="99">
        <v>16083.99</v>
      </c>
      <c r="CW225" s="139" t="s">
        <v>606</v>
      </c>
      <c r="CX225" s="140">
        <v>18.811699999999998</v>
      </c>
      <c r="CY225" s="140"/>
      <c r="CZ225" s="140"/>
      <c r="DA225" s="140" t="s">
        <v>920</v>
      </c>
      <c r="DB225" s="140">
        <v>1279</v>
      </c>
      <c r="DC225" s="140"/>
    </row>
    <row r="226" spans="2:107" ht="11.25" customHeight="1" x14ac:dyDescent="0.15">
      <c r="B226" s="139" t="s">
        <v>577</v>
      </c>
      <c r="C226" s="140" t="s">
        <v>1737</v>
      </c>
      <c r="D226" s="140">
        <v>3</v>
      </c>
      <c r="E226" s="139" t="s">
        <v>1741</v>
      </c>
      <c r="F226" s="139" t="s">
        <v>618</v>
      </c>
      <c r="G226" s="140" t="s">
        <v>1737</v>
      </c>
      <c r="H226" s="139" t="s">
        <v>1742</v>
      </c>
      <c r="I226" s="140" t="s">
        <v>421</v>
      </c>
      <c r="J226" s="139" t="s">
        <v>582</v>
      </c>
      <c r="K226" s="139" t="s">
        <v>583</v>
      </c>
      <c r="L226" s="139" t="s">
        <v>583</v>
      </c>
      <c r="M226" s="139" t="s">
        <v>583</v>
      </c>
      <c r="N226" s="139" t="s">
        <v>650</v>
      </c>
      <c r="O226" s="139" t="s">
        <v>1088</v>
      </c>
      <c r="P226" s="139" t="s">
        <v>583</v>
      </c>
      <c r="Q226" s="139" t="s">
        <v>583</v>
      </c>
      <c r="R226" s="140">
        <v>1</v>
      </c>
      <c r="S226" s="140">
        <v>0</v>
      </c>
      <c r="T226" s="140">
        <v>1</v>
      </c>
      <c r="U226" s="140">
        <v>228</v>
      </c>
      <c r="V226" s="139" t="s">
        <v>586</v>
      </c>
      <c r="W226" s="139" t="s">
        <v>587</v>
      </c>
      <c r="X226" s="139" t="s">
        <v>588</v>
      </c>
      <c r="Y226" s="139" t="s">
        <v>589</v>
      </c>
      <c r="Z226" s="139" t="s">
        <v>590</v>
      </c>
      <c r="AA226" s="139" t="s">
        <v>591</v>
      </c>
      <c r="AB226" s="139" t="s">
        <v>586</v>
      </c>
      <c r="AC226" s="139" t="s">
        <v>587</v>
      </c>
      <c r="AD226" s="139" t="s">
        <v>588</v>
      </c>
      <c r="AE226" s="139" t="s">
        <v>589</v>
      </c>
      <c r="AF226" s="139" t="s">
        <v>590</v>
      </c>
      <c r="AG226" s="139" t="s">
        <v>591</v>
      </c>
      <c r="AH226" s="139" t="s">
        <v>652</v>
      </c>
      <c r="AI226" s="139" t="s">
        <v>431</v>
      </c>
      <c r="AJ226" s="140">
        <v>23340059.670000002</v>
      </c>
      <c r="AK226" s="139" t="s">
        <v>586</v>
      </c>
      <c r="AL226" s="139" t="s">
        <v>587</v>
      </c>
      <c r="AM226" s="139" t="s">
        <v>588</v>
      </c>
      <c r="AN226" s="139" t="s">
        <v>589</v>
      </c>
      <c r="AO226" s="139" t="s">
        <v>590</v>
      </c>
      <c r="AP226" s="139" t="s">
        <v>591</v>
      </c>
      <c r="AQ226" s="139" t="s">
        <v>652</v>
      </c>
      <c r="AR226" s="139" t="s">
        <v>431</v>
      </c>
      <c r="AS226" s="139" t="s">
        <v>431</v>
      </c>
      <c r="AT226" s="139" t="s">
        <v>593</v>
      </c>
      <c r="AU226" s="139" t="s">
        <v>437</v>
      </c>
      <c r="AV226" s="140">
        <v>0</v>
      </c>
      <c r="AW226" s="139" t="s">
        <v>594</v>
      </c>
      <c r="AX226" s="139" t="s">
        <v>653</v>
      </c>
      <c r="AY226" s="139" t="s">
        <v>623</v>
      </c>
      <c r="AZ226" s="140">
        <v>1</v>
      </c>
      <c r="BA226" s="139" t="s">
        <v>597</v>
      </c>
      <c r="BB226" s="140">
        <v>290296</v>
      </c>
      <c r="BC226" s="140">
        <v>23340060</v>
      </c>
      <c r="BD226" s="140">
        <v>307346.26</v>
      </c>
      <c r="BE226" s="140">
        <v>80.400899999999993</v>
      </c>
      <c r="BF226" s="139" t="s">
        <v>880</v>
      </c>
      <c r="BG226" s="139" t="s">
        <v>582</v>
      </c>
      <c r="BH226" s="139" t="s">
        <v>970</v>
      </c>
      <c r="BI226" s="139" t="s">
        <v>598</v>
      </c>
      <c r="BJ226" s="139" t="s">
        <v>624</v>
      </c>
      <c r="BK226" s="139" t="s">
        <v>882</v>
      </c>
      <c r="BL226" s="139" t="s">
        <v>583</v>
      </c>
      <c r="BM226" s="139" t="s">
        <v>883</v>
      </c>
      <c r="BN226" s="139" t="s">
        <v>971</v>
      </c>
      <c r="BO226" s="139" t="s">
        <v>972</v>
      </c>
      <c r="BP226" s="139" t="s">
        <v>1743</v>
      </c>
      <c r="BQ226" s="139" t="s">
        <v>625</v>
      </c>
      <c r="BR226" s="140">
        <v>1</v>
      </c>
      <c r="BS226" s="139" t="s">
        <v>1744</v>
      </c>
      <c r="BT226" s="99">
        <f t="shared" si="13"/>
        <v>0</v>
      </c>
      <c r="BU226" s="99">
        <f t="shared" si="13"/>
        <v>1</v>
      </c>
      <c r="BV226" s="99">
        <f t="shared" si="12"/>
        <v>1</v>
      </c>
      <c r="BW226" s="139" t="s">
        <v>655</v>
      </c>
      <c r="BX226" s="139" t="s">
        <v>656</v>
      </c>
      <c r="BY226" s="140">
        <v>228</v>
      </c>
      <c r="BZ226" s="140">
        <v>0</v>
      </c>
      <c r="CA226" s="99">
        <v>45600</v>
      </c>
      <c r="CB226" s="140" t="s">
        <v>603</v>
      </c>
      <c r="CC226" s="140">
        <v>0</v>
      </c>
      <c r="CD226" s="140"/>
      <c r="CE226" s="139" t="s">
        <v>577</v>
      </c>
      <c r="CF226" s="139" t="s">
        <v>604</v>
      </c>
      <c r="CG226" s="139" t="s">
        <v>583</v>
      </c>
      <c r="CH226" s="139" t="s">
        <v>583</v>
      </c>
      <c r="CI226" s="139" t="s">
        <v>652</v>
      </c>
      <c r="CJ226" s="140">
        <v>4788</v>
      </c>
      <c r="CK226" s="140" t="s">
        <v>657</v>
      </c>
      <c r="CL226" s="140">
        <v>4000000</v>
      </c>
      <c r="CM226" s="99">
        <v>4560</v>
      </c>
      <c r="CN226" s="140">
        <v>0</v>
      </c>
      <c r="CO226" s="139" t="s">
        <v>583</v>
      </c>
      <c r="CP226" s="139" t="s">
        <v>583</v>
      </c>
      <c r="CQ226" s="140">
        <v>290296</v>
      </c>
      <c r="CR226" s="140">
        <v>23340060</v>
      </c>
      <c r="CS226" s="140">
        <v>0</v>
      </c>
      <c r="CT226" s="140">
        <v>1</v>
      </c>
      <c r="CU226" s="140">
        <v>23340059.670000002</v>
      </c>
      <c r="CV226" s="99">
        <v>307346.26</v>
      </c>
      <c r="CW226" s="139" t="s">
        <v>606</v>
      </c>
      <c r="CX226" s="140">
        <v>67.400499999999994</v>
      </c>
      <c r="CY226" s="140"/>
      <c r="CZ226" s="140"/>
      <c r="DA226" s="140" t="s">
        <v>856</v>
      </c>
      <c r="DB226" s="140">
        <v>750</v>
      </c>
      <c r="DC226" s="140"/>
    </row>
    <row r="227" spans="2:107" ht="11.25" customHeight="1" x14ac:dyDescent="0.15">
      <c r="B227" s="139" t="s">
        <v>577</v>
      </c>
      <c r="C227" s="140" t="s">
        <v>1737</v>
      </c>
      <c r="D227" s="140">
        <v>3</v>
      </c>
      <c r="E227" s="139" t="s">
        <v>1745</v>
      </c>
      <c r="F227" s="139" t="s">
        <v>718</v>
      </c>
      <c r="G227" s="140" t="s">
        <v>1737</v>
      </c>
      <c r="H227" s="139" t="s">
        <v>1746</v>
      </c>
      <c r="I227" s="140" t="s">
        <v>421</v>
      </c>
      <c r="J227" s="139" t="s">
        <v>582</v>
      </c>
      <c r="K227" s="139" t="s">
        <v>583</v>
      </c>
      <c r="L227" s="139" t="s">
        <v>583</v>
      </c>
      <c r="M227" s="139" t="s">
        <v>583</v>
      </c>
      <c r="N227" s="139" t="s">
        <v>1747</v>
      </c>
      <c r="O227" s="139" t="s">
        <v>1648</v>
      </c>
      <c r="P227" s="139" t="s">
        <v>583</v>
      </c>
      <c r="Q227" s="139" t="s">
        <v>583</v>
      </c>
      <c r="R227" s="140">
        <v>2</v>
      </c>
      <c r="S227" s="140"/>
      <c r="T227" s="140">
        <v>2</v>
      </c>
      <c r="U227" s="140">
        <v>26</v>
      </c>
      <c r="V227" s="139" t="s">
        <v>662</v>
      </c>
      <c r="W227" s="139" t="s">
        <v>663</v>
      </c>
      <c r="X227" s="139" t="s">
        <v>664</v>
      </c>
      <c r="Y227" s="139" t="s">
        <v>665</v>
      </c>
      <c r="Z227" s="139" t="s">
        <v>666</v>
      </c>
      <c r="AA227" s="139" t="s">
        <v>667</v>
      </c>
      <c r="AB227" s="139" t="s">
        <v>662</v>
      </c>
      <c r="AC227" s="139" t="s">
        <v>663</v>
      </c>
      <c r="AD227" s="139" t="s">
        <v>664</v>
      </c>
      <c r="AE227" s="139" t="s">
        <v>665</v>
      </c>
      <c r="AF227" s="139" t="s">
        <v>666</v>
      </c>
      <c r="AG227" s="139" t="s">
        <v>667</v>
      </c>
      <c r="AH227" s="139" t="s">
        <v>1549</v>
      </c>
      <c r="AI227" s="139" t="s">
        <v>436</v>
      </c>
      <c r="AJ227" s="140">
        <v>8649528.8200000003</v>
      </c>
      <c r="AK227" s="139" t="s">
        <v>662</v>
      </c>
      <c r="AL227" s="139" t="s">
        <v>663</v>
      </c>
      <c r="AM227" s="139" t="s">
        <v>664</v>
      </c>
      <c r="AN227" s="139" t="s">
        <v>665</v>
      </c>
      <c r="AO227" s="139" t="s">
        <v>666</v>
      </c>
      <c r="AP227" s="139" t="s">
        <v>667</v>
      </c>
      <c r="AQ227" s="139" t="s">
        <v>1549</v>
      </c>
      <c r="AR227" s="139" t="s">
        <v>436</v>
      </c>
      <c r="AS227" s="139" t="s">
        <v>436</v>
      </c>
      <c r="AT227" s="139" t="s">
        <v>593</v>
      </c>
      <c r="AU227" s="139" t="s">
        <v>437</v>
      </c>
      <c r="AV227" s="140">
        <v>2</v>
      </c>
      <c r="AW227" s="139" t="s">
        <v>594</v>
      </c>
      <c r="AX227" s="139" t="s">
        <v>583</v>
      </c>
      <c r="AY227" s="139" t="s">
        <v>1550</v>
      </c>
      <c r="AZ227" s="140">
        <v>1</v>
      </c>
      <c r="BA227" s="139" t="s">
        <v>597</v>
      </c>
      <c r="BB227" s="140">
        <v>101880</v>
      </c>
      <c r="BC227" s="140">
        <v>8191244</v>
      </c>
      <c r="BD227" s="140">
        <v>113898.61</v>
      </c>
      <c r="BE227" s="140">
        <v>80.400899999999993</v>
      </c>
      <c r="BF227" s="139" t="s">
        <v>880</v>
      </c>
      <c r="BG227" s="139" t="s">
        <v>583</v>
      </c>
      <c r="BH227" s="139" t="s">
        <v>1551</v>
      </c>
      <c r="BI227" s="139" t="s">
        <v>598</v>
      </c>
      <c r="BJ227" s="139" t="s">
        <v>599</v>
      </c>
      <c r="BK227" s="139" t="s">
        <v>583</v>
      </c>
      <c r="BL227" s="139" t="s">
        <v>583</v>
      </c>
      <c r="BM227" s="139" t="s">
        <v>583</v>
      </c>
      <c r="BN227" s="139" t="s">
        <v>842</v>
      </c>
      <c r="BO227" s="139" t="s">
        <v>843</v>
      </c>
      <c r="BP227" s="139" t="s">
        <v>830</v>
      </c>
      <c r="BQ227" s="139" t="s">
        <v>723</v>
      </c>
      <c r="BR227" s="140">
        <v>1</v>
      </c>
      <c r="BS227" s="139" t="s">
        <v>1748</v>
      </c>
      <c r="BT227" s="99">
        <f t="shared" si="13"/>
        <v>1</v>
      </c>
      <c r="BU227" s="99">
        <f t="shared" si="13"/>
        <v>0</v>
      </c>
      <c r="BV227" s="99">
        <f t="shared" si="12"/>
        <v>1</v>
      </c>
      <c r="BW227" s="139" t="s">
        <v>602</v>
      </c>
      <c r="BX227" s="139" t="s">
        <v>1553</v>
      </c>
      <c r="BY227" s="140">
        <v>6</v>
      </c>
      <c r="BZ227" s="140"/>
      <c r="CA227" s="99">
        <v>36000</v>
      </c>
      <c r="CB227" s="140" t="s">
        <v>603</v>
      </c>
      <c r="CC227" s="140"/>
      <c r="CD227" s="140"/>
      <c r="CE227" s="139" t="s">
        <v>577</v>
      </c>
      <c r="CF227" s="139" t="s">
        <v>604</v>
      </c>
      <c r="CG227" s="139" t="s">
        <v>583</v>
      </c>
      <c r="CH227" s="139" t="s">
        <v>583</v>
      </c>
      <c r="CI227" s="139" t="s">
        <v>1549</v>
      </c>
      <c r="CJ227" s="140">
        <v>3760</v>
      </c>
      <c r="CK227" s="140" t="s">
        <v>605</v>
      </c>
      <c r="CL227" s="140">
        <v>4000000</v>
      </c>
      <c r="CM227" s="99">
        <v>3420</v>
      </c>
      <c r="CN227" s="140"/>
      <c r="CO227" s="139" t="s">
        <v>583</v>
      </c>
      <c r="CP227" s="139" t="s">
        <v>583</v>
      </c>
      <c r="CQ227" s="140">
        <v>46800</v>
      </c>
      <c r="CR227" s="140">
        <v>3762762</v>
      </c>
      <c r="CS227" s="140">
        <v>0</v>
      </c>
      <c r="CT227" s="140">
        <v>1</v>
      </c>
      <c r="CU227" s="140">
        <v>3836773.56</v>
      </c>
      <c r="CV227" s="99">
        <v>50523.35</v>
      </c>
      <c r="CW227" s="139" t="s">
        <v>606</v>
      </c>
      <c r="CX227" s="140">
        <v>14.7729</v>
      </c>
      <c r="CY227" s="140"/>
      <c r="CZ227" s="140"/>
      <c r="DA227" s="140" t="s">
        <v>926</v>
      </c>
      <c r="DB227" s="140">
        <v>15</v>
      </c>
      <c r="DC227" s="140"/>
    </row>
    <row r="228" spans="2:107" ht="11.25" customHeight="1" x14ac:dyDescent="0.15">
      <c r="B228" s="139" t="s">
        <v>577</v>
      </c>
      <c r="C228" s="140" t="s">
        <v>1749</v>
      </c>
      <c r="D228" s="140">
        <v>3</v>
      </c>
      <c r="E228" s="139" t="s">
        <v>1750</v>
      </c>
      <c r="F228" s="139" t="s">
        <v>618</v>
      </c>
      <c r="G228" s="140" t="s">
        <v>1749</v>
      </c>
      <c r="H228" s="139" t="s">
        <v>1751</v>
      </c>
      <c r="I228" s="140" t="s">
        <v>421</v>
      </c>
      <c r="J228" s="139" t="s">
        <v>582</v>
      </c>
      <c r="K228" s="139" t="s">
        <v>583</v>
      </c>
      <c r="L228" s="139" t="s">
        <v>583</v>
      </c>
      <c r="M228" s="139" t="s">
        <v>583</v>
      </c>
      <c r="N228" s="139" t="s">
        <v>441</v>
      </c>
      <c r="O228" s="139" t="s">
        <v>1160</v>
      </c>
      <c r="P228" s="139" t="s">
        <v>583</v>
      </c>
      <c r="Q228" s="139" t="s">
        <v>583</v>
      </c>
      <c r="R228" s="140">
        <v>1</v>
      </c>
      <c r="S228" s="140">
        <v>0</v>
      </c>
      <c r="T228" s="140">
        <v>1</v>
      </c>
      <c r="U228" s="140">
        <v>385</v>
      </c>
      <c r="V228" s="139" t="s">
        <v>586</v>
      </c>
      <c r="W228" s="139" t="s">
        <v>587</v>
      </c>
      <c r="X228" s="139" t="s">
        <v>588</v>
      </c>
      <c r="Y228" s="139" t="s">
        <v>589</v>
      </c>
      <c r="Z228" s="139" t="s">
        <v>590</v>
      </c>
      <c r="AA228" s="139" t="s">
        <v>591</v>
      </c>
      <c r="AB228" s="139" t="s">
        <v>586</v>
      </c>
      <c r="AC228" s="139" t="s">
        <v>587</v>
      </c>
      <c r="AD228" s="139" t="s">
        <v>588</v>
      </c>
      <c r="AE228" s="139" t="s">
        <v>589</v>
      </c>
      <c r="AF228" s="139" t="s">
        <v>590</v>
      </c>
      <c r="AG228" s="139" t="s">
        <v>591</v>
      </c>
      <c r="AH228" s="139" t="s">
        <v>621</v>
      </c>
      <c r="AI228" s="139" t="s">
        <v>430</v>
      </c>
      <c r="AJ228" s="140">
        <v>8859408.25</v>
      </c>
      <c r="AK228" s="139" t="s">
        <v>586</v>
      </c>
      <c r="AL228" s="139" t="s">
        <v>587</v>
      </c>
      <c r="AM228" s="139" t="s">
        <v>588</v>
      </c>
      <c r="AN228" s="139" t="s">
        <v>589</v>
      </c>
      <c r="AO228" s="139" t="s">
        <v>590</v>
      </c>
      <c r="AP228" s="139" t="s">
        <v>591</v>
      </c>
      <c r="AQ228" s="139" t="s">
        <v>621</v>
      </c>
      <c r="AR228" s="139" t="s">
        <v>430</v>
      </c>
      <c r="AS228" s="139" t="s">
        <v>430</v>
      </c>
      <c r="AT228" s="139" t="s">
        <v>593</v>
      </c>
      <c r="AU228" s="139" t="s">
        <v>437</v>
      </c>
      <c r="AV228" s="140">
        <v>0</v>
      </c>
      <c r="AW228" s="139" t="s">
        <v>594</v>
      </c>
      <c r="AX228" s="139" t="s">
        <v>622</v>
      </c>
      <c r="AY228" s="139" t="s">
        <v>623</v>
      </c>
      <c r="AZ228" s="140">
        <v>1</v>
      </c>
      <c r="BA228" s="139" t="s">
        <v>597</v>
      </c>
      <c r="BB228" s="140">
        <v>107030</v>
      </c>
      <c r="BC228" s="140">
        <v>8859408</v>
      </c>
      <c r="BD228" s="140">
        <v>115667.28</v>
      </c>
      <c r="BE228" s="140">
        <v>82.775000000000006</v>
      </c>
      <c r="BF228" s="139" t="s">
        <v>880</v>
      </c>
      <c r="BG228" s="139" t="s">
        <v>582</v>
      </c>
      <c r="BH228" s="139" t="s">
        <v>1161</v>
      </c>
      <c r="BI228" s="139" t="s">
        <v>598</v>
      </c>
      <c r="BJ228" s="139" t="s">
        <v>624</v>
      </c>
      <c r="BK228" s="139" t="s">
        <v>882</v>
      </c>
      <c r="BL228" s="139" t="s">
        <v>583</v>
      </c>
      <c r="BM228" s="139" t="s">
        <v>883</v>
      </c>
      <c r="BN228" s="139" t="s">
        <v>971</v>
      </c>
      <c r="BO228" s="139" t="s">
        <v>972</v>
      </c>
      <c r="BP228" s="139" t="s">
        <v>1162</v>
      </c>
      <c r="BQ228" s="139" t="s">
        <v>625</v>
      </c>
      <c r="BR228" s="140">
        <v>1</v>
      </c>
      <c r="BS228" s="139" t="s">
        <v>1752</v>
      </c>
      <c r="BT228" s="99">
        <f t="shared" ref="BT228:BU247" si="14">MIN(1,IFERROR(SEARCH(BT$2,$BS228),0))</f>
        <v>0</v>
      </c>
      <c r="BU228" s="99">
        <f t="shared" si="14"/>
        <v>1</v>
      </c>
      <c r="BV228" s="99">
        <f t="shared" si="12"/>
        <v>1</v>
      </c>
      <c r="BW228" s="139" t="s">
        <v>602</v>
      </c>
      <c r="BX228" s="139" t="s">
        <v>441</v>
      </c>
      <c r="BY228" s="140">
        <v>385</v>
      </c>
      <c r="BZ228" s="140">
        <v>0</v>
      </c>
      <c r="CA228" s="99">
        <v>77000</v>
      </c>
      <c r="CB228" s="140" t="s">
        <v>603</v>
      </c>
      <c r="CC228" s="140">
        <v>0</v>
      </c>
      <c r="CD228" s="140"/>
      <c r="CE228" s="139" t="s">
        <v>577</v>
      </c>
      <c r="CF228" s="139" t="s">
        <v>604</v>
      </c>
      <c r="CG228" s="139" t="s">
        <v>583</v>
      </c>
      <c r="CH228" s="139" t="s">
        <v>583</v>
      </c>
      <c r="CI228" s="139" t="s">
        <v>621</v>
      </c>
      <c r="CJ228" s="140">
        <v>7930</v>
      </c>
      <c r="CK228" s="140" t="s">
        <v>605</v>
      </c>
      <c r="CL228" s="140">
        <v>4000000</v>
      </c>
      <c r="CM228" s="99">
        <v>6930</v>
      </c>
      <c r="CN228" s="140">
        <v>0</v>
      </c>
      <c r="CO228" s="139" t="s">
        <v>583</v>
      </c>
      <c r="CP228" s="139" t="s">
        <v>583</v>
      </c>
      <c r="CQ228" s="140">
        <v>107030</v>
      </c>
      <c r="CR228" s="140">
        <v>8859408</v>
      </c>
      <c r="CS228" s="140">
        <v>0</v>
      </c>
      <c r="CT228" s="140">
        <v>1</v>
      </c>
      <c r="CU228" s="140">
        <v>8859408.25</v>
      </c>
      <c r="CV228" s="99">
        <v>115667.28</v>
      </c>
      <c r="CW228" s="139" t="s">
        <v>606</v>
      </c>
      <c r="CX228" s="140">
        <v>16.690799999999999</v>
      </c>
      <c r="CY228" s="140"/>
      <c r="CZ228" s="140"/>
      <c r="DA228" s="140" t="s">
        <v>856</v>
      </c>
      <c r="DB228" s="140">
        <v>1089</v>
      </c>
      <c r="DC228" s="140"/>
    </row>
    <row r="229" spans="2:107" ht="11.25" customHeight="1" x14ac:dyDescent="0.15">
      <c r="B229" s="139" t="s">
        <v>577</v>
      </c>
      <c r="C229" s="140" t="s">
        <v>1753</v>
      </c>
      <c r="D229" s="140">
        <v>3</v>
      </c>
      <c r="E229" s="139" t="s">
        <v>1754</v>
      </c>
      <c r="F229" s="139" t="s">
        <v>748</v>
      </c>
      <c r="G229" s="140" t="s">
        <v>1755</v>
      </c>
      <c r="H229" s="139" t="s">
        <v>1756</v>
      </c>
      <c r="I229" s="140" t="s">
        <v>421</v>
      </c>
      <c r="J229" s="139" t="s">
        <v>582</v>
      </c>
      <c r="K229" s="139" t="s">
        <v>583</v>
      </c>
      <c r="L229" s="139" t="s">
        <v>583</v>
      </c>
      <c r="M229" s="139" t="s">
        <v>583</v>
      </c>
      <c r="N229" s="139" t="s">
        <v>817</v>
      </c>
      <c r="O229" s="139" t="s">
        <v>818</v>
      </c>
      <c r="P229" s="139" t="s">
        <v>583</v>
      </c>
      <c r="Q229" s="139" t="s">
        <v>583</v>
      </c>
      <c r="R229" s="140">
        <v>1</v>
      </c>
      <c r="S229" s="140">
        <v>0</v>
      </c>
      <c r="T229" s="140">
        <v>1</v>
      </c>
      <c r="U229" s="140">
        <v>10</v>
      </c>
      <c r="V229" s="139" t="s">
        <v>819</v>
      </c>
      <c r="W229" s="139" t="s">
        <v>820</v>
      </c>
      <c r="X229" s="139" t="s">
        <v>821</v>
      </c>
      <c r="Y229" s="139" t="s">
        <v>822</v>
      </c>
      <c r="Z229" s="139" t="s">
        <v>823</v>
      </c>
      <c r="AA229" s="139" t="s">
        <v>824</v>
      </c>
      <c r="AB229" s="139" t="s">
        <v>819</v>
      </c>
      <c r="AC229" s="139" t="s">
        <v>820</v>
      </c>
      <c r="AD229" s="139" t="s">
        <v>821</v>
      </c>
      <c r="AE229" s="139" t="s">
        <v>822</v>
      </c>
      <c r="AF229" s="139" t="s">
        <v>823</v>
      </c>
      <c r="AG229" s="139" t="s">
        <v>824</v>
      </c>
      <c r="AH229" s="139" t="s">
        <v>759</v>
      </c>
      <c r="AI229" s="139" t="s">
        <v>434</v>
      </c>
      <c r="AJ229" s="140">
        <v>7526750.2199999997</v>
      </c>
      <c r="AK229" s="139" t="s">
        <v>819</v>
      </c>
      <c r="AL229" s="139" t="s">
        <v>820</v>
      </c>
      <c r="AM229" s="139" t="s">
        <v>821</v>
      </c>
      <c r="AN229" s="139" t="s">
        <v>822</v>
      </c>
      <c r="AO229" s="139" t="s">
        <v>823</v>
      </c>
      <c r="AP229" s="139" t="s">
        <v>824</v>
      </c>
      <c r="AQ229" s="139" t="s">
        <v>759</v>
      </c>
      <c r="AR229" s="139" t="s">
        <v>434</v>
      </c>
      <c r="AS229" s="139" t="s">
        <v>434</v>
      </c>
      <c r="AT229" s="139" t="s">
        <v>593</v>
      </c>
      <c r="AU229" s="139" t="s">
        <v>437</v>
      </c>
      <c r="AV229" s="140">
        <v>2</v>
      </c>
      <c r="AW229" s="139" t="s">
        <v>594</v>
      </c>
      <c r="AX229" s="139" t="s">
        <v>595</v>
      </c>
      <c r="AY229" s="139" t="s">
        <v>840</v>
      </c>
      <c r="AZ229" s="140">
        <v>1</v>
      </c>
      <c r="BA229" s="139" t="s">
        <v>597</v>
      </c>
      <c r="BB229" s="140">
        <v>78400</v>
      </c>
      <c r="BC229" s="140">
        <v>6459556</v>
      </c>
      <c r="BD229" s="140">
        <v>98455.94</v>
      </c>
      <c r="BE229" s="140">
        <v>82.392300000000006</v>
      </c>
      <c r="BF229" s="139" t="s">
        <v>880</v>
      </c>
      <c r="BG229" s="139" t="s">
        <v>863</v>
      </c>
      <c r="BH229" s="139" t="s">
        <v>826</v>
      </c>
      <c r="BI229" s="139" t="s">
        <v>598</v>
      </c>
      <c r="BJ229" s="139" t="s">
        <v>599</v>
      </c>
      <c r="BK229" s="139" t="s">
        <v>583</v>
      </c>
      <c r="BL229" s="139" t="s">
        <v>583</v>
      </c>
      <c r="BM229" s="139" t="s">
        <v>583</v>
      </c>
      <c r="BN229" s="139" t="s">
        <v>828</v>
      </c>
      <c r="BO229" s="139" t="s">
        <v>829</v>
      </c>
      <c r="BP229" s="139" t="s">
        <v>925</v>
      </c>
      <c r="BQ229" s="139" t="s">
        <v>723</v>
      </c>
      <c r="BR229" s="140">
        <v>1</v>
      </c>
      <c r="BS229" s="139" t="s">
        <v>1757</v>
      </c>
      <c r="BT229" s="99">
        <f t="shared" si="14"/>
        <v>1</v>
      </c>
      <c r="BU229" s="99">
        <f t="shared" si="14"/>
        <v>1</v>
      </c>
      <c r="BV229" s="99">
        <f t="shared" si="12"/>
        <v>1</v>
      </c>
      <c r="BW229" s="139" t="s">
        <v>602</v>
      </c>
      <c r="BX229" s="139" t="s">
        <v>817</v>
      </c>
      <c r="BY229" s="140">
        <v>10</v>
      </c>
      <c r="BZ229" s="140">
        <v>0</v>
      </c>
      <c r="CA229" s="99">
        <v>56000</v>
      </c>
      <c r="CB229" s="140" t="s">
        <v>603</v>
      </c>
      <c r="CC229" s="140">
        <v>0</v>
      </c>
      <c r="CD229" s="140"/>
      <c r="CE229" s="139" t="s">
        <v>577</v>
      </c>
      <c r="CF229" s="139" t="s">
        <v>604</v>
      </c>
      <c r="CG229" s="139" t="s">
        <v>583</v>
      </c>
      <c r="CH229" s="139" t="s">
        <v>583</v>
      </c>
      <c r="CI229" s="139" t="s">
        <v>759</v>
      </c>
      <c r="CJ229" s="140">
        <v>5880</v>
      </c>
      <c r="CK229" s="140" t="s">
        <v>605</v>
      </c>
      <c r="CL229" s="140">
        <v>4000000</v>
      </c>
      <c r="CM229" s="99">
        <v>5460</v>
      </c>
      <c r="CN229" s="140">
        <v>0</v>
      </c>
      <c r="CO229" s="139" t="s">
        <v>583</v>
      </c>
      <c r="CP229" s="139" t="s">
        <v>583</v>
      </c>
      <c r="CQ229" s="140">
        <v>78400</v>
      </c>
      <c r="CR229" s="140">
        <v>6459556</v>
      </c>
      <c r="CS229" s="140">
        <v>1</v>
      </c>
      <c r="CT229" s="140">
        <v>3</v>
      </c>
      <c r="CU229" s="140">
        <v>7526750.2199999997</v>
      </c>
      <c r="CV229" s="99">
        <v>98455.94</v>
      </c>
      <c r="CW229" s="139" t="s">
        <v>606</v>
      </c>
      <c r="CX229" s="140">
        <v>18.0322</v>
      </c>
      <c r="CY229" s="140">
        <v>66</v>
      </c>
      <c r="CZ229" s="140" t="s">
        <v>1758</v>
      </c>
      <c r="DA229" s="140" t="s">
        <v>1759</v>
      </c>
      <c r="DB229" s="140">
        <v>174</v>
      </c>
      <c r="DC229" s="140"/>
    </row>
    <row r="230" spans="2:107" ht="11.25" customHeight="1" x14ac:dyDescent="0.15">
      <c r="B230" s="139" t="s">
        <v>577</v>
      </c>
      <c r="C230" s="140" t="s">
        <v>1760</v>
      </c>
      <c r="D230" s="140">
        <v>3</v>
      </c>
      <c r="E230" s="139" t="s">
        <v>1761</v>
      </c>
      <c r="F230" s="139" t="s">
        <v>729</v>
      </c>
      <c r="G230" s="140" t="s">
        <v>1760</v>
      </c>
      <c r="H230" s="139" t="s">
        <v>1762</v>
      </c>
      <c r="I230" s="140" t="s">
        <v>421</v>
      </c>
      <c r="J230" s="139" t="s">
        <v>582</v>
      </c>
      <c r="K230" s="139" t="s">
        <v>583</v>
      </c>
      <c r="L230" s="139" t="s">
        <v>583</v>
      </c>
      <c r="M230" s="139" t="s">
        <v>583</v>
      </c>
      <c r="N230" s="139" t="s">
        <v>731</v>
      </c>
      <c r="O230" s="139" t="s">
        <v>1673</v>
      </c>
      <c r="P230" s="139" t="s">
        <v>583</v>
      </c>
      <c r="Q230" s="139" t="s">
        <v>583</v>
      </c>
      <c r="R230" s="140">
        <v>1</v>
      </c>
      <c r="S230" s="140">
        <v>0</v>
      </c>
      <c r="T230" s="140">
        <v>1</v>
      </c>
      <c r="U230" s="140">
        <v>335</v>
      </c>
      <c r="V230" s="139" t="s">
        <v>1557</v>
      </c>
      <c r="W230" s="139" t="s">
        <v>1558</v>
      </c>
      <c r="X230" s="139" t="s">
        <v>1559</v>
      </c>
      <c r="Y230" s="139" t="s">
        <v>1560</v>
      </c>
      <c r="Z230" s="139" t="s">
        <v>644</v>
      </c>
      <c r="AA230" s="139" t="s">
        <v>1561</v>
      </c>
      <c r="AB230" s="139" t="s">
        <v>1557</v>
      </c>
      <c r="AC230" s="139" t="s">
        <v>1558</v>
      </c>
      <c r="AD230" s="139" t="s">
        <v>1559</v>
      </c>
      <c r="AE230" s="139" t="s">
        <v>1560</v>
      </c>
      <c r="AF230" s="139" t="s">
        <v>644</v>
      </c>
      <c r="AG230" s="139" t="s">
        <v>1561</v>
      </c>
      <c r="AH230" s="139" t="s">
        <v>733</v>
      </c>
      <c r="AI230" s="139" t="s">
        <v>432</v>
      </c>
      <c r="AJ230" s="140">
        <v>9588611.3300000001</v>
      </c>
      <c r="AK230" s="139" t="s">
        <v>1557</v>
      </c>
      <c r="AL230" s="139" t="s">
        <v>1558</v>
      </c>
      <c r="AM230" s="139" t="s">
        <v>1559</v>
      </c>
      <c r="AN230" s="139" t="s">
        <v>1560</v>
      </c>
      <c r="AO230" s="139" t="s">
        <v>644</v>
      </c>
      <c r="AP230" s="139" t="s">
        <v>1561</v>
      </c>
      <c r="AQ230" s="139" t="s">
        <v>733</v>
      </c>
      <c r="AR230" s="139" t="s">
        <v>432</v>
      </c>
      <c r="AS230" s="139" t="s">
        <v>432</v>
      </c>
      <c r="AT230" s="139" t="s">
        <v>593</v>
      </c>
      <c r="AU230" s="139" t="s">
        <v>437</v>
      </c>
      <c r="AV230" s="140">
        <v>2</v>
      </c>
      <c r="AW230" s="139" t="s">
        <v>594</v>
      </c>
      <c r="AX230" s="139" t="s">
        <v>653</v>
      </c>
      <c r="AY230" s="139" t="s">
        <v>1562</v>
      </c>
      <c r="AZ230" s="140">
        <v>1</v>
      </c>
      <c r="BA230" s="139" t="s">
        <v>597</v>
      </c>
      <c r="BB230" s="140">
        <v>119260</v>
      </c>
      <c r="BC230" s="140">
        <v>9588611</v>
      </c>
      <c r="BD230" s="140">
        <v>126264.62</v>
      </c>
      <c r="BE230" s="140">
        <v>80.400899999999993</v>
      </c>
      <c r="BF230" s="139" t="s">
        <v>880</v>
      </c>
      <c r="BG230" s="139" t="s">
        <v>863</v>
      </c>
      <c r="BH230" s="139" t="s">
        <v>1563</v>
      </c>
      <c r="BI230" s="139" t="s">
        <v>598</v>
      </c>
      <c r="BJ230" s="139" t="s">
        <v>599</v>
      </c>
      <c r="BK230" s="139" t="s">
        <v>583</v>
      </c>
      <c r="BL230" s="139" t="s">
        <v>1060</v>
      </c>
      <c r="BM230" s="139" t="s">
        <v>583</v>
      </c>
      <c r="BN230" s="139" t="s">
        <v>842</v>
      </c>
      <c r="BO230" s="139" t="s">
        <v>843</v>
      </c>
      <c r="BP230" s="139" t="s">
        <v>830</v>
      </c>
      <c r="BQ230" s="139" t="s">
        <v>723</v>
      </c>
      <c r="BR230" s="140">
        <v>1</v>
      </c>
      <c r="BS230" s="139" t="s">
        <v>1763</v>
      </c>
      <c r="BT230" s="99">
        <f t="shared" si="14"/>
        <v>0</v>
      </c>
      <c r="BU230" s="99">
        <f t="shared" si="14"/>
        <v>0</v>
      </c>
      <c r="BV230" s="99">
        <f t="shared" si="12"/>
        <v>0</v>
      </c>
      <c r="BW230" s="139" t="s">
        <v>743</v>
      </c>
      <c r="BX230" s="139" t="s">
        <v>731</v>
      </c>
      <c r="BY230" s="140">
        <v>335</v>
      </c>
      <c r="BZ230" s="140">
        <v>0</v>
      </c>
      <c r="CA230" s="99">
        <v>67000</v>
      </c>
      <c r="CB230" s="140" t="s">
        <v>603</v>
      </c>
      <c r="CC230" s="140">
        <v>0</v>
      </c>
      <c r="CD230" s="140"/>
      <c r="CE230" s="139" t="s">
        <v>577</v>
      </c>
      <c r="CF230" s="139" t="s">
        <v>604</v>
      </c>
      <c r="CG230" s="139" t="s">
        <v>583</v>
      </c>
      <c r="CH230" s="139" t="s">
        <v>583</v>
      </c>
      <c r="CI230" s="139" t="s">
        <v>733</v>
      </c>
      <c r="CJ230" s="140">
        <v>7370</v>
      </c>
      <c r="CK230" s="140" t="s">
        <v>605</v>
      </c>
      <c r="CL230" s="140">
        <v>4000000</v>
      </c>
      <c r="CM230" s="99">
        <v>6700</v>
      </c>
      <c r="CN230" s="140">
        <v>0</v>
      </c>
      <c r="CO230" s="139" t="s">
        <v>583</v>
      </c>
      <c r="CP230" s="139" t="s">
        <v>583</v>
      </c>
      <c r="CQ230" s="140">
        <v>119260</v>
      </c>
      <c r="CR230" s="140">
        <v>9588611</v>
      </c>
      <c r="CS230" s="140">
        <v>0</v>
      </c>
      <c r="CT230" s="140">
        <v>1</v>
      </c>
      <c r="CU230" s="140">
        <v>9588611.3300000001</v>
      </c>
      <c r="CV230" s="99">
        <v>126264.62</v>
      </c>
      <c r="CW230" s="139" t="s">
        <v>606</v>
      </c>
      <c r="CX230" s="140">
        <v>18.845500000000001</v>
      </c>
      <c r="CY230" s="140">
        <v>35</v>
      </c>
      <c r="CZ230" s="140" t="s">
        <v>1564</v>
      </c>
      <c r="DA230" s="140" t="s">
        <v>1363</v>
      </c>
      <c r="DB230" s="140">
        <v>575</v>
      </c>
      <c r="DC230" s="140"/>
    </row>
    <row r="231" spans="2:107" ht="11.25" customHeight="1" x14ac:dyDescent="0.15">
      <c r="B231" s="139" t="s">
        <v>577</v>
      </c>
      <c r="C231" s="140" t="s">
        <v>1764</v>
      </c>
      <c r="D231" s="140">
        <v>3</v>
      </c>
      <c r="E231" s="139" t="s">
        <v>1765</v>
      </c>
      <c r="F231" s="139" t="s">
        <v>580</v>
      </c>
      <c r="G231" s="140" t="s">
        <v>1764</v>
      </c>
      <c r="H231" s="139" t="s">
        <v>1766</v>
      </c>
      <c r="I231" s="140" t="s">
        <v>421</v>
      </c>
      <c r="J231" s="139" t="s">
        <v>582</v>
      </c>
      <c r="K231" s="139" t="s">
        <v>583</v>
      </c>
      <c r="L231" s="139" t="s">
        <v>583</v>
      </c>
      <c r="M231" s="139" t="s">
        <v>583</v>
      </c>
      <c r="N231" s="139" t="s">
        <v>731</v>
      </c>
      <c r="O231" s="139" t="s">
        <v>1099</v>
      </c>
      <c r="P231" s="139" t="s">
        <v>583</v>
      </c>
      <c r="Q231" s="139" t="s">
        <v>583</v>
      </c>
      <c r="R231" s="140">
        <v>1</v>
      </c>
      <c r="S231" s="140">
        <v>0</v>
      </c>
      <c r="T231" s="140">
        <v>1</v>
      </c>
      <c r="U231" s="140">
        <v>572</v>
      </c>
      <c r="V231" s="139" t="s">
        <v>586</v>
      </c>
      <c r="W231" s="139" t="s">
        <v>587</v>
      </c>
      <c r="X231" s="139" t="s">
        <v>588</v>
      </c>
      <c r="Y231" s="139" t="s">
        <v>589</v>
      </c>
      <c r="Z231" s="139" t="s">
        <v>590</v>
      </c>
      <c r="AA231" s="139" t="s">
        <v>591</v>
      </c>
      <c r="AB231" s="139" t="s">
        <v>586</v>
      </c>
      <c r="AC231" s="139" t="s">
        <v>587</v>
      </c>
      <c r="AD231" s="139" t="s">
        <v>588</v>
      </c>
      <c r="AE231" s="139" t="s">
        <v>589</v>
      </c>
      <c r="AF231" s="139" t="s">
        <v>590</v>
      </c>
      <c r="AG231" s="139" t="s">
        <v>591</v>
      </c>
      <c r="AH231" s="139" t="s">
        <v>733</v>
      </c>
      <c r="AI231" s="139" t="s">
        <v>432</v>
      </c>
      <c r="AJ231" s="140">
        <v>16960237.010000002</v>
      </c>
      <c r="AK231" s="139" t="s">
        <v>586</v>
      </c>
      <c r="AL231" s="139" t="s">
        <v>587</v>
      </c>
      <c r="AM231" s="139" t="s">
        <v>588</v>
      </c>
      <c r="AN231" s="139" t="s">
        <v>589</v>
      </c>
      <c r="AO231" s="139" t="s">
        <v>590</v>
      </c>
      <c r="AP231" s="139" t="s">
        <v>591</v>
      </c>
      <c r="AQ231" s="139" t="s">
        <v>733</v>
      </c>
      <c r="AR231" s="139" t="s">
        <v>432</v>
      </c>
      <c r="AS231" s="139" t="s">
        <v>432</v>
      </c>
      <c r="AT231" s="139" t="s">
        <v>593</v>
      </c>
      <c r="AU231" s="139" t="s">
        <v>437</v>
      </c>
      <c r="AV231" s="140">
        <v>2</v>
      </c>
      <c r="AW231" s="139" t="s">
        <v>594</v>
      </c>
      <c r="AX231" s="139" t="s">
        <v>653</v>
      </c>
      <c r="AY231" s="139" t="s">
        <v>850</v>
      </c>
      <c r="AZ231" s="140">
        <v>1</v>
      </c>
      <c r="BA231" s="139" t="s">
        <v>597</v>
      </c>
      <c r="BB231" s="140">
        <v>211640</v>
      </c>
      <c r="BC231" s="140">
        <v>16960237</v>
      </c>
      <c r="BD231" s="140">
        <v>223446.79</v>
      </c>
      <c r="BE231" s="140">
        <v>80.137200000000007</v>
      </c>
      <c r="BF231" s="139" t="s">
        <v>880</v>
      </c>
      <c r="BG231" s="139" t="s">
        <v>583</v>
      </c>
      <c r="BH231" s="139" t="s">
        <v>987</v>
      </c>
      <c r="BI231" s="139" t="s">
        <v>598</v>
      </c>
      <c r="BJ231" s="139" t="s">
        <v>1100</v>
      </c>
      <c r="BK231" s="139" t="s">
        <v>1101</v>
      </c>
      <c r="BL231" s="139" t="s">
        <v>1101</v>
      </c>
      <c r="BM231" s="139" t="s">
        <v>583</v>
      </c>
      <c r="BN231" s="139" t="s">
        <v>1102</v>
      </c>
      <c r="BO231" s="139" t="s">
        <v>1103</v>
      </c>
      <c r="BP231" s="139" t="s">
        <v>1686</v>
      </c>
      <c r="BQ231" s="139" t="s">
        <v>600</v>
      </c>
      <c r="BR231" s="140">
        <v>1</v>
      </c>
      <c r="BS231" s="139" t="s">
        <v>1767</v>
      </c>
      <c r="BT231" s="99">
        <f t="shared" si="14"/>
        <v>0</v>
      </c>
      <c r="BU231" s="99">
        <f t="shared" si="14"/>
        <v>1</v>
      </c>
      <c r="BV231" s="99">
        <f t="shared" si="12"/>
        <v>1</v>
      </c>
      <c r="BW231" s="139" t="s">
        <v>602</v>
      </c>
      <c r="BX231" s="139" t="s">
        <v>731</v>
      </c>
      <c r="BY231" s="140">
        <v>572</v>
      </c>
      <c r="BZ231" s="140">
        <v>0</v>
      </c>
      <c r="CA231" s="99">
        <v>114400</v>
      </c>
      <c r="CB231" s="140" t="s">
        <v>603</v>
      </c>
      <c r="CC231" s="140">
        <v>0</v>
      </c>
      <c r="CD231" s="140"/>
      <c r="CE231" s="139" t="s">
        <v>577</v>
      </c>
      <c r="CF231" s="139" t="s">
        <v>604</v>
      </c>
      <c r="CG231" s="139" t="s">
        <v>583</v>
      </c>
      <c r="CH231" s="139" t="s">
        <v>583</v>
      </c>
      <c r="CI231" s="139" t="s">
        <v>733</v>
      </c>
      <c r="CJ231" s="140">
        <v>12584</v>
      </c>
      <c r="CK231" s="140" t="s">
        <v>605</v>
      </c>
      <c r="CL231" s="140">
        <v>4000000</v>
      </c>
      <c r="CM231" s="99">
        <v>11440</v>
      </c>
      <c r="CN231" s="140">
        <v>0</v>
      </c>
      <c r="CO231" s="139" t="s">
        <v>583</v>
      </c>
      <c r="CP231" s="139" t="s">
        <v>583</v>
      </c>
      <c r="CQ231" s="140">
        <v>211640</v>
      </c>
      <c r="CR231" s="140">
        <v>16960237</v>
      </c>
      <c r="CS231" s="140">
        <v>0</v>
      </c>
      <c r="CT231" s="140">
        <v>1</v>
      </c>
      <c r="CU231" s="140">
        <v>16960237.010000002</v>
      </c>
      <c r="CV231" s="99">
        <v>223446.79</v>
      </c>
      <c r="CW231" s="139" t="s">
        <v>606</v>
      </c>
      <c r="CX231" s="140">
        <v>19.5321</v>
      </c>
      <c r="CY231" s="140"/>
      <c r="CZ231" s="140"/>
      <c r="DA231" s="140" t="s">
        <v>856</v>
      </c>
      <c r="DB231" s="140">
        <v>1137</v>
      </c>
      <c r="DC231" s="140"/>
    </row>
    <row r="232" spans="2:107" ht="11.25" customHeight="1" x14ac:dyDescent="0.15">
      <c r="B232" s="139" t="s">
        <v>577</v>
      </c>
      <c r="C232" s="140" t="s">
        <v>1768</v>
      </c>
      <c r="D232" s="140">
        <v>3</v>
      </c>
      <c r="E232" s="139" t="s">
        <v>1769</v>
      </c>
      <c r="F232" s="139" t="s">
        <v>618</v>
      </c>
      <c r="G232" s="140" t="s">
        <v>1768</v>
      </c>
      <c r="H232" s="139" t="s">
        <v>1770</v>
      </c>
      <c r="I232" s="140" t="s">
        <v>421</v>
      </c>
      <c r="J232" s="139" t="s">
        <v>582</v>
      </c>
      <c r="K232" s="139" t="s">
        <v>583</v>
      </c>
      <c r="L232" s="139" t="s">
        <v>583</v>
      </c>
      <c r="M232" s="139" t="s">
        <v>583</v>
      </c>
      <c r="N232" s="139" t="s">
        <v>441</v>
      </c>
      <c r="O232" s="139" t="s">
        <v>1771</v>
      </c>
      <c r="P232" s="139" t="s">
        <v>583</v>
      </c>
      <c r="Q232" s="139" t="s">
        <v>583</v>
      </c>
      <c r="R232" s="140">
        <v>1</v>
      </c>
      <c r="S232" s="140">
        <v>0</v>
      </c>
      <c r="T232" s="140">
        <v>1</v>
      </c>
      <c r="U232" s="140">
        <v>357</v>
      </c>
      <c r="V232" s="139" t="s">
        <v>691</v>
      </c>
      <c r="W232" s="139" t="s">
        <v>692</v>
      </c>
      <c r="X232" s="139" t="s">
        <v>693</v>
      </c>
      <c r="Y232" s="139" t="s">
        <v>694</v>
      </c>
      <c r="Z232" s="139" t="s">
        <v>695</v>
      </c>
      <c r="AA232" s="139" t="s">
        <v>696</v>
      </c>
      <c r="AB232" s="139" t="s">
        <v>691</v>
      </c>
      <c r="AC232" s="139" t="s">
        <v>692</v>
      </c>
      <c r="AD232" s="139" t="s">
        <v>693</v>
      </c>
      <c r="AE232" s="139" t="s">
        <v>694</v>
      </c>
      <c r="AF232" s="139" t="s">
        <v>695</v>
      </c>
      <c r="AG232" s="139" t="s">
        <v>696</v>
      </c>
      <c r="AH232" s="139" t="s">
        <v>621</v>
      </c>
      <c r="AI232" s="139" t="s">
        <v>430</v>
      </c>
      <c r="AJ232" s="140">
        <v>9086961.4800000004</v>
      </c>
      <c r="AK232" s="139" t="s">
        <v>691</v>
      </c>
      <c r="AL232" s="139" t="s">
        <v>692</v>
      </c>
      <c r="AM232" s="139" t="s">
        <v>693</v>
      </c>
      <c r="AN232" s="139" t="s">
        <v>694</v>
      </c>
      <c r="AO232" s="139" t="s">
        <v>695</v>
      </c>
      <c r="AP232" s="139" t="s">
        <v>696</v>
      </c>
      <c r="AQ232" s="139" t="s">
        <v>621</v>
      </c>
      <c r="AR232" s="139" t="s">
        <v>430</v>
      </c>
      <c r="AS232" s="139" t="s">
        <v>430</v>
      </c>
      <c r="AT232" s="139" t="s">
        <v>593</v>
      </c>
      <c r="AU232" s="139" t="s">
        <v>437</v>
      </c>
      <c r="AV232" s="140">
        <v>0</v>
      </c>
      <c r="AW232" s="139" t="s">
        <v>594</v>
      </c>
      <c r="AX232" s="139" t="s">
        <v>622</v>
      </c>
      <c r="AY232" s="139" t="s">
        <v>623</v>
      </c>
      <c r="AZ232" s="140">
        <v>1</v>
      </c>
      <c r="BA232" s="139" t="s">
        <v>597</v>
      </c>
      <c r="BB232" s="140">
        <v>112812</v>
      </c>
      <c r="BC232" s="140">
        <v>9086961</v>
      </c>
      <c r="BD232" s="140">
        <v>120424.58</v>
      </c>
      <c r="BE232" s="140">
        <v>80.549599999999998</v>
      </c>
      <c r="BF232" s="139" t="s">
        <v>880</v>
      </c>
      <c r="BG232" s="139" t="s">
        <v>582</v>
      </c>
      <c r="BH232" s="139" t="s">
        <v>1018</v>
      </c>
      <c r="BI232" s="139" t="s">
        <v>598</v>
      </c>
      <c r="BJ232" s="139" t="s">
        <v>624</v>
      </c>
      <c r="BK232" s="139" t="s">
        <v>882</v>
      </c>
      <c r="BL232" s="139" t="s">
        <v>583</v>
      </c>
      <c r="BM232" s="139" t="s">
        <v>1019</v>
      </c>
      <c r="BN232" s="139" t="s">
        <v>1020</v>
      </c>
      <c r="BO232" s="139" t="s">
        <v>623</v>
      </c>
      <c r="BP232" s="139" t="s">
        <v>1772</v>
      </c>
      <c r="BQ232" s="139" t="s">
        <v>625</v>
      </c>
      <c r="BR232" s="140">
        <v>1</v>
      </c>
      <c r="BS232" s="139" t="s">
        <v>1773</v>
      </c>
      <c r="BT232" s="99">
        <f t="shared" si="14"/>
        <v>0</v>
      </c>
      <c r="BU232" s="99">
        <f t="shared" si="14"/>
        <v>0</v>
      </c>
      <c r="BV232" s="99">
        <f t="shared" si="12"/>
        <v>0</v>
      </c>
      <c r="BW232" s="139" t="s">
        <v>446</v>
      </c>
      <c r="BX232" s="139" t="s">
        <v>441</v>
      </c>
      <c r="BY232" s="140">
        <v>357</v>
      </c>
      <c r="BZ232" s="140">
        <v>0</v>
      </c>
      <c r="CA232" s="99">
        <v>71400</v>
      </c>
      <c r="CB232" s="140" t="s">
        <v>603</v>
      </c>
      <c r="CC232" s="140">
        <v>0</v>
      </c>
      <c r="CD232" s="140"/>
      <c r="CE232" s="139" t="s">
        <v>577</v>
      </c>
      <c r="CF232" s="139" t="s">
        <v>604</v>
      </c>
      <c r="CG232" s="139" t="s">
        <v>583</v>
      </c>
      <c r="CH232" s="139" t="s">
        <v>583</v>
      </c>
      <c r="CI232" s="139" t="s">
        <v>621</v>
      </c>
      <c r="CJ232" s="140">
        <v>7584</v>
      </c>
      <c r="CK232" s="140" t="s">
        <v>605</v>
      </c>
      <c r="CL232" s="140">
        <v>4000000</v>
      </c>
      <c r="CM232" s="99">
        <v>6426</v>
      </c>
      <c r="CN232" s="140">
        <v>0</v>
      </c>
      <c r="CO232" s="139" t="s">
        <v>583</v>
      </c>
      <c r="CP232" s="139" t="s">
        <v>583</v>
      </c>
      <c r="CQ232" s="140">
        <v>112812</v>
      </c>
      <c r="CR232" s="140">
        <v>9086961</v>
      </c>
      <c r="CS232" s="140">
        <v>0</v>
      </c>
      <c r="CT232" s="140">
        <v>1</v>
      </c>
      <c r="CU232" s="140">
        <v>9086961.4800000004</v>
      </c>
      <c r="CV232" s="99">
        <v>120424.58</v>
      </c>
      <c r="CW232" s="139" t="s">
        <v>606</v>
      </c>
      <c r="CX232" s="140">
        <v>18.740200000000002</v>
      </c>
      <c r="CY232" s="140">
        <v>933</v>
      </c>
      <c r="CZ232" s="140" t="s">
        <v>894</v>
      </c>
      <c r="DA232" s="140" t="s">
        <v>1480</v>
      </c>
      <c r="DB232" s="140">
        <v>760</v>
      </c>
      <c r="DC232" s="140"/>
    </row>
    <row r="233" spans="2:107" ht="11.25" customHeight="1" x14ac:dyDescent="0.15">
      <c r="B233" s="139" t="s">
        <v>577</v>
      </c>
      <c r="C233" s="140" t="s">
        <v>1774</v>
      </c>
      <c r="D233" s="140">
        <v>3</v>
      </c>
      <c r="E233" s="139" t="s">
        <v>1775</v>
      </c>
      <c r="F233" s="139" t="s">
        <v>580</v>
      </c>
      <c r="G233" s="140" t="s">
        <v>1774</v>
      </c>
      <c r="H233" s="139" t="s">
        <v>1776</v>
      </c>
      <c r="I233" s="140" t="s">
        <v>421</v>
      </c>
      <c r="J233" s="139" t="s">
        <v>582</v>
      </c>
      <c r="K233" s="139" t="s">
        <v>583</v>
      </c>
      <c r="L233" s="139" t="s">
        <v>583</v>
      </c>
      <c r="M233" s="139" t="s">
        <v>583</v>
      </c>
      <c r="N233" s="139" t="s">
        <v>731</v>
      </c>
      <c r="O233" s="139" t="s">
        <v>1099</v>
      </c>
      <c r="P233" s="139" t="s">
        <v>583</v>
      </c>
      <c r="Q233" s="139" t="s">
        <v>583</v>
      </c>
      <c r="R233" s="140">
        <v>1</v>
      </c>
      <c r="S233" s="140">
        <v>0</v>
      </c>
      <c r="T233" s="140">
        <v>1</v>
      </c>
      <c r="U233" s="140">
        <v>752</v>
      </c>
      <c r="V233" s="139" t="s">
        <v>586</v>
      </c>
      <c r="W233" s="139" t="s">
        <v>587</v>
      </c>
      <c r="X233" s="139" t="s">
        <v>588</v>
      </c>
      <c r="Y233" s="139" t="s">
        <v>589</v>
      </c>
      <c r="Z233" s="139" t="s">
        <v>590</v>
      </c>
      <c r="AA233" s="139" t="s">
        <v>591</v>
      </c>
      <c r="AB233" s="139" t="s">
        <v>586</v>
      </c>
      <c r="AC233" s="139" t="s">
        <v>587</v>
      </c>
      <c r="AD233" s="139" t="s">
        <v>588</v>
      </c>
      <c r="AE233" s="139" t="s">
        <v>589</v>
      </c>
      <c r="AF233" s="139" t="s">
        <v>590</v>
      </c>
      <c r="AG233" s="139" t="s">
        <v>591</v>
      </c>
      <c r="AH233" s="139" t="s">
        <v>733</v>
      </c>
      <c r="AI233" s="139" t="s">
        <v>432</v>
      </c>
      <c r="AJ233" s="140">
        <v>22324669.870000001</v>
      </c>
      <c r="AK233" s="139" t="s">
        <v>586</v>
      </c>
      <c r="AL233" s="139" t="s">
        <v>587</v>
      </c>
      <c r="AM233" s="139" t="s">
        <v>588</v>
      </c>
      <c r="AN233" s="139" t="s">
        <v>589</v>
      </c>
      <c r="AO233" s="139" t="s">
        <v>590</v>
      </c>
      <c r="AP233" s="139" t="s">
        <v>591</v>
      </c>
      <c r="AQ233" s="139" t="s">
        <v>733</v>
      </c>
      <c r="AR233" s="139" t="s">
        <v>432</v>
      </c>
      <c r="AS233" s="139" t="s">
        <v>432</v>
      </c>
      <c r="AT233" s="139" t="s">
        <v>593</v>
      </c>
      <c r="AU233" s="139" t="s">
        <v>437</v>
      </c>
      <c r="AV233" s="140">
        <v>2</v>
      </c>
      <c r="AW233" s="139" t="s">
        <v>594</v>
      </c>
      <c r="AX233" s="139" t="s">
        <v>653</v>
      </c>
      <c r="AY233" s="139" t="s">
        <v>850</v>
      </c>
      <c r="AZ233" s="140">
        <v>1</v>
      </c>
      <c r="BA233" s="139" t="s">
        <v>597</v>
      </c>
      <c r="BB233" s="140">
        <v>278240</v>
      </c>
      <c r="BC233" s="140">
        <v>22324670</v>
      </c>
      <c r="BD233" s="140">
        <v>295797.56</v>
      </c>
      <c r="BE233" s="140">
        <v>80.235299999999995</v>
      </c>
      <c r="BF233" s="139" t="s">
        <v>880</v>
      </c>
      <c r="BG233" s="139" t="s">
        <v>583</v>
      </c>
      <c r="BH233" s="139" t="s">
        <v>987</v>
      </c>
      <c r="BI233" s="139" t="s">
        <v>598</v>
      </c>
      <c r="BJ233" s="139" t="s">
        <v>1100</v>
      </c>
      <c r="BK233" s="139" t="s">
        <v>1101</v>
      </c>
      <c r="BL233" s="139" t="s">
        <v>1101</v>
      </c>
      <c r="BM233" s="139" t="s">
        <v>583</v>
      </c>
      <c r="BN233" s="139" t="s">
        <v>1102</v>
      </c>
      <c r="BO233" s="139" t="s">
        <v>1103</v>
      </c>
      <c r="BP233" s="139" t="s">
        <v>1686</v>
      </c>
      <c r="BQ233" s="139" t="s">
        <v>600</v>
      </c>
      <c r="BR233" s="140">
        <v>1</v>
      </c>
      <c r="BS233" s="139" t="s">
        <v>988</v>
      </c>
      <c r="BT233" s="99">
        <f t="shared" si="14"/>
        <v>0</v>
      </c>
      <c r="BU233" s="99">
        <f t="shared" si="14"/>
        <v>1</v>
      </c>
      <c r="BV233" s="99">
        <f t="shared" si="12"/>
        <v>1</v>
      </c>
      <c r="BW233" s="139" t="s">
        <v>602</v>
      </c>
      <c r="BX233" s="139" t="s">
        <v>731</v>
      </c>
      <c r="BY233" s="140">
        <v>752</v>
      </c>
      <c r="BZ233" s="140">
        <v>0</v>
      </c>
      <c r="CA233" s="99">
        <v>150400</v>
      </c>
      <c r="CB233" s="140" t="s">
        <v>603</v>
      </c>
      <c r="CC233" s="140">
        <v>0</v>
      </c>
      <c r="CD233" s="140"/>
      <c r="CE233" s="139" t="s">
        <v>577</v>
      </c>
      <c r="CF233" s="139" t="s">
        <v>604</v>
      </c>
      <c r="CG233" s="139" t="s">
        <v>583</v>
      </c>
      <c r="CH233" s="139" t="s">
        <v>583</v>
      </c>
      <c r="CI233" s="139" t="s">
        <v>733</v>
      </c>
      <c r="CJ233" s="140">
        <v>16544</v>
      </c>
      <c r="CK233" s="140" t="s">
        <v>605</v>
      </c>
      <c r="CL233" s="140">
        <v>4000000</v>
      </c>
      <c r="CM233" s="99">
        <v>15040</v>
      </c>
      <c r="CN233" s="140">
        <v>0</v>
      </c>
      <c r="CO233" s="139" t="s">
        <v>583</v>
      </c>
      <c r="CP233" s="139" t="s">
        <v>583</v>
      </c>
      <c r="CQ233" s="140">
        <v>278240</v>
      </c>
      <c r="CR233" s="140">
        <v>22324670</v>
      </c>
      <c r="CS233" s="140">
        <v>0</v>
      </c>
      <c r="CT233" s="140">
        <v>1</v>
      </c>
      <c r="CU233" s="140">
        <v>22324669.870000001</v>
      </c>
      <c r="CV233" s="99">
        <v>295797.56</v>
      </c>
      <c r="CW233" s="139" t="s">
        <v>606</v>
      </c>
      <c r="CX233" s="140">
        <v>19.667400000000001</v>
      </c>
      <c r="CY233" s="140"/>
      <c r="CZ233" s="140"/>
      <c r="DA233" s="140" t="s">
        <v>856</v>
      </c>
      <c r="DB233" s="140">
        <v>1025</v>
      </c>
      <c r="DC233" s="140"/>
    </row>
    <row r="234" spans="2:107" ht="11.25" customHeight="1" x14ac:dyDescent="0.15">
      <c r="B234" s="139" t="s">
        <v>577</v>
      </c>
      <c r="C234" s="140" t="s">
        <v>1777</v>
      </c>
      <c r="D234" s="140">
        <v>3</v>
      </c>
      <c r="E234" s="139" t="s">
        <v>1778</v>
      </c>
      <c r="F234" s="139" t="s">
        <v>718</v>
      </c>
      <c r="G234" s="140" t="s">
        <v>1777</v>
      </c>
      <c r="H234" s="139" t="s">
        <v>1779</v>
      </c>
      <c r="I234" s="140" t="s">
        <v>421</v>
      </c>
      <c r="J234" s="139" t="s">
        <v>582</v>
      </c>
      <c r="K234" s="139" t="s">
        <v>583</v>
      </c>
      <c r="L234" s="139" t="s">
        <v>583</v>
      </c>
      <c r="M234" s="139" t="s">
        <v>583</v>
      </c>
      <c r="N234" s="139" t="s">
        <v>997</v>
      </c>
      <c r="O234" s="139" t="s">
        <v>1780</v>
      </c>
      <c r="P234" s="139" t="s">
        <v>583</v>
      </c>
      <c r="Q234" s="139" t="s">
        <v>583</v>
      </c>
      <c r="R234" s="140">
        <v>1</v>
      </c>
      <c r="S234" s="140">
        <v>0</v>
      </c>
      <c r="T234" s="140">
        <v>1</v>
      </c>
      <c r="U234" s="140">
        <v>29</v>
      </c>
      <c r="V234" s="139" t="s">
        <v>1781</v>
      </c>
      <c r="W234" s="139" t="s">
        <v>1782</v>
      </c>
      <c r="X234" s="139" t="s">
        <v>1783</v>
      </c>
      <c r="Y234" s="139" t="s">
        <v>1784</v>
      </c>
      <c r="Z234" s="139" t="s">
        <v>666</v>
      </c>
      <c r="AA234" s="139" t="s">
        <v>1785</v>
      </c>
      <c r="AB234" s="139" t="s">
        <v>1781</v>
      </c>
      <c r="AC234" s="139" t="s">
        <v>1782</v>
      </c>
      <c r="AD234" s="139" t="s">
        <v>1783</v>
      </c>
      <c r="AE234" s="139" t="s">
        <v>1784</v>
      </c>
      <c r="AF234" s="139" t="s">
        <v>666</v>
      </c>
      <c r="AG234" s="139" t="s">
        <v>1785</v>
      </c>
      <c r="AH234" s="139" t="s">
        <v>751</v>
      </c>
      <c r="AI234" s="139" t="s">
        <v>433</v>
      </c>
      <c r="AJ234" s="140">
        <v>1291860.3600000001</v>
      </c>
      <c r="AK234" s="139" t="s">
        <v>1781</v>
      </c>
      <c r="AL234" s="139" t="s">
        <v>1782</v>
      </c>
      <c r="AM234" s="139" t="s">
        <v>1783</v>
      </c>
      <c r="AN234" s="139" t="s">
        <v>1784</v>
      </c>
      <c r="AO234" s="139" t="s">
        <v>666</v>
      </c>
      <c r="AP234" s="139" t="s">
        <v>1785</v>
      </c>
      <c r="AQ234" s="139" t="s">
        <v>751</v>
      </c>
      <c r="AR234" s="139" t="s">
        <v>433</v>
      </c>
      <c r="AS234" s="139" t="s">
        <v>433</v>
      </c>
      <c r="AT234" s="139" t="s">
        <v>593</v>
      </c>
      <c r="AU234" s="139" t="s">
        <v>437</v>
      </c>
      <c r="AV234" s="140">
        <v>2</v>
      </c>
      <c r="AW234" s="139" t="s">
        <v>594</v>
      </c>
      <c r="AX234" s="139" t="s">
        <v>1786</v>
      </c>
      <c r="AY234" s="139" t="s">
        <v>1787</v>
      </c>
      <c r="AZ234" s="140">
        <v>1</v>
      </c>
      <c r="BA234" s="139" t="s">
        <v>597</v>
      </c>
      <c r="BB234" s="140">
        <v>15080</v>
      </c>
      <c r="BC234" s="140">
        <v>1207107</v>
      </c>
      <c r="BD234" s="140">
        <v>17119.98</v>
      </c>
      <c r="BE234" s="140">
        <v>80.046899999999994</v>
      </c>
      <c r="BF234" s="139" t="s">
        <v>880</v>
      </c>
      <c r="BG234" s="139" t="s">
        <v>583</v>
      </c>
      <c r="BH234" s="139" t="s">
        <v>583</v>
      </c>
      <c r="BI234" s="139" t="s">
        <v>598</v>
      </c>
      <c r="BJ234" s="139" t="s">
        <v>624</v>
      </c>
      <c r="BK234" s="139" t="s">
        <v>1788</v>
      </c>
      <c r="BL234" s="139" t="s">
        <v>583</v>
      </c>
      <c r="BM234" s="139" t="s">
        <v>1789</v>
      </c>
      <c r="BN234" s="139" t="s">
        <v>1790</v>
      </c>
      <c r="BO234" s="139" t="s">
        <v>1791</v>
      </c>
      <c r="BP234" s="139" t="s">
        <v>1792</v>
      </c>
      <c r="BQ234" s="139" t="s">
        <v>1793</v>
      </c>
      <c r="BR234" s="140">
        <v>1</v>
      </c>
      <c r="BS234" s="139" t="s">
        <v>1794</v>
      </c>
      <c r="BT234" s="99">
        <f t="shared" si="14"/>
        <v>0</v>
      </c>
      <c r="BU234" s="99">
        <f t="shared" si="14"/>
        <v>0</v>
      </c>
      <c r="BV234" s="99">
        <f t="shared" si="12"/>
        <v>0</v>
      </c>
      <c r="BW234" s="139" t="s">
        <v>602</v>
      </c>
      <c r="BX234" s="139" t="s">
        <v>1795</v>
      </c>
      <c r="BY234" s="140">
        <v>29</v>
      </c>
      <c r="BZ234" s="140">
        <v>0</v>
      </c>
      <c r="CA234" s="99">
        <v>5800</v>
      </c>
      <c r="CB234" s="140" t="s">
        <v>603</v>
      </c>
      <c r="CC234" s="140">
        <v>0</v>
      </c>
      <c r="CD234" s="140"/>
      <c r="CE234" s="139" t="s">
        <v>577</v>
      </c>
      <c r="CF234" s="139" t="s">
        <v>775</v>
      </c>
      <c r="CG234" s="139" t="s">
        <v>583</v>
      </c>
      <c r="CH234" s="139" t="s">
        <v>583</v>
      </c>
      <c r="CI234" s="139" t="s">
        <v>751</v>
      </c>
      <c r="CJ234" s="140">
        <v>568.4</v>
      </c>
      <c r="CK234" s="140" t="s">
        <v>657</v>
      </c>
      <c r="CL234" s="140">
        <v>4000000</v>
      </c>
      <c r="CM234" s="99">
        <v>464</v>
      </c>
      <c r="CN234" s="140">
        <v>0</v>
      </c>
      <c r="CO234" s="139" t="s">
        <v>583</v>
      </c>
      <c r="CP234" s="139" t="s">
        <v>583</v>
      </c>
      <c r="CQ234" s="140">
        <v>15080</v>
      </c>
      <c r="CR234" s="140">
        <v>1207107</v>
      </c>
      <c r="CS234" s="140">
        <v>1</v>
      </c>
      <c r="CT234" s="140">
        <v>6</v>
      </c>
      <c r="CU234" s="140">
        <v>1291860.3600000001</v>
      </c>
      <c r="CV234" s="99">
        <v>17119.98</v>
      </c>
      <c r="CW234" s="139" t="s">
        <v>606</v>
      </c>
      <c r="CX234" s="140">
        <v>36.896500000000003</v>
      </c>
      <c r="CY234" s="140">
        <v>1394</v>
      </c>
      <c r="CZ234" s="140">
        <v>98</v>
      </c>
      <c r="DA234" s="140" t="s">
        <v>1796</v>
      </c>
      <c r="DB234" s="140">
        <v>9</v>
      </c>
      <c r="DC234" s="140"/>
    </row>
    <row r="235" spans="2:107" ht="11.25" customHeight="1" x14ac:dyDescent="0.15">
      <c r="B235" s="139" t="s">
        <v>577</v>
      </c>
      <c r="C235" s="140" t="s">
        <v>1777</v>
      </c>
      <c r="D235" s="140">
        <v>3</v>
      </c>
      <c r="E235" s="139" t="s">
        <v>1797</v>
      </c>
      <c r="F235" s="139" t="s">
        <v>580</v>
      </c>
      <c r="G235" s="140" t="s">
        <v>1777</v>
      </c>
      <c r="H235" s="139" t="s">
        <v>1798</v>
      </c>
      <c r="I235" s="140" t="s">
        <v>421</v>
      </c>
      <c r="J235" s="139" t="s">
        <v>582</v>
      </c>
      <c r="K235" s="139" t="s">
        <v>583</v>
      </c>
      <c r="L235" s="139" t="s">
        <v>583</v>
      </c>
      <c r="M235" s="139" t="s">
        <v>583</v>
      </c>
      <c r="N235" s="139" t="s">
        <v>1417</v>
      </c>
      <c r="O235" s="139" t="s">
        <v>1724</v>
      </c>
      <c r="P235" s="139" t="s">
        <v>583</v>
      </c>
      <c r="Q235" s="139" t="s">
        <v>583</v>
      </c>
      <c r="R235" s="140">
        <v>2</v>
      </c>
      <c r="S235" s="140">
        <v>0</v>
      </c>
      <c r="T235" s="140">
        <v>2</v>
      </c>
      <c r="U235" s="140">
        <v>21</v>
      </c>
      <c r="V235" s="139" t="s">
        <v>1069</v>
      </c>
      <c r="W235" s="139" t="s">
        <v>1070</v>
      </c>
      <c r="X235" s="139" t="s">
        <v>1071</v>
      </c>
      <c r="Y235" s="139" t="s">
        <v>1072</v>
      </c>
      <c r="Z235" s="139" t="s">
        <v>590</v>
      </c>
      <c r="AA235" s="139" t="s">
        <v>1073</v>
      </c>
      <c r="AB235" s="139" t="s">
        <v>1069</v>
      </c>
      <c r="AC235" s="139" t="s">
        <v>1070</v>
      </c>
      <c r="AD235" s="139" t="s">
        <v>1071</v>
      </c>
      <c r="AE235" s="139" t="s">
        <v>1072</v>
      </c>
      <c r="AF235" s="139" t="s">
        <v>590</v>
      </c>
      <c r="AG235" s="139" t="s">
        <v>1073</v>
      </c>
      <c r="AH235" s="139" t="s">
        <v>1074</v>
      </c>
      <c r="AI235" s="139" t="s">
        <v>435</v>
      </c>
      <c r="AJ235" s="140">
        <v>5131006.29</v>
      </c>
      <c r="AK235" s="139" t="s">
        <v>1069</v>
      </c>
      <c r="AL235" s="139" t="s">
        <v>1070</v>
      </c>
      <c r="AM235" s="139" t="s">
        <v>1071</v>
      </c>
      <c r="AN235" s="139" t="s">
        <v>1072</v>
      </c>
      <c r="AO235" s="139" t="s">
        <v>590</v>
      </c>
      <c r="AP235" s="139" t="s">
        <v>1073</v>
      </c>
      <c r="AQ235" s="139" t="s">
        <v>1074</v>
      </c>
      <c r="AR235" s="139" t="s">
        <v>435</v>
      </c>
      <c r="AS235" s="139" t="s">
        <v>435</v>
      </c>
      <c r="AT235" s="139" t="s">
        <v>593</v>
      </c>
      <c r="AU235" s="139" t="s">
        <v>437</v>
      </c>
      <c r="AV235" s="140">
        <v>2</v>
      </c>
      <c r="AW235" s="139" t="s">
        <v>594</v>
      </c>
      <c r="AX235" s="139" t="s">
        <v>653</v>
      </c>
      <c r="AY235" s="139" t="s">
        <v>1075</v>
      </c>
      <c r="AZ235" s="140">
        <v>1</v>
      </c>
      <c r="BA235" s="139" t="s">
        <v>597</v>
      </c>
      <c r="BB235" s="140">
        <v>64100</v>
      </c>
      <c r="BC235" s="140">
        <v>5131006</v>
      </c>
      <c r="BD235" s="140">
        <v>67997.09</v>
      </c>
      <c r="BE235" s="140">
        <v>80.046899999999994</v>
      </c>
      <c r="BF235" s="139" t="s">
        <v>880</v>
      </c>
      <c r="BG235" s="139" t="s">
        <v>583</v>
      </c>
      <c r="BH235" s="139" t="s">
        <v>1076</v>
      </c>
      <c r="BI235" s="139" t="s">
        <v>598</v>
      </c>
      <c r="BJ235" s="139" t="s">
        <v>599</v>
      </c>
      <c r="BK235" s="139" t="s">
        <v>583</v>
      </c>
      <c r="BL235" s="139" t="s">
        <v>583</v>
      </c>
      <c r="BM235" s="139" t="s">
        <v>583</v>
      </c>
      <c r="BN235" s="139" t="s">
        <v>842</v>
      </c>
      <c r="BO235" s="139" t="s">
        <v>843</v>
      </c>
      <c r="BP235" s="139" t="s">
        <v>830</v>
      </c>
      <c r="BQ235" s="139" t="s">
        <v>723</v>
      </c>
      <c r="BR235" s="140">
        <v>2</v>
      </c>
      <c r="BS235" s="139" t="s">
        <v>1799</v>
      </c>
      <c r="BT235" s="99">
        <f t="shared" si="14"/>
        <v>1</v>
      </c>
      <c r="BU235" s="99">
        <f t="shared" si="14"/>
        <v>0</v>
      </c>
      <c r="BV235" s="99">
        <f t="shared" si="12"/>
        <v>1</v>
      </c>
      <c r="BW235" s="139" t="s">
        <v>1078</v>
      </c>
      <c r="BX235" s="139" t="s">
        <v>1257</v>
      </c>
      <c r="BY235" s="140">
        <v>1</v>
      </c>
      <c r="BZ235" s="140">
        <v>0</v>
      </c>
      <c r="CA235" s="99">
        <v>2000</v>
      </c>
      <c r="CB235" s="140" t="s">
        <v>603</v>
      </c>
      <c r="CC235" s="140">
        <v>0</v>
      </c>
      <c r="CD235" s="140"/>
      <c r="CE235" s="139" t="s">
        <v>1080</v>
      </c>
      <c r="CF235" s="139" t="s">
        <v>604</v>
      </c>
      <c r="CG235" s="139" t="s">
        <v>583</v>
      </c>
      <c r="CH235" s="139" t="s">
        <v>583</v>
      </c>
      <c r="CI235" s="139" t="s">
        <v>1074</v>
      </c>
      <c r="CJ235" s="140">
        <v>215</v>
      </c>
      <c r="CK235" s="140" t="s">
        <v>605</v>
      </c>
      <c r="CL235" s="140">
        <v>4000000</v>
      </c>
      <c r="CM235" s="99">
        <v>190</v>
      </c>
      <c r="CN235" s="140">
        <v>0</v>
      </c>
      <c r="CO235" s="139" t="s">
        <v>583</v>
      </c>
      <c r="CP235" s="139" t="s">
        <v>583</v>
      </c>
      <c r="CQ235" s="140">
        <v>4130.5</v>
      </c>
      <c r="CR235" s="140">
        <v>330634</v>
      </c>
      <c r="CS235" s="140">
        <v>0</v>
      </c>
      <c r="CT235" s="140">
        <v>1</v>
      </c>
      <c r="CU235" s="140">
        <v>330633.71999999997</v>
      </c>
      <c r="CV235" s="99">
        <v>4381.62</v>
      </c>
      <c r="CW235" s="139" t="s">
        <v>606</v>
      </c>
      <c r="CX235" s="140">
        <v>23.061199999999999</v>
      </c>
      <c r="CY235" s="140">
        <v>1535</v>
      </c>
      <c r="CZ235" s="140" t="s">
        <v>1603</v>
      </c>
      <c r="DA235" s="140" t="s">
        <v>1119</v>
      </c>
      <c r="DB235" s="140">
        <v>1066</v>
      </c>
      <c r="DC235" s="140"/>
    </row>
    <row r="236" spans="2:107" ht="11.25" customHeight="1" x14ac:dyDescent="0.15">
      <c r="B236" s="139" t="s">
        <v>577</v>
      </c>
      <c r="C236" s="140" t="s">
        <v>1777</v>
      </c>
      <c r="D236" s="140">
        <v>3</v>
      </c>
      <c r="E236" s="139" t="s">
        <v>1800</v>
      </c>
      <c r="F236" s="139" t="s">
        <v>718</v>
      </c>
      <c r="G236" s="140" t="s">
        <v>1801</v>
      </c>
      <c r="H236" s="139" t="s">
        <v>1802</v>
      </c>
      <c r="I236" s="140" t="s">
        <v>421</v>
      </c>
      <c r="J236" s="139" t="s">
        <v>582</v>
      </c>
      <c r="K236" s="139" t="s">
        <v>1133</v>
      </c>
      <c r="L236" s="139" t="s">
        <v>583</v>
      </c>
      <c r="M236" s="139" t="s">
        <v>583</v>
      </c>
      <c r="N236" s="139" t="s">
        <v>731</v>
      </c>
      <c r="O236" s="139" t="s">
        <v>1099</v>
      </c>
      <c r="P236" s="139" t="s">
        <v>583</v>
      </c>
      <c r="Q236" s="139" t="s">
        <v>583</v>
      </c>
      <c r="R236" s="140">
        <v>1</v>
      </c>
      <c r="S236" s="140">
        <v>0</v>
      </c>
      <c r="T236" s="140">
        <v>1</v>
      </c>
      <c r="U236" s="140">
        <v>387</v>
      </c>
      <c r="V236" s="139" t="s">
        <v>1218</v>
      </c>
      <c r="W236" s="139" t="s">
        <v>1219</v>
      </c>
      <c r="X236" s="139" t="s">
        <v>1220</v>
      </c>
      <c r="Y236" s="139" t="s">
        <v>1221</v>
      </c>
      <c r="Z236" s="139" t="s">
        <v>666</v>
      </c>
      <c r="AA236" s="139" t="s">
        <v>1222</v>
      </c>
      <c r="AB236" s="139" t="s">
        <v>1218</v>
      </c>
      <c r="AC236" s="139" t="s">
        <v>1219</v>
      </c>
      <c r="AD236" s="139" t="s">
        <v>1220</v>
      </c>
      <c r="AE236" s="139" t="s">
        <v>1221</v>
      </c>
      <c r="AF236" s="139" t="s">
        <v>666</v>
      </c>
      <c r="AG236" s="139" t="s">
        <v>1222</v>
      </c>
      <c r="AH236" s="139" t="s">
        <v>733</v>
      </c>
      <c r="AI236" s="139" t="s">
        <v>432</v>
      </c>
      <c r="AJ236" s="140">
        <v>12462120.9</v>
      </c>
      <c r="AK236" s="139" t="s">
        <v>1218</v>
      </c>
      <c r="AL236" s="139" t="s">
        <v>1219</v>
      </c>
      <c r="AM236" s="139" t="s">
        <v>1220</v>
      </c>
      <c r="AN236" s="139" t="s">
        <v>1221</v>
      </c>
      <c r="AO236" s="139" t="s">
        <v>666</v>
      </c>
      <c r="AP236" s="139" t="s">
        <v>1222</v>
      </c>
      <c r="AQ236" s="139" t="s">
        <v>733</v>
      </c>
      <c r="AR236" s="139" t="s">
        <v>432</v>
      </c>
      <c r="AS236" s="139" t="s">
        <v>432</v>
      </c>
      <c r="AT236" s="139" t="s">
        <v>593</v>
      </c>
      <c r="AU236" s="139" t="s">
        <v>437</v>
      </c>
      <c r="AV236" s="140">
        <v>2</v>
      </c>
      <c r="AW236" s="139" t="s">
        <v>594</v>
      </c>
      <c r="AX236" s="139" t="s">
        <v>653</v>
      </c>
      <c r="AY236" s="139" t="s">
        <v>1223</v>
      </c>
      <c r="AZ236" s="140">
        <v>1</v>
      </c>
      <c r="BA236" s="139" t="s">
        <v>597</v>
      </c>
      <c r="BB236" s="140">
        <v>155408</v>
      </c>
      <c r="BC236" s="140">
        <v>12462121</v>
      </c>
      <c r="BD236" s="140">
        <v>165120.47</v>
      </c>
      <c r="BE236" s="140">
        <v>80.189700000000002</v>
      </c>
      <c r="BF236" s="139" t="s">
        <v>880</v>
      </c>
      <c r="BG236" s="139" t="s">
        <v>583</v>
      </c>
      <c r="BH236" s="139" t="s">
        <v>1224</v>
      </c>
      <c r="BI236" s="139" t="s">
        <v>598</v>
      </c>
      <c r="BJ236" s="139" t="s">
        <v>599</v>
      </c>
      <c r="BK236" s="139" t="s">
        <v>583</v>
      </c>
      <c r="BL236" s="139" t="s">
        <v>583</v>
      </c>
      <c r="BM236" s="139" t="s">
        <v>1225</v>
      </c>
      <c r="BN236" s="139" t="s">
        <v>1226</v>
      </c>
      <c r="BO236" s="139" t="s">
        <v>1227</v>
      </c>
      <c r="BP236" s="139" t="s">
        <v>1803</v>
      </c>
      <c r="BQ236" s="139" t="s">
        <v>1229</v>
      </c>
      <c r="BR236" s="140">
        <v>1</v>
      </c>
      <c r="BS236" s="139" t="s">
        <v>1804</v>
      </c>
      <c r="BT236" s="99">
        <f t="shared" si="14"/>
        <v>0</v>
      </c>
      <c r="BU236" s="99">
        <f t="shared" si="14"/>
        <v>1</v>
      </c>
      <c r="BV236" s="99">
        <f t="shared" si="12"/>
        <v>1</v>
      </c>
      <c r="BW236" s="139" t="s">
        <v>602</v>
      </c>
      <c r="BX236" s="139" t="s">
        <v>731</v>
      </c>
      <c r="BY236" s="140">
        <v>387</v>
      </c>
      <c r="BZ236" s="140">
        <v>0</v>
      </c>
      <c r="CA236" s="99">
        <v>77400</v>
      </c>
      <c r="CB236" s="140" t="s">
        <v>603</v>
      </c>
      <c r="CC236" s="140">
        <v>0</v>
      </c>
      <c r="CD236" s="140"/>
      <c r="CE236" s="139" t="s">
        <v>577</v>
      </c>
      <c r="CF236" s="139" t="s">
        <v>604</v>
      </c>
      <c r="CG236" s="139" t="s">
        <v>583</v>
      </c>
      <c r="CH236" s="139" t="s">
        <v>583</v>
      </c>
      <c r="CI236" s="139" t="s">
        <v>733</v>
      </c>
      <c r="CJ236" s="140">
        <v>8514</v>
      </c>
      <c r="CK236" s="140" t="s">
        <v>605</v>
      </c>
      <c r="CL236" s="140">
        <v>4000000</v>
      </c>
      <c r="CM236" s="99">
        <v>7740</v>
      </c>
      <c r="CN236" s="140">
        <v>0</v>
      </c>
      <c r="CO236" s="139" t="s">
        <v>583</v>
      </c>
      <c r="CP236" s="139" t="s">
        <v>583</v>
      </c>
      <c r="CQ236" s="140">
        <v>155408</v>
      </c>
      <c r="CR236" s="140">
        <v>12462121</v>
      </c>
      <c r="CS236" s="140">
        <v>0</v>
      </c>
      <c r="CT236" s="140">
        <v>1</v>
      </c>
      <c r="CU236" s="140">
        <v>12462120.9</v>
      </c>
      <c r="CV236" s="99">
        <v>165120.47</v>
      </c>
      <c r="CW236" s="139" t="s">
        <v>606</v>
      </c>
      <c r="CX236" s="140">
        <v>21.333400000000001</v>
      </c>
      <c r="CY236" s="140"/>
      <c r="CZ236" s="140"/>
      <c r="DA236" s="140" t="s">
        <v>1231</v>
      </c>
      <c r="DB236" s="140">
        <v>9</v>
      </c>
      <c r="DC236" s="140"/>
    </row>
    <row r="237" spans="2:107" ht="11.25" customHeight="1" x14ac:dyDescent="0.15">
      <c r="B237" s="139" t="s">
        <v>577</v>
      </c>
      <c r="C237" s="140" t="s">
        <v>1777</v>
      </c>
      <c r="D237" s="140">
        <v>3</v>
      </c>
      <c r="E237" s="139" t="s">
        <v>1805</v>
      </c>
      <c r="F237" s="139" t="s">
        <v>729</v>
      </c>
      <c r="G237" s="140" t="s">
        <v>1777</v>
      </c>
      <c r="H237" s="139" t="s">
        <v>1806</v>
      </c>
      <c r="I237" s="140" t="s">
        <v>421</v>
      </c>
      <c r="J237" s="139" t="s">
        <v>582</v>
      </c>
      <c r="K237" s="139" t="s">
        <v>583</v>
      </c>
      <c r="L237" s="139" t="s">
        <v>583</v>
      </c>
      <c r="M237" s="139" t="s">
        <v>583</v>
      </c>
      <c r="N237" s="139" t="s">
        <v>444</v>
      </c>
      <c r="O237" s="139" t="s">
        <v>1128</v>
      </c>
      <c r="P237" s="139" t="s">
        <v>583</v>
      </c>
      <c r="Q237" s="139" t="s">
        <v>583</v>
      </c>
      <c r="R237" s="140">
        <v>1</v>
      </c>
      <c r="S237" s="140">
        <v>0</v>
      </c>
      <c r="T237" s="140">
        <v>1</v>
      </c>
      <c r="U237" s="140">
        <v>8</v>
      </c>
      <c r="V237" s="139" t="s">
        <v>709</v>
      </c>
      <c r="W237" s="139" t="s">
        <v>710</v>
      </c>
      <c r="X237" s="139" t="s">
        <v>711</v>
      </c>
      <c r="Y237" s="139" t="s">
        <v>789</v>
      </c>
      <c r="Z237" s="139" t="s">
        <v>713</v>
      </c>
      <c r="AA237" s="139" t="s">
        <v>714</v>
      </c>
      <c r="AB237" s="139" t="s">
        <v>709</v>
      </c>
      <c r="AC237" s="139" t="s">
        <v>710</v>
      </c>
      <c r="AD237" s="139" t="s">
        <v>711</v>
      </c>
      <c r="AE237" s="139" t="s">
        <v>789</v>
      </c>
      <c r="AF237" s="139" t="s">
        <v>713</v>
      </c>
      <c r="AG237" s="139" t="s">
        <v>714</v>
      </c>
      <c r="AH237" s="139" t="s">
        <v>751</v>
      </c>
      <c r="AI237" s="139" t="s">
        <v>433</v>
      </c>
      <c r="AJ237" s="140">
        <v>4506640.47</v>
      </c>
      <c r="AK237" s="139" t="s">
        <v>709</v>
      </c>
      <c r="AL237" s="139" t="s">
        <v>710</v>
      </c>
      <c r="AM237" s="139" t="s">
        <v>711</v>
      </c>
      <c r="AN237" s="139" t="s">
        <v>789</v>
      </c>
      <c r="AO237" s="139" t="s">
        <v>713</v>
      </c>
      <c r="AP237" s="139" t="s">
        <v>714</v>
      </c>
      <c r="AQ237" s="139" t="s">
        <v>751</v>
      </c>
      <c r="AR237" s="139" t="s">
        <v>433</v>
      </c>
      <c r="AS237" s="139" t="s">
        <v>433</v>
      </c>
      <c r="AT237" s="139" t="s">
        <v>593</v>
      </c>
      <c r="AU237" s="139" t="s">
        <v>437</v>
      </c>
      <c r="AV237" s="140">
        <v>2</v>
      </c>
      <c r="AW237" s="139" t="s">
        <v>594</v>
      </c>
      <c r="AX237" s="139" t="s">
        <v>653</v>
      </c>
      <c r="AY237" s="139" t="s">
        <v>790</v>
      </c>
      <c r="AZ237" s="140">
        <v>1</v>
      </c>
      <c r="BA237" s="139" t="s">
        <v>597</v>
      </c>
      <c r="BB237" s="140">
        <v>56300</v>
      </c>
      <c r="BC237" s="140">
        <v>4506640</v>
      </c>
      <c r="BD237" s="140">
        <v>59722.879999999997</v>
      </c>
      <c r="BE237" s="140">
        <v>80.046899999999994</v>
      </c>
      <c r="BF237" s="139" t="s">
        <v>880</v>
      </c>
      <c r="BG237" s="139" t="s">
        <v>583</v>
      </c>
      <c r="BH237" s="139" t="s">
        <v>1059</v>
      </c>
      <c r="BI237" s="139" t="s">
        <v>598</v>
      </c>
      <c r="BJ237" s="139" t="s">
        <v>599</v>
      </c>
      <c r="BK237" s="139" t="s">
        <v>583</v>
      </c>
      <c r="BL237" s="139" t="s">
        <v>1060</v>
      </c>
      <c r="BM237" s="139" t="s">
        <v>583</v>
      </c>
      <c r="BN237" s="139" t="s">
        <v>842</v>
      </c>
      <c r="BO237" s="139" t="s">
        <v>843</v>
      </c>
      <c r="BP237" s="139" t="s">
        <v>830</v>
      </c>
      <c r="BQ237" s="139" t="s">
        <v>723</v>
      </c>
      <c r="BR237" s="140">
        <v>1</v>
      </c>
      <c r="BS237" s="139" t="s">
        <v>1807</v>
      </c>
      <c r="BT237" s="99">
        <f t="shared" si="14"/>
        <v>0</v>
      </c>
      <c r="BU237" s="99">
        <f t="shared" si="14"/>
        <v>0</v>
      </c>
      <c r="BV237" s="99">
        <f t="shared" si="12"/>
        <v>0</v>
      </c>
      <c r="BW237" s="139" t="s">
        <v>602</v>
      </c>
      <c r="BX237" s="139" t="s">
        <v>443</v>
      </c>
      <c r="BY237" s="140">
        <v>8</v>
      </c>
      <c r="BZ237" s="140">
        <v>0</v>
      </c>
      <c r="CA237" s="99">
        <v>36000</v>
      </c>
      <c r="CB237" s="140" t="s">
        <v>603</v>
      </c>
      <c r="CC237" s="140">
        <v>0</v>
      </c>
      <c r="CD237" s="140"/>
      <c r="CE237" s="139" t="s">
        <v>577</v>
      </c>
      <c r="CF237" s="139" t="s">
        <v>604</v>
      </c>
      <c r="CG237" s="139" t="s">
        <v>583</v>
      </c>
      <c r="CH237" s="139" t="s">
        <v>583</v>
      </c>
      <c r="CI237" s="139" t="s">
        <v>751</v>
      </c>
      <c r="CJ237" s="140">
        <v>3780</v>
      </c>
      <c r="CK237" s="140" t="s">
        <v>605</v>
      </c>
      <c r="CL237" s="140">
        <v>4000000</v>
      </c>
      <c r="CM237" s="99">
        <v>3600</v>
      </c>
      <c r="CN237" s="140">
        <v>0</v>
      </c>
      <c r="CO237" s="139" t="s">
        <v>583</v>
      </c>
      <c r="CP237" s="139" t="s">
        <v>583</v>
      </c>
      <c r="CQ237" s="140">
        <v>56300</v>
      </c>
      <c r="CR237" s="140">
        <v>4506640</v>
      </c>
      <c r="CS237" s="140">
        <v>0</v>
      </c>
      <c r="CT237" s="140">
        <v>1</v>
      </c>
      <c r="CU237" s="140">
        <v>4506640.47</v>
      </c>
      <c r="CV237" s="99">
        <v>59722.879999999997</v>
      </c>
      <c r="CW237" s="139" t="s">
        <v>606</v>
      </c>
      <c r="CX237" s="140">
        <v>16.589700000000001</v>
      </c>
      <c r="CY237" s="140">
        <v>35</v>
      </c>
      <c r="CZ237" s="140" t="s">
        <v>1062</v>
      </c>
      <c r="DA237" s="140" t="s">
        <v>1063</v>
      </c>
      <c r="DB237" s="140">
        <v>152</v>
      </c>
      <c r="DC237" s="140"/>
    </row>
    <row r="238" spans="2:107" ht="11.25" customHeight="1" x14ac:dyDescent="0.15">
      <c r="B238" s="139" t="s">
        <v>577</v>
      </c>
      <c r="C238" s="140" t="s">
        <v>1808</v>
      </c>
      <c r="D238" s="140">
        <v>3</v>
      </c>
      <c r="E238" s="139" t="s">
        <v>1809</v>
      </c>
      <c r="F238" s="139" t="s">
        <v>729</v>
      </c>
      <c r="G238" s="140" t="s">
        <v>1808</v>
      </c>
      <c r="H238" s="139" t="s">
        <v>1810</v>
      </c>
      <c r="I238" s="140" t="s">
        <v>421</v>
      </c>
      <c r="J238" s="139" t="s">
        <v>582</v>
      </c>
      <c r="K238" s="139" t="s">
        <v>583</v>
      </c>
      <c r="L238" s="139" t="s">
        <v>583</v>
      </c>
      <c r="M238" s="139" t="s">
        <v>583</v>
      </c>
      <c r="N238" s="139" t="s">
        <v>731</v>
      </c>
      <c r="O238" s="139" t="s">
        <v>1673</v>
      </c>
      <c r="P238" s="139" t="s">
        <v>583</v>
      </c>
      <c r="Q238" s="139" t="s">
        <v>583</v>
      </c>
      <c r="R238" s="140">
        <v>1</v>
      </c>
      <c r="S238" s="140">
        <v>0</v>
      </c>
      <c r="T238" s="140">
        <v>1</v>
      </c>
      <c r="U238" s="140">
        <v>222</v>
      </c>
      <c r="V238" s="139" t="s">
        <v>1557</v>
      </c>
      <c r="W238" s="139" t="s">
        <v>1558</v>
      </c>
      <c r="X238" s="139" t="s">
        <v>1559</v>
      </c>
      <c r="Y238" s="139" t="s">
        <v>1560</v>
      </c>
      <c r="Z238" s="139" t="s">
        <v>644</v>
      </c>
      <c r="AA238" s="139" t="s">
        <v>1561</v>
      </c>
      <c r="AB238" s="139" t="s">
        <v>1557</v>
      </c>
      <c r="AC238" s="139" t="s">
        <v>1558</v>
      </c>
      <c r="AD238" s="139" t="s">
        <v>1559</v>
      </c>
      <c r="AE238" s="139" t="s">
        <v>1560</v>
      </c>
      <c r="AF238" s="139" t="s">
        <v>644</v>
      </c>
      <c r="AG238" s="139" t="s">
        <v>1561</v>
      </c>
      <c r="AH238" s="139" t="s">
        <v>733</v>
      </c>
      <c r="AI238" s="139" t="s">
        <v>432</v>
      </c>
      <c r="AJ238" s="140">
        <v>6361807.4199999999</v>
      </c>
      <c r="AK238" s="139" t="s">
        <v>1557</v>
      </c>
      <c r="AL238" s="139" t="s">
        <v>1558</v>
      </c>
      <c r="AM238" s="139" t="s">
        <v>1559</v>
      </c>
      <c r="AN238" s="139" t="s">
        <v>1560</v>
      </c>
      <c r="AO238" s="139" t="s">
        <v>644</v>
      </c>
      <c r="AP238" s="139" t="s">
        <v>1561</v>
      </c>
      <c r="AQ238" s="139" t="s">
        <v>733</v>
      </c>
      <c r="AR238" s="139" t="s">
        <v>432</v>
      </c>
      <c r="AS238" s="139" t="s">
        <v>432</v>
      </c>
      <c r="AT238" s="139" t="s">
        <v>593</v>
      </c>
      <c r="AU238" s="139" t="s">
        <v>437</v>
      </c>
      <c r="AV238" s="140">
        <v>2</v>
      </c>
      <c r="AW238" s="139" t="s">
        <v>594</v>
      </c>
      <c r="AX238" s="139" t="s">
        <v>653</v>
      </c>
      <c r="AY238" s="139" t="s">
        <v>1562</v>
      </c>
      <c r="AZ238" s="140">
        <v>1</v>
      </c>
      <c r="BA238" s="139" t="s">
        <v>597</v>
      </c>
      <c r="BB238" s="140">
        <v>79476</v>
      </c>
      <c r="BC238" s="140">
        <v>6361807</v>
      </c>
      <c r="BD238" s="140">
        <v>84307.91</v>
      </c>
      <c r="BE238" s="140">
        <v>80.046899999999994</v>
      </c>
      <c r="BF238" s="139" t="s">
        <v>880</v>
      </c>
      <c r="BG238" s="139" t="s">
        <v>863</v>
      </c>
      <c r="BH238" s="139" t="s">
        <v>1563</v>
      </c>
      <c r="BI238" s="139" t="s">
        <v>598</v>
      </c>
      <c r="BJ238" s="139" t="s">
        <v>599</v>
      </c>
      <c r="BK238" s="139" t="s">
        <v>583</v>
      </c>
      <c r="BL238" s="139" t="s">
        <v>1060</v>
      </c>
      <c r="BM238" s="139" t="s">
        <v>583</v>
      </c>
      <c r="BN238" s="139" t="s">
        <v>842</v>
      </c>
      <c r="BO238" s="139" t="s">
        <v>843</v>
      </c>
      <c r="BP238" s="139" t="s">
        <v>830</v>
      </c>
      <c r="BQ238" s="139" t="s">
        <v>723</v>
      </c>
      <c r="BR238" s="140">
        <v>1</v>
      </c>
      <c r="BS238" s="139" t="s">
        <v>1811</v>
      </c>
      <c r="BT238" s="99">
        <f t="shared" si="14"/>
        <v>0</v>
      </c>
      <c r="BU238" s="99">
        <f t="shared" si="14"/>
        <v>0</v>
      </c>
      <c r="BV238" s="99">
        <f t="shared" si="12"/>
        <v>0</v>
      </c>
      <c r="BW238" s="139" t="s">
        <v>743</v>
      </c>
      <c r="BX238" s="139" t="s">
        <v>731</v>
      </c>
      <c r="BY238" s="140">
        <v>222</v>
      </c>
      <c r="BZ238" s="140">
        <v>0</v>
      </c>
      <c r="CA238" s="99">
        <v>44400</v>
      </c>
      <c r="CB238" s="140" t="s">
        <v>603</v>
      </c>
      <c r="CC238" s="140">
        <v>0</v>
      </c>
      <c r="CD238" s="140"/>
      <c r="CE238" s="139" t="s">
        <v>577</v>
      </c>
      <c r="CF238" s="139" t="s">
        <v>604</v>
      </c>
      <c r="CG238" s="139" t="s">
        <v>583</v>
      </c>
      <c r="CH238" s="139" t="s">
        <v>583</v>
      </c>
      <c r="CI238" s="139" t="s">
        <v>733</v>
      </c>
      <c r="CJ238" s="140">
        <v>4884</v>
      </c>
      <c r="CK238" s="140" t="s">
        <v>605</v>
      </c>
      <c r="CL238" s="140">
        <v>4000000</v>
      </c>
      <c r="CM238" s="99">
        <v>4440</v>
      </c>
      <c r="CN238" s="140">
        <v>0</v>
      </c>
      <c r="CO238" s="139" t="s">
        <v>583</v>
      </c>
      <c r="CP238" s="139" t="s">
        <v>583</v>
      </c>
      <c r="CQ238" s="140">
        <v>79476</v>
      </c>
      <c r="CR238" s="140">
        <v>6361807</v>
      </c>
      <c r="CS238" s="140">
        <v>0</v>
      </c>
      <c r="CT238" s="140">
        <v>1</v>
      </c>
      <c r="CU238" s="140">
        <v>6361807.4199999999</v>
      </c>
      <c r="CV238" s="99">
        <v>84307.91</v>
      </c>
      <c r="CW238" s="139" t="s">
        <v>606</v>
      </c>
      <c r="CX238" s="140">
        <v>18.988299999999999</v>
      </c>
      <c r="CY238" s="140">
        <v>35</v>
      </c>
      <c r="CZ238" s="140" t="s">
        <v>1564</v>
      </c>
      <c r="DA238" s="140" t="s">
        <v>1363</v>
      </c>
      <c r="DB238" s="140">
        <v>249</v>
      </c>
      <c r="DC238" s="140"/>
    </row>
    <row r="239" spans="2:107" ht="11.25" customHeight="1" x14ac:dyDescent="0.15">
      <c r="B239" s="139" t="s">
        <v>577</v>
      </c>
      <c r="C239" s="140" t="s">
        <v>1808</v>
      </c>
      <c r="D239" s="140">
        <v>3</v>
      </c>
      <c r="E239" s="139" t="s">
        <v>1812</v>
      </c>
      <c r="F239" s="139" t="s">
        <v>729</v>
      </c>
      <c r="G239" s="140" t="s">
        <v>1808</v>
      </c>
      <c r="H239" s="139" t="s">
        <v>1813</v>
      </c>
      <c r="I239" s="140" t="s">
        <v>421</v>
      </c>
      <c r="J239" s="139" t="s">
        <v>582</v>
      </c>
      <c r="K239" s="139" t="s">
        <v>583</v>
      </c>
      <c r="L239" s="139" t="s">
        <v>583</v>
      </c>
      <c r="M239" s="139" t="s">
        <v>583</v>
      </c>
      <c r="N239" s="139" t="s">
        <v>1814</v>
      </c>
      <c r="O239" s="139" t="s">
        <v>1815</v>
      </c>
      <c r="P239" s="139" t="s">
        <v>583</v>
      </c>
      <c r="Q239" s="139" t="s">
        <v>583</v>
      </c>
      <c r="R239" s="140">
        <v>1</v>
      </c>
      <c r="S239" s="140">
        <v>0</v>
      </c>
      <c r="T239" s="140">
        <v>1</v>
      </c>
      <c r="U239" s="140">
        <v>184</v>
      </c>
      <c r="V239" s="139" t="s">
        <v>1816</v>
      </c>
      <c r="W239" s="139" t="s">
        <v>1817</v>
      </c>
      <c r="X239" s="139" t="s">
        <v>1818</v>
      </c>
      <c r="Y239" s="139" t="s">
        <v>1819</v>
      </c>
      <c r="Z239" s="139" t="s">
        <v>1820</v>
      </c>
      <c r="AA239" s="139" t="s">
        <v>1821</v>
      </c>
      <c r="AB239" s="139" t="s">
        <v>1816</v>
      </c>
      <c r="AC239" s="139" t="s">
        <v>1817</v>
      </c>
      <c r="AD239" s="139" t="s">
        <v>1818</v>
      </c>
      <c r="AE239" s="139" t="s">
        <v>1819</v>
      </c>
      <c r="AF239" s="139" t="s">
        <v>1820</v>
      </c>
      <c r="AG239" s="139" t="s">
        <v>1821</v>
      </c>
      <c r="AH239" s="139" t="s">
        <v>592</v>
      </c>
      <c r="AI239" s="139" t="s">
        <v>429</v>
      </c>
      <c r="AJ239" s="140">
        <v>4797210.72</v>
      </c>
      <c r="AK239" s="139" t="s">
        <v>1816</v>
      </c>
      <c r="AL239" s="139" t="s">
        <v>1817</v>
      </c>
      <c r="AM239" s="139" t="s">
        <v>1818</v>
      </c>
      <c r="AN239" s="139" t="s">
        <v>1819</v>
      </c>
      <c r="AO239" s="139" t="s">
        <v>1820</v>
      </c>
      <c r="AP239" s="139" t="s">
        <v>1821</v>
      </c>
      <c r="AQ239" s="139" t="s">
        <v>592</v>
      </c>
      <c r="AR239" s="139" t="s">
        <v>429</v>
      </c>
      <c r="AS239" s="139" t="s">
        <v>429</v>
      </c>
      <c r="AT239" s="139" t="s">
        <v>593</v>
      </c>
      <c r="AU239" s="139" t="s">
        <v>437</v>
      </c>
      <c r="AV239" s="140">
        <v>2</v>
      </c>
      <c r="AW239" s="139" t="s">
        <v>594</v>
      </c>
      <c r="AX239" s="139" t="s">
        <v>1786</v>
      </c>
      <c r="AY239" s="139" t="s">
        <v>1822</v>
      </c>
      <c r="AZ239" s="140">
        <v>1</v>
      </c>
      <c r="BA239" s="139" t="s">
        <v>597</v>
      </c>
      <c r="BB239" s="140">
        <v>56430</v>
      </c>
      <c r="BC239" s="140">
        <v>4517047</v>
      </c>
      <c r="BD239" s="140">
        <v>63573.57</v>
      </c>
      <c r="BE239" s="140">
        <v>80.046899999999994</v>
      </c>
      <c r="BF239" s="139" t="s">
        <v>880</v>
      </c>
      <c r="BG239" s="139" t="s">
        <v>583</v>
      </c>
      <c r="BH239" s="139" t="s">
        <v>1823</v>
      </c>
      <c r="BI239" s="139" t="s">
        <v>598</v>
      </c>
      <c r="BJ239" s="139" t="s">
        <v>624</v>
      </c>
      <c r="BK239" s="139" t="s">
        <v>1060</v>
      </c>
      <c r="BL239" s="139" t="s">
        <v>583</v>
      </c>
      <c r="BM239" s="139" t="s">
        <v>583</v>
      </c>
      <c r="BN239" s="139" t="s">
        <v>842</v>
      </c>
      <c r="BO239" s="139" t="s">
        <v>843</v>
      </c>
      <c r="BP239" s="139" t="s">
        <v>830</v>
      </c>
      <c r="BQ239" s="139" t="s">
        <v>723</v>
      </c>
      <c r="BR239" s="140">
        <v>1</v>
      </c>
      <c r="BS239" s="139" t="s">
        <v>1824</v>
      </c>
      <c r="BT239" s="99">
        <f t="shared" si="14"/>
        <v>0</v>
      </c>
      <c r="BU239" s="99">
        <f t="shared" si="14"/>
        <v>1</v>
      </c>
      <c r="BV239" s="99">
        <f t="shared" si="12"/>
        <v>1</v>
      </c>
      <c r="BW239" s="139" t="s">
        <v>602</v>
      </c>
      <c r="BX239" s="139" t="s">
        <v>1814</v>
      </c>
      <c r="BY239" s="140">
        <v>184</v>
      </c>
      <c r="BZ239" s="140">
        <v>0</v>
      </c>
      <c r="CA239" s="99">
        <v>16500</v>
      </c>
      <c r="CB239" s="140" t="s">
        <v>603</v>
      </c>
      <c r="CC239" s="140">
        <v>0</v>
      </c>
      <c r="CD239" s="140"/>
      <c r="CE239" s="139" t="s">
        <v>577</v>
      </c>
      <c r="CF239" s="139" t="s">
        <v>604</v>
      </c>
      <c r="CG239" s="139" t="s">
        <v>583</v>
      </c>
      <c r="CH239" s="139" t="s">
        <v>583</v>
      </c>
      <c r="CI239" s="139" t="s">
        <v>592</v>
      </c>
      <c r="CJ239" s="140">
        <v>3102</v>
      </c>
      <c r="CK239" s="140" t="s">
        <v>605</v>
      </c>
      <c r="CL239" s="140">
        <v>4000000</v>
      </c>
      <c r="CM239" s="99">
        <v>2756</v>
      </c>
      <c r="CN239" s="140">
        <v>0</v>
      </c>
      <c r="CO239" s="139" t="s">
        <v>583</v>
      </c>
      <c r="CP239" s="139" t="s">
        <v>583</v>
      </c>
      <c r="CQ239" s="140">
        <v>56430</v>
      </c>
      <c r="CR239" s="140">
        <v>4517047</v>
      </c>
      <c r="CS239" s="140">
        <v>0</v>
      </c>
      <c r="CT239" s="140">
        <v>1</v>
      </c>
      <c r="CU239" s="140">
        <v>4797210.72</v>
      </c>
      <c r="CV239" s="99">
        <v>63573.57</v>
      </c>
      <c r="CW239" s="139" t="s">
        <v>606</v>
      </c>
      <c r="CX239" s="140">
        <v>23.067299999999999</v>
      </c>
      <c r="CY239" s="140">
        <v>35</v>
      </c>
      <c r="CZ239" s="140" t="s">
        <v>1825</v>
      </c>
      <c r="DA239" s="140" t="s">
        <v>1826</v>
      </c>
      <c r="DB239" s="140">
        <v>13</v>
      </c>
      <c r="DC239" s="140"/>
    </row>
    <row r="240" spans="2:107" ht="11.25" customHeight="1" x14ac:dyDescent="0.15">
      <c r="B240" s="139" t="s">
        <v>577</v>
      </c>
      <c r="C240" s="140" t="s">
        <v>1808</v>
      </c>
      <c r="D240" s="140">
        <v>3</v>
      </c>
      <c r="E240" s="139" t="s">
        <v>1827</v>
      </c>
      <c r="F240" s="139" t="s">
        <v>580</v>
      </c>
      <c r="G240" s="140" t="s">
        <v>1808</v>
      </c>
      <c r="H240" s="139" t="s">
        <v>1828</v>
      </c>
      <c r="I240" s="140" t="s">
        <v>421</v>
      </c>
      <c r="J240" s="139" t="s">
        <v>582</v>
      </c>
      <c r="K240" s="139" t="s">
        <v>583</v>
      </c>
      <c r="L240" s="139" t="s">
        <v>583</v>
      </c>
      <c r="M240" s="139" t="s">
        <v>583</v>
      </c>
      <c r="N240" s="139" t="s">
        <v>1417</v>
      </c>
      <c r="O240" s="139" t="s">
        <v>1624</v>
      </c>
      <c r="P240" s="139" t="s">
        <v>583</v>
      </c>
      <c r="Q240" s="139" t="s">
        <v>583</v>
      </c>
      <c r="R240" s="140">
        <v>2</v>
      </c>
      <c r="S240" s="140">
        <v>0</v>
      </c>
      <c r="T240" s="140">
        <v>2</v>
      </c>
      <c r="U240" s="140">
        <v>17</v>
      </c>
      <c r="V240" s="139" t="s">
        <v>907</v>
      </c>
      <c r="W240" s="139" t="s">
        <v>908</v>
      </c>
      <c r="X240" s="139" t="s">
        <v>909</v>
      </c>
      <c r="Y240" s="139" t="s">
        <v>910</v>
      </c>
      <c r="Z240" s="139" t="s">
        <v>644</v>
      </c>
      <c r="AA240" s="139" t="s">
        <v>911</v>
      </c>
      <c r="AB240" s="139" t="s">
        <v>907</v>
      </c>
      <c r="AC240" s="139" t="s">
        <v>908</v>
      </c>
      <c r="AD240" s="139" t="s">
        <v>909</v>
      </c>
      <c r="AE240" s="139" t="s">
        <v>910</v>
      </c>
      <c r="AF240" s="139" t="s">
        <v>644</v>
      </c>
      <c r="AG240" s="139" t="s">
        <v>911</v>
      </c>
      <c r="AH240" s="139" t="s">
        <v>1074</v>
      </c>
      <c r="AI240" s="139" t="s">
        <v>435</v>
      </c>
      <c r="AJ240" s="140">
        <v>4876049.71</v>
      </c>
      <c r="AK240" s="139" t="s">
        <v>907</v>
      </c>
      <c r="AL240" s="139" t="s">
        <v>908</v>
      </c>
      <c r="AM240" s="139" t="s">
        <v>909</v>
      </c>
      <c r="AN240" s="139" t="s">
        <v>910</v>
      </c>
      <c r="AO240" s="139" t="s">
        <v>644</v>
      </c>
      <c r="AP240" s="139" t="s">
        <v>911</v>
      </c>
      <c r="AQ240" s="139" t="s">
        <v>1074</v>
      </c>
      <c r="AR240" s="139" t="s">
        <v>435</v>
      </c>
      <c r="AS240" s="139" t="s">
        <v>435</v>
      </c>
      <c r="AT240" s="139" t="s">
        <v>593</v>
      </c>
      <c r="AU240" s="139" t="s">
        <v>437</v>
      </c>
      <c r="AV240" s="140">
        <v>2</v>
      </c>
      <c r="AW240" s="139" t="s">
        <v>594</v>
      </c>
      <c r="AX240" s="139" t="s">
        <v>595</v>
      </c>
      <c r="AY240" s="139" t="s">
        <v>1625</v>
      </c>
      <c r="AZ240" s="140">
        <v>1</v>
      </c>
      <c r="BA240" s="139" t="s">
        <v>597</v>
      </c>
      <c r="BB240" s="140">
        <v>55208.4</v>
      </c>
      <c r="BC240" s="140">
        <v>4419261</v>
      </c>
      <c r="BD240" s="140">
        <v>64618.36</v>
      </c>
      <c r="BE240" s="140">
        <v>80.046899999999994</v>
      </c>
      <c r="BF240" s="139" t="s">
        <v>880</v>
      </c>
      <c r="BG240" s="139" t="s">
        <v>735</v>
      </c>
      <c r="BH240" s="139" t="s">
        <v>1626</v>
      </c>
      <c r="BI240" s="139" t="s">
        <v>598</v>
      </c>
      <c r="BJ240" s="139" t="s">
        <v>624</v>
      </c>
      <c r="BK240" s="139" t="s">
        <v>1703</v>
      </c>
      <c r="BL240" s="139" t="s">
        <v>583</v>
      </c>
      <c r="BM240" s="139" t="s">
        <v>915</v>
      </c>
      <c r="BN240" s="139" t="s">
        <v>916</v>
      </c>
      <c r="BO240" s="139" t="s">
        <v>917</v>
      </c>
      <c r="BP240" s="139" t="s">
        <v>918</v>
      </c>
      <c r="BQ240" s="139" t="s">
        <v>772</v>
      </c>
      <c r="BR240" s="140">
        <v>2</v>
      </c>
      <c r="BS240" s="139" t="s">
        <v>1829</v>
      </c>
      <c r="BT240" s="99">
        <f t="shared" si="14"/>
        <v>0</v>
      </c>
      <c r="BU240" s="99">
        <f t="shared" si="14"/>
        <v>1</v>
      </c>
      <c r="BV240" s="99">
        <f t="shared" si="12"/>
        <v>1</v>
      </c>
      <c r="BW240" s="139" t="s">
        <v>602</v>
      </c>
      <c r="BX240" s="139" t="s">
        <v>1417</v>
      </c>
      <c r="BY240" s="140">
        <v>3</v>
      </c>
      <c r="BZ240" s="140">
        <v>0</v>
      </c>
      <c r="CA240" s="99">
        <v>13200</v>
      </c>
      <c r="CB240" s="140" t="s">
        <v>603</v>
      </c>
      <c r="CC240" s="140">
        <v>0</v>
      </c>
      <c r="CD240" s="140"/>
      <c r="CE240" s="139" t="s">
        <v>1080</v>
      </c>
      <c r="CF240" s="139" t="s">
        <v>604</v>
      </c>
      <c r="CG240" s="139" t="s">
        <v>1664</v>
      </c>
      <c r="CH240" s="139" t="s">
        <v>583</v>
      </c>
      <c r="CI240" s="139" t="s">
        <v>1074</v>
      </c>
      <c r="CJ240" s="140">
        <v>1360</v>
      </c>
      <c r="CK240" s="140" t="s">
        <v>605</v>
      </c>
      <c r="CL240" s="140">
        <v>4000000</v>
      </c>
      <c r="CM240" s="99">
        <v>1254</v>
      </c>
      <c r="CN240" s="140">
        <v>0</v>
      </c>
      <c r="CO240" s="139" t="s">
        <v>583</v>
      </c>
      <c r="CP240" s="139" t="s">
        <v>583</v>
      </c>
      <c r="CQ240" s="140">
        <v>21120</v>
      </c>
      <c r="CR240" s="140">
        <v>1690591</v>
      </c>
      <c r="CS240" s="140">
        <v>0</v>
      </c>
      <c r="CT240" s="140">
        <v>1</v>
      </c>
      <c r="CU240" s="140">
        <v>1751239.66</v>
      </c>
      <c r="CV240" s="99">
        <v>23207.77</v>
      </c>
      <c r="CW240" s="139" t="s">
        <v>606</v>
      </c>
      <c r="CX240" s="140">
        <v>18.507000000000001</v>
      </c>
      <c r="CY240" s="140"/>
      <c r="CZ240" s="140"/>
      <c r="DA240" s="140" t="s">
        <v>920</v>
      </c>
      <c r="DB240" s="140">
        <v>1584</v>
      </c>
      <c r="DC240" s="140"/>
    </row>
    <row r="241" spans="2:107" ht="11.25" customHeight="1" x14ac:dyDescent="0.15">
      <c r="B241" s="139" t="s">
        <v>577</v>
      </c>
      <c r="C241" s="140" t="s">
        <v>1808</v>
      </c>
      <c r="D241" s="140">
        <v>3</v>
      </c>
      <c r="E241" s="139" t="s">
        <v>1830</v>
      </c>
      <c r="F241" s="139" t="s">
        <v>580</v>
      </c>
      <c r="G241" s="140" t="s">
        <v>1808</v>
      </c>
      <c r="H241" s="139" t="s">
        <v>1831</v>
      </c>
      <c r="I241" s="140" t="s">
        <v>421</v>
      </c>
      <c r="J241" s="139" t="s">
        <v>582</v>
      </c>
      <c r="K241" s="139" t="s">
        <v>583</v>
      </c>
      <c r="L241" s="139" t="s">
        <v>583</v>
      </c>
      <c r="M241" s="139" t="s">
        <v>583</v>
      </c>
      <c r="N241" s="139" t="s">
        <v>1529</v>
      </c>
      <c r="O241" s="139" t="s">
        <v>758</v>
      </c>
      <c r="P241" s="139" t="s">
        <v>583</v>
      </c>
      <c r="Q241" s="139" t="s">
        <v>583</v>
      </c>
      <c r="R241" s="140">
        <v>1</v>
      </c>
      <c r="S241" s="140">
        <v>0</v>
      </c>
      <c r="T241" s="140">
        <v>1</v>
      </c>
      <c r="U241" s="140">
        <v>6</v>
      </c>
      <c r="V241" s="139" t="s">
        <v>859</v>
      </c>
      <c r="W241" s="139" t="s">
        <v>860</v>
      </c>
      <c r="X241" s="139" t="s">
        <v>861</v>
      </c>
      <c r="Y241" s="139" t="s">
        <v>862</v>
      </c>
      <c r="Z241" s="139" t="s">
        <v>590</v>
      </c>
      <c r="AA241" s="139" t="s">
        <v>839</v>
      </c>
      <c r="AB241" s="139" t="s">
        <v>859</v>
      </c>
      <c r="AC241" s="139" t="s">
        <v>860</v>
      </c>
      <c r="AD241" s="139" t="s">
        <v>861</v>
      </c>
      <c r="AE241" s="139" t="s">
        <v>862</v>
      </c>
      <c r="AF241" s="139" t="s">
        <v>590</v>
      </c>
      <c r="AG241" s="139" t="s">
        <v>839</v>
      </c>
      <c r="AH241" s="139" t="s">
        <v>759</v>
      </c>
      <c r="AI241" s="139" t="s">
        <v>434</v>
      </c>
      <c r="AJ241" s="140">
        <v>4624309.41</v>
      </c>
      <c r="AK241" s="139" t="s">
        <v>859</v>
      </c>
      <c r="AL241" s="139" t="s">
        <v>860</v>
      </c>
      <c r="AM241" s="139" t="s">
        <v>861</v>
      </c>
      <c r="AN241" s="139" t="s">
        <v>862</v>
      </c>
      <c r="AO241" s="139" t="s">
        <v>590</v>
      </c>
      <c r="AP241" s="139" t="s">
        <v>839</v>
      </c>
      <c r="AQ241" s="139" t="s">
        <v>759</v>
      </c>
      <c r="AR241" s="139" t="s">
        <v>434</v>
      </c>
      <c r="AS241" s="139" t="s">
        <v>434</v>
      </c>
      <c r="AT241" s="139" t="s">
        <v>593</v>
      </c>
      <c r="AU241" s="139" t="s">
        <v>437</v>
      </c>
      <c r="AV241" s="140">
        <v>2</v>
      </c>
      <c r="AW241" s="139" t="s">
        <v>594</v>
      </c>
      <c r="AX241" s="139" t="s">
        <v>595</v>
      </c>
      <c r="AY241" s="139" t="s">
        <v>840</v>
      </c>
      <c r="AZ241" s="140">
        <v>1</v>
      </c>
      <c r="BA241" s="139" t="s">
        <v>597</v>
      </c>
      <c r="BB241" s="140">
        <v>56000</v>
      </c>
      <c r="BC241" s="140">
        <v>4482626</v>
      </c>
      <c r="BD241" s="140">
        <v>61282.25</v>
      </c>
      <c r="BE241" s="140">
        <v>80.046899999999994</v>
      </c>
      <c r="BF241" s="139" t="s">
        <v>880</v>
      </c>
      <c r="BG241" s="139" t="s">
        <v>863</v>
      </c>
      <c r="BH241" s="139" t="s">
        <v>1122</v>
      </c>
      <c r="BI241" s="139" t="s">
        <v>598</v>
      </c>
      <c r="BJ241" s="139" t="s">
        <v>599</v>
      </c>
      <c r="BK241" s="139" t="s">
        <v>583</v>
      </c>
      <c r="BL241" s="139" t="s">
        <v>583</v>
      </c>
      <c r="BM241" s="139" t="s">
        <v>583</v>
      </c>
      <c r="BN241" s="139" t="s">
        <v>842</v>
      </c>
      <c r="BO241" s="139" t="s">
        <v>843</v>
      </c>
      <c r="BP241" s="139" t="s">
        <v>830</v>
      </c>
      <c r="BQ241" s="139" t="s">
        <v>723</v>
      </c>
      <c r="BR241" s="140">
        <v>1</v>
      </c>
      <c r="BS241" s="139" t="s">
        <v>1832</v>
      </c>
      <c r="BT241" s="99">
        <f t="shared" si="14"/>
        <v>1</v>
      </c>
      <c r="BU241" s="99">
        <f t="shared" si="14"/>
        <v>0</v>
      </c>
      <c r="BV241" s="99">
        <f t="shared" si="12"/>
        <v>1</v>
      </c>
      <c r="BW241" s="139" t="s">
        <v>602</v>
      </c>
      <c r="BX241" s="139" t="s">
        <v>1700</v>
      </c>
      <c r="BY241" s="140">
        <v>6</v>
      </c>
      <c r="BZ241" s="140">
        <v>0</v>
      </c>
      <c r="CA241" s="99">
        <v>35000</v>
      </c>
      <c r="CB241" s="140" t="s">
        <v>603</v>
      </c>
      <c r="CC241" s="140">
        <v>0</v>
      </c>
      <c r="CD241" s="140"/>
      <c r="CE241" s="139" t="s">
        <v>577</v>
      </c>
      <c r="CF241" s="139" t="s">
        <v>604</v>
      </c>
      <c r="CG241" s="139" t="s">
        <v>583</v>
      </c>
      <c r="CH241" s="139" t="s">
        <v>583</v>
      </c>
      <c r="CI241" s="139" t="s">
        <v>759</v>
      </c>
      <c r="CJ241" s="140">
        <v>3675</v>
      </c>
      <c r="CK241" s="140" t="s">
        <v>605</v>
      </c>
      <c r="CL241" s="140">
        <v>4000000</v>
      </c>
      <c r="CM241" s="99">
        <v>3413</v>
      </c>
      <c r="CN241" s="140">
        <v>0</v>
      </c>
      <c r="CO241" s="139" t="s">
        <v>583</v>
      </c>
      <c r="CP241" s="139" t="s">
        <v>583</v>
      </c>
      <c r="CQ241" s="140">
        <v>56000</v>
      </c>
      <c r="CR241" s="140">
        <v>4482626</v>
      </c>
      <c r="CS241" s="140">
        <v>0</v>
      </c>
      <c r="CT241" s="140">
        <v>1</v>
      </c>
      <c r="CU241" s="140">
        <v>4624309.41</v>
      </c>
      <c r="CV241" s="99">
        <v>61282.25</v>
      </c>
      <c r="CW241" s="139" t="s">
        <v>606</v>
      </c>
      <c r="CX241" s="140">
        <v>17.955500000000001</v>
      </c>
      <c r="CY241" s="140">
        <v>1535</v>
      </c>
      <c r="CZ241" s="140" t="s">
        <v>1118</v>
      </c>
      <c r="DA241" s="140" t="s">
        <v>1119</v>
      </c>
      <c r="DB241" s="140">
        <v>1091</v>
      </c>
      <c r="DC241" s="140"/>
    </row>
    <row r="242" spans="2:107" ht="11.25" customHeight="1" x14ac:dyDescent="0.15">
      <c r="B242" s="139" t="s">
        <v>577</v>
      </c>
      <c r="C242" s="140" t="s">
        <v>1808</v>
      </c>
      <c r="D242" s="140">
        <v>3</v>
      </c>
      <c r="E242" s="139" t="s">
        <v>1833</v>
      </c>
      <c r="F242" s="139" t="s">
        <v>718</v>
      </c>
      <c r="G242" s="140" t="s">
        <v>1808</v>
      </c>
      <c r="H242" s="139" t="s">
        <v>1834</v>
      </c>
      <c r="I242" s="140" t="s">
        <v>421</v>
      </c>
      <c r="J242" s="139" t="s">
        <v>582</v>
      </c>
      <c r="K242" s="139" t="s">
        <v>583</v>
      </c>
      <c r="L242" s="139" t="s">
        <v>583</v>
      </c>
      <c r="M242" s="139" t="s">
        <v>583</v>
      </c>
      <c r="N242" s="139" t="s">
        <v>1747</v>
      </c>
      <c r="O242" s="139" t="s">
        <v>1648</v>
      </c>
      <c r="P242" s="139" t="s">
        <v>583</v>
      </c>
      <c r="Q242" s="139" t="s">
        <v>583</v>
      </c>
      <c r="R242" s="140">
        <v>2</v>
      </c>
      <c r="S242" s="140">
        <v>0</v>
      </c>
      <c r="T242" s="140">
        <v>2</v>
      </c>
      <c r="U242" s="140">
        <v>26</v>
      </c>
      <c r="V242" s="139" t="s">
        <v>662</v>
      </c>
      <c r="W242" s="139" t="s">
        <v>663</v>
      </c>
      <c r="X242" s="139" t="s">
        <v>664</v>
      </c>
      <c r="Y242" s="139" t="s">
        <v>665</v>
      </c>
      <c r="Z242" s="139" t="s">
        <v>666</v>
      </c>
      <c r="AA242" s="139" t="s">
        <v>667</v>
      </c>
      <c r="AB242" s="139" t="s">
        <v>662</v>
      </c>
      <c r="AC242" s="139" t="s">
        <v>663</v>
      </c>
      <c r="AD242" s="139" t="s">
        <v>664</v>
      </c>
      <c r="AE242" s="139" t="s">
        <v>665</v>
      </c>
      <c r="AF242" s="139" t="s">
        <v>666</v>
      </c>
      <c r="AG242" s="139" t="s">
        <v>667</v>
      </c>
      <c r="AH242" s="139" t="s">
        <v>1549</v>
      </c>
      <c r="AI242" s="139" t="s">
        <v>436</v>
      </c>
      <c r="AJ242" s="140">
        <v>8611445.5</v>
      </c>
      <c r="AK242" s="139" t="s">
        <v>662</v>
      </c>
      <c r="AL242" s="139" t="s">
        <v>663</v>
      </c>
      <c r="AM242" s="139" t="s">
        <v>664</v>
      </c>
      <c r="AN242" s="139" t="s">
        <v>665</v>
      </c>
      <c r="AO242" s="139" t="s">
        <v>666</v>
      </c>
      <c r="AP242" s="139" t="s">
        <v>667</v>
      </c>
      <c r="AQ242" s="139" t="s">
        <v>1549</v>
      </c>
      <c r="AR242" s="139" t="s">
        <v>436</v>
      </c>
      <c r="AS242" s="139" t="s">
        <v>436</v>
      </c>
      <c r="AT242" s="139" t="s">
        <v>593</v>
      </c>
      <c r="AU242" s="139" t="s">
        <v>437</v>
      </c>
      <c r="AV242" s="140">
        <v>2</v>
      </c>
      <c r="AW242" s="139" t="s">
        <v>594</v>
      </c>
      <c r="AX242" s="139" t="s">
        <v>583</v>
      </c>
      <c r="AY242" s="139" t="s">
        <v>1550</v>
      </c>
      <c r="AZ242" s="140">
        <v>1</v>
      </c>
      <c r="BA242" s="139" t="s">
        <v>597</v>
      </c>
      <c r="BB242" s="140">
        <v>101880</v>
      </c>
      <c r="BC242" s="140">
        <v>8155178</v>
      </c>
      <c r="BD242" s="140">
        <v>114120.55</v>
      </c>
      <c r="BE242" s="140">
        <v>80.046899999999994</v>
      </c>
      <c r="BF242" s="139" t="s">
        <v>880</v>
      </c>
      <c r="BG242" s="139" t="s">
        <v>583</v>
      </c>
      <c r="BH242" s="139" t="s">
        <v>1551</v>
      </c>
      <c r="BI242" s="139" t="s">
        <v>598</v>
      </c>
      <c r="BJ242" s="139" t="s">
        <v>599</v>
      </c>
      <c r="BK242" s="139" t="s">
        <v>583</v>
      </c>
      <c r="BL242" s="139" t="s">
        <v>583</v>
      </c>
      <c r="BM242" s="139" t="s">
        <v>583</v>
      </c>
      <c r="BN242" s="139" t="s">
        <v>842</v>
      </c>
      <c r="BO242" s="139" t="s">
        <v>843</v>
      </c>
      <c r="BP242" s="139" t="s">
        <v>830</v>
      </c>
      <c r="BQ242" s="139" t="s">
        <v>723</v>
      </c>
      <c r="BR242" s="140">
        <v>1</v>
      </c>
      <c r="BS242" s="139" t="s">
        <v>1835</v>
      </c>
      <c r="BT242" s="99">
        <f t="shared" si="14"/>
        <v>1</v>
      </c>
      <c r="BU242" s="99">
        <f t="shared" si="14"/>
        <v>0</v>
      </c>
      <c r="BV242" s="99">
        <f t="shared" si="12"/>
        <v>1</v>
      </c>
      <c r="BW242" s="139" t="s">
        <v>602</v>
      </c>
      <c r="BX242" s="139" t="s">
        <v>1553</v>
      </c>
      <c r="BY242" s="140">
        <v>6</v>
      </c>
      <c r="BZ242" s="140">
        <v>0</v>
      </c>
      <c r="CA242" s="99">
        <v>36000</v>
      </c>
      <c r="CB242" s="140" t="s">
        <v>603</v>
      </c>
      <c r="CC242" s="140">
        <v>0</v>
      </c>
      <c r="CD242" s="140"/>
      <c r="CE242" s="139" t="s">
        <v>577</v>
      </c>
      <c r="CF242" s="139" t="s">
        <v>604</v>
      </c>
      <c r="CG242" s="139" t="s">
        <v>583</v>
      </c>
      <c r="CH242" s="139" t="s">
        <v>583</v>
      </c>
      <c r="CI242" s="139" t="s">
        <v>1549</v>
      </c>
      <c r="CJ242" s="140">
        <v>3760</v>
      </c>
      <c r="CK242" s="140" t="s">
        <v>605</v>
      </c>
      <c r="CL242" s="140">
        <v>4000000</v>
      </c>
      <c r="CM242" s="99">
        <v>3420</v>
      </c>
      <c r="CN242" s="140">
        <v>0</v>
      </c>
      <c r="CO242" s="139" t="s">
        <v>583</v>
      </c>
      <c r="CP242" s="139" t="s">
        <v>583</v>
      </c>
      <c r="CQ242" s="140">
        <v>46800</v>
      </c>
      <c r="CR242" s="140">
        <v>3746195</v>
      </c>
      <c r="CS242" s="140">
        <v>0</v>
      </c>
      <c r="CT242" s="140">
        <v>1</v>
      </c>
      <c r="CU242" s="140">
        <v>3819880.49</v>
      </c>
      <c r="CV242" s="99">
        <v>50621.8</v>
      </c>
      <c r="CW242" s="139" t="s">
        <v>606</v>
      </c>
      <c r="CX242" s="140">
        <v>14.8017</v>
      </c>
      <c r="CY242" s="140"/>
      <c r="CZ242" s="140"/>
      <c r="DA242" s="140" t="s">
        <v>926</v>
      </c>
      <c r="DB242" s="140">
        <v>1</v>
      </c>
      <c r="DC242" s="140"/>
    </row>
    <row r="243" spans="2:107" ht="11.25" customHeight="1" x14ac:dyDescent="0.15">
      <c r="B243" s="139" t="s">
        <v>577</v>
      </c>
      <c r="C243" s="140" t="s">
        <v>1836</v>
      </c>
      <c r="D243" s="140">
        <v>3</v>
      </c>
      <c r="E243" s="139" t="s">
        <v>1837</v>
      </c>
      <c r="F243" s="139" t="s">
        <v>618</v>
      </c>
      <c r="G243" s="140" t="s">
        <v>1836</v>
      </c>
      <c r="H243" s="139" t="s">
        <v>1838</v>
      </c>
      <c r="I243" s="140" t="s">
        <v>421</v>
      </c>
      <c r="J243" s="139" t="s">
        <v>582</v>
      </c>
      <c r="K243" s="139" t="s">
        <v>583</v>
      </c>
      <c r="L243" s="139" t="s">
        <v>583</v>
      </c>
      <c r="M243" s="139" t="s">
        <v>583</v>
      </c>
      <c r="N243" s="139" t="s">
        <v>441</v>
      </c>
      <c r="O243" s="139" t="s">
        <v>1771</v>
      </c>
      <c r="P243" s="139" t="s">
        <v>583</v>
      </c>
      <c r="Q243" s="139" t="s">
        <v>583</v>
      </c>
      <c r="R243" s="140">
        <v>1</v>
      </c>
      <c r="S243" s="140">
        <v>0</v>
      </c>
      <c r="T243" s="140">
        <v>1</v>
      </c>
      <c r="U243" s="140">
        <v>357</v>
      </c>
      <c r="V243" s="139" t="s">
        <v>691</v>
      </c>
      <c r="W243" s="139" t="s">
        <v>692</v>
      </c>
      <c r="X243" s="139" t="s">
        <v>693</v>
      </c>
      <c r="Y243" s="139" t="s">
        <v>694</v>
      </c>
      <c r="Z243" s="139" t="s">
        <v>695</v>
      </c>
      <c r="AA243" s="139" t="s">
        <v>696</v>
      </c>
      <c r="AB243" s="139" t="s">
        <v>691</v>
      </c>
      <c r="AC243" s="139" t="s">
        <v>692</v>
      </c>
      <c r="AD243" s="139" t="s">
        <v>693</v>
      </c>
      <c r="AE243" s="139" t="s">
        <v>694</v>
      </c>
      <c r="AF243" s="139" t="s">
        <v>695</v>
      </c>
      <c r="AG243" s="139" t="s">
        <v>696</v>
      </c>
      <c r="AH243" s="139" t="s">
        <v>621</v>
      </c>
      <c r="AI243" s="139" t="s">
        <v>430</v>
      </c>
      <c r="AJ243" s="140">
        <v>9030250.8800000008</v>
      </c>
      <c r="AK243" s="139" t="s">
        <v>691</v>
      </c>
      <c r="AL243" s="139" t="s">
        <v>692</v>
      </c>
      <c r="AM243" s="139" t="s">
        <v>693</v>
      </c>
      <c r="AN243" s="139" t="s">
        <v>694</v>
      </c>
      <c r="AO243" s="139" t="s">
        <v>695</v>
      </c>
      <c r="AP243" s="139" t="s">
        <v>696</v>
      </c>
      <c r="AQ243" s="139" t="s">
        <v>621</v>
      </c>
      <c r="AR243" s="139" t="s">
        <v>430</v>
      </c>
      <c r="AS243" s="139" t="s">
        <v>430</v>
      </c>
      <c r="AT243" s="139" t="s">
        <v>593</v>
      </c>
      <c r="AU243" s="139" t="s">
        <v>437</v>
      </c>
      <c r="AV243" s="140">
        <v>0</v>
      </c>
      <c r="AW243" s="139" t="s">
        <v>594</v>
      </c>
      <c r="AX243" s="139" t="s">
        <v>622</v>
      </c>
      <c r="AY243" s="139" t="s">
        <v>623</v>
      </c>
      <c r="AZ243" s="140">
        <v>1</v>
      </c>
      <c r="BA243" s="139" t="s">
        <v>597</v>
      </c>
      <c r="BB243" s="140">
        <v>112812</v>
      </c>
      <c r="BC243" s="140">
        <v>9030251</v>
      </c>
      <c r="BD243" s="140">
        <v>119670.64</v>
      </c>
      <c r="BE243" s="140">
        <v>80.046899999999994</v>
      </c>
      <c r="BF243" s="139" t="s">
        <v>880</v>
      </c>
      <c r="BG243" s="139" t="s">
        <v>582</v>
      </c>
      <c r="BH243" s="139" t="s">
        <v>1018</v>
      </c>
      <c r="BI243" s="139" t="s">
        <v>598</v>
      </c>
      <c r="BJ243" s="139" t="s">
        <v>624</v>
      </c>
      <c r="BK243" s="139" t="s">
        <v>882</v>
      </c>
      <c r="BL243" s="139" t="s">
        <v>583</v>
      </c>
      <c r="BM243" s="139" t="s">
        <v>1019</v>
      </c>
      <c r="BN243" s="139" t="s">
        <v>1020</v>
      </c>
      <c r="BO243" s="139" t="s">
        <v>623</v>
      </c>
      <c r="BP243" s="139" t="s">
        <v>1772</v>
      </c>
      <c r="BQ243" s="139" t="s">
        <v>625</v>
      </c>
      <c r="BR243" s="140">
        <v>1</v>
      </c>
      <c r="BS243" s="139" t="s">
        <v>1839</v>
      </c>
      <c r="BT243" s="99">
        <f t="shared" si="14"/>
        <v>0</v>
      </c>
      <c r="BU243" s="99">
        <f t="shared" si="14"/>
        <v>0</v>
      </c>
      <c r="BV243" s="99">
        <f t="shared" si="12"/>
        <v>0</v>
      </c>
      <c r="BW243" s="139" t="s">
        <v>446</v>
      </c>
      <c r="BX243" s="139" t="s">
        <v>441</v>
      </c>
      <c r="BY243" s="140">
        <v>357</v>
      </c>
      <c r="BZ243" s="140">
        <v>0</v>
      </c>
      <c r="CA243" s="99">
        <v>71400</v>
      </c>
      <c r="CB243" s="140" t="s">
        <v>603</v>
      </c>
      <c r="CC243" s="140">
        <v>0</v>
      </c>
      <c r="CD243" s="140"/>
      <c r="CE243" s="139" t="s">
        <v>577</v>
      </c>
      <c r="CF243" s="139" t="s">
        <v>604</v>
      </c>
      <c r="CG243" s="139" t="s">
        <v>583</v>
      </c>
      <c r="CH243" s="139" t="s">
        <v>583</v>
      </c>
      <c r="CI243" s="139" t="s">
        <v>621</v>
      </c>
      <c r="CJ243" s="140">
        <v>7500</v>
      </c>
      <c r="CK243" s="140" t="s">
        <v>605</v>
      </c>
      <c r="CL243" s="140">
        <v>4000000</v>
      </c>
      <c r="CM243" s="99">
        <v>6426</v>
      </c>
      <c r="CN243" s="140">
        <v>0</v>
      </c>
      <c r="CO243" s="139" t="s">
        <v>583</v>
      </c>
      <c r="CP243" s="139" t="s">
        <v>583</v>
      </c>
      <c r="CQ243" s="140">
        <v>112812</v>
      </c>
      <c r="CR243" s="140">
        <v>9030251</v>
      </c>
      <c r="CS243" s="140">
        <v>0</v>
      </c>
      <c r="CT243" s="140">
        <v>1</v>
      </c>
      <c r="CU243" s="140">
        <v>9030250.8800000008</v>
      </c>
      <c r="CV243" s="99">
        <v>119670.64</v>
      </c>
      <c r="CW243" s="139" t="s">
        <v>606</v>
      </c>
      <c r="CX243" s="140">
        <v>18.622900000000001</v>
      </c>
      <c r="CY243" s="140">
        <v>933</v>
      </c>
      <c r="CZ243" s="140" t="s">
        <v>894</v>
      </c>
      <c r="DA243" s="140" t="s">
        <v>1480</v>
      </c>
      <c r="DB243" s="140">
        <v>1164</v>
      </c>
      <c r="DC243" s="140"/>
    </row>
    <row r="244" spans="2:107" ht="11.25" customHeight="1" x14ac:dyDescent="0.15">
      <c r="B244" s="139" t="s">
        <v>577</v>
      </c>
      <c r="C244" s="140" t="s">
        <v>1840</v>
      </c>
      <c r="D244" s="140">
        <v>3</v>
      </c>
      <c r="E244" s="139" t="s">
        <v>1841</v>
      </c>
      <c r="F244" s="139" t="s">
        <v>618</v>
      </c>
      <c r="G244" s="140" t="s">
        <v>1840</v>
      </c>
      <c r="H244" s="139" t="s">
        <v>1842</v>
      </c>
      <c r="I244" s="140" t="s">
        <v>421</v>
      </c>
      <c r="J244" s="139" t="s">
        <v>582</v>
      </c>
      <c r="K244" s="139" t="s">
        <v>583</v>
      </c>
      <c r="L244" s="139" t="s">
        <v>583</v>
      </c>
      <c r="M244" s="139" t="s">
        <v>583</v>
      </c>
      <c r="N244" s="139" t="s">
        <v>650</v>
      </c>
      <c r="O244" s="139" t="s">
        <v>1088</v>
      </c>
      <c r="P244" s="139" t="s">
        <v>583</v>
      </c>
      <c r="Q244" s="139" t="s">
        <v>583</v>
      </c>
      <c r="R244" s="140">
        <v>1</v>
      </c>
      <c r="S244" s="140">
        <v>0</v>
      </c>
      <c r="T244" s="140">
        <v>1</v>
      </c>
      <c r="U244" s="140">
        <v>304</v>
      </c>
      <c r="V244" s="139" t="s">
        <v>586</v>
      </c>
      <c r="W244" s="139" t="s">
        <v>587</v>
      </c>
      <c r="X244" s="139" t="s">
        <v>588</v>
      </c>
      <c r="Y244" s="139" t="s">
        <v>589</v>
      </c>
      <c r="Z244" s="139" t="s">
        <v>590</v>
      </c>
      <c r="AA244" s="139" t="s">
        <v>591</v>
      </c>
      <c r="AB244" s="139" t="s">
        <v>586</v>
      </c>
      <c r="AC244" s="139" t="s">
        <v>587</v>
      </c>
      <c r="AD244" s="139" t="s">
        <v>588</v>
      </c>
      <c r="AE244" s="139" t="s">
        <v>589</v>
      </c>
      <c r="AF244" s="139" t="s">
        <v>590</v>
      </c>
      <c r="AG244" s="139" t="s">
        <v>591</v>
      </c>
      <c r="AH244" s="139" t="s">
        <v>652</v>
      </c>
      <c r="AI244" s="139" t="s">
        <v>431</v>
      </c>
      <c r="AJ244" s="140">
        <v>31145754.27</v>
      </c>
      <c r="AK244" s="139" t="s">
        <v>586</v>
      </c>
      <c r="AL244" s="139" t="s">
        <v>587</v>
      </c>
      <c r="AM244" s="139" t="s">
        <v>588</v>
      </c>
      <c r="AN244" s="139" t="s">
        <v>589</v>
      </c>
      <c r="AO244" s="139" t="s">
        <v>590</v>
      </c>
      <c r="AP244" s="139" t="s">
        <v>591</v>
      </c>
      <c r="AQ244" s="139" t="s">
        <v>652</v>
      </c>
      <c r="AR244" s="139" t="s">
        <v>431</v>
      </c>
      <c r="AS244" s="139" t="s">
        <v>431</v>
      </c>
      <c r="AT244" s="139" t="s">
        <v>593</v>
      </c>
      <c r="AU244" s="139" t="s">
        <v>437</v>
      </c>
      <c r="AV244" s="140">
        <v>0</v>
      </c>
      <c r="AW244" s="139" t="s">
        <v>594</v>
      </c>
      <c r="AX244" s="139" t="s">
        <v>653</v>
      </c>
      <c r="AY244" s="139" t="s">
        <v>623</v>
      </c>
      <c r="AZ244" s="140">
        <v>1</v>
      </c>
      <c r="BA244" s="139" t="s">
        <v>597</v>
      </c>
      <c r="BB244" s="140">
        <v>388832</v>
      </c>
      <c r="BC244" s="140">
        <v>31145754</v>
      </c>
      <c r="BD244" s="140">
        <v>413889.92</v>
      </c>
      <c r="BE244" s="140">
        <v>80.100800000000007</v>
      </c>
      <c r="BF244" s="139" t="s">
        <v>880</v>
      </c>
      <c r="BG244" s="139" t="s">
        <v>582</v>
      </c>
      <c r="BH244" s="139" t="s">
        <v>970</v>
      </c>
      <c r="BI244" s="139" t="s">
        <v>598</v>
      </c>
      <c r="BJ244" s="139" t="s">
        <v>624</v>
      </c>
      <c r="BK244" s="139" t="s">
        <v>882</v>
      </c>
      <c r="BL244" s="139" t="s">
        <v>583</v>
      </c>
      <c r="BM244" s="139" t="s">
        <v>883</v>
      </c>
      <c r="BN244" s="139" t="s">
        <v>971</v>
      </c>
      <c r="BO244" s="139" t="s">
        <v>972</v>
      </c>
      <c r="BP244" s="139" t="s">
        <v>1743</v>
      </c>
      <c r="BQ244" s="139" t="s">
        <v>625</v>
      </c>
      <c r="BR244" s="140">
        <v>1</v>
      </c>
      <c r="BS244" s="139" t="s">
        <v>1843</v>
      </c>
      <c r="BT244" s="99">
        <f t="shared" si="14"/>
        <v>0</v>
      </c>
      <c r="BU244" s="99">
        <f t="shared" si="14"/>
        <v>1</v>
      </c>
      <c r="BV244" s="99">
        <f t="shared" si="12"/>
        <v>1</v>
      </c>
      <c r="BW244" s="139" t="s">
        <v>655</v>
      </c>
      <c r="BX244" s="139" t="s">
        <v>656</v>
      </c>
      <c r="BY244" s="140">
        <v>304</v>
      </c>
      <c r="BZ244" s="140">
        <v>0</v>
      </c>
      <c r="CA244" s="99">
        <v>60800</v>
      </c>
      <c r="CB244" s="140" t="s">
        <v>603</v>
      </c>
      <c r="CC244" s="140">
        <v>0</v>
      </c>
      <c r="CD244" s="140"/>
      <c r="CE244" s="139" t="s">
        <v>577</v>
      </c>
      <c r="CF244" s="139" t="s">
        <v>604</v>
      </c>
      <c r="CG244" s="139" t="s">
        <v>583</v>
      </c>
      <c r="CH244" s="139" t="s">
        <v>583</v>
      </c>
      <c r="CI244" s="139" t="s">
        <v>652</v>
      </c>
      <c r="CJ244" s="140">
        <v>6384</v>
      </c>
      <c r="CK244" s="140" t="s">
        <v>657</v>
      </c>
      <c r="CL244" s="140">
        <v>4000000</v>
      </c>
      <c r="CM244" s="99">
        <v>6080</v>
      </c>
      <c r="CN244" s="140">
        <v>0</v>
      </c>
      <c r="CO244" s="139" t="s">
        <v>583</v>
      </c>
      <c r="CP244" s="139" t="s">
        <v>583</v>
      </c>
      <c r="CQ244" s="140">
        <v>388832</v>
      </c>
      <c r="CR244" s="140">
        <v>31145754</v>
      </c>
      <c r="CS244" s="140">
        <v>0</v>
      </c>
      <c r="CT244" s="140">
        <v>1</v>
      </c>
      <c r="CU244" s="140">
        <v>31145754.27</v>
      </c>
      <c r="CV244" s="99">
        <v>413889.92</v>
      </c>
      <c r="CW244" s="139" t="s">
        <v>606</v>
      </c>
      <c r="CX244" s="140">
        <v>68.073999999999998</v>
      </c>
      <c r="CY244" s="140"/>
      <c r="CZ244" s="140"/>
      <c r="DA244" s="140" t="s">
        <v>856</v>
      </c>
      <c r="DB244" s="140">
        <v>741</v>
      </c>
      <c r="DC244" s="140"/>
    </row>
    <row r="245" spans="2:107" ht="11.25" customHeight="1" x14ac:dyDescent="0.15">
      <c r="B245" s="139" t="s">
        <v>577</v>
      </c>
      <c r="C245" s="140" t="s">
        <v>1844</v>
      </c>
      <c r="D245" s="140">
        <v>3</v>
      </c>
      <c r="E245" s="139" t="s">
        <v>1845</v>
      </c>
      <c r="F245" s="139" t="s">
        <v>580</v>
      </c>
      <c r="G245" s="140" t="s">
        <v>1846</v>
      </c>
      <c r="H245" s="139" t="s">
        <v>1847</v>
      </c>
      <c r="I245" s="140" t="s">
        <v>421</v>
      </c>
      <c r="J245" s="139" t="s">
        <v>582</v>
      </c>
      <c r="K245" s="139" t="s">
        <v>583</v>
      </c>
      <c r="L245" s="139" t="s">
        <v>583</v>
      </c>
      <c r="M245" s="139" t="s">
        <v>583</v>
      </c>
      <c r="N245" s="139" t="s">
        <v>1417</v>
      </c>
      <c r="O245" s="139" t="s">
        <v>1724</v>
      </c>
      <c r="P245" s="139" t="s">
        <v>583</v>
      </c>
      <c r="Q245" s="139" t="s">
        <v>583</v>
      </c>
      <c r="R245" s="140">
        <v>2</v>
      </c>
      <c r="S245" s="140">
        <v>0</v>
      </c>
      <c r="T245" s="140">
        <v>2</v>
      </c>
      <c r="U245" s="140">
        <v>22</v>
      </c>
      <c r="V245" s="139" t="s">
        <v>1069</v>
      </c>
      <c r="W245" s="139" t="s">
        <v>1070</v>
      </c>
      <c r="X245" s="139" t="s">
        <v>1071</v>
      </c>
      <c r="Y245" s="139" t="s">
        <v>1072</v>
      </c>
      <c r="Z245" s="139" t="s">
        <v>590</v>
      </c>
      <c r="AA245" s="139" t="s">
        <v>1073</v>
      </c>
      <c r="AB245" s="139" t="s">
        <v>1069</v>
      </c>
      <c r="AC245" s="139" t="s">
        <v>1070</v>
      </c>
      <c r="AD245" s="139" t="s">
        <v>1071</v>
      </c>
      <c r="AE245" s="139" t="s">
        <v>1072</v>
      </c>
      <c r="AF245" s="139" t="s">
        <v>590</v>
      </c>
      <c r="AG245" s="139" t="s">
        <v>1073</v>
      </c>
      <c r="AH245" s="139" t="s">
        <v>1074</v>
      </c>
      <c r="AI245" s="139" t="s">
        <v>435</v>
      </c>
      <c r="AJ245" s="140">
        <v>6314006.46</v>
      </c>
      <c r="AK245" s="139" t="s">
        <v>1069</v>
      </c>
      <c r="AL245" s="139" t="s">
        <v>1070</v>
      </c>
      <c r="AM245" s="139" t="s">
        <v>1071</v>
      </c>
      <c r="AN245" s="139" t="s">
        <v>1072</v>
      </c>
      <c r="AO245" s="139" t="s">
        <v>590</v>
      </c>
      <c r="AP245" s="139" t="s">
        <v>1073</v>
      </c>
      <c r="AQ245" s="139" t="s">
        <v>1074</v>
      </c>
      <c r="AR245" s="139" t="s">
        <v>435</v>
      </c>
      <c r="AS245" s="139" t="s">
        <v>435</v>
      </c>
      <c r="AT245" s="139" t="s">
        <v>593</v>
      </c>
      <c r="AU245" s="139" t="s">
        <v>437</v>
      </c>
      <c r="AV245" s="140">
        <v>2</v>
      </c>
      <c r="AW245" s="139" t="s">
        <v>594</v>
      </c>
      <c r="AX245" s="139" t="s">
        <v>653</v>
      </c>
      <c r="AY245" s="139" t="s">
        <v>1075</v>
      </c>
      <c r="AZ245" s="140">
        <v>1</v>
      </c>
      <c r="BA245" s="139" t="s">
        <v>597</v>
      </c>
      <c r="BB245" s="140">
        <v>79350</v>
      </c>
      <c r="BC245" s="140">
        <v>6314006</v>
      </c>
      <c r="BD245" s="140">
        <v>84515</v>
      </c>
      <c r="BE245" s="140">
        <v>79.571600000000004</v>
      </c>
      <c r="BF245" s="139" t="s">
        <v>880</v>
      </c>
      <c r="BG245" s="139" t="s">
        <v>583</v>
      </c>
      <c r="BH245" s="139" t="s">
        <v>1076</v>
      </c>
      <c r="BI245" s="139" t="s">
        <v>598</v>
      </c>
      <c r="BJ245" s="139" t="s">
        <v>599</v>
      </c>
      <c r="BK245" s="139" t="s">
        <v>583</v>
      </c>
      <c r="BL245" s="139" t="s">
        <v>583</v>
      </c>
      <c r="BM245" s="139" t="s">
        <v>583</v>
      </c>
      <c r="BN245" s="139" t="s">
        <v>842</v>
      </c>
      <c r="BO245" s="139" t="s">
        <v>843</v>
      </c>
      <c r="BP245" s="139" t="s">
        <v>830</v>
      </c>
      <c r="BQ245" s="139" t="s">
        <v>723</v>
      </c>
      <c r="BR245" s="140">
        <v>2</v>
      </c>
      <c r="BS245" s="139" t="s">
        <v>1848</v>
      </c>
      <c r="BT245" s="99">
        <f t="shared" si="14"/>
        <v>1</v>
      </c>
      <c r="BU245" s="99">
        <f t="shared" si="14"/>
        <v>0</v>
      </c>
      <c r="BV245" s="99">
        <f t="shared" si="12"/>
        <v>1</v>
      </c>
      <c r="BW245" s="139" t="s">
        <v>1078</v>
      </c>
      <c r="BX245" s="139" t="s">
        <v>1257</v>
      </c>
      <c r="BY245" s="140">
        <v>2</v>
      </c>
      <c r="BZ245" s="140">
        <v>0</v>
      </c>
      <c r="CA245" s="99">
        <v>11000</v>
      </c>
      <c r="CB245" s="140" t="s">
        <v>603</v>
      </c>
      <c r="CC245" s="140">
        <v>0</v>
      </c>
      <c r="CD245" s="140"/>
      <c r="CE245" s="139" t="s">
        <v>1080</v>
      </c>
      <c r="CF245" s="139" t="s">
        <v>604</v>
      </c>
      <c r="CG245" s="139" t="s">
        <v>1664</v>
      </c>
      <c r="CH245" s="139" t="s">
        <v>583</v>
      </c>
      <c r="CI245" s="139" t="s">
        <v>1074</v>
      </c>
      <c r="CJ245" s="140">
        <v>1130</v>
      </c>
      <c r="CK245" s="140" t="s">
        <v>605</v>
      </c>
      <c r="CL245" s="140">
        <v>4000000</v>
      </c>
      <c r="CM245" s="99">
        <v>1045</v>
      </c>
      <c r="CN245" s="140">
        <v>0</v>
      </c>
      <c r="CO245" s="139" t="s">
        <v>583</v>
      </c>
      <c r="CP245" s="139" t="s">
        <v>583</v>
      </c>
      <c r="CQ245" s="140">
        <v>19890.849999999999</v>
      </c>
      <c r="CR245" s="140">
        <v>1582747</v>
      </c>
      <c r="CS245" s="140">
        <v>0</v>
      </c>
      <c r="CT245" s="140">
        <v>1</v>
      </c>
      <c r="CU245" s="140">
        <v>1582746.76</v>
      </c>
      <c r="CV245" s="99">
        <v>21185.57</v>
      </c>
      <c r="CW245" s="139" t="s">
        <v>606</v>
      </c>
      <c r="CX245" s="140">
        <v>20.273299999999999</v>
      </c>
      <c r="CY245" s="140">
        <v>1535</v>
      </c>
      <c r="CZ245" s="140" t="s">
        <v>1603</v>
      </c>
      <c r="DA245" s="140" t="s">
        <v>1119</v>
      </c>
      <c r="DB245" s="140">
        <v>1610</v>
      </c>
      <c r="DC245" s="140"/>
    </row>
    <row r="246" spans="2:107" ht="11.25" customHeight="1" x14ac:dyDescent="0.15">
      <c r="B246" s="139" t="s">
        <v>577</v>
      </c>
      <c r="C246" s="140" t="s">
        <v>1753</v>
      </c>
      <c r="D246" s="140">
        <v>3</v>
      </c>
      <c r="E246" s="139" t="s">
        <v>1849</v>
      </c>
      <c r="F246" s="139" t="s">
        <v>729</v>
      </c>
      <c r="G246" s="140" t="s">
        <v>1753</v>
      </c>
      <c r="H246" s="139" t="s">
        <v>1850</v>
      </c>
      <c r="I246" s="140" t="s">
        <v>421</v>
      </c>
      <c r="J246" s="139" t="s">
        <v>582</v>
      </c>
      <c r="K246" s="139" t="s">
        <v>583</v>
      </c>
      <c r="L246" s="139" t="s">
        <v>583</v>
      </c>
      <c r="M246" s="139" t="s">
        <v>583</v>
      </c>
      <c r="N246" s="139" t="s">
        <v>444</v>
      </c>
      <c r="O246" s="139" t="s">
        <v>1128</v>
      </c>
      <c r="P246" s="139" t="s">
        <v>583</v>
      </c>
      <c r="Q246" s="139" t="s">
        <v>583</v>
      </c>
      <c r="R246" s="140">
        <v>1</v>
      </c>
      <c r="S246" s="140"/>
      <c r="T246" s="140">
        <v>1</v>
      </c>
      <c r="U246" s="140">
        <v>10</v>
      </c>
      <c r="V246" s="139" t="s">
        <v>709</v>
      </c>
      <c r="W246" s="139" t="s">
        <v>710</v>
      </c>
      <c r="X246" s="139" t="s">
        <v>711</v>
      </c>
      <c r="Y246" s="139" t="s">
        <v>789</v>
      </c>
      <c r="Z246" s="139" t="s">
        <v>713</v>
      </c>
      <c r="AA246" s="139" t="s">
        <v>714</v>
      </c>
      <c r="AB246" s="139" t="s">
        <v>709</v>
      </c>
      <c r="AC246" s="139" t="s">
        <v>710</v>
      </c>
      <c r="AD246" s="139" t="s">
        <v>711</v>
      </c>
      <c r="AE246" s="139" t="s">
        <v>789</v>
      </c>
      <c r="AF246" s="139" t="s">
        <v>713</v>
      </c>
      <c r="AG246" s="139" t="s">
        <v>714</v>
      </c>
      <c r="AH246" s="139" t="s">
        <v>751</v>
      </c>
      <c r="AI246" s="139" t="s">
        <v>433</v>
      </c>
      <c r="AJ246" s="140">
        <v>5895348.7300000004</v>
      </c>
      <c r="AK246" s="139" t="s">
        <v>709</v>
      </c>
      <c r="AL246" s="139" t="s">
        <v>710</v>
      </c>
      <c r="AM246" s="139" t="s">
        <v>711</v>
      </c>
      <c r="AN246" s="139" t="s">
        <v>789</v>
      </c>
      <c r="AO246" s="139" t="s">
        <v>713</v>
      </c>
      <c r="AP246" s="139" t="s">
        <v>714</v>
      </c>
      <c r="AQ246" s="139" t="s">
        <v>751</v>
      </c>
      <c r="AR246" s="139" t="s">
        <v>433</v>
      </c>
      <c r="AS246" s="139" t="s">
        <v>433</v>
      </c>
      <c r="AT246" s="139" t="s">
        <v>593</v>
      </c>
      <c r="AU246" s="139" t="s">
        <v>437</v>
      </c>
      <c r="AV246" s="140">
        <v>2</v>
      </c>
      <c r="AW246" s="139" t="s">
        <v>594</v>
      </c>
      <c r="AX246" s="139" t="s">
        <v>653</v>
      </c>
      <c r="AY246" s="139" t="s">
        <v>790</v>
      </c>
      <c r="AZ246" s="140">
        <v>1</v>
      </c>
      <c r="BA246" s="139" t="s">
        <v>597</v>
      </c>
      <c r="BB246" s="140">
        <v>71640</v>
      </c>
      <c r="BC246" s="140">
        <v>5895349</v>
      </c>
      <c r="BD246" s="140">
        <v>76996.75</v>
      </c>
      <c r="BE246" s="140">
        <v>82.291300000000007</v>
      </c>
      <c r="BF246" s="139" t="s">
        <v>880</v>
      </c>
      <c r="BG246" s="139" t="s">
        <v>583</v>
      </c>
      <c r="BH246" s="139" t="s">
        <v>1059</v>
      </c>
      <c r="BI246" s="139" t="s">
        <v>598</v>
      </c>
      <c r="BJ246" s="139" t="s">
        <v>599</v>
      </c>
      <c r="BK246" s="139" t="s">
        <v>583</v>
      </c>
      <c r="BL246" s="139" t="s">
        <v>1060</v>
      </c>
      <c r="BM246" s="139" t="s">
        <v>583</v>
      </c>
      <c r="BN246" s="139" t="s">
        <v>842</v>
      </c>
      <c r="BO246" s="139" t="s">
        <v>843</v>
      </c>
      <c r="BP246" s="139" t="s">
        <v>925</v>
      </c>
      <c r="BQ246" s="139" t="s">
        <v>723</v>
      </c>
      <c r="BR246" s="140">
        <v>1</v>
      </c>
      <c r="BS246" s="139" t="s">
        <v>1851</v>
      </c>
      <c r="BT246" s="99">
        <f t="shared" si="14"/>
        <v>0</v>
      </c>
      <c r="BU246" s="99">
        <f t="shared" si="14"/>
        <v>0</v>
      </c>
      <c r="BV246" s="99">
        <f t="shared" si="12"/>
        <v>0</v>
      </c>
      <c r="BW246" s="139" t="s">
        <v>602</v>
      </c>
      <c r="BX246" s="139" t="s">
        <v>443</v>
      </c>
      <c r="BY246" s="140">
        <v>10</v>
      </c>
      <c r="BZ246" s="140"/>
      <c r="CA246" s="99">
        <v>46000</v>
      </c>
      <c r="CB246" s="140" t="s">
        <v>603</v>
      </c>
      <c r="CC246" s="140"/>
      <c r="CD246" s="140"/>
      <c r="CE246" s="139" t="s">
        <v>577</v>
      </c>
      <c r="CF246" s="139" t="s">
        <v>604</v>
      </c>
      <c r="CG246" s="139" t="s">
        <v>583</v>
      </c>
      <c r="CH246" s="139" t="s">
        <v>583</v>
      </c>
      <c r="CI246" s="139" t="s">
        <v>751</v>
      </c>
      <c r="CJ246" s="140">
        <v>4830</v>
      </c>
      <c r="CK246" s="140" t="s">
        <v>605</v>
      </c>
      <c r="CL246" s="140">
        <v>4000000</v>
      </c>
      <c r="CM246" s="99">
        <v>4600</v>
      </c>
      <c r="CN246" s="140"/>
      <c r="CO246" s="139" t="s">
        <v>583</v>
      </c>
      <c r="CP246" s="139" t="s">
        <v>583</v>
      </c>
      <c r="CQ246" s="140">
        <v>71640</v>
      </c>
      <c r="CR246" s="140">
        <v>5895349</v>
      </c>
      <c r="CS246" s="140">
        <v>0</v>
      </c>
      <c r="CT246" s="140">
        <v>1</v>
      </c>
      <c r="CU246" s="140">
        <v>5895348.7300000004</v>
      </c>
      <c r="CV246" s="99">
        <v>76996.75</v>
      </c>
      <c r="CW246" s="139" t="s">
        <v>606</v>
      </c>
      <c r="CX246" s="140">
        <v>16.738399999999999</v>
      </c>
      <c r="CY246" s="140">
        <v>35</v>
      </c>
      <c r="CZ246" s="140" t="s">
        <v>1062</v>
      </c>
      <c r="DA246" s="140" t="s">
        <v>1363</v>
      </c>
      <c r="DB246" s="140">
        <v>552</v>
      </c>
      <c r="DC246" s="140"/>
    </row>
    <row r="247" spans="2:107" ht="11.25" customHeight="1" x14ac:dyDescent="0.15">
      <c r="B247" s="139" t="s">
        <v>577</v>
      </c>
      <c r="C247" s="140" t="s">
        <v>1755</v>
      </c>
      <c r="D247" s="140">
        <v>3</v>
      </c>
      <c r="E247" s="139" t="s">
        <v>1852</v>
      </c>
      <c r="F247" s="139" t="s">
        <v>580</v>
      </c>
      <c r="G247" s="140" t="s">
        <v>1755</v>
      </c>
      <c r="H247" s="139" t="s">
        <v>1853</v>
      </c>
      <c r="I247" s="140" t="s">
        <v>421</v>
      </c>
      <c r="J247" s="139" t="s">
        <v>582</v>
      </c>
      <c r="K247" s="139" t="s">
        <v>583</v>
      </c>
      <c r="L247" s="139" t="s">
        <v>583</v>
      </c>
      <c r="M247" s="139" t="s">
        <v>583</v>
      </c>
      <c r="N247" s="139" t="s">
        <v>1532</v>
      </c>
      <c r="O247" s="139" t="s">
        <v>1644</v>
      </c>
      <c r="P247" s="139" t="s">
        <v>583</v>
      </c>
      <c r="Q247" s="139" t="s">
        <v>583</v>
      </c>
      <c r="R247" s="140">
        <v>1</v>
      </c>
      <c r="S247" s="140">
        <v>0</v>
      </c>
      <c r="T247" s="140">
        <v>1</v>
      </c>
      <c r="U247" s="140">
        <v>200</v>
      </c>
      <c r="V247" s="139" t="s">
        <v>640</v>
      </c>
      <c r="W247" s="139" t="s">
        <v>641</v>
      </c>
      <c r="X247" s="139" t="s">
        <v>642</v>
      </c>
      <c r="Y247" s="139" t="s">
        <v>643</v>
      </c>
      <c r="Z247" s="139" t="s">
        <v>644</v>
      </c>
      <c r="AA247" s="139" t="s">
        <v>645</v>
      </c>
      <c r="AB247" s="139" t="s">
        <v>640</v>
      </c>
      <c r="AC247" s="139" t="s">
        <v>641</v>
      </c>
      <c r="AD247" s="139" t="s">
        <v>642</v>
      </c>
      <c r="AE247" s="139" t="s">
        <v>643</v>
      </c>
      <c r="AF247" s="139" t="s">
        <v>644</v>
      </c>
      <c r="AG247" s="139" t="s">
        <v>645</v>
      </c>
      <c r="AH247" s="139" t="s">
        <v>1534</v>
      </c>
      <c r="AI247" s="139" t="s">
        <v>1535</v>
      </c>
      <c r="AJ247" s="140">
        <v>6228857.8799999999</v>
      </c>
      <c r="AK247" s="139" t="s">
        <v>640</v>
      </c>
      <c r="AL247" s="139" t="s">
        <v>641</v>
      </c>
      <c r="AM247" s="139" t="s">
        <v>642</v>
      </c>
      <c r="AN247" s="139" t="s">
        <v>643</v>
      </c>
      <c r="AO247" s="139" t="s">
        <v>644</v>
      </c>
      <c r="AP247" s="139" t="s">
        <v>645</v>
      </c>
      <c r="AQ247" s="139" t="s">
        <v>759</v>
      </c>
      <c r="AR247" s="139" t="s">
        <v>434</v>
      </c>
      <c r="AS247" s="139" t="s">
        <v>434</v>
      </c>
      <c r="AT247" s="139" t="s">
        <v>593</v>
      </c>
      <c r="AU247" s="139" t="s">
        <v>437</v>
      </c>
      <c r="AV247" s="140">
        <v>2</v>
      </c>
      <c r="AW247" s="139" t="s">
        <v>594</v>
      </c>
      <c r="AX247" s="139" t="s">
        <v>595</v>
      </c>
      <c r="AY247" s="139" t="s">
        <v>1536</v>
      </c>
      <c r="AZ247" s="140">
        <v>1</v>
      </c>
      <c r="BA247" s="139" t="s">
        <v>597</v>
      </c>
      <c r="BB247" s="140">
        <v>75400</v>
      </c>
      <c r="BC247" s="140">
        <v>6212379</v>
      </c>
      <c r="BD247" s="140">
        <v>81478.47</v>
      </c>
      <c r="BE247" s="140">
        <v>82.392300000000006</v>
      </c>
      <c r="BF247" s="139" t="s">
        <v>880</v>
      </c>
      <c r="BG247" s="139" t="s">
        <v>583</v>
      </c>
      <c r="BH247" s="139" t="s">
        <v>1537</v>
      </c>
      <c r="BI247" s="139" t="s">
        <v>598</v>
      </c>
      <c r="BJ247" s="139" t="s">
        <v>599</v>
      </c>
      <c r="BK247" s="139" t="s">
        <v>583</v>
      </c>
      <c r="BL247" s="139" t="s">
        <v>583</v>
      </c>
      <c r="BM247" s="139" t="s">
        <v>939</v>
      </c>
      <c r="BN247" s="139" t="s">
        <v>916</v>
      </c>
      <c r="BO247" s="139" t="s">
        <v>917</v>
      </c>
      <c r="BP247" s="139" t="s">
        <v>918</v>
      </c>
      <c r="BQ247" s="139" t="s">
        <v>772</v>
      </c>
      <c r="BR247" s="140">
        <v>1</v>
      </c>
      <c r="BS247" s="139" t="s">
        <v>1854</v>
      </c>
      <c r="BT247" s="99">
        <f t="shared" si="14"/>
        <v>1</v>
      </c>
      <c r="BU247" s="99">
        <f t="shared" si="14"/>
        <v>1</v>
      </c>
      <c r="BV247" s="99">
        <f t="shared" si="12"/>
        <v>1</v>
      </c>
      <c r="BW247" s="139" t="s">
        <v>1539</v>
      </c>
      <c r="BX247" s="139" t="s">
        <v>1540</v>
      </c>
      <c r="BY247" s="140">
        <v>200</v>
      </c>
      <c r="BZ247" s="140">
        <v>0</v>
      </c>
      <c r="CA247" s="99">
        <v>40000</v>
      </c>
      <c r="CB247" s="140" t="s">
        <v>603</v>
      </c>
      <c r="CC247" s="140">
        <v>0</v>
      </c>
      <c r="CD247" s="140"/>
      <c r="CE247" s="139" t="s">
        <v>577</v>
      </c>
      <c r="CF247" s="139" t="s">
        <v>604</v>
      </c>
      <c r="CG247" s="139" t="s">
        <v>583</v>
      </c>
      <c r="CH247" s="139" t="s">
        <v>583</v>
      </c>
      <c r="CI247" s="139" t="s">
        <v>759</v>
      </c>
      <c r="CJ247" s="140">
        <v>4000</v>
      </c>
      <c r="CK247" s="140" t="s">
        <v>605</v>
      </c>
      <c r="CL247" s="140">
        <v>4000000</v>
      </c>
      <c r="CM247" s="99">
        <v>3800</v>
      </c>
      <c r="CN247" s="140">
        <v>0</v>
      </c>
      <c r="CO247" s="139" t="s">
        <v>583</v>
      </c>
      <c r="CP247" s="139" t="s">
        <v>583</v>
      </c>
      <c r="CQ247" s="140">
        <v>75400</v>
      </c>
      <c r="CR247" s="140">
        <v>6212379</v>
      </c>
      <c r="CS247" s="140">
        <v>0</v>
      </c>
      <c r="CT247" s="140">
        <v>1</v>
      </c>
      <c r="CU247" s="140">
        <v>6228857.8799999999</v>
      </c>
      <c r="CV247" s="99">
        <v>81478.47</v>
      </c>
      <c r="CW247" s="139" t="s">
        <v>606</v>
      </c>
      <c r="CX247" s="140">
        <v>21.441700000000001</v>
      </c>
      <c r="CY247" s="140"/>
      <c r="CZ247" s="140"/>
      <c r="DA247" s="140" t="s">
        <v>941</v>
      </c>
      <c r="DB247" s="140">
        <v>1599</v>
      </c>
      <c r="DC247" s="140"/>
    </row>
    <row r="248" spans="2:107" ht="11.25" customHeight="1" x14ac:dyDescent="0.15">
      <c r="B248" s="139" t="s">
        <v>577</v>
      </c>
      <c r="C248" s="140" t="s">
        <v>1755</v>
      </c>
      <c r="D248" s="140">
        <v>3</v>
      </c>
      <c r="E248" s="139" t="s">
        <v>1855</v>
      </c>
      <c r="F248" s="139" t="s">
        <v>580</v>
      </c>
      <c r="G248" s="140" t="s">
        <v>1755</v>
      </c>
      <c r="H248" s="139" t="s">
        <v>1856</v>
      </c>
      <c r="I248" s="140" t="s">
        <v>421</v>
      </c>
      <c r="J248" s="139" t="s">
        <v>582</v>
      </c>
      <c r="K248" s="139" t="s">
        <v>583</v>
      </c>
      <c r="L248" s="139" t="s">
        <v>583</v>
      </c>
      <c r="M248" s="139" t="s">
        <v>583</v>
      </c>
      <c r="N248" s="139" t="s">
        <v>1169</v>
      </c>
      <c r="O248" s="139" t="s">
        <v>1170</v>
      </c>
      <c r="P248" s="139" t="s">
        <v>583</v>
      </c>
      <c r="Q248" s="139" t="s">
        <v>583</v>
      </c>
      <c r="R248" s="140">
        <v>1</v>
      </c>
      <c r="S248" s="140">
        <v>0</v>
      </c>
      <c r="T248" s="140">
        <v>1</v>
      </c>
      <c r="U248" s="140">
        <v>80</v>
      </c>
      <c r="V248" s="139" t="s">
        <v>907</v>
      </c>
      <c r="W248" s="139" t="s">
        <v>908</v>
      </c>
      <c r="X248" s="139" t="s">
        <v>909</v>
      </c>
      <c r="Y248" s="139" t="s">
        <v>910</v>
      </c>
      <c r="Z248" s="139" t="s">
        <v>644</v>
      </c>
      <c r="AA248" s="139" t="s">
        <v>911</v>
      </c>
      <c r="AB248" s="139" t="s">
        <v>907</v>
      </c>
      <c r="AC248" s="139" t="s">
        <v>908</v>
      </c>
      <c r="AD248" s="139" t="s">
        <v>909</v>
      </c>
      <c r="AE248" s="139" t="s">
        <v>910</v>
      </c>
      <c r="AF248" s="139" t="s">
        <v>644</v>
      </c>
      <c r="AG248" s="139" t="s">
        <v>911</v>
      </c>
      <c r="AH248" s="139" t="s">
        <v>592</v>
      </c>
      <c r="AI248" s="139" t="s">
        <v>429</v>
      </c>
      <c r="AJ248" s="140">
        <v>2001729.99</v>
      </c>
      <c r="AK248" s="139" t="s">
        <v>907</v>
      </c>
      <c r="AL248" s="139" t="s">
        <v>908</v>
      </c>
      <c r="AM248" s="139" t="s">
        <v>909</v>
      </c>
      <c r="AN248" s="139" t="s">
        <v>910</v>
      </c>
      <c r="AO248" s="139" t="s">
        <v>644</v>
      </c>
      <c r="AP248" s="139" t="s">
        <v>911</v>
      </c>
      <c r="AQ248" s="139" t="s">
        <v>592</v>
      </c>
      <c r="AR248" s="139" t="s">
        <v>429</v>
      </c>
      <c r="AS248" s="139" t="s">
        <v>429</v>
      </c>
      <c r="AT248" s="139" t="s">
        <v>593</v>
      </c>
      <c r="AU248" s="139" t="s">
        <v>437</v>
      </c>
      <c r="AV248" s="140">
        <v>2</v>
      </c>
      <c r="AW248" s="139" t="s">
        <v>594</v>
      </c>
      <c r="AX248" s="139" t="s">
        <v>595</v>
      </c>
      <c r="AY248" s="139" t="s">
        <v>722</v>
      </c>
      <c r="AZ248" s="140">
        <v>1</v>
      </c>
      <c r="BA248" s="139" t="s">
        <v>597</v>
      </c>
      <c r="BB248" s="140">
        <v>24000</v>
      </c>
      <c r="BC248" s="140">
        <v>1977415</v>
      </c>
      <c r="BD248" s="140">
        <v>26184.240000000002</v>
      </c>
      <c r="BE248" s="140">
        <v>82.392300000000006</v>
      </c>
      <c r="BF248" s="139" t="s">
        <v>880</v>
      </c>
      <c r="BG248" s="139" t="s">
        <v>583</v>
      </c>
      <c r="BH248" s="139" t="s">
        <v>1171</v>
      </c>
      <c r="BI248" s="139" t="s">
        <v>598</v>
      </c>
      <c r="BJ248" s="139" t="s">
        <v>624</v>
      </c>
      <c r="BK248" s="139" t="s">
        <v>914</v>
      </c>
      <c r="BL248" s="139" t="s">
        <v>583</v>
      </c>
      <c r="BM248" s="139" t="s">
        <v>915</v>
      </c>
      <c r="BN248" s="139" t="s">
        <v>916</v>
      </c>
      <c r="BO248" s="139" t="s">
        <v>917</v>
      </c>
      <c r="BP248" s="139" t="s">
        <v>918</v>
      </c>
      <c r="BQ248" s="139" t="s">
        <v>772</v>
      </c>
      <c r="BR248" s="140">
        <v>1</v>
      </c>
      <c r="BS248" s="139" t="s">
        <v>1247</v>
      </c>
      <c r="BT248" s="99">
        <f t="shared" ref="BT248:BU267" si="15">MIN(1,IFERROR(SEARCH(BT$2,$BS248),0))</f>
        <v>0</v>
      </c>
      <c r="BU248" s="99">
        <f t="shared" si="15"/>
        <v>1</v>
      </c>
      <c r="BV248" s="99">
        <f t="shared" si="12"/>
        <v>1</v>
      </c>
      <c r="BW248" s="139" t="s">
        <v>602</v>
      </c>
      <c r="BX248" s="139" t="s">
        <v>1169</v>
      </c>
      <c r="BY248" s="140">
        <v>80</v>
      </c>
      <c r="BZ248" s="140">
        <v>0</v>
      </c>
      <c r="CA248" s="99">
        <v>16000</v>
      </c>
      <c r="CB248" s="140" t="s">
        <v>603</v>
      </c>
      <c r="CC248" s="140">
        <v>0</v>
      </c>
      <c r="CD248" s="140"/>
      <c r="CE248" s="139" t="s">
        <v>577</v>
      </c>
      <c r="CF248" s="139" t="s">
        <v>604</v>
      </c>
      <c r="CG248" s="139" t="s">
        <v>583</v>
      </c>
      <c r="CH248" s="139" t="s">
        <v>583</v>
      </c>
      <c r="CI248" s="139" t="s">
        <v>592</v>
      </c>
      <c r="CJ248" s="140">
        <v>1840</v>
      </c>
      <c r="CK248" s="140" t="s">
        <v>605</v>
      </c>
      <c r="CL248" s="140">
        <v>4000000</v>
      </c>
      <c r="CM248" s="99">
        <v>1680</v>
      </c>
      <c r="CN248" s="140">
        <v>0</v>
      </c>
      <c r="CO248" s="139" t="s">
        <v>583</v>
      </c>
      <c r="CP248" s="139" t="s">
        <v>583</v>
      </c>
      <c r="CQ248" s="140">
        <v>24000</v>
      </c>
      <c r="CR248" s="140">
        <v>1977415</v>
      </c>
      <c r="CS248" s="140">
        <v>0</v>
      </c>
      <c r="CT248" s="140">
        <v>1</v>
      </c>
      <c r="CU248" s="140">
        <v>2001729.99</v>
      </c>
      <c r="CV248" s="99">
        <v>26184.240000000002</v>
      </c>
      <c r="CW248" s="139" t="s">
        <v>606</v>
      </c>
      <c r="CX248" s="140">
        <v>15.585900000000001</v>
      </c>
      <c r="CY248" s="140"/>
      <c r="CZ248" s="140"/>
      <c r="DA248" s="140" t="s">
        <v>920</v>
      </c>
      <c r="DB248" s="140">
        <v>1197</v>
      </c>
      <c r="DC248" s="140"/>
    </row>
    <row r="249" spans="2:107" ht="11.25" customHeight="1" x14ac:dyDescent="0.15">
      <c r="B249" s="139" t="s">
        <v>577</v>
      </c>
      <c r="C249" s="140" t="s">
        <v>1755</v>
      </c>
      <c r="D249" s="140">
        <v>3</v>
      </c>
      <c r="E249" s="139" t="s">
        <v>1857</v>
      </c>
      <c r="F249" s="139" t="s">
        <v>580</v>
      </c>
      <c r="G249" s="140" t="s">
        <v>1755</v>
      </c>
      <c r="H249" s="139" t="s">
        <v>1858</v>
      </c>
      <c r="I249" s="140" t="s">
        <v>421</v>
      </c>
      <c r="J249" s="139" t="s">
        <v>582</v>
      </c>
      <c r="K249" s="139" t="s">
        <v>583</v>
      </c>
      <c r="L249" s="139" t="s">
        <v>583</v>
      </c>
      <c r="M249" s="139" t="s">
        <v>583</v>
      </c>
      <c r="N249" s="139" t="s">
        <v>1417</v>
      </c>
      <c r="O249" s="139" t="s">
        <v>1624</v>
      </c>
      <c r="P249" s="139" t="s">
        <v>583</v>
      </c>
      <c r="Q249" s="139" t="s">
        <v>583</v>
      </c>
      <c r="R249" s="140">
        <v>2</v>
      </c>
      <c r="S249" s="140">
        <v>0</v>
      </c>
      <c r="T249" s="140">
        <v>2</v>
      </c>
      <c r="U249" s="140">
        <v>17</v>
      </c>
      <c r="V249" s="139" t="s">
        <v>907</v>
      </c>
      <c r="W249" s="139" t="s">
        <v>908</v>
      </c>
      <c r="X249" s="139" t="s">
        <v>909</v>
      </c>
      <c r="Y249" s="139" t="s">
        <v>910</v>
      </c>
      <c r="Z249" s="139" t="s">
        <v>644</v>
      </c>
      <c r="AA249" s="139" t="s">
        <v>911</v>
      </c>
      <c r="AB249" s="139" t="s">
        <v>907</v>
      </c>
      <c r="AC249" s="139" t="s">
        <v>908</v>
      </c>
      <c r="AD249" s="139" t="s">
        <v>909</v>
      </c>
      <c r="AE249" s="139" t="s">
        <v>910</v>
      </c>
      <c r="AF249" s="139" t="s">
        <v>644</v>
      </c>
      <c r="AG249" s="139" t="s">
        <v>911</v>
      </c>
      <c r="AH249" s="139" t="s">
        <v>1074</v>
      </c>
      <c r="AI249" s="139" t="s">
        <v>435</v>
      </c>
      <c r="AJ249" s="140">
        <v>4484942.46</v>
      </c>
      <c r="AK249" s="139" t="s">
        <v>907</v>
      </c>
      <c r="AL249" s="139" t="s">
        <v>908</v>
      </c>
      <c r="AM249" s="139" t="s">
        <v>909</v>
      </c>
      <c r="AN249" s="139" t="s">
        <v>910</v>
      </c>
      <c r="AO249" s="139" t="s">
        <v>644</v>
      </c>
      <c r="AP249" s="139" t="s">
        <v>911</v>
      </c>
      <c r="AQ249" s="139" t="s">
        <v>1074</v>
      </c>
      <c r="AR249" s="139" t="s">
        <v>435</v>
      </c>
      <c r="AS249" s="139" t="s">
        <v>435</v>
      </c>
      <c r="AT249" s="139" t="s">
        <v>593</v>
      </c>
      <c r="AU249" s="139" t="s">
        <v>437</v>
      </c>
      <c r="AV249" s="140">
        <v>2</v>
      </c>
      <c r="AW249" s="139" t="s">
        <v>594</v>
      </c>
      <c r="AX249" s="139" t="s">
        <v>595</v>
      </c>
      <c r="AY249" s="139" t="s">
        <v>1625</v>
      </c>
      <c r="AZ249" s="140">
        <v>1</v>
      </c>
      <c r="BA249" s="139" t="s">
        <v>597</v>
      </c>
      <c r="BB249" s="140">
        <v>48534</v>
      </c>
      <c r="BC249" s="140">
        <v>3998828</v>
      </c>
      <c r="BD249" s="140">
        <v>58666.66</v>
      </c>
      <c r="BE249" s="140">
        <v>82.392300000000006</v>
      </c>
      <c r="BF249" s="139" t="s">
        <v>880</v>
      </c>
      <c r="BG249" s="139" t="s">
        <v>735</v>
      </c>
      <c r="BH249" s="139" t="s">
        <v>1626</v>
      </c>
      <c r="BI249" s="139" t="s">
        <v>598</v>
      </c>
      <c r="BJ249" s="139" t="s">
        <v>624</v>
      </c>
      <c r="BK249" s="139" t="s">
        <v>914</v>
      </c>
      <c r="BL249" s="139" t="s">
        <v>583</v>
      </c>
      <c r="BM249" s="139" t="s">
        <v>915</v>
      </c>
      <c r="BN249" s="139" t="s">
        <v>916</v>
      </c>
      <c r="BO249" s="139" t="s">
        <v>917</v>
      </c>
      <c r="BP249" s="139" t="s">
        <v>918</v>
      </c>
      <c r="BQ249" s="139" t="s">
        <v>772</v>
      </c>
      <c r="BR249" s="140">
        <v>2</v>
      </c>
      <c r="BS249" s="139" t="s">
        <v>1859</v>
      </c>
      <c r="BT249" s="99">
        <f t="shared" si="15"/>
        <v>0</v>
      </c>
      <c r="BU249" s="99">
        <f t="shared" si="15"/>
        <v>1</v>
      </c>
      <c r="BV249" s="99">
        <f t="shared" si="12"/>
        <v>1</v>
      </c>
      <c r="BW249" s="139" t="s">
        <v>602</v>
      </c>
      <c r="BX249" s="139" t="s">
        <v>1417</v>
      </c>
      <c r="BY249" s="140">
        <v>1</v>
      </c>
      <c r="BZ249" s="140">
        <v>0</v>
      </c>
      <c r="CA249" s="99">
        <v>5600</v>
      </c>
      <c r="CB249" s="140" t="s">
        <v>603</v>
      </c>
      <c r="CC249" s="140">
        <v>0</v>
      </c>
      <c r="CD249" s="140"/>
      <c r="CE249" s="139" t="s">
        <v>1080</v>
      </c>
      <c r="CF249" s="139" t="s">
        <v>604</v>
      </c>
      <c r="CG249" s="139" t="s">
        <v>1664</v>
      </c>
      <c r="CH249" s="139" t="s">
        <v>583</v>
      </c>
      <c r="CI249" s="139" t="s">
        <v>1074</v>
      </c>
      <c r="CJ249" s="140">
        <v>575</v>
      </c>
      <c r="CK249" s="140" t="s">
        <v>605</v>
      </c>
      <c r="CL249" s="140">
        <v>4000000</v>
      </c>
      <c r="CM249" s="99">
        <v>532</v>
      </c>
      <c r="CN249" s="140">
        <v>0</v>
      </c>
      <c r="CO249" s="139" t="s">
        <v>583</v>
      </c>
      <c r="CP249" s="139" t="s">
        <v>583</v>
      </c>
      <c r="CQ249" s="140">
        <v>9240</v>
      </c>
      <c r="CR249" s="140">
        <v>761305</v>
      </c>
      <c r="CS249" s="140">
        <v>0</v>
      </c>
      <c r="CT249" s="140">
        <v>1</v>
      </c>
      <c r="CU249" s="140">
        <v>787452.05</v>
      </c>
      <c r="CV249" s="99">
        <v>10300.51</v>
      </c>
      <c r="CW249" s="139" t="s">
        <v>606</v>
      </c>
      <c r="CX249" s="140">
        <v>19.361899999999999</v>
      </c>
      <c r="CY249" s="140"/>
      <c r="CZ249" s="140"/>
      <c r="DA249" s="140" t="s">
        <v>920</v>
      </c>
      <c r="DB249" s="140">
        <v>1189</v>
      </c>
      <c r="DC249" s="140"/>
    </row>
    <row r="250" spans="2:107" ht="11.25" customHeight="1" x14ac:dyDescent="0.15">
      <c r="B250" s="139" t="s">
        <v>577</v>
      </c>
      <c r="C250" s="140" t="s">
        <v>1755</v>
      </c>
      <c r="D250" s="140">
        <v>3</v>
      </c>
      <c r="E250" s="139" t="s">
        <v>1860</v>
      </c>
      <c r="F250" s="139" t="s">
        <v>580</v>
      </c>
      <c r="G250" s="140" t="s">
        <v>1755</v>
      </c>
      <c r="H250" s="139" t="s">
        <v>1861</v>
      </c>
      <c r="I250" s="140" t="s">
        <v>421</v>
      </c>
      <c r="J250" s="139" t="s">
        <v>582</v>
      </c>
      <c r="K250" s="139" t="s">
        <v>583</v>
      </c>
      <c r="L250" s="139" t="s">
        <v>583</v>
      </c>
      <c r="M250" s="139" t="s">
        <v>583</v>
      </c>
      <c r="N250" s="139" t="s">
        <v>1386</v>
      </c>
      <c r="O250" s="139" t="s">
        <v>1640</v>
      </c>
      <c r="P250" s="139" t="s">
        <v>583</v>
      </c>
      <c r="Q250" s="139" t="s">
        <v>583</v>
      </c>
      <c r="R250" s="140">
        <v>2</v>
      </c>
      <c r="S250" s="140">
        <v>0</v>
      </c>
      <c r="T250" s="140">
        <v>2</v>
      </c>
      <c r="U250" s="140">
        <v>28</v>
      </c>
      <c r="V250" s="139" t="s">
        <v>1069</v>
      </c>
      <c r="W250" s="139" t="s">
        <v>1070</v>
      </c>
      <c r="X250" s="139" t="s">
        <v>1071</v>
      </c>
      <c r="Y250" s="139" t="s">
        <v>1072</v>
      </c>
      <c r="Z250" s="139" t="s">
        <v>590</v>
      </c>
      <c r="AA250" s="139" t="s">
        <v>1073</v>
      </c>
      <c r="AB250" s="139" t="s">
        <v>1069</v>
      </c>
      <c r="AC250" s="139" t="s">
        <v>1070</v>
      </c>
      <c r="AD250" s="139" t="s">
        <v>1071</v>
      </c>
      <c r="AE250" s="139" t="s">
        <v>1072</v>
      </c>
      <c r="AF250" s="139" t="s">
        <v>590</v>
      </c>
      <c r="AG250" s="139" t="s">
        <v>1073</v>
      </c>
      <c r="AH250" s="139" t="s">
        <v>1074</v>
      </c>
      <c r="AI250" s="139" t="s">
        <v>435</v>
      </c>
      <c r="AJ250" s="140">
        <v>8016408.2599999998</v>
      </c>
      <c r="AK250" s="139" t="s">
        <v>1069</v>
      </c>
      <c r="AL250" s="139" t="s">
        <v>1070</v>
      </c>
      <c r="AM250" s="139" t="s">
        <v>1071</v>
      </c>
      <c r="AN250" s="139" t="s">
        <v>1072</v>
      </c>
      <c r="AO250" s="139" t="s">
        <v>590</v>
      </c>
      <c r="AP250" s="139" t="s">
        <v>1073</v>
      </c>
      <c r="AQ250" s="139" t="s">
        <v>1074</v>
      </c>
      <c r="AR250" s="139" t="s">
        <v>435</v>
      </c>
      <c r="AS250" s="139" t="s">
        <v>435</v>
      </c>
      <c r="AT250" s="139" t="s">
        <v>593</v>
      </c>
      <c r="AU250" s="139" t="s">
        <v>437</v>
      </c>
      <c r="AV250" s="140">
        <v>2</v>
      </c>
      <c r="AW250" s="139" t="s">
        <v>594</v>
      </c>
      <c r="AX250" s="139" t="s">
        <v>653</v>
      </c>
      <c r="AY250" s="139" t="s">
        <v>1075</v>
      </c>
      <c r="AZ250" s="140">
        <v>1</v>
      </c>
      <c r="BA250" s="139" t="s">
        <v>597</v>
      </c>
      <c r="BB250" s="140">
        <v>97295.6</v>
      </c>
      <c r="BC250" s="140">
        <v>8016408</v>
      </c>
      <c r="BD250" s="140">
        <v>104861.07</v>
      </c>
      <c r="BE250" s="140">
        <v>82.392300000000006</v>
      </c>
      <c r="BF250" s="139" t="s">
        <v>880</v>
      </c>
      <c r="BG250" s="139" t="s">
        <v>583</v>
      </c>
      <c r="BH250" s="139" t="s">
        <v>1076</v>
      </c>
      <c r="BI250" s="139" t="s">
        <v>598</v>
      </c>
      <c r="BJ250" s="139" t="s">
        <v>599</v>
      </c>
      <c r="BK250" s="139" t="s">
        <v>583</v>
      </c>
      <c r="BL250" s="139" t="s">
        <v>583</v>
      </c>
      <c r="BM250" s="139" t="s">
        <v>583</v>
      </c>
      <c r="BN250" s="139" t="s">
        <v>842</v>
      </c>
      <c r="BO250" s="139" t="s">
        <v>843</v>
      </c>
      <c r="BP250" s="139" t="s">
        <v>925</v>
      </c>
      <c r="BQ250" s="139" t="s">
        <v>723</v>
      </c>
      <c r="BR250" s="140">
        <v>2</v>
      </c>
      <c r="BS250" s="139" t="s">
        <v>1077</v>
      </c>
      <c r="BT250" s="99">
        <f t="shared" si="15"/>
        <v>1</v>
      </c>
      <c r="BU250" s="99">
        <f t="shared" si="15"/>
        <v>0</v>
      </c>
      <c r="BV250" s="99">
        <f t="shared" si="12"/>
        <v>1</v>
      </c>
      <c r="BW250" s="139" t="s">
        <v>1078</v>
      </c>
      <c r="BX250" s="139" t="s">
        <v>1257</v>
      </c>
      <c r="BY250" s="140">
        <v>1</v>
      </c>
      <c r="BZ250" s="140">
        <v>0</v>
      </c>
      <c r="CA250" s="99">
        <v>5600</v>
      </c>
      <c r="CB250" s="140" t="s">
        <v>603</v>
      </c>
      <c r="CC250" s="140">
        <v>0</v>
      </c>
      <c r="CD250" s="140"/>
      <c r="CE250" s="139" t="s">
        <v>1080</v>
      </c>
      <c r="CF250" s="139" t="s">
        <v>604</v>
      </c>
      <c r="CG250" s="139" t="s">
        <v>583</v>
      </c>
      <c r="CH250" s="139" t="s">
        <v>583</v>
      </c>
      <c r="CI250" s="139" t="s">
        <v>1074</v>
      </c>
      <c r="CJ250" s="140">
        <v>575</v>
      </c>
      <c r="CK250" s="140" t="s">
        <v>605</v>
      </c>
      <c r="CL250" s="140">
        <v>4000000</v>
      </c>
      <c r="CM250" s="99">
        <v>532</v>
      </c>
      <c r="CN250" s="140">
        <v>0</v>
      </c>
      <c r="CO250" s="139" t="s">
        <v>583</v>
      </c>
      <c r="CP250" s="139" t="s">
        <v>583</v>
      </c>
      <c r="CQ250" s="140">
        <v>11430.88</v>
      </c>
      <c r="CR250" s="140">
        <v>941816</v>
      </c>
      <c r="CS250" s="140">
        <v>0</v>
      </c>
      <c r="CT250" s="140">
        <v>1</v>
      </c>
      <c r="CU250" s="140">
        <v>941816.49</v>
      </c>
      <c r="CV250" s="99">
        <v>12319.72</v>
      </c>
      <c r="CW250" s="139" t="s">
        <v>606</v>
      </c>
      <c r="CX250" s="140">
        <v>23.157399999999999</v>
      </c>
      <c r="CY250" s="140">
        <v>1535</v>
      </c>
      <c r="CZ250" s="140" t="s">
        <v>1603</v>
      </c>
      <c r="DA250" s="140" t="s">
        <v>1119</v>
      </c>
      <c r="DB250" s="140">
        <v>1280</v>
      </c>
      <c r="DC250" s="140"/>
    </row>
    <row r="251" spans="2:107" ht="11.25" customHeight="1" x14ac:dyDescent="0.15">
      <c r="B251" s="139" t="s">
        <v>577</v>
      </c>
      <c r="C251" s="140" t="s">
        <v>1862</v>
      </c>
      <c r="D251" s="140">
        <v>3</v>
      </c>
      <c r="E251" s="139" t="s">
        <v>1863</v>
      </c>
      <c r="F251" s="139" t="s">
        <v>718</v>
      </c>
      <c r="G251" s="140" t="s">
        <v>1862</v>
      </c>
      <c r="H251" s="139" t="s">
        <v>1864</v>
      </c>
      <c r="I251" s="140" t="s">
        <v>421</v>
      </c>
      <c r="J251" s="139" t="s">
        <v>582</v>
      </c>
      <c r="K251" s="139" t="s">
        <v>583</v>
      </c>
      <c r="L251" s="139" t="s">
        <v>583</v>
      </c>
      <c r="M251" s="139" t="s">
        <v>583</v>
      </c>
      <c r="N251" s="139" t="s">
        <v>720</v>
      </c>
      <c r="O251" s="139" t="s">
        <v>721</v>
      </c>
      <c r="P251" s="139" t="s">
        <v>583</v>
      </c>
      <c r="Q251" s="139" t="s">
        <v>583</v>
      </c>
      <c r="R251" s="140">
        <v>1</v>
      </c>
      <c r="S251" s="140">
        <v>0</v>
      </c>
      <c r="T251" s="140">
        <v>1</v>
      </c>
      <c r="U251" s="140">
        <v>100</v>
      </c>
      <c r="V251" s="139" t="s">
        <v>662</v>
      </c>
      <c r="W251" s="139" t="s">
        <v>663</v>
      </c>
      <c r="X251" s="139" t="s">
        <v>664</v>
      </c>
      <c r="Y251" s="139" t="s">
        <v>665</v>
      </c>
      <c r="Z251" s="139" t="s">
        <v>666</v>
      </c>
      <c r="AA251" s="139" t="s">
        <v>667</v>
      </c>
      <c r="AB251" s="139" t="s">
        <v>662</v>
      </c>
      <c r="AC251" s="139" t="s">
        <v>663</v>
      </c>
      <c r="AD251" s="139" t="s">
        <v>664</v>
      </c>
      <c r="AE251" s="139" t="s">
        <v>665</v>
      </c>
      <c r="AF251" s="139" t="s">
        <v>666</v>
      </c>
      <c r="AG251" s="139" t="s">
        <v>667</v>
      </c>
      <c r="AH251" s="139" t="s">
        <v>592</v>
      </c>
      <c r="AI251" s="139" t="s">
        <v>429</v>
      </c>
      <c r="AJ251" s="140">
        <v>2493191</v>
      </c>
      <c r="AK251" s="139" t="s">
        <v>662</v>
      </c>
      <c r="AL251" s="139" t="s">
        <v>663</v>
      </c>
      <c r="AM251" s="139" t="s">
        <v>664</v>
      </c>
      <c r="AN251" s="139" t="s">
        <v>665</v>
      </c>
      <c r="AO251" s="139" t="s">
        <v>666</v>
      </c>
      <c r="AP251" s="139" t="s">
        <v>667</v>
      </c>
      <c r="AQ251" s="139" t="s">
        <v>592</v>
      </c>
      <c r="AR251" s="139" t="s">
        <v>429</v>
      </c>
      <c r="AS251" s="139" t="s">
        <v>429</v>
      </c>
      <c r="AT251" s="139" t="s">
        <v>593</v>
      </c>
      <c r="AU251" s="139" t="s">
        <v>437</v>
      </c>
      <c r="AV251" s="140">
        <v>2</v>
      </c>
      <c r="AW251" s="139" t="s">
        <v>594</v>
      </c>
      <c r="AX251" s="139" t="s">
        <v>595</v>
      </c>
      <c r="AY251" s="139" t="s">
        <v>722</v>
      </c>
      <c r="AZ251" s="140">
        <v>1</v>
      </c>
      <c r="BA251" s="139" t="s">
        <v>597</v>
      </c>
      <c r="BB251" s="140">
        <v>30000</v>
      </c>
      <c r="BC251" s="140">
        <v>2471769</v>
      </c>
      <c r="BD251" s="140">
        <v>32612.94</v>
      </c>
      <c r="BE251" s="140">
        <v>82.392300000000006</v>
      </c>
      <c r="BF251" s="139" t="s">
        <v>880</v>
      </c>
      <c r="BG251" s="139" t="s">
        <v>583</v>
      </c>
      <c r="BH251" s="139" t="s">
        <v>924</v>
      </c>
      <c r="BI251" s="139" t="s">
        <v>598</v>
      </c>
      <c r="BJ251" s="139" t="s">
        <v>599</v>
      </c>
      <c r="BK251" s="139" t="s">
        <v>583</v>
      </c>
      <c r="BL251" s="139" t="s">
        <v>583</v>
      </c>
      <c r="BM251" s="139" t="s">
        <v>583</v>
      </c>
      <c r="BN251" s="139" t="s">
        <v>842</v>
      </c>
      <c r="BO251" s="139" t="s">
        <v>843</v>
      </c>
      <c r="BP251" s="139" t="s">
        <v>830</v>
      </c>
      <c r="BQ251" s="139" t="s">
        <v>723</v>
      </c>
      <c r="BR251" s="140">
        <v>1</v>
      </c>
      <c r="BS251" s="139" t="s">
        <v>1865</v>
      </c>
      <c r="BT251" s="99">
        <f t="shared" si="15"/>
        <v>1</v>
      </c>
      <c r="BU251" s="99">
        <f t="shared" si="15"/>
        <v>0</v>
      </c>
      <c r="BV251" s="99">
        <f t="shared" si="12"/>
        <v>1</v>
      </c>
      <c r="BW251" s="139" t="s">
        <v>725</v>
      </c>
      <c r="BX251" s="139" t="s">
        <v>1866</v>
      </c>
      <c r="BY251" s="140">
        <v>100</v>
      </c>
      <c r="BZ251" s="140">
        <v>0</v>
      </c>
      <c r="CA251" s="99">
        <v>20000</v>
      </c>
      <c r="CB251" s="140" t="s">
        <v>603</v>
      </c>
      <c r="CC251" s="140">
        <v>0</v>
      </c>
      <c r="CD251" s="140"/>
      <c r="CE251" s="139" t="s">
        <v>577</v>
      </c>
      <c r="CF251" s="139" t="s">
        <v>604</v>
      </c>
      <c r="CG251" s="139" t="s">
        <v>583</v>
      </c>
      <c r="CH251" s="139" t="s">
        <v>583</v>
      </c>
      <c r="CI251" s="139" t="s">
        <v>592</v>
      </c>
      <c r="CJ251" s="140">
        <v>2300</v>
      </c>
      <c r="CK251" s="140" t="s">
        <v>605</v>
      </c>
      <c r="CL251" s="140">
        <v>4000000</v>
      </c>
      <c r="CM251" s="99">
        <v>2100</v>
      </c>
      <c r="CN251" s="140">
        <v>0</v>
      </c>
      <c r="CO251" s="139" t="s">
        <v>583</v>
      </c>
      <c r="CP251" s="139" t="s">
        <v>583</v>
      </c>
      <c r="CQ251" s="140">
        <v>30000</v>
      </c>
      <c r="CR251" s="140">
        <v>2471769</v>
      </c>
      <c r="CS251" s="140">
        <v>0</v>
      </c>
      <c r="CT251" s="140">
        <v>1</v>
      </c>
      <c r="CU251" s="140">
        <v>2493191</v>
      </c>
      <c r="CV251" s="99">
        <v>32612.94</v>
      </c>
      <c r="CW251" s="139" t="s">
        <v>606</v>
      </c>
      <c r="CX251" s="140">
        <v>15.53</v>
      </c>
      <c r="CY251" s="140"/>
      <c r="CZ251" s="140"/>
      <c r="DA251" s="140" t="s">
        <v>926</v>
      </c>
      <c r="DB251" s="140">
        <v>28</v>
      </c>
      <c r="DC251" s="140"/>
    </row>
    <row r="252" spans="2:107" ht="11.25" customHeight="1" x14ac:dyDescent="0.15">
      <c r="B252" s="139" t="s">
        <v>577</v>
      </c>
      <c r="C252" s="140" t="s">
        <v>1862</v>
      </c>
      <c r="D252" s="140">
        <v>3</v>
      </c>
      <c r="E252" s="139" t="s">
        <v>1867</v>
      </c>
      <c r="F252" s="139" t="s">
        <v>580</v>
      </c>
      <c r="G252" s="140" t="s">
        <v>1862</v>
      </c>
      <c r="H252" s="139" t="s">
        <v>1868</v>
      </c>
      <c r="I252" s="140" t="s">
        <v>421</v>
      </c>
      <c r="J252" s="139" t="s">
        <v>582</v>
      </c>
      <c r="K252" s="139" t="s">
        <v>583</v>
      </c>
      <c r="L252" s="139" t="s">
        <v>583</v>
      </c>
      <c r="M252" s="139" t="s">
        <v>583</v>
      </c>
      <c r="N252" s="139" t="s">
        <v>1529</v>
      </c>
      <c r="O252" s="139" t="s">
        <v>758</v>
      </c>
      <c r="P252" s="139" t="s">
        <v>583</v>
      </c>
      <c r="Q252" s="139" t="s">
        <v>583</v>
      </c>
      <c r="R252" s="140">
        <v>1</v>
      </c>
      <c r="S252" s="140"/>
      <c r="T252" s="140">
        <v>1</v>
      </c>
      <c r="U252" s="140">
        <v>9</v>
      </c>
      <c r="V252" s="139" t="s">
        <v>859</v>
      </c>
      <c r="W252" s="139" t="s">
        <v>860</v>
      </c>
      <c r="X252" s="139" t="s">
        <v>861</v>
      </c>
      <c r="Y252" s="139" t="s">
        <v>862</v>
      </c>
      <c r="Z252" s="139" t="s">
        <v>590</v>
      </c>
      <c r="AA252" s="139" t="s">
        <v>839</v>
      </c>
      <c r="AB252" s="139" t="s">
        <v>859</v>
      </c>
      <c r="AC252" s="139" t="s">
        <v>860</v>
      </c>
      <c r="AD252" s="139" t="s">
        <v>861</v>
      </c>
      <c r="AE252" s="139" t="s">
        <v>862</v>
      </c>
      <c r="AF252" s="139" t="s">
        <v>590</v>
      </c>
      <c r="AG252" s="139" t="s">
        <v>839</v>
      </c>
      <c r="AH252" s="139" t="s">
        <v>759</v>
      </c>
      <c r="AI252" s="139" t="s">
        <v>434</v>
      </c>
      <c r="AJ252" s="140">
        <v>7257937.71</v>
      </c>
      <c r="AK252" s="139" t="s">
        <v>859</v>
      </c>
      <c r="AL252" s="139" t="s">
        <v>860</v>
      </c>
      <c r="AM252" s="139" t="s">
        <v>861</v>
      </c>
      <c r="AN252" s="139" t="s">
        <v>862</v>
      </c>
      <c r="AO252" s="139" t="s">
        <v>590</v>
      </c>
      <c r="AP252" s="139" t="s">
        <v>839</v>
      </c>
      <c r="AQ252" s="139" t="s">
        <v>759</v>
      </c>
      <c r="AR252" s="139" t="s">
        <v>434</v>
      </c>
      <c r="AS252" s="139" t="s">
        <v>434</v>
      </c>
      <c r="AT252" s="139" t="s">
        <v>593</v>
      </c>
      <c r="AU252" s="139" t="s">
        <v>437</v>
      </c>
      <c r="AV252" s="140">
        <v>2</v>
      </c>
      <c r="AW252" s="139" t="s">
        <v>594</v>
      </c>
      <c r="AX252" s="139" t="s">
        <v>595</v>
      </c>
      <c r="AY252" s="139" t="s">
        <v>840</v>
      </c>
      <c r="AZ252" s="140">
        <v>1</v>
      </c>
      <c r="BA252" s="139" t="s">
        <v>597</v>
      </c>
      <c r="BB252" s="140">
        <v>86400</v>
      </c>
      <c r="BC252" s="140">
        <v>7118695</v>
      </c>
      <c r="BD252" s="140">
        <v>94939.66</v>
      </c>
      <c r="BE252" s="140">
        <v>82.392300000000006</v>
      </c>
      <c r="BF252" s="139" t="s">
        <v>880</v>
      </c>
      <c r="BG252" s="139" t="s">
        <v>863</v>
      </c>
      <c r="BH252" s="139" t="s">
        <v>1122</v>
      </c>
      <c r="BI252" s="139" t="s">
        <v>598</v>
      </c>
      <c r="BJ252" s="139" t="s">
        <v>599</v>
      </c>
      <c r="BK252" s="139" t="s">
        <v>583</v>
      </c>
      <c r="BL252" s="139" t="s">
        <v>583</v>
      </c>
      <c r="BM252" s="139" t="s">
        <v>583</v>
      </c>
      <c r="BN252" s="139" t="s">
        <v>842</v>
      </c>
      <c r="BO252" s="139" t="s">
        <v>843</v>
      </c>
      <c r="BP252" s="139" t="s">
        <v>830</v>
      </c>
      <c r="BQ252" s="139" t="s">
        <v>723</v>
      </c>
      <c r="BR252" s="140">
        <v>1</v>
      </c>
      <c r="BS252" s="139" t="s">
        <v>1869</v>
      </c>
      <c r="BT252" s="99">
        <f t="shared" si="15"/>
        <v>1</v>
      </c>
      <c r="BU252" s="99">
        <f t="shared" si="15"/>
        <v>0</v>
      </c>
      <c r="BV252" s="99">
        <f t="shared" si="12"/>
        <v>1</v>
      </c>
      <c r="BW252" s="139" t="s">
        <v>602</v>
      </c>
      <c r="BX252" s="139" t="s">
        <v>1870</v>
      </c>
      <c r="BY252" s="140">
        <v>9</v>
      </c>
      <c r="BZ252" s="140"/>
      <c r="CA252" s="99">
        <v>54000</v>
      </c>
      <c r="CB252" s="140" t="s">
        <v>603</v>
      </c>
      <c r="CC252" s="140"/>
      <c r="CD252" s="140"/>
      <c r="CE252" s="139" t="s">
        <v>577</v>
      </c>
      <c r="CF252" s="139" t="s">
        <v>604</v>
      </c>
      <c r="CG252" s="139" t="s">
        <v>583</v>
      </c>
      <c r="CH252" s="139" t="s">
        <v>583</v>
      </c>
      <c r="CI252" s="139" t="s">
        <v>759</v>
      </c>
      <c r="CJ252" s="140">
        <v>5670</v>
      </c>
      <c r="CK252" s="140" t="s">
        <v>605</v>
      </c>
      <c r="CL252" s="140">
        <v>4000000</v>
      </c>
      <c r="CM252" s="99">
        <v>5265</v>
      </c>
      <c r="CN252" s="140"/>
      <c r="CO252" s="139" t="s">
        <v>583</v>
      </c>
      <c r="CP252" s="139" t="s">
        <v>583</v>
      </c>
      <c r="CQ252" s="140">
        <v>86400</v>
      </c>
      <c r="CR252" s="140">
        <v>7118695</v>
      </c>
      <c r="CS252" s="140">
        <v>0</v>
      </c>
      <c r="CT252" s="140">
        <v>1</v>
      </c>
      <c r="CU252" s="140">
        <v>7257937.71</v>
      </c>
      <c r="CV252" s="99">
        <v>94939.66</v>
      </c>
      <c r="CW252" s="139" t="s">
        <v>606</v>
      </c>
      <c r="CX252" s="140">
        <v>18.0322</v>
      </c>
      <c r="CY252" s="140">
        <v>1535</v>
      </c>
      <c r="CZ252" s="140" t="s">
        <v>1118</v>
      </c>
      <c r="DA252" s="140" t="s">
        <v>1119</v>
      </c>
      <c r="DB252" s="140">
        <v>1076</v>
      </c>
      <c r="DC252" s="140"/>
    </row>
    <row r="253" spans="2:107" ht="11.25" customHeight="1" x14ac:dyDescent="0.15">
      <c r="B253" s="139" t="s">
        <v>577</v>
      </c>
      <c r="C253" s="140" t="s">
        <v>1862</v>
      </c>
      <c r="D253" s="140">
        <v>3</v>
      </c>
      <c r="E253" s="139" t="s">
        <v>1871</v>
      </c>
      <c r="F253" s="139" t="s">
        <v>718</v>
      </c>
      <c r="G253" s="140" t="s">
        <v>1872</v>
      </c>
      <c r="H253" s="139" t="s">
        <v>1873</v>
      </c>
      <c r="I253" s="140" t="s">
        <v>421</v>
      </c>
      <c r="J253" s="139" t="s">
        <v>582</v>
      </c>
      <c r="K253" s="139" t="s">
        <v>583</v>
      </c>
      <c r="L253" s="139" t="s">
        <v>583</v>
      </c>
      <c r="M253" s="139" t="s">
        <v>583</v>
      </c>
      <c r="N253" s="139" t="s">
        <v>1547</v>
      </c>
      <c r="O253" s="139" t="s">
        <v>1648</v>
      </c>
      <c r="P253" s="139" t="s">
        <v>583</v>
      </c>
      <c r="Q253" s="139" t="s">
        <v>583</v>
      </c>
      <c r="R253" s="140">
        <v>2</v>
      </c>
      <c r="S253" s="140">
        <v>0</v>
      </c>
      <c r="T253" s="140">
        <v>2</v>
      </c>
      <c r="U253" s="140">
        <v>26</v>
      </c>
      <c r="V253" s="139" t="s">
        <v>662</v>
      </c>
      <c r="W253" s="139" t="s">
        <v>663</v>
      </c>
      <c r="X253" s="139" t="s">
        <v>664</v>
      </c>
      <c r="Y253" s="139" t="s">
        <v>665</v>
      </c>
      <c r="Z253" s="139" t="s">
        <v>666</v>
      </c>
      <c r="AA253" s="139" t="s">
        <v>667</v>
      </c>
      <c r="AB253" s="139" t="s">
        <v>662</v>
      </c>
      <c r="AC253" s="139" t="s">
        <v>663</v>
      </c>
      <c r="AD253" s="139" t="s">
        <v>664</v>
      </c>
      <c r="AE253" s="139" t="s">
        <v>665</v>
      </c>
      <c r="AF253" s="139" t="s">
        <v>666</v>
      </c>
      <c r="AG253" s="139" t="s">
        <v>667</v>
      </c>
      <c r="AH253" s="139" t="s">
        <v>1549</v>
      </c>
      <c r="AI253" s="139" t="s">
        <v>436</v>
      </c>
      <c r="AJ253" s="140">
        <v>8863763.6300000008</v>
      </c>
      <c r="AK253" s="139" t="s">
        <v>662</v>
      </c>
      <c r="AL253" s="139" t="s">
        <v>663</v>
      </c>
      <c r="AM253" s="139" t="s">
        <v>664</v>
      </c>
      <c r="AN253" s="139" t="s">
        <v>665</v>
      </c>
      <c r="AO253" s="139" t="s">
        <v>666</v>
      </c>
      <c r="AP253" s="139" t="s">
        <v>667</v>
      </c>
      <c r="AQ253" s="139" t="s">
        <v>1549</v>
      </c>
      <c r="AR253" s="139" t="s">
        <v>436</v>
      </c>
      <c r="AS253" s="139" t="s">
        <v>436</v>
      </c>
      <c r="AT253" s="139" t="s">
        <v>593</v>
      </c>
      <c r="AU253" s="139" t="s">
        <v>437</v>
      </c>
      <c r="AV253" s="140">
        <v>2</v>
      </c>
      <c r="AW253" s="139" t="s">
        <v>594</v>
      </c>
      <c r="AX253" s="139" t="s">
        <v>583</v>
      </c>
      <c r="AY253" s="139" t="s">
        <v>1550</v>
      </c>
      <c r="AZ253" s="140">
        <v>1</v>
      </c>
      <c r="BA253" s="139" t="s">
        <v>597</v>
      </c>
      <c r="BB253" s="140">
        <v>101880</v>
      </c>
      <c r="BC253" s="140">
        <v>8394128</v>
      </c>
      <c r="BD253" s="140">
        <v>115945.15</v>
      </c>
      <c r="BE253" s="140">
        <v>82.392300000000006</v>
      </c>
      <c r="BF253" s="139" t="s">
        <v>880</v>
      </c>
      <c r="BG253" s="139" t="s">
        <v>583</v>
      </c>
      <c r="BH253" s="139" t="s">
        <v>1551</v>
      </c>
      <c r="BI253" s="139" t="s">
        <v>598</v>
      </c>
      <c r="BJ253" s="139" t="s">
        <v>599</v>
      </c>
      <c r="BK253" s="139" t="s">
        <v>583</v>
      </c>
      <c r="BL253" s="139" t="s">
        <v>583</v>
      </c>
      <c r="BM253" s="139" t="s">
        <v>583</v>
      </c>
      <c r="BN253" s="139" t="s">
        <v>842</v>
      </c>
      <c r="BO253" s="139" t="s">
        <v>843</v>
      </c>
      <c r="BP253" s="139" t="s">
        <v>830</v>
      </c>
      <c r="BQ253" s="139" t="s">
        <v>723</v>
      </c>
      <c r="BR253" s="140">
        <v>1</v>
      </c>
      <c r="BS253" s="139" t="s">
        <v>1552</v>
      </c>
      <c r="BT253" s="99">
        <f t="shared" si="15"/>
        <v>1</v>
      </c>
      <c r="BU253" s="99">
        <f t="shared" si="15"/>
        <v>0</v>
      </c>
      <c r="BV253" s="99">
        <f t="shared" si="12"/>
        <v>1</v>
      </c>
      <c r="BW253" s="139" t="s">
        <v>602</v>
      </c>
      <c r="BX253" s="139" t="s">
        <v>1553</v>
      </c>
      <c r="BY253" s="140">
        <v>6</v>
      </c>
      <c r="BZ253" s="140">
        <v>0</v>
      </c>
      <c r="CA253" s="99">
        <v>36000</v>
      </c>
      <c r="CB253" s="140" t="s">
        <v>603</v>
      </c>
      <c r="CC253" s="140">
        <v>0</v>
      </c>
      <c r="CD253" s="140"/>
      <c r="CE253" s="139" t="s">
        <v>577</v>
      </c>
      <c r="CF253" s="139" t="s">
        <v>604</v>
      </c>
      <c r="CG253" s="139" t="s">
        <v>583</v>
      </c>
      <c r="CH253" s="139" t="s">
        <v>583</v>
      </c>
      <c r="CI253" s="139" t="s">
        <v>1549</v>
      </c>
      <c r="CJ253" s="140">
        <v>3760</v>
      </c>
      <c r="CK253" s="140" t="s">
        <v>605</v>
      </c>
      <c r="CL253" s="140">
        <v>4000000</v>
      </c>
      <c r="CM253" s="99">
        <v>3420</v>
      </c>
      <c r="CN253" s="140">
        <v>0</v>
      </c>
      <c r="CO253" s="139" t="s">
        <v>583</v>
      </c>
      <c r="CP253" s="139" t="s">
        <v>583</v>
      </c>
      <c r="CQ253" s="140">
        <v>46800</v>
      </c>
      <c r="CR253" s="140">
        <v>3855960</v>
      </c>
      <c r="CS253" s="140">
        <v>0</v>
      </c>
      <c r="CT253" s="140">
        <v>1</v>
      </c>
      <c r="CU253" s="140">
        <v>3931804.22</v>
      </c>
      <c r="CV253" s="99">
        <v>51431.16</v>
      </c>
      <c r="CW253" s="139" t="s">
        <v>606</v>
      </c>
      <c r="CX253" s="140">
        <v>15.038399999999999</v>
      </c>
      <c r="CY253" s="140"/>
      <c r="CZ253" s="140"/>
      <c r="DA253" s="140" t="s">
        <v>926</v>
      </c>
      <c r="DB253" s="140">
        <v>28</v>
      </c>
      <c r="DC253" s="140"/>
    </row>
    <row r="254" spans="2:107" ht="11.25" customHeight="1" x14ac:dyDescent="0.15">
      <c r="B254" s="139" t="s">
        <v>577</v>
      </c>
      <c r="C254" s="140" t="s">
        <v>1862</v>
      </c>
      <c r="D254" s="140">
        <v>3</v>
      </c>
      <c r="E254" s="139" t="s">
        <v>1874</v>
      </c>
      <c r="F254" s="139" t="s">
        <v>729</v>
      </c>
      <c r="G254" s="140" t="s">
        <v>1862</v>
      </c>
      <c r="H254" s="139" t="s">
        <v>1875</v>
      </c>
      <c r="I254" s="140" t="s">
        <v>421</v>
      </c>
      <c r="J254" s="139" t="s">
        <v>582</v>
      </c>
      <c r="K254" s="139" t="s">
        <v>583</v>
      </c>
      <c r="L254" s="139" t="s">
        <v>583</v>
      </c>
      <c r="M254" s="139" t="s">
        <v>583</v>
      </c>
      <c r="N254" s="139" t="s">
        <v>731</v>
      </c>
      <c r="O254" s="139" t="s">
        <v>1876</v>
      </c>
      <c r="P254" s="139" t="s">
        <v>583</v>
      </c>
      <c r="Q254" s="139" t="s">
        <v>583</v>
      </c>
      <c r="R254" s="140">
        <v>1</v>
      </c>
      <c r="S254" s="140">
        <v>0</v>
      </c>
      <c r="T254" s="140">
        <v>1</v>
      </c>
      <c r="U254" s="140">
        <v>714</v>
      </c>
      <c r="V254" s="139" t="s">
        <v>691</v>
      </c>
      <c r="W254" s="139" t="s">
        <v>692</v>
      </c>
      <c r="X254" s="139" t="s">
        <v>693</v>
      </c>
      <c r="Y254" s="139" t="s">
        <v>694</v>
      </c>
      <c r="Z254" s="139" t="s">
        <v>695</v>
      </c>
      <c r="AA254" s="139" t="s">
        <v>696</v>
      </c>
      <c r="AB254" s="139" t="s">
        <v>691</v>
      </c>
      <c r="AC254" s="139" t="s">
        <v>692</v>
      </c>
      <c r="AD254" s="139" t="s">
        <v>693</v>
      </c>
      <c r="AE254" s="139" t="s">
        <v>694</v>
      </c>
      <c r="AF254" s="139" t="s">
        <v>695</v>
      </c>
      <c r="AG254" s="139" t="s">
        <v>696</v>
      </c>
      <c r="AH254" s="139" t="s">
        <v>733</v>
      </c>
      <c r="AI254" s="139" t="s">
        <v>432</v>
      </c>
      <c r="AJ254" s="140">
        <v>20815920.239999998</v>
      </c>
      <c r="AK254" s="139" t="s">
        <v>691</v>
      </c>
      <c r="AL254" s="139" t="s">
        <v>692</v>
      </c>
      <c r="AM254" s="139" t="s">
        <v>693</v>
      </c>
      <c r="AN254" s="139" t="s">
        <v>694</v>
      </c>
      <c r="AO254" s="139" t="s">
        <v>695</v>
      </c>
      <c r="AP254" s="139" t="s">
        <v>696</v>
      </c>
      <c r="AQ254" s="139" t="s">
        <v>733</v>
      </c>
      <c r="AR254" s="139" t="s">
        <v>432</v>
      </c>
      <c r="AS254" s="139" t="s">
        <v>432</v>
      </c>
      <c r="AT254" s="139" t="s">
        <v>593</v>
      </c>
      <c r="AU254" s="139" t="s">
        <v>437</v>
      </c>
      <c r="AV254" s="140">
        <v>2</v>
      </c>
      <c r="AW254" s="139" t="s">
        <v>594</v>
      </c>
      <c r="AX254" s="139" t="s">
        <v>653</v>
      </c>
      <c r="AY254" s="139" t="s">
        <v>734</v>
      </c>
      <c r="AZ254" s="140">
        <v>1</v>
      </c>
      <c r="BA254" s="139" t="s">
        <v>597</v>
      </c>
      <c r="BB254" s="140">
        <v>252644</v>
      </c>
      <c r="BC254" s="140">
        <v>20815920</v>
      </c>
      <c r="BD254" s="140">
        <v>272288.96999999997</v>
      </c>
      <c r="BE254" s="140">
        <v>82.392300000000006</v>
      </c>
      <c r="BF254" s="139" t="s">
        <v>880</v>
      </c>
      <c r="BG254" s="139" t="s">
        <v>583</v>
      </c>
      <c r="BH254" s="139" t="s">
        <v>736</v>
      </c>
      <c r="BI254" s="139" t="s">
        <v>598</v>
      </c>
      <c r="BJ254" s="139" t="s">
        <v>599</v>
      </c>
      <c r="BK254" s="139" t="s">
        <v>583</v>
      </c>
      <c r="BL254" s="139" t="s">
        <v>1475</v>
      </c>
      <c r="BM254" s="139" t="s">
        <v>891</v>
      </c>
      <c r="BN254" s="139" t="s">
        <v>738</v>
      </c>
      <c r="BO254" s="139" t="s">
        <v>1476</v>
      </c>
      <c r="BP254" s="139" t="s">
        <v>1877</v>
      </c>
      <c r="BQ254" s="139" t="s">
        <v>741</v>
      </c>
      <c r="BR254" s="140">
        <v>1</v>
      </c>
      <c r="BS254" s="139" t="s">
        <v>742</v>
      </c>
      <c r="BT254" s="99">
        <f t="shared" si="15"/>
        <v>0</v>
      </c>
      <c r="BU254" s="99">
        <f t="shared" si="15"/>
        <v>0</v>
      </c>
      <c r="BV254" s="99">
        <f t="shared" si="12"/>
        <v>0</v>
      </c>
      <c r="BW254" s="139" t="s">
        <v>743</v>
      </c>
      <c r="BX254" s="139" t="s">
        <v>731</v>
      </c>
      <c r="BY254" s="140">
        <v>714</v>
      </c>
      <c r="BZ254" s="140">
        <v>0</v>
      </c>
      <c r="CA254" s="99">
        <v>142800</v>
      </c>
      <c r="CB254" s="140" t="s">
        <v>603</v>
      </c>
      <c r="CC254" s="140">
        <v>0</v>
      </c>
      <c r="CD254" s="140"/>
      <c r="CE254" s="139" t="s">
        <v>577</v>
      </c>
      <c r="CF254" s="139" t="s">
        <v>604</v>
      </c>
      <c r="CG254" s="139" t="s">
        <v>583</v>
      </c>
      <c r="CH254" s="139" t="s">
        <v>583</v>
      </c>
      <c r="CI254" s="139" t="s">
        <v>733</v>
      </c>
      <c r="CJ254" s="140">
        <v>15708</v>
      </c>
      <c r="CK254" s="140" t="s">
        <v>605</v>
      </c>
      <c r="CL254" s="140">
        <v>4000000</v>
      </c>
      <c r="CM254" s="99">
        <v>14280</v>
      </c>
      <c r="CN254" s="140">
        <v>0</v>
      </c>
      <c r="CO254" s="139" t="s">
        <v>583</v>
      </c>
      <c r="CP254" s="139" t="s">
        <v>583</v>
      </c>
      <c r="CQ254" s="140">
        <v>252644</v>
      </c>
      <c r="CR254" s="140">
        <v>20815920</v>
      </c>
      <c r="CS254" s="140">
        <v>0</v>
      </c>
      <c r="CT254" s="140">
        <v>1</v>
      </c>
      <c r="CU254" s="140">
        <v>20815920.239999998</v>
      </c>
      <c r="CV254" s="99">
        <v>272288.96999999997</v>
      </c>
      <c r="CW254" s="139" t="s">
        <v>606</v>
      </c>
      <c r="CX254" s="140">
        <v>19.067900000000002</v>
      </c>
      <c r="CY254" s="140">
        <v>933</v>
      </c>
      <c r="CZ254" s="140" t="s">
        <v>894</v>
      </c>
      <c r="DA254" s="140" t="s">
        <v>1480</v>
      </c>
      <c r="DB254" s="140">
        <v>288</v>
      </c>
      <c r="DC254" s="140"/>
    </row>
    <row r="255" spans="2:107" ht="11.25" customHeight="1" x14ac:dyDescent="0.15">
      <c r="B255" s="139" t="s">
        <v>577</v>
      </c>
      <c r="C255" s="140" t="s">
        <v>1878</v>
      </c>
      <c r="D255" s="140">
        <v>3</v>
      </c>
      <c r="E255" s="139" t="s">
        <v>1879</v>
      </c>
      <c r="F255" s="139" t="s">
        <v>729</v>
      </c>
      <c r="G255" s="140" t="s">
        <v>1878</v>
      </c>
      <c r="H255" s="139" t="s">
        <v>1880</v>
      </c>
      <c r="I255" s="140" t="s">
        <v>421</v>
      </c>
      <c r="J255" s="139" t="s">
        <v>582</v>
      </c>
      <c r="K255" s="139" t="s">
        <v>583</v>
      </c>
      <c r="L255" s="139" t="s">
        <v>583</v>
      </c>
      <c r="M255" s="139" t="s">
        <v>583</v>
      </c>
      <c r="N255" s="139" t="s">
        <v>731</v>
      </c>
      <c r="O255" s="139" t="s">
        <v>1673</v>
      </c>
      <c r="P255" s="139" t="s">
        <v>583</v>
      </c>
      <c r="Q255" s="139" t="s">
        <v>583</v>
      </c>
      <c r="R255" s="140">
        <v>1</v>
      </c>
      <c r="S255" s="140">
        <v>0</v>
      </c>
      <c r="T255" s="140">
        <v>1</v>
      </c>
      <c r="U255" s="140">
        <v>379</v>
      </c>
      <c r="V255" s="139" t="s">
        <v>1557</v>
      </c>
      <c r="W255" s="139" t="s">
        <v>1558</v>
      </c>
      <c r="X255" s="139" t="s">
        <v>1559</v>
      </c>
      <c r="Y255" s="139" t="s">
        <v>1560</v>
      </c>
      <c r="Z255" s="139" t="s">
        <v>644</v>
      </c>
      <c r="AA255" s="139" t="s">
        <v>1561</v>
      </c>
      <c r="AB255" s="139" t="s">
        <v>1557</v>
      </c>
      <c r="AC255" s="139" t="s">
        <v>1558</v>
      </c>
      <c r="AD255" s="139" t="s">
        <v>1559</v>
      </c>
      <c r="AE255" s="139" t="s">
        <v>1560</v>
      </c>
      <c r="AF255" s="139" t="s">
        <v>644</v>
      </c>
      <c r="AG255" s="139" t="s">
        <v>1561</v>
      </c>
      <c r="AH255" s="139" t="s">
        <v>733</v>
      </c>
      <c r="AI255" s="139" t="s">
        <v>432</v>
      </c>
      <c r="AJ255" s="140">
        <v>11060722.810000001</v>
      </c>
      <c r="AK255" s="139" t="s">
        <v>1557</v>
      </c>
      <c r="AL255" s="139" t="s">
        <v>1558</v>
      </c>
      <c r="AM255" s="139" t="s">
        <v>1559</v>
      </c>
      <c r="AN255" s="139" t="s">
        <v>1560</v>
      </c>
      <c r="AO255" s="139" t="s">
        <v>644</v>
      </c>
      <c r="AP255" s="139" t="s">
        <v>1561</v>
      </c>
      <c r="AQ255" s="139" t="s">
        <v>733</v>
      </c>
      <c r="AR255" s="139" t="s">
        <v>432</v>
      </c>
      <c r="AS255" s="139" t="s">
        <v>432</v>
      </c>
      <c r="AT255" s="139" t="s">
        <v>593</v>
      </c>
      <c r="AU255" s="139" t="s">
        <v>437</v>
      </c>
      <c r="AV255" s="140">
        <v>2</v>
      </c>
      <c r="AW255" s="139" t="s">
        <v>594</v>
      </c>
      <c r="AX255" s="139" t="s">
        <v>653</v>
      </c>
      <c r="AY255" s="139" t="s">
        <v>1562</v>
      </c>
      <c r="AZ255" s="140">
        <v>1</v>
      </c>
      <c r="BA255" s="139" t="s">
        <v>597</v>
      </c>
      <c r="BB255" s="140">
        <v>133029</v>
      </c>
      <c r="BC255" s="140">
        <v>11060723</v>
      </c>
      <c r="BD255" s="140">
        <v>144949.92000000001</v>
      </c>
      <c r="BE255" s="140">
        <v>83.145200000000003</v>
      </c>
      <c r="BF255" s="139" t="s">
        <v>880</v>
      </c>
      <c r="BG255" s="139" t="s">
        <v>863</v>
      </c>
      <c r="BH255" s="139" t="s">
        <v>1563</v>
      </c>
      <c r="BI255" s="139" t="s">
        <v>598</v>
      </c>
      <c r="BJ255" s="139" t="s">
        <v>599</v>
      </c>
      <c r="BK255" s="139" t="s">
        <v>583</v>
      </c>
      <c r="BL255" s="139" t="s">
        <v>1060</v>
      </c>
      <c r="BM255" s="139" t="s">
        <v>583</v>
      </c>
      <c r="BN255" s="139" t="s">
        <v>842</v>
      </c>
      <c r="BO255" s="139" t="s">
        <v>843</v>
      </c>
      <c r="BP255" s="139" t="s">
        <v>830</v>
      </c>
      <c r="BQ255" s="139" t="s">
        <v>723</v>
      </c>
      <c r="BR255" s="140">
        <v>1</v>
      </c>
      <c r="BS255" s="139" t="s">
        <v>791</v>
      </c>
      <c r="BT255" s="99">
        <f t="shared" si="15"/>
        <v>0</v>
      </c>
      <c r="BU255" s="99">
        <f t="shared" si="15"/>
        <v>0</v>
      </c>
      <c r="BV255" s="99">
        <f t="shared" si="12"/>
        <v>0</v>
      </c>
      <c r="BW255" s="139" t="s">
        <v>743</v>
      </c>
      <c r="BX255" s="139" t="s">
        <v>731</v>
      </c>
      <c r="BY255" s="140">
        <v>379</v>
      </c>
      <c r="BZ255" s="140">
        <v>0</v>
      </c>
      <c r="CA255" s="99">
        <v>75800</v>
      </c>
      <c r="CB255" s="140" t="s">
        <v>603</v>
      </c>
      <c r="CC255" s="140">
        <v>0</v>
      </c>
      <c r="CD255" s="140"/>
      <c r="CE255" s="139" t="s">
        <v>577</v>
      </c>
      <c r="CF255" s="139" t="s">
        <v>604</v>
      </c>
      <c r="CG255" s="139" t="s">
        <v>583</v>
      </c>
      <c r="CH255" s="139" t="s">
        <v>583</v>
      </c>
      <c r="CI255" s="139" t="s">
        <v>733</v>
      </c>
      <c r="CJ255" s="140">
        <v>8338</v>
      </c>
      <c r="CK255" s="140" t="s">
        <v>605</v>
      </c>
      <c r="CL255" s="140">
        <v>4000000</v>
      </c>
      <c r="CM255" s="99">
        <v>7580</v>
      </c>
      <c r="CN255" s="140">
        <v>0</v>
      </c>
      <c r="CO255" s="139" t="s">
        <v>583</v>
      </c>
      <c r="CP255" s="139" t="s">
        <v>583</v>
      </c>
      <c r="CQ255" s="140">
        <v>133029</v>
      </c>
      <c r="CR255" s="140">
        <v>11060723</v>
      </c>
      <c r="CS255" s="140">
        <v>0</v>
      </c>
      <c r="CT255" s="140">
        <v>1</v>
      </c>
      <c r="CU255" s="140">
        <v>11060722.810000001</v>
      </c>
      <c r="CV255" s="99">
        <v>144949.92000000001</v>
      </c>
      <c r="CW255" s="139" t="s">
        <v>606</v>
      </c>
      <c r="CX255" s="140">
        <v>19.122699999999998</v>
      </c>
      <c r="CY255" s="140">
        <v>35</v>
      </c>
      <c r="CZ255" s="140" t="s">
        <v>1564</v>
      </c>
      <c r="DA255" s="140" t="s">
        <v>1363</v>
      </c>
      <c r="DB255" s="140">
        <v>320</v>
      </c>
      <c r="DC255" s="140"/>
    </row>
    <row r="256" spans="2:107" ht="11.25" customHeight="1" x14ac:dyDescent="0.15">
      <c r="B256" s="139" t="s">
        <v>577</v>
      </c>
      <c r="C256" s="140" t="s">
        <v>1881</v>
      </c>
      <c r="D256" s="140">
        <v>3</v>
      </c>
      <c r="E256" s="139" t="s">
        <v>1882</v>
      </c>
      <c r="F256" s="139" t="s">
        <v>618</v>
      </c>
      <c r="G256" s="140" t="s">
        <v>1881</v>
      </c>
      <c r="H256" s="139" t="s">
        <v>1883</v>
      </c>
      <c r="I256" s="140" t="s">
        <v>421</v>
      </c>
      <c r="J256" s="139" t="s">
        <v>582</v>
      </c>
      <c r="K256" s="139" t="s">
        <v>583</v>
      </c>
      <c r="L256" s="139" t="s">
        <v>583</v>
      </c>
      <c r="M256" s="139" t="s">
        <v>583</v>
      </c>
      <c r="N256" s="139" t="s">
        <v>441</v>
      </c>
      <c r="O256" s="139" t="s">
        <v>630</v>
      </c>
      <c r="P256" s="139" t="s">
        <v>583</v>
      </c>
      <c r="Q256" s="139" t="s">
        <v>583</v>
      </c>
      <c r="R256" s="140">
        <v>1</v>
      </c>
      <c r="S256" s="140">
        <v>0</v>
      </c>
      <c r="T256" s="140">
        <v>1</v>
      </c>
      <c r="U256" s="140">
        <v>564</v>
      </c>
      <c r="V256" s="139" t="s">
        <v>583</v>
      </c>
      <c r="W256" s="139" t="s">
        <v>583</v>
      </c>
      <c r="X256" s="139" t="s">
        <v>632</v>
      </c>
      <c r="Y256" s="139" t="s">
        <v>633</v>
      </c>
      <c r="Z256" s="139" t="s">
        <v>583</v>
      </c>
      <c r="AA256" s="139" t="s">
        <v>583</v>
      </c>
      <c r="AB256" s="139" t="s">
        <v>583</v>
      </c>
      <c r="AC256" s="139" t="s">
        <v>583</v>
      </c>
      <c r="AD256" s="139" t="s">
        <v>632</v>
      </c>
      <c r="AE256" s="139" t="s">
        <v>633</v>
      </c>
      <c r="AF256" s="139" t="s">
        <v>583</v>
      </c>
      <c r="AG256" s="139" t="s">
        <v>583</v>
      </c>
      <c r="AH256" s="139" t="s">
        <v>621</v>
      </c>
      <c r="AI256" s="139" t="s">
        <v>430</v>
      </c>
      <c r="AJ256" s="140">
        <v>14038016.4</v>
      </c>
      <c r="AK256" s="139" t="s">
        <v>583</v>
      </c>
      <c r="AL256" s="139" t="s">
        <v>583</v>
      </c>
      <c r="AM256" s="139" t="s">
        <v>632</v>
      </c>
      <c r="AN256" s="139" t="s">
        <v>633</v>
      </c>
      <c r="AO256" s="139" t="s">
        <v>583</v>
      </c>
      <c r="AP256" s="139" t="s">
        <v>583</v>
      </c>
      <c r="AQ256" s="139" t="s">
        <v>621</v>
      </c>
      <c r="AR256" s="139" t="s">
        <v>430</v>
      </c>
      <c r="AS256" s="139" t="s">
        <v>430</v>
      </c>
      <c r="AT256" s="139" t="s">
        <v>593</v>
      </c>
      <c r="AU256" s="139" t="s">
        <v>437</v>
      </c>
      <c r="AV256" s="140">
        <v>0</v>
      </c>
      <c r="AW256" s="139" t="s">
        <v>594</v>
      </c>
      <c r="AX256" s="139" t="s">
        <v>622</v>
      </c>
      <c r="AY256" s="139" t="s">
        <v>623</v>
      </c>
      <c r="AZ256" s="140">
        <v>1</v>
      </c>
      <c r="BA256" s="139" t="s">
        <v>597</v>
      </c>
      <c r="BB256" s="140">
        <v>169200</v>
      </c>
      <c r="BC256" s="140">
        <v>14038016</v>
      </c>
      <c r="BD256" s="140">
        <v>182415.9</v>
      </c>
      <c r="BE256" s="140">
        <v>82.966999999999999</v>
      </c>
      <c r="BF256" s="139" t="s">
        <v>880</v>
      </c>
      <c r="BG256" s="139" t="s">
        <v>582</v>
      </c>
      <c r="BH256" s="139" t="s">
        <v>931</v>
      </c>
      <c r="BI256" s="139" t="s">
        <v>598</v>
      </c>
      <c r="BJ256" s="139" t="s">
        <v>624</v>
      </c>
      <c r="BK256" s="139" t="s">
        <v>882</v>
      </c>
      <c r="BL256" s="139" t="s">
        <v>583</v>
      </c>
      <c r="BM256" s="139" t="s">
        <v>883</v>
      </c>
      <c r="BN256" s="139" t="s">
        <v>583</v>
      </c>
      <c r="BO256" s="139" t="s">
        <v>623</v>
      </c>
      <c r="BP256" s="139" t="s">
        <v>1692</v>
      </c>
      <c r="BQ256" s="139" t="s">
        <v>625</v>
      </c>
      <c r="BR256" s="140">
        <v>1</v>
      </c>
      <c r="BS256" s="139" t="s">
        <v>1884</v>
      </c>
      <c r="BT256" s="99">
        <f t="shared" si="15"/>
        <v>0</v>
      </c>
      <c r="BU256" s="99">
        <f t="shared" si="15"/>
        <v>1</v>
      </c>
      <c r="BV256" s="99">
        <f t="shared" si="12"/>
        <v>1</v>
      </c>
      <c r="BW256" s="139" t="s">
        <v>635</v>
      </c>
      <c r="BX256" s="139" t="s">
        <v>441</v>
      </c>
      <c r="BY256" s="140">
        <v>564</v>
      </c>
      <c r="BZ256" s="140">
        <v>0</v>
      </c>
      <c r="CA256" s="99">
        <v>112800</v>
      </c>
      <c r="CB256" s="140" t="s">
        <v>603</v>
      </c>
      <c r="CC256" s="140">
        <v>0</v>
      </c>
      <c r="CD256" s="140"/>
      <c r="CE256" s="139" t="s">
        <v>577</v>
      </c>
      <c r="CF256" s="139" t="s">
        <v>604</v>
      </c>
      <c r="CG256" s="139" t="s">
        <v>583</v>
      </c>
      <c r="CH256" s="139" t="s">
        <v>583</v>
      </c>
      <c r="CI256" s="139" t="s">
        <v>621</v>
      </c>
      <c r="CJ256" s="140">
        <v>11872</v>
      </c>
      <c r="CK256" s="140" t="s">
        <v>605</v>
      </c>
      <c r="CL256" s="140">
        <v>4000000</v>
      </c>
      <c r="CM256" s="99">
        <v>10152</v>
      </c>
      <c r="CN256" s="140">
        <v>0</v>
      </c>
      <c r="CO256" s="139" t="s">
        <v>583</v>
      </c>
      <c r="CP256" s="139" t="s">
        <v>583</v>
      </c>
      <c r="CQ256" s="140">
        <v>169200</v>
      </c>
      <c r="CR256" s="140">
        <v>14038016</v>
      </c>
      <c r="CS256" s="140">
        <v>0</v>
      </c>
      <c r="CT256" s="140">
        <v>1</v>
      </c>
      <c r="CU256" s="140">
        <v>14038016.4</v>
      </c>
      <c r="CV256" s="99">
        <v>182415.9</v>
      </c>
      <c r="CW256" s="139" t="s">
        <v>606</v>
      </c>
      <c r="CX256" s="140">
        <v>17.968499999999999</v>
      </c>
      <c r="CY256" s="140"/>
      <c r="CZ256" s="140"/>
      <c r="DA256" s="140" t="s">
        <v>933</v>
      </c>
      <c r="DB256" s="140">
        <v>619</v>
      </c>
      <c r="DC256" s="140"/>
    </row>
    <row r="257" spans="2:107" ht="11.25" customHeight="1" x14ac:dyDescent="0.15">
      <c r="B257" s="139" t="s">
        <v>577</v>
      </c>
      <c r="C257" s="140" t="s">
        <v>1881</v>
      </c>
      <c r="D257" s="140">
        <v>3</v>
      </c>
      <c r="E257" s="139" t="s">
        <v>1885</v>
      </c>
      <c r="F257" s="139" t="s">
        <v>618</v>
      </c>
      <c r="G257" s="140" t="s">
        <v>1881</v>
      </c>
      <c r="H257" s="139" t="s">
        <v>1886</v>
      </c>
      <c r="I257" s="140" t="s">
        <v>421</v>
      </c>
      <c r="J257" s="139" t="s">
        <v>582</v>
      </c>
      <c r="K257" s="139" t="s">
        <v>583</v>
      </c>
      <c r="L257" s="139" t="s">
        <v>583</v>
      </c>
      <c r="M257" s="139" t="s">
        <v>583</v>
      </c>
      <c r="N257" s="139" t="s">
        <v>441</v>
      </c>
      <c r="O257" s="139" t="s">
        <v>630</v>
      </c>
      <c r="P257" s="139" t="s">
        <v>583</v>
      </c>
      <c r="Q257" s="139" t="s">
        <v>583</v>
      </c>
      <c r="R257" s="140">
        <v>1</v>
      </c>
      <c r="S257" s="140">
        <v>0</v>
      </c>
      <c r="T257" s="140">
        <v>1</v>
      </c>
      <c r="U257" s="140">
        <v>110</v>
      </c>
      <c r="V257" s="139" t="s">
        <v>709</v>
      </c>
      <c r="W257" s="139" t="s">
        <v>710</v>
      </c>
      <c r="X257" s="139" t="s">
        <v>711</v>
      </c>
      <c r="Y257" s="139" t="s">
        <v>712</v>
      </c>
      <c r="Z257" s="139" t="s">
        <v>713</v>
      </c>
      <c r="AA257" s="139" t="s">
        <v>714</v>
      </c>
      <c r="AB257" s="139" t="s">
        <v>709</v>
      </c>
      <c r="AC257" s="139" t="s">
        <v>710</v>
      </c>
      <c r="AD257" s="139" t="s">
        <v>711</v>
      </c>
      <c r="AE257" s="139" t="s">
        <v>712</v>
      </c>
      <c r="AF257" s="139" t="s">
        <v>713</v>
      </c>
      <c r="AG257" s="139" t="s">
        <v>714</v>
      </c>
      <c r="AH257" s="139" t="s">
        <v>621</v>
      </c>
      <c r="AI257" s="139" t="s">
        <v>430</v>
      </c>
      <c r="AJ257" s="140">
        <v>2829174.7</v>
      </c>
      <c r="AK257" s="139" t="s">
        <v>709</v>
      </c>
      <c r="AL257" s="139" t="s">
        <v>710</v>
      </c>
      <c r="AM257" s="139" t="s">
        <v>711</v>
      </c>
      <c r="AN257" s="139" t="s">
        <v>712</v>
      </c>
      <c r="AO257" s="139" t="s">
        <v>713</v>
      </c>
      <c r="AP257" s="139" t="s">
        <v>714</v>
      </c>
      <c r="AQ257" s="139" t="s">
        <v>621</v>
      </c>
      <c r="AR257" s="139" t="s">
        <v>430</v>
      </c>
      <c r="AS257" s="139" t="s">
        <v>430</v>
      </c>
      <c r="AT257" s="139" t="s">
        <v>593</v>
      </c>
      <c r="AU257" s="139" t="s">
        <v>437</v>
      </c>
      <c r="AV257" s="140">
        <v>0</v>
      </c>
      <c r="AW257" s="139" t="s">
        <v>594</v>
      </c>
      <c r="AX257" s="139" t="s">
        <v>622</v>
      </c>
      <c r="AY257" s="139" t="s">
        <v>623</v>
      </c>
      <c r="AZ257" s="140">
        <v>1</v>
      </c>
      <c r="BA257" s="139" t="s">
        <v>597</v>
      </c>
      <c r="BB257" s="140">
        <v>34100</v>
      </c>
      <c r="BC257" s="140">
        <v>2829175</v>
      </c>
      <c r="BD257" s="140">
        <v>36763.49</v>
      </c>
      <c r="BE257" s="140">
        <v>82.966999999999999</v>
      </c>
      <c r="BF257" s="139" t="s">
        <v>880</v>
      </c>
      <c r="BG257" s="139" t="s">
        <v>582</v>
      </c>
      <c r="BH257" s="139" t="s">
        <v>881</v>
      </c>
      <c r="BI257" s="139" t="s">
        <v>598</v>
      </c>
      <c r="BJ257" s="139" t="s">
        <v>624</v>
      </c>
      <c r="BK257" s="139" t="s">
        <v>882</v>
      </c>
      <c r="BL257" s="139" t="s">
        <v>583</v>
      </c>
      <c r="BM257" s="139" t="s">
        <v>883</v>
      </c>
      <c r="BN257" s="139" t="s">
        <v>583</v>
      </c>
      <c r="BO257" s="139" t="s">
        <v>623</v>
      </c>
      <c r="BP257" s="139" t="s">
        <v>1692</v>
      </c>
      <c r="BQ257" s="139" t="s">
        <v>625</v>
      </c>
      <c r="BR257" s="140">
        <v>1</v>
      </c>
      <c r="BS257" s="139" t="s">
        <v>1887</v>
      </c>
      <c r="BT257" s="99">
        <f t="shared" si="15"/>
        <v>0</v>
      </c>
      <c r="BU257" s="99">
        <f t="shared" si="15"/>
        <v>1</v>
      </c>
      <c r="BV257" s="99">
        <f t="shared" si="12"/>
        <v>1</v>
      </c>
      <c r="BW257" s="139" t="s">
        <v>635</v>
      </c>
      <c r="BX257" s="139" t="s">
        <v>441</v>
      </c>
      <c r="BY257" s="140">
        <v>110</v>
      </c>
      <c r="BZ257" s="140">
        <v>0</v>
      </c>
      <c r="CA257" s="99">
        <v>22000</v>
      </c>
      <c r="CB257" s="140" t="s">
        <v>603</v>
      </c>
      <c r="CC257" s="140">
        <v>0</v>
      </c>
      <c r="CD257" s="140"/>
      <c r="CE257" s="139" t="s">
        <v>577</v>
      </c>
      <c r="CF257" s="139" t="s">
        <v>604</v>
      </c>
      <c r="CG257" s="139" t="s">
        <v>583</v>
      </c>
      <c r="CH257" s="139" t="s">
        <v>583</v>
      </c>
      <c r="CI257" s="139" t="s">
        <v>621</v>
      </c>
      <c r="CJ257" s="140">
        <v>2366</v>
      </c>
      <c r="CK257" s="140" t="s">
        <v>605</v>
      </c>
      <c r="CL257" s="140">
        <v>4000000</v>
      </c>
      <c r="CM257" s="99">
        <v>1980</v>
      </c>
      <c r="CN257" s="140">
        <v>0</v>
      </c>
      <c r="CO257" s="139" t="s">
        <v>583</v>
      </c>
      <c r="CP257" s="139" t="s">
        <v>583</v>
      </c>
      <c r="CQ257" s="140">
        <v>34100</v>
      </c>
      <c r="CR257" s="140">
        <v>2829175</v>
      </c>
      <c r="CS257" s="140">
        <v>0</v>
      </c>
      <c r="CT257" s="140">
        <v>1</v>
      </c>
      <c r="CU257" s="140">
        <v>2829174.7</v>
      </c>
      <c r="CV257" s="99">
        <v>36763.49</v>
      </c>
      <c r="CW257" s="139" t="s">
        <v>606</v>
      </c>
      <c r="CX257" s="140">
        <v>18.567399999999999</v>
      </c>
      <c r="CY257" s="140"/>
      <c r="CZ257" s="140"/>
      <c r="DA257" s="140" t="s">
        <v>886</v>
      </c>
      <c r="DB257" s="140">
        <v>709</v>
      </c>
      <c r="DC257" s="140"/>
    </row>
    <row r="258" spans="2:107" ht="11.25" customHeight="1" x14ac:dyDescent="0.15">
      <c r="B258" s="139" t="s">
        <v>577</v>
      </c>
      <c r="C258" s="140" t="s">
        <v>1846</v>
      </c>
      <c r="D258" s="140">
        <v>2</v>
      </c>
      <c r="E258" s="139" t="s">
        <v>1888</v>
      </c>
      <c r="F258" s="139" t="s">
        <v>618</v>
      </c>
      <c r="G258" s="140" t="s">
        <v>1846</v>
      </c>
      <c r="H258" s="139" t="s">
        <v>1889</v>
      </c>
      <c r="I258" s="140" t="s">
        <v>421</v>
      </c>
      <c r="J258" s="139" t="s">
        <v>582</v>
      </c>
      <c r="K258" s="139" t="s">
        <v>583</v>
      </c>
      <c r="L258" s="139" t="s">
        <v>583</v>
      </c>
      <c r="M258" s="139" t="s">
        <v>583</v>
      </c>
      <c r="N258" s="139" t="s">
        <v>441</v>
      </c>
      <c r="O258" s="139" t="s">
        <v>1771</v>
      </c>
      <c r="P258" s="139" t="s">
        <v>583</v>
      </c>
      <c r="Q258" s="139" t="s">
        <v>583</v>
      </c>
      <c r="R258" s="140">
        <v>1</v>
      </c>
      <c r="S258" s="140">
        <v>0</v>
      </c>
      <c r="T258" s="140">
        <v>1</v>
      </c>
      <c r="U258" s="140">
        <v>357</v>
      </c>
      <c r="V258" s="139" t="s">
        <v>691</v>
      </c>
      <c r="W258" s="139" t="s">
        <v>692</v>
      </c>
      <c r="X258" s="139" t="s">
        <v>693</v>
      </c>
      <c r="Y258" s="139" t="s">
        <v>694</v>
      </c>
      <c r="Z258" s="139" t="s">
        <v>695</v>
      </c>
      <c r="AA258" s="139" t="s">
        <v>696</v>
      </c>
      <c r="AB258" s="139" t="s">
        <v>691</v>
      </c>
      <c r="AC258" s="139" t="s">
        <v>692</v>
      </c>
      <c r="AD258" s="139" t="s">
        <v>693</v>
      </c>
      <c r="AE258" s="139" t="s">
        <v>694</v>
      </c>
      <c r="AF258" s="139" t="s">
        <v>695</v>
      </c>
      <c r="AG258" s="139" t="s">
        <v>696</v>
      </c>
      <c r="AH258" s="139" t="s">
        <v>621</v>
      </c>
      <c r="AI258" s="139" t="s">
        <v>430</v>
      </c>
      <c r="AJ258" s="140">
        <v>8976631.3399999999</v>
      </c>
      <c r="AK258" s="139" t="s">
        <v>691</v>
      </c>
      <c r="AL258" s="139" t="s">
        <v>692</v>
      </c>
      <c r="AM258" s="139" t="s">
        <v>693</v>
      </c>
      <c r="AN258" s="139" t="s">
        <v>694</v>
      </c>
      <c r="AO258" s="139" t="s">
        <v>695</v>
      </c>
      <c r="AP258" s="139" t="s">
        <v>696</v>
      </c>
      <c r="AQ258" s="139" t="s">
        <v>621</v>
      </c>
      <c r="AR258" s="139" t="s">
        <v>430</v>
      </c>
      <c r="AS258" s="139" t="s">
        <v>430</v>
      </c>
      <c r="AT258" s="139" t="s">
        <v>593</v>
      </c>
      <c r="AU258" s="139" t="s">
        <v>437</v>
      </c>
      <c r="AV258" s="140">
        <v>0</v>
      </c>
      <c r="AW258" s="139" t="s">
        <v>594</v>
      </c>
      <c r="AX258" s="139" t="s">
        <v>622</v>
      </c>
      <c r="AY258" s="139" t="s">
        <v>623</v>
      </c>
      <c r="AZ258" s="140">
        <v>2</v>
      </c>
      <c r="BA258" s="139" t="s">
        <v>597</v>
      </c>
      <c r="BB258" s="140">
        <v>112812</v>
      </c>
      <c r="BC258" s="140">
        <v>8976631</v>
      </c>
      <c r="BD258" s="140">
        <v>120155.1</v>
      </c>
      <c r="BE258" s="140">
        <v>79.571600000000004</v>
      </c>
      <c r="BF258" s="139" t="s">
        <v>880</v>
      </c>
      <c r="BG258" s="139" t="s">
        <v>582</v>
      </c>
      <c r="BH258" s="139" t="s">
        <v>1018</v>
      </c>
      <c r="BI258" s="139" t="s">
        <v>598</v>
      </c>
      <c r="BJ258" s="139" t="s">
        <v>624</v>
      </c>
      <c r="BK258" s="139" t="s">
        <v>882</v>
      </c>
      <c r="BL258" s="139" t="s">
        <v>583</v>
      </c>
      <c r="BM258" s="139" t="s">
        <v>1019</v>
      </c>
      <c r="BN258" s="139" t="s">
        <v>1020</v>
      </c>
      <c r="BO258" s="139" t="s">
        <v>623</v>
      </c>
      <c r="BP258" s="139" t="s">
        <v>1772</v>
      </c>
      <c r="BQ258" s="139" t="s">
        <v>625</v>
      </c>
      <c r="BR258" s="140">
        <v>1</v>
      </c>
      <c r="BS258" s="139" t="s">
        <v>1890</v>
      </c>
      <c r="BT258" s="99">
        <f t="shared" si="15"/>
        <v>0</v>
      </c>
      <c r="BU258" s="99">
        <f t="shared" si="15"/>
        <v>0</v>
      </c>
      <c r="BV258" s="99">
        <f t="shared" si="12"/>
        <v>0</v>
      </c>
      <c r="BW258" s="139" t="s">
        <v>446</v>
      </c>
      <c r="BX258" s="139" t="s">
        <v>441</v>
      </c>
      <c r="BY258" s="140">
        <v>357</v>
      </c>
      <c r="BZ258" s="140">
        <v>0</v>
      </c>
      <c r="CA258" s="99">
        <v>71400</v>
      </c>
      <c r="CB258" s="140" t="s">
        <v>603</v>
      </c>
      <c r="CC258" s="140">
        <v>0</v>
      </c>
      <c r="CD258" s="140"/>
      <c r="CE258" s="139" t="s">
        <v>577</v>
      </c>
      <c r="CF258" s="139" t="s">
        <v>604</v>
      </c>
      <c r="CG258" s="139" t="s">
        <v>583</v>
      </c>
      <c r="CH258" s="139" t="s">
        <v>583</v>
      </c>
      <c r="CI258" s="139" t="s">
        <v>621</v>
      </c>
      <c r="CJ258" s="140">
        <v>7212</v>
      </c>
      <c r="CK258" s="140" t="s">
        <v>605</v>
      </c>
      <c r="CL258" s="140">
        <v>4000000</v>
      </c>
      <c r="CM258" s="99">
        <v>6426</v>
      </c>
      <c r="CN258" s="140">
        <v>0</v>
      </c>
      <c r="CO258" s="139" t="s">
        <v>583</v>
      </c>
      <c r="CP258" s="139" t="s">
        <v>583</v>
      </c>
      <c r="CQ258" s="140">
        <v>112812</v>
      </c>
      <c r="CR258" s="140">
        <v>8976631</v>
      </c>
      <c r="CS258" s="140">
        <v>0</v>
      </c>
      <c r="CT258" s="140">
        <v>1</v>
      </c>
      <c r="CU258" s="140">
        <v>8976631.3399999999</v>
      </c>
      <c r="CV258" s="99">
        <v>120155.1</v>
      </c>
      <c r="CW258" s="139" t="s">
        <v>606</v>
      </c>
      <c r="CX258" s="140">
        <v>18.6983</v>
      </c>
      <c r="CY258" s="140">
        <v>933</v>
      </c>
      <c r="CZ258" s="140" t="s">
        <v>894</v>
      </c>
      <c r="DA258" s="140" t="s">
        <v>1480</v>
      </c>
      <c r="DB258" s="140">
        <v>1209</v>
      </c>
      <c r="DC258" s="140"/>
    </row>
    <row r="259" spans="2:107" ht="11.25" customHeight="1" x14ac:dyDescent="0.15">
      <c r="B259" s="139" t="s">
        <v>577</v>
      </c>
      <c r="C259" s="140" t="s">
        <v>1846</v>
      </c>
      <c r="D259" s="140">
        <v>2</v>
      </c>
      <c r="E259" s="139" t="s">
        <v>1891</v>
      </c>
      <c r="F259" s="139" t="s">
        <v>618</v>
      </c>
      <c r="G259" s="140" t="s">
        <v>1846</v>
      </c>
      <c r="H259" s="139" t="s">
        <v>1892</v>
      </c>
      <c r="I259" s="140" t="s">
        <v>421</v>
      </c>
      <c r="J259" s="139" t="s">
        <v>582</v>
      </c>
      <c r="K259" s="139" t="s">
        <v>583</v>
      </c>
      <c r="L259" s="139" t="s">
        <v>583</v>
      </c>
      <c r="M259" s="139" t="s">
        <v>583</v>
      </c>
      <c r="N259" s="139" t="s">
        <v>441</v>
      </c>
      <c r="O259" s="139" t="s">
        <v>630</v>
      </c>
      <c r="P259" s="139" t="s">
        <v>583</v>
      </c>
      <c r="Q259" s="139" t="s">
        <v>583</v>
      </c>
      <c r="R259" s="140">
        <v>1</v>
      </c>
      <c r="S259" s="140">
        <v>0</v>
      </c>
      <c r="T259" s="140">
        <v>1</v>
      </c>
      <c r="U259" s="140">
        <v>282</v>
      </c>
      <c r="V259" s="139" t="s">
        <v>583</v>
      </c>
      <c r="W259" s="139" t="s">
        <v>583</v>
      </c>
      <c r="X259" s="139" t="s">
        <v>632</v>
      </c>
      <c r="Y259" s="139" t="s">
        <v>633</v>
      </c>
      <c r="Z259" s="139" t="s">
        <v>583</v>
      </c>
      <c r="AA259" s="139" t="s">
        <v>583</v>
      </c>
      <c r="AB259" s="139" t="s">
        <v>583</v>
      </c>
      <c r="AC259" s="139" t="s">
        <v>583</v>
      </c>
      <c r="AD259" s="139" t="s">
        <v>632</v>
      </c>
      <c r="AE259" s="139" t="s">
        <v>633</v>
      </c>
      <c r="AF259" s="139" t="s">
        <v>583</v>
      </c>
      <c r="AG259" s="139" t="s">
        <v>583</v>
      </c>
      <c r="AH259" s="139" t="s">
        <v>621</v>
      </c>
      <c r="AI259" s="139" t="s">
        <v>430</v>
      </c>
      <c r="AJ259" s="140">
        <v>6731757.3600000003</v>
      </c>
      <c r="AK259" s="139" t="s">
        <v>583</v>
      </c>
      <c r="AL259" s="139" t="s">
        <v>583</v>
      </c>
      <c r="AM259" s="139" t="s">
        <v>632</v>
      </c>
      <c r="AN259" s="139" t="s">
        <v>633</v>
      </c>
      <c r="AO259" s="139" t="s">
        <v>583</v>
      </c>
      <c r="AP259" s="139" t="s">
        <v>583</v>
      </c>
      <c r="AQ259" s="139" t="s">
        <v>621</v>
      </c>
      <c r="AR259" s="139" t="s">
        <v>430</v>
      </c>
      <c r="AS259" s="139" t="s">
        <v>430</v>
      </c>
      <c r="AT259" s="139" t="s">
        <v>593</v>
      </c>
      <c r="AU259" s="139" t="s">
        <v>437</v>
      </c>
      <c r="AV259" s="140">
        <v>0</v>
      </c>
      <c r="AW259" s="139" t="s">
        <v>594</v>
      </c>
      <c r="AX259" s="139" t="s">
        <v>622</v>
      </c>
      <c r="AY259" s="139" t="s">
        <v>623</v>
      </c>
      <c r="AZ259" s="140">
        <v>1</v>
      </c>
      <c r="BA259" s="139" t="s">
        <v>597</v>
      </c>
      <c r="BB259" s="140">
        <v>84600</v>
      </c>
      <c r="BC259" s="140">
        <v>6731757</v>
      </c>
      <c r="BD259" s="140">
        <v>90106.74</v>
      </c>
      <c r="BE259" s="140">
        <v>79.571600000000004</v>
      </c>
      <c r="BF259" s="139" t="s">
        <v>880</v>
      </c>
      <c r="BG259" s="139" t="s">
        <v>582</v>
      </c>
      <c r="BH259" s="139" t="s">
        <v>931</v>
      </c>
      <c r="BI259" s="139" t="s">
        <v>598</v>
      </c>
      <c r="BJ259" s="139" t="s">
        <v>624</v>
      </c>
      <c r="BK259" s="139" t="s">
        <v>882</v>
      </c>
      <c r="BL259" s="139" t="s">
        <v>583</v>
      </c>
      <c r="BM259" s="139" t="s">
        <v>883</v>
      </c>
      <c r="BN259" s="139" t="s">
        <v>583</v>
      </c>
      <c r="BO259" s="139" t="s">
        <v>623</v>
      </c>
      <c r="BP259" s="139" t="s">
        <v>1692</v>
      </c>
      <c r="BQ259" s="139" t="s">
        <v>625</v>
      </c>
      <c r="BR259" s="140">
        <v>1</v>
      </c>
      <c r="BS259" s="139" t="s">
        <v>1893</v>
      </c>
      <c r="BT259" s="99">
        <f t="shared" si="15"/>
        <v>0</v>
      </c>
      <c r="BU259" s="99">
        <f t="shared" si="15"/>
        <v>1</v>
      </c>
      <c r="BV259" s="99">
        <f t="shared" si="12"/>
        <v>1</v>
      </c>
      <c r="BW259" s="139" t="s">
        <v>635</v>
      </c>
      <c r="BX259" s="139" t="s">
        <v>441</v>
      </c>
      <c r="BY259" s="140">
        <v>282</v>
      </c>
      <c r="BZ259" s="140">
        <v>0</v>
      </c>
      <c r="CA259" s="99">
        <v>56400</v>
      </c>
      <c r="CB259" s="140" t="s">
        <v>603</v>
      </c>
      <c r="CC259" s="140">
        <v>0</v>
      </c>
      <c r="CD259" s="140"/>
      <c r="CE259" s="139" t="s">
        <v>577</v>
      </c>
      <c r="CF259" s="139" t="s">
        <v>604</v>
      </c>
      <c r="CG259" s="139" t="s">
        <v>583</v>
      </c>
      <c r="CH259" s="139" t="s">
        <v>583</v>
      </c>
      <c r="CI259" s="139" t="s">
        <v>621</v>
      </c>
      <c r="CJ259" s="140">
        <v>6128</v>
      </c>
      <c r="CK259" s="140" t="s">
        <v>605</v>
      </c>
      <c r="CL259" s="140">
        <v>4000000</v>
      </c>
      <c r="CM259" s="99">
        <v>5076</v>
      </c>
      <c r="CN259" s="140">
        <v>0</v>
      </c>
      <c r="CO259" s="139" t="s">
        <v>583</v>
      </c>
      <c r="CP259" s="139" t="s">
        <v>583</v>
      </c>
      <c r="CQ259" s="140">
        <v>84600</v>
      </c>
      <c r="CR259" s="140">
        <v>6731757</v>
      </c>
      <c r="CS259" s="140">
        <v>0</v>
      </c>
      <c r="CT259" s="140">
        <v>1</v>
      </c>
      <c r="CU259" s="140">
        <v>6731757.3600000003</v>
      </c>
      <c r="CV259" s="99">
        <v>90106.74</v>
      </c>
      <c r="CW259" s="139" t="s">
        <v>606</v>
      </c>
      <c r="CX259" s="140">
        <v>17.7515</v>
      </c>
      <c r="CY259" s="140"/>
      <c r="CZ259" s="140"/>
      <c r="DA259" s="140" t="s">
        <v>933</v>
      </c>
      <c r="DB259" s="140">
        <v>1167</v>
      </c>
      <c r="DC259" s="140"/>
    </row>
    <row r="260" spans="2:107" ht="11.25" customHeight="1" x14ac:dyDescent="0.15">
      <c r="B260" s="139" t="s">
        <v>577</v>
      </c>
      <c r="C260" s="140" t="s">
        <v>1846</v>
      </c>
      <c r="D260" s="140">
        <v>2</v>
      </c>
      <c r="E260" s="139" t="s">
        <v>1894</v>
      </c>
      <c r="F260" s="139" t="s">
        <v>618</v>
      </c>
      <c r="G260" s="140" t="s">
        <v>1846</v>
      </c>
      <c r="H260" s="139" t="s">
        <v>1895</v>
      </c>
      <c r="I260" s="140" t="s">
        <v>421</v>
      </c>
      <c r="J260" s="139" t="s">
        <v>582</v>
      </c>
      <c r="K260" s="139" t="s">
        <v>583</v>
      </c>
      <c r="L260" s="139" t="s">
        <v>583</v>
      </c>
      <c r="M260" s="139" t="s">
        <v>583</v>
      </c>
      <c r="N260" s="139" t="s">
        <v>441</v>
      </c>
      <c r="O260" s="139" t="s">
        <v>1771</v>
      </c>
      <c r="P260" s="139" t="s">
        <v>583</v>
      </c>
      <c r="Q260" s="139" t="s">
        <v>583</v>
      </c>
      <c r="R260" s="140">
        <v>1</v>
      </c>
      <c r="S260" s="140">
        <v>0</v>
      </c>
      <c r="T260" s="140">
        <v>1</v>
      </c>
      <c r="U260" s="140">
        <v>357</v>
      </c>
      <c r="V260" s="139" t="s">
        <v>691</v>
      </c>
      <c r="W260" s="139" t="s">
        <v>692</v>
      </c>
      <c r="X260" s="139" t="s">
        <v>693</v>
      </c>
      <c r="Y260" s="139" t="s">
        <v>694</v>
      </c>
      <c r="Z260" s="139" t="s">
        <v>695</v>
      </c>
      <c r="AA260" s="139" t="s">
        <v>696</v>
      </c>
      <c r="AB260" s="139" t="s">
        <v>691</v>
      </c>
      <c r="AC260" s="139" t="s">
        <v>692</v>
      </c>
      <c r="AD260" s="139" t="s">
        <v>693</v>
      </c>
      <c r="AE260" s="139" t="s">
        <v>694</v>
      </c>
      <c r="AF260" s="139" t="s">
        <v>695</v>
      </c>
      <c r="AG260" s="139" t="s">
        <v>696</v>
      </c>
      <c r="AH260" s="139" t="s">
        <v>621</v>
      </c>
      <c r="AI260" s="139" t="s">
        <v>430</v>
      </c>
      <c r="AJ260" s="140">
        <v>8976631.3399999999</v>
      </c>
      <c r="AK260" s="139" t="s">
        <v>691</v>
      </c>
      <c r="AL260" s="139" t="s">
        <v>692</v>
      </c>
      <c r="AM260" s="139" t="s">
        <v>693</v>
      </c>
      <c r="AN260" s="139" t="s">
        <v>694</v>
      </c>
      <c r="AO260" s="139" t="s">
        <v>695</v>
      </c>
      <c r="AP260" s="139" t="s">
        <v>696</v>
      </c>
      <c r="AQ260" s="139" t="s">
        <v>621</v>
      </c>
      <c r="AR260" s="139" t="s">
        <v>430</v>
      </c>
      <c r="AS260" s="139" t="s">
        <v>430</v>
      </c>
      <c r="AT260" s="139" t="s">
        <v>593</v>
      </c>
      <c r="AU260" s="139" t="s">
        <v>437</v>
      </c>
      <c r="AV260" s="140">
        <v>0</v>
      </c>
      <c r="AW260" s="139" t="s">
        <v>594</v>
      </c>
      <c r="AX260" s="139" t="s">
        <v>622</v>
      </c>
      <c r="AY260" s="139" t="s">
        <v>623</v>
      </c>
      <c r="AZ260" s="140">
        <v>1</v>
      </c>
      <c r="BA260" s="139" t="s">
        <v>597</v>
      </c>
      <c r="BB260" s="140">
        <v>112812</v>
      </c>
      <c r="BC260" s="140">
        <v>8976631</v>
      </c>
      <c r="BD260" s="140">
        <v>120155.1</v>
      </c>
      <c r="BE260" s="140">
        <v>79.571600000000004</v>
      </c>
      <c r="BF260" s="139" t="s">
        <v>880</v>
      </c>
      <c r="BG260" s="139" t="s">
        <v>582</v>
      </c>
      <c r="BH260" s="139" t="s">
        <v>1018</v>
      </c>
      <c r="BI260" s="139" t="s">
        <v>598</v>
      </c>
      <c r="BJ260" s="139" t="s">
        <v>624</v>
      </c>
      <c r="BK260" s="139" t="s">
        <v>882</v>
      </c>
      <c r="BL260" s="139" t="s">
        <v>583</v>
      </c>
      <c r="BM260" s="139" t="s">
        <v>1019</v>
      </c>
      <c r="BN260" s="139" t="s">
        <v>1020</v>
      </c>
      <c r="BO260" s="139" t="s">
        <v>623</v>
      </c>
      <c r="BP260" s="139" t="s">
        <v>1772</v>
      </c>
      <c r="BQ260" s="139" t="s">
        <v>625</v>
      </c>
      <c r="BR260" s="140">
        <v>1</v>
      </c>
      <c r="BS260" s="139" t="s">
        <v>1478</v>
      </c>
      <c r="BT260" s="99">
        <f t="shared" si="15"/>
        <v>0</v>
      </c>
      <c r="BU260" s="99">
        <f t="shared" si="15"/>
        <v>0</v>
      </c>
      <c r="BV260" s="99">
        <f t="shared" ref="BV260:BV323" si="16">MAX(BT260,BU260)</f>
        <v>0</v>
      </c>
      <c r="BW260" s="139" t="s">
        <v>446</v>
      </c>
      <c r="BX260" s="139" t="s">
        <v>441</v>
      </c>
      <c r="BY260" s="140">
        <v>357</v>
      </c>
      <c r="BZ260" s="140">
        <v>0</v>
      </c>
      <c r="CA260" s="99">
        <v>71400</v>
      </c>
      <c r="CB260" s="140" t="s">
        <v>603</v>
      </c>
      <c r="CC260" s="140">
        <v>0</v>
      </c>
      <c r="CD260" s="140"/>
      <c r="CE260" s="139" t="s">
        <v>577</v>
      </c>
      <c r="CF260" s="139" t="s">
        <v>604</v>
      </c>
      <c r="CG260" s="139" t="s">
        <v>583</v>
      </c>
      <c r="CH260" s="139" t="s">
        <v>583</v>
      </c>
      <c r="CI260" s="139" t="s">
        <v>621</v>
      </c>
      <c r="CJ260" s="140">
        <v>7140</v>
      </c>
      <c r="CK260" s="140" t="s">
        <v>605</v>
      </c>
      <c r="CL260" s="140">
        <v>4000000</v>
      </c>
      <c r="CM260" s="99">
        <v>6426</v>
      </c>
      <c r="CN260" s="140">
        <v>0</v>
      </c>
      <c r="CO260" s="139" t="s">
        <v>583</v>
      </c>
      <c r="CP260" s="139" t="s">
        <v>583</v>
      </c>
      <c r="CQ260" s="140">
        <v>112812</v>
      </c>
      <c r="CR260" s="140">
        <v>8976631</v>
      </c>
      <c r="CS260" s="140">
        <v>0</v>
      </c>
      <c r="CT260" s="140">
        <v>1</v>
      </c>
      <c r="CU260" s="140">
        <v>8976631.3399999999</v>
      </c>
      <c r="CV260" s="99">
        <v>120155.1</v>
      </c>
      <c r="CW260" s="139" t="s">
        <v>606</v>
      </c>
      <c r="CX260" s="140">
        <v>18.6983</v>
      </c>
      <c r="CY260" s="140">
        <v>933</v>
      </c>
      <c r="CZ260" s="140" t="s">
        <v>894</v>
      </c>
      <c r="DA260" s="140" t="s">
        <v>1480</v>
      </c>
      <c r="DB260" s="140">
        <v>796</v>
      </c>
      <c r="DC260" s="140"/>
    </row>
    <row r="261" spans="2:107" ht="11.25" customHeight="1" x14ac:dyDescent="0.15">
      <c r="B261" s="139" t="s">
        <v>577</v>
      </c>
      <c r="C261" s="140" t="s">
        <v>1846</v>
      </c>
      <c r="D261" s="140">
        <v>2</v>
      </c>
      <c r="E261" s="139" t="s">
        <v>1896</v>
      </c>
      <c r="F261" s="139" t="s">
        <v>618</v>
      </c>
      <c r="G261" s="140" t="s">
        <v>1846</v>
      </c>
      <c r="H261" s="139" t="s">
        <v>1897</v>
      </c>
      <c r="I261" s="140" t="s">
        <v>421</v>
      </c>
      <c r="J261" s="139" t="s">
        <v>582</v>
      </c>
      <c r="K261" s="139" t="s">
        <v>583</v>
      </c>
      <c r="L261" s="139" t="s">
        <v>583</v>
      </c>
      <c r="M261" s="139" t="s">
        <v>583</v>
      </c>
      <c r="N261" s="139" t="s">
        <v>441</v>
      </c>
      <c r="O261" s="139" t="s">
        <v>630</v>
      </c>
      <c r="P261" s="139" t="s">
        <v>583</v>
      </c>
      <c r="Q261" s="139" t="s">
        <v>583</v>
      </c>
      <c r="R261" s="140">
        <v>1</v>
      </c>
      <c r="S261" s="140">
        <v>0</v>
      </c>
      <c r="T261" s="140">
        <v>1</v>
      </c>
      <c r="U261" s="140">
        <v>175</v>
      </c>
      <c r="V261" s="139" t="s">
        <v>709</v>
      </c>
      <c r="W261" s="139" t="s">
        <v>710</v>
      </c>
      <c r="X261" s="139" t="s">
        <v>711</v>
      </c>
      <c r="Y261" s="139" t="s">
        <v>712</v>
      </c>
      <c r="Z261" s="139" t="s">
        <v>713</v>
      </c>
      <c r="AA261" s="139" t="s">
        <v>714</v>
      </c>
      <c r="AB261" s="139" t="s">
        <v>709</v>
      </c>
      <c r="AC261" s="139" t="s">
        <v>710</v>
      </c>
      <c r="AD261" s="139" t="s">
        <v>711</v>
      </c>
      <c r="AE261" s="139" t="s">
        <v>712</v>
      </c>
      <c r="AF261" s="139" t="s">
        <v>713</v>
      </c>
      <c r="AG261" s="139" t="s">
        <v>714</v>
      </c>
      <c r="AH261" s="139" t="s">
        <v>621</v>
      </c>
      <c r="AI261" s="139" t="s">
        <v>430</v>
      </c>
      <c r="AJ261" s="140">
        <v>4316759.3</v>
      </c>
      <c r="AK261" s="139" t="s">
        <v>709</v>
      </c>
      <c r="AL261" s="139" t="s">
        <v>710</v>
      </c>
      <c r="AM261" s="139" t="s">
        <v>711</v>
      </c>
      <c r="AN261" s="139" t="s">
        <v>712</v>
      </c>
      <c r="AO261" s="139" t="s">
        <v>713</v>
      </c>
      <c r="AP261" s="139" t="s">
        <v>714</v>
      </c>
      <c r="AQ261" s="139" t="s">
        <v>621</v>
      </c>
      <c r="AR261" s="139" t="s">
        <v>430</v>
      </c>
      <c r="AS261" s="139" t="s">
        <v>430</v>
      </c>
      <c r="AT261" s="139" t="s">
        <v>593</v>
      </c>
      <c r="AU261" s="139" t="s">
        <v>437</v>
      </c>
      <c r="AV261" s="140">
        <v>0</v>
      </c>
      <c r="AW261" s="139" t="s">
        <v>594</v>
      </c>
      <c r="AX261" s="139" t="s">
        <v>622</v>
      </c>
      <c r="AY261" s="139" t="s">
        <v>623</v>
      </c>
      <c r="AZ261" s="140">
        <v>1</v>
      </c>
      <c r="BA261" s="139" t="s">
        <v>597</v>
      </c>
      <c r="BB261" s="140">
        <v>54250</v>
      </c>
      <c r="BC261" s="140">
        <v>4316759</v>
      </c>
      <c r="BD261" s="140">
        <v>57781.21</v>
      </c>
      <c r="BE261" s="140">
        <v>79.571600000000004</v>
      </c>
      <c r="BF261" s="139" t="s">
        <v>880</v>
      </c>
      <c r="BG261" s="139" t="s">
        <v>582</v>
      </c>
      <c r="BH261" s="139" t="s">
        <v>881</v>
      </c>
      <c r="BI261" s="139" t="s">
        <v>598</v>
      </c>
      <c r="BJ261" s="139" t="s">
        <v>624</v>
      </c>
      <c r="BK261" s="139" t="s">
        <v>882</v>
      </c>
      <c r="BL261" s="139" t="s">
        <v>583</v>
      </c>
      <c r="BM261" s="139" t="s">
        <v>883</v>
      </c>
      <c r="BN261" s="139" t="s">
        <v>583</v>
      </c>
      <c r="BO261" s="139" t="s">
        <v>623</v>
      </c>
      <c r="BP261" s="139" t="s">
        <v>1692</v>
      </c>
      <c r="BQ261" s="139" t="s">
        <v>625</v>
      </c>
      <c r="BR261" s="140">
        <v>1</v>
      </c>
      <c r="BS261" s="139" t="s">
        <v>1898</v>
      </c>
      <c r="BT261" s="99">
        <f t="shared" si="15"/>
        <v>0</v>
      </c>
      <c r="BU261" s="99">
        <f t="shared" si="15"/>
        <v>0</v>
      </c>
      <c r="BV261" s="99">
        <f t="shared" si="16"/>
        <v>0</v>
      </c>
      <c r="BW261" s="139" t="s">
        <v>635</v>
      </c>
      <c r="BX261" s="139" t="s">
        <v>441</v>
      </c>
      <c r="BY261" s="140">
        <v>175</v>
      </c>
      <c r="BZ261" s="140">
        <v>0</v>
      </c>
      <c r="CA261" s="99">
        <v>35000</v>
      </c>
      <c r="CB261" s="140" t="s">
        <v>603</v>
      </c>
      <c r="CC261" s="140">
        <v>0</v>
      </c>
      <c r="CD261" s="140"/>
      <c r="CE261" s="139" t="s">
        <v>577</v>
      </c>
      <c r="CF261" s="139" t="s">
        <v>604</v>
      </c>
      <c r="CG261" s="139" t="s">
        <v>583</v>
      </c>
      <c r="CH261" s="139" t="s">
        <v>583</v>
      </c>
      <c r="CI261" s="139" t="s">
        <v>621</v>
      </c>
      <c r="CJ261" s="140">
        <v>3706</v>
      </c>
      <c r="CK261" s="140" t="s">
        <v>605</v>
      </c>
      <c r="CL261" s="140">
        <v>4000000</v>
      </c>
      <c r="CM261" s="99">
        <v>3150</v>
      </c>
      <c r="CN261" s="140">
        <v>0</v>
      </c>
      <c r="CO261" s="139" t="s">
        <v>583</v>
      </c>
      <c r="CP261" s="139" t="s">
        <v>583</v>
      </c>
      <c r="CQ261" s="140">
        <v>54250</v>
      </c>
      <c r="CR261" s="140">
        <v>4316759</v>
      </c>
      <c r="CS261" s="140">
        <v>0</v>
      </c>
      <c r="CT261" s="140">
        <v>1</v>
      </c>
      <c r="CU261" s="140">
        <v>4316759.3</v>
      </c>
      <c r="CV261" s="99">
        <v>57781.21</v>
      </c>
      <c r="CW261" s="139" t="s">
        <v>606</v>
      </c>
      <c r="CX261" s="140">
        <v>18.3432</v>
      </c>
      <c r="CY261" s="140"/>
      <c r="CZ261" s="140"/>
      <c r="DA261" s="140" t="s">
        <v>886</v>
      </c>
      <c r="DB261" s="140">
        <v>608</v>
      </c>
      <c r="DC261" s="140"/>
    </row>
    <row r="262" spans="2:107" ht="11.25" customHeight="1" x14ac:dyDescent="0.15">
      <c r="B262" s="139" t="s">
        <v>577</v>
      </c>
      <c r="C262" s="140" t="s">
        <v>1846</v>
      </c>
      <c r="D262" s="140">
        <v>2</v>
      </c>
      <c r="E262" s="139" t="s">
        <v>1899</v>
      </c>
      <c r="F262" s="139" t="s">
        <v>729</v>
      </c>
      <c r="G262" s="140" t="s">
        <v>1846</v>
      </c>
      <c r="H262" s="139" t="s">
        <v>1900</v>
      </c>
      <c r="I262" s="140" t="s">
        <v>421</v>
      </c>
      <c r="J262" s="139" t="s">
        <v>582</v>
      </c>
      <c r="K262" s="139" t="s">
        <v>583</v>
      </c>
      <c r="L262" s="139" t="s">
        <v>583</v>
      </c>
      <c r="M262" s="139" t="s">
        <v>583</v>
      </c>
      <c r="N262" s="139" t="s">
        <v>778</v>
      </c>
      <c r="O262" s="139" t="s">
        <v>1111</v>
      </c>
      <c r="P262" s="139" t="s">
        <v>583</v>
      </c>
      <c r="Q262" s="139" t="s">
        <v>583</v>
      </c>
      <c r="R262" s="140">
        <v>1</v>
      </c>
      <c r="S262" s="140">
        <v>0</v>
      </c>
      <c r="T262" s="140">
        <v>1</v>
      </c>
      <c r="U262" s="140">
        <v>374</v>
      </c>
      <c r="V262" s="139" t="s">
        <v>691</v>
      </c>
      <c r="W262" s="139" t="s">
        <v>692</v>
      </c>
      <c r="X262" s="139" t="s">
        <v>693</v>
      </c>
      <c r="Y262" s="139" t="s">
        <v>694</v>
      </c>
      <c r="Z262" s="139" t="s">
        <v>695</v>
      </c>
      <c r="AA262" s="139" t="s">
        <v>696</v>
      </c>
      <c r="AB262" s="139" t="s">
        <v>691</v>
      </c>
      <c r="AC262" s="139" t="s">
        <v>692</v>
      </c>
      <c r="AD262" s="139" t="s">
        <v>693</v>
      </c>
      <c r="AE262" s="139" t="s">
        <v>694</v>
      </c>
      <c r="AF262" s="139" t="s">
        <v>695</v>
      </c>
      <c r="AG262" s="139" t="s">
        <v>696</v>
      </c>
      <c r="AH262" s="139" t="s">
        <v>751</v>
      </c>
      <c r="AI262" s="139" t="s">
        <v>433</v>
      </c>
      <c r="AJ262" s="140">
        <v>10195789.199999999</v>
      </c>
      <c r="AK262" s="139" t="s">
        <v>691</v>
      </c>
      <c r="AL262" s="139" t="s">
        <v>692</v>
      </c>
      <c r="AM262" s="139" t="s">
        <v>693</v>
      </c>
      <c r="AN262" s="139" t="s">
        <v>694</v>
      </c>
      <c r="AO262" s="139" t="s">
        <v>695</v>
      </c>
      <c r="AP262" s="139" t="s">
        <v>696</v>
      </c>
      <c r="AQ262" s="139" t="s">
        <v>751</v>
      </c>
      <c r="AR262" s="139" t="s">
        <v>433</v>
      </c>
      <c r="AS262" s="139" t="s">
        <v>433</v>
      </c>
      <c r="AT262" s="139" t="s">
        <v>593</v>
      </c>
      <c r="AU262" s="139" t="s">
        <v>437</v>
      </c>
      <c r="AV262" s="140">
        <v>2</v>
      </c>
      <c r="AW262" s="139" t="s">
        <v>594</v>
      </c>
      <c r="AX262" s="139" t="s">
        <v>653</v>
      </c>
      <c r="AY262" s="139" t="s">
        <v>780</v>
      </c>
      <c r="AZ262" s="140">
        <v>1</v>
      </c>
      <c r="BA262" s="139" t="s">
        <v>597</v>
      </c>
      <c r="BB262" s="140">
        <v>128133.52</v>
      </c>
      <c r="BC262" s="140">
        <v>10195789</v>
      </c>
      <c r="BD262" s="140">
        <v>136473.92000000001</v>
      </c>
      <c r="BE262" s="140">
        <v>79.571600000000004</v>
      </c>
      <c r="BF262" s="139" t="s">
        <v>880</v>
      </c>
      <c r="BG262" s="139" t="s">
        <v>735</v>
      </c>
      <c r="BH262" s="139" t="s">
        <v>1112</v>
      </c>
      <c r="BI262" s="139" t="s">
        <v>598</v>
      </c>
      <c r="BJ262" s="139" t="s">
        <v>624</v>
      </c>
      <c r="BK262" s="139" t="s">
        <v>890</v>
      </c>
      <c r="BL262" s="139" t="s">
        <v>583</v>
      </c>
      <c r="BM262" s="139" t="s">
        <v>583</v>
      </c>
      <c r="BN262" s="139" t="s">
        <v>738</v>
      </c>
      <c r="BO262" s="139" t="s">
        <v>1476</v>
      </c>
      <c r="BP262" s="139" t="s">
        <v>1877</v>
      </c>
      <c r="BQ262" s="139" t="s">
        <v>741</v>
      </c>
      <c r="BR262" s="140">
        <v>1</v>
      </c>
      <c r="BS262" s="139" t="s">
        <v>1901</v>
      </c>
      <c r="BT262" s="99">
        <f t="shared" si="15"/>
        <v>0</v>
      </c>
      <c r="BU262" s="99">
        <f t="shared" si="15"/>
        <v>0</v>
      </c>
      <c r="BV262" s="99">
        <f t="shared" si="16"/>
        <v>0</v>
      </c>
      <c r="BW262" s="139" t="s">
        <v>1479</v>
      </c>
      <c r="BX262" s="139" t="s">
        <v>778</v>
      </c>
      <c r="BY262" s="140">
        <v>374</v>
      </c>
      <c r="BZ262" s="140">
        <v>0</v>
      </c>
      <c r="CA262" s="99">
        <v>74800</v>
      </c>
      <c r="CB262" s="140" t="s">
        <v>603</v>
      </c>
      <c r="CC262" s="140">
        <v>0</v>
      </c>
      <c r="CD262" s="140"/>
      <c r="CE262" s="139" t="s">
        <v>577</v>
      </c>
      <c r="CF262" s="139" t="s">
        <v>604</v>
      </c>
      <c r="CG262" s="139" t="s">
        <v>583</v>
      </c>
      <c r="CH262" s="139" t="s">
        <v>583</v>
      </c>
      <c r="CI262" s="139" t="s">
        <v>751</v>
      </c>
      <c r="CJ262" s="140">
        <v>7854</v>
      </c>
      <c r="CK262" s="140" t="s">
        <v>605</v>
      </c>
      <c r="CL262" s="140">
        <v>4000000</v>
      </c>
      <c r="CM262" s="99">
        <v>7480</v>
      </c>
      <c r="CN262" s="140">
        <v>0</v>
      </c>
      <c r="CO262" s="139" t="s">
        <v>583</v>
      </c>
      <c r="CP262" s="139" t="s">
        <v>583</v>
      </c>
      <c r="CQ262" s="140">
        <v>128133.52</v>
      </c>
      <c r="CR262" s="140">
        <v>10195789</v>
      </c>
      <c r="CS262" s="140">
        <v>0</v>
      </c>
      <c r="CT262" s="140">
        <v>1</v>
      </c>
      <c r="CU262" s="140">
        <v>10195789.199999999</v>
      </c>
      <c r="CV262" s="99">
        <v>136473.92000000001</v>
      </c>
      <c r="CW262" s="139" t="s">
        <v>606</v>
      </c>
      <c r="CX262" s="140">
        <v>18.245200000000001</v>
      </c>
      <c r="CY262" s="140">
        <v>933</v>
      </c>
      <c r="CZ262" s="140" t="s">
        <v>894</v>
      </c>
      <c r="DA262" s="140" t="s">
        <v>1480</v>
      </c>
      <c r="DB262" s="140">
        <v>271</v>
      </c>
      <c r="DC262" s="140"/>
    </row>
    <row r="263" spans="2:107" ht="11.25" customHeight="1" x14ac:dyDescent="0.15">
      <c r="B263" s="139" t="s">
        <v>577</v>
      </c>
      <c r="C263" s="140" t="s">
        <v>1902</v>
      </c>
      <c r="D263" s="140">
        <v>2</v>
      </c>
      <c r="E263" s="139" t="s">
        <v>1903</v>
      </c>
      <c r="F263" s="139" t="s">
        <v>729</v>
      </c>
      <c r="G263" s="140" t="s">
        <v>1902</v>
      </c>
      <c r="H263" s="139" t="s">
        <v>1904</v>
      </c>
      <c r="I263" s="140" t="s">
        <v>421</v>
      </c>
      <c r="J263" s="139" t="s">
        <v>582</v>
      </c>
      <c r="K263" s="139" t="s">
        <v>583</v>
      </c>
      <c r="L263" s="139" t="s">
        <v>583</v>
      </c>
      <c r="M263" s="139" t="s">
        <v>583</v>
      </c>
      <c r="N263" s="139" t="s">
        <v>731</v>
      </c>
      <c r="O263" s="139" t="s">
        <v>1673</v>
      </c>
      <c r="P263" s="139" t="s">
        <v>583</v>
      </c>
      <c r="Q263" s="139" t="s">
        <v>583</v>
      </c>
      <c r="R263" s="140">
        <v>1</v>
      </c>
      <c r="S263" s="140">
        <v>0</v>
      </c>
      <c r="T263" s="140">
        <v>1</v>
      </c>
      <c r="U263" s="140">
        <v>116</v>
      </c>
      <c r="V263" s="139" t="s">
        <v>1557</v>
      </c>
      <c r="W263" s="139" t="s">
        <v>1558</v>
      </c>
      <c r="X263" s="139" t="s">
        <v>1559</v>
      </c>
      <c r="Y263" s="139" t="s">
        <v>1560</v>
      </c>
      <c r="Z263" s="139" t="s">
        <v>644</v>
      </c>
      <c r="AA263" s="139" t="s">
        <v>1561</v>
      </c>
      <c r="AB263" s="139" t="s">
        <v>1557</v>
      </c>
      <c r="AC263" s="139" t="s">
        <v>1558</v>
      </c>
      <c r="AD263" s="139" t="s">
        <v>1559</v>
      </c>
      <c r="AE263" s="139" t="s">
        <v>1560</v>
      </c>
      <c r="AF263" s="139" t="s">
        <v>644</v>
      </c>
      <c r="AG263" s="139" t="s">
        <v>1561</v>
      </c>
      <c r="AH263" s="139" t="s">
        <v>733</v>
      </c>
      <c r="AI263" s="139" t="s">
        <v>432</v>
      </c>
      <c r="AJ263" s="140">
        <v>3455826.42</v>
      </c>
      <c r="AK263" s="139" t="s">
        <v>1557</v>
      </c>
      <c r="AL263" s="139" t="s">
        <v>1558</v>
      </c>
      <c r="AM263" s="139" t="s">
        <v>1559</v>
      </c>
      <c r="AN263" s="139" t="s">
        <v>1560</v>
      </c>
      <c r="AO263" s="139" t="s">
        <v>644</v>
      </c>
      <c r="AP263" s="139" t="s">
        <v>1561</v>
      </c>
      <c r="AQ263" s="139" t="s">
        <v>733</v>
      </c>
      <c r="AR263" s="139" t="s">
        <v>432</v>
      </c>
      <c r="AS263" s="139" t="s">
        <v>432</v>
      </c>
      <c r="AT263" s="139" t="s">
        <v>593</v>
      </c>
      <c r="AU263" s="139" t="s">
        <v>437</v>
      </c>
      <c r="AV263" s="140">
        <v>2</v>
      </c>
      <c r="AW263" s="139" t="s">
        <v>594</v>
      </c>
      <c r="AX263" s="139" t="s">
        <v>653</v>
      </c>
      <c r="AY263" s="139" t="s">
        <v>1562</v>
      </c>
      <c r="AZ263" s="140">
        <v>1</v>
      </c>
      <c r="BA263" s="139" t="s">
        <v>597</v>
      </c>
      <c r="BB263" s="140">
        <v>43430.400000000001</v>
      </c>
      <c r="BC263" s="140">
        <v>3455826</v>
      </c>
      <c r="BD263" s="140">
        <v>46257.35</v>
      </c>
      <c r="BE263" s="140">
        <v>79.571600000000004</v>
      </c>
      <c r="BF263" s="139" t="s">
        <v>880</v>
      </c>
      <c r="BG263" s="139" t="s">
        <v>863</v>
      </c>
      <c r="BH263" s="139" t="s">
        <v>1563</v>
      </c>
      <c r="BI263" s="139" t="s">
        <v>598</v>
      </c>
      <c r="BJ263" s="139" t="s">
        <v>599</v>
      </c>
      <c r="BK263" s="139" t="s">
        <v>583</v>
      </c>
      <c r="BL263" s="139" t="s">
        <v>1060</v>
      </c>
      <c r="BM263" s="139" t="s">
        <v>583</v>
      </c>
      <c r="BN263" s="139" t="s">
        <v>842</v>
      </c>
      <c r="BO263" s="139" t="s">
        <v>843</v>
      </c>
      <c r="BP263" s="139" t="s">
        <v>830</v>
      </c>
      <c r="BQ263" s="139" t="s">
        <v>723</v>
      </c>
      <c r="BR263" s="140">
        <v>1</v>
      </c>
      <c r="BS263" s="139" t="s">
        <v>1905</v>
      </c>
      <c r="BT263" s="99">
        <f t="shared" si="15"/>
        <v>0</v>
      </c>
      <c r="BU263" s="99">
        <f t="shared" si="15"/>
        <v>0</v>
      </c>
      <c r="BV263" s="99">
        <f t="shared" si="16"/>
        <v>0</v>
      </c>
      <c r="BW263" s="139" t="s">
        <v>743</v>
      </c>
      <c r="BX263" s="139" t="s">
        <v>731</v>
      </c>
      <c r="BY263" s="140">
        <v>116</v>
      </c>
      <c r="BZ263" s="140">
        <v>0</v>
      </c>
      <c r="CA263" s="99">
        <v>23200</v>
      </c>
      <c r="CB263" s="140" t="s">
        <v>603</v>
      </c>
      <c r="CC263" s="140">
        <v>0</v>
      </c>
      <c r="CD263" s="140"/>
      <c r="CE263" s="139" t="s">
        <v>577</v>
      </c>
      <c r="CF263" s="139" t="s">
        <v>604</v>
      </c>
      <c r="CG263" s="139" t="s">
        <v>583</v>
      </c>
      <c r="CH263" s="139" t="s">
        <v>583</v>
      </c>
      <c r="CI263" s="139" t="s">
        <v>733</v>
      </c>
      <c r="CJ263" s="140">
        <v>2552</v>
      </c>
      <c r="CK263" s="140" t="s">
        <v>605</v>
      </c>
      <c r="CL263" s="140">
        <v>4000000</v>
      </c>
      <c r="CM263" s="99">
        <v>2320</v>
      </c>
      <c r="CN263" s="140">
        <v>0</v>
      </c>
      <c r="CO263" s="139" t="s">
        <v>583</v>
      </c>
      <c r="CP263" s="139" t="s">
        <v>583</v>
      </c>
      <c r="CQ263" s="140">
        <v>43430.400000000001</v>
      </c>
      <c r="CR263" s="140">
        <v>3455826</v>
      </c>
      <c r="CS263" s="140">
        <v>0</v>
      </c>
      <c r="CT263" s="140">
        <v>1</v>
      </c>
      <c r="CU263" s="140">
        <v>3455826.42</v>
      </c>
      <c r="CV263" s="99">
        <v>46257.35</v>
      </c>
      <c r="CW263" s="139" t="s">
        <v>606</v>
      </c>
      <c r="CX263" s="140">
        <v>19.938500000000001</v>
      </c>
      <c r="CY263" s="140">
        <v>35</v>
      </c>
      <c r="CZ263" s="140" t="s">
        <v>1564</v>
      </c>
      <c r="DA263" s="140" t="s">
        <v>1063</v>
      </c>
      <c r="DB263" s="140">
        <v>544</v>
      </c>
      <c r="DC263" s="140"/>
    </row>
    <row r="264" spans="2:107" ht="11.25" customHeight="1" x14ac:dyDescent="0.15">
      <c r="B264" s="139" t="s">
        <v>577</v>
      </c>
      <c r="C264" s="140" t="s">
        <v>1902</v>
      </c>
      <c r="D264" s="140">
        <v>2</v>
      </c>
      <c r="E264" s="139" t="s">
        <v>1906</v>
      </c>
      <c r="F264" s="139" t="s">
        <v>718</v>
      </c>
      <c r="G264" s="140" t="s">
        <v>1902</v>
      </c>
      <c r="H264" s="139" t="s">
        <v>1907</v>
      </c>
      <c r="I264" s="140" t="s">
        <v>421</v>
      </c>
      <c r="J264" s="139" t="s">
        <v>582</v>
      </c>
      <c r="K264" s="139" t="s">
        <v>583</v>
      </c>
      <c r="L264" s="139" t="s">
        <v>583</v>
      </c>
      <c r="M264" s="139" t="s">
        <v>583</v>
      </c>
      <c r="N264" s="139" t="s">
        <v>1747</v>
      </c>
      <c r="O264" s="139" t="s">
        <v>1648</v>
      </c>
      <c r="P264" s="139" t="s">
        <v>583</v>
      </c>
      <c r="Q264" s="139" t="s">
        <v>583</v>
      </c>
      <c r="R264" s="140">
        <v>2</v>
      </c>
      <c r="S264" s="140"/>
      <c r="T264" s="140">
        <v>2</v>
      </c>
      <c r="U264" s="140">
        <v>26</v>
      </c>
      <c r="V264" s="139" t="s">
        <v>662</v>
      </c>
      <c r="W264" s="139" t="s">
        <v>663</v>
      </c>
      <c r="X264" s="139" t="s">
        <v>664</v>
      </c>
      <c r="Y264" s="139" t="s">
        <v>665</v>
      </c>
      <c r="Z264" s="139" t="s">
        <v>666</v>
      </c>
      <c r="AA264" s="139" t="s">
        <v>667</v>
      </c>
      <c r="AB264" s="139" t="s">
        <v>662</v>
      </c>
      <c r="AC264" s="139" t="s">
        <v>663</v>
      </c>
      <c r="AD264" s="139" t="s">
        <v>664</v>
      </c>
      <c r="AE264" s="139" t="s">
        <v>665</v>
      </c>
      <c r="AF264" s="139" t="s">
        <v>666</v>
      </c>
      <c r="AG264" s="139" t="s">
        <v>667</v>
      </c>
      <c r="AH264" s="139" t="s">
        <v>1549</v>
      </c>
      <c r="AI264" s="139" t="s">
        <v>436</v>
      </c>
      <c r="AJ264" s="140">
        <v>8560312.7300000004</v>
      </c>
      <c r="AK264" s="139" t="s">
        <v>662</v>
      </c>
      <c r="AL264" s="139" t="s">
        <v>663</v>
      </c>
      <c r="AM264" s="139" t="s">
        <v>664</v>
      </c>
      <c r="AN264" s="139" t="s">
        <v>665</v>
      </c>
      <c r="AO264" s="139" t="s">
        <v>666</v>
      </c>
      <c r="AP264" s="139" t="s">
        <v>667</v>
      </c>
      <c r="AQ264" s="139" t="s">
        <v>1549</v>
      </c>
      <c r="AR264" s="139" t="s">
        <v>436</v>
      </c>
      <c r="AS264" s="139" t="s">
        <v>436</v>
      </c>
      <c r="AT264" s="139" t="s">
        <v>593</v>
      </c>
      <c r="AU264" s="139" t="s">
        <v>437</v>
      </c>
      <c r="AV264" s="140">
        <v>2</v>
      </c>
      <c r="AW264" s="139" t="s">
        <v>594</v>
      </c>
      <c r="AX264" s="139" t="s">
        <v>583</v>
      </c>
      <c r="AY264" s="139" t="s">
        <v>1550</v>
      </c>
      <c r="AZ264" s="140">
        <v>1</v>
      </c>
      <c r="BA264" s="139" t="s">
        <v>597</v>
      </c>
      <c r="BB264" s="140">
        <v>101880</v>
      </c>
      <c r="BC264" s="140">
        <v>8106755</v>
      </c>
      <c r="BD264" s="140">
        <v>114582.54</v>
      </c>
      <c r="BE264" s="140">
        <v>79.571600000000004</v>
      </c>
      <c r="BF264" s="139" t="s">
        <v>880</v>
      </c>
      <c r="BG264" s="139" t="s">
        <v>583</v>
      </c>
      <c r="BH264" s="139" t="s">
        <v>1551</v>
      </c>
      <c r="BI264" s="139" t="s">
        <v>598</v>
      </c>
      <c r="BJ264" s="139" t="s">
        <v>599</v>
      </c>
      <c r="BK264" s="139" t="s">
        <v>583</v>
      </c>
      <c r="BL264" s="139" t="s">
        <v>583</v>
      </c>
      <c r="BM264" s="139" t="s">
        <v>583</v>
      </c>
      <c r="BN264" s="139" t="s">
        <v>842</v>
      </c>
      <c r="BO264" s="139" t="s">
        <v>843</v>
      </c>
      <c r="BP264" s="139" t="s">
        <v>830</v>
      </c>
      <c r="BQ264" s="139" t="s">
        <v>723</v>
      </c>
      <c r="BR264" s="140">
        <v>1</v>
      </c>
      <c r="BS264" s="139" t="s">
        <v>1908</v>
      </c>
      <c r="BT264" s="99">
        <f t="shared" si="15"/>
        <v>1</v>
      </c>
      <c r="BU264" s="99">
        <f t="shared" si="15"/>
        <v>0</v>
      </c>
      <c r="BV264" s="99">
        <f t="shared" si="16"/>
        <v>1</v>
      </c>
      <c r="BW264" s="139" t="s">
        <v>602</v>
      </c>
      <c r="BX264" s="139" t="s">
        <v>1553</v>
      </c>
      <c r="BY264" s="140">
        <v>6</v>
      </c>
      <c r="BZ264" s="140"/>
      <c r="CA264" s="99">
        <v>36000</v>
      </c>
      <c r="CB264" s="140" t="s">
        <v>603</v>
      </c>
      <c r="CC264" s="140"/>
      <c r="CD264" s="140"/>
      <c r="CE264" s="139" t="s">
        <v>577</v>
      </c>
      <c r="CF264" s="139" t="s">
        <v>604</v>
      </c>
      <c r="CG264" s="139" t="s">
        <v>583</v>
      </c>
      <c r="CH264" s="139" t="s">
        <v>583</v>
      </c>
      <c r="CI264" s="139" t="s">
        <v>1549</v>
      </c>
      <c r="CJ264" s="140">
        <v>3760</v>
      </c>
      <c r="CK264" s="140" t="s">
        <v>605</v>
      </c>
      <c r="CL264" s="140">
        <v>4000000</v>
      </c>
      <c r="CM264" s="99">
        <v>3420</v>
      </c>
      <c r="CN264" s="140"/>
      <c r="CO264" s="139" t="s">
        <v>583</v>
      </c>
      <c r="CP264" s="139" t="s">
        <v>583</v>
      </c>
      <c r="CQ264" s="140">
        <v>46800</v>
      </c>
      <c r="CR264" s="140">
        <v>3723951</v>
      </c>
      <c r="CS264" s="140"/>
      <c r="CT264" s="140">
        <v>1</v>
      </c>
      <c r="CU264" s="140">
        <v>3797198.92</v>
      </c>
      <c r="CV264" s="99">
        <v>50826.73</v>
      </c>
      <c r="CW264" s="139" t="s">
        <v>606</v>
      </c>
      <c r="CX264" s="140">
        <v>14.861599999999999</v>
      </c>
      <c r="CY264" s="140"/>
      <c r="CZ264" s="140"/>
      <c r="DA264" s="140" t="s">
        <v>926</v>
      </c>
      <c r="DB264" s="140">
        <v>39</v>
      </c>
      <c r="DC264" s="140"/>
    </row>
    <row r="265" spans="2:107" ht="11.25" customHeight="1" x14ac:dyDescent="0.15">
      <c r="B265" s="139" t="s">
        <v>577</v>
      </c>
      <c r="C265" s="140" t="s">
        <v>1902</v>
      </c>
      <c r="D265" s="140">
        <v>2</v>
      </c>
      <c r="E265" s="139" t="s">
        <v>1909</v>
      </c>
      <c r="F265" s="139" t="s">
        <v>580</v>
      </c>
      <c r="G265" s="140" t="s">
        <v>1902</v>
      </c>
      <c r="H265" s="139" t="s">
        <v>1910</v>
      </c>
      <c r="I265" s="140" t="s">
        <v>421</v>
      </c>
      <c r="J265" s="139" t="s">
        <v>582</v>
      </c>
      <c r="K265" s="139" t="s">
        <v>583</v>
      </c>
      <c r="L265" s="139" t="s">
        <v>583</v>
      </c>
      <c r="M265" s="139" t="s">
        <v>583</v>
      </c>
      <c r="N265" s="139" t="s">
        <v>1529</v>
      </c>
      <c r="O265" s="139" t="s">
        <v>758</v>
      </c>
      <c r="P265" s="139" t="s">
        <v>583</v>
      </c>
      <c r="Q265" s="139" t="s">
        <v>583</v>
      </c>
      <c r="R265" s="140">
        <v>1</v>
      </c>
      <c r="S265" s="140">
        <v>0</v>
      </c>
      <c r="T265" s="140">
        <v>1</v>
      </c>
      <c r="U265" s="140">
        <v>4</v>
      </c>
      <c r="V265" s="139" t="s">
        <v>835</v>
      </c>
      <c r="W265" s="139" t="s">
        <v>836</v>
      </c>
      <c r="X265" s="139" t="s">
        <v>837</v>
      </c>
      <c r="Y265" s="139" t="s">
        <v>838</v>
      </c>
      <c r="Z265" s="139" t="s">
        <v>590</v>
      </c>
      <c r="AA265" s="139" t="s">
        <v>839</v>
      </c>
      <c r="AB265" s="139" t="s">
        <v>835</v>
      </c>
      <c r="AC265" s="139" t="s">
        <v>836</v>
      </c>
      <c r="AD265" s="139" t="s">
        <v>837</v>
      </c>
      <c r="AE265" s="139" t="s">
        <v>838</v>
      </c>
      <c r="AF265" s="139" t="s">
        <v>590</v>
      </c>
      <c r="AG265" s="139" t="s">
        <v>839</v>
      </c>
      <c r="AH265" s="139" t="s">
        <v>759</v>
      </c>
      <c r="AI265" s="139" t="s">
        <v>434</v>
      </c>
      <c r="AJ265" s="140">
        <v>2835533.97</v>
      </c>
      <c r="AK265" s="139" t="s">
        <v>835</v>
      </c>
      <c r="AL265" s="139" t="s">
        <v>836</v>
      </c>
      <c r="AM265" s="139" t="s">
        <v>837</v>
      </c>
      <c r="AN265" s="139" t="s">
        <v>838</v>
      </c>
      <c r="AO265" s="139" t="s">
        <v>590</v>
      </c>
      <c r="AP265" s="139" t="s">
        <v>839</v>
      </c>
      <c r="AQ265" s="139" t="s">
        <v>759</v>
      </c>
      <c r="AR265" s="139" t="s">
        <v>434</v>
      </c>
      <c r="AS265" s="139" t="s">
        <v>434</v>
      </c>
      <c r="AT265" s="139" t="s">
        <v>593</v>
      </c>
      <c r="AU265" s="139" t="s">
        <v>437</v>
      </c>
      <c r="AV265" s="140">
        <v>2</v>
      </c>
      <c r="AW265" s="139" t="s">
        <v>594</v>
      </c>
      <c r="AX265" s="139" t="s">
        <v>595</v>
      </c>
      <c r="AY265" s="139" t="s">
        <v>840</v>
      </c>
      <c r="AZ265" s="140">
        <v>1</v>
      </c>
      <c r="BA265" s="139" t="s">
        <v>597</v>
      </c>
      <c r="BB265" s="140">
        <v>35200</v>
      </c>
      <c r="BC265" s="140">
        <v>2800920</v>
      </c>
      <c r="BD265" s="140">
        <v>37954.54</v>
      </c>
      <c r="BE265" s="140">
        <v>79.571600000000004</v>
      </c>
      <c r="BF265" s="139" t="s">
        <v>880</v>
      </c>
      <c r="BG265" s="139" t="s">
        <v>863</v>
      </c>
      <c r="BH265" s="139" t="s">
        <v>841</v>
      </c>
      <c r="BI265" s="139" t="s">
        <v>598</v>
      </c>
      <c r="BJ265" s="139" t="s">
        <v>599</v>
      </c>
      <c r="BK265" s="139" t="s">
        <v>583</v>
      </c>
      <c r="BL265" s="139" t="s">
        <v>583</v>
      </c>
      <c r="BM265" s="139" t="s">
        <v>583</v>
      </c>
      <c r="BN265" s="139" t="s">
        <v>842</v>
      </c>
      <c r="BO265" s="139" t="s">
        <v>843</v>
      </c>
      <c r="BP265" s="139" t="s">
        <v>830</v>
      </c>
      <c r="BQ265" s="139" t="s">
        <v>723</v>
      </c>
      <c r="BR265" s="140">
        <v>1</v>
      </c>
      <c r="BS265" s="139" t="s">
        <v>1911</v>
      </c>
      <c r="BT265" s="99">
        <f t="shared" si="15"/>
        <v>1</v>
      </c>
      <c r="BU265" s="99">
        <f t="shared" si="15"/>
        <v>0</v>
      </c>
      <c r="BV265" s="99">
        <f t="shared" si="16"/>
        <v>1</v>
      </c>
      <c r="BW265" s="139" t="s">
        <v>602</v>
      </c>
      <c r="BX265" s="139" t="s">
        <v>1464</v>
      </c>
      <c r="BY265" s="140">
        <v>4</v>
      </c>
      <c r="BZ265" s="140">
        <v>0</v>
      </c>
      <c r="CA265" s="99">
        <v>22000</v>
      </c>
      <c r="CB265" s="140" t="s">
        <v>603</v>
      </c>
      <c r="CC265" s="140">
        <v>0</v>
      </c>
      <c r="CD265" s="140"/>
      <c r="CE265" s="139" t="s">
        <v>577</v>
      </c>
      <c r="CF265" s="139" t="s">
        <v>604</v>
      </c>
      <c r="CG265" s="139" t="s">
        <v>583</v>
      </c>
      <c r="CH265" s="139" t="s">
        <v>583</v>
      </c>
      <c r="CI265" s="139" t="s">
        <v>759</v>
      </c>
      <c r="CJ265" s="140">
        <v>2310</v>
      </c>
      <c r="CK265" s="140" t="s">
        <v>605</v>
      </c>
      <c r="CL265" s="140">
        <v>4000000</v>
      </c>
      <c r="CM265" s="99">
        <v>2145</v>
      </c>
      <c r="CN265" s="140">
        <v>0</v>
      </c>
      <c r="CO265" s="139" t="s">
        <v>583</v>
      </c>
      <c r="CP265" s="139" t="s">
        <v>583</v>
      </c>
      <c r="CQ265" s="140">
        <v>35200</v>
      </c>
      <c r="CR265" s="140">
        <v>2800920</v>
      </c>
      <c r="CS265" s="140">
        <v>0</v>
      </c>
      <c r="CT265" s="140">
        <v>1</v>
      </c>
      <c r="CU265" s="140">
        <v>2835533.97</v>
      </c>
      <c r="CV265" s="99">
        <v>37954.54</v>
      </c>
      <c r="CW265" s="139" t="s">
        <v>606</v>
      </c>
      <c r="CX265" s="140">
        <v>17.694400000000002</v>
      </c>
      <c r="CY265" s="140"/>
      <c r="CZ265" s="140"/>
      <c r="DA265" s="140" t="s">
        <v>1912</v>
      </c>
      <c r="DB265" s="140">
        <v>1053</v>
      </c>
      <c r="DC265" s="140"/>
    </row>
    <row r="266" spans="2:107" ht="11.25" customHeight="1" x14ac:dyDescent="0.15">
      <c r="B266" s="139" t="s">
        <v>577</v>
      </c>
      <c r="C266" s="140" t="s">
        <v>1902</v>
      </c>
      <c r="D266" s="140">
        <v>2</v>
      </c>
      <c r="E266" s="139" t="s">
        <v>1913</v>
      </c>
      <c r="F266" s="139" t="s">
        <v>580</v>
      </c>
      <c r="G266" s="140" t="s">
        <v>1902</v>
      </c>
      <c r="H266" s="139" t="s">
        <v>1914</v>
      </c>
      <c r="I266" s="140" t="s">
        <v>421</v>
      </c>
      <c r="J266" s="139" t="s">
        <v>582</v>
      </c>
      <c r="K266" s="139" t="s">
        <v>583</v>
      </c>
      <c r="L266" s="139" t="s">
        <v>583</v>
      </c>
      <c r="M266" s="139" t="s">
        <v>583</v>
      </c>
      <c r="N266" s="139" t="s">
        <v>1529</v>
      </c>
      <c r="O266" s="139" t="s">
        <v>758</v>
      </c>
      <c r="P266" s="139" t="s">
        <v>583</v>
      </c>
      <c r="Q266" s="139" t="s">
        <v>583</v>
      </c>
      <c r="R266" s="140">
        <v>1</v>
      </c>
      <c r="S266" s="140">
        <v>0</v>
      </c>
      <c r="T266" s="140">
        <v>1</v>
      </c>
      <c r="U266" s="140">
        <v>15</v>
      </c>
      <c r="V266" s="139" t="s">
        <v>859</v>
      </c>
      <c r="W266" s="139" t="s">
        <v>860</v>
      </c>
      <c r="X266" s="139" t="s">
        <v>861</v>
      </c>
      <c r="Y266" s="139" t="s">
        <v>862</v>
      </c>
      <c r="Z266" s="139" t="s">
        <v>590</v>
      </c>
      <c r="AA266" s="139" t="s">
        <v>839</v>
      </c>
      <c r="AB266" s="139" t="s">
        <v>859</v>
      </c>
      <c r="AC266" s="139" t="s">
        <v>860</v>
      </c>
      <c r="AD266" s="139" t="s">
        <v>861</v>
      </c>
      <c r="AE266" s="139" t="s">
        <v>862</v>
      </c>
      <c r="AF266" s="139" t="s">
        <v>590</v>
      </c>
      <c r="AG266" s="139" t="s">
        <v>839</v>
      </c>
      <c r="AH266" s="139" t="s">
        <v>759</v>
      </c>
      <c r="AI266" s="139" t="s">
        <v>434</v>
      </c>
      <c r="AJ266" s="140">
        <v>10873459.140000001</v>
      </c>
      <c r="AK266" s="139" t="s">
        <v>859</v>
      </c>
      <c r="AL266" s="139" t="s">
        <v>860</v>
      </c>
      <c r="AM266" s="139" t="s">
        <v>861</v>
      </c>
      <c r="AN266" s="139" t="s">
        <v>862</v>
      </c>
      <c r="AO266" s="139" t="s">
        <v>590</v>
      </c>
      <c r="AP266" s="139" t="s">
        <v>839</v>
      </c>
      <c r="AQ266" s="139" t="s">
        <v>759</v>
      </c>
      <c r="AR266" s="139" t="s">
        <v>434</v>
      </c>
      <c r="AS266" s="139" t="s">
        <v>434</v>
      </c>
      <c r="AT266" s="139" t="s">
        <v>593</v>
      </c>
      <c r="AU266" s="139" t="s">
        <v>437</v>
      </c>
      <c r="AV266" s="140">
        <v>2</v>
      </c>
      <c r="AW266" s="139" t="s">
        <v>594</v>
      </c>
      <c r="AX266" s="139" t="s">
        <v>595</v>
      </c>
      <c r="AY266" s="139" t="s">
        <v>840</v>
      </c>
      <c r="AZ266" s="140">
        <v>1</v>
      </c>
      <c r="BA266" s="139" t="s">
        <v>597</v>
      </c>
      <c r="BB266" s="140">
        <v>134850</v>
      </c>
      <c r="BC266" s="140">
        <v>10730230</v>
      </c>
      <c r="BD266" s="140">
        <v>145544.75</v>
      </c>
      <c r="BE266" s="140">
        <v>79.571600000000004</v>
      </c>
      <c r="BF266" s="139" t="s">
        <v>880</v>
      </c>
      <c r="BG266" s="139" t="s">
        <v>863</v>
      </c>
      <c r="BH266" s="139" t="s">
        <v>1122</v>
      </c>
      <c r="BI266" s="139" t="s">
        <v>598</v>
      </c>
      <c r="BJ266" s="139" t="s">
        <v>599</v>
      </c>
      <c r="BK266" s="139" t="s">
        <v>583</v>
      </c>
      <c r="BL266" s="139" t="s">
        <v>583</v>
      </c>
      <c r="BM266" s="139" t="s">
        <v>583</v>
      </c>
      <c r="BN266" s="139" t="s">
        <v>842</v>
      </c>
      <c r="BO266" s="139" t="s">
        <v>843</v>
      </c>
      <c r="BP266" s="139" t="s">
        <v>830</v>
      </c>
      <c r="BQ266" s="139" t="s">
        <v>723</v>
      </c>
      <c r="BR266" s="140">
        <v>1</v>
      </c>
      <c r="BS266" s="139" t="s">
        <v>1915</v>
      </c>
      <c r="BT266" s="99">
        <f t="shared" si="15"/>
        <v>1</v>
      </c>
      <c r="BU266" s="99">
        <f t="shared" si="15"/>
        <v>0</v>
      </c>
      <c r="BV266" s="99">
        <f t="shared" si="16"/>
        <v>1</v>
      </c>
      <c r="BW266" s="139" t="s">
        <v>602</v>
      </c>
      <c r="BX266" s="139" t="s">
        <v>1700</v>
      </c>
      <c r="BY266" s="140">
        <v>15</v>
      </c>
      <c r="BZ266" s="140">
        <v>0</v>
      </c>
      <c r="CA266" s="99">
        <v>87000</v>
      </c>
      <c r="CB266" s="140" t="s">
        <v>603</v>
      </c>
      <c r="CC266" s="140">
        <v>0</v>
      </c>
      <c r="CD266" s="140"/>
      <c r="CE266" s="139" t="s">
        <v>577</v>
      </c>
      <c r="CF266" s="139" t="s">
        <v>604</v>
      </c>
      <c r="CG266" s="139" t="s">
        <v>583</v>
      </c>
      <c r="CH266" s="139" t="s">
        <v>583</v>
      </c>
      <c r="CI266" s="139" t="s">
        <v>759</v>
      </c>
      <c r="CJ266" s="140">
        <v>9135</v>
      </c>
      <c r="CK266" s="140" t="s">
        <v>605</v>
      </c>
      <c r="CL266" s="140">
        <v>4000000</v>
      </c>
      <c r="CM266" s="99">
        <v>8483</v>
      </c>
      <c r="CN266" s="140">
        <v>0</v>
      </c>
      <c r="CO266" s="139" t="s">
        <v>583</v>
      </c>
      <c r="CP266" s="139" t="s">
        <v>583</v>
      </c>
      <c r="CQ266" s="140">
        <v>134850</v>
      </c>
      <c r="CR266" s="140">
        <v>10730230</v>
      </c>
      <c r="CS266" s="140">
        <v>0</v>
      </c>
      <c r="CT266" s="140">
        <v>1</v>
      </c>
      <c r="CU266" s="140">
        <v>10873459.140000001</v>
      </c>
      <c r="CV266" s="99">
        <v>145544.75</v>
      </c>
      <c r="CW266" s="139" t="s">
        <v>606</v>
      </c>
      <c r="CX266" s="140">
        <v>17.1572</v>
      </c>
      <c r="CY266" s="140">
        <v>1535</v>
      </c>
      <c r="CZ266" s="140" t="s">
        <v>1118</v>
      </c>
      <c r="DA266" s="140" t="s">
        <v>1119</v>
      </c>
      <c r="DB266" s="140">
        <v>992</v>
      </c>
      <c r="DC266" s="140"/>
    </row>
    <row r="267" spans="2:107" ht="11.25" customHeight="1" x14ac:dyDescent="0.15">
      <c r="B267" s="139" t="s">
        <v>594</v>
      </c>
      <c r="C267" s="140" t="s">
        <v>1916</v>
      </c>
      <c r="D267" s="140">
        <v>2</v>
      </c>
      <c r="E267" s="139" t="s">
        <v>1917</v>
      </c>
      <c r="F267" s="139" t="s">
        <v>729</v>
      </c>
      <c r="G267" s="140" t="s">
        <v>1916</v>
      </c>
      <c r="H267" s="139" t="s">
        <v>1918</v>
      </c>
      <c r="I267" s="140" t="s">
        <v>421</v>
      </c>
      <c r="J267" s="139" t="s">
        <v>582</v>
      </c>
      <c r="K267" s="139" t="s">
        <v>583</v>
      </c>
      <c r="L267" s="139" t="s">
        <v>583</v>
      </c>
      <c r="M267" s="139" t="s">
        <v>583</v>
      </c>
      <c r="N267" s="139" t="s">
        <v>778</v>
      </c>
      <c r="O267" s="139" t="s">
        <v>1111</v>
      </c>
      <c r="P267" s="139" t="s">
        <v>583</v>
      </c>
      <c r="Q267" s="139" t="s">
        <v>583</v>
      </c>
      <c r="R267" s="140">
        <v>1</v>
      </c>
      <c r="S267" s="140">
        <v>0</v>
      </c>
      <c r="T267" s="140">
        <v>1</v>
      </c>
      <c r="U267" s="140">
        <v>374</v>
      </c>
      <c r="V267" s="139" t="s">
        <v>691</v>
      </c>
      <c r="W267" s="139" t="s">
        <v>692</v>
      </c>
      <c r="X267" s="139" t="s">
        <v>693</v>
      </c>
      <c r="Y267" s="139" t="s">
        <v>694</v>
      </c>
      <c r="Z267" s="139" t="s">
        <v>695</v>
      </c>
      <c r="AA267" s="139" t="s">
        <v>696</v>
      </c>
      <c r="AB267" s="139" t="s">
        <v>691</v>
      </c>
      <c r="AC267" s="139" t="s">
        <v>692</v>
      </c>
      <c r="AD267" s="139" t="s">
        <v>693</v>
      </c>
      <c r="AE267" s="139" t="s">
        <v>694</v>
      </c>
      <c r="AF267" s="139" t="s">
        <v>695</v>
      </c>
      <c r="AG267" s="139" t="s">
        <v>696</v>
      </c>
      <c r="AH267" s="139" t="s">
        <v>751</v>
      </c>
      <c r="AI267" s="139" t="s">
        <v>433</v>
      </c>
      <c r="AJ267" s="140">
        <v>10195789.199999999</v>
      </c>
      <c r="AK267" s="139" t="s">
        <v>691</v>
      </c>
      <c r="AL267" s="139" t="s">
        <v>692</v>
      </c>
      <c r="AM267" s="139" t="s">
        <v>693</v>
      </c>
      <c r="AN267" s="139" t="s">
        <v>694</v>
      </c>
      <c r="AO267" s="139" t="s">
        <v>695</v>
      </c>
      <c r="AP267" s="139" t="s">
        <v>696</v>
      </c>
      <c r="AQ267" s="139" t="s">
        <v>751</v>
      </c>
      <c r="AR267" s="139" t="s">
        <v>433</v>
      </c>
      <c r="AS267" s="139" t="s">
        <v>433</v>
      </c>
      <c r="AT267" s="139" t="s">
        <v>593</v>
      </c>
      <c r="AU267" s="139" t="s">
        <v>437</v>
      </c>
      <c r="AV267" s="140">
        <v>2</v>
      </c>
      <c r="AW267" s="139" t="s">
        <v>594</v>
      </c>
      <c r="AX267" s="139" t="s">
        <v>653</v>
      </c>
      <c r="AY267" s="139" t="s">
        <v>780</v>
      </c>
      <c r="AZ267" s="140">
        <v>1</v>
      </c>
      <c r="BA267" s="139" t="s">
        <v>597</v>
      </c>
      <c r="BB267" s="140">
        <v>128133.52</v>
      </c>
      <c r="BC267" s="140">
        <v>10195789</v>
      </c>
      <c r="BD267" s="140">
        <v>136473.92000000001</v>
      </c>
      <c r="BE267" s="140">
        <v>79.571600000000004</v>
      </c>
      <c r="BF267" s="139" t="s">
        <v>880</v>
      </c>
      <c r="BG267" s="139" t="s">
        <v>735</v>
      </c>
      <c r="BH267" s="139" t="s">
        <v>1112</v>
      </c>
      <c r="BI267" s="139" t="s">
        <v>598</v>
      </c>
      <c r="BJ267" s="139" t="s">
        <v>599</v>
      </c>
      <c r="BK267" s="139" t="s">
        <v>583</v>
      </c>
      <c r="BL267" s="139" t="s">
        <v>1475</v>
      </c>
      <c r="BM267" s="139" t="s">
        <v>583</v>
      </c>
      <c r="BN267" s="139" t="s">
        <v>738</v>
      </c>
      <c r="BO267" s="139" t="s">
        <v>1919</v>
      </c>
      <c r="BP267" s="139" t="s">
        <v>1920</v>
      </c>
      <c r="BQ267" s="139" t="s">
        <v>1921</v>
      </c>
      <c r="BR267" s="140">
        <v>1</v>
      </c>
      <c r="BS267" s="139" t="s">
        <v>1478</v>
      </c>
      <c r="BT267" s="99">
        <f t="shared" si="15"/>
        <v>0</v>
      </c>
      <c r="BU267" s="99">
        <f t="shared" si="15"/>
        <v>0</v>
      </c>
      <c r="BV267" s="99">
        <f t="shared" si="16"/>
        <v>0</v>
      </c>
      <c r="BW267" s="139" t="s">
        <v>1479</v>
      </c>
      <c r="BX267" s="139" t="s">
        <v>778</v>
      </c>
      <c r="BY267" s="140">
        <v>374</v>
      </c>
      <c r="BZ267" s="140">
        <v>0</v>
      </c>
      <c r="CA267" s="99">
        <v>74800</v>
      </c>
      <c r="CB267" s="140" t="s">
        <v>603</v>
      </c>
      <c r="CC267" s="140">
        <v>0</v>
      </c>
      <c r="CD267" s="140"/>
      <c r="CE267" s="139" t="s">
        <v>577</v>
      </c>
      <c r="CF267" s="139" t="s">
        <v>604</v>
      </c>
      <c r="CG267" s="139" t="s">
        <v>583</v>
      </c>
      <c r="CH267" s="139" t="s">
        <v>583</v>
      </c>
      <c r="CI267" s="139" t="s">
        <v>751</v>
      </c>
      <c r="CJ267" s="140">
        <v>7854</v>
      </c>
      <c r="CK267" s="140" t="s">
        <v>605</v>
      </c>
      <c r="CL267" s="140">
        <v>4000000</v>
      </c>
      <c r="CM267" s="99">
        <v>7480</v>
      </c>
      <c r="CN267" s="140">
        <v>0</v>
      </c>
      <c r="CO267" s="139" t="s">
        <v>583</v>
      </c>
      <c r="CP267" s="139" t="s">
        <v>583</v>
      </c>
      <c r="CQ267" s="140">
        <v>128133.52</v>
      </c>
      <c r="CR267" s="140">
        <v>10195789</v>
      </c>
      <c r="CS267" s="140">
        <v>0</v>
      </c>
      <c r="CT267" s="140">
        <v>1</v>
      </c>
      <c r="CU267" s="140">
        <v>10195789.199999999</v>
      </c>
      <c r="CV267" s="99">
        <v>136473.92000000001</v>
      </c>
      <c r="CW267" s="139" t="s">
        <v>1096</v>
      </c>
      <c r="CX267" s="140">
        <v>18.245200000000001</v>
      </c>
      <c r="CY267" s="140">
        <v>933</v>
      </c>
      <c r="CZ267" s="140" t="s">
        <v>894</v>
      </c>
      <c r="DA267" s="140" t="s">
        <v>1480</v>
      </c>
      <c r="DB267" s="140">
        <v>77</v>
      </c>
      <c r="DC267" s="140"/>
    </row>
    <row r="268" spans="2:107" ht="11.25" customHeight="1" x14ac:dyDescent="0.15">
      <c r="B268" s="139" t="s">
        <v>577</v>
      </c>
      <c r="C268" s="140" t="s">
        <v>1916</v>
      </c>
      <c r="D268" s="140">
        <v>2</v>
      </c>
      <c r="E268" s="139" t="s">
        <v>1922</v>
      </c>
      <c r="F268" s="139" t="s">
        <v>618</v>
      </c>
      <c r="G268" s="140" t="s">
        <v>1916</v>
      </c>
      <c r="H268" s="139" t="s">
        <v>1923</v>
      </c>
      <c r="I268" s="140" t="s">
        <v>421</v>
      </c>
      <c r="J268" s="139" t="s">
        <v>582</v>
      </c>
      <c r="K268" s="139" t="s">
        <v>583</v>
      </c>
      <c r="L268" s="139" t="s">
        <v>583</v>
      </c>
      <c r="M268" s="139" t="s">
        <v>583</v>
      </c>
      <c r="N268" s="139" t="s">
        <v>441</v>
      </c>
      <c r="O268" s="139" t="s">
        <v>630</v>
      </c>
      <c r="P268" s="139" t="s">
        <v>583</v>
      </c>
      <c r="Q268" s="139" t="s">
        <v>583</v>
      </c>
      <c r="R268" s="140">
        <v>1</v>
      </c>
      <c r="S268" s="140">
        <v>0</v>
      </c>
      <c r="T268" s="140">
        <v>1</v>
      </c>
      <c r="U268" s="140">
        <v>423</v>
      </c>
      <c r="V268" s="139" t="s">
        <v>583</v>
      </c>
      <c r="W268" s="139" t="s">
        <v>583</v>
      </c>
      <c r="X268" s="139" t="s">
        <v>632</v>
      </c>
      <c r="Y268" s="139" t="s">
        <v>633</v>
      </c>
      <c r="Z268" s="139" t="s">
        <v>583</v>
      </c>
      <c r="AA268" s="139" t="s">
        <v>583</v>
      </c>
      <c r="AB268" s="139" t="s">
        <v>583</v>
      </c>
      <c r="AC268" s="139" t="s">
        <v>583</v>
      </c>
      <c r="AD268" s="139" t="s">
        <v>632</v>
      </c>
      <c r="AE268" s="139" t="s">
        <v>633</v>
      </c>
      <c r="AF268" s="139" t="s">
        <v>583</v>
      </c>
      <c r="AG268" s="139" t="s">
        <v>583</v>
      </c>
      <c r="AH268" s="139" t="s">
        <v>621</v>
      </c>
      <c r="AI268" s="139" t="s">
        <v>430</v>
      </c>
      <c r="AJ268" s="140">
        <v>10097636.039999999</v>
      </c>
      <c r="AK268" s="139" t="s">
        <v>583</v>
      </c>
      <c r="AL268" s="139" t="s">
        <v>583</v>
      </c>
      <c r="AM268" s="139" t="s">
        <v>632</v>
      </c>
      <c r="AN268" s="139" t="s">
        <v>633</v>
      </c>
      <c r="AO268" s="139" t="s">
        <v>583</v>
      </c>
      <c r="AP268" s="139" t="s">
        <v>583</v>
      </c>
      <c r="AQ268" s="139" t="s">
        <v>621</v>
      </c>
      <c r="AR268" s="139" t="s">
        <v>430</v>
      </c>
      <c r="AS268" s="139" t="s">
        <v>430</v>
      </c>
      <c r="AT268" s="139" t="s">
        <v>593</v>
      </c>
      <c r="AU268" s="139" t="s">
        <v>437</v>
      </c>
      <c r="AV268" s="140">
        <v>0</v>
      </c>
      <c r="AW268" s="139" t="s">
        <v>594</v>
      </c>
      <c r="AX268" s="139" t="s">
        <v>622</v>
      </c>
      <c r="AY268" s="139" t="s">
        <v>623</v>
      </c>
      <c r="AZ268" s="140">
        <v>1</v>
      </c>
      <c r="BA268" s="139" t="s">
        <v>597</v>
      </c>
      <c r="BB268" s="140">
        <v>126900</v>
      </c>
      <c r="BC268" s="140">
        <v>10097636</v>
      </c>
      <c r="BD268" s="140">
        <v>135160.10999999999</v>
      </c>
      <c r="BE268" s="140">
        <v>79.571600000000004</v>
      </c>
      <c r="BF268" s="139" t="s">
        <v>880</v>
      </c>
      <c r="BG268" s="139" t="s">
        <v>582</v>
      </c>
      <c r="BH268" s="139" t="s">
        <v>931</v>
      </c>
      <c r="BI268" s="139" t="s">
        <v>598</v>
      </c>
      <c r="BJ268" s="139" t="s">
        <v>624</v>
      </c>
      <c r="BK268" s="139" t="s">
        <v>882</v>
      </c>
      <c r="BL268" s="139" t="s">
        <v>583</v>
      </c>
      <c r="BM268" s="139" t="s">
        <v>883</v>
      </c>
      <c r="BN268" s="139" t="s">
        <v>583</v>
      </c>
      <c r="BO268" s="139" t="s">
        <v>623</v>
      </c>
      <c r="BP268" s="139" t="s">
        <v>1692</v>
      </c>
      <c r="BQ268" s="139" t="s">
        <v>625</v>
      </c>
      <c r="BR268" s="140">
        <v>1</v>
      </c>
      <c r="BS268" s="139" t="s">
        <v>634</v>
      </c>
      <c r="BT268" s="99">
        <f t="shared" ref="BT268:BU287" si="17">MIN(1,IFERROR(SEARCH(BT$2,$BS268),0))</f>
        <v>0</v>
      </c>
      <c r="BU268" s="99">
        <f t="shared" si="17"/>
        <v>1</v>
      </c>
      <c r="BV268" s="99">
        <f t="shared" si="16"/>
        <v>1</v>
      </c>
      <c r="BW268" s="139" t="s">
        <v>635</v>
      </c>
      <c r="BX268" s="139" t="s">
        <v>441</v>
      </c>
      <c r="BY268" s="140">
        <v>423</v>
      </c>
      <c r="BZ268" s="140">
        <v>0</v>
      </c>
      <c r="CA268" s="99">
        <v>84600</v>
      </c>
      <c r="CB268" s="140" t="s">
        <v>603</v>
      </c>
      <c r="CC268" s="140">
        <v>0</v>
      </c>
      <c r="CD268" s="140"/>
      <c r="CE268" s="139" t="s">
        <v>577</v>
      </c>
      <c r="CF268" s="139" t="s">
        <v>604</v>
      </c>
      <c r="CG268" s="139" t="s">
        <v>583</v>
      </c>
      <c r="CH268" s="139" t="s">
        <v>583</v>
      </c>
      <c r="CI268" s="139" t="s">
        <v>621</v>
      </c>
      <c r="CJ268" s="140">
        <v>8768</v>
      </c>
      <c r="CK268" s="140" t="s">
        <v>605</v>
      </c>
      <c r="CL268" s="140">
        <v>4000000</v>
      </c>
      <c r="CM268" s="99">
        <v>7614</v>
      </c>
      <c r="CN268" s="140">
        <v>0</v>
      </c>
      <c r="CO268" s="139" t="s">
        <v>583</v>
      </c>
      <c r="CP268" s="139" t="s">
        <v>583</v>
      </c>
      <c r="CQ268" s="140">
        <v>126900</v>
      </c>
      <c r="CR268" s="140">
        <v>10097636</v>
      </c>
      <c r="CS268" s="140">
        <v>0</v>
      </c>
      <c r="CT268" s="140">
        <v>1</v>
      </c>
      <c r="CU268" s="140">
        <v>10097636.039999999</v>
      </c>
      <c r="CV268" s="99">
        <v>135160.10999999999</v>
      </c>
      <c r="CW268" s="139" t="s">
        <v>606</v>
      </c>
      <c r="CX268" s="140">
        <v>17.7515</v>
      </c>
      <c r="CY268" s="140"/>
      <c r="CZ268" s="140"/>
      <c r="DA268" s="140" t="s">
        <v>933</v>
      </c>
      <c r="DB268" s="140">
        <v>891</v>
      </c>
      <c r="DC268" s="140"/>
    </row>
    <row r="269" spans="2:107" ht="11.25" customHeight="1" x14ac:dyDescent="0.15">
      <c r="B269" s="139" t="s">
        <v>577</v>
      </c>
      <c r="C269" s="140" t="s">
        <v>1916</v>
      </c>
      <c r="D269" s="140">
        <v>2</v>
      </c>
      <c r="E269" s="139" t="s">
        <v>1924</v>
      </c>
      <c r="F269" s="139" t="s">
        <v>580</v>
      </c>
      <c r="G269" s="140" t="s">
        <v>1916</v>
      </c>
      <c r="H269" s="139" t="s">
        <v>1925</v>
      </c>
      <c r="I269" s="140" t="s">
        <v>421</v>
      </c>
      <c r="J269" s="139" t="s">
        <v>582</v>
      </c>
      <c r="K269" s="139" t="s">
        <v>583</v>
      </c>
      <c r="L269" s="139" t="s">
        <v>583</v>
      </c>
      <c r="M269" s="139" t="s">
        <v>583</v>
      </c>
      <c r="N269" s="139" t="s">
        <v>731</v>
      </c>
      <c r="O269" s="139" t="s">
        <v>1099</v>
      </c>
      <c r="P269" s="139" t="s">
        <v>583</v>
      </c>
      <c r="Q269" s="139" t="s">
        <v>583</v>
      </c>
      <c r="R269" s="140">
        <v>1</v>
      </c>
      <c r="S269" s="140">
        <v>0</v>
      </c>
      <c r="T269" s="140">
        <v>1</v>
      </c>
      <c r="U269" s="140">
        <v>582</v>
      </c>
      <c r="V269" s="139" t="s">
        <v>586</v>
      </c>
      <c r="W269" s="139" t="s">
        <v>587</v>
      </c>
      <c r="X269" s="139" t="s">
        <v>588</v>
      </c>
      <c r="Y269" s="139" t="s">
        <v>589</v>
      </c>
      <c r="Z269" s="139" t="s">
        <v>590</v>
      </c>
      <c r="AA269" s="139" t="s">
        <v>591</v>
      </c>
      <c r="AB269" s="139" t="s">
        <v>586</v>
      </c>
      <c r="AC269" s="139" t="s">
        <v>587</v>
      </c>
      <c r="AD269" s="139" t="s">
        <v>588</v>
      </c>
      <c r="AE269" s="139" t="s">
        <v>589</v>
      </c>
      <c r="AF269" s="139" t="s">
        <v>590</v>
      </c>
      <c r="AG269" s="139" t="s">
        <v>591</v>
      </c>
      <c r="AH269" s="139" t="s">
        <v>733</v>
      </c>
      <c r="AI269" s="139" t="s">
        <v>432</v>
      </c>
      <c r="AJ269" s="140">
        <v>17134948.34</v>
      </c>
      <c r="AK269" s="139" t="s">
        <v>586</v>
      </c>
      <c r="AL269" s="139" t="s">
        <v>587</v>
      </c>
      <c r="AM269" s="139" t="s">
        <v>588</v>
      </c>
      <c r="AN269" s="139" t="s">
        <v>589</v>
      </c>
      <c r="AO269" s="139" t="s">
        <v>590</v>
      </c>
      <c r="AP269" s="139" t="s">
        <v>591</v>
      </c>
      <c r="AQ269" s="139" t="s">
        <v>733</v>
      </c>
      <c r="AR269" s="139" t="s">
        <v>432</v>
      </c>
      <c r="AS269" s="139" t="s">
        <v>432</v>
      </c>
      <c r="AT269" s="139" t="s">
        <v>593</v>
      </c>
      <c r="AU269" s="139" t="s">
        <v>437</v>
      </c>
      <c r="AV269" s="140">
        <v>2</v>
      </c>
      <c r="AW269" s="139" t="s">
        <v>594</v>
      </c>
      <c r="AX269" s="139" t="s">
        <v>653</v>
      </c>
      <c r="AY269" s="139" t="s">
        <v>850</v>
      </c>
      <c r="AZ269" s="140">
        <v>1</v>
      </c>
      <c r="BA269" s="139" t="s">
        <v>597</v>
      </c>
      <c r="BB269" s="140">
        <v>215340</v>
      </c>
      <c r="BC269" s="140">
        <v>17134948</v>
      </c>
      <c r="BD269" s="140">
        <v>229356.79999999999</v>
      </c>
      <c r="BE269" s="140">
        <v>79.571600000000004</v>
      </c>
      <c r="BF269" s="139" t="s">
        <v>880</v>
      </c>
      <c r="BG269" s="139" t="s">
        <v>583</v>
      </c>
      <c r="BH269" s="139" t="s">
        <v>987</v>
      </c>
      <c r="BI269" s="139" t="s">
        <v>598</v>
      </c>
      <c r="BJ269" s="139" t="s">
        <v>1100</v>
      </c>
      <c r="BK269" s="139" t="s">
        <v>1101</v>
      </c>
      <c r="BL269" s="139" t="s">
        <v>1101</v>
      </c>
      <c r="BM269" s="139" t="s">
        <v>583</v>
      </c>
      <c r="BN269" s="139" t="s">
        <v>1102</v>
      </c>
      <c r="BO269" s="139" t="s">
        <v>1103</v>
      </c>
      <c r="BP269" s="139" t="s">
        <v>1686</v>
      </c>
      <c r="BQ269" s="139" t="s">
        <v>600</v>
      </c>
      <c r="BR269" s="140">
        <v>1</v>
      </c>
      <c r="BS269" s="139" t="s">
        <v>1926</v>
      </c>
      <c r="BT269" s="99">
        <f t="shared" si="17"/>
        <v>0</v>
      </c>
      <c r="BU269" s="99">
        <f t="shared" si="17"/>
        <v>1</v>
      </c>
      <c r="BV269" s="99">
        <f t="shared" si="16"/>
        <v>1</v>
      </c>
      <c r="BW269" s="139" t="s">
        <v>602</v>
      </c>
      <c r="BX269" s="139" t="s">
        <v>731</v>
      </c>
      <c r="BY269" s="140">
        <v>582</v>
      </c>
      <c r="BZ269" s="140">
        <v>0</v>
      </c>
      <c r="CA269" s="99">
        <v>116400</v>
      </c>
      <c r="CB269" s="140" t="s">
        <v>603</v>
      </c>
      <c r="CC269" s="140">
        <v>0</v>
      </c>
      <c r="CD269" s="140"/>
      <c r="CE269" s="139" t="s">
        <v>577</v>
      </c>
      <c r="CF269" s="139" t="s">
        <v>604</v>
      </c>
      <c r="CG269" s="139" t="s">
        <v>583</v>
      </c>
      <c r="CH269" s="139" t="s">
        <v>583</v>
      </c>
      <c r="CI269" s="139" t="s">
        <v>733</v>
      </c>
      <c r="CJ269" s="140">
        <v>12804</v>
      </c>
      <c r="CK269" s="140" t="s">
        <v>605</v>
      </c>
      <c r="CL269" s="140">
        <v>4000000</v>
      </c>
      <c r="CM269" s="99">
        <v>11640</v>
      </c>
      <c r="CN269" s="140">
        <v>0</v>
      </c>
      <c r="CO269" s="139" t="s">
        <v>583</v>
      </c>
      <c r="CP269" s="139" t="s">
        <v>583</v>
      </c>
      <c r="CQ269" s="140">
        <v>215340</v>
      </c>
      <c r="CR269" s="140">
        <v>17134948</v>
      </c>
      <c r="CS269" s="140">
        <v>0</v>
      </c>
      <c r="CT269" s="140">
        <v>1</v>
      </c>
      <c r="CU269" s="140">
        <v>17134948.34</v>
      </c>
      <c r="CV269" s="99">
        <v>229356.79999999999</v>
      </c>
      <c r="CW269" s="139" t="s">
        <v>606</v>
      </c>
      <c r="CX269" s="140">
        <v>19.7042</v>
      </c>
      <c r="CY269" s="140"/>
      <c r="CZ269" s="140"/>
      <c r="DA269" s="140" t="s">
        <v>856</v>
      </c>
      <c r="DB269" s="140">
        <v>1060</v>
      </c>
      <c r="DC269" s="140"/>
    </row>
    <row r="270" spans="2:107" ht="11.25" customHeight="1" x14ac:dyDescent="0.15">
      <c r="B270" s="139" t="s">
        <v>577</v>
      </c>
      <c r="C270" s="140" t="s">
        <v>1927</v>
      </c>
      <c r="D270" s="140">
        <v>2</v>
      </c>
      <c r="E270" s="139" t="s">
        <v>1928</v>
      </c>
      <c r="F270" s="139" t="s">
        <v>729</v>
      </c>
      <c r="G270" s="140" t="s">
        <v>1927</v>
      </c>
      <c r="H270" s="139" t="s">
        <v>1929</v>
      </c>
      <c r="I270" s="140" t="s">
        <v>421</v>
      </c>
      <c r="J270" s="139" t="s">
        <v>582</v>
      </c>
      <c r="K270" s="139" t="s">
        <v>583</v>
      </c>
      <c r="L270" s="139" t="s">
        <v>583</v>
      </c>
      <c r="M270" s="139" t="s">
        <v>583</v>
      </c>
      <c r="N270" s="139" t="s">
        <v>731</v>
      </c>
      <c r="O270" s="139" t="s">
        <v>1876</v>
      </c>
      <c r="P270" s="139" t="s">
        <v>583</v>
      </c>
      <c r="Q270" s="139" t="s">
        <v>583</v>
      </c>
      <c r="R270" s="140">
        <v>1</v>
      </c>
      <c r="S270" s="140">
        <v>0</v>
      </c>
      <c r="T270" s="140">
        <v>1</v>
      </c>
      <c r="U270" s="140">
        <v>766</v>
      </c>
      <c r="V270" s="139" t="s">
        <v>691</v>
      </c>
      <c r="W270" s="139" t="s">
        <v>692</v>
      </c>
      <c r="X270" s="139" t="s">
        <v>693</v>
      </c>
      <c r="Y270" s="139" t="s">
        <v>694</v>
      </c>
      <c r="Z270" s="139" t="s">
        <v>695</v>
      </c>
      <c r="AA270" s="139" t="s">
        <v>696</v>
      </c>
      <c r="AB270" s="139" t="s">
        <v>691</v>
      </c>
      <c r="AC270" s="139" t="s">
        <v>692</v>
      </c>
      <c r="AD270" s="139" t="s">
        <v>693</v>
      </c>
      <c r="AE270" s="139" t="s">
        <v>694</v>
      </c>
      <c r="AF270" s="139" t="s">
        <v>695</v>
      </c>
      <c r="AG270" s="139" t="s">
        <v>696</v>
      </c>
      <c r="AH270" s="139" t="s">
        <v>733</v>
      </c>
      <c r="AI270" s="139" t="s">
        <v>432</v>
      </c>
      <c r="AJ270" s="140">
        <v>21585602.600000001</v>
      </c>
      <c r="AK270" s="139" t="s">
        <v>691</v>
      </c>
      <c r="AL270" s="139" t="s">
        <v>692</v>
      </c>
      <c r="AM270" s="139" t="s">
        <v>693</v>
      </c>
      <c r="AN270" s="139" t="s">
        <v>694</v>
      </c>
      <c r="AO270" s="139" t="s">
        <v>695</v>
      </c>
      <c r="AP270" s="139" t="s">
        <v>696</v>
      </c>
      <c r="AQ270" s="139" t="s">
        <v>733</v>
      </c>
      <c r="AR270" s="139" t="s">
        <v>432</v>
      </c>
      <c r="AS270" s="139" t="s">
        <v>432</v>
      </c>
      <c r="AT270" s="139" t="s">
        <v>593</v>
      </c>
      <c r="AU270" s="139" t="s">
        <v>437</v>
      </c>
      <c r="AV270" s="140">
        <v>2</v>
      </c>
      <c r="AW270" s="139" t="s">
        <v>594</v>
      </c>
      <c r="AX270" s="139" t="s">
        <v>653</v>
      </c>
      <c r="AY270" s="139" t="s">
        <v>1930</v>
      </c>
      <c r="AZ270" s="140">
        <v>1</v>
      </c>
      <c r="BA270" s="139" t="s">
        <v>597</v>
      </c>
      <c r="BB270" s="140">
        <v>270636</v>
      </c>
      <c r="BC270" s="140">
        <v>21585603</v>
      </c>
      <c r="BD270" s="140">
        <v>288347.82</v>
      </c>
      <c r="BE270" s="140">
        <v>79.758799999999994</v>
      </c>
      <c r="BF270" s="139" t="s">
        <v>880</v>
      </c>
      <c r="BG270" s="139" t="s">
        <v>735</v>
      </c>
      <c r="BH270" s="139" t="s">
        <v>736</v>
      </c>
      <c r="BI270" s="139" t="s">
        <v>598</v>
      </c>
      <c r="BJ270" s="139" t="s">
        <v>599</v>
      </c>
      <c r="BK270" s="139" t="s">
        <v>583</v>
      </c>
      <c r="BL270" s="139" t="s">
        <v>1475</v>
      </c>
      <c r="BM270" s="139" t="s">
        <v>583</v>
      </c>
      <c r="BN270" s="139" t="s">
        <v>738</v>
      </c>
      <c r="BO270" s="139" t="s">
        <v>1919</v>
      </c>
      <c r="BP270" s="139" t="s">
        <v>1920</v>
      </c>
      <c r="BQ270" s="139" t="s">
        <v>1921</v>
      </c>
      <c r="BR270" s="140">
        <v>1</v>
      </c>
      <c r="BS270" s="139" t="s">
        <v>742</v>
      </c>
      <c r="BT270" s="99">
        <f t="shared" si="17"/>
        <v>0</v>
      </c>
      <c r="BU270" s="99">
        <f t="shared" si="17"/>
        <v>0</v>
      </c>
      <c r="BV270" s="99">
        <f t="shared" si="16"/>
        <v>0</v>
      </c>
      <c r="BW270" s="139" t="s">
        <v>743</v>
      </c>
      <c r="BX270" s="139" t="s">
        <v>731</v>
      </c>
      <c r="BY270" s="140">
        <v>766</v>
      </c>
      <c r="BZ270" s="140">
        <v>0</v>
      </c>
      <c r="CA270" s="99">
        <v>153200</v>
      </c>
      <c r="CB270" s="140" t="s">
        <v>603</v>
      </c>
      <c r="CC270" s="140">
        <v>0</v>
      </c>
      <c r="CD270" s="140"/>
      <c r="CE270" s="139" t="s">
        <v>577</v>
      </c>
      <c r="CF270" s="139" t="s">
        <v>604</v>
      </c>
      <c r="CG270" s="139" t="s">
        <v>583</v>
      </c>
      <c r="CH270" s="139" t="s">
        <v>583</v>
      </c>
      <c r="CI270" s="139" t="s">
        <v>733</v>
      </c>
      <c r="CJ270" s="140">
        <v>16852</v>
      </c>
      <c r="CK270" s="140" t="s">
        <v>605</v>
      </c>
      <c r="CL270" s="140">
        <v>4000000</v>
      </c>
      <c r="CM270" s="99">
        <v>15320</v>
      </c>
      <c r="CN270" s="140">
        <v>0</v>
      </c>
      <c r="CO270" s="139" t="s">
        <v>583</v>
      </c>
      <c r="CP270" s="139" t="s">
        <v>583</v>
      </c>
      <c r="CQ270" s="140">
        <v>270636</v>
      </c>
      <c r="CR270" s="140">
        <v>21585603</v>
      </c>
      <c r="CS270" s="140">
        <v>0</v>
      </c>
      <c r="CT270" s="140">
        <v>1</v>
      </c>
      <c r="CU270" s="140">
        <v>21585602.600000001</v>
      </c>
      <c r="CV270" s="99">
        <v>288347.82</v>
      </c>
      <c r="CW270" s="139" t="s">
        <v>606</v>
      </c>
      <c r="CX270" s="140">
        <v>18.8217</v>
      </c>
      <c r="CY270" s="140">
        <v>933</v>
      </c>
      <c r="CZ270" s="140" t="s">
        <v>894</v>
      </c>
      <c r="DA270" s="140" t="s">
        <v>1480</v>
      </c>
      <c r="DB270" s="140">
        <v>93</v>
      </c>
      <c r="DC270" s="140"/>
    </row>
    <row r="271" spans="2:107" ht="11.25" customHeight="1" x14ac:dyDescent="0.15">
      <c r="B271" s="139" t="s">
        <v>577</v>
      </c>
      <c r="C271" s="140" t="s">
        <v>1927</v>
      </c>
      <c r="D271" s="140">
        <v>2</v>
      </c>
      <c r="E271" s="139" t="s">
        <v>1931</v>
      </c>
      <c r="F271" s="139" t="s">
        <v>618</v>
      </c>
      <c r="G271" s="140" t="s">
        <v>1927</v>
      </c>
      <c r="H271" s="139" t="s">
        <v>1932</v>
      </c>
      <c r="I271" s="140" t="s">
        <v>421</v>
      </c>
      <c r="J271" s="139" t="s">
        <v>582</v>
      </c>
      <c r="K271" s="139" t="s">
        <v>583</v>
      </c>
      <c r="L271" s="139" t="s">
        <v>583</v>
      </c>
      <c r="M271" s="139" t="s">
        <v>583</v>
      </c>
      <c r="N271" s="139" t="s">
        <v>441</v>
      </c>
      <c r="O271" s="139" t="s">
        <v>1160</v>
      </c>
      <c r="P271" s="139" t="s">
        <v>583</v>
      </c>
      <c r="Q271" s="139" t="s">
        <v>583</v>
      </c>
      <c r="R271" s="140">
        <v>1</v>
      </c>
      <c r="S271" s="140">
        <v>0</v>
      </c>
      <c r="T271" s="140">
        <v>1</v>
      </c>
      <c r="U271" s="140">
        <v>734</v>
      </c>
      <c r="V271" s="139" t="s">
        <v>586</v>
      </c>
      <c r="W271" s="139" t="s">
        <v>587</v>
      </c>
      <c r="X271" s="139" t="s">
        <v>588</v>
      </c>
      <c r="Y271" s="139" t="s">
        <v>589</v>
      </c>
      <c r="Z271" s="139" t="s">
        <v>590</v>
      </c>
      <c r="AA271" s="139" t="s">
        <v>591</v>
      </c>
      <c r="AB271" s="139" t="s">
        <v>586</v>
      </c>
      <c r="AC271" s="139" t="s">
        <v>587</v>
      </c>
      <c r="AD271" s="139" t="s">
        <v>588</v>
      </c>
      <c r="AE271" s="139" t="s">
        <v>589</v>
      </c>
      <c r="AF271" s="139" t="s">
        <v>590</v>
      </c>
      <c r="AG271" s="139" t="s">
        <v>591</v>
      </c>
      <c r="AH271" s="139" t="s">
        <v>621</v>
      </c>
      <c r="AI271" s="139" t="s">
        <v>430</v>
      </c>
      <c r="AJ271" s="140">
        <v>16274942.66</v>
      </c>
      <c r="AK271" s="139" t="s">
        <v>586</v>
      </c>
      <c r="AL271" s="139" t="s">
        <v>587</v>
      </c>
      <c r="AM271" s="139" t="s">
        <v>588</v>
      </c>
      <c r="AN271" s="139" t="s">
        <v>589</v>
      </c>
      <c r="AO271" s="139" t="s">
        <v>590</v>
      </c>
      <c r="AP271" s="139" t="s">
        <v>591</v>
      </c>
      <c r="AQ271" s="139" t="s">
        <v>621</v>
      </c>
      <c r="AR271" s="139" t="s">
        <v>430</v>
      </c>
      <c r="AS271" s="139" t="s">
        <v>430</v>
      </c>
      <c r="AT271" s="139" t="s">
        <v>593</v>
      </c>
      <c r="AU271" s="139" t="s">
        <v>437</v>
      </c>
      <c r="AV271" s="140">
        <v>0</v>
      </c>
      <c r="AW271" s="139" t="s">
        <v>594</v>
      </c>
      <c r="AX271" s="139" t="s">
        <v>622</v>
      </c>
      <c r="AY271" s="139" t="s">
        <v>623</v>
      </c>
      <c r="AZ271" s="140">
        <v>1</v>
      </c>
      <c r="BA271" s="139" t="s">
        <v>597</v>
      </c>
      <c r="BB271" s="140">
        <v>204052</v>
      </c>
      <c r="BC271" s="140">
        <v>16274943</v>
      </c>
      <c r="BD271" s="140">
        <v>217406.22</v>
      </c>
      <c r="BE271" s="140">
        <v>79.758799999999994</v>
      </c>
      <c r="BF271" s="139" t="s">
        <v>880</v>
      </c>
      <c r="BG271" s="139" t="s">
        <v>582</v>
      </c>
      <c r="BH271" s="139" t="s">
        <v>1161</v>
      </c>
      <c r="BI271" s="139" t="s">
        <v>598</v>
      </c>
      <c r="BJ271" s="139" t="s">
        <v>624</v>
      </c>
      <c r="BK271" s="139" t="s">
        <v>882</v>
      </c>
      <c r="BL271" s="139" t="s">
        <v>583</v>
      </c>
      <c r="BM271" s="139" t="s">
        <v>883</v>
      </c>
      <c r="BN271" s="139" t="s">
        <v>971</v>
      </c>
      <c r="BO271" s="139" t="s">
        <v>972</v>
      </c>
      <c r="BP271" s="139" t="s">
        <v>1933</v>
      </c>
      <c r="BQ271" s="139" t="s">
        <v>625</v>
      </c>
      <c r="BR271" s="140">
        <v>1</v>
      </c>
      <c r="BS271" s="139" t="s">
        <v>1752</v>
      </c>
      <c r="BT271" s="99">
        <f t="shared" si="17"/>
        <v>0</v>
      </c>
      <c r="BU271" s="99">
        <f t="shared" si="17"/>
        <v>1</v>
      </c>
      <c r="BV271" s="99">
        <f t="shared" si="16"/>
        <v>1</v>
      </c>
      <c r="BW271" s="139" t="s">
        <v>602</v>
      </c>
      <c r="BX271" s="139" t="s">
        <v>441</v>
      </c>
      <c r="BY271" s="140">
        <v>734</v>
      </c>
      <c r="BZ271" s="140">
        <v>0</v>
      </c>
      <c r="CA271" s="99">
        <v>146800</v>
      </c>
      <c r="CB271" s="140" t="s">
        <v>603</v>
      </c>
      <c r="CC271" s="140">
        <v>0</v>
      </c>
      <c r="CD271" s="140"/>
      <c r="CE271" s="139" t="s">
        <v>577</v>
      </c>
      <c r="CF271" s="139" t="s">
        <v>604</v>
      </c>
      <c r="CG271" s="139" t="s">
        <v>583</v>
      </c>
      <c r="CH271" s="139" t="s">
        <v>583</v>
      </c>
      <c r="CI271" s="139" t="s">
        <v>621</v>
      </c>
      <c r="CJ271" s="140">
        <v>14984</v>
      </c>
      <c r="CK271" s="140" t="s">
        <v>605</v>
      </c>
      <c r="CL271" s="140">
        <v>4000000</v>
      </c>
      <c r="CM271" s="99">
        <v>13212</v>
      </c>
      <c r="CN271" s="140">
        <v>0</v>
      </c>
      <c r="CO271" s="139" t="s">
        <v>583</v>
      </c>
      <c r="CP271" s="139" t="s">
        <v>583</v>
      </c>
      <c r="CQ271" s="140">
        <v>204052</v>
      </c>
      <c r="CR271" s="140">
        <v>16274943</v>
      </c>
      <c r="CS271" s="140">
        <v>0</v>
      </c>
      <c r="CT271" s="140">
        <v>1</v>
      </c>
      <c r="CU271" s="140">
        <v>16274942.66</v>
      </c>
      <c r="CV271" s="99">
        <v>217406.22</v>
      </c>
      <c r="CW271" s="139" t="s">
        <v>606</v>
      </c>
      <c r="CX271" s="140">
        <v>16.455200000000001</v>
      </c>
      <c r="CY271" s="140"/>
      <c r="CZ271" s="140"/>
      <c r="DA271" s="140" t="s">
        <v>856</v>
      </c>
      <c r="DB271" s="140">
        <v>1108</v>
      </c>
      <c r="DC271" s="140"/>
    </row>
    <row r="272" spans="2:107" ht="11.25" customHeight="1" x14ac:dyDescent="0.15">
      <c r="B272" s="139" t="s">
        <v>577</v>
      </c>
      <c r="C272" s="140" t="s">
        <v>1934</v>
      </c>
      <c r="D272" s="140">
        <v>2</v>
      </c>
      <c r="E272" s="139" t="s">
        <v>1935</v>
      </c>
      <c r="F272" s="139" t="s">
        <v>618</v>
      </c>
      <c r="G272" s="140" t="s">
        <v>1934</v>
      </c>
      <c r="H272" s="139" t="s">
        <v>1936</v>
      </c>
      <c r="I272" s="140" t="s">
        <v>421</v>
      </c>
      <c r="J272" s="139" t="s">
        <v>582</v>
      </c>
      <c r="K272" s="139" t="s">
        <v>583</v>
      </c>
      <c r="L272" s="139" t="s">
        <v>583</v>
      </c>
      <c r="M272" s="139" t="s">
        <v>583</v>
      </c>
      <c r="N272" s="139" t="s">
        <v>441</v>
      </c>
      <c r="O272" s="139" t="s">
        <v>630</v>
      </c>
      <c r="P272" s="139" t="s">
        <v>583</v>
      </c>
      <c r="Q272" s="139" t="s">
        <v>583</v>
      </c>
      <c r="R272" s="140">
        <v>1</v>
      </c>
      <c r="S272" s="140">
        <v>0</v>
      </c>
      <c r="T272" s="140">
        <v>1</v>
      </c>
      <c r="U272" s="140">
        <v>150</v>
      </c>
      <c r="V272" s="139" t="s">
        <v>679</v>
      </c>
      <c r="W272" s="139" t="s">
        <v>680</v>
      </c>
      <c r="X272" s="139" t="s">
        <v>681</v>
      </c>
      <c r="Y272" s="139" t="s">
        <v>682</v>
      </c>
      <c r="Z272" s="139" t="s">
        <v>683</v>
      </c>
      <c r="AA272" s="139" t="s">
        <v>684</v>
      </c>
      <c r="AB272" s="139" t="s">
        <v>679</v>
      </c>
      <c r="AC272" s="139" t="s">
        <v>680</v>
      </c>
      <c r="AD272" s="139" t="s">
        <v>681</v>
      </c>
      <c r="AE272" s="139" t="s">
        <v>682</v>
      </c>
      <c r="AF272" s="139" t="s">
        <v>683</v>
      </c>
      <c r="AG272" s="139" t="s">
        <v>684</v>
      </c>
      <c r="AH272" s="139" t="s">
        <v>621</v>
      </c>
      <c r="AI272" s="139" t="s">
        <v>430</v>
      </c>
      <c r="AJ272" s="140">
        <v>3582468</v>
      </c>
      <c r="AK272" s="139" t="s">
        <v>679</v>
      </c>
      <c r="AL272" s="139" t="s">
        <v>680</v>
      </c>
      <c r="AM272" s="139" t="s">
        <v>681</v>
      </c>
      <c r="AN272" s="139" t="s">
        <v>682</v>
      </c>
      <c r="AO272" s="139" t="s">
        <v>683</v>
      </c>
      <c r="AP272" s="139" t="s">
        <v>684</v>
      </c>
      <c r="AQ272" s="139" t="s">
        <v>621</v>
      </c>
      <c r="AR272" s="139" t="s">
        <v>430</v>
      </c>
      <c r="AS272" s="139" t="s">
        <v>430</v>
      </c>
      <c r="AT272" s="139" t="s">
        <v>593</v>
      </c>
      <c r="AU272" s="139" t="s">
        <v>437</v>
      </c>
      <c r="AV272" s="140">
        <v>0</v>
      </c>
      <c r="AW272" s="139" t="s">
        <v>594</v>
      </c>
      <c r="AX272" s="139" t="s">
        <v>622</v>
      </c>
      <c r="AY272" s="139" t="s">
        <v>623</v>
      </c>
      <c r="AZ272" s="140">
        <v>1</v>
      </c>
      <c r="BA272" s="139" t="s">
        <v>597</v>
      </c>
      <c r="BB272" s="140">
        <v>45000</v>
      </c>
      <c r="BC272" s="140">
        <v>3582468</v>
      </c>
      <c r="BD272" s="140">
        <v>47920.35</v>
      </c>
      <c r="BE272" s="140">
        <v>79.610399999999998</v>
      </c>
      <c r="BF272" s="139" t="s">
        <v>880</v>
      </c>
      <c r="BG272" s="139" t="s">
        <v>582</v>
      </c>
      <c r="BH272" s="139" t="s">
        <v>900</v>
      </c>
      <c r="BI272" s="139" t="s">
        <v>598</v>
      </c>
      <c r="BJ272" s="139" t="s">
        <v>624</v>
      </c>
      <c r="BK272" s="139" t="s">
        <v>882</v>
      </c>
      <c r="BL272" s="139" t="s">
        <v>583</v>
      </c>
      <c r="BM272" s="139" t="s">
        <v>883</v>
      </c>
      <c r="BN272" s="139" t="s">
        <v>583</v>
      </c>
      <c r="BO272" s="139" t="s">
        <v>623</v>
      </c>
      <c r="BP272" s="139" t="s">
        <v>1692</v>
      </c>
      <c r="BQ272" s="139" t="s">
        <v>625</v>
      </c>
      <c r="BR272" s="140">
        <v>1</v>
      </c>
      <c r="BS272" s="139" t="s">
        <v>685</v>
      </c>
      <c r="BT272" s="99">
        <f t="shared" si="17"/>
        <v>0</v>
      </c>
      <c r="BU272" s="99">
        <f t="shared" si="17"/>
        <v>1</v>
      </c>
      <c r="BV272" s="99">
        <f t="shared" si="16"/>
        <v>1</v>
      </c>
      <c r="BW272" s="139" t="s">
        <v>635</v>
      </c>
      <c r="BX272" s="139" t="s">
        <v>441</v>
      </c>
      <c r="BY272" s="140">
        <v>150</v>
      </c>
      <c r="BZ272" s="140">
        <v>0</v>
      </c>
      <c r="CA272" s="99">
        <v>30000</v>
      </c>
      <c r="CB272" s="140" t="s">
        <v>603</v>
      </c>
      <c r="CC272" s="140">
        <v>0</v>
      </c>
      <c r="CD272" s="140"/>
      <c r="CE272" s="139" t="s">
        <v>577</v>
      </c>
      <c r="CF272" s="139" t="s">
        <v>604</v>
      </c>
      <c r="CG272" s="139" t="s">
        <v>583</v>
      </c>
      <c r="CH272" s="139" t="s">
        <v>583</v>
      </c>
      <c r="CI272" s="139" t="s">
        <v>621</v>
      </c>
      <c r="CJ272" s="140">
        <v>3000</v>
      </c>
      <c r="CK272" s="140" t="s">
        <v>605</v>
      </c>
      <c r="CL272" s="140">
        <v>4000000</v>
      </c>
      <c r="CM272" s="99">
        <v>2700</v>
      </c>
      <c r="CN272" s="140">
        <v>0</v>
      </c>
      <c r="CO272" s="139" t="s">
        <v>583</v>
      </c>
      <c r="CP272" s="139" t="s">
        <v>583</v>
      </c>
      <c r="CQ272" s="140">
        <v>45000</v>
      </c>
      <c r="CR272" s="140">
        <v>3582468</v>
      </c>
      <c r="CS272" s="140">
        <v>0</v>
      </c>
      <c r="CT272" s="140">
        <v>1</v>
      </c>
      <c r="CU272" s="140">
        <v>3582468</v>
      </c>
      <c r="CV272" s="99">
        <v>47920.35</v>
      </c>
      <c r="CW272" s="139" t="s">
        <v>606</v>
      </c>
      <c r="CX272" s="140">
        <v>17.7483</v>
      </c>
      <c r="CY272" s="140"/>
      <c r="CZ272" s="140"/>
      <c r="DA272" s="140" t="s">
        <v>902</v>
      </c>
      <c r="DB272" s="140">
        <v>1069</v>
      </c>
      <c r="DC272" s="140"/>
    </row>
    <row r="273" spans="2:107" ht="11.25" customHeight="1" x14ac:dyDescent="0.15">
      <c r="B273" s="139" t="s">
        <v>577</v>
      </c>
      <c r="C273" s="140" t="s">
        <v>1934</v>
      </c>
      <c r="D273" s="140">
        <v>2</v>
      </c>
      <c r="E273" s="139" t="s">
        <v>1937</v>
      </c>
      <c r="F273" s="139" t="s">
        <v>618</v>
      </c>
      <c r="G273" s="140" t="s">
        <v>1934</v>
      </c>
      <c r="H273" s="139" t="s">
        <v>1938</v>
      </c>
      <c r="I273" s="140" t="s">
        <v>421</v>
      </c>
      <c r="J273" s="139" t="s">
        <v>582</v>
      </c>
      <c r="K273" s="139" t="s">
        <v>583</v>
      </c>
      <c r="L273" s="139" t="s">
        <v>583</v>
      </c>
      <c r="M273" s="139" t="s">
        <v>583</v>
      </c>
      <c r="N273" s="139" t="s">
        <v>660</v>
      </c>
      <c r="O273" s="139" t="s">
        <v>708</v>
      </c>
      <c r="P273" s="139" t="s">
        <v>583</v>
      </c>
      <c r="Q273" s="139" t="s">
        <v>583</v>
      </c>
      <c r="R273" s="140">
        <v>1</v>
      </c>
      <c r="S273" s="140">
        <v>0</v>
      </c>
      <c r="T273" s="140">
        <v>1</v>
      </c>
      <c r="U273" s="140">
        <v>141</v>
      </c>
      <c r="V273" s="139" t="s">
        <v>945</v>
      </c>
      <c r="W273" s="139" t="s">
        <v>946</v>
      </c>
      <c r="X273" s="139" t="s">
        <v>947</v>
      </c>
      <c r="Y273" s="139" t="s">
        <v>948</v>
      </c>
      <c r="Z273" s="139" t="s">
        <v>949</v>
      </c>
      <c r="AA273" s="139" t="s">
        <v>950</v>
      </c>
      <c r="AB273" s="139" t="s">
        <v>945</v>
      </c>
      <c r="AC273" s="139" t="s">
        <v>946</v>
      </c>
      <c r="AD273" s="139" t="s">
        <v>947</v>
      </c>
      <c r="AE273" s="139" t="s">
        <v>948</v>
      </c>
      <c r="AF273" s="139" t="s">
        <v>949</v>
      </c>
      <c r="AG273" s="139" t="s">
        <v>950</v>
      </c>
      <c r="AH273" s="139" t="s">
        <v>621</v>
      </c>
      <c r="AI273" s="139" t="s">
        <v>430</v>
      </c>
      <c r="AJ273" s="140">
        <v>3109343.39</v>
      </c>
      <c r="AK273" s="139" t="s">
        <v>945</v>
      </c>
      <c r="AL273" s="139" t="s">
        <v>946</v>
      </c>
      <c r="AM273" s="139" t="s">
        <v>947</v>
      </c>
      <c r="AN273" s="139" t="s">
        <v>948</v>
      </c>
      <c r="AO273" s="139" t="s">
        <v>949</v>
      </c>
      <c r="AP273" s="139" t="s">
        <v>950</v>
      </c>
      <c r="AQ273" s="139" t="s">
        <v>621</v>
      </c>
      <c r="AR273" s="139" t="s">
        <v>430</v>
      </c>
      <c r="AS273" s="139" t="s">
        <v>430</v>
      </c>
      <c r="AT273" s="139" t="s">
        <v>593</v>
      </c>
      <c r="AU273" s="139" t="s">
        <v>437</v>
      </c>
      <c r="AV273" s="140">
        <v>0</v>
      </c>
      <c r="AW273" s="139" t="s">
        <v>594</v>
      </c>
      <c r="AX273" s="139" t="s">
        <v>622</v>
      </c>
      <c r="AY273" s="139" t="s">
        <v>623</v>
      </c>
      <c r="AZ273" s="140">
        <v>1</v>
      </c>
      <c r="BA273" s="139" t="s">
        <v>951</v>
      </c>
      <c r="BB273" s="140">
        <v>55895.09</v>
      </c>
      <c r="BC273" s="140">
        <v>3068624</v>
      </c>
      <c r="BD273" s="140">
        <v>41591.67</v>
      </c>
      <c r="BE273" s="140">
        <v>55.6282</v>
      </c>
      <c r="BF273" s="139" t="s">
        <v>880</v>
      </c>
      <c r="BG273" s="139" t="s">
        <v>582</v>
      </c>
      <c r="BH273" s="139" t="s">
        <v>952</v>
      </c>
      <c r="BI273" s="139" t="s">
        <v>598</v>
      </c>
      <c r="BJ273" s="139" t="s">
        <v>624</v>
      </c>
      <c r="BK273" s="139" t="s">
        <v>882</v>
      </c>
      <c r="BL273" s="139" t="s">
        <v>583</v>
      </c>
      <c r="BM273" s="139" t="s">
        <v>953</v>
      </c>
      <c r="BN273" s="139" t="s">
        <v>583</v>
      </c>
      <c r="BO273" s="139" t="s">
        <v>623</v>
      </c>
      <c r="BP273" s="139" t="s">
        <v>1692</v>
      </c>
      <c r="BQ273" s="139" t="s">
        <v>625</v>
      </c>
      <c r="BR273" s="140">
        <v>1</v>
      </c>
      <c r="BS273" s="139" t="s">
        <v>1939</v>
      </c>
      <c r="BT273" s="99">
        <f t="shared" si="17"/>
        <v>0</v>
      </c>
      <c r="BU273" s="99">
        <f t="shared" si="17"/>
        <v>1</v>
      </c>
      <c r="BV273" s="99">
        <f t="shared" si="16"/>
        <v>1</v>
      </c>
      <c r="BW273" s="139" t="s">
        <v>635</v>
      </c>
      <c r="BX273" s="139" t="s">
        <v>441</v>
      </c>
      <c r="BY273" s="140">
        <v>141</v>
      </c>
      <c r="BZ273" s="140">
        <v>0</v>
      </c>
      <c r="CA273" s="99">
        <v>28200</v>
      </c>
      <c r="CB273" s="140" t="s">
        <v>603</v>
      </c>
      <c r="CC273" s="140">
        <v>0</v>
      </c>
      <c r="CD273" s="140"/>
      <c r="CE273" s="139" t="s">
        <v>577</v>
      </c>
      <c r="CF273" s="139" t="s">
        <v>604</v>
      </c>
      <c r="CG273" s="139" t="s">
        <v>583</v>
      </c>
      <c r="CH273" s="139" t="s">
        <v>583</v>
      </c>
      <c r="CI273" s="139" t="s">
        <v>621</v>
      </c>
      <c r="CJ273" s="140">
        <v>2674</v>
      </c>
      <c r="CK273" s="140" t="s">
        <v>605</v>
      </c>
      <c r="CL273" s="140">
        <v>4000000</v>
      </c>
      <c r="CM273" s="99">
        <v>2532</v>
      </c>
      <c r="CN273" s="140">
        <v>0</v>
      </c>
      <c r="CO273" s="139" t="s">
        <v>583</v>
      </c>
      <c r="CP273" s="139" t="s">
        <v>583</v>
      </c>
      <c r="CQ273" s="140">
        <v>55895.09</v>
      </c>
      <c r="CR273" s="140">
        <v>3068624</v>
      </c>
      <c r="CS273" s="140">
        <v>0</v>
      </c>
      <c r="CT273" s="140">
        <v>1</v>
      </c>
      <c r="CU273" s="140">
        <v>3109343.39</v>
      </c>
      <c r="CV273" s="99">
        <v>41591.67</v>
      </c>
      <c r="CW273" s="139" t="s">
        <v>606</v>
      </c>
      <c r="CX273" s="140">
        <v>16.426400000000001</v>
      </c>
      <c r="CY273" s="140"/>
      <c r="CZ273" s="140"/>
      <c r="DA273" s="140" t="s">
        <v>933</v>
      </c>
      <c r="DB273" s="140">
        <v>1077</v>
      </c>
      <c r="DC273" s="140"/>
    </row>
    <row r="274" spans="2:107" ht="11.25" customHeight="1" x14ac:dyDescent="0.15">
      <c r="B274" s="139" t="s">
        <v>577</v>
      </c>
      <c r="C274" s="140" t="s">
        <v>1934</v>
      </c>
      <c r="D274" s="140">
        <v>2</v>
      </c>
      <c r="E274" s="139" t="s">
        <v>1940</v>
      </c>
      <c r="F274" s="139" t="s">
        <v>580</v>
      </c>
      <c r="G274" s="140" t="s">
        <v>1934</v>
      </c>
      <c r="H274" s="139" t="s">
        <v>1941</v>
      </c>
      <c r="I274" s="140" t="s">
        <v>421</v>
      </c>
      <c r="J274" s="139" t="s">
        <v>582</v>
      </c>
      <c r="K274" s="139" t="s">
        <v>583</v>
      </c>
      <c r="L274" s="139" t="s">
        <v>583</v>
      </c>
      <c r="M274" s="139" t="s">
        <v>583</v>
      </c>
      <c r="N274" s="139" t="s">
        <v>1417</v>
      </c>
      <c r="O274" s="139" t="s">
        <v>1624</v>
      </c>
      <c r="P274" s="139" t="s">
        <v>583</v>
      </c>
      <c r="Q274" s="139" t="s">
        <v>583</v>
      </c>
      <c r="R274" s="140">
        <v>2</v>
      </c>
      <c r="S274" s="140">
        <v>0</v>
      </c>
      <c r="T274" s="140">
        <v>2</v>
      </c>
      <c r="U274" s="140">
        <v>340</v>
      </c>
      <c r="V274" s="139" t="s">
        <v>907</v>
      </c>
      <c r="W274" s="139" t="s">
        <v>908</v>
      </c>
      <c r="X274" s="139" t="s">
        <v>909</v>
      </c>
      <c r="Y274" s="139" t="s">
        <v>910</v>
      </c>
      <c r="Z274" s="139" t="s">
        <v>644</v>
      </c>
      <c r="AA274" s="139" t="s">
        <v>911</v>
      </c>
      <c r="AB274" s="139" t="s">
        <v>907</v>
      </c>
      <c r="AC274" s="139" t="s">
        <v>908</v>
      </c>
      <c r="AD274" s="139" t="s">
        <v>909</v>
      </c>
      <c r="AE274" s="139" t="s">
        <v>910</v>
      </c>
      <c r="AF274" s="139" t="s">
        <v>644</v>
      </c>
      <c r="AG274" s="139" t="s">
        <v>911</v>
      </c>
      <c r="AH274" s="139" t="s">
        <v>1074</v>
      </c>
      <c r="AI274" s="139" t="s">
        <v>435</v>
      </c>
      <c r="AJ274" s="140">
        <v>4917375.1900000004</v>
      </c>
      <c r="AK274" s="139" t="s">
        <v>907</v>
      </c>
      <c r="AL274" s="139" t="s">
        <v>908</v>
      </c>
      <c r="AM274" s="139" t="s">
        <v>909</v>
      </c>
      <c r="AN274" s="139" t="s">
        <v>910</v>
      </c>
      <c r="AO274" s="139" t="s">
        <v>644</v>
      </c>
      <c r="AP274" s="139" t="s">
        <v>911</v>
      </c>
      <c r="AQ274" s="139" t="s">
        <v>1074</v>
      </c>
      <c r="AR274" s="139" t="s">
        <v>435</v>
      </c>
      <c r="AS274" s="139" t="s">
        <v>435</v>
      </c>
      <c r="AT274" s="139" t="s">
        <v>593</v>
      </c>
      <c r="AU274" s="139" t="s">
        <v>437</v>
      </c>
      <c r="AV274" s="140">
        <v>2</v>
      </c>
      <c r="AW274" s="139" t="s">
        <v>594</v>
      </c>
      <c r="AX274" s="139" t="s">
        <v>595</v>
      </c>
      <c r="AY274" s="139" t="s">
        <v>1625</v>
      </c>
      <c r="AZ274" s="140">
        <v>1</v>
      </c>
      <c r="BA274" s="139" t="s">
        <v>597</v>
      </c>
      <c r="BB274" s="140">
        <v>55868</v>
      </c>
      <c r="BC274" s="140">
        <v>4447674</v>
      </c>
      <c r="BD274" s="140">
        <v>65776.539999999994</v>
      </c>
      <c r="BE274" s="140">
        <v>79.610399999999998</v>
      </c>
      <c r="BF274" s="139" t="s">
        <v>880</v>
      </c>
      <c r="BG274" s="139" t="s">
        <v>735</v>
      </c>
      <c r="BH274" s="139" t="s">
        <v>1626</v>
      </c>
      <c r="BI274" s="139" t="s">
        <v>598</v>
      </c>
      <c r="BJ274" s="139" t="s">
        <v>624</v>
      </c>
      <c r="BK274" s="139" t="s">
        <v>1703</v>
      </c>
      <c r="BL274" s="139" t="s">
        <v>583</v>
      </c>
      <c r="BM274" s="139" t="s">
        <v>915</v>
      </c>
      <c r="BN274" s="139" t="s">
        <v>916</v>
      </c>
      <c r="BO274" s="139" t="s">
        <v>917</v>
      </c>
      <c r="BP274" s="139" t="s">
        <v>918</v>
      </c>
      <c r="BQ274" s="139" t="s">
        <v>772</v>
      </c>
      <c r="BR274" s="140">
        <v>2</v>
      </c>
      <c r="BS274" s="139" t="s">
        <v>1247</v>
      </c>
      <c r="BT274" s="99">
        <f t="shared" si="17"/>
        <v>0</v>
      </c>
      <c r="BU274" s="99">
        <f t="shared" si="17"/>
        <v>1</v>
      </c>
      <c r="BV274" s="99">
        <f t="shared" si="16"/>
        <v>1</v>
      </c>
      <c r="BW274" s="139" t="s">
        <v>602</v>
      </c>
      <c r="BX274" s="139" t="s">
        <v>1417</v>
      </c>
      <c r="BY274" s="140">
        <v>100</v>
      </c>
      <c r="BZ274" s="140">
        <v>0</v>
      </c>
      <c r="CA274" s="99">
        <v>20000</v>
      </c>
      <c r="CB274" s="140" t="s">
        <v>603</v>
      </c>
      <c r="CC274" s="140">
        <v>0</v>
      </c>
      <c r="CD274" s="140"/>
      <c r="CE274" s="139" t="s">
        <v>1080</v>
      </c>
      <c r="CF274" s="139" t="s">
        <v>604</v>
      </c>
      <c r="CG274" s="139" t="s">
        <v>1664</v>
      </c>
      <c r="CH274" s="139" t="s">
        <v>583</v>
      </c>
      <c r="CI274" s="139" t="s">
        <v>1074</v>
      </c>
      <c r="CJ274" s="140">
        <v>2060</v>
      </c>
      <c r="CK274" s="140" t="s">
        <v>605</v>
      </c>
      <c r="CL274" s="140">
        <v>4000000</v>
      </c>
      <c r="CM274" s="99">
        <v>1900</v>
      </c>
      <c r="CN274" s="140">
        <v>0</v>
      </c>
      <c r="CO274" s="139" t="s">
        <v>583</v>
      </c>
      <c r="CP274" s="139" t="s">
        <v>583</v>
      </c>
      <c r="CQ274" s="140">
        <v>32000</v>
      </c>
      <c r="CR274" s="140">
        <v>2547533</v>
      </c>
      <c r="CS274" s="140">
        <v>0</v>
      </c>
      <c r="CT274" s="140">
        <v>1</v>
      </c>
      <c r="CU274" s="140">
        <v>2665473.2200000002</v>
      </c>
      <c r="CV274" s="99">
        <v>35654.31</v>
      </c>
      <c r="CW274" s="139" t="s">
        <v>606</v>
      </c>
      <c r="CX274" s="140">
        <v>18.7654</v>
      </c>
      <c r="CY274" s="140"/>
      <c r="CZ274" s="140"/>
      <c r="DA274" s="140" t="s">
        <v>920</v>
      </c>
      <c r="DB274" s="140">
        <v>1628</v>
      </c>
      <c r="DC274" s="140"/>
    </row>
    <row r="275" spans="2:107" ht="11.25" customHeight="1" x14ac:dyDescent="0.15">
      <c r="B275" s="139" t="s">
        <v>577</v>
      </c>
      <c r="C275" s="140" t="s">
        <v>1934</v>
      </c>
      <c r="D275" s="140">
        <v>2</v>
      </c>
      <c r="E275" s="139" t="s">
        <v>1942</v>
      </c>
      <c r="F275" s="139" t="s">
        <v>718</v>
      </c>
      <c r="G275" s="140" t="s">
        <v>1934</v>
      </c>
      <c r="H275" s="139" t="s">
        <v>1943</v>
      </c>
      <c r="I275" s="140" t="s">
        <v>421</v>
      </c>
      <c r="J275" s="139" t="s">
        <v>582</v>
      </c>
      <c r="K275" s="139" t="s">
        <v>583</v>
      </c>
      <c r="L275" s="139" t="s">
        <v>583</v>
      </c>
      <c r="M275" s="139" t="s">
        <v>583</v>
      </c>
      <c r="N275" s="139" t="s">
        <v>997</v>
      </c>
      <c r="O275" s="139" t="s">
        <v>1780</v>
      </c>
      <c r="P275" s="139" t="s">
        <v>583</v>
      </c>
      <c r="Q275" s="139" t="s">
        <v>583</v>
      </c>
      <c r="R275" s="140">
        <v>1</v>
      </c>
      <c r="S275" s="140">
        <v>0</v>
      </c>
      <c r="T275" s="140">
        <v>1</v>
      </c>
      <c r="U275" s="140">
        <v>44</v>
      </c>
      <c r="V275" s="139" t="s">
        <v>1781</v>
      </c>
      <c r="W275" s="139" t="s">
        <v>1782</v>
      </c>
      <c r="X275" s="139" t="s">
        <v>1783</v>
      </c>
      <c r="Y275" s="139" t="s">
        <v>1784</v>
      </c>
      <c r="Z275" s="139" t="s">
        <v>666</v>
      </c>
      <c r="AA275" s="139" t="s">
        <v>1785</v>
      </c>
      <c r="AB275" s="139" t="s">
        <v>1781</v>
      </c>
      <c r="AC275" s="139" t="s">
        <v>1782</v>
      </c>
      <c r="AD275" s="139" t="s">
        <v>1783</v>
      </c>
      <c r="AE275" s="139" t="s">
        <v>1784</v>
      </c>
      <c r="AF275" s="139" t="s">
        <v>666</v>
      </c>
      <c r="AG275" s="139" t="s">
        <v>1785</v>
      </c>
      <c r="AH275" s="139" t="s">
        <v>751</v>
      </c>
      <c r="AI275" s="139" t="s">
        <v>433</v>
      </c>
      <c r="AJ275" s="140">
        <v>1861291.15</v>
      </c>
      <c r="AK275" s="139" t="s">
        <v>1781</v>
      </c>
      <c r="AL275" s="139" t="s">
        <v>1782</v>
      </c>
      <c r="AM275" s="139" t="s">
        <v>1783</v>
      </c>
      <c r="AN275" s="139" t="s">
        <v>1784</v>
      </c>
      <c r="AO275" s="139" t="s">
        <v>666</v>
      </c>
      <c r="AP275" s="139" t="s">
        <v>1785</v>
      </c>
      <c r="AQ275" s="139" t="s">
        <v>751</v>
      </c>
      <c r="AR275" s="139" t="s">
        <v>433</v>
      </c>
      <c r="AS275" s="139" t="s">
        <v>433</v>
      </c>
      <c r="AT275" s="139" t="s">
        <v>593</v>
      </c>
      <c r="AU275" s="139" t="s">
        <v>437</v>
      </c>
      <c r="AV275" s="140">
        <v>2</v>
      </c>
      <c r="AW275" s="139" t="s">
        <v>594</v>
      </c>
      <c r="AX275" s="139" t="s">
        <v>1786</v>
      </c>
      <c r="AY275" s="139" t="s">
        <v>1787</v>
      </c>
      <c r="AZ275" s="140">
        <v>1</v>
      </c>
      <c r="BA275" s="139" t="s">
        <v>597</v>
      </c>
      <c r="BB275" s="140">
        <v>22880</v>
      </c>
      <c r="BC275" s="140">
        <v>1821486</v>
      </c>
      <c r="BD275" s="140">
        <v>24897.29</v>
      </c>
      <c r="BE275" s="140">
        <v>79.610399999999998</v>
      </c>
      <c r="BF275" s="139" t="s">
        <v>880</v>
      </c>
      <c r="BG275" s="139" t="s">
        <v>583</v>
      </c>
      <c r="BH275" s="139" t="s">
        <v>583</v>
      </c>
      <c r="BI275" s="139" t="s">
        <v>598</v>
      </c>
      <c r="BJ275" s="139" t="s">
        <v>599</v>
      </c>
      <c r="BK275" s="139" t="s">
        <v>583</v>
      </c>
      <c r="BL275" s="139" t="s">
        <v>1788</v>
      </c>
      <c r="BM275" s="139" t="s">
        <v>1789</v>
      </c>
      <c r="BN275" s="139" t="s">
        <v>1944</v>
      </c>
      <c r="BO275" s="139" t="s">
        <v>1945</v>
      </c>
      <c r="BP275" s="139" t="s">
        <v>1792</v>
      </c>
      <c r="BQ275" s="139" t="s">
        <v>1793</v>
      </c>
      <c r="BR275" s="140">
        <v>1</v>
      </c>
      <c r="BS275" s="139" t="s">
        <v>1946</v>
      </c>
      <c r="BT275" s="99">
        <f t="shared" si="17"/>
        <v>0</v>
      </c>
      <c r="BU275" s="99">
        <f t="shared" si="17"/>
        <v>0</v>
      </c>
      <c r="BV275" s="99">
        <f t="shared" si="16"/>
        <v>0</v>
      </c>
      <c r="BW275" s="139" t="s">
        <v>1947</v>
      </c>
      <c r="BX275" s="139" t="s">
        <v>1948</v>
      </c>
      <c r="BY275" s="140">
        <v>44</v>
      </c>
      <c r="BZ275" s="140">
        <v>0</v>
      </c>
      <c r="CA275" s="99">
        <v>8800</v>
      </c>
      <c r="CB275" s="140" t="s">
        <v>603</v>
      </c>
      <c r="CC275" s="140">
        <v>0</v>
      </c>
      <c r="CD275" s="140"/>
      <c r="CE275" s="139" t="s">
        <v>577</v>
      </c>
      <c r="CF275" s="139" t="s">
        <v>775</v>
      </c>
      <c r="CG275" s="139" t="s">
        <v>583</v>
      </c>
      <c r="CH275" s="139" t="s">
        <v>583</v>
      </c>
      <c r="CI275" s="139" t="s">
        <v>751</v>
      </c>
      <c r="CJ275" s="140">
        <v>862.4</v>
      </c>
      <c r="CK275" s="140" t="s">
        <v>657</v>
      </c>
      <c r="CL275" s="140">
        <v>4000000</v>
      </c>
      <c r="CM275" s="99">
        <v>704</v>
      </c>
      <c r="CN275" s="140">
        <v>0</v>
      </c>
      <c r="CO275" s="139" t="s">
        <v>583</v>
      </c>
      <c r="CP275" s="139" t="s">
        <v>583</v>
      </c>
      <c r="CQ275" s="140">
        <v>22880</v>
      </c>
      <c r="CR275" s="140">
        <v>1821486</v>
      </c>
      <c r="CS275" s="140">
        <v>2</v>
      </c>
      <c r="CT275" s="140">
        <v>1</v>
      </c>
      <c r="CU275" s="140">
        <v>1861291.15</v>
      </c>
      <c r="CV275" s="99">
        <v>24897.29</v>
      </c>
      <c r="CW275" s="139" t="s">
        <v>1949</v>
      </c>
      <c r="CX275" s="140">
        <v>35.365499999999997</v>
      </c>
      <c r="CY275" s="140">
        <v>1394</v>
      </c>
      <c r="CZ275" s="140">
        <v>98</v>
      </c>
      <c r="DA275" s="140" t="s">
        <v>1950</v>
      </c>
      <c r="DB275" s="140">
        <v>19</v>
      </c>
      <c r="DC275" s="140"/>
    </row>
    <row r="276" spans="2:107" ht="11.25" customHeight="1" x14ac:dyDescent="0.15">
      <c r="B276" s="139" t="s">
        <v>577</v>
      </c>
      <c r="C276" s="140" t="s">
        <v>1951</v>
      </c>
      <c r="D276" s="140">
        <v>2</v>
      </c>
      <c r="E276" s="139" t="s">
        <v>1952</v>
      </c>
      <c r="F276" s="139" t="s">
        <v>580</v>
      </c>
      <c r="G276" s="140" t="s">
        <v>1951</v>
      </c>
      <c r="H276" s="139" t="s">
        <v>1953</v>
      </c>
      <c r="I276" s="140" t="s">
        <v>421</v>
      </c>
      <c r="J276" s="139" t="s">
        <v>582</v>
      </c>
      <c r="K276" s="139" t="s">
        <v>583</v>
      </c>
      <c r="L276" s="139" t="s">
        <v>583</v>
      </c>
      <c r="M276" s="139" t="s">
        <v>583</v>
      </c>
      <c r="N276" s="139" t="s">
        <v>731</v>
      </c>
      <c r="O276" s="139" t="s">
        <v>1099</v>
      </c>
      <c r="P276" s="139" t="s">
        <v>583</v>
      </c>
      <c r="Q276" s="139" t="s">
        <v>583</v>
      </c>
      <c r="R276" s="140">
        <v>1</v>
      </c>
      <c r="S276" s="140">
        <v>0</v>
      </c>
      <c r="T276" s="140">
        <v>1</v>
      </c>
      <c r="U276" s="140">
        <v>586</v>
      </c>
      <c r="V276" s="139" t="s">
        <v>586</v>
      </c>
      <c r="W276" s="139" t="s">
        <v>587</v>
      </c>
      <c r="X276" s="139" t="s">
        <v>588</v>
      </c>
      <c r="Y276" s="139" t="s">
        <v>589</v>
      </c>
      <c r="Z276" s="139" t="s">
        <v>590</v>
      </c>
      <c r="AA276" s="139" t="s">
        <v>591</v>
      </c>
      <c r="AB276" s="139" t="s">
        <v>586</v>
      </c>
      <c r="AC276" s="139" t="s">
        <v>587</v>
      </c>
      <c r="AD276" s="139" t="s">
        <v>588</v>
      </c>
      <c r="AE276" s="139" t="s">
        <v>589</v>
      </c>
      <c r="AF276" s="139" t="s">
        <v>590</v>
      </c>
      <c r="AG276" s="139" t="s">
        <v>591</v>
      </c>
      <c r="AH276" s="139" t="s">
        <v>733</v>
      </c>
      <c r="AI276" s="139" t="s">
        <v>432</v>
      </c>
      <c r="AJ276" s="140">
        <v>17261126.93</v>
      </c>
      <c r="AK276" s="139" t="s">
        <v>586</v>
      </c>
      <c r="AL276" s="139" t="s">
        <v>587</v>
      </c>
      <c r="AM276" s="139" t="s">
        <v>588</v>
      </c>
      <c r="AN276" s="139" t="s">
        <v>589</v>
      </c>
      <c r="AO276" s="139" t="s">
        <v>590</v>
      </c>
      <c r="AP276" s="139" t="s">
        <v>591</v>
      </c>
      <c r="AQ276" s="139" t="s">
        <v>733</v>
      </c>
      <c r="AR276" s="139" t="s">
        <v>432</v>
      </c>
      <c r="AS276" s="139" t="s">
        <v>432</v>
      </c>
      <c r="AT276" s="139" t="s">
        <v>593</v>
      </c>
      <c r="AU276" s="139" t="s">
        <v>437</v>
      </c>
      <c r="AV276" s="140">
        <v>2</v>
      </c>
      <c r="AW276" s="139" t="s">
        <v>594</v>
      </c>
      <c r="AX276" s="139" t="s">
        <v>653</v>
      </c>
      <c r="AY276" s="139" t="s">
        <v>850</v>
      </c>
      <c r="AZ276" s="140">
        <v>1</v>
      </c>
      <c r="BA276" s="139" t="s">
        <v>597</v>
      </c>
      <c r="BB276" s="140">
        <v>216820</v>
      </c>
      <c r="BC276" s="140">
        <v>17261127</v>
      </c>
      <c r="BD276" s="140">
        <v>230890.9</v>
      </c>
      <c r="BE276" s="140">
        <v>79.610399999999998</v>
      </c>
      <c r="BF276" s="139" t="s">
        <v>880</v>
      </c>
      <c r="BG276" s="139" t="s">
        <v>583</v>
      </c>
      <c r="BH276" s="139" t="s">
        <v>987</v>
      </c>
      <c r="BI276" s="139" t="s">
        <v>598</v>
      </c>
      <c r="BJ276" s="139" t="s">
        <v>1100</v>
      </c>
      <c r="BK276" s="139" t="s">
        <v>1101</v>
      </c>
      <c r="BL276" s="139" t="s">
        <v>1101</v>
      </c>
      <c r="BM276" s="139" t="s">
        <v>583</v>
      </c>
      <c r="BN276" s="139" t="s">
        <v>1102</v>
      </c>
      <c r="BO276" s="139" t="s">
        <v>1103</v>
      </c>
      <c r="BP276" s="139" t="s">
        <v>1686</v>
      </c>
      <c r="BQ276" s="139" t="s">
        <v>600</v>
      </c>
      <c r="BR276" s="140">
        <v>1</v>
      </c>
      <c r="BS276" s="139" t="s">
        <v>1954</v>
      </c>
      <c r="BT276" s="99">
        <f t="shared" si="17"/>
        <v>0</v>
      </c>
      <c r="BU276" s="99">
        <f t="shared" si="17"/>
        <v>1</v>
      </c>
      <c r="BV276" s="99">
        <f t="shared" si="16"/>
        <v>1</v>
      </c>
      <c r="BW276" s="139" t="s">
        <v>602</v>
      </c>
      <c r="BX276" s="139" t="s">
        <v>731</v>
      </c>
      <c r="BY276" s="140">
        <v>586</v>
      </c>
      <c r="BZ276" s="140">
        <v>0</v>
      </c>
      <c r="CA276" s="99">
        <v>117200</v>
      </c>
      <c r="CB276" s="140" t="s">
        <v>603</v>
      </c>
      <c r="CC276" s="140">
        <v>0</v>
      </c>
      <c r="CD276" s="140"/>
      <c r="CE276" s="139" t="s">
        <v>577</v>
      </c>
      <c r="CF276" s="139" t="s">
        <v>604</v>
      </c>
      <c r="CG276" s="139" t="s">
        <v>583</v>
      </c>
      <c r="CH276" s="139" t="s">
        <v>583</v>
      </c>
      <c r="CI276" s="139" t="s">
        <v>733</v>
      </c>
      <c r="CJ276" s="140">
        <v>12892</v>
      </c>
      <c r="CK276" s="140" t="s">
        <v>605</v>
      </c>
      <c r="CL276" s="140">
        <v>4000000</v>
      </c>
      <c r="CM276" s="99">
        <v>11720</v>
      </c>
      <c r="CN276" s="140">
        <v>0</v>
      </c>
      <c r="CO276" s="139" t="s">
        <v>583</v>
      </c>
      <c r="CP276" s="139" t="s">
        <v>583</v>
      </c>
      <c r="CQ276" s="140">
        <v>216820</v>
      </c>
      <c r="CR276" s="140">
        <v>17261127</v>
      </c>
      <c r="CS276" s="140">
        <v>0</v>
      </c>
      <c r="CT276" s="140">
        <v>1</v>
      </c>
      <c r="CU276" s="140">
        <v>17261126.93</v>
      </c>
      <c r="CV276" s="99">
        <v>230890.9</v>
      </c>
      <c r="CW276" s="139" t="s">
        <v>606</v>
      </c>
      <c r="CX276" s="140">
        <v>19.700600000000001</v>
      </c>
      <c r="CY276" s="140"/>
      <c r="CZ276" s="140"/>
      <c r="DA276" s="140" t="s">
        <v>856</v>
      </c>
      <c r="DB276" s="140">
        <v>1143</v>
      </c>
      <c r="DC276" s="140"/>
    </row>
    <row r="277" spans="2:107" ht="11.25" customHeight="1" x14ac:dyDescent="0.15">
      <c r="B277" s="139" t="s">
        <v>577</v>
      </c>
      <c r="C277" s="140" t="s">
        <v>1951</v>
      </c>
      <c r="D277" s="140">
        <v>2</v>
      </c>
      <c r="E277" s="139" t="s">
        <v>1955</v>
      </c>
      <c r="F277" s="139" t="s">
        <v>580</v>
      </c>
      <c r="G277" s="140" t="s">
        <v>1951</v>
      </c>
      <c r="H277" s="139" t="s">
        <v>1956</v>
      </c>
      <c r="I277" s="140" t="s">
        <v>421</v>
      </c>
      <c r="J277" s="139" t="s">
        <v>582</v>
      </c>
      <c r="K277" s="139" t="s">
        <v>583</v>
      </c>
      <c r="L277" s="139" t="s">
        <v>583</v>
      </c>
      <c r="M277" s="139" t="s">
        <v>583</v>
      </c>
      <c r="N277" s="139" t="s">
        <v>1169</v>
      </c>
      <c r="O277" s="139" t="s">
        <v>1170</v>
      </c>
      <c r="P277" s="139" t="s">
        <v>583</v>
      </c>
      <c r="Q277" s="139" t="s">
        <v>583</v>
      </c>
      <c r="R277" s="140">
        <v>1</v>
      </c>
      <c r="S277" s="140">
        <v>0</v>
      </c>
      <c r="T277" s="140">
        <v>1</v>
      </c>
      <c r="U277" s="140">
        <v>80</v>
      </c>
      <c r="V277" s="139" t="s">
        <v>907</v>
      </c>
      <c r="W277" s="139" t="s">
        <v>908</v>
      </c>
      <c r="X277" s="139" t="s">
        <v>909</v>
      </c>
      <c r="Y277" s="139" t="s">
        <v>910</v>
      </c>
      <c r="Z277" s="139" t="s">
        <v>644</v>
      </c>
      <c r="AA277" s="139" t="s">
        <v>911</v>
      </c>
      <c r="AB277" s="139" t="s">
        <v>907</v>
      </c>
      <c r="AC277" s="139" t="s">
        <v>908</v>
      </c>
      <c r="AD277" s="139" t="s">
        <v>909</v>
      </c>
      <c r="AE277" s="139" t="s">
        <v>910</v>
      </c>
      <c r="AF277" s="139" t="s">
        <v>644</v>
      </c>
      <c r="AG277" s="139" t="s">
        <v>911</v>
      </c>
      <c r="AH277" s="139" t="s">
        <v>592</v>
      </c>
      <c r="AI277" s="139" t="s">
        <v>429</v>
      </c>
      <c r="AJ277" s="140">
        <v>2054334.43</v>
      </c>
      <c r="AK277" s="139" t="s">
        <v>907</v>
      </c>
      <c r="AL277" s="139" t="s">
        <v>908</v>
      </c>
      <c r="AM277" s="139" t="s">
        <v>909</v>
      </c>
      <c r="AN277" s="139" t="s">
        <v>910</v>
      </c>
      <c r="AO277" s="139" t="s">
        <v>644</v>
      </c>
      <c r="AP277" s="139" t="s">
        <v>911</v>
      </c>
      <c r="AQ277" s="139" t="s">
        <v>592</v>
      </c>
      <c r="AR277" s="139" t="s">
        <v>429</v>
      </c>
      <c r="AS277" s="139" t="s">
        <v>429</v>
      </c>
      <c r="AT277" s="139" t="s">
        <v>593</v>
      </c>
      <c r="AU277" s="139" t="s">
        <v>437</v>
      </c>
      <c r="AV277" s="140">
        <v>2</v>
      </c>
      <c r="AW277" s="139" t="s">
        <v>594</v>
      </c>
      <c r="AX277" s="139" t="s">
        <v>595</v>
      </c>
      <c r="AY277" s="139" t="s">
        <v>722</v>
      </c>
      <c r="AZ277" s="140">
        <v>1</v>
      </c>
      <c r="BA277" s="139" t="s">
        <v>597</v>
      </c>
      <c r="BB277" s="140">
        <v>24960</v>
      </c>
      <c r="BC277" s="140">
        <v>1987076</v>
      </c>
      <c r="BD277" s="140">
        <v>27479.5</v>
      </c>
      <c r="BE277" s="140">
        <v>79.610399999999998</v>
      </c>
      <c r="BF277" s="139" t="s">
        <v>880</v>
      </c>
      <c r="BG277" s="139" t="s">
        <v>583</v>
      </c>
      <c r="BH277" s="139" t="s">
        <v>1171</v>
      </c>
      <c r="BI277" s="139" t="s">
        <v>598</v>
      </c>
      <c r="BJ277" s="139" t="s">
        <v>624</v>
      </c>
      <c r="BK277" s="139" t="s">
        <v>1703</v>
      </c>
      <c r="BL277" s="139" t="s">
        <v>583</v>
      </c>
      <c r="BM277" s="139" t="s">
        <v>915</v>
      </c>
      <c r="BN277" s="139" t="s">
        <v>916</v>
      </c>
      <c r="BO277" s="139" t="s">
        <v>917</v>
      </c>
      <c r="BP277" s="139" t="s">
        <v>918</v>
      </c>
      <c r="BQ277" s="139" t="s">
        <v>772</v>
      </c>
      <c r="BR277" s="140">
        <v>1</v>
      </c>
      <c r="BS277" s="139" t="s">
        <v>1957</v>
      </c>
      <c r="BT277" s="99">
        <f t="shared" si="17"/>
        <v>0</v>
      </c>
      <c r="BU277" s="99">
        <f t="shared" si="17"/>
        <v>1</v>
      </c>
      <c r="BV277" s="99">
        <f t="shared" si="16"/>
        <v>1</v>
      </c>
      <c r="BW277" s="139" t="s">
        <v>602</v>
      </c>
      <c r="BX277" s="139" t="s">
        <v>1169</v>
      </c>
      <c r="BY277" s="140">
        <v>80</v>
      </c>
      <c r="BZ277" s="140">
        <v>0</v>
      </c>
      <c r="CA277" s="99">
        <v>16000</v>
      </c>
      <c r="CB277" s="140" t="s">
        <v>603</v>
      </c>
      <c r="CC277" s="140">
        <v>0</v>
      </c>
      <c r="CD277" s="140"/>
      <c r="CE277" s="139" t="s">
        <v>577</v>
      </c>
      <c r="CF277" s="139" t="s">
        <v>604</v>
      </c>
      <c r="CG277" s="139" t="s">
        <v>583</v>
      </c>
      <c r="CH277" s="139" t="s">
        <v>583</v>
      </c>
      <c r="CI277" s="139" t="s">
        <v>592</v>
      </c>
      <c r="CJ277" s="140">
        <v>1680</v>
      </c>
      <c r="CK277" s="140" t="s">
        <v>605</v>
      </c>
      <c r="CL277" s="140">
        <v>4000000</v>
      </c>
      <c r="CM277" s="99">
        <v>1600</v>
      </c>
      <c r="CN277" s="140">
        <v>0</v>
      </c>
      <c r="CO277" s="139" t="s">
        <v>583</v>
      </c>
      <c r="CP277" s="139" t="s">
        <v>583</v>
      </c>
      <c r="CQ277" s="140">
        <v>24960</v>
      </c>
      <c r="CR277" s="140">
        <v>1987076</v>
      </c>
      <c r="CS277" s="140">
        <v>0</v>
      </c>
      <c r="CT277" s="140">
        <v>1</v>
      </c>
      <c r="CU277" s="140">
        <v>2054334.43</v>
      </c>
      <c r="CV277" s="99">
        <v>27479.5</v>
      </c>
      <c r="CW277" s="139" t="s">
        <v>606</v>
      </c>
      <c r="CX277" s="140">
        <v>17.174700000000001</v>
      </c>
      <c r="CY277" s="140"/>
      <c r="CZ277" s="140"/>
      <c r="DA277" s="140" t="s">
        <v>920</v>
      </c>
      <c r="DB277" s="140">
        <v>1299</v>
      </c>
      <c r="DC277" s="140"/>
    </row>
    <row r="278" spans="2:107" ht="11.25" customHeight="1" x14ac:dyDescent="0.15">
      <c r="B278" s="139" t="s">
        <v>577</v>
      </c>
      <c r="C278" s="140" t="s">
        <v>1958</v>
      </c>
      <c r="D278" s="140">
        <v>2</v>
      </c>
      <c r="E278" s="139" t="s">
        <v>1959</v>
      </c>
      <c r="F278" s="139" t="s">
        <v>729</v>
      </c>
      <c r="G278" s="140" t="s">
        <v>1958</v>
      </c>
      <c r="H278" s="139" t="s">
        <v>1960</v>
      </c>
      <c r="I278" s="140" t="s">
        <v>421</v>
      </c>
      <c r="J278" s="139" t="s">
        <v>582</v>
      </c>
      <c r="K278" s="139" t="s">
        <v>583</v>
      </c>
      <c r="L278" s="139" t="s">
        <v>583</v>
      </c>
      <c r="M278" s="139" t="s">
        <v>583</v>
      </c>
      <c r="N278" s="139" t="s">
        <v>778</v>
      </c>
      <c r="O278" s="139" t="s">
        <v>1111</v>
      </c>
      <c r="P278" s="139" t="s">
        <v>583</v>
      </c>
      <c r="Q278" s="139" t="s">
        <v>583</v>
      </c>
      <c r="R278" s="140">
        <v>1</v>
      </c>
      <c r="S278" s="140">
        <v>0</v>
      </c>
      <c r="T278" s="140">
        <v>1</v>
      </c>
      <c r="U278" s="140">
        <v>374</v>
      </c>
      <c r="V278" s="139" t="s">
        <v>691</v>
      </c>
      <c r="W278" s="139" t="s">
        <v>692</v>
      </c>
      <c r="X278" s="139" t="s">
        <v>693</v>
      </c>
      <c r="Y278" s="139" t="s">
        <v>694</v>
      </c>
      <c r="Z278" s="139" t="s">
        <v>695</v>
      </c>
      <c r="AA278" s="139" t="s">
        <v>696</v>
      </c>
      <c r="AB278" s="139" t="s">
        <v>691</v>
      </c>
      <c r="AC278" s="139" t="s">
        <v>692</v>
      </c>
      <c r="AD278" s="139" t="s">
        <v>693</v>
      </c>
      <c r="AE278" s="139" t="s">
        <v>694</v>
      </c>
      <c r="AF278" s="139" t="s">
        <v>695</v>
      </c>
      <c r="AG278" s="139" t="s">
        <v>696</v>
      </c>
      <c r="AH278" s="139" t="s">
        <v>751</v>
      </c>
      <c r="AI278" s="139" t="s">
        <v>433</v>
      </c>
      <c r="AJ278" s="140">
        <v>10200760.779999999</v>
      </c>
      <c r="AK278" s="139" t="s">
        <v>691</v>
      </c>
      <c r="AL278" s="139" t="s">
        <v>692</v>
      </c>
      <c r="AM278" s="139" t="s">
        <v>693</v>
      </c>
      <c r="AN278" s="139" t="s">
        <v>694</v>
      </c>
      <c r="AO278" s="139" t="s">
        <v>695</v>
      </c>
      <c r="AP278" s="139" t="s">
        <v>696</v>
      </c>
      <c r="AQ278" s="139" t="s">
        <v>751</v>
      </c>
      <c r="AR278" s="139" t="s">
        <v>433</v>
      </c>
      <c r="AS278" s="139" t="s">
        <v>433</v>
      </c>
      <c r="AT278" s="139" t="s">
        <v>593</v>
      </c>
      <c r="AU278" s="139" t="s">
        <v>437</v>
      </c>
      <c r="AV278" s="140">
        <v>2</v>
      </c>
      <c r="AW278" s="139" t="s">
        <v>594</v>
      </c>
      <c r="AX278" s="139" t="s">
        <v>653</v>
      </c>
      <c r="AY278" s="139" t="s">
        <v>780</v>
      </c>
      <c r="AZ278" s="140">
        <v>1</v>
      </c>
      <c r="BA278" s="139" t="s">
        <v>597</v>
      </c>
      <c r="BB278" s="140">
        <v>128133.52</v>
      </c>
      <c r="BC278" s="140">
        <v>10200761</v>
      </c>
      <c r="BD278" s="140">
        <v>136448.95999999999</v>
      </c>
      <c r="BE278" s="140">
        <v>79.610399999999998</v>
      </c>
      <c r="BF278" s="139" t="s">
        <v>880</v>
      </c>
      <c r="BG278" s="139" t="s">
        <v>735</v>
      </c>
      <c r="BH278" s="139" t="s">
        <v>1112</v>
      </c>
      <c r="BI278" s="139" t="s">
        <v>598</v>
      </c>
      <c r="BJ278" s="139" t="s">
        <v>599</v>
      </c>
      <c r="BK278" s="139" t="s">
        <v>583</v>
      </c>
      <c r="BL278" s="139" t="s">
        <v>1475</v>
      </c>
      <c r="BM278" s="139" t="s">
        <v>583</v>
      </c>
      <c r="BN278" s="139" t="s">
        <v>738</v>
      </c>
      <c r="BO278" s="139" t="s">
        <v>1919</v>
      </c>
      <c r="BP278" s="139" t="s">
        <v>1920</v>
      </c>
      <c r="BQ278" s="139" t="s">
        <v>1921</v>
      </c>
      <c r="BR278" s="140">
        <v>1</v>
      </c>
      <c r="BS278" s="139" t="s">
        <v>1961</v>
      </c>
      <c r="BT278" s="99">
        <f t="shared" si="17"/>
        <v>0</v>
      </c>
      <c r="BU278" s="99">
        <f t="shared" si="17"/>
        <v>0</v>
      </c>
      <c r="BV278" s="99">
        <f t="shared" si="16"/>
        <v>0</v>
      </c>
      <c r="BW278" s="139" t="s">
        <v>1479</v>
      </c>
      <c r="BX278" s="139" t="s">
        <v>778</v>
      </c>
      <c r="BY278" s="140">
        <v>374</v>
      </c>
      <c r="BZ278" s="140">
        <v>0</v>
      </c>
      <c r="CA278" s="99">
        <v>74800</v>
      </c>
      <c r="CB278" s="140" t="s">
        <v>603</v>
      </c>
      <c r="CC278" s="140">
        <v>0</v>
      </c>
      <c r="CD278" s="140"/>
      <c r="CE278" s="139" t="s">
        <v>577</v>
      </c>
      <c r="CF278" s="139" t="s">
        <v>604</v>
      </c>
      <c r="CG278" s="139" t="s">
        <v>583</v>
      </c>
      <c r="CH278" s="139" t="s">
        <v>583</v>
      </c>
      <c r="CI278" s="139" t="s">
        <v>751</v>
      </c>
      <c r="CJ278" s="140">
        <v>7854</v>
      </c>
      <c r="CK278" s="140" t="s">
        <v>605</v>
      </c>
      <c r="CL278" s="140">
        <v>4000000</v>
      </c>
      <c r="CM278" s="99">
        <v>7480</v>
      </c>
      <c r="CN278" s="140">
        <v>0</v>
      </c>
      <c r="CO278" s="139" t="s">
        <v>583</v>
      </c>
      <c r="CP278" s="139" t="s">
        <v>583</v>
      </c>
      <c r="CQ278" s="140">
        <v>128133.52</v>
      </c>
      <c r="CR278" s="140">
        <v>10200761</v>
      </c>
      <c r="CS278" s="140">
        <v>0</v>
      </c>
      <c r="CT278" s="140">
        <v>1</v>
      </c>
      <c r="CU278" s="140">
        <v>10200760.779999999</v>
      </c>
      <c r="CV278" s="99">
        <v>136448.95999999999</v>
      </c>
      <c r="CW278" s="139" t="s">
        <v>606</v>
      </c>
      <c r="CX278" s="140">
        <v>18.241800000000001</v>
      </c>
      <c r="CY278" s="140">
        <v>933</v>
      </c>
      <c r="CZ278" s="140" t="s">
        <v>894</v>
      </c>
      <c r="DA278" s="140" t="s">
        <v>1480</v>
      </c>
      <c r="DB278" s="140">
        <v>301</v>
      </c>
      <c r="DC278" s="140"/>
    </row>
    <row r="279" spans="2:107" ht="11.25" customHeight="1" x14ac:dyDescent="0.15">
      <c r="B279" s="139" t="s">
        <v>577</v>
      </c>
      <c r="C279" s="140" t="s">
        <v>1958</v>
      </c>
      <c r="D279" s="140">
        <v>2</v>
      </c>
      <c r="E279" s="139" t="s">
        <v>1962</v>
      </c>
      <c r="F279" s="139" t="s">
        <v>618</v>
      </c>
      <c r="G279" s="140" t="s">
        <v>1958</v>
      </c>
      <c r="H279" s="139" t="s">
        <v>1963</v>
      </c>
      <c r="I279" s="140" t="s">
        <v>421</v>
      </c>
      <c r="J279" s="139" t="s">
        <v>582</v>
      </c>
      <c r="K279" s="139" t="s">
        <v>583</v>
      </c>
      <c r="L279" s="139" t="s">
        <v>583</v>
      </c>
      <c r="M279" s="139" t="s">
        <v>583</v>
      </c>
      <c r="N279" s="139" t="s">
        <v>441</v>
      </c>
      <c r="O279" s="139" t="s">
        <v>1107</v>
      </c>
      <c r="P279" s="139" t="s">
        <v>583</v>
      </c>
      <c r="Q279" s="139" t="s">
        <v>583</v>
      </c>
      <c r="R279" s="140">
        <v>1</v>
      </c>
      <c r="S279" s="140">
        <v>0</v>
      </c>
      <c r="T279" s="140">
        <v>1</v>
      </c>
      <c r="U279" s="140">
        <v>80</v>
      </c>
      <c r="V279" s="139" t="s">
        <v>640</v>
      </c>
      <c r="W279" s="139" t="s">
        <v>641</v>
      </c>
      <c r="X279" s="139" t="s">
        <v>642</v>
      </c>
      <c r="Y279" s="139" t="s">
        <v>643</v>
      </c>
      <c r="Z279" s="139" t="s">
        <v>644</v>
      </c>
      <c r="AA279" s="139" t="s">
        <v>645</v>
      </c>
      <c r="AB279" s="139" t="s">
        <v>640</v>
      </c>
      <c r="AC279" s="139" t="s">
        <v>641</v>
      </c>
      <c r="AD279" s="139" t="s">
        <v>642</v>
      </c>
      <c r="AE279" s="139" t="s">
        <v>643</v>
      </c>
      <c r="AF279" s="139" t="s">
        <v>644</v>
      </c>
      <c r="AG279" s="139" t="s">
        <v>645</v>
      </c>
      <c r="AH279" s="139" t="s">
        <v>621</v>
      </c>
      <c r="AI279" s="139" t="s">
        <v>430</v>
      </c>
      <c r="AJ279" s="140">
        <v>1936124.93</v>
      </c>
      <c r="AK279" s="139" t="s">
        <v>640</v>
      </c>
      <c r="AL279" s="139" t="s">
        <v>641</v>
      </c>
      <c r="AM279" s="139" t="s">
        <v>642</v>
      </c>
      <c r="AN279" s="139" t="s">
        <v>643</v>
      </c>
      <c r="AO279" s="139" t="s">
        <v>644</v>
      </c>
      <c r="AP279" s="139" t="s">
        <v>645</v>
      </c>
      <c r="AQ279" s="139" t="s">
        <v>621</v>
      </c>
      <c r="AR279" s="139" t="s">
        <v>430</v>
      </c>
      <c r="AS279" s="139" t="s">
        <v>430</v>
      </c>
      <c r="AT279" s="139" t="s">
        <v>593</v>
      </c>
      <c r="AU279" s="139" t="s">
        <v>437</v>
      </c>
      <c r="AV279" s="140">
        <v>0</v>
      </c>
      <c r="AW279" s="139" t="s">
        <v>594</v>
      </c>
      <c r="AX279" s="139" t="s">
        <v>622</v>
      </c>
      <c r="AY279" s="139" t="s">
        <v>646</v>
      </c>
      <c r="AZ279" s="140">
        <v>1</v>
      </c>
      <c r="BA279" s="139" t="s">
        <v>597</v>
      </c>
      <c r="BB279" s="140">
        <v>24320</v>
      </c>
      <c r="BC279" s="140">
        <v>1936125</v>
      </c>
      <c r="BD279" s="140">
        <v>25898.29</v>
      </c>
      <c r="BE279" s="140">
        <v>79.610399999999998</v>
      </c>
      <c r="BF279" s="139" t="s">
        <v>880</v>
      </c>
      <c r="BG279" s="139" t="s">
        <v>582</v>
      </c>
      <c r="BH279" s="139" t="s">
        <v>938</v>
      </c>
      <c r="BI279" s="139" t="s">
        <v>598</v>
      </c>
      <c r="BJ279" s="139" t="s">
        <v>624</v>
      </c>
      <c r="BK279" s="139" t="s">
        <v>882</v>
      </c>
      <c r="BL279" s="139" t="s">
        <v>583</v>
      </c>
      <c r="BM279" s="139" t="s">
        <v>939</v>
      </c>
      <c r="BN279" s="139" t="s">
        <v>583</v>
      </c>
      <c r="BO279" s="139" t="s">
        <v>623</v>
      </c>
      <c r="BP279" s="139" t="s">
        <v>1692</v>
      </c>
      <c r="BQ279" s="139" t="s">
        <v>625</v>
      </c>
      <c r="BR279" s="140">
        <v>1</v>
      </c>
      <c r="BS279" s="139" t="s">
        <v>1032</v>
      </c>
      <c r="BT279" s="99">
        <f t="shared" si="17"/>
        <v>0</v>
      </c>
      <c r="BU279" s="99">
        <f t="shared" si="17"/>
        <v>0</v>
      </c>
      <c r="BV279" s="99">
        <f t="shared" si="16"/>
        <v>0</v>
      </c>
      <c r="BW279" s="139" t="s">
        <v>446</v>
      </c>
      <c r="BX279" s="139" t="s">
        <v>441</v>
      </c>
      <c r="BY279" s="140">
        <v>80</v>
      </c>
      <c r="BZ279" s="140">
        <v>0</v>
      </c>
      <c r="CA279" s="99">
        <v>16000</v>
      </c>
      <c r="CB279" s="140" t="s">
        <v>603</v>
      </c>
      <c r="CC279" s="140">
        <v>0</v>
      </c>
      <c r="CD279" s="140"/>
      <c r="CE279" s="139" t="s">
        <v>577</v>
      </c>
      <c r="CF279" s="139" t="s">
        <v>604</v>
      </c>
      <c r="CG279" s="139" t="s">
        <v>583</v>
      </c>
      <c r="CH279" s="139" t="s">
        <v>583</v>
      </c>
      <c r="CI279" s="139" t="s">
        <v>621</v>
      </c>
      <c r="CJ279" s="140">
        <v>1600</v>
      </c>
      <c r="CK279" s="140" t="s">
        <v>605</v>
      </c>
      <c r="CL279" s="140">
        <v>4000000</v>
      </c>
      <c r="CM279" s="99">
        <v>1440</v>
      </c>
      <c r="CN279" s="140">
        <v>0</v>
      </c>
      <c r="CO279" s="139" t="s">
        <v>583</v>
      </c>
      <c r="CP279" s="139" t="s">
        <v>583</v>
      </c>
      <c r="CQ279" s="140">
        <v>24320</v>
      </c>
      <c r="CR279" s="140">
        <v>1936125</v>
      </c>
      <c r="CS279" s="140">
        <v>0</v>
      </c>
      <c r="CT279" s="140">
        <v>1</v>
      </c>
      <c r="CU279" s="140">
        <v>1936124.93</v>
      </c>
      <c r="CV279" s="99">
        <v>25898.29</v>
      </c>
      <c r="CW279" s="139" t="s">
        <v>606</v>
      </c>
      <c r="CX279" s="140">
        <v>17.9849</v>
      </c>
      <c r="CY279" s="140"/>
      <c r="CZ279" s="140"/>
      <c r="DA279" s="140" t="s">
        <v>941</v>
      </c>
      <c r="DB279" s="140">
        <v>551</v>
      </c>
      <c r="DC279" s="140"/>
    </row>
    <row r="280" spans="2:107" ht="11.25" customHeight="1" x14ac:dyDescent="0.15">
      <c r="B280" s="139" t="s">
        <v>577</v>
      </c>
      <c r="C280" s="140" t="s">
        <v>1958</v>
      </c>
      <c r="D280" s="140">
        <v>2</v>
      </c>
      <c r="E280" s="139" t="s">
        <v>1964</v>
      </c>
      <c r="F280" s="139" t="s">
        <v>718</v>
      </c>
      <c r="G280" s="140" t="s">
        <v>1958</v>
      </c>
      <c r="H280" s="139" t="s">
        <v>1965</v>
      </c>
      <c r="I280" s="140" t="s">
        <v>421</v>
      </c>
      <c r="J280" s="139" t="s">
        <v>582</v>
      </c>
      <c r="K280" s="139" t="s">
        <v>583</v>
      </c>
      <c r="L280" s="139" t="s">
        <v>583</v>
      </c>
      <c r="M280" s="139" t="s">
        <v>583</v>
      </c>
      <c r="N280" s="139" t="s">
        <v>1747</v>
      </c>
      <c r="O280" s="139" t="s">
        <v>1648</v>
      </c>
      <c r="P280" s="139" t="s">
        <v>583</v>
      </c>
      <c r="Q280" s="139" t="s">
        <v>583</v>
      </c>
      <c r="R280" s="140">
        <v>1</v>
      </c>
      <c r="S280" s="140"/>
      <c r="T280" s="140">
        <v>1</v>
      </c>
      <c r="U280" s="140">
        <v>9</v>
      </c>
      <c r="V280" s="139" t="s">
        <v>662</v>
      </c>
      <c r="W280" s="139" t="s">
        <v>663</v>
      </c>
      <c r="X280" s="139" t="s">
        <v>664</v>
      </c>
      <c r="Y280" s="139" t="s">
        <v>665</v>
      </c>
      <c r="Z280" s="139" t="s">
        <v>666</v>
      </c>
      <c r="AA280" s="139" t="s">
        <v>667</v>
      </c>
      <c r="AB280" s="139" t="s">
        <v>662</v>
      </c>
      <c r="AC280" s="139" t="s">
        <v>663</v>
      </c>
      <c r="AD280" s="139" t="s">
        <v>664</v>
      </c>
      <c r="AE280" s="139" t="s">
        <v>665</v>
      </c>
      <c r="AF280" s="139" t="s">
        <v>666</v>
      </c>
      <c r="AG280" s="139" t="s">
        <v>667</v>
      </c>
      <c r="AH280" s="139" t="s">
        <v>1549</v>
      </c>
      <c r="AI280" s="139" t="s">
        <v>436</v>
      </c>
      <c r="AJ280" s="140">
        <v>5122929.24</v>
      </c>
      <c r="AK280" s="139" t="s">
        <v>662</v>
      </c>
      <c r="AL280" s="139" t="s">
        <v>663</v>
      </c>
      <c r="AM280" s="139" t="s">
        <v>664</v>
      </c>
      <c r="AN280" s="139" t="s">
        <v>665</v>
      </c>
      <c r="AO280" s="139" t="s">
        <v>666</v>
      </c>
      <c r="AP280" s="139" t="s">
        <v>667</v>
      </c>
      <c r="AQ280" s="139" t="s">
        <v>1549</v>
      </c>
      <c r="AR280" s="139" t="s">
        <v>436</v>
      </c>
      <c r="AS280" s="139" t="s">
        <v>436</v>
      </c>
      <c r="AT280" s="139" t="s">
        <v>593</v>
      </c>
      <c r="AU280" s="139" t="s">
        <v>437</v>
      </c>
      <c r="AV280" s="140">
        <v>2</v>
      </c>
      <c r="AW280" s="139" t="s">
        <v>594</v>
      </c>
      <c r="AX280" s="139" t="s">
        <v>595</v>
      </c>
      <c r="AY280" s="139" t="s">
        <v>1966</v>
      </c>
      <c r="AZ280" s="140">
        <v>1</v>
      </c>
      <c r="BA280" s="139" t="s">
        <v>597</v>
      </c>
      <c r="BB280" s="140">
        <v>59800</v>
      </c>
      <c r="BC280" s="140">
        <v>4760702</v>
      </c>
      <c r="BD280" s="140">
        <v>68526.100000000006</v>
      </c>
      <c r="BE280" s="140">
        <v>79.610399999999998</v>
      </c>
      <c r="BF280" s="139" t="s">
        <v>880</v>
      </c>
      <c r="BG280" s="139" t="s">
        <v>735</v>
      </c>
      <c r="BH280" s="139" t="s">
        <v>1551</v>
      </c>
      <c r="BI280" s="139" t="s">
        <v>598</v>
      </c>
      <c r="BJ280" s="139" t="s">
        <v>599</v>
      </c>
      <c r="BK280" s="139" t="s">
        <v>583</v>
      </c>
      <c r="BL280" s="139" t="s">
        <v>583</v>
      </c>
      <c r="BM280" s="139" t="s">
        <v>583</v>
      </c>
      <c r="BN280" s="139" t="s">
        <v>842</v>
      </c>
      <c r="BO280" s="139" t="s">
        <v>843</v>
      </c>
      <c r="BP280" s="139" t="s">
        <v>830</v>
      </c>
      <c r="BQ280" s="139" t="s">
        <v>723</v>
      </c>
      <c r="BR280" s="140">
        <v>1</v>
      </c>
      <c r="BS280" s="139" t="s">
        <v>1967</v>
      </c>
      <c r="BT280" s="99">
        <f t="shared" si="17"/>
        <v>1</v>
      </c>
      <c r="BU280" s="99">
        <f t="shared" si="17"/>
        <v>0</v>
      </c>
      <c r="BV280" s="99">
        <f t="shared" si="16"/>
        <v>1</v>
      </c>
      <c r="BW280" s="139" t="s">
        <v>602</v>
      </c>
      <c r="BX280" s="139" t="s">
        <v>1968</v>
      </c>
      <c r="BY280" s="140">
        <v>9</v>
      </c>
      <c r="BZ280" s="140"/>
      <c r="CA280" s="99">
        <v>46000</v>
      </c>
      <c r="CB280" s="140" t="s">
        <v>603</v>
      </c>
      <c r="CC280" s="140"/>
      <c r="CD280" s="140"/>
      <c r="CE280" s="139" t="s">
        <v>577</v>
      </c>
      <c r="CF280" s="139" t="s">
        <v>604</v>
      </c>
      <c r="CG280" s="139" t="s">
        <v>583</v>
      </c>
      <c r="CH280" s="139" t="s">
        <v>583</v>
      </c>
      <c r="CI280" s="139" t="s">
        <v>1549</v>
      </c>
      <c r="CJ280" s="140">
        <v>4500</v>
      </c>
      <c r="CK280" s="140" t="s">
        <v>605</v>
      </c>
      <c r="CL280" s="140">
        <v>4000000</v>
      </c>
      <c r="CM280" s="99">
        <v>4100</v>
      </c>
      <c r="CN280" s="140"/>
      <c r="CO280" s="139" t="s">
        <v>583</v>
      </c>
      <c r="CP280" s="139" t="s">
        <v>583</v>
      </c>
      <c r="CQ280" s="140">
        <v>59800</v>
      </c>
      <c r="CR280" s="140">
        <v>4760702</v>
      </c>
      <c r="CS280" s="140">
        <v>0</v>
      </c>
      <c r="CT280" s="140">
        <v>1</v>
      </c>
      <c r="CU280" s="140">
        <v>5122929.24</v>
      </c>
      <c r="CV280" s="99">
        <v>68526.100000000006</v>
      </c>
      <c r="CW280" s="139" t="s">
        <v>606</v>
      </c>
      <c r="CX280" s="140">
        <v>16.713699999999999</v>
      </c>
      <c r="CY280" s="140"/>
      <c r="CZ280" s="140"/>
      <c r="DA280" s="140" t="s">
        <v>926</v>
      </c>
      <c r="DB280" s="140">
        <v>36</v>
      </c>
      <c r="DC280" s="140"/>
    </row>
    <row r="281" spans="2:107" ht="11.25" customHeight="1" x14ac:dyDescent="0.15">
      <c r="B281" s="139" t="s">
        <v>577</v>
      </c>
      <c r="C281" s="140" t="s">
        <v>1958</v>
      </c>
      <c r="D281" s="140">
        <v>2</v>
      </c>
      <c r="E281" s="139" t="s">
        <v>1969</v>
      </c>
      <c r="F281" s="139" t="s">
        <v>580</v>
      </c>
      <c r="G281" s="140" t="s">
        <v>1958</v>
      </c>
      <c r="H281" s="139" t="s">
        <v>1970</v>
      </c>
      <c r="I281" s="140" t="s">
        <v>421</v>
      </c>
      <c r="J281" s="139" t="s">
        <v>582</v>
      </c>
      <c r="K281" s="139" t="s">
        <v>583</v>
      </c>
      <c r="L281" s="139" t="s">
        <v>583</v>
      </c>
      <c r="M281" s="139" t="s">
        <v>583</v>
      </c>
      <c r="N281" s="139" t="s">
        <v>1529</v>
      </c>
      <c r="O281" s="139" t="s">
        <v>758</v>
      </c>
      <c r="P281" s="139" t="s">
        <v>583</v>
      </c>
      <c r="Q281" s="139" t="s">
        <v>583</v>
      </c>
      <c r="R281" s="140">
        <v>1</v>
      </c>
      <c r="S281" s="140">
        <v>0</v>
      </c>
      <c r="T281" s="140">
        <v>1</v>
      </c>
      <c r="U281" s="140">
        <v>11</v>
      </c>
      <c r="V281" s="139" t="s">
        <v>859</v>
      </c>
      <c r="W281" s="139" t="s">
        <v>860</v>
      </c>
      <c r="X281" s="139" t="s">
        <v>861</v>
      </c>
      <c r="Y281" s="139" t="s">
        <v>862</v>
      </c>
      <c r="Z281" s="139" t="s">
        <v>590</v>
      </c>
      <c r="AA281" s="139" t="s">
        <v>839</v>
      </c>
      <c r="AB281" s="139" t="s">
        <v>859</v>
      </c>
      <c r="AC281" s="139" t="s">
        <v>860</v>
      </c>
      <c r="AD281" s="139" t="s">
        <v>861</v>
      </c>
      <c r="AE281" s="139" t="s">
        <v>862</v>
      </c>
      <c r="AF281" s="139" t="s">
        <v>590</v>
      </c>
      <c r="AG281" s="139" t="s">
        <v>839</v>
      </c>
      <c r="AH281" s="139" t="s">
        <v>759</v>
      </c>
      <c r="AI281" s="139" t="s">
        <v>434</v>
      </c>
      <c r="AJ281" s="140">
        <v>8038262.0899999999</v>
      </c>
      <c r="AK281" s="139" t="s">
        <v>859</v>
      </c>
      <c r="AL281" s="139" t="s">
        <v>860</v>
      </c>
      <c r="AM281" s="139" t="s">
        <v>861</v>
      </c>
      <c r="AN281" s="139" t="s">
        <v>862</v>
      </c>
      <c r="AO281" s="139" t="s">
        <v>590</v>
      </c>
      <c r="AP281" s="139" t="s">
        <v>839</v>
      </c>
      <c r="AQ281" s="139" t="s">
        <v>759</v>
      </c>
      <c r="AR281" s="139" t="s">
        <v>434</v>
      </c>
      <c r="AS281" s="139" t="s">
        <v>434</v>
      </c>
      <c r="AT281" s="139" t="s">
        <v>593</v>
      </c>
      <c r="AU281" s="139" t="s">
        <v>437</v>
      </c>
      <c r="AV281" s="140">
        <v>2</v>
      </c>
      <c r="AW281" s="139" t="s">
        <v>594</v>
      </c>
      <c r="AX281" s="139" t="s">
        <v>595</v>
      </c>
      <c r="AY281" s="139" t="s">
        <v>840</v>
      </c>
      <c r="AZ281" s="140">
        <v>1</v>
      </c>
      <c r="BA281" s="139" t="s">
        <v>597</v>
      </c>
      <c r="BB281" s="140">
        <v>99200</v>
      </c>
      <c r="BC281" s="140">
        <v>7897352</v>
      </c>
      <c r="BD281" s="140">
        <v>107522.62</v>
      </c>
      <c r="BE281" s="140">
        <v>79.610399999999998</v>
      </c>
      <c r="BF281" s="139" t="s">
        <v>880</v>
      </c>
      <c r="BG281" s="139" t="s">
        <v>863</v>
      </c>
      <c r="BH281" s="139" t="s">
        <v>1122</v>
      </c>
      <c r="BI281" s="139" t="s">
        <v>598</v>
      </c>
      <c r="BJ281" s="139" t="s">
        <v>599</v>
      </c>
      <c r="BK281" s="139" t="s">
        <v>583</v>
      </c>
      <c r="BL281" s="139" t="s">
        <v>583</v>
      </c>
      <c r="BM281" s="139" t="s">
        <v>583</v>
      </c>
      <c r="BN281" s="139" t="s">
        <v>842</v>
      </c>
      <c r="BO281" s="139" t="s">
        <v>843</v>
      </c>
      <c r="BP281" s="139" t="s">
        <v>830</v>
      </c>
      <c r="BQ281" s="139" t="s">
        <v>723</v>
      </c>
      <c r="BR281" s="140">
        <v>1</v>
      </c>
      <c r="BS281" s="139" t="s">
        <v>864</v>
      </c>
      <c r="BT281" s="99">
        <f t="shared" si="17"/>
        <v>1</v>
      </c>
      <c r="BU281" s="99">
        <f t="shared" si="17"/>
        <v>0</v>
      </c>
      <c r="BV281" s="99">
        <f t="shared" si="16"/>
        <v>1</v>
      </c>
      <c r="BW281" s="139" t="s">
        <v>602</v>
      </c>
      <c r="BX281" s="139" t="s">
        <v>757</v>
      </c>
      <c r="BY281" s="140">
        <v>11</v>
      </c>
      <c r="BZ281" s="140">
        <v>0</v>
      </c>
      <c r="CA281" s="99">
        <v>64000</v>
      </c>
      <c r="CB281" s="140" t="s">
        <v>603</v>
      </c>
      <c r="CC281" s="140">
        <v>0</v>
      </c>
      <c r="CD281" s="140"/>
      <c r="CE281" s="139" t="s">
        <v>577</v>
      </c>
      <c r="CF281" s="139" t="s">
        <v>604</v>
      </c>
      <c r="CG281" s="139" t="s">
        <v>583</v>
      </c>
      <c r="CH281" s="139" t="s">
        <v>583</v>
      </c>
      <c r="CI281" s="139" t="s">
        <v>759</v>
      </c>
      <c r="CJ281" s="140">
        <v>6720</v>
      </c>
      <c r="CK281" s="140" t="s">
        <v>605</v>
      </c>
      <c r="CL281" s="140">
        <v>4000000</v>
      </c>
      <c r="CM281" s="99">
        <v>6240</v>
      </c>
      <c r="CN281" s="140">
        <v>0</v>
      </c>
      <c r="CO281" s="139" t="s">
        <v>583</v>
      </c>
      <c r="CP281" s="139" t="s">
        <v>583</v>
      </c>
      <c r="CQ281" s="140">
        <v>99200</v>
      </c>
      <c r="CR281" s="140">
        <v>7897352</v>
      </c>
      <c r="CS281" s="140">
        <v>0</v>
      </c>
      <c r="CT281" s="140">
        <v>1</v>
      </c>
      <c r="CU281" s="140">
        <v>8038262.0899999999</v>
      </c>
      <c r="CV281" s="99">
        <v>107522.62</v>
      </c>
      <c r="CW281" s="139" t="s">
        <v>606</v>
      </c>
      <c r="CX281" s="140">
        <v>17.231200000000001</v>
      </c>
      <c r="CY281" s="140">
        <v>1535</v>
      </c>
      <c r="CZ281" s="140" t="s">
        <v>1118</v>
      </c>
      <c r="DA281" s="140" t="s">
        <v>1119</v>
      </c>
      <c r="DB281" s="140">
        <v>1257</v>
      </c>
      <c r="DC281" s="140"/>
    </row>
    <row r="282" spans="2:107" ht="11.25" customHeight="1" x14ac:dyDescent="0.15">
      <c r="B282" s="139" t="s">
        <v>577</v>
      </c>
      <c r="C282" s="140" t="s">
        <v>1971</v>
      </c>
      <c r="D282" s="140">
        <v>2</v>
      </c>
      <c r="E282" s="139" t="s">
        <v>1972</v>
      </c>
      <c r="F282" s="139" t="s">
        <v>618</v>
      </c>
      <c r="G282" s="140" t="s">
        <v>1971</v>
      </c>
      <c r="H282" s="139" t="s">
        <v>1973</v>
      </c>
      <c r="I282" s="140" t="s">
        <v>421</v>
      </c>
      <c r="J282" s="139" t="s">
        <v>582</v>
      </c>
      <c r="K282" s="139" t="s">
        <v>583</v>
      </c>
      <c r="L282" s="139" t="s">
        <v>583</v>
      </c>
      <c r="M282" s="139" t="s">
        <v>583</v>
      </c>
      <c r="N282" s="139" t="s">
        <v>1578</v>
      </c>
      <c r="O282" s="139" t="s">
        <v>1974</v>
      </c>
      <c r="P282" s="139" t="s">
        <v>583</v>
      </c>
      <c r="Q282" s="139" t="s">
        <v>583</v>
      </c>
      <c r="R282" s="140">
        <v>1</v>
      </c>
      <c r="S282" s="140">
        <v>0</v>
      </c>
      <c r="T282" s="140">
        <v>1</v>
      </c>
      <c r="U282" s="140">
        <v>82</v>
      </c>
      <c r="V282" s="139" t="s">
        <v>1192</v>
      </c>
      <c r="W282" s="139" t="s">
        <v>1193</v>
      </c>
      <c r="X282" s="139" t="s">
        <v>1194</v>
      </c>
      <c r="Y282" s="139" t="s">
        <v>1580</v>
      </c>
      <c r="Z282" s="139" t="s">
        <v>1196</v>
      </c>
      <c r="AA282" s="139" t="s">
        <v>1197</v>
      </c>
      <c r="AB282" s="139" t="s">
        <v>1192</v>
      </c>
      <c r="AC282" s="139" t="s">
        <v>1193</v>
      </c>
      <c r="AD282" s="139" t="s">
        <v>1194</v>
      </c>
      <c r="AE282" s="139" t="s">
        <v>1580</v>
      </c>
      <c r="AF282" s="139" t="s">
        <v>1196</v>
      </c>
      <c r="AG282" s="139" t="s">
        <v>1197</v>
      </c>
      <c r="AH282" s="139" t="s">
        <v>621</v>
      </c>
      <c r="AI282" s="139" t="s">
        <v>430</v>
      </c>
      <c r="AJ282" s="140">
        <v>8798043.8100000005</v>
      </c>
      <c r="AK282" s="139" t="s">
        <v>1192</v>
      </c>
      <c r="AL282" s="139" t="s">
        <v>1193</v>
      </c>
      <c r="AM282" s="139" t="s">
        <v>1194</v>
      </c>
      <c r="AN282" s="139" t="s">
        <v>1580</v>
      </c>
      <c r="AO282" s="139" t="s">
        <v>1196</v>
      </c>
      <c r="AP282" s="139" t="s">
        <v>1197</v>
      </c>
      <c r="AQ282" s="139" t="s">
        <v>621</v>
      </c>
      <c r="AR282" s="139" t="s">
        <v>430</v>
      </c>
      <c r="AS282" s="139" t="s">
        <v>430</v>
      </c>
      <c r="AT282" s="139" t="s">
        <v>593</v>
      </c>
      <c r="AU282" s="139" t="s">
        <v>437</v>
      </c>
      <c r="AV282" s="140">
        <v>0</v>
      </c>
      <c r="AW282" s="139" t="s">
        <v>594</v>
      </c>
      <c r="AX282" s="139" t="s">
        <v>622</v>
      </c>
      <c r="AY282" s="139" t="s">
        <v>1581</v>
      </c>
      <c r="AZ282" s="140">
        <v>1</v>
      </c>
      <c r="BA282" s="139" t="s">
        <v>597</v>
      </c>
      <c r="BB282" s="140">
        <v>110008</v>
      </c>
      <c r="BC282" s="140">
        <v>8798044</v>
      </c>
      <c r="BD282" s="140">
        <v>117677.86</v>
      </c>
      <c r="BE282" s="140">
        <v>79.976399999999998</v>
      </c>
      <c r="BF282" s="139" t="s">
        <v>880</v>
      </c>
      <c r="BG282" s="139" t="s">
        <v>582</v>
      </c>
      <c r="BH282" s="139" t="s">
        <v>1582</v>
      </c>
      <c r="BI282" s="139" t="s">
        <v>598</v>
      </c>
      <c r="BJ282" s="139" t="s">
        <v>624</v>
      </c>
      <c r="BK282" s="139" t="s">
        <v>882</v>
      </c>
      <c r="BL282" s="139" t="s">
        <v>583</v>
      </c>
      <c r="BM282" s="139" t="s">
        <v>953</v>
      </c>
      <c r="BN282" s="139" t="s">
        <v>583</v>
      </c>
      <c r="BO282" s="139" t="s">
        <v>623</v>
      </c>
      <c r="BP282" s="139" t="s">
        <v>1692</v>
      </c>
      <c r="BQ282" s="139" t="s">
        <v>625</v>
      </c>
      <c r="BR282" s="140">
        <v>1</v>
      </c>
      <c r="BS282" s="139" t="s">
        <v>1975</v>
      </c>
      <c r="BT282" s="99">
        <f t="shared" si="17"/>
        <v>1</v>
      </c>
      <c r="BU282" s="99">
        <f t="shared" si="17"/>
        <v>0</v>
      </c>
      <c r="BV282" s="99">
        <f t="shared" si="16"/>
        <v>1</v>
      </c>
      <c r="BW282" s="139" t="s">
        <v>602</v>
      </c>
      <c r="BX282" s="139" t="s">
        <v>1578</v>
      </c>
      <c r="BY282" s="140">
        <v>82</v>
      </c>
      <c r="BZ282" s="140">
        <v>0</v>
      </c>
      <c r="CA282" s="99">
        <v>16400</v>
      </c>
      <c r="CB282" s="140" t="s">
        <v>603</v>
      </c>
      <c r="CC282" s="140">
        <v>0</v>
      </c>
      <c r="CD282" s="140"/>
      <c r="CE282" s="139" t="s">
        <v>577</v>
      </c>
      <c r="CF282" s="139" t="s">
        <v>604</v>
      </c>
      <c r="CG282" s="139" t="s">
        <v>583</v>
      </c>
      <c r="CH282" s="139" t="s">
        <v>583</v>
      </c>
      <c r="CI282" s="139" t="s">
        <v>621</v>
      </c>
      <c r="CJ282" s="140">
        <v>1640</v>
      </c>
      <c r="CK282" s="140" t="s">
        <v>657</v>
      </c>
      <c r="CL282" s="140">
        <v>4000000</v>
      </c>
      <c r="CM282" s="99">
        <v>1558</v>
      </c>
      <c r="CN282" s="140">
        <v>0</v>
      </c>
      <c r="CO282" s="139" t="s">
        <v>583</v>
      </c>
      <c r="CP282" s="139" t="s">
        <v>583</v>
      </c>
      <c r="CQ282" s="140">
        <v>110008</v>
      </c>
      <c r="CR282" s="140">
        <v>8798044</v>
      </c>
      <c r="CS282" s="140">
        <v>0</v>
      </c>
      <c r="CT282" s="140">
        <v>1</v>
      </c>
      <c r="CU282" s="140">
        <v>8798043.8100000005</v>
      </c>
      <c r="CV282" s="99">
        <v>117677.86</v>
      </c>
      <c r="CW282" s="139" t="s">
        <v>606</v>
      </c>
      <c r="CX282" s="140">
        <v>75.531400000000005</v>
      </c>
      <c r="CY282" s="140"/>
      <c r="CZ282" s="140"/>
      <c r="DA282" s="140" t="s">
        <v>933</v>
      </c>
      <c r="DB282" s="140">
        <v>1195</v>
      </c>
      <c r="DC282" s="140"/>
    </row>
    <row r="283" spans="2:107" ht="11.25" customHeight="1" x14ac:dyDescent="0.15">
      <c r="B283" s="139" t="s">
        <v>577</v>
      </c>
      <c r="C283" s="140" t="s">
        <v>1971</v>
      </c>
      <c r="D283" s="140">
        <v>2</v>
      </c>
      <c r="E283" s="139" t="s">
        <v>1976</v>
      </c>
      <c r="F283" s="139" t="s">
        <v>618</v>
      </c>
      <c r="G283" s="140" t="s">
        <v>1971</v>
      </c>
      <c r="H283" s="139" t="s">
        <v>1977</v>
      </c>
      <c r="I283" s="140" t="s">
        <v>421</v>
      </c>
      <c r="J283" s="139" t="s">
        <v>582</v>
      </c>
      <c r="K283" s="139" t="s">
        <v>583</v>
      </c>
      <c r="L283" s="139" t="s">
        <v>583</v>
      </c>
      <c r="M283" s="139" t="s">
        <v>583</v>
      </c>
      <c r="N283" s="139" t="s">
        <v>441</v>
      </c>
      <c r="O283" s="139" t="s">
        <v>630</v>
      </c>
      <c r="P283" s="139" t="s">
        <v>583</v>
      </c>
      <c r="Q283" s="139" t="s">
        <v>583</v>
      </c>
      <c r="R283" s="140">
        <v>1</v>
      </c>
      <c r="S283" s="140">
        <v>0</v>
      </c>
      <c r="T283" s="140">
        <v>1</v>
      </c>
      <c r="U283" s="140">
        <v>360</v>
      </c>
      <c r="V283" s="139" t="s">
        <v>583</v>
      </c>
      <c r="W283" s="139" t="s">
        <v>583</v>
      </c>
      <c r="X283" s="139" t="s">
        <v>632</v>
      </c>
      <c r="Y283" s="139" t="s">
        <v>633</v>
      </c>
      <c r="Z283" s="139" t="s">
        <v>583</v>
      </c>
      <c r="AA283" s="139" t="s">
        <v>583</v>
      </c>
      <c r="AB283" s="139" t="s">
        <v>583</v>
      </c>
      <c r="AC283" s="139" t="s">
        <v>583</v>
      </c>
      <c r="AD283" s="139" t="s">
        <v>632</v>
      </c>
      <c r="AE283" s="139" t="s">
        <v>633</v>
      </c>
      <c r="AF283" s="139" t="s">
        <v>583</v>
      </c>
      <c r="AG283" s="139" t="s">
        <v>583</v>
      </c>
      <c r="AH283" s="139" t="s">
        <v>621</v>
      </c>
      <c r="AI283" s="139" t="s">
        <v>430</v>
      </c>
      <c r="AJ283" s="140">
        <v>8637451.1999999993</v>
      </c>
      <c r="AK283" s="139" t="s">
        <v>583</v>
      </c>
      <c r="AL283" s="139" t="s">
        <v>583</v>
      </c>
      <c r="AM283" s="139" t="s">
        <v>632</v>
      </c>
      <c r="AN283" s="139" t="s">
        <v>633</v>
      </c>
      <c r="AO283" s="139" t="s">
        <v>583</v>
      </c>
      <c r="AP283" s="139" t="s">
        <v>583</v>
      </c>
      <c r="AQ283" s="139" t="s">
        <v>621</v>
      </c>
      <c r="AR283" s="139" t="s">
        <v>430</v>
      </c>
      <c r="AS283" s="139" t="s">
        <v>430</v>
      </c>
      <c r="AT283" s="139" t="s">
        <v>593</v>
      </c>
      <c r="AU283" s="139" t="s">
        <v>437</v>
      </c>
      <c r="AV283" s="140">
        <v>0</v>
      </c>
      <c r="AW283" s="139" t="s">
        <v>594</v>
      </c>
      <c r="AX283" s="139" t="s">
        <v>622</v>
      </c>
      <c r="AY283" s="139" t="s">
        <v>623</v>
      </c>
      <c r="AZ283" s="140">
        <v>1</v>
      </c>
      <c r="BA283" s="139" t="s">
        <v>597</v>
      </c>
      <c r="BB283" s="140">
        <v>108000</v>
      </c>
      <c r="BC283" s="140">
        <v>8637451</v>
      </c>
      <c r="BD283" s="140">
        <v>115529.86</v>
      </c>
      <c r="BE283" s="140">
        <v>79.976399999999998</v>
      </c>
      <c r="BF283" s="139" t="s">
        <v>880</v>
      </c>
      <c r="BG283" s="139" t="s">
        <v>582</v>
      </c>
      <c r="BH283" s="139" t="s">
        <v>931</v>
      </c>
      <c r="BI283" s="139" t="s">
        <v>598</v>
      </c>
      <c r="BJ283" s="139" t="s">
        <v>624</v>
      </c>
      <c r="BK283" s="139" t="s">
        <v>882</v>
      </c>
      <c r="BL283" s="139" t="s">
        <v>583</v>
      </c>
      <c r="BM283" s="139" t="s">
        <v>883</v>
      </c>
      <c r="BN283" s="139" t="s">
        <v>583</v>
      </c>
      <c r="BO283" s="139" t="s">
        <v>623</v>
      </c>
      <c r="BP283" s="139" t="s">
        <v>1692</v>
      </c>
      <c r="BQ283" s="139" t="s">
        <v>625</v>
      </c>
      <c r="BR283" s="140">
        <v>1</v>
      </c>
      <c r="BS283" s="139" t="s">
        <v>1978</v>
      </c>
      <c r="BT283" s="99">
        <f t="shared" si="17"/>
        <v>0</v>
      </c>
      <c r="BU283" s="99">
        <f t="shared" si="17"/>
        <v>1</v>
      </c>
      <c r="BV283" s="99">
        <f t="shared" si="16"/>
        <v>1</v>
      </c>
      <c r="BW283" s="139" t="s">
        <v>635</v>
      </c>
      <c r="BX283" s="139" t="s">
        <v>441</v>
      </c>
      <c r="BY283" s="140">
        <v>360</v>
      </c>
      <c r="BZ283" s="140">
        <v>0</v>
      </c>
      <c r="CA283" s="99">
        <v>72000</v>
      </c>
      <c r="CB283" s="140" t="s">
        <v>603</v>
      </c>
      <c r="CC283" s="140">
        <v>0</v>
      </c>
      <c r="CD283" s="140"/>
      <c r="CE283" s="139" t="s">
        <v>577</v>
      </c>
      <c r="CF283" s="139" t="s">
        <v>604</v>
      </c>
      <c r="CG283" s="139" t="s">
        <v>583</v>
      </c>
      <c r="CH283" s="139" t="s">
        <v>583</v>
      </c>
      <c r="CI283" s="139" t="s">
        <v>621</v>
      </c>
      <c r="CJ283" s="140">
        <v>7200</v>
      </c>
      <c r="CK283" s="140" t="s">
        <v>605</v>
      </c>
      <c r="CL283" s="140">
        <v>4000000</v>
      </c>
      <c r="CM283" s="99">
        <v>6480</v>
      </c>
      <c r="CN283" s="140">
        <v>0</v>
      </c>
      <c r="CO283" s="139" t="s">
        <v>583</v>
      </c>
      <c r="CP283" s="139" t="s">
        <v>583</v>
      </c>
      <c r="CQ283" s="140">
        <v>108000</v>
      </c>
      <c r="CR283" s="140">
        <v>8637451</v>
      </c>
      <c r="CS283" s="140">
        <v>0</v>
      </c>
      <c r="CT283" s="140">
        <v>1</v>
      </c>
      <c r="CU283" s="140">
        <v>8637451.1999999993</v>
      </c>
      <c r="CV283" s="99">
        <v>115529.86</v>
      </c>
      <c r="CW283" s="139" t="s">
        <v>606</v>
      </c>
      <c r="CX283" s="140">
        <v>17.828700000000001</v>
      </c>
      <c r="CY283" s="140"/>
      <c r="CZ283" s="140"/>
      <c r="DA283" s="140" t="s">
        <v>933</v>
      </c>
      <c r="DB283" s="140">
        <v>612</v>
      </c>
      <c r="DC283" s="140"/>
    </row>
    <row r="284" spans="2:107" ht="11.25" customHeight="1" x14ac:dyDescent="0.15">
      <c r="B284" s="139" t="s">
        <v>577</v>
      </c>
      <c r="C284" s="140" t="s">
        <v>1979</v>
      </c>
      <c r="D284" s="140">
        <v>2</v>
      </c>
      <c r="E284" s="139" t="s">
        <v>1980</v>
      </c>
      <c r="F284" s="139" t="s">
        <v>1981</v>
      </c>
      <c r="G284" s="140" t="s">
        <v>1979</v>
      </c>
      <c r="H284" s="139" t="s">
        <v>1982</v>
      </c>
      <c r="I284" s="140" t="s">
        <v>421</v>
      </c>
      <c r="J284" s="139" t="s">
        <v>582</v>
      </c>
      <c r="K284" s="139" t="s">
        <v>583</v>
      </c>
      <c r="L284" s="139" t="s">
        <v>583</v>
      </c>
      <c r="M284" s="139" t="s">
        <v>583</v>
      </c>
      <c r="N284" s="139" t="s">
        <v>731</v>
      </c>
      <c r="O284" s="139" t="s">
        <v>1983</v>
      </c>
      <c r="P284" s="139" t="s">
        <v>583</v>
      </c>
      <c r="Q284" s="139" t="s">
        <v>583</v>
      </c>
      <c r="R284" s="140">
        <v>1</v>
      </c>
      <c r="S284" s="140">
        <v>0</v>
      </c>
      <c r="T284" s="140">
        <v>1</v>
      </c>
      <c r="U284" s="140">
        <v>150</v>
      </c>
      <c r="V284" s="139" t="s">
        <v>1984</v>
      </c>
      <c r="W284" s="139" t="s">
        <v>1985</v>
      </c>
      <c r="X284" s="139" t="s">
        <v>1986</v>
      </c>
      <c r="Y284" s="139" t="s">
        <v>1987</v>
      </c>
      <c r="Z284" s="139" t="s">
        <v>1988</v>
      </c>
      <c r="AA284" s="139" t="s">
        <v>1989</v>
      </c>
      <c r="AB284" s="139" t="s">
        <v>1984</v>
      </c>
      <c r="AC284" s="139" t="s">
        <v>1985</v>
      </c>
      <c r="AD284" s="139" t="s">
        <v>1986</v>
      </c>
      <c r="AE284" s="139" t="s">
        <v>1987</v>
      </c>
      <c r="AF284" s="139" t="s">
        <v>1988</v>
      </c>
      <c r="AG284" s="139" t="s">
        <v>1989</v>
      </c>
      <c r="AH284" s="139" t="s">
        <v>733</v>
      </c>
      <c r="AI284" s="139" t="s">
        <v>432</v>
      </c>
      <c r="AJ284" s="140">
        <v>4979874.3</v>
      </c>
      <c r="AK284" s="139" t="s">
        <v>1984</v>
      </c>
      <c r="AL284" s="139" t="s">
        <v>1985</v>
      </c>
      <c r="AM284" s="139" t="s">
        <v>1986</v>
      </c>
      <c r="AN284" s="139" t="s">
        <v>1987</v>
      </c>
      <c r="AO284" s="139" t="s">
        <v>1988</v>
      </c>
      <c r="AP284" s="139" t="s">
        <v>1989</v>
      </c>
      <c r="AQ284" s="139" t="s">
        <v>733</v>
      </c>
      <c r="AR284" s="139" t="s">
        <v>432</v>
      </c>
      <c r="AS284" s="139" t="s">
        <v>432</v>
      </c>
      <c r="AT284" s="139" t="s">
        <v>593</v>
      </c>
      <c r="AU284" s="139" t="s">
        <v>437</v>
      </c>
      <c r="AV284" s="140">
        <v>2</v>
      </c>
      <c r="AW284" s="139" t="s">
        <v>594</v>
      </c>
      <c r="AX284" s="139" t="s">
        <v>653</v>
      </c>
      <c r="AY284" s="139" t="s">
        <v>1990</v>
      </c>
      <c r="AZ284" s="140">
        <v>1</v>
      </c>
      <c r="BA284" s="139" t="s">
        <v>597</v>
      </c>
      <c r="BB284" s="140">
        <v>63300</v>
      </c>
      <c r="BC284" s="140">
        <v>4979874</v>
      </c>
      <c r="BD284" s="140">
        <v>67633.119999999995</v>
      </c>
      <c r="BE284" s="140">
        <v>78.671000000000006</v>
      </c>
      <c r="BF284" s="139" t="s">
        <v>880</v>
      </c>
      <c r="BG284" s="139" t="s">
        <v>735</v>
      </c>
      <c r="BH284" s="139" t="s">
        <v>1991</v>
      </c>
      <c r="BI284" s="139" t="s">
        <v>598</v>
      </c>
      <c r="BJ284" s="139" t="s">
        <v>624</v>
      </c>
      <c r="BK284" s="139" t="s">
        <v>1992</v>
      </c>
      <c r="BL284" s="139" t="s">
        <v>583</v>
      </c>
      <c r="BM284" s="139" t="s">
        <v>1993</v>
      </c>
      <c r="BN284" s="139" t="s">
        <v>1994</v>
      </c>
      <c r="BO284" s="139" t="s">
        <v>1995</v>
      </c>
      <c r="BP284" s="139" t="s">
        <v>1996</v>
      </c>
      <c r="BQ284" s="139" t="s">
        <v>1997</v>
      </c>
      <c r="BR284" s="140">
        <v>1</v>
      </c>
      <c r="BS284" s="139" t="s">
        <v>1998</v>
      </c>
      <c r="BT284" s="99">
        <f t="shared" si="17"/>
        <v>0</v>
      </c>
      <c r="BU284" s="99">
        <f t="shared" si="17"/>
        <v>1</v>
      </c>
      <c r="BV284" s="99">
        <f t="shared" si="16"/>
        <v>1</v>
      </c>
      <c r="BW284" s="139" t="s">
        <v>1999</v>
      </c>
      <c r="BX284" s="139" t="s">
        <v>731</v>
      </c>
      <c r="BY284" s="140">
        <v>150</v>
      </c>
      <c r="BZ284" s="140">
        <v>0</v>
      </c>
      <c r="CA284" s="99">
        <v>30000</v>
      </c>
      <c r="CB284" s="140" t="s">
        <v>603</v>
      </c>
      <c r="CC284" s="140">
        <v>0</v>
      </c>
      <c r="CD284" s="140"/>
      <c r="CE284" s="139" t="s">
        <v>577</v>
      </c>
      <c r="CF284" s="139" t="s">
        <v>604</v>
      </c>
      <c r="CG284" s="139" t="s">
        <v>583</v>
      </c>
      <c r="CH284" s="139" t="s">
        <v>583</v>
      </c>
      <c r="CI284" s="139" t="s">
        <v>733</v>
      </c>
      <c r="CJ284" s="140">
        <v>3300</v>
      </c>
      <c r="CK284" s="140" t="s">
        <v>605</v>
      </c>
      <c r="CL284" s="140">
        <v>4000000</v>
      </c>
      <c r="CM284" s="99">
        <v>3000</v>
      </c>
      <c r="CN284" s="140">
        <v>0</v>
      </c>
      <c r="CO284" s="139" t="s">
        <v>583</v>
      </c>
      <c r="CP284" s="139" t="s">
        <v>583</v>
      </c>
      <c r="CQ284" s="140">
        <v>63300</v>
      </c>
      <c r="CR284" s="140">
        <v>4979874</v>
      </c>
      <c r="CS284" s="140">
        <v>0</v>
      </c>
      <c r="CT284" s="140">
        <v>1</v>
      </c>
      <c r="CU284" s="140">
        <v>4979874.3</v>
      </c>
      <c r="CV284" s="99">
        <v>67633.119999999995</v>
      </c>
      <c r="CW284" s="139" t="s">
        <v>606</v>
      </c>
      <c r="CX284" s="140">
        <v>22.5444</v>
      </c>
      <c r="CY284" s="140"/>
      <c r="CZ284" s="140"/>
      <c r="DA284" s="140" t="s">
        <v>2000</v>
      </c>
      <c r="DB284" s="140">
        <v>108</v>
      </c>
      <c r="DC284" s="140"/>
    </row>
    <row r="285" spans="2:107" ht="11.25" customHeight="1" x14ac:dyDescent="0.15">
      <c r="B285" s="139" t="s">
        <v>577</v>
      </c>
      <c r="C285" s="140" t="s">
        <v>2001</v>
      </c>
      <c r="D285" s="140">
        <v>2</v>
      </c>
      <c r="E285" s="139" t="s">
        <v>2002</v>
      </c>
      <c r="F285" s="139" t="s">
        <v>729</v>
      </c>
      <c r="G285" s="140" t="s">
        <v>2001</v>
      </c>
      <c r="H285" s="139" t="s">
        <v>2003</v>
      </c>
      <c r="I285" s="140" t="s">
        <v>421</v>
      </c>
      <c r="J285" s="139" t="s">
        <v>582</v>
      </c>
      <c r="K285" s="139" t="s">
        <v>583</v>
      </c>
      <c r="L285" s="139" t="s">
        <v>583</v>
      </c>
      <c r="M285" s="139" t="s">
        <v>583</v>
      </c>
      <c r="N285" s="139" t="s">
        <v>731</v>
      </c>
      <c r="O285" s="139" t="s">
        <v>1876</v>
      </c>
      <c r="P285" s="139" t="s">
        <v>583</v>
      </c>
      <c r="Q285" s="139" t="s">
        <v>583</v>
      </c>
      <c r="R285" s="140">
        <v>1</v>
      </c>
      <c r="S285" s="140">
        <v>0</v>
      </c>
      <c r="T285" s="140">
        <v>1</v>
      </c>
      <c r="U285" s="140">
        <v>387</v>
      </c>
      <c r="V285" s="139" t="s">
        <v>691</v>
      </c>
      <c r="W285" s="139" t="s">
        <v>692</v>
      </c>
      <c r="X285" s="139" t="s">
        <v>693</v>
      </c>
      <c r="Y285" s="139" t="s">
        <v>694</v>
      </c>
      <c r="Z285" s="139" t="s">
        <v>695</v>
      </c>
      <c r="AA285" s="139" t="s">
        <v>696</v>
      </c>
      <c r="AB285" s="139" t="s">
        <v>691</v>
      </c>
      <c r="AC285" s="139" t="s">
        <v>692</v>
      </c>
      <c r="AD285" s="139" t="s">
        <v>693</v>
      </c>
      <c r="AE285" s="139" t="s">
        <v>694</v>
      </c>
      <c r="AF285" s="139" t="s">
        <v>695</v>
      </c>
      <c r="AG285" s="139" t="s">
        <v>696</v>
      </c>
      <c r="AH285" s="139" t="s">
        <v>733</v>
      </c>
      <c r="AI285" s="139" t="s">
        <v>432</v>
      </c>
      <c r="AJ285" s="140">
        <v>10888717.01</v>
      </c>
      <c r="AK285" s="139" t="s">
        <v>691</v>
      </c>
      <c r="AL285" s="139" t="s">
        <v>692</v>
      </c>
      <c r="AM285" s="139" t="s">
        <v>693</v>
      </c>
      <c r="AN285" s="139" t="s">
        <v>694</v>
      </c>
      <c r="AO285" s="139" t="s">
        <v>695</v>
      </c>
      <c r="AP285" s="139" t="s">
        <v>696</v>
      </c>
      <c r="AQ285" s="139" t="s">
        <v>733</v>
      </c>
      <c r="AR285" s="139" t="s">
        <v>432</v>
      </c>
      <c r="AS285" s="139" t="s">
        <v>432</v>
      </c>
      <c r="AT285" s="139" t="s">
        <v>593</v>
      </c>
      <c r="AU285" s="139" t="s">
        <v>437</v>
      </c>
      <c r="AV285" s="140">
        <v>2</v>
      </c>
      <c r="AW285" s="139" t="s">
        <v>594</v>
      </c>
      <c r="AX285" s="139" t="s">
        <v>653</v>
      </c>
      <c r="AY285" s="139" t="s">
        <v>734</v>
      </c>
      <c r="AZ285" s="140">
        <v>1</v>
      </c>
      <c r="BA285" s="139" t="s">
        <v>597</v>
      </c>
      <c r="BB285" s="140">
        <v>139502</v>
      </c>
      <c r="BC285" s="140">
        <v>10888717</v>
      </c>
      <c r="BD285" s="140">
        <v>149586.10999999999</v>
      </c>
      <c r="BE285" s="140">
        <v>78.054199999999994</v>
      </c>
      <c r="BF285" s="139" t="s">
        <v>880</v>
      </c>
      <c r="BG285" s="139" t="s">
        <v>583</v>
      </c>
      <c r="BH285" s="139" t="s">
        <v>736</v>
      </c>
      <c r="BI285" s="139" t="s">
        <v>598</v>
      </c>
      <c r="BJ285" s="139" t="s">
        <v>599</v>
      </c>
      <c r="BK285" s="139" t="s">
        <v>583</v>
      </c>
      <c r="BL285" s="139" t="s">
        <v>1475</v>
      </c>
      <c r="BM285" s="139" t="s">
        <v>583</v>
      </c>
      <c r="BN285" s="139" t="s">
        <v>738</v>
      </c>
      <c r="BO285" s="139" t="s">
        <v>1919</v>
      </c>
      <c r="BP285" s="139" t="s">
        <v>1920</v>
      </c>
      <c r="BQ285" s="139" t="s">
        <v>1921</v>
      </c>
      <c r="BR285" s="140">
        <v>1</v>
      </c>
      <c r="BS285" s="139" t="s">
        <v>2004</v>
      </c>
      <c r="BT285" s="99">
        <f t="shared" si="17"/>
        <v>0</v>
      </c>
      <c r="BU285" s="99">
        <f t="shared" si="17"/>
        <v>0</v>
      </c>
      <c r="BV285" s="99">
        <f t="shared" si="16"/>
        <v>0</v>
      </c>
      <c r="BW285" s="139" t="s">
        <v>743</v>
      </c>
      <c r="BX285" s="139" t="s">
        <v>731</v>
      </c>
      <c r="BY285" s="140">
        <v>387</v>
      </c>
      <c r="BZ285" s="140">
        <v>0</v>
      </c>
      <c r="CA285" s="99">
        <v>77400</v>
      </c>
      <c r="CB285" s="140" t="s">
        <v>603</v>
      </c>
      <c r="CC285" s="140">
        <v>0</v>
      </c>
      <c r="CD285" s="140"/>
      <c r="CE285" s="139" t="s">
        <v>577</v>
      </c>
      <c r="CF285" s="139" t="s">
        <v>604</v>
      </c>
      <c r="CG285" s="139" t="s">
        <v>583</v>
      </c>
      <c r="CH285" s="139" t="s">
        <v>583</v>
      </c>
      <c r="CI285" s="139" t="s">
        <v>733</v>
      </c>
      <c r="CJ285" s="140">
        <v>8514</v>
      </c>
      <c r="CK285" s="140" t="s">
        <v>605</v>
      </c>
      <c r="CL285" s="140">
        <v>4000000</v>
      </c>
      <c r="CM285" s="99">
        <v>7740</v>
      </c>
      <c r="CN285" s="140">
        <v>0</v>
      </c>
      <c r="CO285" s="139" t="s">
        <v>583</v>
      </c>
      <c r="CP285" s="139" t="s">
        <v>583</v>
      </c>
      <c r="CQ285" s="140">
        <v>139502</v>
      </c>
      <c r="CR285" s="140">
        <v>10888717</v>
      </c>
      <c r="CS285" s="140">
        <v>0</v>
      </c>
      <c r="CT285" s="140">
        <v>1</v>
      </c>
      <c r="CU285" s="140">
        <v>10888717.01</v>
      </c>
      <c r="CV285" s="99">
        <v>149586.10999999999</v>
      </c>
      <c r="CW285" s="139" t="s">
        <v>606</v>
      </c>
      <c r="CX285" s="140">
        <v>19.3264</v>
      </c>
      <c r="CY285" s="140">
        <v>933</v>
      </c>
      <c r="CZ285" s="140" t="s">
        <v>894</v>
      </c>
      <c r="DA285" s="140" t="s">
        <v>1480</v>
      </c>
      <c r="DB285" s="140">
        <v>150</v>
      </c>
      <c r="DC285" s="140"/>
    </row>
    <row r="286" spans="2:107" ht="11.25" customHeight="1" x14ac:dyDescent="0.15">
      <c r="B286" s="139" t="s">
        <v>577</v>
      </c>
      <c r="C286" s="140" t="s">
        <v>2001</v>
      </c>
      <c r="D286" s="140">
        <v>2</v>
      </c>
      <c r="E286" s="139" t="s">
        <v>2005</v>
      </c>
      <c r="F286" s="139" t="s">
        <v>729</v>
      </c>
      <c r="G286" s="140" t="s">
        <v>2001</v>
      </c>
      <c r="H286" s="139" t="s">
        <v>2006</v>
      </c>
      <c r="I286" s="140" t="s">
        <v>421</v>
      </c>
      <c r="J286" s="139" t="s">
        <v>582</v>
      </c>
      <c r="K286" s="139" t="s">
        <v>583</v>
      </c>
      <c r="L286" s="139" t="s">
        <v>583</v>
      </c>
      <c r="M286" s="139" t="s">
        <v>583</v>
      </c>
      <c r="N286" s="139" t="s">
        <v>1169</v>
      </c>
      <c r="O286" s="139" t="s">
        <v>2007</v>
      </c>
      <c r="P286" s="139" t="s">
        <v>583</v>
      </c>
      <c r="Q286" s="139" t="s">
        <v>583</v>
      </c>
      <c r="R286" s="140">
        <v>1</v>
      </c>
      <c r="S286" s="140">
        <v>0</v>
      </c>
      <c r="T286" s="140">
        <v>1</v>
      </c>
      <c r="U286" s="140">
        <v>167</v>
      </c>
      <c r="V286" s="139" t="s">
        <v>709</v>
      </c>
      <c r="W286" s="139" t="s">
        <v>710</v>
      </c>
      <c r="X286" s="139" t="s">
        <v>711</v>
      </c>
      <c r="Y286" s="139" t="s">
        <v>789</v>
      </c>
      <c r="Z286" s="139" t="s">
        <v>713</v>
      </c>
      <c r="AA286" s="139" t="s">
        <v>714</v>
      </c>
      <c r="AB286" s="139" t="s">
        <v>709</v>
      </c>
      <c r="AC286" s="139" t="s">
        <v>710</v>
      </c>
      <c r="AD286" s="139" t="s">
        <v>711</v>
      </c>
      <c r="AE286" s="139" t="s">
        <v>789</v>
      </c>
      <c r="AF286" s="139" t="s">
        <v>713</v>
      </c>
      <c r="AG286" s="139" t="s">
        <v>714</v>
      </c>
      <c r="AH286" s="139" t="s">
        <v>592</v>
      </c>
      <c r="AI286" s="139" t="s">
        <v>429</v>
      </c>
      <c r="AJ286" s="140">
        <v>3795619.64</v>
      </c>
      <c r="AK286" s="139" t="s">
        <v>709</v>
      </c>
      <c r="AL286" s="139" t="s">
        <v>710</v>
      </c>
      <c r="AM286" s="139" t="s">
        <v>711</v>
      </c>
      <c r="AN286" s="139" t="s">
        <v>789</v>
      </c>
      <c r="AO286" s="139" t="s">
        <v>713</v>
      </c>
      <c r="AP286" s="139" t="s">
        <v>714</v>
      </c>
      <c r="AQ286" s="139" t="s">
        <v>592</v>
      </c>
      <c r="AR286" s="139" t="s">
        <v>429</v>
      </c>
      <c r="AS286" s="139" t="s">
        <v>429</v>
      </c>
      <c r="AT286" s="139" t="s">
        <v>593</v>
      </c>
      <c r="AU286" s="139" t="s">
        <v>437</v>
      </c>
      <c r="AV286" s="140">
        <v>2</v>
      </c>
      <c r="AW286" s="139" t="s">
        <v>594</v>
      </c>
      <c r="AX286" s="139" t="s">
        <v>595</v>
      </c>
      <c r="AY286" s="139" t="s">
        <v>722</v>
      </c>
      <c r="AZ286" s="140">
        <v>1</v>
      </c>
      <c r="BA286" s="139" t="s">
        <v>597</v>
      </c>
      <c r="BB286" s="140">
        <v>47428</v>
      </c>
      <c r="BC286" s="140">
        <v>3701955</v>
      </c>
      <c r="BD286" s="140">
        <v>52143.15</v>
      </c>
      <c r="BE286" s="140">
        <v>78.054199999999994</v>
      </c>
      <c r="BF286" s="139" t="s">
        <v>880</v>
      </c>
      <c r="BG286" s="139" t="s">
        <v>583</v>
      </c>
      <c r="BH286" s="139" t="s">
        <v>1459</v>
      </c>
      <c r="BI286" s="139" t="s">
        <v>598</v>
      </c>
      <c r="BJ286" s="139" t="s">
        <v>599</v>
      </c>
      <c r="BK286" s="139" t="s">
        <v>583</v>
      </c>
      <c r="BL286" s="139" t="s">
        <v>1060</v>
      </c>
      <c r="BM286" s="139" t="s">
        <v>583</v>
      </c>
      <c r="BN286" s="139" t="s">
        <v>842</v>
      </c>
      <c r="BO286" s="139" t="s">
        <v>843</v>
      </c>
      <c r="BP286" s="139" t="s">
        <v>830</v>
      </c>
      <c r="BQ286" s="139" t="s">
        <v>723</v>
      </c>
      <c r="BR286" s="140">
        <v>1</v>
      </c>
      <c r="BS286" s="139" t="s">
        <v>2008</v>
      </c>
      <c r="BT286" s="99">
        <f t="shared" si="17"/>
        <v>0</v>
      </c>
      <c r="BU286" s="99">
        <f t="shared" si="17"/>
        <v>0</v>
      </c>
      <c r="BV286" s="99">
        <f t="shared" si="16"/>
        <v>0</v>
      </c>
      <c r="BW286" s="139" t="s">
        <v>1460</v>
      </c>
      <c r="BX286" s="139" t="s">
        <v>720</v>
      </c>
      <c r="BY286" s="140">
        <v>167</v>
      </c>
      <c r="BZ286" s="140">
        <v>0</v>
      </c>
      <c r="CA286" s="99">
        <v>33400</v>
      </c>
      <c r="CB286" s="140" t="s">
        <v>603</v>
      </c>
      <c r="CC286" s="140">
        <v>0</v>
      </c>
      <c r="CD286" s="140"/>
      <c r="CE286" s="139" t="s">
        <v>577</v>
      </c>
      <c r="CF286" s="139" t="s">
        <v>604</v>
      </c>
      <c r="CG286" s="139" t="s">
        <v>583</v>
      </c>
      <c r="CH286" s="139" t="s">
        <v>583</v>
      </c>
      <c r="CI286" s="139" t="s">
        <v>592</v>
      </c>
      <c r="CJ286" s="140">
        <v>3510</v>
      </c>
      <c r="CK286" s="140" t="s">
        <v>605</v>
      </c>
      <c r="CL286" s="140">
        <v>4000000</v>
      </c>
      <c r="CM286" s="99">
        <v>3340</v>
      </c>
      <c r="CN286" s="140">
        <v>0</v>
      </c>
      <c r="CO286" s="139" t="s">
        <v>583</v>
      </c>
      <c r="CP286" s="139" t="s">
        <v>583</v>
      </c>
      <c r="CQ286" s="140">
        <v>47428</v>
      </c>
      <c r="CR286" s="140">
        <v>3701955</v>
      </c>
      <c r="CS286" s="140">
        <v>0</v>
      </c>
      <c r="CT286" s="140">
        <v>1</v>
      </c>
      <c r="CU286" s="140">
        <v>3795619.64</v>
      </c>
      <c r="CV286" s="99">
        <v>52143.15</v>
      </c>
      <c r="CW286" s="139" t="s">
        <v>606</v>
      </c>
      <c r="CX286" s="140">
        <v>15.611700000000001</v>
      </c>
      <c r="CY286" s="140">
        <v>35</v>
      </c>
      <c r="CZ286" s="140" t="s">
        <v>1062</v>
      </c>
      <c r="DA286" s="140" t="s">
        <v>1063</v>
      </c>
      <c r="DB286" s="140">
        <v>264</v>
      </c>
      <c r="DC286" s="140"/>
    </row>
    <row r="287" spans="2:107" ht="11.25" customHeight="1" x14ac:dyDescent="0.15">
      <c r="B287" s="139" t="s">
        <v>577</v>
      </c>
      <c r="C287" s="140" t="s">
        <v>2001</v>
      </c>
      <c r="D287" s="140">
        <v>2</v>
      </c>
      <c r="E287" s="139" t="s">
        <v>2009</v>
      </c>
      <c r="F287" s="139" t="s">
        <v>618</v>
      </c>
      <c r="G287" s="140" t="s">
        <v>2001</v>
      </c>
      <c r="H287" s="139" t="s">
        <v>2010</v>
      </c>
      <c r="I287" s="140" t="s">
        <v>421</v>
      </c>
      <c r="J287" s="139" t="s">
        <v>582</v>
      </c>
      <c r="K287" s="139" t="s">
        <v>583</v>
      </c>
      <c r="L287" s="139" t="s">
        <v>583</v>
      </c>
      <c r="M287" s="139" t="s">
        <v>583</v>
      </c>
      <c r="N287" s="139" t="s">
        <v>441</v>
      </c>
      <c r="O287" s="139" t="s">
        <v>1160</v>
      </c>
      <c r="P287" s="139" t="s">
        <v>583</v>
      </c>
      <c r="Q287" s="139" t="s">
        <v>583</v>
      </c>
      <c r="R287" s="140">
        <v>1</v>
      </c>
      <c r="S287" s="140">
        <v>0</v>
      </c>
      <c r="T287" s="140">
        <v>1</v>
      </c>
      <c r="U287" s="140">
        <v>531</v>
      </c>
      <c r="V287" s="139" t="s">
        <v>586</v>
      </c>
      <c r="W287" s="139" t="s">
        <v>587</v>
      </c>
      <c r="X287" s="139" t="s">
        <v>588</v>
      </c>
      <c r="Y287" s="139" t="s">
        <v>589</v>
      </c>
      <c r="Z287" s="139" t="s">
        <v>590</v>
      </c>
      <c r="AA287" s="139" t="s">
        <v>591</v>
      </c>
      <c r="AB287" s="139" t="s">
        <v>586</v>
      </c>
      <c r="AC287" s="139" t="s">
        <v>587</v>
      </c>
      <c r="AD287" s="139" t="s">
        <v>588</v>
      </c>
      <c r="AE287" s="139" t="s">
        <v>589</v>
      </c>
      <c r="AF287" s="139" t="s">
        <v>590</v>
      </c>
      <c r="AG287" s="139" t="s">
        <v>591</v>
      </c>
      <c r="AH287" s="139" t="s">
        <v>621</v>
      </c>
      <c r="AI287" s="139" t="s">
        <v>430</v>
      </c>
      <c r="AJ287" s="140">
        <v>11522204.9</v>
      </c>
      <c r="AK287" s="139" t="s">
        <v>586</v>
      </c>
      <c r="AL287" s="139" t="s">
        <v>587</v>
      </c>
      <c r="AM287" s="139" t="s">
        <v>588</v>
      </c>
      <c r="AN287" s="139" t="s">
        <v>589</v>
      </c>
      <c r="AO287" s="139" t="s">
        <v>590</v>
      </c>
      <c r="AP287" s="139" t="s">
        <v>591</v>
      </c>
      <c r="AQ287" s="139" t="s">
        <v>621</v>
      </c>
      <c r="AR287" s="139" t="s">
        <v>430</v>
      </c>
      <c r="AS287" s="139" t="s">
        <v>430</v>
      </c>
      <c r="AT287" s="139" t="s">
        <v>593</v>
      </c>
      <c r="AU287" s="139" t="s">
        <v>437</v>
      </c>
      <c r="AV287" s="140">
        <v>0</v>
      </c>
      <c r="AW287" s="139" t="s">
        <v>594</v>
      </c>
      <c r="AX287" s="139" t="s">
        <v>622</v>
      </c>
      <c r="AY287" s="139" t="s">
        <v>623</v>
      </c>
      <c r="AZ287" s="140">
        <v>1</v>
      </c>
      <c r="BA287" s="139" t="s">
        <v>597</v>
      </c>
      <c r="BB287" s="140">
        <v>147618</v>
      </c>
      <c r="BC287" s="140">
        <v>11522205</v>
      </c>
      <c r="BD287" s="140">
        <v>158288.79</v>
      </c>
      <c r="BE287" s="140">
        <v>78.054199999999994</v>
      </c>
      <c r="BF287" s="139" t="s">
        <v>880</v>
      </c>
      <c r="BG287" s="139" t="s">
        <v>582</v>
      </c>
      <c r="BH287" s="139" t="s">
        <v>1161</v>
      </c>
      <c r="BI287" s="139" t="s">
        <v>598</v>
      </c>
      <c r="BJ287" s="139" t="s">
        <v>624</v>
      </c>
      <c r="BK287" s="139" t="s">
        <v>882</v>
      </c>
      <c r="BL287" s="139" t="s">
        <v>583</v>
      </c>
      <c r="BM287" s="139" t="s">
        <v>883</v>
      </c>
      <c r="BN287" s="139" t="s">
        <v>971</v>
      </c>
      <c r="BO287" s="139" t="s">
        <v>972</v>
      </c>
      <c r="BP287" s="139" t="s">
        <v>1933</v>
      </c>
      <c r="BQ287" s="139" t="s">
        <v>625</v>
      </c>
      <c r="BR287" s="140">
        <v>1</v>
      </c>
      <c r="BS287" s="139" t="s">
        <v>2011</v>
      </c>
      <c r="BT287" s="99">
        <f t="shared" si="17"/>
        <v>0</v>
      </c>
      <c r="BU287" s="99">
        <f t="shared" si="17"/>
        <v>1</v>
      </c>
      <c r="BV287" s="99">
        <f t="shared" si="16"/>
        <v>1</v>
      </c>
      <c r="BW287" s="139" t="s">
        <v>602</v>
      </c>
      <c r="BX287" s="139" t="s">
        <v>441</v>
      </c>
      <c r="BY287" s="140">
        <v>531</v>
      </c>
      <c r="BZ287" s="140">
        <v>0</v>
      </c>
      <c r="CA287" s="99">
        <v>106200</v>
      </c>
      <c r="CB287" s="140" t="s">
        <v>603</v>
      </c>
      <c r="CC287" s="140">
        <v>0</v>
      </c>
      <c r="CD287" s="140"/>
      <c r="CE287" s="139" t="s">
        <v>577</v>
      </c>
      <c r="CF287" s="139" t="s">
        <v>604</v>
      </c>
      <c r="CG287" s="139" t="s">
        <v>583</v>
      </c>
      <c r="CH287" s="139" t="s">
        <v>583</v>
      </c>
      <c r="CI287" s="139" t="s">
        <v>621</v>
      </c>
      <c r="CJ287" s="140">
        <v>11330</v>
      </c>
      <c r="CK287" s="140" t="s">
        <v>605</v>
      </c>
      <c r="CL287" s="140">
        <v>4000000</v>
      </c>
      <c r="CM287" s="99">
        <v>9558</v>
      </c>
      <c r="CN287" s="140">
        <v>0</v>
      </c>
      <c r="CO287" s="139" t="s">
        <v>583</v>
      </c>
      <c r="CP287" s="139" t="s">
        <v>583</v>
      </c>
      <c r="CQ287" s="140">
        <v>147618</v>
      </c>
      <c r="CR287" s="140">
        <v>11522205</v>
      </c>
      <c r="CS287" s="140">
        <v>0</v>
      </c>
      <c r="CT287" s="140">
        <v>1</v>
      </c>
      <c r="CU287" s="140">
        <v>11522204.9</v>
      </c>
      <c r="CV287" s="99">
        <v>158288.79</v>
      </c>
      <c r="CW287" s="139" t="s">
        <v>606</v>
      </c>
      <c r="CX287" s="140">
        <v>16.5609</v>
      </c>
      <c r="CY287" s="140"/>
      <c r="CZ287" s="140"/>
      <c r="DA287" s="140" t="s">
        <v>856</v>
      </c>
      <c r="DB287" s="140">
        <v>1108</v>
      </c>
      <c r="DC287" s="140"/>
    </row>
    <row r="288" spans="2:107" ht="11.25" customHeight="1" x14ac:dyDescent="0.15">
      <c r="B288" s="139" t="s">
        <v>577</v>
      </c>
      <c r="C288" s="140" t="s">
        <v>2001</v>
      </c>
      <c r="D288" s="140">
        <v>2</v>
      </c>
      <c r="E288" s="139" t="s">
        <v>2012</v>
      </c>
      <c r="F288" s="139" t="s">
        <v>618</v>
      </c>
      <c r="G288" s="140" t="s">
        <v>2001</v>
      </c>
      <c r="H288" s="139" t="s">
        <v>2013</v>
      </c>
      <c r="I288" s="140" t="s">
        <v>421</v>
      </c>
      <c r="J288" s="139" t="s">
        <v>582</v>
      </c>
      <c r="K288" s="139" t="s">
        <v>583</v>
      </c>
      <c r="L288" s="139" t="s">
        <v>583</v>
      </c>
      <c r="M288" s="139" t="s">
        <v>583</v>
      </c>
      <c r="N288" s="139" t="s">
        <v>650</v>
      </c>
      <c r="O288" s="139" t="s">
        <v>1088</v>
      </c>
      <c r="P288" s="139" t="s">
        <v>583</v>
      </c>
      <c r="Q288" s="139" t="s">
        <v>583</v>
      </c>
      <c r="R288" s="140">
        <v>1</v>
      </c>
      <c r="S288" s="140">
        <v>0</v>
      </c>
      <c r="T288" s="140">
        <v>1</v>
      </c>
      <c r="U288" s="140">
        <v>223</v>
      </c>
      <c r="V288" s="139" t="s">
        <v>586</v>
      </c>
      <c r="W288" s="139" t="s">
        <v>587</v>
      </c>
      <c r="X288" s="139" t="s">
        <v>588</v>
      </c>
      <c r="Y288" s="139" t="s">
        <v>589</v>
      </c>
      <c r="Z288" s="139" t="s">
        <v>590</v>
      </c>
      <c r="AA288" s="139" t="s">
        <v>591</v>
      </c>
      <c r="AB288" s="139" t="s">
        <v>586</v>
      </c>
      <c r="AC288" s="139" t="s">
        <v>587</v>
      </c>
      <c r="AD288" s="139" t="s">
        <v>588</v>
      </c>
      <c r="AE288" s="139" t="s">
        <v>589</v>
      </c>
      <c r="AF288" s="139" t="s">
        <v>590</v>
      </c>
      <c r="AG288" s="139" t="s">
        <v>591</v>
      </c>
      <c r="AH288" s="139" t="s">
        <v>652</v>
      </c>
      <c r="AI288" s="139" t="s">
        <v>431</v>
      </c>
      <c r="AJ288" s="140">
        <v>22645240.609999999</v>
      </c>
      <c r="AK288" s="139" t="s">
        <v>586</v>
      </c>
      <c r="AL288" s="139" t="s">
        <v>587</v>
      </c>
      <c r="AM288" s="139" t="s">
        <v>588</v>
      </c>
      <c r="AN288" s="139" t="s">
        <v>589</v>
      </c>
      <c r="AO288" s="139" t="s">
        <v>590</v>
      </c>
      <c r="AP288" s="139" t="s">
        <v>591</v>
      </c>
      <c r="AQ288" s="139" t="s">
        <v>652</v>
      </c>
      <c r="AR288" s="139" t="s">
        <v>431</v>
      </c>
      <c r="AS288" s="139" t="s">
        <v>431</v>
      </c>
      <c r="AT288" s="139" t="s">
        <v>593</v>
      </c>
      <c r="AU288" s="139" t="s">
        <v>437</v>
      </c>
      <c r="AV288" s="140">
        <v>0</v>
      </c>
      <c r="AW288" s="139" t="s">
        <v>594</v>
      </c>
      <c r="AX288" s="139" t="s">
        <v>653</v>
      </c>
      <c r="AY288" s="139" t="s">
        <v>623</v>
      </c>
      <c r="AZ288" s="140">
        <v>1</v>
      </c>
      <c r="BA288" s="139" t="s">
        <v>597</v>
      </c>
      <c r="BB288" s="140">
        <v>290122</v>
      </c>
      <c r="BC288" s="140">
        <v>22645241</v>
      </c>
      <c r="BD288" s="140">
        <v>311093.90000000002</v>
      </c>
      <c r="BE288" s="140">
        <v>78.054199999999994</v>
      </c>
      <c r="BF288" s="139" t="s">
        <v>880</v>
      </c>
      <c r="BG288" s="139" t="s">
        <v>582</v>
      </c>
      <c r="BH288" s="139" t="s">
        <v>970</v>
      </c>
      <c r="BI288" s="139" t="s">
        <v>598</v>
      </c>
      <c r="BJ288" s="139" t="s">
        <v>624</v>
      </c>
      <c r="BK288" s="139" t="s">
        <v>882</v>
      </c>
      <c r="BL288" s="139" t="s">
        <v>583</v>
      </c>
      <c r="BM288" s="139" t="s">
        <v>883</v>
      </c>
      <c r="BN288" s="139" t="s">
        <v>971</v>
      </c>
      <c r="BO288" s="139" t="s">
        <v>972</v>
      </c>
      <c r="BP288" s="139" t="s">
        <v>1743</v>
      </c>
      <c r="BQ288" s="139" t="s">
        <v>625</v>
      </c>
      <c r="BR288" s="140">
        <v>1</v>
      </c>
      <c r="BS288" s="139" t="s">
        <v>2014</v>
      </c>
      <c r="BT288" s="99">
        <f t="shared" ref="BT288:BU307" si="18">MIN(1,IFERROR(SEARCH(BT$2,$BS288),0))</f>
        <v>0</v>
      </c>
      <c r="BU288" s="99">
        <f t="shared" si="18"/>
        <v>1</v>
      </c>
      <c r="BV288" s="99">
        <f t="shared" si="16"/>
        <v>1</v>
      </c>
      <c r="BW288" s="139" t="s">
        <v>655</v>
      </c>
      <c r="BX288" s="139" t="s">
        <v>656</v>
      </c>
      <c r="BY288" s="140">
        <v>223</v>
      </c>
      <c r="BZ288" s="140">
        <v>0</v>
      </c>
      <c r="CA288" s="99">
        <v>44600</v>
      </c>
      <c r="CB288" s="140" t="s">
        <v>603</v>
      </c>
      <c r="CC288" s="140">
        <v>0</v>
      </c>
      <c r="CD288" s="140"/>
      <c r="CE288" s="139" t="s">
        <v>577</v>
      </c>
      <c r="CF288" s="139" t="s">
        <v>604</v>
      </c>
      <c r="CG288" s="139" t="s">
        <v>583</v>
      </c>
      <c r="CH288" s="139" t="s">
        <v>583</v>
      </c>
      <c r="CI288" s="139" t="s">
        <v>652</v>
      </c>
      <c r="CJ288" s="140">
        <v>4683</v>
      </c>
      <c r="CK288" s="140" t="s">
        <v>657</v>
      </c>
      <c r="CL288" s="140">
        <v>4000000</v>
      </c>
      <c r="CM288" s="99">
        <v>4460</v>
      </c>
      <c r="CN288" s="140">
        <v>0</v>
      </c>
      <c r="CO288" s="139" t="s">
        <v>583</v>
      </c>
      <c r="CP288" s="139" t="s">
        <v>583</v>
      </c>
      <c r="CQ288" s="140">
        <v>290122</v>
      </c>
      <c r="CR288" s="140">
        <v>22645241</v>
      </c>
      <c r="CS288" s="140">
        <v>0</v>
      </c>
      <c r="CT288" s="140">
        <v>1</v>
      </c>
      <c r="CU288" s="140">
        <v>22645240.609999999</v>
      </c>
      <c r="CV288" s="99">
        <v>311093.90000000002</v>
      </c>
      <c r="CW288" s="139" t="s">
        <v>606</v>
      </c>
      <c r="CX288" s="140">
        <v>69.751999999999995</v>
      </c>
      <c r="CY288" s="140"/>
      <c r="CZ288" s="140"/>
      <c r="DA288" s="140" t="s">
        <v>856</v>
      </c>
      <c r="DB288" s="140">
        <v>789</v>
      </c>
      <c r="DC288" s="140"/>
    </row>
    <row r="289" spans="2:107" ht="11.25" customHeight="1" x14ac:dyDescent="0.15">
      <c r="B289" s="139" t="s">
        <v>577</v>
      </c>
      <c r="C289" s="140" t="s">
        <v>2015</v>
      </c>
      <c r="D289" s="140">
        <v>2</v>
      </c>
      <c r="E289" s="139" t="s">
        <v>2016</v>
      </c>
      <c r="F289" s="139" t="s">
        <v>580</v>
      </c>
      <c r="G289" s="140" t="s">
        <v>2015</v>
      </c>
      <c r="H289" s="139" t="s">
        <v>2017</v>
      </c>
      <c r="I289" s="140" t="s">
        <v>421</v>
      </c>
      <c r="J289" s="139" t="s">
        <v>582</v>
      </c>
      <c r="K289" s="139" t="s">
        <v>583</v>
      </c>
      <c r="L289" s="139" t="s">
        <v>583</v>
      </c>
      <c r="M289" s="139" t="s">
        <v>583</v>
      </c>
      <c r="N289" s="139" t="s">
        <v>1529</v>
      </c>
      <c r="O289" s="139" t="s">
        <v>758</v>
      </c>
      <c r="P289" s="139" t="s">
        <v>583</v>
      </c>
      <c r="Q289" s="139" t="s">
        <v>583</v>
      </c>
      <c r="R289" s="140">
        <v>1</v>
      </c>
      <c r="S289" s="140">
        <v>0</v>
      </c>
      <c r="T289" s="140">
        <v>1</v>
      </c>
      <c r="U289" s="140">
        <v>6</v>
      </c>
      <c r="V289" s="139" t="s">
        <v>859</v>
      </c>
      <c r="W289" s="139" t="s">
        <v>860</v>
      </c>
      <c r="X289" s="139" t="s">
        <v>861</v>
      </c>
      <c r="Y289" s="139" t="s">
        <v>862</v>
      </c>
      <c r="Z289" s="139" t="s">
        <v>590</v>
      </c>
      <c r="AA289" s="139" t="s">
        <v>839</v>
      </c>
      <c r="AB289" s="139" t="s">
        <v>859</v>
      </c>
      <c r="AC289" s="139" t="s">
        <v>860</v>
      </c>
      <c r="AD289" s="139" t="s">
        <v>861</v>
      </c>
      <c r="AE289" s="139" t="s">
        <v>862</v>
      </c>
      <c r="AF289" s="139" t="s">
        <v>590</v>
      </c>
      <c r="AG289" s="139" t="s">
        <v>839</v>
      </c>
      <c r="AH289" s="139" t="s">
        <v>759</v>
      </c>
      <c r="AI289" s="139" t="s">
        <v>434</v>
      </c>
      <c r="AJ289" s="140">
        <v>4130628.26</v>
      </c>
      <c r="AK289" s="139" t="s">
        <v>859</v>
      </c>
      <c r="AL289" s="139" t="s">
        <v>860</v>
      </c>
      <c r="AM289" s="139" t="s">
        <v>861</v>
      </c>
      <c r="AN289" s="139" t="s">
        <v>862</v>
      </c>
      <c r="AO289" s="139" t="s">
        <v>590</v>
      </c>
      <c r="AP289" s="139" t="s">
        <v>839</v>
      </c>
      <c r="AQ289" s="139" t="s">
        <v>759</v>
      </c>
      <c r="AR289" s="139" t="s">
        <v>434</v>
      </c>
      <c r="AS289" s="139" t="s">
        <v>434</v>
      </c>
      <c r="AT289" s="139" t="s">
        <v>593</v>
      </c>
      <c r="AU289" s="139" t="s">
        <v>437</v>
      </c>
      <c r="AV289" s="140">
        <v>2</v>
      </c>
      <c r="AW289" s="139" t="s">
        <v>594</v>
      </c>
      <c r="AX289" s="139" t="s">
        <v>595</v>
      </c>
      <c r="AY289" s="139" t="s">
        <v>840</v>
      </c>
      <c r="AZ289" s="140">
        <v>1</v>
      </c>
      <c r="BA289" s="139" t="s">
        <v>597</v>
      </c>
      <c r="BB289" s="140">
        <v>51770</v>
      </c>
      <c r="BC289" s="140">
        <v>4040866</v>
      </c>
      <c r="BD289" s="140">
        <v>56745.4</v>
      </c>
      <c r="BE289" s="140">
        <v>78.054199999999994</v>
      </c>
      <c r="BF289" s="139" t="s">
        <v>880</v>
      </c>
      <c r="BG289" s="139" t="s">
        <v>863</v>
      </c>
      <c r="BH289" s="139" t="s">
        <v>1122</v>
      </c>
      <c r="BI289" s="139" t="s">
        <v>598</v>
      </c>
      <c r="BJ289" s="139" t="s">
        <v>599</v>
      </c>
      <c r="BK289" s="139" t="s">
        <v>583</v>
      </c>
      <c r="BL289" s="139" t="s">
        <v>583</v>
      </c>
      <c r="BM289" s="139" t="s">
        <v>583</v>
      </c>
      <c r="BN289" s="139" t="s">
        <v>842</v>
      </c>
      <c r="BO289" s="139" t="s">
        <v>843</v>
      </c>
      <c r="BP289" s="139" t="s">
        <v>830</v>
      </c>
      <c r="BQ289" s="139" t="s">
        <v>723</v>
      </c>
      <c r="BR289" s="140">
        <v>1</v>
      </c>
      <c r="BS289" s="139" t="s">
        <v>2018</v>
      </c>
      <c r="BT289" s="99">
        <f t="shared" si="18"/>
        <v>1</v>
      </c>
      <c r="BU289" s="99">
        <f t="shared" si="18"/>
        <v>0</v>
      </c>
      <c r="BV289" s="99">
        <f t="shared" si="16"/>
        <v>1</v>
      </c>
      <c r="BW289" s="139" t="s">
        <v>602</v>
      </c>
      <c r="BX289" s="139" t="s">
        <v>757</v>
      </c>
      <c r="BY289" s="140">
        <v>6</v>
      </c>
      <c r="BZ289" s="140">
        <v>0</v>
      </c>
      <c r="CA289" s="99">
        <v>33400</v>
      </c>
      <c r="CB289" s="140" t="s">
        <v>603</v>
      </c>
      <c r="CC289" s="140">
        <v>0</v>
      </c>
      <c r="CD289" s="140"/>
      <c r="CE289" s="139" t="s">
        <v>577</v>
      </c>
      <c r="CF289" s="139" t="s">
        <v>604</v>
      </c>
      <c r="CG289" s="139" t="s">
        <v>583</v>
      </c>
      <c r="CH289" s="139" t="s">
        <v>583</v>
      </c>
      <c r="CI289" s="139" t="s">
        <v>759</v>
      </c>
      <c r="CJ289" s="140">
        <v>3507</v>
      </c>
      <c r="CK289" s="140" t="s">
        <v>605</v>
      </c>
      <c r="CL289" s="140">
        <v>4000000</v>
      </c>
      <c r="CM289" s="99">
        <v>3257</v>
      </c>
      <c r="CN289" s="140">
        <v>0</v>
      </c>
      <c r="CO289" s="139" t="s">
        <v>583</v>
      </c>
      <c r="CP289" s="139" t="s">
        <v>583</v>
      </c>
      <c r="CQ289" s="140">
        <v>51770</v>
      </c>
      <c r="CR289" s="140">
        <v>4040866</v>
      </c>
      <c r="CS289" s="140">
        <v>0</v>
      </c>
      <c r="CT289" s="140">
        <v>1</v>
      </c>
      <c r="CU289" s="140">
        <v>4130628.26</v>
      </c>
      <c r="CV289" s="99">
        <v>56745.4</v>
      </c>
      <c r="CW289" s="139" t="s">
        <v>606</v>
      </c>
      <c r="CX289" s="140">
        <v>17.422599999999999</v>
      </c>
      <c r="CY289" s="140">
        <v>1535</v>
      </c>
      <c r="CZ289" s="140" t="s">
        <v>1118</v>
      </c>
      <c r="DA289" s="140" t="s">
        <v>1119</v>
      </c>
      <c r="DB289" s="140">
        <v>1614</v>
      </c>
      <c r="DC289" s="140"/>
    </row>
    <row r="290" spans="2:107" ht="11.25" customHeight="1" x14ac:dyDescent="0.15">
      <c r="B290" s="139" t="s">
        <v>577</v>
      </c>
      <c r="C290" s="140" t="s">
        <v>2015</v>
      </c>
      <c r="D290" s="140">
        <v>2</v>
      </c>
      <c r="E290" s="139" t="s">
        <v>2019</v>
      </c>
      <c r="F290" s="139" t="s">
        <v>580</v>
      </c>
      <c r="G290" s="140" t="s">
        <v>2015</v>
      </c>
      <c r="H290" s="139" t="s">
        <v>2020</v>
      </c>
      <c r="I290" s="140" t="s">
        <v>421</v>
      </c>
      <c r="J290" s="139" t="s">
        <v>582</v>
      </c>
      <c r="K290" s="139" t="s">
        <v>583</v>
      </c>
      <c r="L290" s="139" t="s">
        <v>583</v>
      </c>
      <c r="M290" s="139" t="s">
        <v>583</v>
      </c>
      <c r="N290" s="139" t="s">
        <v>720</v>
      </c>
      <c r="O290" s="139" t="s">
        <v>721</v>
      </c>
      <c r="P290" s="139" t="s">
        <v>583</v>
      </c>
      <c r="Q290" s="139" t="s">
        <v>583</v>
      </c>
      <c r="R290" s="140">
        <v>1</v>
      </c>
      <c r="S290" s="140">
        <v>0</v>
      </c>
      <c r="T290" s="140">
        <v>1</v>
      </c>
      <c r="U290" s="140">
        <v>85</v>
      </c>
      <c r="V290" s="139" t="s">
        <v>859</v>
      </c>
      <c r="W290" s="139" t="s">
        <v>860</v>
      </c>
      <c r="X290" s="139" t="s">
        <v>861</v>
      </c>
      <c r="Y290" s="139" t="s">
        <v>862</v>
      </c>
      <c r="Z290" s="139" t="s">
        <v>590</v>
      </c>
      <c r="AA290" s="139" t="s">
        <v>839</v>
      </c>
      <c r="AB290" s="139" t="s">
        <v>859</v>
      </c>
      <c r="AC290" s="139" t="s">
        <v>860</v>
      </c>
      <c r="AD290" s="139" t="s">
        <v>861</v>
      </c>
      <c r="AE290" s="139" t="s">
        <v>862</v>
      </c>
      <c r="AF290" s="139" t="s">
        <v>590</v>
      </c>
      <c r="AG290" s="139" t="s">
        <v>839</v>
      </c>
      <c r="AH290" s="139" t="s">
        <v>592</v>
      </c>
      <c r="AI290" s="139" t="s">
        <v>429</v>
      </c>
      <c r="AJ290" s="140">
        <v>1999358.34</v>
      </c>
      <c r="AK290" s="139" t="s">
        <v>859</v>
      </c>
      <c r="AL290" s="139" t="s">
        <v>860</v>
      </c>
      <c r="AM290" s="139" t="s">
        <v>861</v>
      </c>
      <c r="AN290" s="139" t="s">
        <v>862</v>
      </c>
      <c r="AO290" s="139" t="s">
        <v>590</v>
      </c>
      <c r="AP290" s="139" t="s">
        <v>839</v>
      </c>
      <c r="AQ290" s="139" t="s">
        <v>592</v>
      </c>
      <c r="AR290" s="139" t="s">
        <v>429</v>
      </c>
      <c r="AS290" s="139" t="s">
        <v>429</v>
      </c>
      <c r="AT290" s="139" t="s">
        <v>593</v>
      </c>
      <c r="AU290" s="139" t="s">
        <v>437</v>
      </c>
      <c r="AV290" s="140">
        <v>2</v>
      </c>
      <c r="AW290" s="139" t="s">
        <v>594</v>
      </c>
      <c r="AX290" s="139" t="s">
        <v>595</v>
      </c>
      <c r="AY290" s="139" t="s">
        <v>722</v>
      </c>
      <c r="AZ290" s="140">
        <v>1</v>
      </c>
      <c r="BA290" s="139" t="s">
        <v>597</v>
      </c>
      <c r="BB290" s="140">
        <v>24990</v>
      </c>
      <c r="BC290" s="140">
        <v>1950574</v>
      </c>
      <c r="BD290" s="140">
        <v>27466.62</v>
      </c>
      <c r="BE290" s="140">
        <v>78.054199999999994</v>
      </c>
      <c r="BF290" s="139" t="s">
        <v>880</v>
      </c>
      <c r="BG290" s="139" t="s">
        <v>583</v>
      </c>
      <c r="BH290" s="139" t="s">
        <v>2021</v>
      </c>
      <c r="BI290" s="139" t="s">
        <v>598</v>
      </c>
      <c r="BJ290" s="139" t="s">
        <v>599</v>
      </c>
      <c r="BK290" s="139" t="s">
        <v>583</v>
      </c>
      <c r="BL290" s="139" t="s">
        <v>583</v>
      </c>
      <c r="BM290" s="139" t="s">
        <v>583</v>
      </c>
      <c r="BN290" s="139" t="s">
        <v>842</v>
      </c>
      <c r="BO290" s="139" t="s">
        <v>843</v>
      </c>
      <c r="BP290" s="139" t="s">
        <v>830</v>
      </c>
      <c r="BQ290" s="139" t="s">
        <v>723</v>
      </c>
      <c r="BR290" s="140">
        <v>1</v>
      </c>
      <c r="BS290" s="139" t="s">
        <v>724</v>
      </c>
      <c r="BT290" s="99">
        <f t="shared" si="18"/>
        <v>1</v>
      </c>
      <c r="BU290" s="99">
        <f t="shared" si="18"/>
        <v>0</v>
      </c>
      <c r="BV290" s="99">
        <f t="shared" si="16"/>
        <v>1</v>
      </c>
      <c r="BW290" s="139" t="s">
        <v>725</v>
      </c>
      <c r="BX290" s="139" t="s">
        <v>2022</v>
      </c>
      <c r="BY290" s="140">
        <v>85</v>
      </c>
      <c r="BZ290" s="140">
        <v>0</v>
      </c>
      <c r="CA290" s="99">
        <v>17000</v>
      </c>
      <c r="CB290" s="140" t="s">
        <v>603</v>
      </c>
      <c r="CC290" s="140">
        <v>0</v>
      </c>
      <c r="CD290" s="140"/>
      <c r="CE290" s="139" t="s">
        <v>577</v>
      </c>
      <c r="CF290" s="139" t="s">
        <v>604</v>
      </c>
      <c r="CG290" s="139" t="s">
        <v>583</v>
      </c>
      <c r="CH290" s="139" t="s">
        <v>583</v>
      </c>
      <c r="CI290" s="139" t="s">
        <v>592</v>
      </c>
      <c r="CJ290" s="140">
        <v>1790</v>
      </c>
      <c r="CK290" s="140" t="s">
        <v>605</v>
      </c>
      <c r="CL290" s="140">
        <v>4000000</v>
      </c>
      <c r="CM290" s="99">
        <v>1700</v>
      </c>
      <c r="CN290" s="140">
        <v>0</v>
      </c>
      <c r="CO290" s="139" t="s">
        <v>583</v>
      </c>
      <c r="CP290" s="139" t="s">
        <v>583</v>
      </c>
      <c r="CQ290" s="140">
        <v>24990</v>
      </c>
      <c r="CR290" s="140">
        <v>1950574</v>
      </c>
      <c r="CS290" s="140">
        <v>0</v>
      </c>
      <c r="CT290" s="140">
        <v>1</v>
      </c>
      <c r="CU290" s="140">
        <v>1999358.34</v>
      </c>
      <c r="CV290" s="99">
        <v>27466.62</v>
      </c>
      <c r="CW290" s="139" t="s">
        <v>606</v>
      </c>
      <c r="CX290" s="140">
        <v>16.1568</v>
      </c>
      <c r="CY290" s="140">
        <v>1535</v>
      </c>
      <c r="CZ290" s="140" t="s">
        <v>1118</v>
      </c>
      <c r="DA290" s="140" t="s">
        <v>1119</v>
      </c>
      <c r="DB290" s="140">
        <v>1630</v>
      </c>
      <c r="DC290" s="140"/>
    </row>
    <row r="291" spans="2:107" ht="11.25" customHeight="1" x14ac:dyDescent="0.15">
      <c r="B291" s="139" t="s">
        <v>577</v>
      </c>
      <c r="C291" s="140" t="s">
        <v>2015</v>
      </c>
      <c r="D291" s="140">
        <v>2</v>
      </c>
      <c r="E291" s="139" t="s">
        <v>2023</v>
      </c>
      <c r="F291" s="139" t="s">
        <v>618</v>
      </c>
      <c r="G291" s="140" t="s">
        <v>2015</v>
      </c>
      <c r="H291" s="139" t="s">
        <v>2024</v>
      </c>
      <c r="I291" s="140" t="s">
        <v>421</v>
      </c>
      <c r="J291" s="139" t="s">
        <v>582</v>
      </c>
      <c r="K291" s="139" t="s">
        <v>583</v>
      </c>
      <c r="L291" s="139" t="s">
        <v>583</v>
      </c>
      <c r="M291" s="139" t="s">
        <v>583</v>
      </c>
      <c r="N291" s="139" t="s">
        <v>660</v>
      </c>
      <c r="O291" s="139" t="s">
        <v>708</v>
      </c>
      <c r="P291" s="139" t="s">
        <v>583</v>
      </c>
      <c r="Q291" s="139" t="s">
        <v>583</v>
      </c>
      <c r="R291" s="140">
        <v>1</v>
      </c>
      <c r="S291" s="140">
        <v>0</v>
      </c>
      <c r="T291" s="140">
        <v>1</v>
      </c>
      <c r="U291" s="140">
        <v>282</v>
      </c>
      <c r="V291" s="139" t="s">
        <v>945</v>
      </c>
      <c r="W291" s="139" t="s">
        <v>946</v>
      </c>
      <c r="X291" s="139" t="s">
        <v>947</v>
      </c>
      <c r="Y291" s="139" t="s">
        <v>948</v>
      </c>
      <c r="Z291" s="139" t="s">
        <v>949</v>
      </c>
      <c r="AA291" s="139" t="s">
        <v>950</v>
      </c>
      <c r="AB291" s="139" t="s">
        <v>945</v>
      </c>
      <c r="AC291" s="139" t="s">
        <v>946</v>
      </c>
      <c r="AD291" s="139" t="s">
        <v>947</v>
      </c>
      <c r="AE291" s="139" t="s">
        <v>948</v>
      </c>
      <c r="AF291" s="139" t="s">
        <v>949</v>
      </c>
      <c r="AG291" s="139" t="s">
        <v>950</v>
      </c>
      <c r="AH291" s="139" t="s">
        <v>621</v>
      </c>
      <c r="AI291" s="139" t="s">
        <v>430</v>
      </c>
      <c r="AJ291" s="140">
        <v>6097125.7800000003</v>
      </c>
      <c r="AK291" s="139" t="s">
        <v>945</v>
      </c>
      <c r="AL291" s="139" t="s">
        <v>946</v>
      </c>
      <c r="AM291" s="139" t="s">
        <v>947</v>
      </c>
      <c r="AN291" s="139" t="s">
        <v>948</v>
      </c>
      <c r="AO291" s="139" t="s">
        <v>949</v>
      </c>
      <c r="AP291" s="139" t="s">
        <v>950</v>
      </c>
      <c r="AQ291" s="139" t="s">
        <v>621</v>
      </c>
      <c r="AR291" s="139" t="s">
        <v>430</v>
      </c>
      <c r="AS291" s="139" t="s">
        <v>430</v>
      </c>
      <c r="AT291" s="139" t="s">
        <v>593</v>
      </c>
      <c r="AU291" s="139" t="s">
        <v>437</v>
      </c>
      <c r="AV291" s="140">
        <v>0</v>
      </c>
      <c r="AW291" s="139" t="s">
        <v>594</v>
      </c>
      <c r="AX291" s="139" t="s">
        <v>622</v>
      </c>
      <c r="AY291" s="139" t="s">
        <v>623</v>
      </c>
      <c r="AZ291" s="140">
        <v>1</v>
      </c>
      <c r="BA291" s="139" t="s">
        <v>951</v>
      </c>
      <c r="BB291" s="140">
        <v>112465.29</v>
      </c>
      <c r="BC291" s="140">
        <v>6097126</v>
      </c>
      <c r="BD291" s="140">
        <v>83760.59</v>
      </c>
      <c r="BE291" s="140">
        <v>54.2134</v>
      </c>
      <c r="BF291" s="139" t="s">
        <v>880</v>
      </c>
      <c r="BG291" s="139" t="s">
        <v>582</v>
      </c>
      <c r="BH291" s="139" t="s">
        <v>952</v>
      </c>
      <c r="BI291" s="139" t="s">
        <v>598</v>
      </c>
      <c r="BJ291" s="139" t="s">
        <v>624</v>
      </c>
      <c r="BK291" s="139" t="s">
        <v>882</v>
      </c>
      <c r="BL291" s="139" t="s">
        <v>583</v>
      </c>
      <c r="BM291" s="139" t="s">
        <v>953</v>
      </c>
      <c r="BN291" s="139" t="s">
        <v>583</v>
      </c>
      <c r="BO291" s="139" t="s">
        <v>623</v>
      </c>
      <c r="BP291" s="139" t="s">
        <v>1692</v>
      </c>
      <c r="BQ291" s="139" t="s">
        <v>625</v>
      </c>
      <c r="BR291" s="140">
        <v>1</v>
      </c>
      <c r="BS291" s="139" t="s">
        <v>2025</v>
      </c>
      <c r="BT291" s="99">
        <f t="shared" si="18"/>
        <v>0</v>
      </c>
      <c r="BU291" s="99">
        <f t="shared" si="18"/>
        <v>1</v>
      </c>
      <c r="BV291" s="99">
        <f t="shared" si="16"/>
        <v>1</v>
      </c>
      <c r="BW291" s="139" t="s">
        <v>635</v>
      </c>
      <c r="BX291" s="139" t="s">
        <v>441</v>
      </c>
      <c r="BY291" s="140">
        <v>282</v>
      </c>
      <c r="BZ291" s="140">
        <v>0</v>
      </c>
      <c r="CA291" s="99">
        <v>56400</v>
      </c>
      <c r="CB291" s="140" t="s">
        <v>603</v>
      </c>
      <c r="CC291" s="140">
        <v>0</v>
      </c>
      <c r="CD291" s="140"/>
      <c r="CE291" s="139" t="s">
        <v>577</v>
      </c>
      <c r="CF291" s="139" t="s">
        <v>604</v>
      </c>
      <c r="CG291" s="139" t="s">
        <v>583</v>
      </c>
      <c r="CH291" s="139" t="s">
        <v>583</v>
      </c>
      <c r="CI291" s="139" t="s">
        <v>621</v>
      </c>
      <c r="CJ291" s="140">
        <v>5640</v>
      </c>
      <c r="CK291" s="140" t="s">
        <v>605</v>
      </c>
      <c r="CL291" s="140">
        <v>4000000</v>
      </c>
      <c r="CM291" s="99">
        <v>5076</v>
      </c>
      <c r="CN291" s="140">
        <v>0</v>
      </c>
      <c r="CO291" s="139" t="s">
        <v>583</v>
      </c>
      <c r="CP291" s="139" t="s">
        <v>583</v>
      </c>
      <c r="CQ291" s="140">
        <v>112465.29</v>
      </c>
      <c r="CR291" s="140">
        <v>6097126</v>
      </c>
      <c r="CS291" s="140">
        <v>0</v>
      </c>
      <c r="CT291" s="140">
        <v>1</v>
      </c>
      <c r="CU291" s="140">
        <v>6097125.7800000003</v>
      </c>
      <c r="CV291" s="99">
        <v>83760.59</v>
      </c>
      <c r="CW291" s="139" t="s">
        <v>606</v>
      </c>
      <c r="CX291" s="140">
        <v>16.501300000000001</v>
      </c>
      <c r="CY291" s="140"/>
      <c r="CZ291" s="140"/>
      <c r="DA291" s="140" t="s">
        <v>933</v>
      </c>
      <c r="DB291" s="140">
        <v>608</v>
      </c>
      <c r="DC291" s="140"/>
    </row>
    <row r="292" spans="2:107" ht="11.25" customHeight="1" x14ac:dyDescent="0.15">
      <c r="B292" s="139" t="s">
        <v>577</v>
      </c>
      <c r="C292" s="140" t="s">
        <v>2015</v>
      </c>
      <c r="D292" s="140">
        <v>2</v>
      </c>
      <c r="E292" s="139" t="s">
        <v>2026</v>
      </c>
      <c r="F292" s="139" t="s">
        <v>618</v>
      </c>
      <c r="G292" s="140" t="s">
        <v>2015</v>
      </c>
      <c r="H292" s="139" t="s">
        <v>2027</v>
      </c>
      <c r="I292" s="140" t="s">
        <v>421</v>
      </c>
      <c r="J292" s="139" t="s">
        <v>582</v>
      </c>
      <c r="K292" s="139" t="s">
        <v>583</v>
      </c>
      <c r="L292" s="139" t="s">
        <v>583</v>
      </c>
      <c r="M292" s="139" t="s">
        <v>583</v>
      </c>
      <c r="N292" s="139" t="s">
        <v>441</v>
      </c>
      <c r="O292" s="139" t="s">
        <v>1107</v>
      </c>
      <c r="P292" s="139" t="s">
        <v>583</v>
      </c>
      <c r="Q292" s="139" t="s">
        <v>583</v>
      </c>
      <c r="R292" s="140">
        <v>1</v>
      </c>
      <c r="S292" s="140">
        <v>0</v>
      </c>
      <c r="T292" s="140">
        <v>1</v>
      </c>
      <c r="U292" s="140">
        <v>80</v>
      </c>
      <c r="V292" s="139" t="s">
        <v>640</v>
      </c>
      <c r="W292" s="139" t="s">
        <v>641</v>
      </c>
      <c r="X292" s="139" t="s">
        <v>642</v>
      </c>
      <c r="Y292" s="139" t="s">
        <v>643</v>
      </c>
      <c r="Z292" s="139" t="s">
        <v>644</v>
      </c>
      <c r="AA292" s="139" t="s">
        <v>645</v>
      </c>
      <c r="AB292" s="139" t="s">
        <v>640</v>
      </c>
      <c r="AC292" s="139" t="s">
        <v>641</v>
      </c>
      <c r="AD292" s="139" t="s">
        <v>642</v>
      </c>
      <c r="AE292" s="139" t="s">
        <v>643</v>
      </c>
      <c r="AF292" s="139" t="s">
        <v>644</v>
      </c>
      <c r="AG292" s="139" t="s">
        <v>645</v>
      </c>
      <c r="AH292" s="139" t="s">
        <v>621</v>
      </c>
      <c r="AI292" s="139" t="s">
        <v>430</v>
      </c>
      <c r="AJ292" s="140">
        <v>1898278.14</v>
      </c>
      <c r="AK292" s="139" t="s">
        <v>640</v>
      </c>
      <c r="AL292" s="139" t="s">
        <v>641</v>
      </c>
      <c r="AM292" s="139" t="s">
        <v>642</v>
      </c>
      <c r="AN292" s="139" t="s">
        <v>643</v>
      </c>
      <c r="AO292" s="139" t="s">
        <v>644</v>
      </c>
      <c r="AP292" s="139" t="s">
        <v>645</v>
      </c>
      <c r="AQ292" s="139" t="s">
        <v>621</v>
      </c>
      <c r="AR292" s="139" t="s">
        <v>430</v>
      </c>
      <c r="AS292" s="139" t="s">
        <v>430</v>
      </c>
      <c r="AT292" s="139" t="s">
        <v>593</v>
      </c>
      <c r="AU292" s="139" t="s">
        <v>437</v>
      </c>
      <c r="AV292" s="140">
        <v>0</v>
      </c>
      <c r="AW292" s="139" t="s">
        <v>594</v>
      </c>
      <c r="AX292" s="139" t="s">
        <v>622</v>
      </c>
      <c r="AY292" s="139" t="s">
        <v>646</v>
      </c>
      <c r="AZ292" s="140">
        <v>1</v>
      </c>
      <c r="BA292" s="139" t="s">
        <v>597</v>
      </c>
      <c r="BB292" s="140">
        <v>24320</v>
      </c>
      <c r="BC292" s="140">
        <v>1898278</v>
      </c>
      <c r="BD292" s="140">
        <v>26078.01</v>
      </c>
      <c r="BE292" s="140">
        <v>78.054199999999994</v>
      </c>
      <c r="BF292" s="139" t="s">
        <v>880</v>
      </c>
      <c r="BG292" s="139" t="s">
        <v>582</v>
      </c>
      <c r="BH292" s="139" t="s">
        <v>938</v>
      </c>
      <c r="BI292" s="139" t="s">
        <v>598</v>
      </c>
      <c r="BJ292" s="139" t="s">
        <v>624</v>
      </c>
      <c r="BK292" s="139" t="s">
        <v>882</v>
      </c>
      <c r="BL292" s="139" t="s">
        <v>583</v>
      </c>
      <c r="BM292" s="139" t="s">
        <v>939</v>
      </c>
      <c r="BN292" s="139" t="s">
        <v>583</v>
      </c>
      <c r="BO292" s="139" t="s">
        <v>623</v>
      </c>
      <c r="BP292" s="139" t="s">
        <v>1692</v>
      </c>
      <c r="BQ292" s="139" t="s">
        <v>625</v>
      </c>
      <c r="BR292" s="140">
        <v>1</v>
      </c>
      <c r="BS292" s="139" t="s">
        <v>1108</v>
      </c>
      <c r="BT292" s="99">
        <f t="shared" si="18"/>
        <v>0</v>
      </c>
      <c r="BU292" s="99">
        <f t="shared" si="18"/>
        <v>0</v>
      </c>
      <c r="BV292" s="99">
        <f t="shared" si="16"/>
        <v>0</v>
      </c>
      <c r="BW292" s="139" t="s">
        <v>446</v>
      </c>
      <c r="BX292" s="139" t="s">
        <v>441</v>
      </c>
      <c r="BY292" s="140">
        <v>80</v>
      </c>
      <c r="BZ292" s="140">
        <v>0</v>
      </c>
      <c r="CA292" s="99">
        <v>16000</v>
      </c>
      <c r="CB292" s="140" t="s">
        <v>603</v>
      </c>
      <c r="CC292" s="140">
        <v>0</v>
      </c>
      <c r="CD292" s="140"/>
      <c r="CE292" s="139" t="s">
        <v>577</v>
      </c>
      <c r="CF292" s="139" t="s">
        <v>604</v>
      </c>
      <c r="CG292" s="139" t="s">
        <v>583</v>
      </c>
      <c r="CH292" s="139" t="s">
        <v>583</v>
      </c>
      <c r="CI292" s="139" t="s">
        <v>621</v>
      </c>
      <c r="CJ292" s="140">
        <v>1684</v>
      </c>
      <c r="CK292" s="140" t="s">
        <v>605</v>
      </c>
      <c r="CL292" s="140">
        <v>4000000</v>
      </c>
      <c r="CM292" s="99">
        <v>1440</v>
      </c>
      <c r="CN292" s="140">
        <v>0</v>
      </c>
      <c r="CO292" s="139" t="s">
        <v>583</v>
      </c>
      <c r="CP292" s="139" t="s">
        <v>583</v>
      </c>
      <c r="CQ292" s="140">
        <v>24320</v>
      </c>
      <c r="CR292" s="140">
        <v>1898278</v>
      </c>
      <c r="CS292" s="140">
        <v>0</v>
      </c>
      <c r="CT292" s="140">
        <v>1</v>
      </c>
      <c r="CU292" s="140">
        <v>1898278.14</v>
      </c>
      <c r="CV292" s="99">
        <v>26078.01</v>
      </c>
      <c r="CW292" s="139" t="s">
        <v>606</v>
      </c>
      <c r="CX292" s="140">
        <v>18.1097</v>
      </c>
      <c r="CY292" s="140"/>
      <c r="CZ292" s="140"/>
      <c r="DA292" s="140" t="s">
        <v>941</v>
      </c>
      <c r="DB292" s="140">
        <v>787</v>
      </c>
      <c r="DC292" s="140"/>
    </row>
    <row r="293" spans="2:107" ht="11.25" customHeight="1" x14ac:dyDescent="0.15">
      <c r="B293" s="139" t="s">
        <v>577</v>
      </c>
      <c r="C293" s="140" t="s">
        <v>2028</v>
      </c>
      <c r="D293" s="140">
        <v>2</v>
      </c>
      <c r="E293" s="139" t="s">
        <v>2029</v>
      </c>
      <c r="F293" s="139" t="s">
        <v>729</v>
      </c>
      <c r="G293" s="140" t="s">
        <v>2028</v>
      </c>
      <c r="H293" s="139" t="s">
        <v>2030</v>
      </c>
      <c r="I293" s="140" t="s">
        <v>421</v>
      </c>
      <c r="J293" s="139" t="s">
        <v>582</v>
      </c>
      <c r="K293" s="139" t="s">
        <v>583</v>
      </c>
      <c r="L293" s="139" t="s">
        <v>583</v>
      </c>
      <c r="M293" s="139" t="s">
        <v>583</v>
      </c>
      <c r="N293" s="139" t="s">
        <v>444</v>
      </c>
      <c r="O293" s="139" t="s">
        <v>1128</v>
      </c>
      <c r="P293" s="139" t="s">
        <v>583</v>
      </c>
      <c r="Q293" s="139" t="s">
        <v>583</v>
      </c>
      <c r="R293" s="140">
        <v>1</v>
      </c>
      <c r="S293" s="140">
        <v>0</v>
      </c>
      <c r="T293" s="140">
        <v>1</v>
      </c>
      <c r="U293" s="140">
        <v>12</v>
      </c>
      <c r="V293" s="139" t="s">
        <v>709</v>
      </c>
      <c r="W293" s="139" t="s">
        <v>710</v>
      </c>
      <c r="X293" s="139" t="s">
        <v>711</v>
      </c>
      <c r="Y293" s="139" t="s">
        <v>789</v>
      </c>
      <c r="Z293" s="139" t="s">
        <v>713</v>
      </c>
      <c r="AA293" s="139" t="s">
        <v>714</v>
      </c>
      <c r="AB293" s="139" t="s">
        <v>709</v>
      </c>
      <c r="AC293" s="139" t="s">
        <v>710</v>
      </c>
      <c r="AD293" s="139" t="s">
        <v>711</v>
      </c>
      <c r="AE293" s="139" t="s">
        <v>789</v>
      </c>
      <c r="AF293" s="139" t="s">
        <v>713</v>
      </c>
      <c r="AG293" s="139" t="s">
        <v>714</v>
      </c>
      <c r="AH293" s="139" t="s">
        <v>751</v>
      </c>
      <c r="AI293" s="139" t="s">
        <v>433</v>
      </c>
      <c r="AJ293" s="140">
        <v>6287343.8600000003</v>
      </c>
      <c r="AK293" s="139" t="s">
        <v>709</v>
      </c>
      <c r="AL293" s="139" t="s">
        <v>710</v>
      </c>
      <c r="AM293" s="139" t="s">
        <v>711</v>
      </c>
      <c r="AN293" s="139" t="s">
        <v>789</v>
      </c>
      <c r="AO293" s="139" t="s">
        <v>713</v>
      </c>
      <c r="AP293" s="139" t="s">
        <v>714</v>
      </c>
      <c r="AQ293" s="139" t="s">
        <v>751</v>
      </c>
      <c r="AR293" s="139" t="s">
        <v>433</v>
      </c>
      <c r="AS293" s="139" t="s">
        <v>433</v>
      </c>
      <c r="AT293" s="139" t="s">
        <v>593</v>
      </c>
      <c r="AU293" s="139" t="s">
        <v>437</v>
      </c>
      <c r="AV293" s="140">
        <v>2</v>
      </c>
      <c r="AW293" s="139" t="s">
        <v>594</v>
      </c>
      <c r="AX293" s="139" t="s">
        <v>653</v>
      </c>
      <c r="AY293" s="139" t="s">
        <v>790</v>
      </c>
      <c r="AZ293" s="140">
        <v>1</v>
      </c>
      <c r="BA293" s="139" t="s">
        <v>597</v>
      </c>
      <c r="BB293" s="140">
        <v>80551</v>
      </c>
      <c r="BC293" s="140">
        <v>6287344</v>
      </c>
      <c r="BD293" s="140">
        <v>86373.75</v>
      </c>
      <c r="BE293" s="140">
        <v>78.054199999999994</v>
      </c>
      <c r="BF293" s="139" t="s">
        <v>880</v>
      </c>
      <c r="BG293" s="139" t="s">
        <v>583</v>
      </c>
      <c r="BH293" s="139" t="s">
        <v>1059</v>
      </c>
      <c r="BI293" s="139" t="s">
        <v>598</v>
      </c>
      <c r="BJ293" s="139" t="s">
        <v>599</v>
      </c>
      <c r="BK293" s="139" t="s">
        <v>583</v>
      </c>
      <c r="BL293" s="139" t="s">
        <v>1060</v>
      </c>
      <c r="BM293" s="139" t="s">
        <v>583</v>
      </c>
      <c r="BN293" s="139" t="s">
        <v>842</v>
      </c>
      <c r="BO293" s="139" t="s">
        <v>843</v>
      </c>
      <c r="BP293" s="139" t="s">
        <v>830</v>
      </c>
      <c r="BQ293" s="139" t="s">
        <v>723</v>
      </c>
      <c r="BR293" s="140">
        <v>1</v>
      </c>
      <c r="BS293" s="139" t="s">
        <v>791</v>
      </c>
      <c r="BT293" s="99">
        <f t="shared" si="18"/>
        <v>0</v>
      </c>
      <c r="BU293" s="99">
        <f t="shared" si="18"/>
        <v>0</v>
      </c>
      <c r="BV293" s="99">
        <f t="shared" si="16"/>
        <v>0</v>
      </c>
      <c r="BW293" s="139" t="s">
        <v>602</v>
      </c>
      <c r="BX293" s="139" t="s">
        <v>443</v>
      </c>
      <c r="BY293" s="140">
        <v>12</v>
      </c>
      <c r="BZ293" s="140">
        <v>0</v>
      </c>
      <c r="CA293" s="99">
        <v>55400</v>
      </c>
      <c r="CB293" s="140" t="s">
        <v>603</v>
      </c>
      <c r="CC293" s="140">
        <v>0</v>
      </c>
      <c r="CD293" s="140"/>
      <c r="CE293" s="139" t="s">
        <v>577</v>
      </c>
      <c r="CF293" s="139" t="s">
        <v>604</v>
      </c>
      <c r="CG293" s="139" t="s">
        <v>583</v>
      </c>
      <c r="CH293" s="139" t="s">
        <v>583</v>
      </c>
      <c r="CI293" s="139" t="s">
        <v>751</v>
      </c>
      <c r="CJ293" s="140">
        <v>5817</v>
      </c>
      <c r="CK293" s="140" t="s">
        <v>605</v>
      </c>
      <c r="CL293" s="140">
        <v>4000000</v>
      </c>
      <c r="CM293" s="99">
        <v>5540</v>
      </c>
      <c r="CN293" s="140">
        <v>0</v>
      </c>
      <c r="CO293" s="139" t="s">
        <v>583</v>
      </c>
      <c r="CP293" s="139" t="s">
        <v>583</v>
      </c>
      <c r="CQ293" s="140">
        <v>80551</v>
      </c>
      <c r="CR293" s="140">
        <v>6287344</v>
      </c>
      <c r="CS293" s="140">
        <v>0</v>
      </c>
      <c r="CT293" s="140">
        <v>1</v>
      </c>
      <c r="CU293" s="140">
        <v>6287343.8600000003</v>
      </c>
      <c r="CV293" s="99">
        <v>86373.75</v>
      </c>
      <c r="CW293" s="139" t="s">
        <v>606</v>
      </c>
      <c r="CX293" s="140">
        <v>15.5909</v>
      </c>
      <c r="CY293" s="140">
        <v>35</v>
      </c>
      <c r="CZ293" s="140" t="s">
        <v>1062</v>
      </c>
      <c r="DA293" s="140" t="s">
        <v>1363</v>
      </c>
      <c r="DB293" s="140">
        <v>65</v>
      </c>
      <c r="DC293" s="140"/>
    </row>
    <row r="294" spans="2:107" ht="11.25" customHeight="1" x14ac:dyDescent="0.15">
      <c r="B294" s="139" t="s">
        <v>577</v>
      </c>
      <c r="C294" s="140" t="s">
        <v>2028</v>
      </c>
      <c r="D294" s="140">
        <v>2</v>
      </c>
      <c r="E294" s="139" t="s">
        <v>2031</v>
      </c>
      <c r="F294" s="139" t="s">
        <v>718</v>
      </c>
      <c r="G294" s="140" t="s">
        <v>2028</v>
      </c>
      <c r="H294" s="139" t="s">
        <v>2032</v>
      </c>
      <c r="I294" s="140" t="s">
        <v>421</v>
      </c>
      <c r="J294" s="139" t="s">
        <v>582</v>
      </c>
      <c r="K294" s="139" t="s">
        <v>583</v>
      </c>
      <c r="L294" s="139" t="s">
        <v>583</v>
      </c>
      <c r="M294" s="139" t="s">
        <v>583</v>
      </c>
      <c r="N294" s="139" t="s">
        <v>1747</v>
      </c>
      <c r="O294" s="139" t="s">
        <v>1648</v>
      </c>
      <c r="P294" s="139" t="s">
        <v>583</v>
      </c>
      <c r="Q294" s="139" t="s">
        <v>583</v>
      </c>
      <c r="R294" s="140">
        <v>1</v>
      </c>
      <c r="S294" s="140">
        <v>0</v>
      </c>
      <c r="T294" s="140">
        <v>1</v>
      </c>
      <c r="U294" s="140">
        <v>4</v>
      </c>
      <c r="V294" s="139" t="s">
        <v>662</v>
      </c>
      <c r="W294" s="139" t="s">
        <v>663</v>
      </c>
      <c r="X294" s="139" t="s">
        <v>664</v>
      </c>
      <c r="Y294" s="139" t="s">
        <v>665</v>
      </c>
      <c r="Z294" s="139" t="s">
        <v>666</v>
      </c>
      <c r="AA294" s="139" t="s">
        <v>667</v>
      </c>
      <c r="AB294" s="139" t="s">
        <v>662</v>
      </c>
      <c r="AC294" s="139" t="s">
        <v>663</v>
      </c>
      <c r="AD294" s="139" t="s">
        <v>664</v>
      </c>
      <c r="AE294" s="139" t="s">
        <v>665</v>
      </c>
      <c r="AF294" s="139" t="s">
        <v>666</v>
      </c>
      <c r="AG294" s="139" t="s">
        <v>667</v>
      </c>
      <c r="AH294" s="139" t="s">
        <v>1549</v>
      </c>
      <c r="AI294" s="139" t="s">
        <v>436</v>
      </c>
      <c r="AJ294" s="140">
        <v>2384555.81</v>
      </c>
      <c r="AK294" s="139" t="s">
        <v>662</v>
      </c>
      <c r="AL294" s="139" t="s">
        <v>663</v>
      </c>
      <c r="AM294" s="139" t="s">
        <v>664</v>
      </c>
      <c r="AN294" s="139" t="s">
        <v>665</v>
      </c>
      <c r="AO294" s="139" t="s">
        <v>666</v>
      </c>
      <c r="AP294" s="139" t="s">
        <v>667</v>
      </c>
      <c r="AQ294" s="139" t="s">
        <v>1549</v>
      </c>
      <c r="AR294" s="139" t="s">
        <v>436</v>
      </c>
      <c r="AS294" s="139" t="s">
        <v>436</v>
      </c>
      <c r="AT294" s="139" t="s">
        <v>593</v>
      </c>
      <c r="AU294" s="139" t="s">
        <v>437</v>
      </c>
      <c r="AV294" s="140">
        <v>2</v>
      </c>
      <c r="AW294" s="139" t="s">
        <v>594</v>
      </c>
      <c r="AX294" s="139" t="s">
        <v>595</v>
      </c>
      <c r="AY294" s="139" t="s">
        <v>1966</v>
      </c>
      <c r="AZ294" s="140">
        <v>1</v>
      </c>
      <c r="BA294" s="139" t="s">
        <v>597</v>
      </c>
      <c r="BB294" s="140">
        <v>26000</v>
      </c>
      <c r="BC294" s="140">
        <v>2029409</v>
      </c>
      <c r="BD294" s="140">
        <v>32758.35</v>
      </c>
      <c r="BE294" s="140">
        <v>78.054199999999994</v>
      </c>
      <c r="BF294" s="139" t="s">
        <v>880</v>
      </c>
      <c r="BG294" s="139" t="s">
        <v>735</v>
      </c>
      <c r="BH294" s="139" t="s">
        <v>1551</v>
      </c>
      <c r="BI294" s="139" t="s">
        <v>598</v>
      </c>
      <c r="BJ294" s="139" t="s">
        <v>599</v>
      </c>
      <c r="BK294" s="139" t="s">
        <v>583</v>
      </c>
      <c r="BL294" s="139" t="s">
        <v>583</v>
      </c>
      <c r="BM294" s="139" t="s">
        <v>583</v>
      </c>
      <c r="BN294" s="139" t="s">
        <v>842</v>
      </c>
      <c r="BO294" s="139" t="s">
        <v>843</v>
      </c>
      <c r="BP294" s="139" t="s">
        <v>830</v>
      </c>
      <c r="BQ294" s="139" t="s">
        <v>723</v>
      </c>
      <c r="BR294" s="140">
        <v>1</v>
      </c>
      <c r="BS294" s="139" t="s">
        <v>1552</v>
      </c>
      <c r="BT294" s="99">
        <f t="shared" si="18"/>
        <v>1</v>
      </c>
      <c r="BU294" s="99">
        <f t="shared" si="18"/>
        <v>0</v>
      </c>
      <c r="BV294" s="99">
        <f t="shared" si="16"/>
        <v>1</v>
      </c>
      <c r="BW294" s="139" t="s">
        <v>602</v>
      </c>
      <c r="BX294" s="139" t="s">
        <v>1968</v>
      </c>
      <c r="BY294" s="140">
        <v>4</v>
      </c>
      <c r="BZ294" s="140">
        <v>0</v>
      </c>
      <c r="CA294" s="99">
        <v>20000</v>
      </c>
      <c r="CB294" s="140" t="s">
        <v>603</v>
      </c>
      <c r="CC294" s="140">
        <v>0</v>
      </c>
      <c r="CD294" s="140"/>
      <c r="CE294" s="139" t="s">
        <v>577</v>
      </c>
      <c r="CF294" s="139" t="s">
        <v>604</v>
      </c>
      <c r="CG294" s="139" t="s">
        <v>583</v>
      </c>
      <c r="CH294" s="139" t="s">
        <v>583</v>
      </c>
      <c r="CI294" s="139" t="s">
        <v>1549</v>
      </c>
      <c r="CJ294" s="140">
        <v>2100</v>
      </c>
      <c r="CK294" s="140" t="s">
        <v>605</v>
      </c>
      <c r="CL294" s="140">
        <v>4000000</v>
      </c>
      <c r="CM294" s="99">
        <v>1900</v>
      </c>
      <c r="CN294" s="140">
        <v>0</v>
      </c>
      <c r="CO294" s="139" t="s">
        <v>583</v>
      </c>
      <c r="CP294" s="139" t="s">
        <v>583</v>
      </c>
      <c r="CQ294" s="140">
        <v>26000</v>
      </c>
      <c r="CR294" s="140">
        <v>2029409</v>
      </c>
      <c r="CS294" s="140">
        <v>0</v>
      </c>
      <c r="CT294" s="140">
        <v>1</v>
      </c>
      <c r="CU294" s="140">
        <v>2384555.81</v>
      </c>
      <c r="CV294" s="99">
        <v>32758.35</v>
      </c>
      <c r="CW294" s="139" t="s">
        <v>606</v>
      </c>
      <c r="CX294" s="140">
        <v>17.241199999999999</v>
      </c>
      <c r="CY294" s="140"/>
      <c r="CZ294" s="140"/>
      <c r="DA294" s="140" t="s">
        <v>926</v>
      </c>
      <c r="DB294" s="140">
        <v>39</v>
      </c>
      <c r="DC294" s="140"/>
    </row>
    <row r="295" spans="2:107" ht="11.25" customHeight="1" x14ac:dyDescent="0.15">
      <c r="B295" s="139" t="s">
        <v>577</v>
      </c>
      <c r="C295" s="140" t="s">
        <v>2033</v>
      </c>
      <c r="D295" s="140">
        <v>2</v>
      </c>
      <c r="E295" s="139" t="s">
        <v>2034</v>
      </c>
      <c r="F295" s="139" t="s">
        <v>580</v>
      </c>
      <c r="G295" s="140" t="s">
        <v>2033</v>
      </c>
      <c r="H295" s="139" t="s">
        <v>2035</v>
      </c>
      <c r="I295" s="140" t="s">
        <v>421</v>
      </c>
      <c r="J295" s="139" t="s">
        <v>582</v>
      </c>
      <c r="K295" s="139" t="s">
        <v>583</v>
      </c>
      <c r="L295" s="139" t="s">
        <v>583</v>
      </c>
      <c r="M295" s="139" t="s">
        <v>583</v>
      </c>
      <c r="N295" s="139" t="s">
        <v>757</v>
      </c>
      <c r="O295" s="139" t="s">
        <v>849</v>
      </c>
      <c r="P295" s="139" t="s">
        <v>583</v>
      </c>
      <c r="Q295" s="139" t="s">
        <v>583</v>
      </c>
      <c r="R295" s="140">
        <v>1</v>
      </c>
      <c r="S295" s="140">
        <v>0</v>
      </c>
      <c r="T295" s="140">
        <v>1</v>
      </c>
      <c r="U295" s="140">
        <v>8</v>
      </c>
      <c r="V295" s="139" t="s">
        <v>586</v>
      </c>
      <c r="W295" s="139" t="s">
        <v>587</v>
      </c>
      <c r="X295" s="139" t="s">
        <v>588</v>
      </c>
      <c r="Y295" s="139" t="s">
        <v>589</v>
      </c>
      <c r="Z295" s="139" t="s">
        <v>590</v>
      </c>
      <c r="AA295" s="139" t="s">
        <v>591</v>
      </c>
      <c r="AB295" s="139" t="s">
        <v>586</v>
      </c>
      <c r="AC295" s="139" t="s">
        <v>587</v>
      </c>
      <c r="AD295" s="139" t="s">
        <v>588</v>
      </c>
      <c r="AE295" s="139" t="s">
        <v>589</v>
      </c>
      <c r="AF295" s="139" t="s">
        <v>590</v>
      </c>
      <c r="AG295" s="139" t="s">
        <v>591</v>
      </c>
      <c r="AH295" s="139" t="s">
        <v>759</v>
      </c>
      <c r="AI295" s="139" t="s">
        <v>434</v>
      </c>
      <c r="AJ295" s="140">
        <v>4165110.37</v>
      </c>
      <c r="AK295" s="139" t="s">
        <v>586</v>
      </c>
      <c r="AL295" s="139" t="s">
        <v>587</v>
      </c>
      <c r="AM295" s="139" t="s">
        <v>588</v>
      </c>
      <c r="AN295" s="139" t="s">
        <v>589</v>
      </c>
      <c r="AO295" s="139" t="s">
        <v>590</v>
      </c>
      <c r="AP295" s="139" t="s">
        <v>591</v>
      </c>
      <c r="AQ295" s="139" t="s">
        <v>759</v>
      </c>
      <c r="AR295" s="139" t="s">
        <v>434</v>
      </c>
      <c r="AS295" s="139" t="s">
        <v>434</v>
      </c>
      <c r="AT295" s="139" t="s">
        <v>593</v>
      </c>
      <c r="AU295" s="139" t="s">
        <v>437</v>
      </c>
      <c r="AV295" s="140">
        <v>2</v>
      </c>
      <c r="AW295" s="139" t="s">
        <v>594</v>
      </c>
      <c r="AX295" s="139" t="s">
        <v>653</v>
      </c>
      <c r="AY295" s="139" t="s">
        <v>850</v>
      </c>
      <c r="AZ295" s="140">
        <v>1</v>
      </c>
      <c r="BA295" s="139" t="s">
        <v>597</v>
      </c>
      <c r="BB295" s="140">
        <v>54870</v>
      </c>
      <c r="BC295" s="140">
        <v>4165110</v>
      </c>
      <c r="BD295" s="140">
        <v>58752.57</v>
      </c>
      <c r="BE295" s="140">
        <v>75.908699999999996</v>
      </c>
      <c r="BF295" s="139" t="s">
        <v>880</v>
      </c>
      <c r="BG295" s="139" t="s">
        <v>583</v>
      </c>
      <c r="BH295" s="139" t="s">
        <v>851</v>
      </c>
      <c r="BI295" s="139" t="s">
        <v>598</v>
      </c>
      <c r="BJ295" s="139" t="s">
        <v>1100</v>
      </c>
      <c r="BK295" s="139" t="s">
        <v>1101</v>
      </c>
      <c r="BL295" s="139" t="s">
        <v>1101</v>
      </c>
      <c r="BM295" s="139" t="s">
        <v>583</v>
      </c>
      <c r="BN295" s="139" t="s">
        <v>1102</v>
      </c>
      <c r="BO295" s="139" t="s">
        <v>850</v>
      </c>
      <c r="BP295" s="139" t="s">
        <v>1686</v>
      </c>
      <c r="BQ295" s="139" t="s">
        <v>600</v>
      </c>
      <c r="BR295" s="140">
        <v>1</v>
      </c>
      <c r="BS295" s="139" t="s">
        <v>601</v>
      </c>
      <c r="BT295" s="99">
        <f t="shared" si="18"/>
        <v>0</v>
      </c>
      <c r="BU295" s="99">
        <f t="shared" si="18"/>
        <v>1</v>
      </c>
      <c r="BV295" s="99">
        <f t="shared" si="16"/>
        <v>1</v>
      </c>
      <c r="BW295" s="139" t="s">
        <v>602</v>
      </c>
      <c r="BX295" s="139" t="s">
        <v>757</v>
      </c>
      <c r="BY295" s="140">
        <v>8</v>
      </c>
      <c r="BZ295" s="140">
        <v>0</v>
      </c>
      <c r="CA295" s="99">
        <v>35400</v>
      </c>
      <c r="CB295" s="140" t="s">
        <v>603</v>
      </c>
      <c r="CC295" s="140">
        <v>0</v>
      </c>
      <c r="CD295" s="140"/>
      <c r="CE295" s="139" t="s">
        <v>577</v>
      </c>
      <c r="CF295" s="139" t="s">
        <v>604</v>
      </c>
      <c r="CG295" s="139" t="s">
        <v>583</v>
      </c>
      <c r="CH295" s="139" t="s">
        <v>583</v>
      </c>
      <c r="CI295" s="139" t="s">
        <v>759</v>
      </c>
      <c r="CJ295" s="140">
        <v>3717</v>
      </c>
      <c r="CK295" s="140" t="s">
        <v>605</v>
      </c>
      <c r="CL295" s="140">
        <v>4000000</v>
      </c>
      <c r="CM295" s="99">
        <v>3452</v>
      </c>
      <c r="CN295" s="140">
        <v>0</v>
      </c>
      <c r="CO295" s="139" t="s">
        <v>583</v>
      </c>
      <c r="CP295" s="139" t="s">
        <v>583</v>
      </c>
      <c r="CQ295" s="140">
        <v>54870</v>
      </c>
      <c r="CR295" s="140">
        <v>4165110</v>
      </c>
      <c r="CS295" s="140">
        <v>0</v>
      </c>
      <c r="CT295" s="140">
        <v>1</v>
      </c>
      <c r="CU295" s="140">
        <v>4165110.37</v>
      </c>
      <c r="CV295" s="99">
        <v>58752.57</v>
      </c>
      <c r="CW295" s="139" t="s">
        <v>606</v>
      </c>
      <c r="CX295" s="140">
        <v>17.0199</v>
      </c>
      <c r="CY295" s="140"/>
      <c r="CZ295" s="140"/>
      <c r="DA295" s="140" t="s">
        <v>856</v>
      </c>
      <c r="DB295" s="140">
        <v>1174</v>
      </c>
      <c r="DC295" s="140"/>
    </row>
    <row r="296" spans="2:107" ht="11.25" customHeight="1" x14ac:dyDescent="0.15">
      <c r="B296" s="139" t="s">
        <v>577</v>
      </c>
      <c r="C296" s="140" t="s">
        <v>2033</v>
      </c>
      <c r="D296" s="140">
        <v>2</v>
      </c>
      <c r="E296" s="139" t="s">
        <v>2036</v>
      </c>
      <c r="F296" s="139" t="s">
        <v>729</v>
      </c>
      <c r="G296" s="140" t="s">
        <v>2033</v>
      </c>
      <c r="H296" s="139" t="s">
        <v>2037</v>
      </c>
      <c r="I296" s="140" t="s">
        <v>421</v>
      </c>
      <c r="J296" s="139" t="s">
        <v>582</v>
      </c>
      <c r="K296" s="139" t="s">
        <v>583</v>
      </c>
      <c r="L296" s="139" t="s">
        <v>583</v>
      </c>
      <c r="M296" s="139" t="s">
        <v>583</v>
      </c>
      <c r="N296" s="139" t="s">
        <v>731</v>
      </c>
      <c r="O296" s="139" t="s">
        <v>1876</v>
      </c>
      <c r="P296" s="139" t="s">
        <v>583</v>
      </c>
      <c r="Q296" s="139" t="s">
        <v>583</v>
      </c>
      <c r="R296" s="140">
        <v>1</v>
      </c>
      <c r="S296" s="140">
        <v>0</v>
      </c>
      <c r="T296" s="140">
        <v>1</v>
      </c>
      <c r="U296" s="140">
        <v>385</v>
      </c>
      <c r="V296" s="139" t="s">
        <v>691</v>
      </c>
      <c r="W296" s="139" t="s">
        <v>692</v>
      </c>
      <c r="X296" s="139" t="s">
        <v>693</v>
      </c>
      <c r="Y296" s="139" t="s">
        <v>694</v>
      </c>
      <c r="Z296" s="139" t="s">
        <v>695</v>
      </c>
      <c r="AA296" s="139" t="s">
        <v>696</v>
      </c>
      <c r="AB296" s="139" t="s">
        <v>691</v>
      </c>
      <c r="AC296" s="139" t="s">
        <v>692</v>
      </c>
      <c r="AD296" s="139" t="s">
        <v>693</v>
      </c>
      <c r="AE296" s="139" t="s">
        <v>694</v>
      </c>
      <c r="AF296" s="139" t="s">
        <v>695</v>
      </c>
      <c r="AG296" s="139" t="s">
        <v>696</v>
      </c>
      <c r="AH296" s="139" t="s">
        <v>733</v>
      </c>
      <c r="AI296" s="139" t="s">
        <v>432</v>
      </c>
      <c r="AJ296" s="140">
        <v>10536886.65</v>
      </c>
      <c r="AK296" s="139" t="s">
        <v>691</v>
      </c>
      <c r="AL296" s="139" t="s">
        <v>692</v>
      </c>
      <c r="AM296" s="139" t="s">
        <v>693</v>
      </c>
      <c r="AN296" s="139" t="s">
        <v>694</v>
      </c>
      <c r="AO296" s="139" t="s">
        <v>695</v>
      </c>
      <c r="AP296" s="139" t="s">
        <v>696</v>
      </c>
      <c r="AQ296" s="139" t="s">
        <v>733</v>
      </c>
      <c r="AR296" s="139" t="s">
        <v>432</v>
      </c>
      <c r="AS296" s="139" t="s">
        <v>432</v>
      </c>
      <c r="AT296" s="139" t="s">
        <v>593</v>
      </c>
      <c r="AU296" s="139" t="s">
        <v>437</v>
      </c>
      <c r="AV296" s="140">
        <v>2</v>
      </c>
      <c r="AW296" s="139" t="s">
        <v>594</v>
      </c>
      <c r="AX296" s="139" t="s">
        <v>653</v>
      </c>
      <c r="AY296" s="139" t="s">
        <v>734</v>
      </c>
      <c r="AZ296" s="140">
        <v>1</v>
      </c>
      <c r="BA296" s="139" t="s">
        <v>597</v>
      </c>
      <c r="BB296" s="140">
        <v>138810</v>
      </c>
      <c r="BC296" s="140">
        <v>10536887</v>
      </c>
      <c r="BD296" s="140">
        <v>148632.10999999999</v>
      </c>
      <c r="BE296" s="140">
        <v>75.908699999999996</v>
      </c>
      <c r="BF296" s="139" t="s">
        <v>880</v>
      </c>
      <c r="BG296" s="139" t="s">
        <v>583</v>
      </c>
      <c r="BH296" s="139" t="s">
        <v>736</v>
      </c>
      <c r="BI296" s="139" t="s">
        <v>598</v>
      </c>
      <c r="BJ296" s="139" t="s">
        <v>599</v>
      </c>
      <c r="BK296" s="139" t="s">
        <v>583</v>
      </c>
      <c r="BL296" s="139" t="s">
        <v>1475</v>
      </c>
      <c r="BM296" s="139" t="s">
        <v>583</v>
      </c>
      <c r="BN296" s="139" t="s">
        <v>738</v>
      </c>
      <c r="BO296" s="139" t="s">
        <v>1919</v>
      </c>
      <c r="BP296" s="139" t="s">
        <v>1920</v>
      </c>
      <c r="BQ296" s="139" t="s">
        <v>1921</v>
      </c>
      <c r="BR296" s="140">
        <v>1</v>
      </c>
      <c r="BS296" s="139" t="s">
        <v>2038</v>
      </c>
      <c r="BT296" s="99">
        <f t="shared" si="18"/>
        <v>0</v>
      </c>
      <c r="BU296" s="99">
        <f t="shared" si="18"/>
        <v>0</v>
      </c>
      <c r="BV296" s="99">
        <f t="shared" si="16"/>
        <v>0</v>
      </c>
      <c r="BW296" s="139" t="s">
        <v>743</v>
      </c>
      <c r="BX296" s="139" t="s">
        <v>731</v>
      </c>
      <c r="BY296" s="140">
        <v>385</v>
      </c>
      <c r="BZ296" s="140">
        <v>0</v>
      </c>
      <c r="CA296" s="99">
        <v>77000</v>
      </c>
      <c r="CB296" s="140" t="s">
        <v>603</v>
      </c>
      <c r="CC296" s="140">
        <v>0</v>
      </c>
      <c r="CD296" s="140"/>
      <c r="CE296" s="139" t="s">
        <v>577</v>
      </c>
      <c r="CF296" s="139" t="s">
        <v>604</v>
      </c>
      <c r="CG296" s="139" t="s">
        <v>583</v>
      </c>
      <c r="CH296" s="139" t="s">
        <v>583</v>
      </c>
      <c r="CI296" s="139" t="s">
        <v>733</v>
      </c>
      <c r="CJ296" s="140">
        <v>8470</v>
      </c>
      <c r="CK296" s="140" t="s">
        <v>605</v>
      </c>
      <c r="CL296" s="140">
        <v>4000000</v>
      </c>
      <c r="CM296" s="99">
        <v>7700</v>
      </c>
      <c r="CN296" s="140">
        <v>0</v>
      </c>
      <c r="CO296" s="139" t="s">
        <v>583</v>
      </c>
      <c r="CP296" s="139" t="s">
        <v>583</v>
      </c>
      <c r="CQ296" s="140">
        <v>138810</v>
      </c>
      <c r="CR296" s="140">
        <v>10536887</v>
      </c>
      <c r="CS296" s="140">
        <v>0</v>
      </c>
      <c r="CT296" s="140">
        <v>1</v>
      </c>
      <c r="CU296" s="140">
        <v>10536886.65</v>
      </c>
      <c r="CV296" s="99">
        <v>148632.10999999999</v>
      </c>
      <c r="CW296" s="139" t="s">
        <v>606</v>
      </c>
      <c r="CX296" s="140">
        <v>19.302900000000001</v>
      </c>
      <c r="CY296" s="140">
        <v>933</v>
      </c>
      <c r="CZ296" s="140" t="s">
        <v>894</v>
      </c>
      <c r="DA296" s="140" t="s">
        <v>1480</v>
      </c>
      <c r="DB296" s="140">
        <v>68</v>
      </c>
      <c r="DC296" s="140"/>
    </row>
    <row r="297" spans="2:107" ht="11.25" customHeight="1" x14ac:dyDescent="0.15">
      <c r="B297" s="139" t="s">
        <v>577</v>
      </c>
      <c r="C297" s="140" t="s">
        <v>2033</v>
      </c>
      <c r="D297" s="140">
        <v>2</v>
      </c>
      <c r="E297" s="139" t="s">
        <v>2039</v>
      </c>
      <c r="F297" s="139" t="s">
        <v>618</v>
      </c>
      <c r="G297" s="140" t="s">
        <v>2033</v>
      </c>
      <c r="H297" s="139" t="s">
        <v>2040</v>
      </c>
      <c r="I297" s="140" t="s">
        <v>421</v>
      </c>
      <c r="J297" s="139" t="s">
        <v>582</v>
      </c>
      <c r="K297" s="139" t="s">
        <v>583</v>
      </c>
      <c r="L297" s="139" t="s">
        <v>583</v>
      </c>
      <c r="M297" s="139" t="s">
        <v>583</v>
      </c>
      <c r="N297" s="139" t="s">
        <v>441</v>
      </c>
      <c r="O297" s="139" t="s">
        <v>630</v>
      </c>
      <c r="P297" s="139" t="s">
        <v>583</v>
      </c>
      <c r="Q297" s="139" t="s">
        <v>583</v>
      </c>
      <c r="R297" s="140">
        <v>1</v>
      </c>
      <c r="S297" s="140">
        <v>0</v>
      </c>
      <c r="T297" s="140">
        <v>1</v>
      </c>
      <c r="U297" s="140">
        <v>150</v>
      </c>
      <c r="V297" s="139" t="s">
        <v>679</v>
      </c>
      <c r="W297" s="139" t="s">
        <v>680</v>
      </c>
      <c r="X297" s="139" t="s">
        <v>681</v>
      </c>
      <c r="Y297" s="139" t="s">
        <v>682</v>
      </c>
      <c r="Z297" s="139" t="s">
        <v>683</v>
      </c>
      <c r="AA297" s="139" t="s">
        <v>684</v>
      </c>
      <c r="AB297" s="139" t="s">
        <v>679</v>
      </c>
      <c r="AC297" s="139" t="s">
        <v>680</v>
      </c>
      <c r="AD297" s="139" t="s">
        <v>681</v>
      </c>
      <c r="AE297" s="139" t="s">
        <v>682</v>
      </c>
      <c r="AF297" s="139" t="s">
        <v>683</v>
      </c>
      <c r="AG297" s="139" t="s">
        <v>684</v>
      </c>
      <c r="AH297" s="139" t="s">
        <v>621</v>
      </c>
      <c r="AI297" s="139" t="s">
        <v>430</v>
      </c>
      <c r="AJ297" s="140">
        <v>3415891.5</v>
      </c>
      <c r="AK297" s="139" t="s">
        <v>679</v>
      </c>
      <c r="AL297" s="139" t="s">
        <v>680</v>
      </c>
      <c r="AM297" s="139" t="s">
        <v>681</v>
      </c>
      <c r="AN297" s="139" t="s">
        <v>682</v>
      </c>
      <c r="AO297" s="139" t="s">
        <v>683</v>
      </c>
      <c r="AP297" s="139" t="s">
        <v>684</v>
      </c>
      <c r="AQ297" s="139" t="s">
        <v>621</v>
      </c>
      <c r="AR297" s="139" t="s">
        <v>430</v>
      </c>
      <c r="AS297" s="139" t="s">
        <v>430</v>
      </c>
      <c r="AT297" s="139" t="s">
        <v>593</v>
      </c>
      <c r="AU297" s="139" t="s">
        <v>437</v>
      </c>
      <c r="AV297" s="140">
        <v>0</v>
      </c>
      <c r="AW297" s="139" t="s">
        <v>594</v>
      </c>
      <c r="AX297" s="139" t="s">
        <v>622</v>
      </c>
      <c r="AY297" s="139" t="s">
        <v>623</v>
      </c>
      <c r="AZ297" s="140">
        <v>1</v>
      </c>
      <c r="BA297" s="139" t="s">
        <v>597</v>
      </c>
      <c r="BB297" s="140">
        <v>45000</v>
      </c>
      <c r="BC297" s="140">
        <v>3415892</v>
      </c>
      <c r="BD297" s="140">
        <v>48184.17</v>
      </c>
      <c r="BE297" s="140">
        <v>75.908699999999996</v>
      </c>
      <c r="BF297" s="139" t="s">
        <v>880</v>
      </c>
      <c r="BG297" s="139" t="s">
        <v>582</v>
      </c>
      <c r="BH297" s="139" t="s">
        <v>900</v>
      </c>
      <c r="BI297" s="139" t="s">
        <v>598</v>
      </c>
      <c r="BJ297" s="139" t="s">
        <v>624</v>
      </c>
      <c r="BK297" s="139" t="s">
        <v>882</v>
      </c>
      <c r="BL297" s="139" t="s">
        <v>583</v>
      </c>
      <c r="BM297" s="139" t="s">
        <v>883</v>
      </c>
      <c r="BN297" s="139" t="s">
        <v>583</v>
      </c>
      <c r="BO297" s="139" t="s">
        <v>623</v>
      </c>
      <c r="BP297" s="139" t="s">
        <v>1692</v>
      </c>
      <c r="BQ297" s="139" t="s">
        <v>625</v>
      </c>
      <c r="BR297" s="140">
        <v>1</v>
      </c>
      <c r="BS297" s="139" t="s">
        <v>2041</v>
      </c>
      <c r="BT297" s="99">
        <f t="shared" si="18"/>
        <v>0</v>
      </c>
      <c r="BU297" s="99">
        <f t="shared" si="18"/>
        <v>1</v>
      </c>
      <c r="BV297" s="99">
        <f t="shared" si="16"/>
        <v>1</v>
      </c>
      <c r="BW297" s="139" t="s">
        <v>635</v>
      </c>
      <c r="BX297" s="139" t="s">
        <v>441</v>
      </c>
      <c r="BY297" s="140">
        <v>150</v>
      </c>
      <c r="BZ297" s="140">
        <v>0</v>
      </c>
      <c r="CA297" s="99">
        <v>30000</v>
      </c>
      <c r="CB297" s="140" t="s">
        <v>603</v>
      </c>
      <c r="CC297" s="140">
        <v>0</v>
      </c>
      <c r="CD297" s="140"/>
      <c r="CE297" s="139" t="s">
        <v>577</v>
      </c>
      <c r="CF297" s="139" t="s">
        <v>604</v>
      </c>
      <c r="CG297" s="139" t="s">
        <v>583</v>
      </c>
      <c r="CH297" s="139" t="s">
        <v>583</v>
      </c>
      <c r="CI297" s="139" t="s">
        <v>621</v>
      </c>
      <c r="CJ297" s="140">
        <v>3138</v>
      </c>
      <c r="CK297" s="140" t="s">
        <v>605</v>
      </c>
      <c r="CL297" s="140">
        <v>4000000</v>
      </c>
      <c r="CM297" s="99">
        <v>2700</v>
      </c>
      <c r="CN297" s="140">
        <v>0</v>
      </c>
      <c r="CO297" s="139" t="s">
        <v>583</v>
      </c>
      <c r="CP297" s="139" t="s">
        <v>583</v>
      </c>
      <c r="CQ297" s="140">
        <v>45000</v>
      </c>
      <c r="CR297" s="140">
        <v>3415892</v>
      </c>
      <c r="CS297" s="140">
        <v>0</v>
      </c>
      <c r="CT297" s="140">
        <v>1</v>
      </c>
      <c r="CU297" s="140">
        <v>3415891.5</v>
      </c>
      <c r="CV297" s="99">
        <v>48184.17</v>
      </c>
      <c r="CW297" s="139" t="s">
        <v>606</v>
      </c>
      <c r="CX297" s="140">
        <v>17.846</v>
      </c>
      <c r="CY297" s="140"/>
      <c r="CZ297" s="140"/>
      <c r="DA297" s="140" t="s">
        <v>902</v>
      </c>
      <c r="DB297" s="140">
        <v>1051</v>
      </c>
      <c r="DC297" s="140"/>
    </row>
    <row r="298" spans="2:107" ht="11.25" customHeight="1" x14ac:dyDescent="0.15">
      <c r="B298" s="139" t="s">
        <v>577</v>
      </c>
      <c r="C298" s="140" t="s">
        <v>2042</v>
      </c>
      <c r="D298" s="140">
        <v>2</v>
      </c>
      <c r="E298" s="139" t="s">
        <v>2043</v>
      </c>
      <c r="F298" s="139" t="s">
        <v>618</v>
      </c>
      <c r="G298" s="140" t="s">
        <v>2042</v>
      </c>
      <c r="H298" s="139" t="s">
        <v>2044</v>
      </c>
      <c r="I298" s="140" t="s">
        <v>421</v>
      </c>
      <c r="J298" s="139" t="s">
        <v>582</v>
      </c>
      <c r="K298" s="139" t="s">
        <v>583</v>
      </c>
      <c r="L298" s="139" t="s">
        <v>583</v>
      </c>
      <c r="M298" s="139" t="s">
        <v>583</v>
      </c>
      <c r="N298" s="139" t="s">
        <v>650</v>
      </c>
      <c r="O298" s="139" t="s">
        <v>1088</v>
      </c>
      <c r="P298" s="139" t="s">
        <v>583</v>
      </c>
      <c r="Q298" s="139" t="s">
        <v>583</v>
      </c>
      <c r="R298" s="140">
        <v>1</v>
      </c>
      <c r="S298" s="140">
        <v>0</v>
      </c>
      <c r="T298" s="140">
        <v>1</v>
      </c>
      <c r="U298" s="140">
        <v>302</v>
      </c>
      <c r="V298" s="139" t="s">
        <v>586</v>
      </c>
      <c r="W298" s="139" t="s">
        <v>587</v>
      </c>
      <c r="X298" s="139" t="s">
        <v>588</v>
      </c>
      <c r="Y298" s="139" t="s">
        <v>589</v>
      </c>
      <c r="Z298" s="139" t="s">
        <v>590</v>
      </c>
      <c r="AA298" s="139" t="s">
        <v>591</v>
      </c>
      <c r="AB298" s="139" t="s">
        <v>586</v>
      </c>
      <c r="AC298" s="139" t="s">
        <v>587</v>
      </c>
      <c r="AD298" s="139" t="s">
        <v>588</v>
      </c>
      <c r="AE298" s="139" t="s">
        <v>589</v>
      </c>
      <c r="AF298" s="139" t="s">
        <v>590</v>
      </c>
      <c r="AG298" s="139" t="s">
        <v>591</v>
      </c>
      <c r="AH298" s="139" t="s">
        <v>652</v>
      </c>
      <c r="AI298" s="139" t="s">
        <v>431</v>
      </c>
      <c r="AJ298" s="140">
        <v>28630144.690000001</v>
      </c>
      <c r="AK298" s="139" t="s">
        <v>586</v>
      </c>
      <c r="AL298" s="139" t="s">
        <v>587</v>
      </c>
      <c r="AM298" s="139" t="s">
        <v>588</v>
      </c>
      <c r="AN298" s="139" t="s">
        <v>589</v>
      </c>
      <c r="AO298" s="139" t="s">
        <v>590</v>
      </c>
      <c r="AP298" s="139" t="s">
        <v>591</v>
      </c>
      <c r="AQ298" s="139" t="s">
        <v>652</v>
      </c>
      <c r="AR298" s="139" t="s">
        <v>431</v>
      </c>
      <c r="AS298" s="139" t="s">
        <v>431</v>
      </c>
      <c r="AT298" s="139" t="s">
        <v>593</v>
      </c>
      <c r="AU298" s="139" t="s">
        <v>437</v>
      </c>
      <c r="AV298" s="140">
        <v>0</v>
      </c>
      <c r="AW298" s="139" t="s">
        <v>594</v>
      </c>
      <c r="AX298" s="139" t="s">
        <v>653</v>
      </c>
      <c r="AY298" s="139" t="s">
        <v>623</v>
      </c>
      <c r="AZ298" s="140">
        <v>1</v>
      </c>
      <c r="BA298" s="139" t="s">
        <v>2045</v>
      </c>
      <c r="BB298" s="140">
        <v>331756</v>
      </c>
      <c r="BC298" s="140">
        <v>28630145</v>
      </c>
      <c r="BD298" s="140">
        <v>408292.22</v>
      </c>
      <c r="BE298" s="140">
        <v>86.2988</v>
      </c>
      <c r="BF298" s="139" t="s">
        <v>880</v>
      </c>
      <c r="BG298" s="139" t="s">
        <v>582</v>
      </c>
      <c r="BH298" s="139" t="s">
        <v>970</v>
      </c>
      <c r="BI298" s="139" t="s">
        <v>598</v>
      </c>
      <c r="BJ298" s="139" t="s">
        <v>624</v>
      </c>
      <c r="BK298" s="139" t="s">
        <v>882</v>
      </c>
      <c r="BL298" s="139" t="s">
        <v>583</v>
      </c>
      <c r="BM298" s="139" t="s">
        <v>883</v>
      </c>
      <c r="BN298" s="139" t="s">
        <v>971</v>
      </c>
      <c r="BO298" s="139" t="s">
        <v>972</v>
      </c>
      <c r="BP298" s="139" t="s">
        <v>1743</v>
      </c>
      <c r="BQ298" s="139" t="s">
        <v>625</v>
      </c>
      <c r="BR298" s="140">
        <v>1</v>
      </c>
      <c r="BS298" s="139" t="s">
        <v>2046</v>
      </c>
      <c r="BT298" s="99">
        <f t="shared" si="18"/>
        <v>0</v>
      </c>
      <c r="BU298" s="99">
        <f t="shared" si="18"/>
        <v>1</v>
      </c>
      <c r="BV298" s="99">
        <f t="shared" si="16"/>
        <v>1</v>
      </c>
      <c r="BW298" s="139" t="s">
        <v>655</v>
      </c>
      <c r="BX298" s="139" t="s">
        <v>656</v>
      </c>
      <c r="BY298" s="140">
        <v>302</v>
      </c>
      <c r="BZ298" s="140">
        <v>0</v>
      </c>
      <c r="CA298" s="99">
        <v>60400</v>
      </c>
      <c r="CB298" s="140" t="s">
        <v>603</v>
      </c>
      <c r="CC298" s="140">
        <v>0</v>
      </c>
      <c r="CD298" s="140"/>
      <c r="CE298" s="139" t="s">
        <v>577</v>
      </c>
      <c r="CF298" s="139" t="s">
        <v>604</v>
      </c>
      <c r="CG298" s="139" t="s">
        <v>583</v>
      </c>
      <c r="CH298" s="139" t="s">
        <v>583</v>
      </c>
      <c r="CI298" s="139" t="s">
        <v>652</v>
      </c>
      <c r="CJ298" s="140">
        <v>6342</v>
      </c>
      <c r="CK298" s="140" t="s">
        <v>657</v>
      </c>
      <c r="CL298" s="140">
        <v>4000000</v>
      </c>
      <c r="CM298" s="99">
        <v>6040</v>
      </c>
      <c r="CN298" s="140">
        <v>0</v>
      </c>
      <c r="CO298" s="139" t="s">
        <v>583</v>
      </c>
      <c r="CP298" s="139" t="s">
        <v>583</v>
      </c>
      <c r="CQ298" s="140">
        <v>331756</v>
      </c>
      <c r="CR298" s="140">
        <v>28630145</v>
      </c>
      <c r="CS298" s="140">
        <v>0</v>
      </c>
      <c r="CT298" s="140">
        <v>1</v>
      </c>
      <c r="CU298" s="140">
        <v>28630144.690000001</v>
      </c>
      <c r="CV298" s="99">
        <v>408292.22</v>
      </c>
      <c r="CW298" s="139" t="s">
        <v>606</v>
      </c>
      <c r="CX298" s="140">
        <v>67.597999999999999</v>
      </c>
      <c r="CY298" s="140"/>
      <c r="CZ298" s="140"/>
      <c r="DA298" s="140" t="s">
        <v>856</v>
      </c>
      <c r="DB298" s="140">
        <v>946</v>
      </c>
      <c r="DC298" s="140"/>
    </row>
    <row r="299" spans="2:107" ht="11.25" customHeight="1" x14ac:dyDescent="0.15">
      <c r="B299" s="139" t="s">
        <v>577</v>
      </c>
      <c r="C299" s="140" t="s">
        <v>2047</v>
      </c>
      <c r="D299" s="140">
        <v>2</v>
      </c>
      <c r="E299" s="139" t="s">
        <v>2048</v>
      </c>
      <c r="F299" s="139" t="s">
        <v>618</v>
      </c>
      <c r="G299" s="140" t="s">
        <v>2047</v>
      </c>
      <c r="H299" s="139" t="s">
        <v>2049</v>
      </c>
      <c r="I299" s="140" t="s">
        <v>421</v>
      </c>
      <c r="J299" s="139" t="s">
        <v>582</v>
      </c>
      <c r="K299" s="139" t="s">
        <v>583</v>
      </c>
      <c r="L299" s="139" t="s">
        <v>583</v>
      </c>
      <c r="M299" s="139" t="s">
        <v>583</v>
      </c>
      <c r="N299" s="139" t="s">
        <v>441</v>
      </c>
      <c r="O299" s="139" t="s">
        <v>1160</v>
      </c>
      <c r="P299" s="139" t="s">
        <v>583</v>
      </c>
      <c r="Q299" s="139" t="s">
        <v>583</v>
      </c>
      <c r="R299" s="140">
        <v>1</v>
      </c>
      <c r="S299" s="140">
        <v>0</v>
      </c>
      <c r="T299" s="140">
        <v>1</v>
      </c>
      <c r="U299" s="140">
        <v>648</v>
      </c>
      <c r="V299" s="139" t="s">
        <v>586</v>
      </c>
      <c r="W299" s="139" t="s">
        <v>587</v>
      </c>
      <c r="X299" s="139" t="s">
        <v>588</v>
      </c>
      <c r="Y299" s="139" t="s">
        <v>589</v>
      </c>
      <c r="Z299" s="139" t="s">
        <v>590</v>
      </c>
      <c r="AA299" s="139" t="s">
        <v>591</v>
      </c>
      <c r="AB299" s="139" t="s">
        <v>586</v>
      </c>
      <c r="AC299" s="139" t="s">
        <v>587</v>
      </c>
      <c r="AD299" s="139" t="s">
        <v>588</v>
      </c>
      <c r="AE299" s="139" t="s">
        <v>589</v>
      </c>
      <c r="AF299" s="139" t="s">
        <v>590</v>
      </c>
      <c r="AG299" s="139" t="s">
        <v>591</v>
      </c>
      <c r="AH299" s="139" t="s">
        <v>621</v>
      </c>
      <c r="AI299" s="139" t="s">
        <v>430</v>
      </c>
      <c r="AJ299" s="140">
        <v>13745059.26</v>
      </c>
      <c r="AK299" s="139" t="s">
        <v>586</v>
      </c>
      <c r="AL299" s="139" t="s">
        <v>587</v>
      </c>
      <c r="AM299" s="139" t="s">
        <v>588</v>
      </c>
      <c r="AN299" s="139" t="s">
        <v>589</v>
      </c>
      <c r="AO299" s="139" t="s">
        <v>590</v>
      </c>
      <c r="AP299" s="139" t="s">
        <v>591</v>
      </c>
      <c r="AQ299" s="139" t="s">
        <v>621</v>
      </c>
      <c r="AR299" s="139" t="s">
        <v>430</v>
      </c>
      <c r="AS299" s="139" t="s">
        <v>430</v>
      </c>
      <c r="AT299" s="139" t="s">
        <v>593</v>
      </c>
      <c r="AU299" s="139" t="s">
        <v>437</v>
      </c>
      <c r="AV299" s="140">
        <v>0</v>
      </c>
      <c r="AW299" s="139" t="s">
        <v>594</v>
      </c>
      <c r="AX299" s="139" t="s">
        <v>622</v>
      </c>
      <c r="AY299" s="139" t="s">
        <v>623</v>
      </c>
      <c r="AZ299" s="140">
        <v>1</v>
      </c>
      <c r="BA299" s="139" t="s">
        <v>597</v>
      </c>
      <c r="BB299" s="140">
        <v>180144</v>
      </c>
      <c r="BC299" s="140">
        <v>13745059</v>
      </c>
      <c r="BD299" s="140">
        <v>194917.27</v>
      </c>
      <c r="BE299" s="140">
        <v>76.300399999999996</v>
      </c>
      <c r="BF299" s="139" t="s">
        <v>880</v>
      </c>
      <c r="BG299" s="139" t="s">
        <v>582</v>
      </c>
      <c r="BH299" s="139" t="s">
        <v>1161</v>
      </c>
      <c r="BI299" s="139" t="s">
        <v>598</v>
      </c>
      <c r="BJ299" s="139" t="s">
        <v>624</v>
      </c>
      <c r="BK299" s="139" t="s">
        <v>882</v>
      </c>
      <c r="BL299" s="139" t="s">
        <v>583</v>
      </c>
      <c r="BM299" s="139" t="s">
        <v>883</v>
      </c>
      <c r="BN299" s="139" t="s">
        <v>971</v>
      </c>
      <c r="BO299" s="139" t="s">
        <v>972</v>
      </c>
      <c r="BP299" s="139" t="s">
        <v>1933</v>
      </c>
      <c r="BQ299" s="139" t="s">
        <v>625</v>
      </c>
      <c r="BR299" s="140">
        <v>1</v>
      </c>
      <c r="BS299" s="139" t="s">
        <v>2050</v>
      </c>
      <c r="BT299" s="99">
        <f t="shared" si="18"/>
        <v>0</v>
      </c>
      <c r="BU299" s="99">
        <f t="shared" si="18"/>
        <v>1</v>
      </c>
      <c r="BV299" s="99">
        <f t="shared" si="16"/>
        <v>1</v>
      </c>
      <c r="BW299" s="139" t="s">
        <v>602</v>
      </c>
      <c r="BX299" s="139" t="s">
        <v>441</v>
      </c>
      <c r="BY299" s="140">
        <v>648</v>
      </c>
      <c r="BZ299" s="140">
        <v>0</v>
      </c>
      <c r="CA299" s="99">
        <v>129600</v>
      </c>
      <c r="CB299" s="140" t="s">
        <v>603</v>
      </c>
      <c r="CC299" s="140">
        <v>0</v>
      </c>
      <c r="CD299" s="140"/>
      <c r="CE299" s="139" t="s">
        <v>577</v>
      </c>
      <c r="CF299" s="139" t="s">
        <v>604</v>
      </c>
      <c r="CG299" s="139" t="s">
        <v>583</v>
      </c>
      <c r="CH299" s="139" t="s">
        <v>583</v>
      </c>
      <c r="CI299" s="139" t="s">
        <v>621</v>
      </c>
      <c r="CJ299" s="140">
        <v>13100</v>
      </c>
      <c r="CK299" s="140" t="s">
        <v>605</v>
      </c>
      <c r="CL299" s="140">
        <v>4000000</v>
      </c>
      <c r="CM299" s="99">
        <v>11664</v>
      </c>
      <c r="CN299" s="140">
        <v>0</v>
      </c>
      <c r="CO299" s="139" t="s">
        <v>583</v>
      </c>
      <c r="CP299" s="139" t="s">
        <v>583</v>
      </c>
      <c r="CQ299" s="140">
        <v>180144</v>
      </c>
      <c r="CR299" s="140">
        <v>13745059</v>
      </c>
      <c r="CS299" s="140">
        <v>0</v>
      </c>
      <c r="CT299" s="140">
        <v>1</v>
      </c>
      <c r="CU299" s="140">
        <v>13745059.26</v>
      </c>
      <c r="CV299" s="99">
        <v>194917.27</v>
      </c>
      <c r="CW299" s="139" t="s">
        <v>606</v>
      </c>
      <c r="CX299" s="140">
        <v>16.710999999999999</v>
      </c>
      <c r="CY299" s="140"/>
      <c r="CZ299" s="140"/>
      <c r="DA299" s="140" t="s">
        <v>856</v>
      </c>
      <c r="DB299" s="140">
        <v>1065</v>
      </c>
      <c r="DC299" s="140"/>
    </row>
    <row r="300" spans="2:107" ht="11.25" customHeight="1" x14ac:dyDescent="0.15">
      <c r="B300" s="139" t="s">
        <v>577</v>
      </c>
      <c r="C300" s="140" t="s">
        <v>2051</v>
      </c>
      <c r="D300" s="140">
        <v>2</v>
      </c>
      <c r="E300" s="139" t="s">
        <v>2052</v>
      </c>
      <c r="F300" s="139" t="s">
        <v>580</v>
      </c>
      <c r="G300" s="140" t="s">
        <v>2051</v>
      </c>
      <c r="H300" s="139" t="s">
        <v>2053</v>
      </c>
      <c r="I300" s="140" t="s">
        <v>421</v>
      </c>
      <c r="J300" s="139" t="s">
        <v>582</v>
      </c>
      <c r="K300" s="139" t="s">
        <v>583</v>
      </c>
      <c r="L300" s="139" t="s">
        <v>583</v>
      </c>
      <c r="M300" s="139" t="s">
        <v>583</v>
      </c>
      <c r="N300" s="139" t="s">
        <v>1169</v>
      </c>
      <c r="O300" s="139" t="s">
        <v>1170</v>
      </c>
      <c r="P300" s="139" t="s">
        <v>583</v>
      </c>
      <c r="Q300" s="139" t="s">
        <v>583</v>
      </c>
      <c r="R300" s="140">
        <v>1</v>
      </c>
      <c r="S300" s="140">
        <v>0</v>
      </c>
      <c r="T300" s="140">
        <v>1</v>
      </c>
      <c r="U300" s="140">
        <v>50</v>
      </c>
      <c r="V300" s="139" t="s">
        <v>907</v>
      </c>
      <c r="W300" s="139" t="s">
        <v>908</v>
      </c>
      <c r="X300" s="139" t="s">
        <v>909</v>
      </c>
      <c r="Y300" s="139" t="s">
        <v>2054</v>
      </c>
      <c r="Z300" s="139" t="s">
        <v>644</v>
      </c>
      <c r="AA300" s="139" t="s">
        <v>2055</v>
      </c>
      <c r="AB300" s="139" t="s">
        <v>907</v>
      </c>
      <c r="AC300" s="139" t="s">
        <v>908</v>
      </c>
      <c r="AD300" s="139" t="s">
        <v>909</v>
      </c>
      <c r="AE300" s="139" t="s">
        <v>2054</v>
      </c>
      <c r="AF300" s="139" t="s">
        <v>644</v>
      </c>
      <c r="AG300" s="139" t="s">
        <v>2055</v>
      </c>
      <c r="AH300" s="139" t="s">
        <v>592</v>
      </c>
      <c r="AI300" s="139" t="s">
        <v>429</v>
      </c>
      <c r="AJ300" s="140">
        <v>1149710.75</v>
      </c>
      <c r="AK300" s="139" t="s">
        <v>907</v>
      </c>
      <c r="AL300" s="139" t="s">
        <v>908</v>
      </c>
      <c r="AM300" s="139" t="s">
        <v>909</v>
      </c>
      <c r="AN300" s="139" t="s">
        <v>2054</v>
      </c>
      <c r="AO300" s="139" t="s">
        <v>644</v>
      </c>
      <c r="AP300" s="139" t="s">
        <v>2055</v>
      </c>
      <c r="AQ300" s="139" t="s">
        <v>592</v>
      </c>
      <c r="AR300" s="139" t="s">
        <v>429</v>
      </c>
      <c r="AS300" s="139" t="s">
        <v>429</v>
      </c>
      <c r="AT300" s="139" t="s">
        <v>593</v>
      </c>
      <c r="AU300" s="139" t="s">
        <v>437</v>
      </c>
      <c r="AV300" s="140">
        <v>2</v>
      </c>
      <c r="AW300" s="139" t="s">
        <v>594</v>
      </c>
      <c r="AX300" s="139" t="s">
        <v>595</v>
      </c>
      <c r="AY300" s="139" t="s">
        <v>722</v>
      </c>
      <c r="AZ300" s="140">
        <v>1</v>
      </c>
      <c r="BA300" s="139" t="s">
        <v>597</v>
      </c>
      <c r="BB300" s="140">
        <v>14700</v>
      </c>
      <c r="BC300" s="140">
        <v>1127996</v>
      </c>
      <c r="BD300" s="140">
        <v>16334.67</v>
      </c>
      <c r="BE300" s="140">
        <v>76.734399999999994</v>
      </c>
      <c r="BF300" s="139" t="s">
        <v>880</v>
      </c>
      <c r="BG300" s="139" t="s">
        <v>583</v>
      </c>
      <c r="BH300" s="139" t="s">
        <v>583</v>
      </c>
      <c r="BI300" s="139" t="s">
        <v>598</v>
      </c>
      <c r="BJ300" s="139" t="s">
        <v>624</v>
      </c>
      <c r="BK300" s="139" t="s">
        <v>1703</v>
      </c>
      <c r="BL300" s="139" t="s">
        <v>583</v>
      </c>
      <c r="BM300" s="139" t="s">
        <v>915</v>
      </c>
      <c r="BN300" s="139" t="s">
        <v>916</v>
      </c>
      <c r="BO300" s="139" t="s">
        <v>917</v>
      </c>
      <c r="BP300" s="139" t="s">
        <v>918</v>
      </c>
      <c r="BQ300" s="139" t="s">
        <v>772</v>
      </c>
      <c r="BR300" s="140">
        <v>1</v>
      </c>
      <c r="BS300" s="139" t="s">
        <v>1740</v>
      </c>
      <c r="BT300" s="99">
        <f t="shared" si="18"/>
        <v>0</v>
      </c>
      <c r="BU300" s="99">
        <f t="shared" si="18"/>
        <v>1</v>
      </c>
      <c r="BV300" s="99">
        <f t="shared" si="16"/>
        <v>1</v>
      </c>
      <c r="BW300" s="139" t="s">
        <v>602</v>
      </c>
      <c r="BX300" s="139" t="s">
        <v>1169</v>
      </c>
      <c r="BY300" s="140">
        <v>50</v>
      </c>
      <c r="BZ300" s="140">
        <v>0</v>
      </c>
      <c r="CA300" s="99">
        <v>10000</v>
      </c>
      <c r="CB300" s="140" t="s">
        <v>603</v>
      </c>
      <c r="CC300" s="140">
        <v>0</v>
      </c>
      <c r="CD300" s="140"/>
      <c r="CE300" s="139" t="s">
        <v>577</v>
      </c>
      <c r="CF300" s="139" t="s">
        <v>604</v>
      </c>
      <c r="CG300" s="139" t="s">
        <v>583</v>
      </c>
      <c r="CH300" s="139" t="s">
        <v>583</v>
      </c>
      <c r="CI300" s="139" t="s">
        <v>592</v>
      </c>
      <c r="CJ300" s="140">
        <v>1050</v>
      </c>
      <c r="CK300" s="140" t="s">
        <v>605</v>
      </c>
      <c r="CL300" s="140">
        <v>4000000</v>
      </c>
      <c r="CM300" s="99">
        <v>1000</v>
      </c>
      <c r="CN300" s="140">
        <v>0</v>
      </c>
      <c r="CO300" s="139" t="s">
        <v>583</v>
      </c>
      <c r="CP300" s="139" t="s">
        <v>583</v>
      </c>
      <c r="CQ300" s="140">
        <v>14700</v>
      </c>
      <c r="CR300" s="140">
        <v>1127996</v>
      </c>
      <c r="CS300" s="140">
        <v>0</v>
      </c>
      <c r="CT300" s="140">
        <v>1</v>
      </c>
      <c r="CU300" s="140">
        <v>1149710.75</v>
      </c>
      <c r="CV300" s="99">
        <v>16334.67</v>
      </c>
      <c r="CW300" s="139" t="s">
        <v>606</v>
      </c>
      <c r="CX300" s="140">
        <v>16.334700000000002</v>
      </c>
      <c r="CY300" s="140"/>
      <c r="CZ300" s="140"/>
      <c r="DA300" s="140" t="s">
        <v>920</v>
      </c>
      <c r="DB300" s="140">
        <v>1543</v>
      </c>
      <c r="DC300" s="140"/>
    </row>
    <row r="301" spans="2:107" ht="11.25" customHeight="1" x14ac:dyDescent="0.15">
      <c r="B301" s="139" t="s">
        <v>577</v>
      </c>
      <c r="C301" s="140" t="s">
        <v>2056</v>
      </c>
      <c r="D301" s="140">
        <v>2</v>
      </c>
      <c r="E301" s="139" t="s">
        <v>2057</v>
      </c>
      <c r="F301" s="139" t="s">
        <v>718</v>
      </c>
      <c r="G301" s="140" t="s">
        <v>2056</v>
      </c>
      <c r="H301" s="139" t="s">
        <v>2058</v>
      </c>
      <c r="I301" s="140" t="s">
        <v>421</v>
      </c>
      <c r="J301" s="139" t="s">
        <v>582</v>
      </c>
      <c r="K301" s="139" t="s">
        <v>583</v>
      </c>
      <c r="L301" s="139" t="s">
        <v>583</v>
      </c>
      <c r="M301" s="139" t="s">
        <v>583</v>
      </c>
      <c r="N301" s="139" t="s">
        <v>720</v>
      </c>
      <c r="O301" s="139" t="s">
        <v>721</v>
      </c>
      <c r="P301" s="139" t="s">
        <v>583</v>
      </c>
      <c r="Q301" s="139" t="s">
        <v>583</v>
      </c>
      <c r="R301" s="140">
        <v>1</v>
      </c>
      <c r="S301" s="140">
        <v>0</v>
      </c>
      <c r="T301" s="140">
        <v>1</v>
      </c>
      <c r="U301" s="140">
        <v>63</v>
      </c>
      <c r="V301" s="139" t="s">
        <v>662</v>
      </c>
      <c r="W301" s="139" t="s">
        <v>663</v>
      </c>
      <c r="X301" s="139" t="s">
        <v>664</v>
      </c>
      <c r="Y301" s="139" t="s">
        <v>665</v>
      </c>
      <c r="Z301" s="139" t="s">
        <v>666</v>
      </c>
      <c r="AA301" s="139" t="s">
        <v>667</v>
      </c>
      <c r="AB301" s="139" t="s">
        <v>662</v>
      </c>
      <c r="AC301" s="139" t="s">
        <v>663</v>
      </c>
      <c r="AD301" s="139" t="s">
        <v>664</v>
      </c>
      <c r="AE301" s="139" t="s">
        <v>665</v>
      </c>
      <c r="AF301" s="139" t="s">
        <v>666</v>
      </c>
      <c r="AG301" s="139" t="s">
        <v>667</v>
      </c>
      <c r="AH301" s="139" t="s">
        <v>592</v>
      </c>
      <c r="AI301" s="139" t="s">
        <v>429</v>
      </c>
      <c r="AJ301" s="140">
        <v>1437388.78</v>
      </c>
      <c r="AK301" s="139" t="s">
        <v>662</v>
      </c>
      <c r="AL301" s="139" t="s">
        <v>663</v>
      </c>
      <c r="AM301" s="139" t="s">
        <v>664</v>
      </c>
      <c r="AN301" s="139" t="s">
        <v>665</v>
      </c>
      <c r="AO301" s="139" t="s">
        <v>666</v>
      </c>
      <c r="AP301" s="139" t="s">
        <v>667</v>
      </c>
      <c r="AQ301" s="139" t="s">
        <v>592</v>
      </c>
      <c r="AR301" s="139" t="s">
        <v>429</v>
      </c>
      <c r="AS301" s="139" t="s">
        <v>429</v>
      </c>
      <c r="AT301" s="139" t="s">
        <v>593</v>
      </c>
      <c r="AU301" s="139" t="s">
        <v>437</v>
      </c>
      <c r="AV301" s="140">
        <v>2</v>
      </c>
      <c r="AW301" s="139" t="s">
        <v>594</v>
      </c>
      <c r="AX301" s="139" t="s">
        <v>595</v>
      </c>
      <c r="AY301" s="139" t="s">
        <v>722</v>
      </c>
      <c r="AZ301" s="140">
        <v>1</v>
      </c>
      <c r="BA301" s="139" t="s">
        <v>597</v>
      </c>
      <c r="BB301" s="140">
        <v>17892</v>
      </c>
      <c r="BC301" s="140">
        <v>1372932</v>
      </c>
      <c r="BD301" s="140">
        <v>20421.89</v>
      </c>
      <c r="BE301" s="140">
        <v>76.734399999999994</v>
      </c>
      <c r="BF301" s="139" t="s">
        <v>880</v>
      </c>
      <c r="BG301" s="139" t="s">
        <v>583</v>
      </c>
      <c r="BH301" s="139" t="s">
        <v>924</v>
      </c>
      <c r="BI301" s="139" t="s">
        <v>598</v>
      </c>
      <c r="BJ301" s="139" t="s">
        <v>599</v>
      </c>
      <c r="BK301" s="139" t="s">
        <v>583</v>
      </c>
      <c r="BL301" s="139" t="s">
        <v>583</v>
      </c>
      <c r="BM301" s="139" t="s">
        <v>583</v>
      </c>
      <c r="BN301" s="139" t="s">
        <v>842</v>
      </c>
      <c r="BO301" s="139" t="s">
        <v>843</v>
      </c>
      <c r="BP301" s="139" t="s">
        <v>830</v>
      </c>
      <c r="BQ301" s="139" t="s">
        <v>723</v>
      </c>
      <c r="BR301" s="140">
        <v>1</v>
      </c>
      <c r="BS301" s="139" t="s">
        <v>1014</v>
      </c>
      <c r="BT301" s="99">
        <f t="shared" si="18"/>
        <v>1</v>
      </c>
      <c r="BU301" s="99">
        <f t="shared" si="18"/>
        <v>0</v>
      </c>
      <c r="BV301" s="99">
        <f t="shared" si="16"/>
        <v>1</v>
      </c>
      <c r="BW301" s="139" t="s">
        <v>725</v>
      </c>
      <c r="BX301" s="139" t="s">
        <v>1660</v>
      </c>
      <c r="BY301" s="140">
        <v>63</v>
      </c>
      <c r="BZ301" s="140">
        <v>0</v>
      </c>
      <c r="CA301" s="99">
        <v>12600</v>
      </c>
      <c r="CB301" s="140" t="s">
        <v>603</v>
      </c>
      <c r="CC301" s="140">
        <v>0</v>
      </c>
      <c r="CD301" s="140"/>
      <c r="CE301" s="139" t="s">
        <v>577</v>
      </c>
      <c r="CF301" s="139" t="s">
        <v>604</v>
      </c>
      <c r="CG301" s="139" t="s">
        <v>583</v>
      </c>
      <c r="CH301" s="139" t="s">
        <v>583</v>
      </c>
      <c r="CI301" s="139" t="s">
        <v>592</v>
      </c>
      <c r="CJ301" s="140">
        <v>1450</v>
      </c>
      <c r="CK301" s="140" t="s">
        <v>605</v>
      </c>
      <c r="CL301" s="140">
        <v>4000000</v>
      </c>
      <c r="CM301" s="99">
        <v>1325</v>
      </c>
      <c r="CN301" s="140">
        <v>0</v>
      </c>
      <c r="CO301" s="139" t="s">
        <v>583</v>
      </c>
      <c r="CP301" s="139" t="s">
        <v>583</v>
      </c>
      <c r="CQ301" s="140">
        <v>17892</v>
      </c>
      <c r="CR301" s="140">
        <v>1372932</v>
      </c>
      <c r="CS301" s="140">
        <v>0</v>
      </c>
      <c r="CT301" s="140">
        <v>1</v>
      </c>
      <c r="CU301" s="140">
        <v>1437388.78</v>
      </c>
      <c r="CV301" s="99">
        <v>20421.89</v>
      </c>
      <c r="CW301" s="139" t="s">
        <v>606</v>
      </c>
      <c r="CX301" s="140">
        <v>15.412699999999999</v>
      </c>
      <c r="CY301" s="140"/>
      <c r="CZ301" s="140"/>
      <c r="DA301" s="140" t="s">
        <v>926</v>
      </c>
      <c r="DB301" s="140">
        <v>16</v>
      </c>
      <c r="DC301" s="140"/>
    </row>
    <row r="302" spans="2:107" ht="11.25" customHeight="1" x14ac:dyDescent="0.15">
      <c r="B302" s="139" t="s">
        <v>577</v>
      </c>
      <c r="C302" s="140" t="s">
        <v>2056</v>
      </c>
      <c r="D302" s="140">
        <v>2</v>
      </c>
      <c r="E302" s="139" t="s">
        <v>2059</v>
      </c>
      <c r="F302" s="139" t="s">
        <v>718</v>
      </c>
      <c r="G302" s="140" t="s">
        <v>2056</v>
      </c>
      <c r="H302" s="139" t="s">
        <v>2060</v>
      </c>
      <c r="I302" s="140" t="s">
        <v>421</v>
      </c>
      <c r="J302" s="139" t="s">
        <v>582</v>
      </c>
      <c r="K302" s="139" t="s">
        <v>583</v>
      </c>
      <c r="L302" s="139" t="s">
        <v>583</v>
      </c>
      <c r="M302" s="139" t="s">
        <v>583</v>
      </c>
      <c r="N302" s="139" t="s">
        <v>1747</v>
      </c>
      <c r="O302" s="139" t="s">
        <v>1648</v>
      </c>
      <c r="P302" s="139" t="s">
        <v>583</v>
      </c>
      <c r="Q302" s="139" t="s">
        <v>583</v>
      </c>
      <c r="R302" s="140">
        <v>1</v>
      </c>
      <c r="S302" s="140">
        <v>0</v>
      </c>
      <c r="T302" s="140">
        <v>1</v>
      </c>
      <c r="U302" s="140">
        <v>10</v>
      </c>
      <c r="V302" s="139" t="s">
        <v>662</v>
      </c>
      <c r="W302" s="139" t="s">
        <v>663</v>
      </c>
      <c r="X302" s="139" t="s">
        <v>664</v>
      </c>
      <c r="Y302" s="139" t="s">
        <v>665</v>
      </c>
      <c r="Z302" s="139" t="s">
        <v>666</v>
      </c>
      <c r="AA302" s="139" t="s">
        <v>667</v>
      </c>
      <c r="AB302" s="139" t="s">
        <v>662</v>
      </c>
      <c r="AC302" s="139" t="s">
        <v>663</v>
      </c>
      <c r="AD302" s="139" t="s">
        <v>664</v>
      </c>
      <c r="AE302" s="139" t="s">
        <v>665</v>
      </c>
      <c r="AF302" s="139" t="s">
        <v>666</v>
      </c>
      <c r="AG302" s="139" t="s">
        <v>667</v>
      </c>
      <c r="AH302" s="139" t="s">
        <v>1549</v>
      </c>
      <c r="AI302" s="139" t="s">
        <v>436</v>
      </c>
      <c r="AJ302" s="140">
        <v>4839638.6100000003</v>
      </c>
      <c r="AK302" s="139" t="s">
        <v>662</v>
      </c>
      <c r="AL302" s="139" t="s">
        <v>663</v>
      </c>
      <c r="AM302" s="139" t="s">
        <v>664</v>
      </c>
      <c r="AN302" s="139" t="s">
        <v>665</v>
      </c>
      <c r="AO302" s="139" t="s">
        <v>666</v>
      </c>
      <c r="AP302" s="139" t="s">
        <v>667</v>
      </c>
      <c r="AQ302" s="139" t="s">
        <v>1549</v>
      </c>
      <c r="AR302" s="139" t="s">
        <v>436</v>
      </c>
      <c r="AS302" s="139" t="s">
        <v>436</v>
      </c>
      <c r="AT302" s="139" t="s">
        <v>593</v>
      </c>
      <c r="AU302" s="139" t="s">
        <v>437</v>
      </c>
      <c r="AV302" s="140">
        <v>2</v>
      </c>
      <c r="AW302" s="139" t="s">
        <v>594</v>
      </c>
      <c r="AX302" s="139" t="s">
        <v>595</v>
      </c>
      <c r="AY302" s="139" t="s">
        <v>1966</v>
      </c>
      <c r="AZ302" s="140">
        <v>1</v>
      </c>
      <c r="BA302" s="139" t="s">
        <v>597</v>
      </c>
      <c r="BB302" s="140">
        <v>58500</v>
      </c>
      <c r="BC302" s="140">
        <v>4488962</v>
      </c>
      <c r="BD302" s="140">
        <v>68759.81</v>
      </c>
      <c r="BE302" s="140">
        <v>76.734399999999994</v>
      </c>
      <c r="BF302" s="139" t="s">
        <v>880</v>
      </c>
      <c r="BG302" s="139" t="s">
        <v>735</v>
      </c>
      <c r="BH302" s="139" t="s">
        <v>1551</v>
      </c>
      <c r="BI302" s="139" t="s">
        <v>598</v>
      </c>
      <c r="BJ302" s="139" t="s">
        <v>599</v>
      </c>
      <c r="BK302" s="139" t="s">
        <v>583</v>
      </c>
      <c r="BL302" s="139" t="s">
        <v>583</v>
      </c>
      <c r="BM302" s="139" t="s">
        <v>583</v>
      </c>
      <c r="BN302" s="139" t="s">
        <v>842</v>
      </c>
      <c r="BO302" s="139" t="s">
        <v>843</v>
      </c>
      <c r="BP302" s="139" t="s">
        <v>830</v>
      </c>
      <c r="BQ302" s="139" t="s">
        <v>723</v>
      </c>
      <c r="BR302" s="140">
        <v>1</v>
      </c>
      <c r="BS302" s="139" t="s">
        <v>1552</v>
      </c>
      <c r="BT302" s="99">
        <f t="shared" si="18"/>
        <v>1</v>
      </c>
      <c r="BU302" s="99">
        <f t="shared" si="18"/>
        <v>0</v>
      </c>
      <c r="BV302" s="99">
        <f t="shared" si="16"/>
        <v>1</v>
      </c>
      <c r="BW302" s="139" t="s">
        <v>602</v>
      </c>
      <c r="BX302" s="139" t="s">
        <v>1968</v>
      </c>
      <c r="BY302" s="140">
        <v>10</v>
      </c>
      <c r="BZ302" s="140">
        <v>0</v>
      </c>
      <c r="CA302" s="99">
        <v>45000</v>
      </c>
      <c r="CB302" s="140" t="s">
        <v>603</v>
      </c>
      <c r="CC302" s="140">
        <v>0</v>
      </c>
      <c r="CD302" s="140"/>
      <c r="CE302" s="139" t="s">
        <v>577</v>
      </c>
      <c r="CF302" s="139" t="s">
        <v>604</v>
      </c>
      <c r="CG302" s="139" t="s">
        <v>583</v>
      </c>
      <c r="CH302" s="139" t="s">
        <v>583</v>
      </c>
      <c r="CI302" s="139" t="s">
        <v>1549</v>
      </c>
      <c r="CJ302" s="140">
        <v>4700</v>
      </c>
      <c r="CK302" s="140" t="s">
        <v>605</v>
      </c>
      <c r="CL302" s="140">
        <v>4000000</v>
      </c>
      <c r="CM302" s="99">
        <v>4275</v>
      </c>
      <c r="CN302" s="140">
        <v>0</v>
      </c>
      <c r="CO302" s="139" t="s">
        <v>583</v>
      </c>
      <c r="CP302" s="139" t="s">
        <v>583</v>
      </c>
      <c r="CQ302" s="140">
        <v>58500</v>
      </c>
      <c r="CR302" s="140">
        <v>4488962</v>
      </c>
      <c r="CS302" s="140">
        <v>0</v>
      </c>
      <c r="CT302" s="140">
        <v>1</v>
      </c>
      <c r="CU302" s="140">
        <v>4839638.6100000003</v>
      </c>
      <c r="CV302" s="99">
        <v>68759.81</v>
      </c>
      <c r="CW302" s="139" t="s">
        <v>606</v>
      </c>
      <c r="CX302" s="140">
        <v>16.084199999999999</v>
      </c>
      <c r="CY302" s="140"/>
      <c r="CZ302" s="140"/>
      <c r="DA302" s="140" t="s">
        <v>926</v>
      </c>
      <c r="DB302" s="140">
        <v>14</v>
      </c>
      <c r="DC302" s="140"/>
    </row>
    <row r="303" spans="2:107" ht="11.25" customHeight="1" x14ac:dyDescent="0.15">
      <c r="B303" s="139" t="s">
        <v>577</v>
      </c>
      <c r="C303" s="140" t="s">
        <v>2061</v>
      </c>
      <c r="D303" s="140">
        <v>2</v>
      </c>
      <c r="E303" s="139" t="s">
        <v>2062</v>
      </c>
      <c r="F303" s="139" t="s">
        <v>618</v>
      </c>
      <c r="G303" s="140" t="s">
        <v>2061</v>
      </c>
      <c r="H303" s="139" t="s">
        <v>2063</v>
      </c>
      <c r="I303" s="140" t="s">
        <v>421</v>
      </c>
      <c r="J303" s="139" t="s">
        <v>582</v>
      </c>
      <c r="K303" s="139" t="s">
        <v>583</v>
      </c>
      <c r="L303" s="139" t="s">
        <v>583</v>
      </c>
      <c r="M303" s="139" t="s">
        <v>583</v>
      </c>
      <c r="N303" s="139" t="s">
        <v>441</v>
      </c>
      <c r="O303" s="139" t="s">
        <v>1771</v>
      </c>
      <c r="P303" s="139" t="s">
        <v>583</v>
      </c>
      <c r="Q303" s="139" t="s">
        <v>583</v>
      </c>
      <c r="R303" s="140">
        <v>1</v>
      </c>
      <c r="S303" s="140">
        <v>0</v>
      </c>
      <c r="T303" s="140">
        <v>1</v>
      </c>
      <c r="U303" s="140">
        <v>356</v>
      </c>
      <c r="V303" s="139" t="s">
        <v>691</v>
      </c>
      <c r="W303" s="139" t="s">
        <v>692</v>
      </c>
      <c r="X303" s="139" t="s">
        <v>693</v>
      </c>
      <c r="Y303" s="139" t="s">
        <v>694</v>
      </c>
      <c r="Z303" s="139" t="s">
        <v>695</v>
      </c>
      <c r="AA303" s="139" t="s">
        <v>696</v>
      </c>
      <c r="AB303" s="139" t="s">
        <v>691</v>
      </c>
      <c r="AC303" s="139" t="s">
        <v>692</v>
      </c>
      <c r="AD303" s="139" t="s">
        <v>693</v>
      </c>
      <c r="AE303" s="139" t="s">
        <v>694</v>
      </c>
      <c r="AF303" s="139" t="s">
        <v>695</v>
      </c>
      <c r="AG303" s="139" t="s">
        <v>696</v>
      </c>
      <c r="AH303" s="139" t="s">
        <v>621</v>
      </c>
      <c r="AI303" s="139" t="s">
        <v>430</v>
      </c>
      <c r="AJ303" s="140">
        <v>8632313.0600000005</v>
      </c>
      <c r="AK303" s="139" t="s">
        <v>691</v>
      </c>
      <c r="AL303" s="139" t="s">
        <v>692</v>
      </c>
      <c r="AM303" s="139" t="s">
        <v>693</v>
      </c>
      <c r="AN303" s="139" t="s">
        <v>694</v>
      </c>
      <c r="AO303" s="139" t="s">
        <v>695</v>
      </c>
      <c r="AP303" s="139" t="s">
        <v>696</v>
      </c>
      <c r="AQ303" s="139" t="s">
        <v>621</v>
      </c>
      <c r="AR303" s="139" t="s">
        <v>430</v>
      </c>
      <c r="AS303" s="139" t="s">
        <v>430</v>
      </c>
      <c r="AT303" s="139" t="s">
        <v>593</v>
      </c>
      <c r="AU303" s="139" t="s">
        <v>437</v>
      </c>
      <c r="AV303" s="140">
        <v>0</v>
      </c>
      <c r="AW303" s="139" t="s">
        <v>594</v>
      </c>
      <c r="AX303" s="139" t="s">
        <v>622</v>
      </c>
      <c r="AY303" s="139" t="s">
        <v>623</v>
      </c>
      <c r="AZ303" s="140">
        <v>1</v>
      </c>
      <c r="BA303" s="139" t="s">
        <v>597</v>
      </c>
      <c r="BB303" s="140">
        <v>112496</v>
      </c>
      <c r="BC303" s="140">
        <v>8632313</v>
      </c>
      <c r="BD303" s="140">
        <v>122644.74</v>
      </c>
      <c r="BE303" s="140">
        <v>76.734399999999994</v>
      </c>
      <c r="BF303" s="139" t="s">
        <v>880</v>
      </c>
      <c r="BG303" s="139" t="s">
        <v>582</v>
      </c>
      <c r="BH303" s="139" t="s">
        <v>1018</v>
      </c>
      <c r="BI303" s="139" t="s">
        <v>598</v>
      </c>
      <c r="BJ303" s="139" t="s">
        <v>624</v>
      </c>
      <c r="BK303" s="139" t="s">
        <v>882</v>
      </c>
      <c r="BL303" s="139" t="s">
        <v>583</v>
      </c>
      <c r="BM303" s="139" t="s">
        <v>1019</v>
      </c>
      <c r="BN303" s="139" t="s">
        <v>1020</v>
      </c>
      <c r="BO303" s="139" t="s">
        <v>623</v>
      </c>
      <c r="BP303" s="139" t="s">
        <v>1772</v>
      </c>
      <c r="BQ303" s="139" t="s">
        <v>625</v>
      </c>
      <c r="BR303" s="140">
        <v>1</v>
      </c>
      <c r="BS303" s="139" t="s">
        <v>1961</v>
      </c>
      <c r="BT303" s="99">
        <f t="shared" si="18"/>
        <v>0</v>
      </c>
      <c r="BU303" s="99">
        <f t="shared" si="18"/>
        <v>0</v>
      </c>
      <c r="BV303" s="99">
        <f t="shared" si="16"/>
        <v>0</v>
      </c>
      <c r="BW303" s="139" t="s">
        <v>446</v>
      </c>
      <c r="BX303" s="139" t="s">
        <v>441</v>
      </c>
      <c r="BY303" s="140">
        <v>356</v>
      </c>
      <c r="BZ303" s="140">
        <v>0</v>
      </c>
      <c r="CA303" s="99">
        <v>71200</v>
      </c>
      <c r="CB303" s="140" t="s">
        <v>603</v>
      </c>
      <c r="CC303" s="140">
        <v>0</v>
      </c>
      <c r="CD303" s="140"/>
      <c r="CE303" s="139" t="s">
        <v>577</v>
      </c>
      <c r="CF303" s="139" t="s">
        <v>604</v>
      </c>
      <c r="CG303" s="139" t="s">
        <v>583</v>
      </c>
      <c r="CH303" s="139" t="s">
        <v>583</v>
      </c>
      <c r="CI303" s="139" t="s">
        <v>621</v>
      </c>
      <c r="CJ303" s="140">
        <v>7214</v>
      </c>
      <c r="CK303" s="140" t="s">
        <v>605</v>
      </c>
      <c r="CL303" s="140">
        <v>4000000</v>
      </c>
      <c r="CM303" s="99">
        <v>6408</v>
      </c>
      <c r="CN303" s="140">
        <v>0</v>
      </c>
      <c r="CO303" s="139" t="s">
        <v>583</v>
      </c>
      <c r="CP303" s="139" t="s">
        <v>583</v>
      </c>
      <c r="CQ303" s="140">
        <v>112496</v>
      </c>
      <c r="CR303" s="140">
        <v>8632313</v>
      </c>
      <c r="CS303" s="140">
        <v>0</v>
      </c>
      <c r="CT303" s="140">
        <v>1</v>
      </c>
      <c r="CU303" s="140">
        <v>8632313.0600000005</v>
      </c>
      <c r="CV303" s="99">
        <v>122644.74</v>
      </c>
      <c r="CW303" s="139" t="s">
        <v>606</v>
      </c>
      <c r="CX303" s="140">
        <v>19.139299999999999</v>
      </c>
      <c r="CY303" s="140">
        <v>933</v>
      </c>
      <c r="CZ303" s="140" t="s">
        <v>894</v>
      </c>
      <c r="DA303" s="140" t="s">
        <v>1480</v>
      </c>
      <c r="DB303" s="140">
        <v>749</v>
      </c>
      <c r="DC303" s="140"/>
    </row>
    <row r="304" spans="2:107" ht="11.25" customHeight="1" x14ac:dyDescent="0.15">
      <c r="B304" s="139" t="s">
        <v>577</v>
      </c>
      <c r="C304" s="140" t="s">
        <v>2061</v>
      </c>
      <c r="D304" s="140">
        <v>2</v>
      </c>
      <c r="E304" s="139" t="s">
        <v>2064</v>
      </c>
      <c r="F304" s="139" t="s">
        <v>729</v>
      </c>
      <c r="G304" s="140" t="s">
        <v>2061</v>
      </c>
      <c r="H304" s="139" t="s">
        <v>2065</v>
      </c>
      <c r="I304" s="140" t="s">
        <v>421</v>
      </c>
      <c r="J304" s="139" t="s">
        <v>582</v>
      </c>
      <c r="K304" s="139" t="s">
        <v>583</v>
      </c>
      <c r="L304" s="139" t="s">
        <v>583</v>
      </c>
      <c r="M304" s="139" t="s">
        <v>583</v>
      </c>
      <c r="N304" s="139" t="s">
        <v>731</v>
      </c>
      <c r="O304" s="139" t="s">
        <v>1876</v>
      </c>
      <c r="P304" s="139" t="s">
        <v>583</v>
      </c>
      <c r="Q304" s="139" t="s">
        <v>583</v>
      </c>
      <c r="R304" s="140">
        <v>1</v>
      </c>
      <c r="S304" s="140">
        <v>0</v>
      </c>
      <c r="T304" s="140">
        <v>1</v>
      </c>
      <c r="U304" s="140">
        <v>383</v>
      </c>
      <c r="V304" s="139" t="s">
        <v>691</v>
      </c>
      <c r="W304" s="139" t="s">
        <v>692</v>
      </c>
      <c r="X304" s="139" t="s">
        <v>693</v>
      </c>
      <c r="Y304" s="139" t="s">
        <v>694</v>
      </c>
      <c r="Z304" s="139" t="s">
        <v>695</v>
      </c>
      <c r="AA304" s="139" t="s">
        <v>696</v>
      </c>
      <c r="AB304" s="139" t="s">
        <v>691</v>
      </c>
      <c r="AC304" s="139" t="s">
        <v>692</v>
      </c>
      <c r="AD304" s="139" t="s">
        <v>693</v>
      </c>
      <c r="AE304" s="139" t="s">
        <v>694</v>
      </c>
      <c r="AF304" s="139" t="s">
        <v>695</v>
      </c>
      <c r="AG304" s="139" t="s">
        <v>696</v>
      </c>
      <c r="AH304" s="139" t="s">
        <v>733</v>
      </c>
      <c r="AI304" s="139" t="s">
        <v>432</v>
      </c>
      <c r="AJ304" s="140">
        <v>10598401.859999999</v>
      </c>
      <c r="AK304" s="139" t="s">
        <v>691</v>
      </c>
      <c r="AL304" s="139" t="s">
        <v>692</v>
      </c>
      <c r="AM304" s="139" t="s">
        <v>693</v>
      </c>
      <c r="AN304" s="139" t="s">
        <v>694</v>
      </c>
      <c r="AO304" s="139" t="s">
        <v>695</v>
      </c>
      <c r="AP304" s="139" t="s">
        <v>696</v>
      </c>
      <c r="AQ304" s="139" t="s">
        <v>733</v>
      </c>
      <c r="AR304" s="139" t="s">
        <v>432</v>
      </c>
      <c r="AS304" s="139" t="s">
        <v>432</v>
      </c>
      <c r="AT304" s="139" t="s">
        <v>593</v>
      </c>
      <c r="AU304" s="139" t="s">
        <v>437</v>
      </c>
      <c r="AV304" s="140">
        <v>2</v>
      </c>
      <c r="AW304" s="139" t="s">
        <v>594</v>
      </c>
      <c r="AX304" s="139" t="s">
        <v>653</v>
      </c>
      <c r="AY304" s="139" t="s">
        <v>734</v>
      </c>
      <c r="AZ304" s="140">
        <v>1</v>
      </c>
      <c r="BA304" s="139" t="s">
        <v>597</v>
      </c>
      <c r="BB304" s="140">
        <v>138118</v>
      </c>
      <c r="BC304" s="140">
        <v>10598402</v>
      </c>
      <c r="BD304" s="140">
        <v>150578.21</v>
      </c>
      <c r="BE304" s="140">
        <v>76.734399999999994</v>
      </c>
      <c r="BF304" s="139" t="s">
        <v>880</v>
      </c>
      <c r="BG304" s="139" t="s">
        <v>583</v>
      </c>
      <c r="BH304" s="139" t="s">
        <v>736</v>
      </c>
      <c r="BI304" s="139" t="s">
        <v>598</v>
      </c>
      <c r="BJ304" s="139" t="s">
        <v>599</v>
      </c>
      <c r="BK304" s="139" t="s">
        <v>583</v>
      </c>
      <c r="BL304" s="139" t="s">
        <v>1475</v>
      </c>
      <c r="BM304" s="139" t="s">
        <v>583</v>
      </c>
      <c r="BN304" s="139" t="s">
        <v>738</v>
      </c>
      <c r="BO304" s="139" t="s">
        <v>1919</v>
      </c>
      <c r="BP304" s="139" t="s">
        <v>1920</v>
      </c>
      <c r="BQ304" s="139" t="s">
        <v>1921</v>
      </c>
      <c r="BR304" s="140">
        <v>1</v>
      </c>
      <c r="BS304" s="139" t="s">
        <v>742</v>
      </c>
      <c r="BT304" s="99">
        <f t="shared" si="18"/>
        <v>0</v>
      </c>
      <c r="BU304" s="99">
        <f t="shared" si="18"/>
        <v>0</v>
      </c>
      <c r="BV304" s="99">
        <f t="shared" si="16"/>
        <v>0</v>
      </c>
      <c r="BW304" s="139" t="s">
        <v>743</v>
      </c>
      <c r="BX304" s="139" t="s">
        <v>731</v>
      </c>
      <c r="BY304" s="140">
        <v>383</v>
      </c>
      <c r="BZ304" s="140">
        <v>0</v>
      </c>
      <c r="CA304" s="99">
        <v>76600</v>
      </c>
      <c r="CB304" s="140" t="s">
        <v>603</v>
      </c>
      <c r="CC304" s="140">
        <v>0</v>
      </c>
      <c r="CD304" s="140"/>
      <c r="CE304" s="139" t="s">
        <v>577</v>
      </c>
      <c r="CF304" s="139" t="s">
        <v>604</v>
      </c>
      <c r="CG304" s="139" t="s">
        <v>583</v>
      </c>
      <c r="CH304" s="139" t="s">
        <v>583</v>
      </c>
      <c r="CI304" s="139" t="s">
        <v>733</v>
      </c>
      <c r="CJ304" s="140">
        <v>8426</v>
      </c>
      <c r="CK304" s="140" t="s">
        <v>605</v>
      </c>
      <c r="CL304" s="140">
        <v>4000000</v>
      </c>
      <c r="CM304" s="99">
        <v>7660</v>
      </c>
      <c r="CN304" s="140">
        <v>0</v>
      </c>
      <c r="CO304" s="139" t="s">
        <v>583</v>
      </c>
      <c r="CP304" s="139" t="s">
        <v>583</v>
      </c>
      <c r="CQ304" s="140">
        <v>138118</v>
      </c>
      <c r="CR304" s="140">
        <v>10598402</v>
      </c>
      <c r="CS304" s="140">
        <v>0</v>
      </c>
      <c r="CT304" s="140">
        <v>1</v>
      </c>
      <c r="CU304" s="140">
        <v>10598401.859999999</v>
      </c>
      <c r="CV304" s="99">
        <v>150578.21</v>
      </c>
      <c r="CW304" s="139" t="s">
        <v>606</v>
      </c>
      <c r="CX304" s="140">
        <v>19.657699999999998</v>
      </c>
      <c r="CY304" s="140">
        <v>933</v>
      </c>
      <c r="CZ304" s="140" t="s">
        <v>894</v>
      </c>
      <c r="DA304" s="140" t="s">
        <v>1480</v>
      </c>
      <c r="DB304" s="140">
        <v>115</v>
      </c>
      <c r="DC304" s="140"/>
    </row>
    <row r="305" spans="2:107" ht="11.25" customHeight="1" x14ac:dyDescent="0.15">
      <c r="B305" s="139" t="s">
        <v>577</v>
      </c>
      <c r="C305" s="140" t="s">
        <v>2066</v>
      </c>
      <c r="D305" s="140">
        <v>2</v>
      </c>
      <c r="E305" s="139" t="s">
        <v>2067</v>
      </c>
      <c r="F305" s="139" t="s">
        <v>618</v>
      </c>
      <c r="G305" s="140" t="s">
        <v>2066</v>
      </c>
      <c r="H305" s="139" t="s">
        <v>2068</v>
      </c>
      <c r="I305" s="140" t="s">
        <v>421</v>
      </c>
      <c r="J305" s="139" t="s">
        <v>582</v>
      </c>
      <c r="K305" s="139" t="s">
        <v>583</v>
      </c>
      <c r="L305" s="139" t="s">
        <v>583</v>
      </c>
      <c r="M305" s="139" t="s">
        <v>583</v>
      </c>
      <c r="N305" s="139" t="s">
        <v>441</v>
      </c>
      <c r="O305" s="139" t="s">
        <v>630</v>
      </c>
      <c r="P305" s="139" t="s">
        <v>583</v>
      </c>
      <c r="Q305" s="139" t="s">
        <v>583</v>
      </c>
      <c r="R305" s="140">
        <v>1</v>
      </c>
      <c r="S305" s="140">
        <v>0</v>
      </c>
      <c r="T305" s="140">
        <v>1</v>
      </c>
      <c r="U305" s="140">
        <v>282</v>
      </c>
      <c r="V305" s="139" t="s">
        <v>583</v>
      </c>
      <c r="W305" s="139" t="s">
        <v>583</v>
      </c>
      <c r="X305" s="139" t="s">
        <v>632</v>
      </c>
      <c r="Y305" s="139" t="s">
        <v>633</v>
      </c>
      <c r="Z305" s="139" t="s">
        <v>583</v>
      </c>
      <c r="AA305" s="139" t="s">
        <v>583</v>
      </c>
      <c r="AB305" s="139" t="s">
        <v>583</v>
      </c>
      <c r="AC305" s="139" t="s">
        <v>583</v>
      </c>
      <c r="AD305" s="139" t="s">
        <v>632</v>
      </c>
      <c r="AE305" s="139" t="s">
        <v>633</v>
      </c>
      <c r="AF305" s="139" t="s">
        <v>583</v>
      </c>
      <c r="AG305" s="139" t="s">
        <v>583</v>
      </c>
      <c r="AH305" s="139" t="s">
        <v>621</v>
      </c>
      <c r="AI305" s="139" t="s">
        <v>430</v>
      </c>
      <c r="AJ305" s="140">
        <v>6510511.4400000004</v>
      </c>
      <c r="AK305" s="139" t="s">
        <v>583</v>
      </c>
      <c r="AL305" s="139" t="s">
        <v>583</v>
      </c>
      <c r="AM305" s="139" t="s">
        <v>632</v>
      </c>
      <c r="AN305" s="139" t="s">
        <v>633</v>
      </c>
      <c r="AO305" s="139" t="s">
        <v>583</v>
      </c>
      <c r="AP305" s="139" t="s">
        <v>583</v>
      </c>
      <c r="AQ305" s="139" t="s">
        <v>621</v>
      </c>
      <c r="AR305" s="139" t="s">
        <v>430</v>
      </c>
      <c r="AS305" s="139" t="s">
        <v>430</v>
      </c>
      <c r="AT305" s="139" t="s">
        <v>593</v>
      </c>
      <c r="AU305" s="139" t="s">
        <v>437</v>
      </c>
      <c r="AV305" s="140">
        <v>0</v>
      </c>
      <c r="AW305" s="139" t="s">
        <v>594</v>
      </c>
      <c r="AX305" s="139" t="s">
        <v>622</v>
      </c>
      <c r="AY305" s="139" t="s">
        <v>623</v>
      </c>
      <c r="AZ305" s="140">
        <v>1</v>
      </c>
      <c r="BA305" s="139" t="s">
        <v>597</v>
      </c>
      <c r="BB305" s="140">
        <v>84600</v>
      </c>
      <c r="BC305" s="140">
        <v>6510511</v>
      </c>
      <c r="BD305" s="140">
        <v>92952.33</v>
      </c>
      <c r="BE305" s="140">
        <v>76.956400000000002</v>
      </c>
      <c r="BF305" s="139" t="s">
        <v>880</v>
      </c>
      <c r="BG305" s="139" t="s">
        <v>582</v>
      </c>
      <c r="BH305" s="139" t="s">
        <v>931</v>
      </c>
      <c r="BI305" s="139" t="s">
        <v>598</v>
      </c>
      <c r="BJ305" s="139" t="s">
        <v>624</v>
      </c>
      <c r="BK305" s="139" t="s">
        <v>882</v>
      </c>
      <c r="BL305" s="139" t="s">
        <v>583</v>
      </c>
      <c r="BM305" s="139" t="s">
        <v>883</v>
      </c>
      <c r="BN305" s="139" t="s">
        <v>583</v>
      </c>
      <c r="BO305" s="139" t="s">
        <v>623</v>
      </c>
      <c r="BP305" s="139" t="s">
        <v>1692</v>
      </c>
      <c r="BQ305" s="139" t="s">
        <v>625</v>
      </c>
      <c r="BR305" s="140">
        <v>1</v>
      </c>
      <c r="BS305" s="139" t="s">
        <v>634</v>
      </c>
      <c r="BT305" s="99">
        <f t="shared" si="18"/>
        <v>0</v>
      </c>
      <c r="BU305" s="99">
        <f t="shared" si="18"/>
        <v>1</v>
      </c>
      <c r="BV305" s="99">
        <f t="shared" si="16"/>
        <v>1</v>
      </c>
      <c r="BW305" s="139" t="s">
        <v>635</v>
      </c>
      <c r="BX305" s="139" t="s">
        <v>441</v>
      </c>
      <c r="BY305" s="140">
        <v>282</v>
      </c>
      <c r="BZ305" s="140">
        <v>0</v>
      </c>
      <c r="CA305" s="99">
        <v>56400</v>
      </c>
      <c r="CB305" s="140" t="s">
        <v>603</v>
      </c>
      <c r="CC305" s="140">
        <v>0</v>
      </c>
      <c r="CD305" s="140"/>
      <c r="CE305" s="139" t="s">
        <v>577</v>
      </c>
      <c r="CF305" s="139" t="s">
        <v>604</v>
      </c>
      <c r="CG305" s="139" t="s">
        <v>583</v>
      </c>
      <c r="CH305" s="139" t="s">
        <v>583</v>
      </c>
      <c r="CI305" s="139" t="s">
        <v>621</v>
      </c>
      <c r="CJ305" s="140">
        <v>5640</v>
      </c>
      <c r="CK305" s="140" t="s">
        <v>605</v>
      </c>
      <c r="CL305" s="140">
        <v>4000000</v>
      </c>
      <c r="CM305" s="99">
        <v>5076</v>
      </c>
      <c r="CN305" s="140">
        <v>0</v>
      </c>
      <c r="CO305" s="139" t="s">
        <v>583</v>
      </c>
      <c r="CP305" s="139" t="s">
        <v>583</v>
      </c>
      <c r="CQ305" s="140">
        <v>84600</v>
      </c>
      <c r="CR305" s="140">
        <v>6510511</v>
      </c>
      <c r="CS305" s="140">
        <v>0</v>
      </c>
      <c r="CT305" s="140">
        <v>1</v>
      </c>
      <c r="CU305" s="140">
        <v>6510511.4400000004</v>
      </c>
      <c r="CV305" s="99">
        <v>92952.33</v>
      </c>
      <c r="CW305" s="139" t="s">
        <v>606</v>
      </c>
      <c r="CX305" s="140">
        <v>18.312100000000001</v>
      </c>
      <c r="CY305" s="140"/>
      <c r="CZ305" s="140"/>
      <c r="DA305" s="140" t="s">
        <v>933</v>
      </c>
      <c r="DB305" s="140">
        <v>777</v>
      </c>
      <c r="DC305" s="140"/>
    </row>
    <row r="306" spans="2:107" ht="11.25" customHeight="1" x14ac:dyDescent="0.15">
      <c r="B306" s="139" t="s">
        <v>577</v>
      </c>
      <c r="C306" s="140" t="s">
        <v>2069</v>
      </c>
      <c r="D306" s="140">
        <v>1</v>
      </c>
      <c r="E306" s="139" t="s">
        <v>2070</v>
      </c>
      <c r="F306" s="139" t="s">
        <v>729</v>
      </c>
      <c r="G306" s="140" t="s">
        <v>2069</v>
      </c>
      <c r="H306" s="139" t="s">
        <v>2071</v>
      </c>
      <c r="I306" s="140" t="s">
        <v>421</v>
      </c>
      <c r="J306" s="139" t="s">
        <v>582</v>
      </c>
      <c r="K306" s="139" t="s">
        <v>583</v>
      </c>
      <c r="L306" s="139" t="s">
        <v>583</v>
      </c>
      <c r="M306" s="139" t="s">
        <v>583</v>
      </c>
      <c r="N306" s="139" t="s">
        <v>731</v>
      </c>
      <c r="O306" s="139" t="s">
        <v>1876</v>
      </c>
      <c r="P306" s="139" t="s">
        <v>583</v>
      </c>
      <c r="Q306" s="139" t="s">
        <v>583</v>
      </c>
      <c r="R306" s="140">
        <v>1</v>
      </c>
      <c r="S306" s="140">
        <v>0</v>
      </c>
      <c r="T306" s="140">
        <v>1</v>
      </c>
      <c r="U306" s="140">
        <v>260</v>
      </c>
      <c r="V306" s="139" t="s">
        <v>691</v>
      </c>
      <c r="W306" s="139" t="s">
        <v>692</v>
      </c>
      <c r="X306" s="139" t="s">
        <v>693</v>
      </c>
      <c r="Y306" s="139" t="s">
        <v>694</v>
      </c>
      <c r="Z306" s="139" t="s">
        <v>695</v>
      </c>
      <c r="AA306" s="139" t="s">
        <v>696</v>
      </c>
      <c r="AB306" s="139" t="s">
        <v>691</v>
      </c>
      <c r="AC306" s="139" t="s">
        <v>692</v>
      </c>
      <c r="AD306" s="139" t="s">
        <v>693</v>
      </c>
      <c r="AE306" s="139" t="s">
        <v>694</v>
      </c>
      <c r="AF306" s="139" t="s">
        <v>695</v>
      </c>
      <c r="AG306" s="139" t="s">
        <v>696</v>
      </c>
      <c r="AH306" s="139" t="s">
        <v>733</v>
      </c>
      <c r="AI306" s="139" t="s">
        <v>432</v>
      </c>
      <c r="AJ306" s="140">
        <v>7205816.4699999997</v>
      </c>
      <c r="AK306" s="139" t="s">
        <v>691</v>
      </c>
      <c r="AL306" s="139" t="s">
        <v>692</v>
      </c>
      <c r="AM306" s="139" t="s">
        <v>693</v>
      </c>
      <c r="AN306" s="139" t="s">
        <v>694</v>
      </c>
      <c r="AO306" s="139" t="s">
        <v>695</v>
      </c>
      <c r="AP306" s="139" t="s">
        <v>696</v>
      </c>
      <c r="AQ306" s="139" t="s">
        <v>733</v>
      </c>
      <c r="AR306" s="139" t="s">
        <v>432</v>
      </c>
      <c r="AS306" s="139" t="s">
        <v>432</v>
      </c>
      <c r="AT306" s="139" t="s">
        <v>593</v>
      </c>
      <c r="AU306" s="139" t="s">
        <v>437</v>
      </c>
      <c r="AV306" s="140">
        <v>2</v>
      </c>
      <c r="AW306" s="139" t="s">
        <v>594</v>
      </c>
      <c r="AX306" s="139" t="s">
        <v>653</v>
      </c>
      <c r="AY306" s="139" t="s">
        <v>1930</v>
      </c>
      <c r="AZ306" s="140">
        <v>1</v>
      </c>
      <c r="BA306" s="139" t="s">
        <v>597</v>
      </c>
      <c r="BB306" s="140">
        <v>95560</v>
      </c>
      <c r="BC306" s="140">
        <v>7205816</v>
      </c>
      <c r="BD306" s="140">
        <v>103924.25</v>
      </c>
      <c r="BE306" s="140">
        <v>75.406199999999998</v>
      </c>
      <c r="BF306" s="139" t="s">
        <v>880</v>
      </c>
      <c r="BG306" s="139" t="s">
        <v>735</v>
      </c>
      <c r="BH306" s="139" t="s">
        <v>736</v>
      </c>
      <c r="BI306" s="139" t="s">
        <v>598</v>
      </c>
      <c r="BJ306" s="139" t="s">
        <v>599</v>
      </c>
      <c r="BK306" s="139" t="s">
        <v>583</v>
      </c>
      <c r="BL306" s="139" t="s">
        <v>1475</v>
      </c>
      <c r="BM306" s="139" t="s">
        <v>583</v>
      </c>
      <c r="BN306" s="139" t="s">
        <v>738</v>
      </c>
      <c r="BO306" s="139" t="s">
        <v>1919</v>
      </c>
      <c r="BP306" s="139" t="s">
        <v>1920</v>
      </c>
      <c r="BQ306" s="139" t="s">
        <v>1921</v>
      </c>
      <c r="BR306" s="140">
        <v>1</v>
      </c>
      <c r="BS306" s="139" t="s">
        <v>742</v>
      </c>
      <c r="BT306" s="99">
        <f t="shared" si="18"/>
        <v>0</v>
      </c>
      <c r="BU306" s="99">
        <f t="shared" si="18"/>
        <v>0</v>
      </c>
      <c r="BV306" s="99">
        <f t="shared" si="16"/>
        <v>0</v>
      </c>
      <c r="BW306" s="139" t="s">
        <v>743</v>
      </c>
      <c r="BX306" s="139" t="s">
        <v>731</v>
      </c>
      <c r="BY306" s="140">
        <v>260</v>
      </c>
      <c r="BZ306" s="140">
        <v>0</v>
      </c>
      <c r="CA306" s="99">
        <v>52000</v>
      </c>
      <c r="CB306" s="140" t="s">
        <v>603</v>
      </c>
      <c r="CC306" s="140">
        <v>0</v>
      </c>
      <c r="CD306" s="140"/>
      <c r="CE306" s="139" t="s">
        <v>577</v>
      </c>
      <c r="CF306" s="139" t="s">
        <v>604</v>
      </c>
      <c r="CG306" s="139" t="s">
        <v>583</v>
      </c>
      <c r="CH306" s="139" t="s">
        <v>583</v>
      </c>
      <c r="CI306" s="139" t="s">
        <v>733</v>
      </c>
      <c r="CJ306" s="140">
        <v>5720</v>
      </c>
      <c r="CK306" s="140" t="s">
        <v>605</v>
      </c>
      <c r="CL306" s="140">
        <v>4000000</v>
      </c>
      <c r="CM306" s="99">
        <v>5200</v>
      </c>
      <c r="CN306" s="140">
        <v>0</v>
      </c>
      <c r="CO306" s="139" t="s">
        <v>583</v>
      </c>
      <c r="CP306" s="139" t="s">
        <v>583</v>
      </c>
      <c r="CQ306" s="140">
        <v>95560</v>
      </c>
      <c r="CR306" s="140">
        <v>7205816</v>
      </c>
      <c r="CS306" s="140">
        <v>0</v>
      </c>
      <c r="CT306" s="140">
        <v>1</v>
      </c>
      <c r="CU306" s="140">
        <v>7205816.4699999997</v>
      </c>
      <c r="CV306" s="99">
        <v>103924.25</v>
      </c>
      <c r="CW306" s="139" t="s">
        <v>606</v>
      </c>
      <c r="CX306" s="140">
        <v>19.985399999999998</v>
      </c>
      <c r="CY306" s="140">
        <v>933</v>
      </c>
      <c r="CZ306" s="140" t="s">
        <v>894</v>
      </c>
      <c r="DA306" s="140" t="s">
        <v>1480</v>
      </c>
      <c r="DB306" s="140">
        <v>1</v>
      </c>
      <c r="DC306" s="140"/>
    </row>
    <row r="307" spans="2:107" ht="11.25" customHeight="1" x14ac:dyDescent="0.15">
      <c r="B307" s="139" t="s">
        <v>577</v>
      </c>
      <c r="C307" s="140" t="s">
        <v>2072</v>
      </c>
      <c r="D307" s="140">
        <v>1</v>
      </c>
      <c r="E307" s="139" t="s">
        <v>2073</v>
      </c>
      <c r="F307" s="139" t="s">
        <v>618</v>
      </c>
      <c r="G307" s="140" t="s">
        <v>2072</v>
      </c>
      <c r="H307" s="139" t="s">
        <v>2074</v>
      </c>
      <c r="I307" s="140" t="s">
        <v>421</v>
      </c>
      <c r="J307" s="139" t="s">
        <v>582</v>
      </c>
      <c r="K307" s="139" t="s">
        <v>583</v>
      </c>
      <c r="L307" s="139" t="s">
        <v>583</v>
      </c>
      <c r="M307" s="139" t="s">
        <v>583</v>
      </c>
      <c r="N307" s="139" t="s">
        <v>441</v>
      </c>
      <c r="O307" s="139" t="s">
        <v>1771</v>
      </c>
      <c r="P307" s="139" t="s">
        <v>583</v>
      </c>
      <c r="Q307" s="139" t="s">
        <v>583</v>
      </c>
      <c r="R307" s="140">
        <v>1</v>
      </c>
      <c r="S307" s="140">
        <v>0</v>
      </c>
      <c r="T307" s="140">
        <v>1</v>
      </c>
      <c r="U307" s="140">
        <v>374</v>
      </c>
      <c r="V307" s="139" t="s">
        <v>691</v>
      </c>
      <c r="W307" s="139" t="s">
        <v>692</v>
      </c>
      <c r="X307" s="139" t="s">
        <v>693</v>
      </c>
      <c r="Y307" s="139" t="s">
        <v>694</v>
      </c>
      <c r="Z307" s="139" t="s">
        <v>695</v>
      </c>
      <c r="AA307" s="139" t="s">
        <v>696</v>
      </c>
      <c r="AB307" s="139" t="s">
        <v>691</v>
      </c>
      <c r="AC307" s="139" t="s">
        <v>692</v>
      </c>
      <c r="AD307" s="139" t="s">
        <v>693</v>
      </c>
      <c r="AE307" s="139" t="s">
        <v>694</v>
      </c>
      <c r="AF307" s="139" t="s">
        <v>695</v>
      </c>
      <c r="AG307" s="139" t="s">
        <v>696</v>
      </c>
      <c r="AH307" s="139" t="s">
        <v>621</v>
      </c>
      <c r="AI307" s="139" t="s">
        <v>430</v>
      </c>
      <c r="AJ307" s="140">
        <v>8911806.3399999999</v>
      </c>
      <c r="AK307" s="139" t="s">
        <v>691</v>
      </c>
      <c r="AL307" s="139" t="s">
        <v>692</v>
      </c>
      <c r="AM307" s="139" t="s">
        <v>693</v>
      </c>
      <c r="AN307" s="139" t="s">
        <v>694</v>
      </c>
      <c r="AO307" s="139" t="s">
        <v>695</v>
      </c>
      <c r="AP307" s="139" t="s">
        <v>696</v>
      </c>
      <c r="AQ307" s="139" t="s">
        <v>621</v>
      </c>
      <c r="AR307" s="139" t="s">
        <v>430</v>
      </c>
      <c r="AS307" s="139" t="s">
        <v>430</v>
      </c>
      <c r="AT307" s="139" t="s">
        <v>593</v>
      </c>
      <c r="AU307" s="139" t="s">
        <v>437</v>
      </c>
      <c r="AV307" s="140">
        <v>0</v>
      </c>
      <c r="AW307" s="139" t="s">
        <v>594</v>
      </c>
      <c r="AX307" s="139" t="s">
        <v>622</v>
      </c>
      <c r="AY307" s="139" t="s">
        <v>623</v>
      </c>
      <c r="AZ307" s="140">
        <v>1</v>
      </c>
      <c r="BA307" s="139" t="s">
        <v>597</v>
      </c>
      <c r="BB307" s="140">
        <v>118184</v>
      </c>
      <c r="BC307" s="140">
        <v>8911806</v>
      </c>
      <c r="BD307" s="140">
        <v>128528.5</v>
      </c>
      <c r="BE307" s="140">
        <v>75.406199999999998</v>
      </c>
      <c r="BF307" s="139" t="s">
        <v>880</v>
      </c>
      <c r="BG307" s="139" t="s">
        <v>582</v>
      </c>
      <c r="BH307" s="139" t="s">
        <v>1018</v>
      </c>
      <c r="BI307" s="139" t="s">
        <v>598</v>
      </c>
      <c r="BJ307" s="139" t="s">
        <v>624</v>
      </c>
      <c r="BK307" s="139" t="s">
        <v>882</v>
      </c>
      <c r="BL307" s="139" t="s">
        <v>583</v>
      </c>
      <c r="BM307" s="139" t="s">
        <v>1019</v>
      </c>
      <c r="BN307" s="139" t="s">
        <v>1020</v>
      </c>
      <c r="BO307" s="139" t="s">
        <v>623</v>
      </c>
      <c r="BP307" s="139" t="s">
        <v>1772</v>
      </c>
      <c r="BQ307" s="139" t="s">
        <v>625</v>
      </c>
      <c r="BR307" s="140">
        <v>1</v>
      </c>
      <c r="BS307" s="139" t="s">
        <v>1478</v>
      </c>
      <c r="BT307" s="99">
        <f t="shared" si="18"/>
        <v>0</v>
      </c>
      <c r="BU307" s="99">
        <f t="shared" si="18"/>
        <v>0</v>
      </c>
      <c r="BV307" s="99">
        <f t="shared" si="16"/>
        <v>0</v>
      </c>
      <c r="BW307" s="139" t="s">
        <v>446</v>
      </c>
      <c r="BX307" s="139" t="s">
        <v>441</v>
      </c>
      <c r="BY307" s="140">
        <v>374</v>
      </c>
      <c r="BZ307" s="140">
        <v>0</v>
      </c>
      <c r="CA307" s="99">
        <v>74800</v>
      </c>
      <c r="CB307" s="140" t="s">
        <v>603</v>
      </c>
      <c r="CC307" s="140">
        <v>0</v>
      </c>
      <c r="CD307" s="140"/>
      <c r="CE307" s="139" t="s">
        <v>577</v>
      </c>
      <c r="CF307" s="139" t="s">
        <v>604</v>
      </c>
      <c r="CG307" s="139" t="s">
        <v>583</v>
      </c>
      <c r="CH307" s="139" t="s">
        <v>583</v>
      </c>
      <c r="CI307" s="139" t="s">
        <v>621</v>
      </c>
      <c r="CJ307" s="140">
        <v>7798</v>
      </c>
      <c r="CK307" s="140" t="s">
        <v>605</v>
      </c>
      <c r="CL307" s="140">
        <v>4000000</v>
      </c>
      <c r="CM307" s="99">
        <v>6732</v>
      </c>
      <c r="CN307" s="140">
        <v>0</v>
      </c>
      <c r="CO307" s="139" t="s">
        <v>583</v>
      </c>
      <c r="CP307" s="139" t="s">
        <v>583</v>
      </c>
      <c r="CQ307" s="140">
        <v>118184</v>
      </c>
      <c r="CR307" s="140">
        <v>8911806</v>
      </c>
      <c r="CS307" s="140">
        <v>0</v>
      </c>
      <c r="CT307" s="140">
        <v>1</v>
      </c>
      <c r="CU307" s="140">
        <v>8911806.3399999999</v>
      </c>
      <c r="CV307" s="99">
        <v>128528.5</v>
      </c>
      <c r="CW307" s="139" t="s">
        <v>606</v>
      </c>
      <c r="CX307" s="140">
        <v>19.092199999999998</v>
      </c>
      <c r="CY307" s="140">
        <v>933</v>
      </c>
      <c r="CZ307" s="140" t="s">
        <v>894</v>
      </c>
      <c r="DA307" s="140" t="s">
        <v>1480</v>
      </c>
      <c r="DB307" s="140">
        <v>741</v>
      </c>
      <c r="DC307" s="140"/>
    </row>
    <row r="308" spans="2:107" ht="11.25" customHeight="1" x14ac:dyDescent="0.15">
      <c r="B308" s="139" t="s">
        <v>577</v>
      </c>
      <c r="C308" s="140" t="s">
        <v>2075</v>
      </c>
      <c r="D308" s="140">
        <v>1</v>
      </c>
      <c r="E308" s="139" t="s">
        <v>2076</v>
      </c>
      <c r="F308" s="139" t="s">
        <v>618</v>
      </c>
      <c r="G308" s="140" t="s">
        <v>2075</v>
      </c>
      <c r="H308" s="139" t="s">
        <v>2077</v>
      </c>
      <c r="I308" s="140" t="s">
        <v>421</v>
      </c>
      <c r="J308" s="139" t="s">
        <v>582</v>
      </c>
      <c r="K308" s="139" t="s">
        <v>583</v>
      </c>
      <c r="L308" s="139" t="s">
        <v>583</v>
      </c>
      <c r="M308" s="139" t="s">
        <v>583</v>
      </c>
      <c r="N308" s="139" t="s">
        <v>441</v>
      </c>
      <c r="O308" s="139" t="s">
        <v>630</v>
      </c>
      <c r="P308" s="139" t="s">
        <v>583</v>
      </c>
      <c r="Q308" s="139" t="s">
        <v>583</v>
      </c>
      <c r="R308" s="140">
        <v>1</v>
      </c>
      <c r="S308" s="140">
        <v>0</v>
      </c>
      <c r="T308" s="140">
        <v>1</v>
      </c>
      <c r="U308" s="140">
        <v>280</v>
      </c>
      <c r="V308" s="139" t="s">
        <v>583</v>
      </c>
      <c r="W308" s="139" t="s">
        <v>583</v>
      </c>
      <c r="X308" s="139" t="s">
        <v>632</v>
      </c>
      <c r="Y308" s="139" t="s">
        <v>633</v>
      </c>
      <c r="Z308" s="139" t="s">
        <v>583</v>
      </c>
      <c r="AA308" s="139" t="s">
        <v>583</v>
      </c>
      <c r="AB308" s="139" t="s">
        <v>583</v>
      </c>
      <c r="AC308" s="139" t="s">
        <v>583</v>
      </c>
      <c r="AD308" s="139" t="s">
        <v>632</v>
      </c>
      <c r="AE308" s="139" t="s">
        <v>633</v>
      </c>
      <c r="AF308" s="139" t="s">
        <v>583</v>
      </c>
      <c r="AG308" s="139" t="s">
        <v>583</v>
      </c>
      <c r="AH308" s="139" t="s">
        <v>621</v>
      </c>
      <c r="AI308" s="139" t="s">
        <v>430</v>
      </c>
      <c r="AJ308" s="140">
        <v>6328123.2000000002</v>
      </c>
      <c r="AK308" s="139" t="s">
        <v>583</v>
      </c>
      <c r="AL308" s="139" t="s">
        <v>583</v>
      </c>
      <c r="AM308" s="139" t="s">
        <v>632</v>
      </c>
      <c r="AN308" s="139" t="s">
        <v>633</v>
      </c>
      <c r="AO308" s="139" t="s">
        <v>583</v>
      </c>
      <c r="AP308" s="139" t="s">
        <v>583</v>
      </c>
      <c r="AQ308" s="139" t="s">
        <v>621</v>
      </c>
      <c r="AR308" s="139" t="s">
        <v>430</v>
      </c>
      <c r="AS308" s="139" t="s">
        <v>430</v>
      </c>
      <c r="AT308" s="139" t="s">
        <v>593</v>
      </c>
      <c r="AU308" s="139" t="s">
        <v>437</v>
      </c>
      <c r="AV308" s="140">
        <v>0</v>
      </c>
      <c r="AW308" s="139" t="s">
        <v>594</v>
      </c>
      <c r="AX308" s="139" t="s">
        <v>622</v>
      </c>
      <c r="AY308" s="139" t="s">
        <v>623</v>
      </c>
      <c r="AZ308" s="140">
        <v>1</v>
      </c>
      <c r="BA308" s="139" t="s">
        <v>597</v>
      </c>
      <c r="BB308" s="140">
        <v>84000</v>
      </c>
      <c r="BC308" s="140">
        <v>6328123</v>
      </c>
      <c r="BD308" s="140">
        <v>91544.36</v>
      </c>
      <c r="BE308" s="140">
        <v>75.334800000000001</v>
      </c>
      <c r="BF308" s="139" t="s">
        <v>880</v>
      </c>
      <c r="BG308" s="139" t="s">
        <v>582</v>
      </c>
      <c r="BH308" s="139" t="s">
        <v>931</v>
      </c>
      <c r="BI308" s="139" t="s">
        <v>598</v>
      </c>
      <c r="BJ308" s="139" t="s">
        <v>624</v>
      </c>
      <c r="BK308" s="139" t="s">
        <v>882</v>
      </c>
      <c r="BL308" s="139" t="s">
        <v>583</v>
      </c>
      <c r="BM308" s="139" t="s">
        <v>883</v>
      </c>
      <c r="BN308" s="139" t="s">
        <v>583</v>
      </c>
      <c r="BO308" s="139" t="s">
        <v>623</v>
      </c>
      <c r="BP308" s="139" t="s">
        <v>1692</v>
      </c>
      <c r="BQ308" s="139" t="s">
        <v>625</v>
      </c>
      <c r="BR308" s="140">
        <v>1</v>
      </c>
      <c r="BS308" s="139" t="s">
        <v>1884</v>
      </c>
      <c r="BT308" s="99">
        <f t="shared" ref="BT308:BU327" si="19">MIN(1,IFERROR(SEARCH(BT$2,$BS308),0))</f>
        <v>0</v>
      </c>
      <c r="BU308" s="99">
        <f t="shared" si="19"/>
        <v>1</v>
      </c>
      <c r="BV308" s="99">
        <f t="shared" si="16"/>
        <v>1</v>
      </c>
      <c r="BW308" s="139" t="s">
        <v>635</v>
      </c>
      <c r="BX308" s="139" t="s">
        <v>441</v>
      </c>
      <c r="BY308" s="140">
        <v>280</v>
      </c>
      <c r="BZ308" s="140">
        <v>0</v>
      </c>
      <c r="CA308" s="99">
        <v>56000</v>
      </c>
      <c r="CB308" s="140" t="s">
        <v>603</v>
      </c>
      <c r="CC308" s="140">
        <v>0</v>
      </c>
      <c r="CD308" s="140"/>
      <c r="CE308" s="139" t="s">
        <v>577</v>
      </c>
      <c r="CF308" s="139" t="s">
        <v>604</v>
      </c>
      <c r="CG308" s="139" t="s">
        <v>583</v>
      </c>
      <c r="CH308" s="139" t="s">
        <v>583</v>
      </c>
      <c r="CI308" s="139" t="s">
        <v>621</v>
      </c>
      <c r="CJ308" s="140">
        <v>5748</v>
      </c>
      <c r="CK308" s="140" t="s">
        <v>605</v>
      </c>
      <c r="CL308" s="140">
        <v>4000000</v>
      </c>
      <c r="CM308" s="99">
        <v>5040</v>
      </c>
      <c r="CN308" s="140">
        <v>0</v>
      </c>
      <c r="CO308" s="139" t="s">
        <v>583</v>
      </c>
      <c r="CP308" s="139" t="s">
        <v>583</v>
      </c>
      <c r="CQ308" s="140">
        <v>84000</v>
      </c>
      <c r="CR308" s="140">
        <v>6328123</v>
      </c>
      <c r="CS308" s="140">
        <v>0</v>
      </c>
      <c r="CT308" s="140">
        <v>1</v>
      </c>
      <c r="CU308" s="140">
        <v>6328123.2000000002</v>
      </c>
      <c r="CV308" s="99">
        <v>91544.36</v>
      </c>
      <c r="CW308" s="139" t="s">
        <v>606</v>
      </c>
      <c r="CX308" s="140">
        <v>18.163599999999999</v>
      </c>
      <c r="CY308" s="140"/>
      <c r="CZ308" s="140"/>
      <c r="DA308" s="140" t="s">
        <v>933</v>
      </c>
      <c r="DB308" s="140">
        <v>636</v>
      </c>
      <c r="DC308" s="140"/>
    </row>
    <row r="309" spans="2:107" ht="11.25" customHeight="1" x14ac:dyDescent="0.15">
      <c r="B309" s="139" t="s">
        <v>577</v>
      </c>
      <c r="C309" s="140" t="s">
        <v>2078</v>
      </c>
      <c r="D309" s="140">
        <v>1</v>
      </c>
      <c r="E309" s="139" t="s">
        <v>2079</v>
      </c>
      <c r="F309" s="139" t="s">
        <v>618</v>
      </c>
      <c r="G309" s="140" t="s">
        <v>2078</v>
      </c>
      <c r="H309" s="139" t="s">
        <v>2080</v>
      </c>
      <c r="I309" s="140" t="s">
        <v>421</v>
      </c>
      <c r="J309" s="139" t="s">
        <v>582</v>
      </c>
      <c r="K309" s="139" t="s">
        <v>583</v>
      </c>
      <c r="L309" s="139" t="s">
        <v>583</v>
      </c>
      <c r="M309" s="139" t="s">
        <v>583</v>
      </c>
      <c r="N309" s="139" t="s">
        <v>650</v>
      </c>
      <c r="O309" s="139" t="s">
        <v>1088</v>
      </c>
      <c r="P309" s="139" t="s">
        <v>583</v>
      </c>
      <c r="Q309" s="139" t="s">
        <v>583</v>
      </c>
      <c r="R309" s="140">
        <v>1</v>
      </c>
      <c r="S309" s="140">
        <v>0</v>
      </c>
      <c r="T309" s="140">
        <v>1</v>
      </c>
      <c r="U309" s="140">
        <v>238</v>
      </c>
      <c r="V309" s="139" t="s">
        <v>586</v>
      </c>
      <c r="W309" s="139" t="s">
        <v>587</v>
      </c>
      <c r="X309" s="139" t="s">
        <v>588</v>
      </c>
      <c r="Y309" s="139" t="s">
        <v>589</v>
      </c>
      <c r="Z309" s="139" t="s">
        <v>590</v>
      </c>
      <c r="AA309" s="139" t="s">
        <v>591</v>
      </c>
      <c r="AB309" s="139" t="s">
        <v>586</v>
      </c>
      <c r="AC309" s="139" t="s">
        <v>587</v>
      </c>
      <c r="AD309" s="139" t="s">
        <v>588</v>
      </c>
      <c r="AE309" s="139" t="s">
        <v>589</v>
      </c>
      <c r="AF309" s="139" t="s">
        <v>590</v>
      </c>
      <c r="AG309" s="139" t="s">
        <v>591</v>
      </c>
      <c r="AH309" s="139" t="s">
        <v>652</v>
      </c>
      <c r="AI309" s="139" t="s">
        <v>431</v>
      </c>
      <c r="AJ309" s="140">
        <v>22120535.719999999</v>
      </c>
      <c r="AK309" s="139" t="s">
        <v>586</v>
      </c>
      <c r="AL309" s="139" t="s">
        <v>587</v>
      </c>
      <c r="AM309" s="139" t="s">
        <v>588</v>
      </c>
      <c r="AN309" s="139" t="s">
        <v>589</v>
      </c>
      <c r="AO309" s="139" t="s">
        <v>590</v>
      </c>
      <c r="AP309" s="139" t="s">
        <v>591</v>
      </c>
      <c r="AQ309" s="139" t="s">
        <v>652</v>
      </c>
      <c r="AR309" s="139" t="s">
        <v>431</v>
      </c>
      <c r="AS309" s="139" t="s">
        <v>431</v>
      </c>
      <c r="AT309" s="139" t="s">
        <v>593</v>
      </c>
      <c r="AU309" s="139" t="s">
        <v>437</v>
      </c>
      <c r="AV309" s="140">
        <v>0</v>
      </c>
      <c r="AW309" s="139" t="s">
        <v>594</v>
      </c>
      <c r="AX309" s="139" t="s">
        <v>653</v>
      </c>
      <c r="AY309" s="139" t="s">
        <v>623</v>
      </c>
      <c r="AZ309" s="140">
        <v>1</v>
      </c>
      <c r="BA309" s="139" t="s">
        <v>2045</v>
      </c>
      <c r="BB309" s="140">
        <v>260484</v>
      </c>
      <c r="BC309" s="140">
        <v>22120536</v>
      </c>
      <c r="BD309" s="140">
        <v>320785.99</v>
      </c>
      <c r="BE309" s="140">
        <v>84.920900000000003</v>
      </c>
      <c r="BF309" s="139" t="s">
        <v>880</v>
      </c>
      <c r="BG309" s="139" t="s">
        <v>582</v>
      </c>
      <c r="BH309" s="139" t="s">
        <v>970</v>
      </c>
      <c r="BI309" s="139" t="s">
        <v>598</v>
      </c>
      <c r="BJ309" s="139" t="s">
        <v>624</v>
      </c>
      <c r="BK309" s="139" t="s">
        <v>882</v>
      </c>
      <c r="BL309" s="139" t="s">
        <v>583</v>
      </c>
      <c r="BM309" s="139" t="s">
        <v>883</v>
      </c>
      <c r="BN309" s="139" t="s">
        <v>971</v>
      </c>
      <c r="BO309" s="139" t="s">
        <v>972</v>
      </c>
      <c r="BP309" s="139" t="s">
        <v>1743</v>
      </c>
      <c r="BQ309" s="139" t="s">
        <v>625</v>
      </c>
      <c r="BR309" s="140">
        <v>1</v>
      </c>
      <c r="BS309" s="139" t="s">
        <v>1843</v>
      </c>
      <c r="BT309" s="99">
        <f t="shared" si="19"/>
        <v>0</v>
      </c>
      <c r="BU309" s="99">
        <f t="shared" si="19"/>
        <v>1</v>
      </c>
      <c r="BV309" s="99">
        <f t="shared" si="16"/>
        <v>1</v>
      </c>
      <c r="BW309" s="139" t="s">
        <v>655</v>
      </c>
      <c r="BX309" s="139" t="s">
        <v>656</v>
      </c>
      <c r="BY309" s="140">
        <v>238</v>
      </c>
      <c r="BZ309" s="140">
        <v>0</v>
      </c>
      <c r="CA309" s="99">
        <v>47600</v>
      </c>
      <c r="CB309" s="140" t="s">
        <v>603</v>
      </c>
      <c r="CC309" s="140">
        <v>0</v>
      </c>
      <c r="CD309" s="140"/>
      <c r="CE309" s="139" t="s">
        <v>577</v>
      </c>
      <c r="CF309" s="139" t="s">
        <v>604</v>
      </c>
      <c r="CG309" s="139" t="s">
        <v>583</v>
      </c>
      <c r="CH309" s="139" t="s">
        <v>583</v>
      </c>
      <c r="CI309" s="139" t="s">
        <v>652</v>
      </c>
      <c r="CJ309" s="140">
        <v>4998</v>
      </c>
      <c r="CK309" s="140" t="s">
        <v>657</v>
      </c>
      <c r="CL309" s="140">
        <v>4000000</v>
      </c>
      <c r="CM309" s="99">
        <v>4760</v>
      </c>
      <c r="CN309" s="140">
        <v>0</v>
      </c>
      <c r="CO309" s="139" t="s">
        <v>583</v>
      </c>
      <c r="CP309" s="139" t="s">
        <v>583</v>
      </c>
      <c r="CQ309" s="140">
        <v>260484</v>
      </c>
      <c r="CR309" s="140">
        <v>22120536</v>
      </c>
      <c r="CS309" s="140">
        <v>0</v>
      </c>
      <c r="CT309" s="140">
        <v>1</v>
      </c>
      <c r="CU309" s="140">
        <v>22120535.719999999</v>
      </c>
      <c r="CV309" s="99">
        <v>320785.99</v>
      </c>
      <c r="CW309" s="139" t="s">
        <v>606</v>
      </c>
      <c r="CX309" s="140">
        <v>67.391999999999996</v>
      </c>
      <c r="CY309" s="140"/>
      <c r="CZ309" s="140"/>
      <c r="DA309" s="140" t="s">
        <v>856</v>
      </c>
      <c r="DB309" s="140">
        <v>608</v>
      </c>
      <c r="DC309" s="140"/>
    </row>
    <row r="310" spans="2:107" ht="11.25" customHeight="1" x14ac:dyDescent="0.15">
      <c r="B310" s="139" t="s">
        <v>577</v>
      </c>
      <c r="C310" s="140" t="s">
        <v>2078</v>
      </c>
      <c r="D310" s="140">
        <v>1</v>
      </c>
      <c r="E310" s="139" t="s">
        <v>2081</v>
      </c>
      <c r="F310" s="139" t="s">
        <v>618</v>
      </c>
      <c r="G310" s="140" t="s">
        <v>2078</v>
      </c>
      <c r="H310" s="139" t="s">
        <v>2082</v>
      </c>
      <c r="I310" s="140" t="s">
        <v>421</v>
      </c>
      <c r="J310" s="139" t="s">
        <v>582</v>
      </c>
      <c r="K310" s="139" t="s">
        <v>583</v>
      </c>
      <c r="L310" s="139" t="s">
        <v>583</v>
      </c>
      <c r="M310" s="139" t="s">
        <v>583</v>
      </c>
      <c r="N310" s="139" t="s">
        <v>441</v>
      </c>
      <c r="O310" s="139" t="s">
        <v>1160</v>
      </c>
      <c r="P310" s="139" t="s">
        <v>583</v>
      </c>
      <c r="Q310" s="139" t="s">
        <v>583</v>
      </c>
      <c r="R310" s="140">
        <v>1</v>
      </c>
      <c r="S310" s="140">
        <v>0</v>
      </c>
      <c r="T310" s="140">
        <v>1</v>
      </c>
      <c r="U310" s="140">
        <v>810</v>
      </c>
      <c r="V310" s="139" t="s">
        <v>586</v>
      </c>
      <c r="W310" s="139" t="s">
        <v>587</v>
      </c>
      <c r="X310" s="139" t="s">
        <v>588</v>
      </c>
      <c r="Y310" s="139" t="s">
        <v>589</v>
      </c>
      <c r="Z310" s="139" t="s">
        <v>590</v>
      </c>
      <c r="AA310" s="139" t="s">
        <v>591</v>
      </c>
      <c r="AB310" s="139" t="s">
        <v>586</v>
      </c>
      <c r="AC310" s="139" t="s">
        <v>587</v>
      </c>
      <c r="AD310" s="139" t="s">
        <v>588</v>
      </c>
      <c r="AE310" s="139" t="s">
        <v>589</v>
      </c>
      <c r="AF310" s="139" t="s">
        <v>590</v>
      </c>
      <c r="AG310" s="139" t="s">
        <v>591</v>
      </c>
      <c r="AH310" s="139" t="s">
        <v>621</v>
      </c>
      <c r="AI310" s="139" t="s">
        <v>430</v>
      </c>
      <c r="AJ310" s="140">
        <v>16878682.149999999</v>
      </c>
      <c r="AK310" s="139" t="s">
        <v>586</v>
      </c>
      <c r="AL310" s="139" t="s">
        <v>587</v>
      </c>
      <c r="AM310" s="139" t="s">
        <v>588</v>
      </c>
      <c r="AN310" s="139" t="s">
        <v>589</v>
      </c>
      <c r="AO310" s="139" t="s">
        <v>590</v>
      </c>
      <c r="AP310" s="139" t="s">
        <v>591</v>
      </c>
      <c r="AQ310" s="139" t="s">
        <v>621</v>
      </c>
      <c r="AR310" s="139" t="s">
        <v>430</v>
      </c>
      <c r="AS310" s="139" t="s">
        <v>430</v>
      </c>
      <c r="AT310" s="139" t="s">
        <v>593</v>
      </c>
      <c r="AU310" s="139" t="s">
        <v>437</v>
      </c>
      <c r="AV310" s="140">
        <v>0</v>
      </c>
      <c r="AW310" s="139" t="s">
        <v>594</v>
      </c>
      <c r="AX310" s="139" t="s">
        <v>622</v>
      </c>
      <c r="AY310" s="139" t="s">
        <v>623</v>
      </c>
      <c r="AZ310" s="140">
        <v>1</v>
      </c>
      <c r="BA310" s="139" t="s">
        <v>597</v>
      </c>
      <c r="BB310" s="140">
        <v>225180</v>
      </c>
      <c r="BC310" s="140">
        <v>16878682</v>
      </c>
      <c r="BD310" s="140">
        <v>244770.06</v>
      </c>
      <c r="BE310" s="140">
        <v>74.956400000000002</v>
      </c>
      <c r="BF310" s="139" t="s">
        <v>880</v>
      </c>
      <c r="BG310" s="139" t="s">
        <v>582</v>
      </c>
      <c r="BH310" s="139" t="s">
        <v>1161</v>
      </c>
      <c r="BI310" s="139" t="s">
        <v>598</v>
      </c>
      <c r="BJ310" s="139" t="s">
        <v>624</v>
      </c>
      <c r="BK310" s="139" t="s">
        <v>882</v>
      </c>
      <c r="BL310" s="139" t="s">
        <v>583</v>
      </c>
      <c r="BM310" s="139" t="s">
        <v>883</v>
      </c>
      <c r="BN310" s="139" t="s">
        <v>971</v>
      </c>
      <c r="BO310" s="139" t="s">
        <v>972</v>
      </c>
      <c r="BP310" s="139" t="s">
        <v>1933</v>
      </c>
      <c r="BQ310" s="139" t="s">
        <v>625</v>
      </c>
      <c r="BR310" s="140">
        <v>1</v>
      </c>
      <c r="BS310" s="139" t="s">
        <v>1212</v>
      </c>
      <c r="BT310" s="99">
        <f t="shared" si="19"/>
        <v>0</v>
      </c>
      <c r="BU310" s="99">
        <f t="shared" si="19"/>
        <v>1</v>
      </c>
      <c r="BV310" s="99">
        <f t="shared" si="16"/>
        <v>1</v>
      </c>
      <c r="BW310" s="139" t="s">
        <v>602</v>
      </c>
      <c r="BX310" s="139" t="s">
        <v>441</v>
      </c>
      <c r="BY310" s="140">
        <v>810</v>
      </c>
      <c r="BZ310" s="140">
        <v>0</v>
      </c>
      <c r="CA310" s="99">
        <v>162000</v>
      </c>
      <c r="CB310" s="140" t="s">
        <v>603</v>
      </c>
      <c r="CC310" s="140">
        <v>0</v>
      </c>
      <c r="CD310" s="140"/>
      <c r="CE310" s="139" t="s">
        <v>577</v>
      </c>
      <c r="CF310" s="139" t="s">
        <v>604</v>
      </c>
      <c r="CG310" s="139" t="s">
        <v>583</v>
      </c>
      <c r="CH310" s="139" t="s">
        <v>583</v>
      </c>
      <c r="CI310" s="139" t="s">
        <v>621</v>
      </c>
      <c r="CJ310" s="140">
        <v>16576</v>
      </c>
      <c r="CK310" s="140" t="s">
        <v>605</v>
      </c>
      <c r="CL310" s="140">
        <v>4000000</v>
      </c>
      <c r="CM310" s="99">
        <v>14580</v>
      </c>
      <c r="CN310" s="140">
        <v>0</v>
      </c>
      <c r="CO310" s="139" t="s">
        <v>583</v>
      </c>
      <c r="CP310" s="139" t="s">
        <v>583</v>
      </c>
      <c r="CQ310" s="140">
        <v>225180</v>
      </c>
      <c r="CR310" s="140">
        <v>16878682</v>
      </c>
      <c r="CS310" s="140">
        <v>0</v>
      </c>
      <c r="CT310" s="140">
        <v>1</v>
      </c>
      <c r="CU310" s="140">
        <v>16878682.149999999</v>
      </c>
      <c r="CV310" s="99">
        <v>244770.06</v>
      </c>
      <c r="CW310" s="139" t="s">
        <v>606</v>
      </c>
      <c r="CX310" s="140">
        <v>16.7881</v>
      </c>
      <c r="CY310" s="140"/>
      <c r="CZ310" s="140"/>
      <c r="DA310" s="140" t="s">
        <v>856</v>
      </c>
      <c r="DB310" s="140">
        <v>655</v>
      </c>
      <c r="DC310" s="140"/>
    </row>
    <row r="311" spans="2:107" ht="11.25" customHeight="1" x14ac:dyDescent="0.15">
      <c r="B311" s="139" t="s">
        <v>577</v>
      </c>
      <c r="C311" s="140" t="s">
        <v>2083</v>
      </c>
      <c r="D311" s="140">
        <v>1</v>
      </c>
      <c r="E311" s="139" t="s">
        <v>2084</v>
      </c>
      <c r="F311" s="139" t="s">
        <v>729</v>
      </c>
      <c r="G311" s="140" t="s">
        <v>2085</v>
      </c>
      <c r="H311" s="139" t="s">
        <v>2086</v>
      </c>
      <c r="I311" s="140" t="s">
        <v>421</v>
      </c>
      <c r="J311" s="139" t="s">
        <v>582</v>
      </c>
      <c r="K311" s="139" t="s">
        <v>583</v>
      </c>
      <c r="L311" s="139" t="s">
        <v>583</v>
      </c>
      <c r="M311" s="139" t="s">
        <v>583</v>
      </c>
      <c r="N311" s="139" t="s">
        <v>778</v>
      </c>
      <c r="O311" s="139" t="s">
        <v>1111</v>
      </c>
      <c r="P311" s="139" t="s">
        <v>583</v>
      </c>
      <c r="Q311" s="139" t="s">
        <v>583</v>
      </c>
      <c r="R311" s="140">
        <v>1</v>
      </c>
      <c r="S311" s="140">
        <v>0</v>
      </c>
      <c r="T311" s="140">
        <v>1</v>
      </c>
      <c r="U311" s="140">
        <v>270</v>
      </c>
      <c r="V311" s="139" t="s">
        <v>691</v>
      </c>
      <c r="W311" s="139" t="s">
        <v>692</v>
      </c>
      <c r="X311" s="139" t="s">
        <v>693</v>
      </c>
      <c r="Y311" s="139" t="s">
        <v>694</v>
      </c>
      <c r="Z311" s="139" t="s">
        <v>695</v>
      </c>
      <c r="AA311" s="139" t="s">
        <v>696</v>
      </c>
      <c r="AB311" s="139" t="s">
        <v>691</v>
      </c>
      <c r="AC311" s="139" t="s">
        <v>692</v>
      </c>
      <c r="AD311" s="139" t="s">
        <v>693</v>
      </c>
      <c r="AE311" s="139" t="s">
        <v>694</v>
      </c>
      <c r="AF311" s="139" t="s">
        <v>695</v>
      </c>
      <c r="AG311" s="139" t="s">
        <v>696</v>
      </c>
      <c r="AH311" s="139" t="s">
        <v>751</v>
      </c>
      <c r="AI311" s="139" t="s">
        <v>433</v>
      </c>
      <c r="AJ311" s="140">
        <v>7076967.4000000004</v>
      </c>
      <c r="AK311" s="139" t="s">
        <v>691</v>
      </c>
      <c r="AL311" s="139" t="s">
        <v>692</v>
      </c>
      <c r="AM311" s="139" t="s">
        <v>693</v>
      </c>
      <c r="AN311" s="139" t="s">
        <v>694</v>
      </c>
      <c r="AO311" s="139" t="s">
        <v>695</v>
      </c>
      <c r="AP311" s="139" t="s">
        <v>696</v>
      </c>
      <c r="AQ311" s="139" t="s">
        <v>751</v>
      </c>
      <c r="AR311" s="139" t="s">
        <v>433</v>
      </c>
      <c r="AS311" s="139" t="s">
        <v>433</v>
      </c>
      <c r="AT311" s="139" t="s">
        <v>593</v>
      </c>
      <c r="AU311" s="139" t="s">
        <v>437</v>
      </c>
      <c r="AV311" s="140">
        <v>2</v>
      </c>
      <c r="AW311" s="139" t="s">
        <v>594</v>
      </c>
      <c r="AX311" s="139" t="s">
        <v>653</v>
      </c>
      <c r="AY311" s="139" t="s">
        <v>780</v>
      </c>
      <c r="AZ311" s="140">
        <v>1</v>
      </c>
      <c r="BA311" s="139" t="s">
        <v>597</v>
      </c>
      <c r="BB311" s="140">
        <v>94699.6</v>
      </c>
      <c r="BC311" s="140">
        <v>7076967</v>
      </c>
      <c r="BD311" s="140">
        <v>103119.5</v>
      </c>
      <c r="BE311" s="140">
        <v>74.730699999999999</v>
      </c>
      <c r="BF311" s="139" t="s">
        <v>880</v>
      </c>
      <c r="BG311" s="139" t="s">
        <v>735</v>
      </c>
      <c r="BH311" s="139" t="s">
        <v>1112</v>
      </c>
      <c r="BI311" s="139" t="s">
        <v>598</v>
      </c>
      <c r="BJ311" s="139" t="s">
        <v>599</v>
      </c>
      <c r="BK311" s="139" t="s">
        <v>583</v>
      </c>
      <c r="BL311" s="139" t="s">
        <v>1475</v>
      </c>
      <c r="BM311" s="139" t="s">
        <v>583</v>
      </c>
      <c r="BN311" s="139" t="s">
        <v>738</v>
      </c>
      <c r="BO311" s="139" t="s">
        <v>1919</v>
      </c>
      <c r="BP311" s="139" t="s">
        <v>1920</v>
      </c>
      <c r="BQ311" s="139" t="s">
        <v>1921</v>
      </c>
      <c r="BR311" s="140">
        <v>1</v>
      </c>
      <c r="BS311" s="139" t="s">
        <v>2087</v>
      </c>
      <c r="BT311" s="99">
        <f t="shared" si="19"/>
        <v>0</v>
      </c>
      <c r="BU311" s="99">
        <f t="shared" si="19"/>
        <v>0</v>
      </c>
      <c r="BV311" s="99">
        <f t="shared" si="16"/>
        <v>0</v>
      </c>
      <c r="BW311" s="139" t="s">
        <v>1479</v>
      </c>
      <c r="BX311" s="139" t="s">
        <v>778</v>
      </c>
      <c r="BY311" s="140">
        <v>270</v>
      </c>
      <c r="BZ311" s="140">
        <v>0</v>
      </c>
      <c r="CA311" s="99">
        <v>54000</v>
      </c>
      <c r="CB311" s="140" t="s">
        <v>603</v>
      </c>
      <c r="CC311" s="140">
        <v>0</v>
      </c>
      <c r="CD311" s="140"/>
      <c r="CE311" s="139" t="s">
        <v>577</v>
      </c>
      <c r="CF311" s="139" t="s">
        <v>604</v>
      </c>
      <c r="CG311" s="139" t="s">
        <v>583</v>
      </c>
      <c r="CH311" s="139" t="s">
        <v>583</v>
      </c>
      <c r="CI311" s="139" t="s">
        <v>751</v>
      </c>
      <c r="CJ311" s="140">
        <v>5670</v>
      </c>
      <c r="CK311" s="140" t="s">
        <v>605</v>
      </c>
      <c r="CL311" s="140">
        <v>4000000</v>
      </c>
      <c r="CM311" s="99">
        <v>5400</v>
      </c>
      <c r="CN311" s="140">
        <v>0</v>
      </c>
      <c r="CO311" s="139" t="s">
        <v>583</v>
      </c>
      <c r="CP311" s="139" t="s">
        <v>583</v>
      </c>
      <c r="CQ311" s="140">
        <v>94699.6</v>
      </c>
      <c r="CR311" s="140">
        <v>7076967</v>
      </c>
      <c r="CS311" s="140">
        <v>0</v>
      </c>
      <c r="CT311" s="140">
        <v>1</v>
      </c>
      <c r="CU311" s="140">
        <v>7076967.4000000004</v>
      </c>
      <c r="CV311" s="99">
        <v>103119.5</v>
      </c>
      <c r="CW311" s="139" t="s">
        <v>606</v>
      </c>
      <c r="CX311" s="140">
        <v>19.0962</v>
      </c>
      <c r="CY311" s="140">
        <v>933</v>
      </c>
      <c r="CZ311" s="140" t="s">
        <v>894</v>
      </c>
      <c r="DA311" s="140" t="s">
        <v>1480</v>
      </c>
      <c r="DB311" s="140">
        <v>140</v>
      </c>
      <c r="DC311" s="140"/>
    </row>
    <row r="312" spans="2:107" ht="11.25" customHeight="1" x14ac:dyDescent="0.15">
      <c r="B312" s="139" t="s">
        <v>577</v>
      </c>
      <c r="C312" s="140" t="s">
        <v>2085</v>
      </c>
      <c r="D312" s="140">
        <v>1</v>
      </c>
      <c r="E312" s="139" t="s">
        <v>2088</v>
      </c>
      <c r="F312" s="139" t="s">
        <v>618</v>
      </c>
      <c r="G312" s="140" t="s">
        <v>2085</v>
      </c>
      <c r="H312" s="139" t="s">
        <v>2089</v>
      </c>
      <c r="I312" s="140" t="s">
        <v>421</v>
      </c>
      <c r="J312" s="139" t="s">
        <v>582</v>
      </c>
      <c r="K312" s="139" t="s">
        <v>583</v>
      </c>
      <c r="L312" s="139" t="s">
        <v>583</v>
      </c>
      <c r="M312" s="139" t="s">
        <v>583</v>
      </c>
      <c r="N312" s="139" t="s">
        <v>441</v>
      </c>
      <c r="O312" s="139" t="s">
        <v>1771</v>
      </c>
      <c r="P312" s="139" t="s">
        <v>583</v>
      </c>
      <c r="Q312" s="139" t="s">
        <v>583</v>
      </c>
      <c r="R312" s="140">
        <v>1</v>
      </c>
      <c r="S312" s="140">
        <v>0</v>
      </c>
      <c r="T312" s="140">
        <v>1</v>
      </c>
      <c r="U312" s="140">
        <v>374</v>
      </c>
      <c r="V312" s="139" t="s">
        <v>691</v>
      </c>
      <c r="W312" s="139" t="s">
        <v>692</v>
      </c>
      <c r="X312" s="139" t="s">
        <v>693</v>
      </c>
      <c r="Y312" s="139" t="s">
        <v>694</v>
      </c>
      <c r="Z312" s="139" t="s">
        <v>695</v>
      </c>
      <c r="AA312" s="139" t="s">
        <v>696</v>
      </c>
      <c r="AB312" s="139" t="s">
        <v>691</v>
      </c>
      <c r="AC312" s="139" t="s">
        <v>692</v>
      </c>
      <c r="AD312" s="139" t="s">
        <v>693</v>
      </c>
      <c r="AE312" s="139" t="s">
        <v>694</v>
      </c>
      <c r="AF312" s="139" t="s">
        <v>695</v>
      </c>
      <c r="AG312" s="139" t="s">
        <v>696</v>
      </c>
      <c r="AH312" s="139" t="s">
        <v>621</v>
      </c>
      <c r="AI312" s="139" t="s">
        <v>430</v>
      </c>
      <c r="AJ312" s="140">
        <v>8831973.0500000007</v>
      </c>
      <c r="AK312" s="139" t="s">
        <v>691</v>
      </c>
      <c r="AL312" s="139" t="s">
        <v>692</v>
      </c>
      <c r="AM312" s="139" t="s">
        <v>693</v>
      </c>
      <c r="AN312" s="139" t="s">
        <v>694</v>
      </c>
      <c r="AO312" s="139" t="s">
        <v>695</v>
      </c>
      <c r="AP312" s="139" t="s">
        <v>696</v>
      </c>
      <c r="AQ312" s="139" t="s">
        <v>621</v>
      </c>
      <c r="AR312" s="139" t="s">
        <v>430</v>
      </c>
      <c r="AS312" s="139" t="s">
        <v>430</v>
      </c>
      <c r="AT312" s="139" t="s">
        <v>593</v>
      </c>
      <c r="AU312" s="139" t="s">
        <v>437</v>
      </c>
      <c r="AV312" s="140">
        <v>0</v>
      </c>
      <c r="AW312" s="139" t="s">
        <v>594</v>
      </c>
      <c r="AX312" s="139" t="s">
        <v>622</v>
      </c>
      <c r="AY312" s="139" t="s">
        <v>623</v>
      </c>
      <c r="AZ312" s="140">
        <v>1</v>
      </c>
      <c r="BA312" s="139" t="s">
        <v>597</v>
      </c>
      <c r="BB312" s="140">
        <v>118184</v>
      </c>
      <c r="BC312" s="140">
        <v>8831973</v>
      </c>
      <c r="BD312" s="140">
        <v>128691.93</v>
      </c>
      <c r="BE312" s="140">
        <v>74.730699999999999</v>
      </c>
      <c r="BF312" s="139" t="s">
        <v>880</v>
      </c>
      <c r="BG312" s="139" t="s">
        <v>582</v>
      </c>
      <c r="BH312" s="139" t="s">
        <v>1018</v>
      </c>
      <c r="BI312" s="139" t="s">
        <v>598</v>
      </c>
      <c r="BJ312" s="139" t="s">
        <v>624</v>
      </c>
      <c r="BK312" s="139" t="s">
        <v>882</v>
      </c>
      <c r="BL312" s="139" t="s">
        <v>583</v>
      </c>
      <c r="BM312" s="139" t="s">
        <v>1019</v>
      </c>
      <c r="BN312" s="139" t="s">
        <v>1020</v>
      </c>
      <c r="BO312" s="139" t="s">
        <v>623</v>
      </c>
      <c r="BP312" s="139" t="s">
        <v>1772</v>
      </c>
      <c r="BQ312" s="139" t="s">
        <v>625</v>
      </c>
      <c r="BR312" s="140">
        <v>1</v>
      </c>
      <c r="BS312" s="139" t="s">
        <v>2090</v>
      </c>
      <c r="BT312" s="99">
        <f t="shared" si="19"/>
        <v>0</v>
      </c>
      <c r="BU312" s="99">
        <f t="shared" si="19"/>
        <v>0</v>
      </c>
      <c r="BV312" s="99">
        <f t="shared" si="16"/>
        <v>0</v>
      </c>
      <c r="BW312" s="139" t="s">
        <v>446</v>
      </c>
      <c r="BX312" s="139" t="s">
        <v>441</v>
      </c>
      <c r="BY312" s="140">
        <v>374</v>
      </c>
      <c r="BZ312" s="140">
        <v>0</v>
      </c>
      <c r="CA312" s="99">
        <v>74800</v>
      </c>
      <c r="CB312" s="140" t="s">
        <v>603</v>
      </c>
      <c r="CC312" s="140">
        <v>0</v>
      </c>
      <c r="CD312" s="140"/>
      <c r="CE312" s="139" t="s">
        <v>577</v>
      </c>
      <c r="CF312" s="139" t="s">
        <v>604</v>
      </c>
      <c r="CG312" s="139" t="s">
        <v>583</v>
      </c>
      <c r="CH312" s="139" t="s">
        <v>583</v>
      </c>
      <c r="CI312" s="139" t="s">
        <v>621</v>
      </c>
      <c r="CJ312" s="140">
        <v>7644</v>
      </c>
      <c r="CK312" s="140" t="s">
        <v>605</v>
      </c>
      <c r="CL312" s="140">
        <v>4000000</v>
      </c>
      <c r="CM312" s="99">
        <v>6732</v>
      </c>
      <c r="CN312" s="140">
        <v>0</v>
      </c>
      <c r="CO312" s="139" t="s">
        <v>583</v>
      </c>
      <c r="CP312" s="139" t="s">
        <v>583</v>
      </c>
      <c r="CQ312" s="140">
        <v>118184</v>
      </c>
      <c r="CR312" s="140">
        <v>8831973</v>
      </c>
      <c r="CS312" s="140">
        <v>0</v>
      </c>
      <c r="CT312" s="140">
        <v>1</v>
      </c>
      <c r="CU312" s="140">
        <v>8831973.0500000007</v>
      </c>
      <c r="CV312" s="99">
        <v>128691.93</v>
      </c>
      <c r="CW312" s="139" t="s">
        <v>606</v>
      </c>
      <c r="CX312" s="140">
        <v>19.116399999999999</v>
      </c>
      <c r="CY312" s="140">
        <v>933</v>
      </c>
      <c r="CZ312" s="140" t="s">
        <v>894</v>
      </c>
      <c r="DA312" s="140" t="s">
        <v>1480</v>
      </c>
      <c r="DB312" s="140">
        <v>772</v>
      </c>
      <c r="DC312" s="140"/>
    </row>
    <row r="313" spans="2:107" ht="11.25" customHeight="1" x14ac:dyDescent="0.15">
      <c r="B313" s="139" t="s">
        <v>577</v>
      </c>
      <c r="C313" s="140" t="s">
        <v>2091</v>
      </c>
      <c r="D313" s="140">
        <v>1</v>
      </c>
      <c r="E313" s="139" t="s">
        <v>2092</v>
      </c>
      <c r="F313" s="139" t="s">
        <v>618</v>
      </c>
      <c r="G313" s="140" t="s">
        <v>2091</v>
      </c>
      <c r="H313" s="139" t="s">
        <v>2093</v>
      </c>
      <c r="I313" s="140" t="s">
        <v>421</v>
      </c>
      <c r="J313" s="139" t="s">
        <v>582</v>
      </c>
      <c r="K313" s="139" t="s">
        <v>583</v>
      </c>
      <c r="L313" s="139" t="s">
        <v>583</v>
      </c>
      <c r="M313" s="139" t="s">
        <v>583</v>
      </c>
      <c r="N313" s="139" t="s">
        <v>441</v>
      </c>
      <c r="O313" s="139" t="s">
        <v>630</v>
      </c>
      <c r="P313" s="139" t="s">
        <v>583</v>
      </c>
      <c r="Q313" s="139" t="s">
        <v>583</v>
      </c>
      <c r="R313" s="140">
        <v>1</v>
      </c>
      <c r="S313" s="140">
        <v>0</v>
      </c>
      <c r="T313" s="140">
        <v>1</v>
      </c>
      <c r="U313" s="140">
        <v>150</v>
      </c>
      <c r="V313" s="139" t="s">
        <v>679</v>
      </c>
      <c r="W313" s="139" t="s">
        <v>680</v>
      </c>
      <c r="X313" s="139" t="s">
        <v>681</v>
      </c>
      <c r="Y313" s="139" t="s">
        <v>682</v>
      </c>
      <c r="Z313" s="139" t="s">
        <v>683</v>
      </c>
      <c r="AA313" s="139" t="s">
        <v>684</v>
      </c>
      <c r="AB313" s="139" t="s">
        <v>679</v>
      </c>
      <c r="AC313" s="139" t="s">
        <v>680</v>
      </c>
      <c r="AD313" s="139" t="s">
        <v>681</v>
      </c>
      <c r="AE313" s="139" t="s">
        <v>682</v>
      </c>
      <c r="AF313" s="139" t="s">
        <v>683</v>
      </c>
      <c r="AG313" s="139" t="s">
        <v>684</v>
      </c>
      <c r="AH313" s="139" t="s">
        <v>621</v>
      </c>
      <c r="AI313" s="139" t="s">
        <v>430</v>
      </c>
      <c r="AJ313" s="140">
        <v>3345453</v>
      </c>
      <c r="AK313" s="139" t="s">
        <v>679</v>
      </c>
      <c r="AL313" s="139" t="s">
        <v>680</v>
      </c>
      <c r="AM313" s="139" t="s">
        <v>681</v>
      </c>
      <c r="AN313" s="139" t="s">
        <v>682</v>
      </c>
      <c r="AO313" s="139" t="s">
        <v>683</v>
      </c>
      <c r="AP313" s="139" t="s">
        <v>684</v>
      </c>
      <c r="AQ313" s="139" t="s">
        <v>621</v>
      </c>
      <c r="AR313" s="139" t="s">
        <v>430</v>
      </c>
      <c r="AS313" s="139" t="s">
        <v>430</v>
      </c>
      <c r="AT313" s="139" t="s">
        <v>593</v>
      </c>
      <c r="AU313" s="139" t="s">
        <v>437</v>
      </c>
      <c r="AV313" s="140">
        <v>0</v>
      </c>
      <c r="AW313" s="139" t="s">
        <v>594</v>
      </c>
      <c r="AX313" s="139" t="s">
        <v>622</v>
      </c>
      <c r="AY313" s="139" t="s">
        <v>623</v>
      </c>
      <c r="AZ313" s="140">
        <v>1</v>
      </c>
      <c r="BA313" s="139" t="s">
        <v>597</v>
      </c>
      <c r="BB313" s="140">
        <v>45000</v>
      </c>
      <c r="BC313" s="140">
        <v>3345453</v>
      </c>
      <c r="BD313" s="140">
        <v>48720.95</v>
      </c>
      <c r="BE313" s="140">
        <v>74.343400000000003</v>
      </c>
      <c r="BF313" s="139" t="s">
        <v>880</v>
      </c>
      <c r="BG313" s="139" t="s">
        <v>582</v>
      </c>
      <c r="BH313" s="139" t="s">
        <v>900</v>
      </c>
      <c r="BI313" s="139" t="s">
        <v>598</v>
      </c>
      <c r="BJ313" s="139" t="s">
        <v>624</v>
      </c>
      <c r="BK313" s="139" t="s">
        <v>882</v>
      </c>
      <c r="BL313" s="139" t="s">
        <v>583</v>
      </c>
      <c r="BM313" s="139" t="s">
        <v>883</v>
      </c>
      <c r="BN313" s="139" t="s">
        <v>583</v>
      </c>
      <c r="BO313" s="139" t="s">
        <v>623</v>
      </c>
      <c r="BP313" s="139" t="s">
        <v>1692</v>
      </c>
      <c r="BQ313" s="139" t="s">
        <v>625</v>
      </c>
      <c r="BR313" s="140">
        <v>1</v>
      </c>
      <c r="BS313" s="139" t="s">
        <v>685</v>
      </c>
      <c r="BT313" s="99">
        <f t="shared" si="19"/>
        <v>0</v>
      </c>
      <c r="BU313" s="99">
        <f t="shared" si="19"/>
        <v>1</v>
      </c>
      <c r="BV313" s="99">
        <f t="shared" si="16"/>
        <v>1</v>
      </c>
      <c r="BW313" s="139" t="s">
        <v>635</v>
      </c>
      <c r="BX313" s="139" t="s">
        <v>441</v>
      </c>
      <c r="BY313" s="140">
        <v>150</v>
      </c>
      <c r="BZ313" s="140">
        <v>0</v>
      </c>
      <c r="CA313" s="99">
        <v>30000</v>
      </c>
      <c r="CB313" s="140" t="s">
        <v>603</v>
      </c>
      <c r="CC313" s="140">
        <v>0</v>
      </c>
      <c r="CD313" s="140"/>
      <c r="CE313" s="139" t="s">
        <v>577</v>
      </c>
      <c r="CF313" s="139" t="s">
        <v>604</v>
      </c>
      <c r="CG313" s="139" t="s">
        <v>583</v>
      </c>
      <c r="CH313" s="139" t="s">
        <v>583</v>
      </c>
      <c r="CI313" s="139" t="s">
        <v>621</v>
      </c>
      <c r="CJ313" s="140">
        <v>3066</v>
      </c>
      <c r="CK313" s="140" t="s">
        <v>605</v>
      </c>
      <c r="CL313" s="140">
        <v>4000000</v>
      </c>
      <c r="CM313" s="99">
        <v>2700</v>
      </c>
      <c r="CN313" s="140">
        <v>0</v>
      </c>
      <c r="CO313" s="139" t="s">
        <v>583</v>
      </c>
      <c r="CP313" s="139" t="s">
        <v>583</v>
      </c>
      <c r="CQ313" s="140">
        <v>45000</v>
      </c>
      <c r="CR313" s="140">
        <v>3345453</v>
      </c>
      <c r="CS313" s="140">
        <v>0</v>
      </c>
      <c r="CT313" s="140">
        <v>1</v>
      </c>
      <c r="CU313" s="140">
        <v>3345453</v>
      </c>
      <c r="CV313" s="99">
        <v>48720.95</v>
      </c>
      <c r="CW313" s="139" t="s">
        <v>606</v>
      </c>
      <c r="CX313" s="140">
        <v>18.044799999999999</v>
      </c>
      <c r="CY313" s="140"/>
      <c r="CZ313" s="140"/>
      <c r="DA313" s="140" t="s">
        <v>902</v>
      </c>
      <c r="DB313" s="140">
        <v>659</v>
      </c>
      <c r="DC313" s="140"/>
    </row>
    <row r="314" spans="2:107" ht="11.25" customHeight="1" x14ac:dyDescent="0.15">
      <c r="B314" s="139" t="s">
        <v>577</v>
      </c>
      <c r="C314" s="140" t="s">
        <v>2091</v>
      </c>
      <c r="D314" s="140">
        <v>1</v>
      </c>
      <c r="E314" s="139" t="s">
        <v>2094</v>
      </c>
      <c r="F314" s="139" t="s">
        <v>618</v>
      </c>
      <c r="G314" s="140" t="s">
        <v>2091</v>
      </c>
      <c r="H314" s="139" t="s">
        <v>2095</v>
      </c>
      <c r="I314" s="140" t="s">
        <v>421</v>
      </c>
      <c r="J314" s="139" t="s">
        <v>582</v>
      </c>
      <c r="K314" s="139" t="s">
        <v>583</v>
      </c>
      <c r="L314" s="139" t="s">
        <v>583</v>
      </c>
      <c r="M314" s="139" t="s">
        <v>583</v>
      </c>
      <c r="N314" s="139" t="s">
        <v>441</v>
      </c>
      <c r="O314" s="139" t="s">
        <v>630</v>
      </c>
      <c r="P314" s="139" t="s">
        <v>583</v>
      </c>
      <c r="Q314" s="139" t="s">
        <v>583</v>
      </c>
      <c r="R314" s="140">
        <v>1</v>
      </c>
      <c r="S314" s="140">
        <v>0</v>
      </c>
      <c r="T314" s="140">
        <v>1</v>
      </c>
      <c r="U314" s="140">
        <v>280</v>
      </c>
      <c r="V314" s="139" t="s">
        <v>583</v>
      </c>
      <c r="W314" s="139" t="s">
        <v>583</v>
      </c>
      <c r="X314" s="139" t="s">
        <v>632</v>
      </c>
      <c r="Y314" s="139" t="s">
        <v>633</v>
      </c>
      <c r="Z314" s="139" t="s">
        <v>583</v>
      </c>
      <c r="AA314" s="139" t="s">
        <v>583</v>
      </c>
      <c r="AB314" s="139" t="s">
        <v>583</v>
      </c>
      <c r="AC314" s="139" t="s">
        <v>583</v>
      </c>
      <c r="AD314" s="139" t="s">
        <v>632</v>
      </c>
      <c r="AE314" s="139" t="s">
        <v>633</v>
      </c>
      <c r="AF314" s="139" t="s">
        <v>583</v>
      </c>
      <c r="AG314" s="139" t="s">
        <v>583</v>
      </c>
      <c r="AH314" s="139" t="s">
        <v>621</v>
      </c>
      <c r="AI314" s="139" t="s">
        <v>430</v>
      </c>
      <c r="AJ314" s="140">
        <v>6244845.5999999996</v>
      </c>
      <c r="AK314" s="139" t="s">
        <v>583</v>
      </c>
      <c r="AL314" s="139" t="s">
        <v>583</v>
      </c>
      <c r="AM314" s="139" t="s">
        <v>632</v>
      </c>
      <c r="AN314" s="139" t="s">
        <v>633</v>
      </c>
      <c r="AO314" s="139" t="s">
        <v>583</v>
      </c>
      <c r="AP314" s="139" t="s">
        <v>583</v>
      </c>
      <c r="AQ314" s="139" t="s">
        <v>621</v>
      </c>
      <c r="AR314" s="139" t="s">
        <v>430</v>
      </c>
      <c r="AS314" s="139" t="s">
        <v>430</v>
      </c>
      <c r="AT314" s="139" t="s">
        <v>593</v>
      </c>
      <c r="AU314" s="139" t="s">
        <v>437</v>
      </c>
      <c r="AV314" s="140">
        <v>0</v>
      </c>
      <c r="AW314" s="139" t="s">
        <v>594</v>
      </c>
      <c r="AX314" s="139" t="s">
        <v>622</v>
      </c>
      <c r="AY314" s="139" t="s">
        <v>623</v>
      </c>
      <c r="AZ314" s="140">
        <v>1</v>
      </c>
      <c r="BA314" s="139" t="s">
        <v>597</v>
      </c>
      <c r="BB314" s="140">
        <v>84000</v>
      </c>
      <c r="BC314" s="140">
        <v>6244846</v>
      </c>
      <c r="BD314" s="140">
        <v>90945.77</v>
      </c>
      <c r="BE314" s="140">
        <v>74.343400000000003</v>
      </c>
      <c r="BF314" s="139" t="s">
        <v>880</v>
      </c>
      <c r="BG314" s="139" t="s">
        <v>582</v>
      </c>
      <c r="BH314" s="139" t="s">
        <v>931</v>
      </c>
      <c r="BI314" s="139" t="s">
        <v>598</v>
      </c>
      <c r="BJ314" s="139" t="s">
        <v>624</v>
      </c>
      <c r="BK314" s="139" t="s">
        <v>882</v>
      </c>
      <c r="BL314" s="139" t="s">
        <v>583</v>
      </c>
      <c r="BM314" s="139" t="s">
        <v>883</v>
      </c>
      <c r="BN314" s="139" t="s">
        <v>583</v>
      </c>
      <c r="BO314" s="139" t="s">
        <v>623</v>
      </c>
      <c r="BP314" s="139" t="s">
        <v>1692</v>
      </c>
      <c r="BQ314" s="139" t="s">
        <v>625</v>
      </c>
      <c r="BR314" s="140">
        <v>1</v>
      </c>
      <c r="BS314" s="139" t="s">
        <v>2096</v>
      </c>
      <c r="BT314" s="99">
        <f t="shared" si="19"/>
        <v>0</v>
      </c>
      <c r="BU314" s="99">
        <f t="shared" si="19"/>
        <v>1</v>
      </c>
      <c r="BV314" s="99">
        <f t="shared" si="16"/>
        <v>1</v>
      </c>
      <c r="BW314" s="139" t="s">
        <v>635</v>
      </c>
      <c r="BX314" s="139" t="s">
        <v>441</v>
      </c>
      <c r="BY314" s="140">
        <v>280</v>
      </c>
      <c r="BZ314" s="140">
        <v>0</v>
      </c>
      <c r="CA314" s="99">
        <v>56000</v>
      </c>
      <c r="CB314" s="140" t="s">
        <v>603</v>
      </c>
      <c r="CC314" s="140">
        <v>0</v>
      </c>
      <c r="CD314" s="140"/>
      <c r="CE314" s="139" t="s">
        <v>577</v>
      </c>
      <c r="CF314" s="139" t="s">
        <v>604</v>
      </c>
      <c r="CG314" s="139" t="s">
        <v>583</v>
      </c>
      <c r="CH314" s="139" t="s">
        <v>583</v>
      </c>
      <c r="CI314" s="139" t="s">
        <v>621</v>
      </c>
      <c r="CJ314" s="140">
        <v>5982</v>
      </c>
      <c r="CK314" s="140" t="s">
        <v>605</v>
      </c>
      <c r="CL314" s="140">
        <v>4000000</v>
      </c>
      <c r="CM314" s="99">
        <v>5040</v>
      </c>
      <c r="CN314" s="140">
        <v>0</v>
      </c>
      <c r="CO314" s="139" t="s">
        <v>583</v>
      </c>
      <c r="CP314" s="139" t="s">
        <v>583</v>
      </c>
      <c r="CQ314" s="140">
        <v>84000</v>
      </c>
      <c r="CR314" s="140">
        <v>6244846</v>
      </c>
      <c r="CS314" s="140">
        <v>0</v>
      </c>
      <c r="CT314" s="140">
        <v>1</v>
      </c>
      <c r="CU314" s="140">
        <v>6244845.5999999996</v>
      </c>
      <c r="CV314" s="99">
        <v>90945.77</v>
      </c>
      <c r="CW314" s="139" t="s">
        <v>606</v>
      </c>
      <c r="CX314" s="140">
        <v>18.044799999999999</v>
      </c>
      <c r="CY314" s="140"/>
      <c r="CZ314" s="140"/>
      <c r="DA314" s="140" t="s">
        <v>933</v>
      </c>
      <c r="DB314" s="140">
        <v>635</v>
      </c>
      <c r="DC314" s="140"/>
    </row>
    <row r="315" spans="2:107" ht="11.25" customHeight="1" x14ac:dyDescent="0.15">
      <c r="B315" s="139" t="s">
        <v>577</v>
      </c>
      <c r="C315" s="140" t="s">
        <v>2097</v>
      </c>
      <c r="D315" s="140">
        <v>1</v>
      </c>
      <c r="E315" s="139" t="s">
        <v>2098</v>
      </c>
      <c r="F315" s="139" t="s">
        <v>580</v>
      </c>
      <c r="G315" s="140" t="s">
        <v>2097</v>
      </c>
      <c r="H315" s="139" t="s">
        <v>2099</v>
      </c>
      <c r="I315" s="140" t="s">
        <v>421</v>
      </c>
      <c r="J315" s="139" t="s">
        <v>582</v>
      </c>
      <c r="K315" s="139" t="s">
        <v>583</v>
      </c>
      <c r="L315" s="139" t="s">
        <v>583</v>
      </c>
      <c r="M315" s="139" t="s">
        <v>583</v>
      </c>
      <c r="N315" s="139" t="s">
        <v>731</v>
      </c>
      <c r="O315" s="139" t="s">
        <v>1099</v>
      </c>
      <c r="P315" s="139" t="s">
        <v>583</v>
      </c>
      <c r="Q315" s="139" t="s">
        <v>583</v>
      </c>
      <c r="R315" s="140">
        <v>1</v>
      </c>
      <c r="S315" s="140">
        <v>0</v>
      </c>
      <c r="T315" s="140">
        <v>1</v>
      </c>
      <c r="U315" s="140">
        <v>587</v>
      </c>
      <c r="V315" s="139" t="s">
        <v>586</v>
      </c>
      <c r="W315" s="139" t="s">
        <v>587</v>
      </c>
      <c r="X315" s="139" t="s">
        <v>588</v>
      </c>
      <c r="Y315" s="139" t="s">
        <v>589</v>
      </c>
      <c r="Z315" s="139" t="s">
        <v>590</v>
      </c>
      <c r="AA315" s="139" t="s">
        <v>591</v>
      </c>
      <c r="AB315" s="139" t="s">
        <v>586</v>
      </c>
      <c r="AC315" s="139" t="s">
        <v>587</v>
      </c>
      <c r="AD315" s="139" t="s">
        <v>588</v>
      </c>
      <c r="AE315" s="139" t="s">
        <v>589</v>
      </c>
      <c r="AF315" s="139" t="s">
        <v>590</v>
      </c>
      <c r="AG315" s="139" t="s">
        <v>591</v>
      </c>
      <c r="AH315" s="139" t="s">
        <v>733</v>
      </c>
      <c r="AI315" s="139" t="s">
        <v>432</v>
      </c>
      <c r="AJ315" s="140">
        <v>16146643.050000001</v>
      </c>
      <c r="AK315" s="139" t="s">
        <v>586</v>
      </c>
      <c r="AL315" s="139" t="s">
        <v>587</v>
      </c>
      <c r="AM315" s="139" t="s">
        <v>588</v>
      </c>
      <c r="AN315" s="139" t="s">
        <v>589</v>
      </c>
      <c r="AO315" s="139" t="s">
        <v>590</v>
      </c>
      <c r="AP315" s="139" t="s">
        <v>591</v>
      </c>
      <c r="AQ315" s="139" t="s">
        <v>733</v>
      </c>
      <c r="AR315" s="139" t="s">
        <v>432</v>
      </c>
      <c r="AS315" s="139" t="s">
        <v>432</v>
      </c>
      <c r="AT315" s="139" t="s">
        <v>593</v>
      </c>
      <c r="AU315" s="139" t="s">
        <v>437</v>
      </c>
      <c r="AV315" s="140">
        <v>2</v>
      </c>
      <c r="AW315" s="139" t="s">
        <v>594</v>
      </c>
      <c r="AX315" s="139" t="s">
        <v>653</v>
      </c>
      <c r="AY315" s="139" t="s">
        <v>850</v>
      </c>
      <c r="AZ315" s="140">
        <v>1</v>
      </c>
      <c r="BA315" s="139" t="s">
        <v>597</v>
      </c>
      <c r="BB315" s="140">
        <v>217190</v>
      </c>
      <c r="BC315" s="140">
        <v>16146643</v>
      </c>
      <c r="BD315" s="140">
        <v>235148.94</v>
      </c>
      <c r="BE315" s="140">
        <v>74.343400000000003</v>
      </c>
      <c r="BF315" s="139" t="s">
        <v>880</v>
      </c>
      <c r="BG315" s="139" t="s">
        <v>583</v>
      </c>
      <c r="BH315" s="139" t="s">
        <v>987</v>
      </c>
      <c r="BI315" s="139" t="s">
        <v>598</v>
      </c>
      <c r="BJ315" s="139" t="s">
        <v>1100</v>
      </c>
      <c r="BK315" s="139" t="s">
        <v>1101</v>
      </c>
      <c r="BL315" s="139" t="s">
        <v>1101</v>
      </c>
      <c r="BM315" s="139" t="s">
        <v>583</v>
      </c>
      <c r="BN315" s="139" t="s">
        <v>1102</v>
      </c>
      <c r="BO315" s="139" t="s">
        <v>1103</v>
      </c>
      <c r="BP315" s="139" t="s">
        <v>1686</v>
      </c>
      <c r="BQ315" s="139" t="s">
        <v>600</v>
      </c>
      <c r="BR315" s="140">
        <v>1</v>
      </c>
      <c r="BS315" s="139" t="s">
        <v>988</v>
      </c>
      <c r="BT315" s="99">
        <f t="shared" si="19"/>
        <v>0</v>
      </c>
      <c r="BU315" s="99">
        <f t="shared" si="19"/>
        <v>1</v>
      </c>
      <c r="BV315" s="99">
        <f t="shared" si="16"/>
        <v>1</v>
      </c>
      <c r="BW315" s="139" t="s">
        <v>602</v>
      </c>
      <c r="BX315" s="139" t="s">
        <v>731</v>
      </c>
      <c r="BY315" s="140">
        <v>587</v>
      </c>
      <c r="BZ315" s="140">
        <v>0</v>
      </c>
      <c r="CA315" s="99">
        <v>117400</v>
      </c>
      <c r="CB315" s="140" t="s">
        <v>603</v>
      </c>
      <c r="CC315" s="140">
        <v>0</v>
      </c>
      <c r="CD315" s="140"/>
      <c r="CE315" s="139" t="s">
        <v>577</v>
      </c>
      <c r="CF315" s="139" t="s">
        <v>604</v>
      </c>
      <c r="CG315" s="139" t="s">
        <v>583</v>
      </c>
      <c r="CH315" s="139" t="s">
        <v>583</v>
      </c>
      <c r="CI315" s="139" t="s">
        <v>733</v>
      </c>
      <c r="CJ315" s="140">
        <v>12914</v>
      </c>
      <c r="CK315" s="140" t="s">
        <v>605</v>
      </c>
      <c r="CL315" s="140">
        <v>4000000</v>
      </c>
      <c r="CM315" s="99">
        <v>11740</v>
      </c>
      <c r="CN315" s="140">
        <v>0</v>
      </c>
      <c r="CO315" s="139" t="s">
        <v>583</v>
      </c>
      <c r="CP315" s="139" t="s">
        <v>583</v>
      </c>
      <c r="CQ315" s="140">
        <v>217190</v>
      </c>
      <c r="CR315" s="140">
        <v>16146643</v>
      </c>
      <c r="CS315" s="140">
        <v>0</v>
      </c>
      <c r="CT315" s="140">
        <v>1</v>
      </c>
      <c r="CU315" s="140">
        <v>16146643.050000001</v>
      </c>
      <c r="CV315" s="99">
        <v>235148.94</v>
      </c>
      <c r="CW315" s="139" t="s">
        <v>606</v>
      </c>
      <c r="CX315" s="140">
        <v>20.029699999999998</v>
      </c>
      <c r="CY315" s="140"/>
      <c r="CZ315" s="140"/>
      <c r="DA315" s="140" t="s">
        <v>856</v>
      </c>
      <c r="DB315" s="140">
        <v>1172</v>
      </c>
      <c r="DC315" s="140"/>
    </row>
    <row r="316" spans="2:107" ht="11.25" customHeight="1" x14ac:dyDescent="0.15">
      <c r="B316" s="139" t="s">
        <v>577</v>
      </c>
      <c r="C316" s="140" t="s">
        <v>2100</v>
      </c>
      <c r="D316" s="140">
        <v>1</v>
      </c>
      <c r="E316" s="139" t="s">
        <v>2101</v>
      </c>
      <c r="F316" s="139" t="s">
        <v>618</v>
      </c>
      <c r="G316" s="140" t="s">
        <v>2100</v>
      </c>
      <c r="H316" s="139" t="s">
        <v>2102</v>
      </c>
      <c r="I316" s="140" t="s">
        <v>421</v>
      </c>
      <c r="J316" s="139" t="s">
        <v>582</v>
      </c>
      <c r="K316" s="139" t="s">
        <v>583</v>
      </c>
      <c r="L316" s="139" t="s">
        <v>583</v>
      </c>
      <c r="M316" s="139" t="s">
        <v>583</v>
      </c>
      <c r="N316" s="139" t="s">
        <v>441</v>
      </c>
      <c r="O316" s="139" t="s">
        <v>1160</v>
      </c>
      <c r="P316" s="139" t="s">
        <v>583</v>
      </c>
      <c r="Q316" s="139" t="s">
        <v>583</v>
      </c>
      <c r="R316" s="140">
        <v>1</v>
      </c>
      <c r="S316" s="140">
        <v>0</v>
      </c>
      <c r="T316" s="140">
        <v>1</v>
      </c>
      <c r="U316" s="140">
        <v>324</v>
      </c>
      <c r="V316" s="139" t="s">
        <v>586</v>
      </c>
      <c r="W316" s="139" t="s">
        <v>587</v>
      </c>
      <c r="X316" s="139" t="s">
        <v>588</v>
      </c>
      <c r="Y316" s="139" t="s">
        <v>589</v>
      </c>
      <c r="Z316" s="139" t="s">
        <v>590</v>
      </c>
      <c r="AA316" s="139" t="s">
        <v>591</v>
      </c>
      <c r="AB316" s="139" t="s">
        <v>586</v>
      </c>
      <c r="AC316" s="139" t="s">
        <v>587</v>
      </c>
      <c r="AD316" s="139" t="s">
        <v>588</v>
      </c>
      <c r="AE316" s="139" t="s">
        <v>589</v>
      </c>
      <c r="AF316" s="139" t="s">
        <v>590</v>
      </c>
      <c r="AG316" s="139" t="s">
        <v>591</v>
      </c>
      <c r="AH316" s="139" t="s">
        <v>621</v>
      </c>
      <c r="AI316" s="139" t="s">
        <v>430</v>
      </c>
      <c r="AJ316" s="140">
        <v>6814424.1799999997</v>
      </c>
      <c r="AK316" s="139" t="s">
        <v>586</v>
      </c>
      <c r="AL316" s="139" t="s">
        <v>587</v>
      </c>
      <c r="AM316" s="139" t="s">
        <v>588</v>
      </c>
      <c r="AN316" s="139" t="s">
        <v>589</v>
      </c>
      <c r="AO316" s="139" t="s">
        <v>590</v>
      </c>
      <c r="AP316" s="139" t="s">
        <v>591</v>
      </c>
      <c r="AQ316" s="139" t="s">
        <v>621</v>
      </c>
      <c r="AR316" s="139" t="s">
        <v>430</v>
      </c>
      <c r="AS316" s="139" t="s">
        <v>430</v>
      </c>
      <c r="AT316" s="139" t="s">
        <v>593</v>
      </c>
      <c r="AU316" s="139" t="s">
        <v>437</v>
      </c>
      <c r="AV316" s="140">
        <v>0</v>
      </c>
      <c r="AW316" s="139" t="s">
        <v>594</v>
      </c>
      <c r="AX316" s="139" t="s">
        <v>622</v>
      </c>
      <c r="AY316" s="139" t="s">
        <v>623</v>
      </c>
      <c r="AZ316" s="140">
        <v>1</v>
      </c>
      <c r="BA316" s="139" t="s">
        <v>597</v>
      </c>
      <c r="BB316" s="140">
        <v>90072</v>
      </c>
      <c r="BC316" s="140">
        <v>6814424</v>
      </c>
      <c r="BD316" s="140">
        <v>96881.81</v>
      </c>
      <c r="BE316" s="140">
        <v>75.655299999999997</v>
      </c>
      <c r="BF316" s="139" t="s">
        <v>880</v>
      </c>
      <c r="BG316" s="139" t="s">
        <v>582</v>
      </c>
      <c r="BH316" s="139" t="s">
        <v>1161</v>
      </c>
      <c r="BI316" s="139" t="s">
        <v>598</v>
      </c>
      <c r="BJ316" s="139" t="s">
        <v>624</v>
      </c>
      <c r="BK316" s="139" t="s">
        <v>882</v>
      </c>
      <c r="BL316" s="139" t="s">
        <v>583</v>
      </c>
      <c r="BM316" s="139" t="s">
        <v>883</v>
      </c>
      <c r="BN316" s="139" t="s">
        <v>971</v>
      </c>
      <c r="BO316" s="139" t="s">
        <v>972</v>
      </c>
      <c r="BP316" s="139" t="s">
        <v>1933</v>
      </c>
      <c r="BQ316" s="139" t="s">
        <v>625</v>
      </c>
      <c r="BR316" s="140">
        <v>1</v>
      </c>
      <c r="BS316" s="139" t="s">
        <v>2050</v>
      </c>
      <c r="BT316" s="99">
        <f t="shared" si="19"/>
        <v>0</v>
      </c>
      <c r="BU316" s="99">
        <f t="shared" si="19"/>
        <v>1</v>
      </c>
      <c r="BV316" s="99">
        <f t="shared" si="16"/>
        <v>1</v>
      </c>
      <c r="BW316" s="139" t="s">
        <v>602</v>
      </c>
      <c r="BX316" s="139" t="s">
        <v>441</v>
      </c>
      <c r="BY316" s="140">
        <v>324</v>
      </c>
      <c r="BZ316" s="140">
        <v>0</v>
      </c>
      <c r="CA316" s="99">
        <v>64800</v>
      </c>
      <c r="CB316" s="140" t="s">
        <v>603</v>
      </c>
      <c r="CC316" s="140">
        <v>0</v>
      </c>
      <c r="CD316" s="140"/>
      <c r="CE316" s="139" t="s">
        <v>577</v>
      </c>
      <c r="CF316" s="139" t="s">
        <v>604</v>
      </c>
      <c r="CG316" s="139" t="s">
        <v>583</v>
      </c>
      <c r="CH316" s="139" t="s">
        <v>583</v>
      </c>
      <c r="CI316" s="139" t="s">
        <v>621</v>
      </c>
      <c r="CJ316" s="140">
        <v>7018</v>
      </c>
      <c r="CK316" s="140" t="s">
        <v>605</v>
      </c>
      <c r="CL316" s="140">
        <v>4000000</v>
      </c>
      <c r="CM316" s="99">
        <v>5832</v>
      </c>
      <c r="CN316" s="140">
        <v>0</v>
      </c>
      <c r="CO316" s="139" t="s">
        <v>583</v>
      </c>
      <c r="CP316" s="139" t="s">
        <v>583</v>
      </c>
      <c r="CQ316" s="140">
        <v>90072</v>
      </c>
      <c r="CR316" s="140">
        <v>6814424</v>
      </c>
      <c r="CS316" s="140">
        <v>0</v>
      </c>
      <c r="CT316" s="140">
        <v>1</v>
      </c>
      <c r="CU316" s="140">
        <v>6814424.1799999997</v>
      </c>
      <c r="CV316" s="99">
        <v>96881.81</v>
      </c>
      <c r="CW316" s="139" t="s">
        <v>606</v>
      </c>
      <c r="CX316" s="140">
        <v>16.612100000000002</v>
      </c>
      <c r="CY316" s="140"/>
      <c r="CZ316" s="140"/>
      <c r="DA316" s="140" t="s">
        <v>856</v>
      </c>
      <c r="DB316" s="140">
        <v>1122</v>
      </c>
      <c r="DC316" s="140"/>
    </row>
    <row r="317" spans="2:107" ht="11.25" customHeight="1" x14ac:dyDescent="0.15">
      <c r="B317" s="139" t="s">
        <v>577</v>
      </c>
      <c r="C317" s="140" t="s">
        <v>2103</v>
      </c>
      <c r="D317" s="140">
        <v>1</v>
      </c>
      <c r="E317" s="139" t="s">
        <v>2104</v>
      </c>
      <c r="F317" s="139" t="s">
        <v>729</v>
      </c>
      <c r="G317" s="140" t="s">
        <v>2103</v>
      </c>
      <c r="H317" s="139" t="s">
        <v>2105</v>
      </c>
      <c r="I317" s="140" t="s">
        <v>421</v>
      </c>
      <c r="J317" s="139" t="s">
        <v>582</v>
      </c>
      <c r="K317" s="139" t="s">
        <v>583</v>
      </c>
      <c r="L317" s="139" t="s">
        <v>583</v>
      </c>
      <c r="M317" s="139" t="s">
        <v>583</v>
      </c>
      <c r="N317" s="139" t="s">
        <v>731</v>
      </c>
      <c r="O317" s="139" t="s">
        <v>1876</v>
      </c>
      <c r="P317" s="139" t="s">
        <v>583</v>
      </c>
      <c r="Q317" s="139" t="s">
        <v>583</v>
      </c>
      <c r="R317" s="140">
        <v>1</v>
      </c>
      <c r="S317" s="140">
        <v>0</v>
      </c>
      <c r="T317" s="140">
        <v>1</v>
      </c>
      <c r="U317" s="140">
        <v>432</v>
      </c>
      <c r="V317" s="139" t="s">
        <v>691</v>
      </c>
      <c r="W317" s="139" t="s">
        <v>692</v>
      </c>
      <c r="X317" s="139" t="s">
        <v>693</v>
      </c>
      <c r="Y317" s="139" t="s">
        <v>694</v>
      </c>
      <c r="Z317" s="139" t="s">
        <v>695</v>
      </c>
      <c r="AA317" s="139" t="s">
        <v>696</v>
      </c>
      <c r="AB317" s="139" t="s">
        <v>691</v>
      </c>
      <c r="AC317" s="139" t="s">
        <v>692</v>
      </c>
      <c r="AD317" s="139" t="s">
        <v>693</v>
      </c>
      <c r="AE317" s="139" t="s">
        <v>694</v>
      </c>
      <c r="AF317" s="139" t="s">
        <v>695</v>
      </c>
      <c r="AG317" s="139" t="s">
        <v>696</v>
      </c>
      <c r="AH317" s="139" t="s">
        <v>733</v>
      </c>
      <c r="AI317" s="139" t="s">
        <v>432</v>
      </c>
      <c r="AJ317" s="140">
        <v>11732018.68</v>
      </c>
      <c r="AK317" s="139" t="s">
        <v>691</v>
      </c>
      <c r="AL317" s="139" t="s">
        <v>692</v>
      </c>
      <c r="AM317" s="139" t="s">
        <v>693</v>
      </c>
      <c r="AN317" s="139" t="s">
        <v>694</v>
      </c>
      <c r="AO317" s="139" t="s">
        <v>695</v>
      </c>
      <c r="AP317" s="139" t="s">
        <v>696</v>
      </c>
      <c r="AQ317" s="139" t="s">
        <v>733</v>
      </c>
      <c r="AR317" s="139" t="s">
        <v>432</v>
      </c>
      <c r="AS317" s="139" t="s">
        <v>432</v>
      </c>
      <c r="AT317" s="139" t="s">
        <v>593</v>
      </c>
      <c r="AU317" s="139" t="s">
        <v>437</v>
      </c>
      <c r="AV317" s="140">
        <v>2</v>
      </c>
      <c r="AW317" s="139" t="s">
        <v>594</v>
      </c>
      <c r="AX317" s="139" t="s">
        <v>653</v>
      </c>
      <c r="AY317" s="139" t="s">
        <v>734</v>
      </c>
      <c r="AZ317" s="140">
        <v>1</v>
      </c>
      <c r="BA317" s="139" t="s">
        <v>597</v>
      </c>
      <c r="BB317" s="140">
        <v>155072</v>
      </c>
      <c r="BC317" s="140">
        <v>11732019</v>
      </c>
      <c r="BD317" s="140">
        <v>166796.07</v>
      </c>
      <c r="BE317" s="140">
        <v>75.655299999999997</v>
      </c>
      <c r="BF317" s="139" t="s">
        <v>880</v>
      </c>
      <c r="BG317" s="139" t="s">
        <v>583</v>
      </c>
      <c r="BH317" s="139" t="s">
        <v>736</v>
      </c>
      <c r="BI317" s="139" t="s">
        <v>598</v>
      </c>
      <c r="BJ317" s="139" t="s">
        <v>599</v>
      </c>
      <c r="BK317" s="139" t="s">
        <v>583</v>
      </c>
      <c r="BL317" s="139" t="s">
        <v>1475</v>
      </c>
      <c r="BM317" s="139" t="s">
        <v>583</v>
      </c>
      <c r="BN317" s="139" t="s">
        <v>738</v>
      </c>
      <c r="BO317" s="139" t="s">
        <v>1919</v>
      </c>
      <c r="BP317" s="139" t="s">
        <v>1920</v>
      </c>
      <c r="BQ317" s="139" t="s">
        <v>1921</v>
      </c>
      <c r="BR317" s="140">
        <v>1</v>
      </c>
      <c r="BS317" s="139" t="s">
        <v>742</v>
      </c>
      <c r="BT317" s="99">
        <f t="shared" si="19"/>
        <v>0</v>
      </c>
      <c r="BU317" s="99">
        <f t="shared" si="19"/>
        <v>0</v>
      </c>
      <c r="BV317" s="99">
        <f t="shared" si="16"/>
        <v>0</v>
      </c>
      <c r="BW317" s="139" t="s">
        <v>743</v>
      </c>
      <c r="BX317" s="139" t="s">
        <v>731</v>
      </c>
      <c r="BY317" s="140">
        <v>432</v>
      </c>
      <c r="BZ317" s="140">
        <v>0</v>
      </c>
      <c r="CA317" s="99">
        <v>86400</v>
      </c>
      <c r="CB317" s="140" t="s">
        <v>603</v>
      </c>
      <c r="CC317" s="140">
        <v>0</v>
      </c>
      <c r="CD317" s="140"/>
      <c r="CE317" s="139" t="s">
        <v>577</v>
      </c>
      <c r="CF317" s="139" t="s">
        <v>604</v>
      </c>
      <c r="CG317" s="139" t="s">
        <v>583</v>
      </c>
      <c r="CH317" s="139" t="s">
        <v>583</v>
      </c>
      <c r="CI317" s="139" t="s">
        <v>733</v>
      </c>
      <c r="CJ317" s="140">
        <v>9504</v>
      </c>
      <c r="CK317" s="140" t="s">
        <v>605</v>
      </c>
      <c r="CL317" s="140">
        <v>4000000</v>
      </c>
      <c r="CM317" s="99">
        <v>8640</v>
      </c>
      <c r="CN317" s="140">
        <v>0</v>
      </c>
      <c r="CO317" s="139" t="s">
        <v>583</v>
      </c>
      <c r="CP317" s="139" t="s">
        <v>583</v>
      </c>
      <c r="CQ317" s="140">
        <v>155072</v>
      </c>
      <c r="CR317" s="140">
        <v>11732019</v>
      </c>
      <c r="CS317" s="140">
        <v>0</v>
      </c>
      <c r="CT317" s="140">
        <v>1</v>
      </c>
      <c r="CU317" s="140">
        <v>11732018.68</v>
      </c>
      <c r="CV317" s="99">
        <v>166796.07</v>
      </c>
      <c r="CW317" s="139" t="s">
        <v>606</v>
      </c>
      <c r="CX317" s="140">
        <v>19.305099999999999</v>
      </c>
      <c r="CY317" s="140">
        <v>933</v>
      </c>
      <c r="CZ317" s="140" t="s">
        <v>894</v>
      </c>
      <c r="DA317" s="140" t="s">
        <v>1480</v>
      </c>
      <c r="DB317" s="140">
        <v>172</v>
      </c>
      <c r="DC317" s="140"/>
    </row>
    <row r="318" spans="2:107" ht="11.25" customHeight="1" x14ac:dyDescent="0.15">
      <c r="B318" s="139" t="s">
        <v>577</v>
      </c>
      <c r="C318" s="140" t="s">
        <v>2106</v>
      </c>
      <c r="D318" s="140">
        <v>1</v>
      </c>
      <c r="E318" s="139" t="s">
        <v>2107</v>
      </c>
      <c r="F318" s="139" t="s">
        <v>618</v>
      </c>
      <c r="G318" s="140" t="s">
        <v>2106</v>
      </c>
      <c r="H318" s="139" t="s">
        <v>2108</v>
      </c>
      <c r="I318" s="140" t="s">
        <v>421</v>
      </c>
      <c r="J318" s="139" t="s">
        <v>582</v>
      </c>
      <c r="K318" s="139" t="s">
        <v>583</v>
      </c>
      <c r="L318" s="139" t="s">
        <v>583</v>
      </c>
      <c r="M318" s="139" t="s">
        <v>583</v>
      </c>
      <c r="N318" s="139" t="s">
        <v>441</v>
      </c>
      <c r="O318" s="139" t="s">
        <v>630</v>
      </c>
      <c r="P318" s="139" t="s">
        <v>583</v>
      </c>
      <c r="Q318" s="139" t="s">
        <v>583</v>
      </c>
      <c r="R318" s="140">
        <v>1</v>
      </c>
      <c r="S318" s="140">
        <v>0</v>
      </c>
      <c r="T318" s="140">
        <v>1</v>
      </c>
      <c r="U318" s="140">
        <v>50</v>
      </c>
      <c r="V318" s="139" t="s">
        <v>679</v>
      </c>
      <c r="W318" s="139" t="s">
        <v>680</v>
      </c>
      <c r="X318" s="139" t="s">
        <v>681</v>
      </c>
      <c r="Y318" s="139" t="s">
        <v>682</v>
      </c>
      <c r="Z318" s="139" t="s">
        <v>683</v>
      </c>
      <c r="AA318" s="139" t="s">
        <v>684</v>
      </c>
      <c r="AB318" s="139" t="s">
        <v>679</v>
      </c>
      <c r="AC318" s="139" t="s">
        <v>680</v>
      </c>
      <c r="AD318" s="139" t="s">
        <v>681</v>
      </c>
      <c r="AE318" s="139" t="s">
        <v>682</v>
      </c>
      <c r="AF318" s="139" t="s">
        <v>683</v>
      </c>
      <c r="AG318" s="139" t="s">
        <v>684</v>
      </c>
      <c r="AH318" s="139" t="s">
        <v>621</v>
      </c>
      <c r="AI318" s="139" t="s">
        <v>430</v>
      </c>
      <c r="AJ318" s="140">
        <v>1134829.5</v>
      </c>
      <c r="AK318" s="139" t="s">
        <v>679</v>
      </c>
      <c r="AL318" s="139" t="s">
        <v>680</v>
      </c>
      <c r="AM318" s="139" t="s">
        <v>681</v>
      </c>
      <c r="AN318" s="139" t="s">
        <v>682</v>
      </c>
      <c r="AO318" s="139" t="s">
        <v>683</v>
      </c>
      <c r="AP318" s="139" t="s">
        <v>684</v>
      </c>
      <c r="AQ318" s="139" t="s">
        <v>621</v>
      </c>
      <c r="AR318" s="139" t="s">
        <v>430</v>
      </c>
      <c r="AS318" s="139" t="s">
        <v>430</v>
      </c>
      <c r="AT318" s="139" t="s">
        <v>593</v>
      </c>
      <c r="AU318" s="139" t="s">
        <v>437</v>
      </c>
      <c r="AV318" s="140">
        <v>0</v>
      </c>
      <c r="AW318" s="139" t="s">
        <v>594</v>
      </c>
      <c r="AX318" s="139" t="s">
        <v>622</v>
      </c>
      <c r="AY318" s="139" t="s">
        <v>623</v>
      </c>
      <c r="AZ318" s="140">
        <v>1</v>
      </c>
      <c r="BA318" s="139" t="s">
        <v>597</v>
      </c>
      <c r="BB318" s="140">
        <v>15000</v>
      </c>
      <c r="BC318" s="140">
        <v>1134830</v>
      </c>
      <c r="BD318" s="140">
        <v>16134.06</v>
      </c>
      <c r="BE318" s="140">
        <v>75.655299999999997</v>
      </c>
      <c r="BF318" s="139" t="s">
        <v>880</v>
      </c>
      <c r="BG318" s="139" t="s">
        <v>582</v>
      </c>
      <c r="BH318" s="139" t="s">
        <v>900</v>
      </c>
      <c r="BI318" s="139" t="s">
        <v>598</v>
      </c>
      <c r="BJ318" s="139" t="s">
        <v>624</v>
      </c>
      <c r="BK318" s="139" t="s">
        <v>882</v>
      </c>
      <c r="BL318" s="139" t="s">
        <v>583</v>
      </c>
      <c r="BM318" s="139" t="s">
        <v>883</v>
      </c>
      <c r="BN318" s="139" t="s">
        <v>583</v>
      </c>
      <c r="BO318" s="139" t="s">
        <v>623</v>
      </c>
      <c r="BP318" s="139" t="s">
        <v>1692</v>
      </c>
      <c r="BQ318" s="139" t="s">
        <v>625</v>
      </c>
      <c r="BR318" s="140">
        <v>1</v>
      </c>
      <c r="BS318" s="139" t="s">
        <v>2109</v>
      </c>
      <c r="BT318" s="99">
        <f t="shared" si="19"/>
        <v>0</v>
      </c>
      <c r="BU318" s="99">
        <f t="shared" si="19"/>
        <v>1</v>
      </c>
      <c r="BV318" s="99">
        <f t="shared" si="16"/>
        <v>1</v>
      </c>
      <c r="BW318" s="139" t="s">
        <v>635</v>
      </c>
      <c r="BX318" s="139" t="s">
        <v>441</v>
      </c>
      <c r="BY318" s="140">
        <v>50</v>
      </c>
      <c r="BZ318" s="140">
        <v>0</v>
      </c>
      <c r="CA318" s="99">
        <v>10000</v>
      </c>
      <c r="CB318" s="140" t="s">
        <v>603</v>
      </c>
      <c r="CC318" s="140">
        <v>0</v>
      </c>
      <c r="CD318" s="140"/>
      <c r="CE318" s="139" t="s">
        <v>577</v>
      </c>
      <c r="CF318" s="139" t="s">
        <v>604</v>
      </c>
      <c r="CG318" s="139" t="s">
        <v>583</v>
      </c>
      <c r="CH318" s="139" t="s">
        <v>583</v>
      </c>
      <c r="CI318" s="139" t="s">
        <v>621</v>
      </c>
      <c r="CJ318" s="140">
        <v>1000</v>
      </c>
      <c r="CK318" s="140" t="s">
        <v>605</v>
      </c>
      <c r="CL318" s="140">
        <v>4000000</v>
      </c>
      <c r="CM318" s="99">
        <v>900</v>
      </c>
      <c r="CN318" s="140">
        <v>0</v>
      </c>
      <c r="CO318" s="139" t="s">
        <v>583</v>
      </c>
      <c r="CP318" s="139" t="s">
        <v>583</v>
      </c>
      <c r="CQ318" s="140">
        <v>15000</v>
      </c>
      <c r="CR318" s="140">
        <v>1134830</v>
      </c>
      <c r="CS318" s="140">
        <v>0</v>
      </c>
      <c r="CT318" s="140">
        <v>1</v>
      </c>
      <c r="CU318" s="140">
        <v>1134829.5</v>
      </c>
      <c r="CV318" s="99">
        <v>16134.06</v>
      </c>
      <c r="CW318" s="139" t="s">
        <v>606</v>
      </c>
      <c r="CX318" s="140">
        <v>17.9267</v>
      </c>
      <c r="CY318" s="140"/>
      <c r="CZ318" s="140"/>
      <c r="DA318" s="140" t="s">
        <v>902</v>
      </c>
      <c r="DB318" s="140">
        <v>639</v>
      </c>
      <c r="DC318" s="140"/>
    </row>
    <row r="319" spans="2:107" ht="11.25" customHeight="1" x14ac:dyDescent="0.15">
      <c r="B319" s="139" t="s">
        <v>577</v>
      </c>
      <c r="C319" s="140" t="s">
        <v>2110</v>
      </c>
      <c r="D319" s="140">
        <v>1</v>
      </c>
      <c r="E319" s="139" t="s">
        <v>2111</v>
      </c>
      <c r="F319" s="139" t="s">
        <v>618</v>
      </c>
      <c r="G319" s="140" t="s">
        <v>2110</v>
      </c>
      <c r="H319" s="139" t="s">
        <v>2112</v>
      </c>
      <c r="I319" s="140" t="s">
        <v>421</v>
      </c>
      <c r="J319" s="139" t="s">
        <v>582</v>
      </c>
      <c r="K319" s="139" t="s">
        <v>583</v>
      </c>
      <c r="L319" s="139" t="s">
        <v>583</v>
      </c>
      <c r="M319" s="139" t="s">
        <v>583</v>
      </c>
      <c r="N319" s="139" t="s">
        <v>441</v>
      </c>
      <c r="O319" s="139" t="s">
        <v>1160</v>
      </c>
      <c r="P319" s="139" t="s">
        <v>583</v>
      </c>
      <c r="Q319" s="139" t="s">
        <v>583</v>
      </c>
      <c r="R319" s="140">
        <v>1</v>
      </c>
      <c r="S319" s="140">
        <v>0</v>
      </c>
      <c r="T319" s="140">
        <v>1</v>
      </c>
      <c r="U319" s="140">
        <v>648</v>
      </c>
      <c r="V319" s="139" t="s">
        <v>586</v>
      </c>
      <c r="W319" s="139" t="s">
        <v>587</v>
      </c>
      <c r="X319" s="139" t="s">
        <v>588</v>
      </c>
      <c r="Y319" s="139" t="s">
        <v>589</v>
      </c>
      <c r="Z319" s="139" t="s">
        <v>590</v>
      </c>
      <c r="AA319" s="139" t="s">
        <v>591</v>
      </c>
      <c r="AB319" s="139" t="s">
        <v>586</v>
      </c>
      <c r="AC319" s="139" t="s">
        <v>587</v>
      </c>
      <c r="AD319" s="139" t="s">
        <v>588</v>
      </c>
      <c r="AE319" s="139" t="s">
        <v>589</v>
      </c>
      <c r="AF319" s="139" t="s">
        <v>590</v>
      </c>
      <c r="AG319" s="139" t="s">
        <v>591</v>
      </c>
      <c r="AH319" s="139" t="s">
        <v>621</v>
      </c>
      <c r="AI319" s="139" t="s">
        <v>430</v>
      </c>
      <c r="AJ319" s="140">
        <v>13392517.449999999</v>
      </c>
      <c r="AK319" s="139" t="s">
        <v>586</v>
      </c>
      <c r="AL319" s="139" t="s">
        <v>587</v>
      </c>
      <c r="AM319" s="139" t="s">
        <v>588</v>
      </c>
      <c r="AN319" s="139" t="s">
        <v>589</v>
      </c>
      <c r="AO319" s="139" t="s">
        <v>590</v>
      </c>
      <c r="AP319" s="139" t="s">
        <v>591</v>
      </c>
      <c r="AQ319" s="139" t="s">
        <v>621</v>
      </c>
      <c r="AR319" s="139" t="s">
        <v>430</v>
      </c>
      <c r="AS319" s="139" t="s">
        <v>430</v>
      </c>
      <c r="AT319" s="139" t="s">
        <v>593</v>
      </c>
      <c r="AU319" s="139" t="s">
        <v>437</v>
      </c>
      <c r="AV319" s="140">
        <v>0</v>
      </c>
      <c r="AW319" s="139" t="s">
        <v>594</v>
      </c>
      <c r="AX319" s="139" t="s">
        <v>622</v>
      </c>
      <c r="AY319" s="139" t="s">
        <v>623</v>
      </c>
      <c r="AZ319" s="140">
        <v>1</v>
      </c>
      <c r="BA319" s="139" t="s">
        <v>597</v>
      </c>
      <c r="BB319" s="140">
        <v>180144</v>
      </c>
      <c r="BC319" s="140">
        <v>13392517</v>
      </c>
      <c r="BD319" s="140">
        <v>195039.69</v>
      </c>
      <c r="BE319" s="140">
        <v>74.343400000000003</v>
      </c>
      <c r="BF319" s="139" t="s">
        <v>880</v>
      </c>
      <c r="BG319" s="139" t="s">
        <v>582</v>
      </c>
      <c r="BH319" s="139" t="s">
        <v>1161</v>
      </c>
      <c r="BI319" s="139" t="s">
        <v>598</v>
      </c>
      <c r="BJ319" s="139" t="s">
        <v>624</v>
      </c>
      <c r="BK319" s="139" t="s">
        <v>882</v>
      </c>
      <c r="BL319" s="139" t="s">
        <v>583</v>
      </c>
      <c r="BM319" s="139" t="s">
        <v>883</v>
      </c>
      <c r="BN319" s="139" t="s">
        <v>971</v>
      </c>
      <c r="BO319" s="139" t="s">
        <v>972</v>
      </c>
      <c r="BP319" s="139" t="s">
        <v>1933</v>
      </c>
      <c r="BQ319" s="139" t="s">
        <v>625</v>
      </c>
      <c r="BR319" s="140">
        <v>1</v>
      </c>
      <c r="BS319" s="139" t="s">
        <v>2050</v>
      </c>
      <c r="BT319" s="99">
        <f t="shared" si="19"/>
        <v>0</v>
      </c>
      <c r="BU319" s="99">
        <f t="shared" si="19"/>
        <v>1</v>
      </c>
      <c r="BV319" s="99">
        <f t="shared" si="16"/>
        <v>1</v>
      </c>
      <c r="BW319" s="139" t="s">
        <v>602</v>
      </c>
      <c r="BX319" s="139" t="s">
        <v>441</v>
      </c>
      <c r="BY319" s="140">
        <v>648</v>
      </c>
      <c r="BZ319" s="140">
        <v>0</v>
      </c>
      <c r="CA319" s="99">
        <v>129600</v>
      </c>
      <c r="CB319" s="140" t="s">
        <v>603</v>
      </c>
      <c r="CC319" s="140">
        <v>0</v>
      </c>
      <c r="CD319" s="140"/>
      <c r="CE319" s="139" t="s">
        <v>577</v>
      </c>
      <c r="CF319" s="139" t="s">
        <v>604</v>
      </c>
      <c r="CG319" s="139" t="s">
        <v>583</v>
      </c>
      <c r="CH319" s="139" t="s">
        <v>583</v>
      </c>
      <c r="CI319" s="139" t="s">
        <v>621</v>
      </c>
      <c r="CJ319" s="140">
        <v>13580</v>
      </c>
      <c r="CK319" s="140" t="s">
        <v>605</v>
      </c>
      <c r="CL319" s="140">
        <v>4000000</v>
      </c>
      <c r="CM319" s="99">
        <v>11664</v>
      </c>
      <c r="CN319" s="140">
        <v>0</v>
      </c>
      <c r="CO319" s="139" t="s">
        <v>583</v>
      </c>
      <c r="CP319" s="139" t="s">
        <v>583</v>
      </c>
      <c r="CQ319" s="140">
        <v>180144</v>
      </c>
      <c r="CR319" s="140">
        <v>13392517</v>
      </c>
      <c r="CS319" s="140">
        <v>0</v>
      </c>
      <c r="CT319" s="140">
        <v>1</v>
      </c>
      <c r="CU319" s="140">
        <v>13392517.449999999</v>
      </c>
      <c r="CV319" s="99">
        <v>195039.69</v>
      </c>
      <c r="CW319" s="139" t="s">
        <v>606</v>
      </c>
      <c r="CX319" s="140">
        <v>16.721499999999999</v>
      </c>
      <c r="CY319" s="140"/>
      <c r="CZ319" s="140"/>
      <c r="DA319" s="140" t="s">
        <v>856</v>
      </c>
      <c r="DB319" s="140">
        <v>882</v>
      </c>
      <c r="DC319" s="140"/>
    </row>
    <row r="320" spans="2:107" ht="11.25" customHeight="1" x14ac:dyDescent="0.15">
      <c r="B320" s="139" t="s">
        <v>577</v>
      </c>
      <c r="C320" s="140" t="s">
        <v>2113</v>
      </c>
      <c r="D320" s="140">
        <v>1</v>
      </c>
      <c r="E320" s="139" t="s">
        <v>2114</v>
      </c>
      <c r="F320" s="139" t="s">
        <v>618</v>
      </c>
      <c r="G320" s="140" t="s">
        <v>2113</v>
      </c>
      <c r="H320" s="139" t="s">
        <v>2115</v>
      </c>
      <c r="I320" s="140" t="s">
        <v>421</v>
      </c>
      <c r="J320" s="139" t="s">
        <v>582</v>
      </c>
      <c r="K320" s="139" t="s">
        <v>583</v>
      </c>
      <c r="L320" s="139" t="s">
        <v>583</v>
      </c>
      <c r="M320" s="139" t="s">
        <v>583</v>
      </c>
      <c r="N320" s="139" t="s">
        <v>441</v>
      </c>
      <c r="O320" s="139" t="s">
        <v>630</v>
      </c>
      <c r="P320" s="139" t="s">
        <v>583</v>
      </c>
      <c r="Q320" s="139" t="s">
        <v>583</v>
      </c>
      <c r="R320" s="140">
        <v>1</v>
      </c>
      <c r="S320" s="140">
        <v>0</v>
      </c>
      <c r="T320" s="140">
        <v>1</v>
      </c>
      <c r="U320" s="140">
        <v>282</v>
      </c>
      <c r="V320" s="139" t="s">
        <v>945</v>
      </c>
      <c r="W320" s="139" t="s">
        <v>946</v>
      </c>
      <c r="X320" s="139" t="s">
        <v>947</v>
      </c>
      <c r="Y320" s="139" t="s">
        <v>948</v>
      </c>
      <c r="Z320" s="139" t="s">
        <v>949</v>
      </c>
      <c r="AA320" s="139" t="s">
        <v>950</v>
      </c>
      <c r="AB320" s="139" t="s">
        <v>945</v>
      </c>
      <c r="AC320" s="139" t="s">
        <v>946</v>
      </c>
      <c r="AD320" s="139" t="s">
        <v>947</v>
      </c>
      <c r="AE320" s="139" t="s">
        <v>948</v>
      </c>
      <c r="AF320" s="139" t="s">
        <v>949</v>
      </c>
      <c r="AG320" s="139" t="s">
        <v>950</v>
      </c>
      <c r="AH320" s="139" t="s">
        <v>621</v>
      </c>
      <c r="AI320" s="139" t="s">
        <v>430</v>
      </c>
      <c r="AJ320" s="140">
        <v>6327473.3799999999</v>
      </c>
      <c r="AK320" s="139" t="s">
        <v>945</v>
      </c>
      <c r="AL320" s="139" t="s">
        <v>946</v>
      </c>
      <c r="AM320" s="139" t="s">
        <v>947</v>
      </c>
      <c r="AN320" s="139" t="s">
        <v>948</v>
      </c>
      <c r="AO320" s="139" t="s">
        <v>949</v>
      </c>
      <c r="AP320" s="139" t="s">
        <v>950</v>
      </c>
      <c r="AQ320" s="139" t="s">
        <v>621</v>
      </c>
      <c r="AR320" s="139" t="s">
        <v>430</v>
      </c>
      <c r="AS320" s="139" t="s">
        <v>430</v>
      </c>
      <c r="AT320" s="139" t="s">
        <v>593</v>
      </c>
      <c r="AU320" s="139" t="s">
        <v>437</v>
      </c>
      <c r="AV320" s="140">
        <v>0</v>
      </c>
      <c r="AW320" s="139" t="s">
        <v>594</v>
      </c>
      <c r="AX320" s="139" t="s">
        <v>622</v>
      </c>
      <c r="AY320" s="139" t="s">
        <v>623</v>
      </c>
      <c r="AZ320" s="140">
        <v>1</v>
      </c>
      <c r="BA320" s="139" t="s">
        <v>951</v>
      </c>
      <c r="BB320" s="140">
        <v>121957.05</v>
      </c>
      <c r="BC320" s="140">
        <v>6327473</v>
      </c>
      <c r="BD320" s="140">
        <v>89958.75</v>
      </c>
      <c r="BE320" s="140">
        <v>51.882800000000003</v>
      </c>
      <c r="BF320" s="139" t="s">
        <v>880</v>
      </c>
      <c r="BG320" s="139" t="s">
        <v>582</v>
      </c>
      <c r="BH320" s="139" t="s">
        <v>2116</v>
      </c>
      <c r="BI320" s="139" t="s">
        <v>598</v>
      </c>
      <c r="BJ320" s="139" t="s">
        <v>624</v>
      </c>
      <c r="BK320" s="139" t="s">
        <v>882</v>
      </c>
      <c r="BL320" s="139" t="s">
        <v>583</v>
      </c>
      <c r="BM320" s="139" t="s">
        <v>953</v>
      </c>
      <c r="BN320" s="139" t="s">
        <v>583</v>
      </c>
      <c r="BO320" s="139" t="s">
        <v>623</v>
      </c>
      <c r="BP320" s="139" t="s">
        <v>1692</v>
      </c>
      <c r="BQ320" s="139" t="s">
        <v>625</v>
      </c>
      <c r="BR320" s="140">
        <v>1</v>
      </c>
      <c r="BS320" s="139" t="s">
        <v>2117</v>
      </c>
      <c r="BT320" s="99">
        <f t="shared" si="19"/>
        <v>0</v>
      </c>
      <c r="BU320" s="99">
        <f t="shared" si="19"/>
        <v>1</v>
      </c>
      <c r="BV320" s="99">
        <f t="shared" si="16"/>
        <v>1</v>
      </c>
      <c r="BW320" s="139" t="s">
        <v>635</v>
      </c>
      <c r="BX320" s="139" t="s">
        <v>441</v>
      </c>
      <c r="BY320" s="140">
        <v>282</v>
      </c>
      <c r="BZ320" s="140">
        <v>0</v>
      </c>
      <c r="CA320" s="99">
        <v>56400</v>
      </c>
      <c r="CB320" s="140" t="s">
        <v>603</v>
      </c>
      <c r="CC320" s="140">
        <v>0</v>
      </c>
      <c r="CD320" s="140"/>
      <c r="CE320" s="139" t="s">
        <v>577</v>
      </c>
      <c r="CF320" s="139" t="s">
        <v>604</v>
      </c>
      <c r="CG320" s="139" t="s">
        <v>583</v>
      </c>
      <c r="CH320" s="139" t="s">
        <v>583</v>
      </c>
      <c r="CI320" s="139" t="s">
        <v>621</v>
      </c>
      <c r="CJ320" s="140">
        <v>5640</v>
      </c>
      <c r="CK320" s="140" t="s">
        <v>605</v>
      </c>
      <c r="CL320" s="140">
        <v>4000000</v>
      </c>
      <c r="CM320" s="99">
        <v>5076</v>
      </c>
      <c r="CN320" s="140">
        <v>0</v>
      </c>
      <c r="CO320" s="139" t="s">
        <v>583</v>
      </c>
      <c r="CP320" s="139" t="s">
        <v>583</v>
      </c>
      <c r="CQ320" s="140">
        <v>121957.05</v>
      </c>
      <c r="CR320" s="140">
        <v>6327473</v>
      </c>
      <c r="CS320" s="140">
        <v>0</v>
      </c>
      <c r="CT320" s="140">
        <v>1</v>
      </c>
      <c r="CU320" s="140">
        <v>6327473.3799999999</v>
      </c>
      <c r="CV320" s="99">
        <v>89958.75</v>
      </c>
      <c r="CW320" s="139" t="s">
        <v>606</v>
      </c>
      <c r="CX320" s="140">
        <v>17.7224</v>
      </c>
      <c r="CY320" s="140"/>
      <c r="CZ320" s="140"/>
      <c r="DA320" s="140" t="s">
        <v>933</v>
      </c>
      <c r="DB320" s="140">
        <v>1241</v>
      </c>
      <c r="DC320" s="140"/>
    </row>
    <row r="321" spans="2:107" ht="11.25" customHeight="1" x14ac:dyDescent="0.15">
      <c r="B321" s="139" t="s">
        <v>577</v>
      </c>
      <c r="C321" s="140" t="s">
        <v>2113</v>
      </c>
      <c r="D321" s="140">
        <v>1</v>
      </c>
      <c r="E321" s="139" t="s">
        <v>2118</v>
      </c>
      <c r="F321" s="139" t="s">
        <v>618</v>
      </c>
      <c r="G321" s="140" t="s">
        <v>2113</v>
      </c>
      <c r="H321" s="139" t="s">
        <v>2119</v>
      </c>
      <c r="I321" s="140" t="s">
        <v>421</v>
      </c>
      <c r="J321" s="139" t="s">
        <v>582</v>
      </c>
      <c r="K321" s="139" t="s">
        <v>583</v>
      </c>
      <c r="L321" s="139" t="s">
        <v>583</v>
      </c>
      <c r="M321" s="139" t="s">
        <v>583</v>
      </c>
      <c r="N321" s="139" t="s">
        <v>441</v>
      </c>
      <c r="O321" s="139" t="s">
        <v>1160</v>
      </c>
      <c r="P321" s="139" t="s">
        <v>583</v>
      </c>
      <c r="Q321" s="139" t="s">
        <v>583</v>
      </c>
      <c r="R321" s="140">
        <v>1</v>
      </c>
      <c r="S321" s="140">
        <v>0</v>
      </c>
      <c r="T321" s="140">
        <v>1</v>
      </c>
      <c r="U321" s="140">
        <v>473</v>
      </c>
      <c r="V321" s="139" t="s">
        <v>586</v>
      </c>
      <c r="W321" s="139" t="s">
        <v>587</v>
      </c>
      <c r="X321" s="139" t="s">
        <v>588</v>
      </c>
      <c r="Y321" s="139" t="s">
        <v>589</v>
      </c>
      <c r="Z321" s="139" t="s">
        <v>590</v>
      </c>
      <c r="AA321" s="139" t="s">
        <v>591</v>
      </c>
      <c r="AB321" s="139" t="s">
        <v>586</v>
      </c>
      <c r="AC321" s="139" t="s">
        <v>587</v>
      </c>
      <c r="AD321" s="139" t="s">
        <v>588</v>
      </c>
      <c r="AE321" s="139" t="s">
        <v>589</v>
      </c>
      <c r="AF321" s="139" t="s">
        <v>590</v>
      </c>
      <c r="AG321" s="139" t="s">
        <v>591</v>
      </c>
      <c r="AH321" s="139" t="s">
        <v>621</v>
      </c>
      <c r="AI321" s="139" t="s">
        <v>430</v>
      </c>
      <c r="AJ321" s="140">
        <v>9518798.5399999991</v>
      </c>
      <c r="AK321" s="139" t="s">
        <v>586</v>
      </c>
      <c r="AL321" s="139" t="s">
        <v>587</v>
      </c>
      <c r="AM321" s="139" t="s">
        <v>588</v>
      </c>
      <c r="AN321" s="139" t="s">
        <v>589</v>
      </c>
      <c r="AO321" s="139" t="s">
        <v>590</v>
      </c>
      <c r="AP321" s="139" t="s">
        <v>591</v>
      </c>
      <c r="AQ321" s="139" t="s">
        <v>621</v>
      </c>
      <c r="AR321" s="139" t="s">
        <v>430</v>
      </c>
      <c r="AS321" s="139" t="s">
        <v>430</v>
      </c>
      <c r="AT321" s="139" t="s">
        <v>593</v>
      </c>
      <c r="AU321" s="139" t="s">
        <v>437</v>
      </c>
      <c r="AV321" s="140">
        <v>0</v>
      </c>
      <c r="AW321" s="139" t="s">
        <v>594</v>
      </c>
      <c r="AX321" s="139" t="s">
        <v>2120</v>
      </c>
      <c r="AY321" s="139" t="s">
        <v>623</v>
      </c>
      <c r="AZ321" s="140">
        <v>1</v>
      </c>
      <c r="BA321" s="139" t="s">
        <v>597</v>
      </c>
      <c r="BB321" s="140">
        <v>125818</v>
      </c>
      <c r="BC321" s="140">
        <v>9518799</v>
      </c>
      <c r="BD321" s="140">
        <v>135330.35</v>
      </c>
      <c r="BE321" s="140">
        <v>75.655299999999997</v>
      </c>
      <c r="BF321" s="139" t="s">
        <v>880</v>
      </c>
      <c r="BG321" s="139" t="s">
        <v>582</v>
      </c>
      <c r="BH321" s="139" t="s">
        <v>2121</v>
      </c>
      <c r="BI321" s="139" t="s">
        <v>598</v>
      </c>
      <c r="BJ321" s="139" t="s">
        <v>624</v>
      </c>
      <c r="BK321" s="139" t="s">
        <v>882</v>
      </c>
      <c r="BL321" s="139" t="s">
        <v>583</v>
      </c>
      <c r="BM321" s="139" t="s">
        <v>883</v>
      </c>
      <c r="BN321" s="139" t="s">
        <v>971</v>
      </c>
      <c r="BO321" s="139" t="s">
        <v>972</v>
      </c>
      <c r="BP321" s="139" t="s">
        <v>1933</v>
      </c>
      <c r="BQ321" s="139" t="s">
        <v>625</v>
      </c>
      <c r="BR321" s="140">
        <v>1</v>
      </c>
      <c r="BS321" s="139" t="s">
        <v>2122</v>
      </c>
      <c r="BT321" s="99">
        <f t="shared" si="19"/>
        <v>0</v>
      </c>
      <c r="BU321" s="99">
        <f t="shared" si="19"/>
        <v>1</v>
      </c>
      <c r="BV321" s="99">
        <f t="shared" si="16"/>
        <v>1</v>
      </c>
      <c r="BW321" s="139" t="s">
        <v>602</v>
      </c>
      <c r="BX321" s="139" t="s">
        <v>441</v>
      </c>
      <c r="BY321" s="140">
        <v>473</v>
      </c>
      <c r="BZ321" s="140">
        <v>0</v>
      </c>
      <c r="CA321" s="99">
        <v>94600</v>
      </c>
      <c r="CB321" s="140" t="s">
        <v>603</v>
      </c>
      <c r="CC321" s="140">
        <v>0</v>
      </c>
      <c r="CD321" s="140"/>
      <c r="CE321" s="139" t="s">
        <v>577</v>
      </c>
      <c r="CF321" s="139" t="s">
        <v>604</v>
      </c>
      <c r="CG321" s="139" t="s">
        <v>583</v>
      </c>
      <c r="CH321" s="139" t="s">
        <v>583</v>
      </c>
      <c r="CI321" s="139" t="s">
        <v>621</v>
      </c>
      <c r="CJ321" s="140">
        <v>9640</v>
      </c>
      <c r="CK321" s="140" t="s">
        <v>605</v>
      </c>
      <c r="CL321" s="140">
        <v>4000000</v>
      </c>
      <c r="CM321" s="99">
        <v>8514</v>
      </c>
      <c r="CN321" s="140">
        <v>0</v>
      </c>
      <c r="CO321" s="139" t="s">
        <v>583</v>
      </c>
      <c r="CP321" s="139" t="s">
        <v>583</v>
      </c>
      <c r="CQ321" s="140">
        <v>125818</v>
      </c>
      <c r="CR321" s="140">
        <v>9518799</v>
      </c>
      <c r="CS321" s="140">
        <v>0</v>
      </c>
      <c r="CT321" s="140">
        <v>1</v>
      </c>
      <c r="CU321" s="140">
        <v>9518798.5399999991</v>
      </c>
      <c r="CV321" s="99">
        <v>135330.35</v>
      </c>
      <c r="CW321" s="139" t="s">
        <v>606</v>
      </c>
      <c r="CX321" s="140">
        <v>15.895</v>
      </c>
      <c r="CY321" s="140"/>
      <c r="CZ321" s="140"/>
      <c r="DA321" s="140" t="s">
        <v>856</v>
      </c>
      <c r="DB321" s="140">
        <v>621</v>
      </c>
      <c r="DC321" s="140"/>
    </row>
    <row r="322" spans="2:107" ht="11.25" customHeight="1" x14ac:dyDescent="0.15">
      <c r="B322" s="139" t="s">
        <v>577</v>
      </c>
      <c r="C322" s="140" t="s">
        <v>2123</v>
      </c>
      <c r="D322" s="140">
        <v>1</v>
      </c>
      <c r="E322" s="139" t="s">
        <v>2124</v>
      </c>
      <c r="F322" s="139" t="s">
        <v>618</v>
      </c>
      <c r="G322" s="140" t="s">
        <v>2123</v>
      </c>
      <c r="H322" s="139" t="s">
        <v>2125</v>
      </c>
      <c r="I322" s="140" t="s">
        <v>421</v>
      </c>
      <c r="J322" s="139" t="s">
        <v>582</v>
      </c>
      <c r="K322" s="139" t="s">
        <v>583</v>
      </c>
      <c r="L322" s="139" t="s">
        <v>583</v>
      </c>
      <c r="M322" s="139" t="s">
        <v>583</v>
      </c>
      <c r="N322" s="139" t="s">
        <v>441</v>
      </c>
      <c r="O322" s="139" t="s">
        <v>1771</v>
      </c>
      <c r="P322" s="139" t="s">
        <v>583</v>
      </c>
      <c r="Q322" s="139" t="s">
        <v>583</v>
      </c>
      <c r="R322" s="140">
        <v>1</v>
      </c>
      <c r="S322" s="140">
        <v>0</v>
      </c>
      <c r="T322" s="140">
        <v>1</v>
      </c>
      <c r="U322" s="140">
        <v>374</v>
      </c>
      <c r="V322" s="139" t="s">
        <v>691</v>
      </c>
      <c r="W322" s="139" t="s">
        <v>692</v>
      </c>
      <c r="X322" s="139" t="s">
        <v>693</v>
      </c>
      <c r="Y322" s="139" t="s">
        <v>694</v>
      </c>
      <c r="Z322" s="139" t="s">
        <v>695</v>
      </c>
      <c r="AA322" s="139" t="s">
        <v>696</v>
      </c>
      <c r="AB322" s="139" t="s">
        <v>691</v>
      </c>
      <c r="AC322" s="139" t="s">
        <v>692</v>
      </c>
      <c r="AD322" s="139" t="s">
        <v>693</v>
      </c>
      <c r="AE322" s="139" t="s">
        <v>694</v>
      </c>
      <c r="AF322" s="139" t="s">
        <v>695</v>
      </c>
      <c r="AG322" s="139" t="s">
        <v>696</v>
      </c>
      <c r="AH322" s="139" t="s">
        <v>621</v>
      </c>
      <c r="AI322" s="139" t="s">
        <v>430</v>
      </c>
      <c r="AJ322" s="140">
        <v>8793575.0700000003</v>
      </c>
      <c r="AK322" s="139" t="s">
        <v>691</v>
      </c>
      <c r="AL322" s="139" t="s">
        <v>692</v>
      </c>
      <c r="AM322" s="139" t="s">
        <v>693</v>
      </c>
      <c r="AN322" s="139" t="s">
        <v>694</v>
      </c>
      <c r="AO322" s="139" t="s">
        <v>695</v>
      </c>
      <c r="AP322" s="139" t="s">
        <v>696</v>
      </c>
      <c r="AQ322" s="139" t="s">
        <v>621</v>
      </c>
      <c r="AR322" s="139" t="s">
        <v>430</v>
      </c>
      <c r="AS322" s="139" t="s">
        <v>430</v>
      </c>
      <c r="AT322" s="139" t="s">
        <v>593</v>
      </c>
      <c r="AU322" s="139" t="s">
        <v>437</v>
      </c>
      <c r="AV322" s="140">
        <v>0</v>
      </c>
      <c r="AW322" s="139" t="s">
        <v>594</v>
      </c>
      <c r="AX322" s="139" t="s">
        <v>622</v>
      </c>
      <c r="AY322" s="139" t="s">
        <v>623</v>
      </c>
      <c r="AZ322" s="140">
        <v>1</v>
      </c>
      <c r="BA322" s="139" t="s">
        <v>597</v>
      </c>
      <c r="BB322" s="140">
        <v>118184</v>
      </c>
      <c r="BC322" s="140">
        <v>8793575</v>
      </c>
      <c r="BD322" s="140">
        <v>127726.89</v>
      </c>
      <c r="BE322" s="140">
        <v>74.405799999999999</v>
      </c>
      <c r="BF322" s="139" t="s">
        <v>880</v>
      </c>
      <c r="BG322" s="139" t="s">
        <v>582</v>
      </c>
      <c r="BH322" s="139" t="s">
        <v>1018</v>
      </c>
      <c r="BI322" s="139" t="s">
        <v>598</v>
      </c>
      <c r="BJ322" s="139" t="s">
        <v>624</v>
      </c>
      <c r="BK322" s="139" t="s">
        <v>882</v>
      </c>
      <c r="BL322" s="139" t="s">
        <v>583</v>
      </c>
      <c r="BM322" s="139" t="s">
        <v>1019</v>
      </c>
      <c r="BN322" s="139" t="s">
        <v>1020</v>
      </c>
      <c r="BO322" s="139" t="s">
        <v>623</v>
      </c>
      <c r="BP322" s="139" t="s">
        <v>1772</v>
      </c>
      <c r="BQ322" s="139" t="s">
        <v>625</v>
      </c>
      <c r="BR322" s="140">
        <v>1</v>
      </c>
      <c r="BS322" s="139" t="s">
        <v>1478</v>
      </c>
      <c r="BT322" s="99">
        <f t="shared" si="19"/>
        <v>0</v>
      </c>
      <c r="BU322" s="99">
        <f t="shared" si="19"/>
        <v>0</v>
      </c>
      <c r="BV322" s="99">
        <f t="shared" si="16"/>
        <v>0</v>
      </c>
      <c r="BW322" s="139" t="s">
        <v>446</v>
      </c>
      <c r="BX322" s="139" t="s">
        <v>441</v>
      </c>
      <c r="BY322" s="140">
        <v>374</v>
      </c>
      <c r="BZ322" s="140">
        <v>0</v>
      </c>
      <c r="CA322" s="99">
        <v>74800</v>
      </c>
      <c r="CB322" s="140" t="s">
        <v>603</v>
      </c>
      <c r="CC322" s="140">
        <v>0</v>
      </c>
      <c r="CD322" s="140"/>
      <c r="CE322" s="139" t="s">
        <v>577</v>
      </c>
      <c r="CF322" s="139" t="s">
        <v>604</v>
      </c>
      <c r="CG322" s="139" t="s">
        <v>583</v>
      </c>
      <c r="CH322" s="139" t="s">
        <v>583</v>
      </c>
      <c r="CI322" s="139" t="s">
        <v>621</v>
      </c>
      <c r="CJ322" s="140">
        <v>7746</v>
      </c>
      <c r="CK322" s="140" t="s">
        <v>605</v>
      </c>
      <c r="CL322" s="140">
        <v>4000000</v>
      </c>
      <c r="CM322" s="99">
        <v>6732</v>
      </c>
      <c r="CN322" s="140">
        <v>0</v>
      </c>
      <c r="CO322" s="139" t="s">
        <v>583</v>
      </c>
      <c r="CP322" s="139" t="s">
        <v>583</v>
      </c>
      <c r="CQ322" s="140">
        <v>118184</v>
      </c>
      <c r="CR322" s="140">
        <v>8793575</v>
      </c>
      <c r="CS322" s="140">
        <v>0</v>
      </c>
      <c r="CT322" s="140">
        <v>1</v>
      </c>
      <c r="CU322" s="140">
        <v>8793575.0700000003</v>
      </c>
      <c r="CV322" s="99">
        <v>127726.89</v>
      </c>
      <c r="CW322" s="139" t="s">
        <v>606</v>
      </c>
      <c r="CX322" s="140">
        <v>18.973099999999999</v>
      </c>
      <c r="CY322" s="140">
        <v>933</v>
      </c>
      <c r="CZ322" s="140" t="s">
        <v>894</v>
      </c>
      <c r="DA322" s="140" t="s">
        <v>1480</v>
      </c>
      <c r="DB322" s="140">
        <v>763</v>
      </c>
      <c r="DC322" s="140"/>
    </row>
    <row r="323" spans="2:107" ht="11.25" customHeight="1" x14ac:dyDescent="0.15">
      <c r="B323" s="139" t="s">
        <v>577</v>
      </c>
      <c r="C323" s="140" t="s">
        <v>2126</v>
      </c>
      <c r="D323" s="140">
        <v>1</v>
      </c>
      <c r="E323" s="139" t="s">
        <v>2127</v>
      </c>
      <c r="F323" s="139" t="s">
        <v>618</v>
      </c>
      <c r="G323" s="140" t="s">
        <v>2126</v>
      </c>
      <c r="H323" s="139" t="s">
        <v>2128</v>
      </c>
      <c r="I323" s="140" t="s">
        <v>421</v>
      </c>
      <c r="J323" s="139" t="s">
        <v>582</v>
      </c>
      <c r="K323" s="139" t="s">
        <v>583</v>
      </c>
      <c r="L323" s="139" t="s">
        <v>583</v>
      </c>
      <c r="M323" s="139" t="s">
        <v>583</v>
      </c>
      <c r="N323" s="139" t="s">
        <v>441</v>
      </c>
      <c r="O323" s="139" t="s">
        <v>1160</v>
      </c>
      <c r="P323" s="139" t="s">
        <v>583</v>
      </c>
      <c r="Q323" s="139" t="s">
        <v>583</v>
      </c>
      <c r="R323" s="140">
        <v>1</v>
      </c>
      <c r="S323" s="140">
        <v>0</v>
      </c>
      <c r="T323" s="140">
        <v>1</v>
      </c>
      <c r="U323" s="140">
        <v>324</v>
      </c>
      <c r="V323" s="139" t="s">
        <v>586</v>
      </c>
      <c r="W323" s="139" t="s">
        <v>587</v>
      </c>
      <c r="X323" s="139" t="s">
        <v>588</v>
      </c>
      <c r="Y323" s="139" t="s">
        <v>589</v>
      </c>
      <c r="Z323" s="139" t="s">
        <v>590</v>
      </c>
      <c r="AA323" s="139" t="s">
        <v>591</v>
      </c>
      <c r="AB323" s="139" t="s">
        <v>586</v>
      </c>
      <c r="AC323" s="139" t="s">
        <v>587</v>
      </c>
      <c r="AD323" s="139" t="s">
        <v>588</v>
      </c>
      <c r="AE323" s="139" t="s">
        <v>589</v>
      </c>
      <c r="AF323" s="139" t="s">
        <v>590</v>
      </c>
      <c r="AG323" s="139" t="s">
        <v>591</v>
      </c>
      <c r="AH323" s="139" t="s">
        <v>621</v>
      </c>
      <c r="AI323" s="139" t="s">
        <v>430</v>
      </c>
      <c r="AJ323" s="140">
        <v>6718308.3499999996</v>
      </c>
      <c r="AK323" s="139" t="s">
        <v>586</v>
      </c>
      <c r="AL323" s="139" t="s">
        <v>587</v>
      </c>
      <c r="AM323" s="139" t="s">
        <v>588</v>
      </c>
      <c r="AN323" s="139" t="s">
        <v>589</v>
      </c>
      <c r="AO323" s="139" t="s">
        <v>590</v>
      </c>
      <c r="AP323" s="139" t="s">
        <v>591</v>
      </c>
      <c r="AQ323" s="139" t="s">
        <v>621</v>
      </c>
      <c r="AR323" s="139" t="s">
        <v>430</v>
      </c>
      <c r="AS323" s="139" t="s">
        <v>430</v>
      </c>
      <c r="AT323" s="139" t="s">
        <v>593</v>
      </c>
      <c r="AU323" s="139" t="s">
        <v>437</v>
      </c>
      <c r="AV323" s="140">
        <v>0</v>
      </c>
      <c r="AW323" s="139" t="s">
        <v>594</v>
      </c>
      <c r="AX323" s="139" t="s">
        <v>622</v>
      </c>
      <c r="AY323" s="139" t="s">
        <v>623</v>
      </c>
      <c r="AZ323" s="140">
        <v>1</v>
      </c>
      <c r="BA323" s="139" t="s">
        <v>597</v>
      </c>
      <c r="BB323" s="140">
        <v>90072</v>
      </c>
      <c r="BC323" s="140">
        <v>6718308</v>
      </c>
      <c r="BD323" s="140">
        <v>97546.61</v>
      </c>
      <c r="BE323" s="140">
        <v>74.588200000000001</v>
      </c>
      <c r="BF323" s="139" t="s">
        <v>880</v>
      </c>
      <c r="BG323" s="139" t="s">
        <v>582</v>
      </c>
      <c r="BH323" s="139" t="s">
        <v>1161</v>
      </c>
      <c r="BI323" s="139" t="s">
        <v>598</v>
      </c>
      <c r="BJ323" s="139" t="s">
        <v>624</v>
      </c>
      <c r="BK323" s="139" t="s">
        <v>882</v>
      </c>
      <c r="BL323" s="139" t="s">
        <v>583</v>
      </c>
      <c r="BM323" s="139" t="s">
        <v>883</v>
      </c>
      <c r="BN323" s="139" t="s">
        <v>971</v>
      </c>
      <c r="BO323" s="139" t="s">
        <v>972</v>
      </c>
      <c r="BP323" s="139" t="s">
        <v>1933</v>
      </c>
      <c r="BQ323" s="139" t="s">
        <v>625</v>
      </c>
      <c r="BR323" s="140">
        <v>1</v>
      </c>
      <c r="BS323" s="139" t="s">
        <v>2050</v>
      </c>
      <c r="BT323" s="99">
        <f t="shared" si="19"/>
        <v>0</v>
      </c>
      <c r="BU323" s="99">
        <f t="shared" si="19"/>
        <v>1</v>
      </c>
      <c r="BV323" s="99">
        <f t="shared" si="16"/>
        <v>1</v>
      </c>
      <c r="BW323" s="139" t="s">
        <v>602</v>
      </c>
      <c r="BX323" s="139" t="s">
        <v>441</v>
      </c>
      <c r="BY323" s="140">
        <v>324</v>
      </c>
      <c r="BZ323" s="140">
        <v>0</v>
      </c>
      <c r="CA323" s="99">
        <v>64800</v>
      </c>
      <c r="CB323" s="140" t="s">
        <v>603</v>
      </c>
      <c r="CC323" s="140">
        <v>0</v>
      </c>
      <c r="CD323" s="140"/>
      <c r="CE323" s="139" t="s">
        <v>577</v>
      </c>
      <c r="CF323" s="139" t="s">
        <v>604</v>
      </c>
      <c r="CG323" s="139" t="s">
        <v>583</v>
      </c>
      <c r="CH323" s="139" t="s">
        <v>583</v>
      </c>
      <c r="CI323" s="139" t="s">
        <v>621</v>
      </c>
      <c r="CJ323" s="140">
        <v>6700</v>
      </c>
      <c r="CK323" s="140" t="s">
        <v>605</v>
      </c>
      <c r="CL323" s="140">
        <v>4000000</v>
      </c>
      <c r="CM323" s="99">
        <v>5832</v>
      </c>
      <c r="CN323" s="140">
        <v>0</v>
      </c>
      <c r="CO323" s="139" t="s">
        <v>583</v>
      </c>
      <c r="CP323" s="139" t="s">
        <v>583</v>
      </c>
      <c r="CQ323" s="140">
        <v>90072</v>
      </c>
      <c r="CR323" s="140">
        <v>6718308</v>
      </c>
      <c r="CS323" s="140">
        <v>0</v>
      </c>
      <c r="CT323" s="140">
        <v>1</v>
      </c>
      <c r="CU323" s="140">
        <v>6718308.3499999996</v>
      </c>
      <c r="CV323" s="99">
        <v>97546.61</v>
      </c>
      <c r="CW323" s="139" t="s">
        <v>606</v>
      </c>
      <c r="CX323" s="140">
        <v>16.726099999999999</v>
      </c>
      <c r="CY323" s="140"/>
      <c r="CZ323" s="140"/>
      <c r="DA323" s="140" t="s">
        <v>856</v>
      </c>
      <c r="DB323" s="140">
        <v>976</v>
      </c>
      <c r="DC323" s="140"/>
    </row>
    <row r="324" spans="2:107" ht="11.25" customHeight="1" x14ac:dyDescent="0.15">
      <c r="B324" s="139" t="s">
        <v>577</v>
      </c>
      <c r="C324" s="140" t="s">
        <v>2129</v>
      </c>
      <c r="D324" s="140">
        <v>1</v>
      </c>
      <c r="E324" s="139" t="s">
        <v>2130</v>
      </c>
      <c r="F324" s="139" t="s">
        <v>729</v>
      </c>
      <c r="G324" s="140" t="s">
        <v>2129</v>
      </c>
      <c r="H324" s="139" t="s">
        <v>2131</v>
      </c>
      <c r="I324" s="140" t="s">
        <v>421</v>
      </c>
      <c r="J324" s="139" t="s">
        <v>582</v>
      </c>
      <c r="K324" s="139" t="s">
        <v>583</v>
      </c>
      <c r="L324" s="139" t="s">
        <v>583</v>
      </c>
      <c r="M324" s="139" t="s">
        <v>583</v>
      </c>
      <c r="N324" s="139" t="s">
        <v>731</v>
      </c>
      <c r="O324" s="139" t="s">
        <v>1876</v>
      </c>
      <c r="P324" s="139" t="s">
        <v>583</v>
      </c>
      <c r="Q324" s="139" t="s">
        <v>583</v>
      </c>
      <c r="R324" s="140">
        <v>1</v>
      </c>
      <c r="S324" s="140">
        <v>0</v>
      </c>
      <c r="T324" s="140">
        <v>1</v>
      </c>
      <c r="U324" s="140">
        <v>567</v>
      </c>
      <c r="V324" s="139" t="s">
        <v>691</v>
      </c>
      <c r="W324" s="139" t="s">
        <v>692</v>
      </c>
      <c r="X324" s="139" t="s">
        <v>693</v>
      </c>
      <c r="Y324" s="139" t="s">
        <v>694</v>
      </c>
      <c r="Z324" s="139" t="s">
        <v>695</v>
      </c>
      <c r="AA324" s="139" t="s">
        <v>696</v>
      </c>
      <c r="AB324" s="139" t="s">
        <v>691</v>
      </c>
      <c r="AC324" s="139" t="s">
        <v>692</v>
      </c>
      <c r="AD324" s="139" t="s">
        <v>693</v>
      </c>
      <c r="AE324" s="139" t="s">
        <v>694</v>
      </c>
      <c r="AF324" s="139" t="s">
        <v>695</v>
      </c>
      <c r="AG324" s="139" t="s">
        <v>696</v>
      </c>
      <c r="AH324" s="139" t="s">
        <v>733</v>
      </c>
      <c r="AI324" s="139" t="s">
        <v>432</v>
      </c>
      <c r="AJ324" s="140">
        <v>14985259.52</v>
      </c>
      <c r="AK324" s="139" t="s">
        <v>691</v>
      </c>
      <c r="AL324" s="139" t="s">
        <v>692</v>
      </c>
      <c r="AM324" s="139" t="s">
        <v>693</v>
      </c>
      <c r="AN324" s="139" t="s">
        <v>694</v>
      </c>
      <c r="AO324" s="139" t="s">
        <v>695</v>
      </c>
      <c r="AP324" s="139" t="s">
        <v>696</v>
      </c>
      <c r="AQ324" s="139" t="s">
        <v>733</v>
      </c>
      <c r="AR324" s="139" t="s">
        <v>432</v>
      </c>
      <c r="AS324" s="139" t="s">
        <v>432</v>
      </c>
      <c r="AT324" s="139" t="s">
        <v>593</v>
      </c>
      <c r="AU324" s="139" t="s">
        <v>437</v>
      </c>
      <c r="AV324" s="140">
        <v>2</v>
      </c>
      <c r="AW324" s="139" t="s">
        <v>594</v>
      </c>
      <c r="AX324" s="139" t="s">
        <v>653</v>
      </c>
      <c r="AY324" s="139" t="s">
        <v>1930</v>
      </c>
      <c r="AZ324" s="140">
        <v>1</v>
      </c>
      <c r="BA324" s="139" t="s">
        <v>597</v>
      </c>
      <c r="BB324" s="140">
        <v>201782</v>
      </c>
      <c r="BC324" s="140">
        <v>14985260</v>
      </c>
      <c r="BD324" s="140">
        <v>218239.14</v>
      </c>
      <c r="BE324" s="140">
        <v>74.264600000000002</v>
      </c>
      <c r="BF324" s="139" t="s">
        <v>880</v>
      </c>
      <c r="BG324" s="139" t="s">
        <v>735</v>
      </c>
      <c r="BH324" s="139" t="s">
        <v>736</v>
      </c>
      <c r="BI324" s="139" t="s">
        <v>598</v>
      </c>
      <c r="BJ324" s="139" t="s">
        <v>599</v>
      </c>
      <c r="BK324" s="139" t="s">
        <v>583</v>
      </c>
      <c r="BL324" s="139" t="s">
        <v>1475</v>
      </c>
      <c r="BM324" s="139" t="s">
        <v>583</v>
      </c>
      <c r="BN324" s="139" t="s">
        <v>738</v>
      </c>
      <c r="BO324" s="139" t="s">
        <v>1919</v>
      </c>
      <c r="BP324" s="139" t="s">
        <v>1920</v>
      </c>
      <c r="BQ324" s="139" t="s">
        <v>1921</v>
      </c>
      <c r="BR324" s="140">
        <v>1</v>
      </c>
      <c r="BS324" s="139" t="s">
        <v>742</v>
      </c>
      <c r="BT324" s="99">
        <f t="shared" si="19"/>
        <v>0</v>
      </c>
      <c r="BU324" s="99">
        <f t="shared" si="19"/>
        <v>0</v>
      </c>
      <c r="BV324" s="99">
        <f t="shared" ref="BV324:BV343" si="20">MAX(BT324,BU324)</f>
        <v>0</v>
      </c>
      <c r="BW324" s="139" t="s">
        <v>743</v>
      </c>
      <c r="BX324" s="139" t="s">
        <v>731</v>
      </c>
      <c r="BY324" s="140">
        <v>567</v>
      </c>
      <c r="BZ324" s="140">
        <v>0</v>
      </c>
      <c r="CA324" s="99">
        <v>113400</v>
      </c>
      <c r="CB324" s="140" t="s">
        <v>603</v>
      </c>
      <c r="CC324" s="140">
        <v>0</v>
      </c>
      <c r="CD324" s="140"/>
      <c r="CE324" s="139" t="s">
        <v>577</v>
      </c>
      <c r="CF324" s="139" t="s">
        <v>604</v>
      </c>
      <c r="CG324" s="139" t="s">
        <v>583</v>
      </c>
      <c r="CH324" s="139" t="s">
        <v>583</v>
      </c>
      <c r="CI324" s="139" t="s">
        <v>733</v>
      </c>
      <c r="CJ324" s="140">
        <v>12474</v>
      </c>
      <c r="CK324" s="140" t="s">
        <v>605</v>
      </c>
      <c r="CL324" s="140">
        <v>4000000</v>
      </c>
      <c r="CM324" s="99">
        <v>11340</v>
      </c>
      <c r="CN324" s="140">
        <v>0</v>
      </c>
      <c r="CO324" s="139" t="s">
        <v>583</v>
      </c>
      <c r="CP324" s="139" t="s">
        <v>583</v>
      </c>
      <c r="CQ324" s="140">
        <v>201782</v>
      </c>
      <c r="CR324" s="140">
        <v>14985260</v>
      </c>
      <c r="CS324" s="140">
        <v>0</v>
      </c>
      <c r="CT324" s="140">
        <v>1</v>
      </c>
      <c r="CU324" s="140">
        <v>14985259.52</v>
      </c>
      <c r="CV324" s="99">
        <v>218239.14</v>
      </c>
      <c r="CW324" s="139" t="s">
        <v>606</v>
      </c>
      <c r="CX324" s="140">
        <v>19.245100000000001</v>
      </c>
      <c r="CY324" s="140">
        <v>933</v>
      </c>
      <c r="CZ324" s="140" t="s">
        <v>894</v>
      </c>
      <c r="DA324" s="140" t="s">
        <v>1480</v>
      </c>
      <c r="DB324" s="140">
        <v>278</v>
      </c>
      <c r="DC324" s="140"/>
    </row>
    <row r="325" spans="2:107" ht="11.25" customHeight="1" x14ac:dyDescent="0.15">
      <c r="B325" s="139" t="s">
        <v>577</v>
      </c>
      <c r="C325" s="140" t="s">
        <v>2129</v>
      </c>
      <c r="D325" s="140">
        <v>1</v>
      </c>
      <c r="E325" s="139" t="s">
        <v>2132</v>
      </c>
      <c r="F325" s="139" t="s">
        <v>729</v>
      </c>
      <c r="G325" s="140" t="s">
        <v>2129</v>
      </c>
      <c r="H325" s="139" t="s">
        <v>2133</v>
      </c>
      <c r="I325" s="140" t="s">
        <v>421</v>
      </c>
      <c r="J325" s="139" t="s">
        <v>582</v>
      </c>
      <c r="K325" s="139" t="s">
        <v>583</v>
      </c>
      <c r="L325" s="139" t="s">
        <v>583</v>
      </c>
      <c r="M325" s="139" t="s">
        <v>583</v>
      </c>
      <c r="N325" s="139" t="s">
        <v>778</v>
      </c>
      <c r="O325" s="139" t="s">
        <v>1111</v>
      </c>
      <c r="P325" s="139" t="s">
        <v>583</v>
      </c>
      <c r="Q325" s="139" t="s">
        <v>583</v>
      </c>
      <c r="R325" s="140">
        <v>1</v>
      </c>
      <c r="S325" s="140">
        <v>0</v>
      </c>
      <c r="T325" s="140">
        <v>1</v>
      </c>
      <c r="U325" s="140">
        <v>340</v>
      </c>
      <c r="V325" s="139" t="s">
        <v>691</v>
      </c>
      <c r="W325" s="139" t="s">
        <v>692</v>
      </c>
      <c r="X325" s="139" t="s">
        <v>693</v>
      </c>
      <c r="Y325" s="139" t="s">
        <v>694</v>
      </c>
      <c r="Z325" s="139" t="s">
        <v>695</v>
      </c>
      <c r="AA325" s="139" t="s">
        <v>696</v>
      </c>
      <c r="AB325" s="139" t="s">
        <v>691</v>
      </c>
      <c r="AC325" s="139" t="s">
        <v>692</v>
      </c>
      <c r="AD325" s="139" t="s">
        <v>693</v>
      </c>
      <c r="AE325" s="139" t="s">
        <v>694</v>
      </c>
      <c r="AF325" s="139" t="s">
        <v>695</v>
      </c>
      <c r="AG325" s="139" t="s">
        <v>696</v>
      </c>
      <c r="AH325" s="139" t="s">
        <v>751</v>
      </c>
      <c r="AI325" s="139" t="s">
        <v>433</v>
      </c>
      <c r="AJ325" s="140">
        <v>7251789.6600000001</v>
      </c>
      <c r="AK325" s="139" t="s">
        <v>691</v>
      </c>
      <c r="AL325" s="139" t="s">
        <v>692</v>
      </c>
      <c r="AM325" s="139" t="s">
        <v>693</v>
      </c>
      <c r="AN325" s="139" t="s">
        <v>694</v>
      </c>
      <c r="AO325" s="139" t="s">
        <v>695</v>
      </c>
      <c r="AP325" s="139" t="s">
        <v>696</v>
      </c>
      <c r="AQ325" s="139" t="s">
        <v>751</v>
      </c>
      <c r="AR325" s="139" t="s">
        <v>433</v>
      </c>
      <c r="AS325" s="139" t="s">
        <v>433</v>
      </c>
      <c r="AT325" s="139" t="s">
        <v>593</v>
      </c>
      <c r="AU325" s="139" t="s">
        <v>437</v>
      </c>
      <c r="AV325" s="140">
        <v>2</v>
      </c>
      <c r="AW325" s="139" t="s">
        <v>594</v>
      </c>
      <c r="AX325" s="139" t="s">
        <v>653</v>
      </c>
      <c r="AY325" s="139" t="s">
        <v>780</v>
      </c>
      <c r="AZ325" s="140">
        <v>1</v>
      </c>
      <c r="BA325" s="139" t="s">
        <v>597</v>
      </c>
      <c r="BB325" s="140">
        <v>97648</v>
      </c>
      <c r="BC325" s="140">
        <v>7251790</v>
      </c>
      <c r="BD325" s="140">
        <v>105612.07</v>
      </c>
      <c r="BE325" s="140">
        <v>74.264600000000002</v>
      </c>
      <c r="BF325" s="139" t="s">
        <v>880</v>
      </c>
      <c r="BG325" s="139" t="s">
        <v>735</v>
      </c>
      <c r="BH325" s="139" t="s">
        <v>1112</v>
      </c>
      <c r="BI325" s="139" t="s">
        <v>598</v>
      </c>
      <c r="BJ325" s="139" t="s">
        <v>624</v>
      </c>
      <c r="BK325" s="139" t="s">
        <v>2134</v>
      </c>
      <c r="BL325" s="139" t="s">
        <v>583</v>
      </c>
      <c r="BM325" s="139" t="s">
        <v>583</v>
      </c>
      <c r="BN325" s="139" t="s">
        <v>2135</v>
      </c>
      <c r="BO325" s="139" t="s">
        <v>1919</v>
      </c>
      <c r="BP325" s="139" t="s">
        <v>1920</v>
      </c>
      <c r="BQ325" s="139" t="s">
        <v>1921</v>
      </c>
      <c r="BR325" s="140">
        <v>1</v>
      </c>
      <c r="BS325" s="139" t="s">
        <v>1478</v>
      </c>
      <c r="BT325" s="99">
        <f t="shared" si="19"/>
        <v>0</v>
      </c>
      <c r="BU325" s="99">
        <f t="shared" si="19"/>
        <v>0</v>
      </c>
      <c r="BV325" s="99">
        <f t="shared" si="20"/>
        <v>0</v>
      </c>
      <c r="BW325" s="139" t="s">
        <v>1479</v>
      </c>
      <c r="BX325" s="139" t="s">
        <v>778</v>
      </c>
      <c r="BY325" s="140">
        <v>340</v>
      </c>
      <c r="BZ325" s="140">
        <v>0</v>
      </c>
      <c r="CA325" s="99">
        <v>68000</v>
      </c>
      <c r="CB325" s="140" t="s">
        <v>603</v>
      </c>
      <c r="CC325" s="140">
        <v>0</v>
      </c>
      <c r="CD325" s="140"/>
      <c r="CE325" s="139" t="s">
        <v>577</v>
      </c>
      <c r="CF325" s="139" t="s">
        <v>604</v>
      </c>
      <c r="CG325" s="139" t="s">
        <v>583</v>
      </c>
      <c r="CH325" s="139" t="s">
        <v>583</v>
      </c>
      <c r="CI325" s="139" t="s">
        <v>751</v>
      </c>
      <c r="CJ325" s="140">
        <v>7140</v>
      </c>
      <c r="CK325" s="140" t="s">
        <v>605</v>
      </c>
      <c r="CL325" s="140">
        <v>4000000</v>
      </c>
      <c r="CM325" s="99">
        <v>6800</v>
      </c>
      <c r="CN325" s="140">
        <v>0</v>
      </c>
      <c r="CO325" s="139" t="s">
        <v>583</v>
      </c>
      <c r="CP325" s="139" t="s">
        <v>583</v>
      </c>
      <c r="CQ325" s="140">
        <v>97648</v>
      </c>
      <c r="CR325" s="140">
        <v>7251790</v>
      </c>
      <c r="CS325" s="140">
        <v>0</v>
      </c>
      <c r="CT325" s="140">
        <v>1</v>
      </c>
      <c r="CU325" s="140">
        <v>7251789.6600000001</v>
      </c>
      <c r="CV325" s="99">
        <v>105612.07</v>
      </c>
      <c r="CW325" s="139" t="s">
        <v>606</v>
      </c>
      <c r="CX325" s="140">
        <v>15.5312</v>
      </c>
      <c r="CY325" s="140">
        <v>933</v>
      </c>
      <c r="CZ325" s="140" t="s">
        <v>894</v>
      </c>
      <c r="DA325" s="140" t="s">
        <v>1480</v>
      </c>
      <c r="DB325" s="140">
        <v>89</v>
      </c>
      <c r="DC325" s="140"/>
    </row>
    <row r="326" spans="2:107" ht="11.25" customHeight="1" x14ac:dyDescent="0.15">
      <c r="B326" s="139" t="s">
        <v>577</v>
      </c>
      <c r="C326" s="140" t="s">
        <v>2136</v>
      </c>
      <c r="D326" s="140">
        <v>1</v>
      </c>
      <c r="E326" s="139" t="s">
        <v>2137</v>
      </c>
      <c r="F326" s="139" t="s">
        <v>580</v>
      </c>
      <c r="G326" s="140" t="s">
        <v>2136</v>
      </c>
      <c r="H326" s="139" t="s">
        <v>2138</v>
      </c>
      <c r="I326" s="140" t="s">
        <v>421</v>
      </c>
      <c r="J326" s="139" t="s">
        <v>582</v>
      </c>
      <c r="K326" s="139" t="s">
        <v>583</v>
      </c>
      <c r="L326" s="139" t="s">
        <v>583</v>
      </c>
      <c r="M326" s="139" t="s">
        <v>583</v>
      </c>
      <c r="N326" s="139" t="s">
        <v>731</v>
      </c>
      <c r="O326" s="139" t="s">
        <v>1099</v>
      </c>
      <c r="P326" s="139" t="s">
        <v>583</v>
      </c>
      <c r="Q326" s="139" t="s">
        <v>583</v>
      </c>
      <c r="R326" s="140">
        <v>1</v>
      </c>
      <c r="S326" s="140">
        <v>0</v>
      </c>
      <c r="T326" s="140">
        <v>1</v>
      </c>
      <c r="U326" s="140">
        <v>477</v>
      </c>
      <c r="V326" s="139" t="s">
        <v>586</v>
      </c>
      <c r="W326" s="139" t="s">
        <v>587</v>
      </c>
      <c r="X326" s="139" t="s">
        <v>588</v>
      </c>
      <c r="Y326" s="139" t="s">
        <v>589</v>
      </c>
      <c r="Z326" s="139" t="s">
        <v>590</v>
      </c>
      <c r="AA326" s="139" t="s">
        <v>591</v>
      </c>
      <c r="AB326" s="139" t="s">
        <v>586</v>
      </c>
      <c r="AC326" s="139" t="s">
        <v>587</v>
      </c>
      <c r="AD326" s="139" t="s">
        <v>588</v>
      </c>
      <c r="AE326" s="139" t="s">
        <v>589</v>
      </c>
      <c r="AF326" s="139" t="s">
        <v>590</v>
      </c>
      <c r="AG326" s="139" t="s">
        <v>591</v>
      </c>
      <c r="AH326" s="139" t="s">
        <v>733</v>
      </c>
      <c r="AI326" s="139" t="s">
        <v>432</v>
      </c>
      <c r="AJ326" s="140">
        <v>12846848.289999999</v>
      </c>
      <c r="AK326" s="139" t="s">
        <v>586</v>
      </c>
      <c r="AL326" s="139" t="s">
        <v>587</v>
      </c>
      <c r="AM326" s="139" t="s">
        <v>588</v>
      </c>
      <c r="AN326" s="139" t="s">
        <v>589</v>
      </c>
      <c r="AO326" s="139" t="s">
        <v>590</v>
      </c>
      <c r="AP326" s="139" t="s">
        <v>591</v>
      </c>
      <c r="AQ326" s="139" t="s">
        <v>733</v>
      </c>
      <c r="AR326" s="139" t="s">
        <v>432</v>
      </c>
      <c r="AS326" s="139" t="s">
        <v>432</v>
      </c>
      <c r="AT326" s="139" t="s">
        <v>593</v>
      </c>
      <c r="AU326" s="139" t="s">
        <v>437</v>
      </c>
      <c r="AV326" s="140">
        <v>2</v>
      </c>
      <c r="AW326" s="139" t="s">
        <v>594</v>
      </c>
      <c r="AX326" s="139" t="s">
        <v>653</v>
      </c>
      <c r="AY326" s="139" t="s">
        <v>850</v>
      </c>
      <c r="AZ326" s="140">
        <v>1</v>
      </c>
      <c r="BA326" s="139" t="s">
        <v>597</v>
      </c>
      <c r="BB326" s="140">
        <v>176490</v>
      </c>
      <c r="BC326" s="140">
        <v>12846848</v>
      </c>
      <c r="BD326" s="140">
        <v>189544.44</v>
      </c>
      <c r="BE326" s="140">
        <v>72.790800000000004</v>
      </c>
      <c r="BF326" s="139" t="s">
        <v>880</v>
      </c>
      <c r="BG326" s="139" t="s">
        <v>583</v>
      </c>
      <c r="BH326" s="139" t="s">
        <v>987</v>
      </c>
      <c r="BI326" s="139" t="s">
        <v>598</v>
      </c>
      <c r="BJ326" s="139" t="s">
        <v>1100</v>
      </c>
      <c r="BK326" s="139" t="s">
        <v>1101</v>
      </c>
      <c r="BL326" s="139" t="s">
        <v>1101</v>
      </c>
      <c r="BM326" s="139" t="s">
        <v>583</v>
      </c>
      <c r="BN326" s="139" t="s">
        <v>1102</v>
      </c>
      <c r="BO326" s="139" t="s">
        <v>1103</v>
      </c>
      <c r="BP326" s="139" t="s">
        <v>1686</v>
      </c>
      <c r="BQ326" s="139" t="s">
        <v>600</v>
      </c>
      <c r="BR326" s="140">
        <v>1</v>
      </c>
      <c r="BS326" s="139" t="s">
        <v>988</v>
      </c>
      <c r="BT326" s="99">
        <f t="shared" si="19"/>
        <v>0</v>
      </c>
      <c r="BU326" s="99">
        <f t="shared" si="19"/>
        <v>1</v>
      </c>
      <c r="BV326" s="99">
        <f t="shared" si="20"/>
        <v>1</v>
      </c>
      <c r="BW326" s="139" t="s">
        <v>602</v>
      </c>
      <c r="BX326" s="139" t="s">
        <v>731</v>
      </c>
      <c r="BY326" s="140">
        <v>477</v>
      </c>
      <c r="BZ326" s="140">
        <v>0</v>
      </c>
      <c r="CA326" s="99">
        <v>95400</v>
      </c>
      <c r="CB326" s="140" t="s">
        <v>603</v>
      </c>
      <c r="CC326" s="140">
        <v>0</v>
      </c>
      <c r="CD326" s="140"/>
      <c r="CE326" s="139" t="s">
        <v>577</v>
      </c>
      <c r="CF326" s="139" t="s">
        <v>604</v>
      </c>
      <c r="CG326" s="139" t="s">
        <v>583</v>
      </c>
      <c r="CH326" s="139" t="s">
        <v>583</v>
      </c>
      <c r="CI326" s="139" t="s">
        <v>733</v>
      </c>
      <c r="CJ326" s="140">
        <v>10494</v>
      </c>
      <c r="CK326" s="140" t="s">
        <v>605</v>
      </c>
      <c r="CL326" s="140">
        <v>4000000</v>
      </c>
      <c r="CM326" s="99">
        <v>9540</v>
      </c>
      <c r="CN326" s="140">
        <v>0</v>
      </c>
      <c r="CO326" s="139" t="s">
        <v>583</v>
      </c>
      <c r="CP326" s="139" t="s">
        <v>583</v>
      </c>
      <c r="CQ326" s="140">
        <v>176490</v>
      </c>
      <c r="CR326" s="140">
        <v>12846848</v>
      </c>
      <c r="CS326" s="140">
        <v>0</v>
      </c>
      <c r="CT326" s="140">
        <v>1</v>
      </c>
      <c r="CU326" s="140">
        <v>12846848.289999999</v>
      </c>
      <c r="CV326" s="99">
        <v>189544.44</v>
      </c>
      <c r="CW326" s="139" t="s">
        <v>606</v>
      </c>
      <c r="CX326" s="140">
        <v>19.868400000000001</v>
      </c>
      <c r="CY326" s="140"/>
      <c r="CZ326" s="140"/>
      <c r="DA326" s="140" t="s">
        <v>856</v>
      </c>
      <c r="DB326" s="140">
        <v>1210</v>
      </c>
      <c r="DC326" s="140"/>
    </row>
    <row r="327" spans="2:107" ht="11.25" customHeight="1" x14ac:dyDescent="0.15">
      <c r="B327" s="139" t="s">
        <v>577</v>
      </c>
      <c r="C327" s="140" t="s">
        <v>2139</v>
      </c>
      <c r="D327" s="140">
        <v>1</v>
      </c>
      <c r="E327" s="139" t="s">
        <v>2140</v>
      </c>
      <c r="F327" s="139" t="s">
        <v>580</v>
      </c>
      <c r="G327" s="140" t="s">
        <v>2139</v>
      </c>
      <c r="H327" s="139" t="s">
        <v>2141</v>
      </c>
      <c r="I327" s="140" t="s">
        <v>421</v>
      </c>
      <c r="J327" s="139" t="s">
        <v>582</v>
      </c>
      <c r="K327" s="139" t="s">
        <v>583</v>
      </c>
      <c r="L327" s="139" t="s">
        <v>583</v>
      </c>
      <c r="M327" s="139" t="s">
        <v>583</v>
      </c>
      <c r="N327" s="139" t="s">
        <v>444</v>
      </c>
      <c r="O327" s="139" t="s">
        <v>2142</v>
      </c>
      <c r="P327" s="139" t="s">
        <v>583</v>
      </c>
      <c r="Q327" s="139" t="s">
        <v>583</v>
      </c>
      <c r="R327" s="140">
        <v>1</v>
      </c>
      <c r="S327" s="140">
        <v>0</v>
      </c>
      <c r="T327" s="140">
        <v>1</v>
      </c>
      <c r="U327" s="140">
        <v>335</v>
      </c>
      <c r="V327" s="139" t="s">
        <v>586</v>
      </c>
      <c r="W327" s="139" t="s">
        <v>587</v>
      </c>
      <c r="X327" s="139" t="s">
        <v>588</v>
      </c>
      <c r="Y327" s="139" t="s">
        <v>589</v>
      </c>
      <c r="Z327" s="139" t="s">
        <v>590</v>
      </c>
      <c r="AA327" s="139" t="s">
        <v>591</v>
      </c>
      <c r="AB327" s="139" t="s">
        <v>586</v>
      </c>
      <c r="AC327" s="139" t="s">
        <v>587</v>
      </c>
      <c r="AD327" s="139" t="s">
        <v>588</v>
      </c>
      <c r="AE327" s="139" t="s">
        <v>589</v>
      </c>
      <c r="AF327" s="139" t="s">
        <v>590</v>
      </c>
      <c r="AG327" s="139" t="s">
        <v>591</v>
      </c>
      <c r="AH327" s="139" t="s">
        <v>751</v>
      </c>
      <c r="AI327" s="139" t="s">
        <v>433</v>
      </c>
      <c r="AJ327" s="140">
        <v>7699033.9900000002</v>
      </c>
      <c r="AK327" s="139" t="s">
        <v>586</v>
      </c>
      <c r="AL327" s="139" t="s">
        <v>587</v>
      </c>
      <c r="AM327" s="139" t="s">
        <v>588</v>
      </c>
      <c r="AN327" s="139" t="s">
        <v>589</v>
      </c>
      <c r="AO327" s="139" t="s">
        <v>590</v>
      </c>
      <c r="AP327" s="139" t="s">
        <v>591</v>
      </c>
      <c r="AQ327" s="139" t="s">
        <v>751</v>
      </c>
      <c r="AR327" s="139" t="s">
        <v>433</v>
      </c>
      <c r="AS327" s="139" t="s">
        <v>433</v>
      </c>
      <c r="AT327" s="139" t="s">
        <v>593</v>
      </c>
      <c r="AU327" s="139" t="s">
        <v>437</v>
      </c>
      <c r="AV327" s="140">
        <v>2</v>
      </c>
      <c r="AW327" s="139" t="s">
        <v>594</v>
      </c>
      <c r="AX327" s="139" t="s">
        <v>653</v>
      </c>
      <c r="AY327" s="139" t="s">
        <v>850</v>
      </c>
      <c r="AZ327" s="140">
        <v>1</v>
      </c>
      <c r="BA327" s="139" t="s">
        <v>597</v>
      </c>
      <c r="BB327" s="140">
        <v>103850</v>
      </c>
      <c r="BC327" s="140">
        <v>7699034</v>
      </c>
      <c r="BD327" s="140">
        <v>111547.55</v>
      </c>
      <c r="BE327" s="140">
        <v>74.136099999999999</v>
      </c>
      <c r="BF327" s="139" t="s">
        <v>880</v>
      </c>
      <c r="BG327" s="139" t="s">
        <v>583</v>
      </c>
      <c r="BH327" s="139" t="s">
        <v>2143</v>
      </c>
      <c r="BI327" s="139" t="s">
        <v>598</v>
      </c>
      <c r="BJ327" s="139" t="s">
        <v>599</v>
      </c>
      <c r="BK327" s="139" t="s">
        <v>1101</v>
      </c>
      <c r="BL327" s="139" t="s">
        <v>1101</v>
      </c>
      <c r="BM327" s="139" t="s">
        <v>583</v>
      </c>
      <c r="BN327" s="139" t="s">
        <v>1102</v>
      </c>
      <c r="BO327" s="139" t="s">
        <v>850</v>
      </c>
      <c r="BP327" s="139" t="s">
        <v>1686</v>
      </c>
      <c r="BQ327" s="139" t="s">
        <v>600</v>
      </c>
      <c r="BR327" s="140">
        <v>1</v>
      </c>
      <c r="BS327" s="139" t="s">
        <v>2144</v>
      </c>
      <c r="BT327" s="99">
        <f t="shared" si="19"/>
        <v>0</v>
      </c>
      <c r="BU327" s="99">
        <f t="shared" si="19"/>
        <v>1</v>
      </c>
      <c r="BV327" s="99">
        <f t="shared" si="20"/>
        <v>1</v>
      </c>
      <c r="BW327" s="139" t="s">
        <v>602</v>
      </c>
      <c r="BX327" s="139" t="s">
        <v>444</v>
      </c>
      <c r="BY327" s="140">
        <v>335</v>
      </c>
      <c r="BZ327" s="140">
        <v>0</v>
      </c>
      <c r="CA327" s="99">
        <v>67000</v>
      </c>
      <c r="CB327" s="140" t="s">
        <v>603</v>
      </c>
      <c r="CC327" s="140">
        <v>0</v>
      </c>
      <c r="CD327" s="140"/>
      <c r="CE327" s="139" t="s">
        <v>577</v>
      </c>
      <c r="CF327" s="139" t="s">
        <v>604</v>
      </c>
      <c r="CG327" s="139" t="s">
        <v>583</v>
      </c>
      <c r="CH327" s="139" t="s">
        <v>583</v>
      </c>
      <c r="CI327" s="139" t="s">
        <v>751</v>
      </c>
      <c r="CJ327" s="140">
        <v>7370</v>
      </c>
      <c r="CK327" s="140" t="s">
        <v>605</v>
      </c>
      <c r="CL327" s="140">
        <v>4000000</v>
      </c>
      <c r="CM327" s="99">
        <v>7035</v>
      </c>
      <c r="CN327" s="140">
        <v>0</v>
      </c>
      <c r="CO327" s="139" t="s">
        <v>583</v>
      </c>
      <c r="CP327" s="139" t="s">
        <v>583</v>
      </c>
      <c r="CQ327" s="140">
        <v>103850</v>
      </c>
      <c r="CR327" s="140">
        <v>7699034</v>
      </c>
      <c r="CS327" s="140">
        <v>0</v>
      </c>
      <c r="CT327" s="140">
        <v>1</v>
      </c>
      <c r="CU327" s="140">
        <v>7699033.9900000002</v>
      </c>
      <c r="CV327" s="99">
        <v>111547.55</v>
      </c>
      <c r="CW327" s="139" t="s">
        <v>606</v>
      </c>
      <c r="CX327" s="140">
        <v>15.8561</v>
      </c>
      <c r="CY327" s="140"/>
      <c r="CZ327" s="140"/>
      <c r="DA327" s="140" t="s">
        <v>856</v>
      </c>
      <c r="DB327" s="140">
        <v>1347</v>
      </c>
      <c r="DC327" s="140"/>
    </row>
    <row r="328" spans="2:107" ht="11.25" customHeight="1" x14ac:dyDescent="0.15">
      <c r="B328" s="139" t="s">
        <v>577</v>
      </c>
      <c r="C328" s="140" t="s">
        <v>2145</v>
      </c>
      <c r="D328" s="140">
        <v>1</v>
      </c>
      <c r="E328" s="139" t="s">
        <v>2146</v>
      </c>
      <c r="F328" s="139" t="s">
        <v>618</v>
      </c>
      <c r="G328" s="140" t="s">
        <v>2145</v>
      </c>
      <c r="H328" s="139" t="s">
        <v>2147</v>
      </c>
      <c r="I328" s="140" t="s">
        <v>421</v>
      </c>
      <c r="J328" s="139" t="s">
        <v>582</v>
      </c>
      <c r="K328" s="139" t="s">
        <v>583</v>
      </c>
      <c r="L328" s="139" t="s">
        <v>583</v>
      </c>
      <c r="M328" s="139" t="s">
        <v>583</v>
      </c>
      <c r="N328" s="139" t="s">
        <v>441</v>
      </c>
      <c r="O328" s="139" t="s">
        <v>630</v>
      </c>
      <c r="P328" s="139" t="s">
        <v>583</v>
      </c>
      <c r="Q328" s="139" t="s">
        <v>583</v>
      </c>
      <c r="R328" s="140">
        <v>1</v>
      </c>
      <c r="S328" s="140">
        <v>0</v>
      </c>
      <c r="T328" s="140">
        <v>1</v>
      </c>
      <c r="U328" s="140">
        <v>183</v>
      </c>
      <c r="V328" s="139" t="s">
        <v>709</v>
      </c>
      <c r="W328" s="139" t="s">
        <v>710</v>
      </c>
      <c r="X328" s="139" t="s">
        <v>711</v>
      </c>
      <c r="Y328" s="139" t="s">
        <v>712</v>
      </c>
      <c r="Z328" s="139" t="s">
        <v>713</v>
      </c>
      <c r="AA328" s="139" t="s">
        <v>714</v>
      </c>
      <c r="AB328" s="139" t="s">
        <v>709</v>
      </c>
      <c r="AC328" s="139" t="s">
        <v>710</v>
      </c>
      <c r="AD328" s="139" t="s">
        <v>711</v>
      </c>
      <c r="AE328" s="139" t="s">
        <v>712</v>
      </c>
      <c r="AF328" s="139" t="s">
        <v>713</v>
      </c>
      <c r="AG328" s="139" t="s">
        <v>714</v>
      </c>
      <c r="AH328" s="139" t="s">
        <v>621</v>
      </c>
      <c r="AI328" s="139" t="s">
        <v>430</v>
      </c>
      <c r="AJ328" s="140">
        <v>3900057.07</v>
      </c>
      <c r="AK328" s="139" t="s">
        <v>709</v>
      </c>
      <c r="AL328" s="139" t="s">
        <v>710</v>
      </c>
      <c r="AM328" s="139" t="s">
        <v>711</v>
      </c>
      <c r="AN328" s="139" t="s">
        <v>712</v>
      </c>
      <c r="AO328" s="139" t="s">
        <v>713</v>
      </c>
      <c r="AP328" s="139" t="s">
        <v>714</v>
      </c>
      <c r="AQ328" s="139" t="s">
        <v>621</v>
      </c>
      <c r="AR328" s="139" t="s">
        <v>430</v>
      </c>
      <c r="AS328" s="139" t="s">
        <v>430</v>
      </c>
      <c r="AT328" s="139" t="s">
        <v>593</v>
      </c>
      <c r="AU328" s="139" t="s">
        <v>437</v>
      </c>
      <c r="AV328" s="140">
        <v>0</v>
      </c>
      <c r="AW328" s="139" t="s">
        <v>594</v>
      </c>
      <c r="AX328" s="139" t="s">
        <v>622</v>
      </c>
      <c r="AY328" s="139" t="s">
        <v>623</v>
      </c>
      <c r="AZ328" s="140">
        <v>1</v>
      </c>
      <c r="BA328" s="139" t="s">
        <v>597</v>
      </c>
      <c r="BB328" s="140">
        <v>52319</v>
      </c>
      <c r="BC328" s="140">
        <v>3900057</v>
      </c>
      <c r="BD328" s="140">
        <v>56027.74</v>
      </c>
      <c r="BE328" s="140">
        <v>74.543800000000005</v>
      </c>
      <c r="BF328" s="139" t="s">
        <v>880</v>
      </c>
      <c r="BG328" s="139" t="s">
        <v>582</v>
      </c>
      <c r="BH328" s="139" t="s">
        <v>2148</v>
      </c>
      <c r="BI328" s="139" t="s">
        <v>598</v>
      </c>
      <c r="BJ328" s="139" t="s">
        <v>624</v>
      </c>
      <c r="BK328" s="139" t="s">
        <v>882</v>
      </c>
      <c r="BL328" s="139" t="s">
        <v>583</v>
      </c>
      <c r="BM328" s="139" t="s">
        <v>883</v>
      </c>
      <c r="BN328" s="139" t="s">
        <v>583</v>
      </c>
      <c r="BO328" s="139" t="s">
        <v>623</v>
      </c>
      <c r="BP328" s="139" t="s">
        <v>1692</v>
      </c>
      <c r="BQ328" s="139" t="s">
        <v>625</v>
      </c>
      <c r="BR328" s="140">
        <v>1</v>
      </c>
      <c r="BS328" s="139" t="s">
        <v>715</v>
      </c>
      <c r="BT328" s="99">
        <f t="shared" ref="BT328:BU343" si="21">MIN(1,IFERROR(SEARCH(BT$2,$BS328),0))</f>
        <v>0</v>
      </c>
      <c r="BU328" s="99">
        <f t="shared" si="21"/>
        <v>1</v>
      </c>
      <c r="BV328" s="99">
        <f t="shared" si="20"/>
        <v>1</v>
      </c>
      <c r="BW328" s="139" t="s">
        <v>635</v>
      </c>
      <c r="BX328" s="139" t="s">
        <v>441</v>
      </c>
      <c r="BY328" s="140">
        <v>183</v>
      </c>
      <c r="BZ328" s="140">
        <v>0</v>
      </c>
      <c r="CA328" s="99">
        <v>36600</v>
      </c>
      <c r="CB328" s="140" t="s">
        <v>603</v>
      </c>
      <c r="CC328" s="140">
        <v>0</v>
      </c>
      <c r="CD328" s="140"/>
      <c r="CE328" s="139" t="s">
        <v>577</v>
      </c>
      <c r="CF328" s="139" t="s">
        <v>604</v>
      </c>
      <c r="CG328" s="139" t="s">
        <v>583</v>
      </c>
      <c r="CH328" s="139" t="s">
        <v>583</v>
      </c>
      <c r="CI328" s="139" t="s">
        <v>621</v>
      </c>
      <c r="CJ328" s="140">
        <v>3660</v>
      </c>
      <c r="CK328" s="140" t="s">
        <v>605</v>
      </c>
      <c r="CL328" s="140">
        <v>4000000</v>
      </c>
      <c r="CM328" s="99">
        <v>3294</v>
      </c>
      <c r="CN328" s="140">
        <v>0</v>
      </c>
      <c r="CO328" s="139" t="s">
        <v>583</v>
      </c>
      <c r="CP328" s="139" t="s">
        <v>583</v>
      </c>
      <c r="CQ328" s="140">
        <v>52319</v>
      </c>
      <c r="CR328" s="140">
        <v>3900057</v>
      </c>
      <c r="CS328" s="140">
        <v>0</v>
      </c>
      <c r="CT328" s="140">
        <v>1</v>
      </c>
      <c r="CU328" s="140">
        <v>3900057.07</v>
      </c>
      <c r="CV328" s="99">
        <v>56027.74</v>
      </c>
      <c r="CW328" s="139" t="s">
        <v>606</v>
      </c>
      <c r="CX328" s="140">
        <v>17.009</v>
      </c>
      <c r="CY328" s="140"/>
      <c r="CZ328" s="140"/>
      <c r="DA328" s="140" t="s">
        <v>886</v>
      </c>
      <c r="DB328" s="140">
        <v>1147</v>
      </c>
      <c r="DC328" s="140"/>
    </row>
    <row r="329" spans="2:107" ht="11.25" customHeight="1" x14ac:dyDescent="0.15">
      <c r="B329" s="139" t="s">
        <v>577</v>
      </c>
      <c r="C329" s="140" t="s">
        <v>2145</v>
      </c>
      <c r="D329" s="140">
        <v>1</v>
      </c>
      <c r="E329" s="139" t="s">
        <v>2149</v>
      </c>
      <c r="F329" s="139" t="s">
        <v>618</v>
      </c>
      <c r="G329" s="140" t="s">
        <v>2145</v>
      </c>
      <c r="H329" s="139" t="s">
        <v>2150</v>
      </c>
      <c r="I329" s="140" t="s">
        <v>421</v>
      </c>
      <c r="J329" s="139" t="s">
        <v>582</v>
      </c>
      <c r="K329" s="139" t="s">
        <v>583</v>
      </c>
      <c r="L329" s="139" t="s">
        <v>583</v>
      </c>
      <c r="M329" s="139" t="s">
        <v>583</v>
      </c>
      <c r="N329" s="139" t="s">
        <v>441</v>
      </c>
      <c r="O329" s="139" t="s">
        <v>2151</v>
      </c>
      <c r="P329" s="139" t="s">
        <v>583</v>
      </c>
      <c r="Q329" s="139" t="s">
        <v>583</v>
      </c>
      <c r="R329" s="140">
        <v>1</v>
      </c>
      <c r="S329" s="140">
        <v>0</v>
      </c>
      <c r="T329" s="140">
        <v>1</v>
      </c>
      <c r="U329" s="140">
        <v>356</v>
      </c>
      <c r="V329" s="139" t="s">
        <v>691</v>
      </c>
      <c r="W329" s="139" t="s">
        <v>692</v>
      </c>
      <c r="X329" s="139" t="s">
        <v>693</v>
      </c>
      <c r="Y329" s="139" t="s">
        <v>694</v>
      </c>
      <c r="Z329" s="139" t="s">
        <v>695</v>
      </c>
      <c r="AA329" s="139" t="s">
        <v>696</v>
      </c>
      <c r="AB329" s="139" t="s">
        <v>691</v>
      </c>
      <c r="AC329" s="139" t="s">
        <v>692</v>
      </c>
      <c r="AD329" s="139" t="s">
        <v>693</v>
      </c>
      <c r="AE329" s="139" t="s">
        <v>694</v>
      </c>
      <c r="AF329" s="139" t="s">
        <v>695</v>
      </c>
      <c r="AG329" s="139" t="s">
        <v>696</v>
      </c>
      <c r="AH329" s="139" t="s">
        <v>621</v>
      </c>
      <c r="AI329" s="139" t="s">
        <v>430</v>
      </c>
      <c r="AJ329" s="140">
        <v>8385879.3200000003</v>
      </c>
      <c r="AK329" s="139" t="s">
        <v>691</v>
      </c>
      <c r="AL329" s="139" t="s">
        <v>692</v>
      </c>
      <c r="AM329" s="139" t="s">
        <v>693</v>
      </c>
      <c r="AN329" s="139" t="s">
        <v>694</v>
      </c>
      <c r="AO329" s="139" t="s">
        <v>695</v>
      </c>
      <c r="AP329" s="139" t="s">
        <v>696</v>
      </c>
      <c r="AQ329" s="139" t="s">
        <v>621</v>
      </c>
      <c r="AR329" s="139" t="s">
        <v>430</v>
      </c>
      <c r="AS329" s="139" t="s">
        <v>430</v>
      </c>
      <c r="AT329" s="139" t="s">
        <v>593</v>
      </c>
      <c r="AU329" s="139" t="s">
        <v>437</v>
      </c>
      <c r="AV329" s="140">
        <v>0</v>
      </c>
      <c r="AW329" s="139" t="s">
        <v>594</v>
      </c>
      <c r="AX329" s="139" t="s">
        <v>622</v>
      </c>
      <c r="AY329" s="139" t="s">
        <v>623</v>
      </c>
      <c r="AZ329" s="140">
        <v>1</v>
      </c>
      <c r="BA329" s="139" t="s">
        <v>597</v>
      </c>
      <c r="BB329" s="140">
        <v>112496</v>
      </c>
      <c r="BC329" s="140">
        <v>8385879</v>
      </c>
      <c r="BD329" s="140">
        <v>120470.5</v>
      </c>
      <c r="BE329" s="140">
        <v>74.543800000000005</v>
      </c>
      <c r="BF329" s="139" t="s">
        <v>880</v>
      </c>
      <c r="BG329" s="139" t="s">
        <v>582</v>
      </c>
      <c r="BH329" s="139" t="s">
        <v>1018</v>
      </c>
      <c r="BI329" s="139" t="s">
        <v>598</v>
      </c>
      <c r="BJ329" s="139" t="s">
        <v>624</v>
      </c>
      <c r="BK329" s="139" t="s">
        <v>882</v>
      </c>
      <c r="BL329" s="139" t="s">
        <v>583</v>
      </c>
      <c r="BM329" s="139" t="s">
        <v>1019</v>
      </c>
      <c r="BN329" s="139" t="s">
        <v>1475</v>
      </c>
      <c r="BO329" s="139" t="s">
        <v>2152</v>
      </c>
      <c r="BP329" s="139" t="s">
        <v>1581</v>
      </c>
      <c r="BQ329" s="139" t="s">
        <v>625</v>
      </c>
      <c r="BR329" s="140">
        <v>1</v>
      </c>
      <c r="BS329" s="139" t="s">
        <v>1478</v>
      </c>
      <c r="BT329" s="99">
        <f t="shared" si="21"/>
        <v>0</v>
      </c>
      <c r="BU329" s="99">
        <f t="shared" si="21"/>
        <v>0</v>
      </c>
      <c r="BV329" s="99">
        <f t="shared" si="20"/>
        <v>0</v>
      </c>
      <c r="BW329" s="139" t="s">
        <v>446</v>
      </c>
      <c r="BX329" s="139" t="s">
        <v>441</v>
      </c>
      <c r="BY329" s="140">
        <v>356</v>
      </c>
      <c r="BZ329" s="140">
        <v>0</v>
      </c>
      <c r="CA329" s="99">
        <v>71200</v>
      </c>
      <c r="CB329" s="140" t="s">
        <v>603</v>
      </c>
      <c r="CC329" s="140">
        <v>0</v>
      </c>
      <c r="CD329" s="140"/>
      <c r="CE329" s="139" t="s">
        <v>577</v>
      </c>
      <c r="CF329" s="139" t="s">
        <v>604</v>
      </c>
      <c r="CG329" s="139" t="s">
        <v>583</v>
      </c>
      <c r="CH329" s="139" t="s">
        <v>583</v>
      </c>
      <c r="CI329" s="139" t="s">
        <v>621</v>
      </c>
      <c r="CJ329" s="140">
        <v>7120</v>
      </c>
      <c r="CK329" s="140" t="s">
        <v>605</v>
      </c>
      <c r="CL329" s="140">
        <v>4000000</v>
      </c>
      <c r="CM329" s="99">
        <v>6408</v>
      </c>
      <c r="CN329" s="140">
        <v>0</v>
      </c>
      <c r="CO329" s="139" t="s">
        <v>583</v>
      </c>
      <c r="CP329" s="139" t="s">
        <v>583</v>
      </c>
      <c r="CQ329" s="140">
        <v>112496</v>
      </c>
      <c r="CR329" s="140">
        <v>8385879</v>
      </c>
      <c r="CS329" s="140">
        <v>0</v>
      </c>
      <c r="CT329" s="140">
        <v>1</v>
      </c>
      <c r="CU329" s="140">
        <v>8385879.3200000003</v>
      </c>
      <c r="CV329" s="99">
        <v>120470.5</v>
      </c>
      <c r="CW329" s="139" t="s">
        <v>606</v>
      </c>
      <c r="CX329" s="140">
        <v>18.8</v>
      </c>
      <c r="CY329" s="140">
        <v>933</v>
      </c>
      <c r="CZ329" s="140" t="s">
        <v>894</v>
      </c>
      <c r="DA329" s="140" t="s">
        <v>1480</v>
      </c>
      <c r="DB329" s="140">
        <v>1196</v>
      </c>
      <c r="DC329" s="140"/>
    </row>
    <row r="330" spans="2:107" ht="11.25" customHeight="1" x14ac:dyDescent="0.15">
      <c r="B330" s="139" t="s">
        <v>577</v>
      </c>
      <c r="C330" s="140" t="s">
        <v>2153</v>
      </c>
      <c r="D330" s="140">
        <v>1</v>
      </c>
      <c r="E330" s="139" t="s">
        <v>2154</v>
      </c>
      <c r="F330" s="139" t="s">
        <v>580</v>
      </c>
      <c r="G330" s="140" t="s">
        <v>2153</v>
      </c>
      <c r="H330" s="139" t="s">
        <v>2155</v>
      </c>
      <c r="I330" s="140" t="s">
        <v>421</v>
      </c>
      <c r="J330" s="139" t="s">
        <v>582</v>
      </c>
      <c r="K330" s="139" t="s">
        <v>583</v>
      </c>
      <c r="L330" s="139" t="s">
        <v>583</v>
      </c>
      <c r="M330" s="139" t="s">
        <v>583</v>
      </c>
      <c r="N330" s="139" t="s">
        <v>731</v>
      </c>
      <c r="O330" s="139" t="s">
        <v>1099</v>
      </c>
      <c r="P330" s="139" t="s">
        <v>583</v>
      </c>
      <c r="Q330" s="139" t="s">
        <v>583</v>
      </c>
      <c r="R330" s="140">
        <v>1</v>
      </c>
      <c r="S330" s="140">
        <v>0</v>
      </c>
      <c r="T330" s="140">
        <v>1</v>
      </c>
      <c r="U330" s="140">
        <v>579</v>
      </c>
      <c r="V330" s="139" t="s">
        <v>586</v>
      </c>
      <c r="W330" s="139" t="s">
        <v>587</v>
      </c>
      <c r="X330" s="139" t="s">
        <v>588</v>
      </c>
      <c r="Y330" s="139" t="s">
        <v>589</v>
      </c>
      <c r="Z330" s="139" t="s">
        <v>590</v>
      </c>
      <c r="AA330" s="139" t="s">
        <v>591</v>
      </c>
      <c r="AB330" s="139" t="s">
        <v>586</v>
      </c>
      <c r="AC330" s="139" t="s">
        <v>587</v>
      </c>
      <c r="AD330" s="139" t="s">
        <v>588</v>
      </c>
      <c r="AE330" s="139" t="s">
        <v>589</v>
      </c>
      <c r="AF330" s="139" t="s">
        <v>590</v>
      </c>
      <c r="AG330" s="139" t="s">
        <v>591</v>
      </c>
      <c r="AH330" s="139" t="s">
        <v>733</v>
      </c>
      <c r="AI330" s="139" t="s">
        <v>432</v>
      </c>
      <c r="AJ330" s="140">
        <v>16084067.060000001</v>
      </c>
      <c r="AK330" s="139" t="s">
        <v>586</v>
      </c>
      <c r="AL330" s="139" t="s">
        <v>587</v>
      </c>
      <c r="AM330" s="139" t="s">
        <v>588</v>
      </c>
      <c r="AN330" s="139" t="s">
        <v>589</v>
      </c>
      <c r="AO330" s="139" t="s">
        <v>590</v>
      </c>
      <c r="AP330" s="139" t="s">
        <v>591</v>
      </c>
      <c r="AQ330" s="139" t="s">
        <v>733</v>
      </c>
      <c r="AR330" s="139" t="s">
        <v>432</v>
      </c>
      <c r="AS330" s="139" t="s">
        <v>432</v>
      </c>
      <c r="AT330" s="139" t="s">
        <v>593</v>
      </c>
      <c r="AU330" s="139" t="s">
        <v>437</v>
      </c>
      <c r="AV330" s="140">
        <v>2</v>
      </c>
      <c r="AW330" s="139" t="s">
        <v>594</v>
      </c>
      <c r="AX330" s="139" t="s">
        <v>653</v>
      </c>
      <c r="AY330" s="139" t="s">
        <v>850</v>
      </c>
      <c r="AZ330" s="140">
        <v>1</v>
      </c>
      <c r="BA330" s="139" t="s">
        <v>597</v>
      </c>
      <c r="BB330" s="140">
        <v>214230</v>
      </c>
      <c r="BC330" s="140">
        <v>16084067</v>
      </c>
      <c r="BD330" s="140">
        <v>228791.2</v>
      </c>
      <c r="BE330" s="140">
        <v>75.078500000000005</v>
      </c>
      <c r="BF330" s="139" t="s">
        <v>880</v>
      </c>
      <c r="BG330" s="139" t="s">
        <v>583</v>
      </c>
      <c r="BH330" s="139" t="s">
        <v>987</v>
      </c>
      <c r="BI330" s="139" t="s">
        <v>598</v>
      </c>
      <c r="BJ330" s="139" t="s">
        <v>1100</v>
      </c>
      <c r="BK330" s="139" t="s">
        <v>1101</v>
      </c>
      <c r="BL330" s="139" t="s">
        <v>1101</v>
      </c>
      <c r="BM330" s="139" t="s">
        <v>583</v>
      </c>
      <c r="BN330" s="139" t="s">
        <v>1102</v>
      </c>
      <c r="BO330" s="139" t="s">
        <v>1103</v>
      </c>
      <c r="BP330" s="139" t="s">
        <v>1686</v>
      </c>
      <c r="BQ330" s="139" t="s">
        <v>600</v>
      </c>
      <c r="BR330" s="140">
        <v>1</v>
      </c>
      <c r="BS330" s="139" t="s">
        <v>988</v>
      </c>
      <c r="BT330" s="99">
        <f t="shared" si="21"/>
        <v>0</v>
      </c>
      <c r="BU330" s="99">
        <f t="shared" si="21"/>
        <v>1</v>
      </c>
      <c r="BV330" s="99">
        <f t="shared" si="20"/>
        <v>1</v>
      </c>
      <c r="BW330" s="139" t="s">
        <v>602</v>
      </c>
      <c r="BX330" s="139" t="s">
        <v>731</v>
      </c>
      <c r="BY330" s="140">
        <v>579</v>
      </c>
      <c r="BZ330" s="140">
        <v>0</v>
      </c>
      <c r="CA330" s="99">
        <v>115800</v>
      </c>
      <c r="CB330" s="140" t="s">
        <v>603</v>
      </c>
      <c r="CC330" s="140">
        <v>0</v>
      </c>
      <c r="CD330" s="140"/>
      <c r="CE330" s="139" t="s">
        <v>577</v>
      </c>
      <c r="CF330" s="139" t="s">
        <v>604</v>
      </c>
      <c r="CG330" s="139" t="s">
        <v>583</v>
      </c>
      <c r="CH330" s="139" t="s">
        <v>583</v>
      </c>
      <c r="CI330" s="139" t="s">
        <v>733</v>
      </c>
      <c r="CJ330" s="140">
        <v>12738</v>
      </c>
      <c r="CK330" s="140" t="s">
        <v>605</v>
      </c>
      <c r="CL330" s="140">
        <v>4000000</v>
      </c>
      <c r="CM330" s="99">
        <v>11580</v>
      </c>
      <c r="CN330" s="140">
        <v>0</v>
      </c>
      <c r="CO330" s="139" t="s">
        <v>583</v>
      </c>
      <c r="CP330" s="139" t="s">
        <v>583</v>
      </c>
      <c r="CQ330" s="140">
        <v>214230</v>
      </c>
      <c r="CR330" s="140">
        <v>16084067</v>
      </c>
      <c r="CS330" s="140">
        <v>0</v>
      </c>
      <c r="CT330" s="140">
        <v>1</v>
      </c>
      <c r="CU330" s="140">
        <v>16084067.060000001</v>
      </c>
      <c r="CV330" s="99">
        <v>228791.2</v>
      </c>
      <c r="CW330" s="139" t="s">
        <v>606</v>
      </c>
      <c r="CX330" s="140">
        <v>19.757400000000001</v>
      </c>
      <c r="CY330" s="140"/>
      <c r="CZ330" s="140"/>
      <c r="DA330" s="140" t="s">
        <v>856</v>
      </c>
      <c r="DB330" s="140">
        <v>1616</v>
      </c>
      <c r="DC330" s="140"/>
    </row>
    <row r="331" spans="2:107" ht="11.25" customHeight="1" x14ac:dyDescent="0.15">
      <c r="B331" s="139" t="s">
        <v>577</v>
      </c>
      <c r="C331" s="140" t="s">
        <v>2156</v>
      </c>
      <c r="D331" s="140">
        <v>1</v>
      </c>
      <c r="E331" s="139" t="s">
        <v>2157</v>
      </c>
      <c r="F331" s="139" t="s">
        <v>718</v>
      </c>
      <c r="G331" s="140" t="s">
        <v>2156</v>
      </c>
      <c r="H331" s="139" t="s">
        <v>2158</v>
      </c>
      <c r="I331" s="140" t="s">
        <v>421</v>
      </c>
      <c r="J331" s="139" t="s">
        <v>582</v>
      </c>
      <c r="K331" s="139" t="s">
        <v>583</v>
      </c>
      <c r="L331" s="139" t="s">
        <v>583</v>
      </c>
      <c r="M331" s="139" t="s">
        <v>583</v>
      </c>
      <c r="N331" s="139" t="s">
        <v>720</v>
      </c>
      <c r="O331" s="139" t="s">
        <v>721</v>
      </c>
      <c r="P331" s="139" t="s">
        <v>583</v>
      </c>
      <c r="Q331" s="139" t="s">
        <v>583</v>
      </c>
      <c r="R331" s="140">
        <v>1</v>
      </c>
      <c r="S331" s="140"/>
      <c r="T331" s="140">
        <v>1</v>
      </c>
      <c r="U331" s="140">
        <v>130</v>
      </c>
      <c r="V331" s="139" t="s">
        <v>662</v>
      </c>
      <c r="W331" s="139" t="s">
        <v>663</v>
      </c>
      <c r="X331" s="139" t="s">
        <v>664</v>
      </c>
      <c r="Y331" s="139" t="s">
        <v>665</v>
      </c>
      <c r="Z331" s="139" t="s">
        <v>666</v>
      </c>
      <c r="AA331" s="139" t="s">
        <v>667</v>
      </c>
      <c r="AB331" s="139" t="s">
        <v>662</v>
      </c>
      <c r="AC331" s="139" t="s">
        <v>663</v>
      </c>
      <c r="AD331" s="139" t="s">
        <v>664</v>
      </c>
      <c r="AE331" s="139" t="s">
        <v>665</v>
      </c>
      <c r="AF331" s="139" t="s">
        <v>666</v>
      </c>
      <c r="AG331" s="139" t="s">
        <v>667</v>
      </c>
      <c r="AH331" s="139" t="s">
        <v>592</v>
      </c>
      <c r="AI331" s="139" t="s">
        <v>429</v>
      </c>
      <c r="AJ331" s="140">
        <v>2969854.12</v>
      </c>
      <c r="AK331" s="139" t="s">
        <v>662</v>
      </c>
      <c r="AL331" s="139" t="s">
        <v>663</v>
      </c>
      <c r="AM331" s="139" t="s">
        <v>664</v>
      </c>
      <c r="AN331" s="139" t="s">
        <v>665</v>
      </c>
      <c r="AO331" s="139" t="s">
        <v>666</v>
      </c>
      <c r="AP331" s="139" t="s">
        <v>667</v>
      </c>
      <c r="AQ331" s="139" t="s">
        <v>592</v>
      </c>
      <c r="AR331" s="139" t="s">
        <v>429</v>
      </c>
      <c r="AS331" s="139" t="s">
        <v>429</v>
      </c>
      <c r="AT331" s="139" t="s">
        <v>593</v>
      </c>
      <c r="AU331" s="139" t="s">
        <v>437</v>
      </c>
      <c r="AV331" s="140">
        <v>2</v>
      </c>
      <c r="AW331" s="139" t="s">
        <v>594</v>
      </c>
      <c r="AX331" s="139" t="s">
        <v>595</v>
      </c>
      <c r="AY331" s="139" t="s">
        <v>722</v>
      </c>
      <c r="AZ331" s="140">
        <v>1</v>
      </c>
      <c r="BA331" s="139" t="s">
        <v>597</v>
      </c>
      <c r="BB331" s="140">
        <v>36920</v>
      </c>
      <c r="BC331" s="140">
        <v>2699336</v>
      </c>
      <c r="BD331" s="140">
        <v>43949.4</v>
      </c>
      <c r="BE331" s="140">
        <v>73.113100000000003</v>
      </c>
      <c r="BF331" s="139" t="s">
        <v>880</v>
      </c>
      <c r="BG331" s="139" t="s">
        <v>583</v>
      </c>
      <c r="BH331" s="139" t="s">
        <v>924</v>
      </c>
      <c r="BI331" s="139" t="s">
        <v>598</v>
      </c>
      <c r="BJ331" s="139" t="s">
        <v>599</v>
      </c>
      <c r="BK331" s="139" t="s">
        <v>583</v>
      </c>
      <c r="BL331" s="139" t="s">
        <v>583</v>
      </c>
      <c r="BM331" s="139" t="s">
        <v>583</v>
      </c>
      <c r="BN331" s="139" t="s">
        <v>842</v>
      </c>
      <c r="BO331" s="139" t="s">
        <v>843</v>
      </c>
      <c r="BP331" s="139" t="s">
        <v>830</v>
      </c>
      <c r="BQ331" s="139" t="s">
        <v>723</v>
      </c>
      <c r="BR331" s="140">
        <v>1</v>
      </c>
      <c r="BS331" s="139" t="s">
        <v>724</v>
      </c>
      <c r="BT331" s="99">
        <f t="shared" si="21"/>
        <v>1</v>
      </c>
      <c r="BU331" s="99">
        <f t="shared" si="21"/>
        <v>0</v>
      </c>
      <c r="BV331" s="99">
        <f t="shared" si="20"/>
        <v>1</v>
      </c>
      <c r="BW331" s="139" t="s">
        <v>725</v>
      </c>
      <c r="BX331" s="139" t="s">
        <v>1660</v>
      </c>
      <c r="BY331" s="140">
        <v>130</v>
      </c>
      <c r="BZ331" s="140"/>
      <c r="CA331" s="99">
        <v>26000</v>
      </c>
      <c r="CB331" s="140" t="s">
        <v>603</v>
      </c>
      <c r="CC331" s="140"/>
      <c r="CD331" s="140"/>
      <c r="CE331" s="139" t="s">
        <v>577</v>
      </c>
      <c r="CF331" s="139" t="s">
        <v>604</v>
      </c>
      <c r="CG331" s="139" t="s">
        <v>583</v>
      </c>
      <c r="CH331" s="139" t="s">
        <v>583</v>
      </c>
      <c r="CI331" s="139" t="s">
        <v>592</v>
      </c>
      <c r="CJ331" s="140">
        <v>3000</v>
      </c>
      <c r="CK331" s="140" t="s">
        <v>605</v>
      </c>
      <c r="CL331" s="140">
        <v>4000000</v>
      </c>
      <c r="CM331" s="99">
        <v>2730</v>
      </c>
      <c r="CN331" s="140"/>
      <c r="CO331" s="139" t="s">
        <v>583</v>
      </c>
      <c r="CP331" s="139" t="s">
        <v>583</v>
      </c>
      <c r="CQ331" s="140">
        <v>36920</v>
      </c>
      <c r="CR331" s="140">
        <v>2699336</v>
      </c>
      <c r="CS331" s="140">
        <v>0</v>
      </c>
      <c r="CT331" s="140">
        <v>1</v>
      </c>
      <c r="CU331" s="140">
        <v>2969854.12</v>
      </c>
      <c r="CV331" s="99">
        <v>43949.4</v>
      </c>
      <c r="CW331" s="139" t="s">
        <v>606</v>
      </c>
      <c r="CX331" s="140">
        <v>16.098700000000001</v>
      </c>
      <c r="CY331" s="140"/>
      <c r="CZ331" s="140"/>
      <c r="DA331" s="140" t="s">
        <v>926</v>
      </c>
      <c r="DB331" s="140">
        <v>39</v>
      </c>
      <c r="DC331" s="140"/>
    </row>
    <row r="332" spans="2:107" ht="11.25" customHeight="1" x14ac:dyDescent="0.15">
      <c r="B332" s="139" t="s">
        <v>577</v>
      </c>
      <c r="C332" s="140" t="s">
        <v>2156</v>
      </c>
      <c r="D332" s="140">
        <v>1</v>
      </c>
      <c r="E332" s="139" t="s">
        <v>2159</v>
      </c>
      <c r="F332" s="139" t="s">
        <v>580</v>
      </c>
      <c r="G332" s="140" t="s">
        <v>2156</v>
      </c>
      <c r="H332" s="139" t="s">
        <v>2160</v>
      </c>
      <c r="I332" s="140" t="s">
        <v>421</v>
      </c>
      <c r="J332" s="139" t="s">
        <v>582</v>
      </c>
      <c r="K332" s="139" t="s">
        <v>583</v>
      </c>
      <c r="L332" s="139" t="s">
        <v>583</v>
      </c>
      <c r="M332" s="139" t="s">
        <v>583</v>
      </c>
      <c r="N332" s="139" t="s">
        <v>1169</v>
      </c>
      <c r="O332" s="139" t="s">
        <v>1170</v>
      </c>
      <c r="P332" s="139" t="s">
        <v>583</v>
      </c>
      <c r="Q332" s="139" t="s">
        <v>583</v>
      </c>
      <c r="R332" s="140">
        <v>1</v>
      </c>
      <c r="S332" s="140">
        <v>0</v>
      </c>
      <c r="T332" s="140">
        <v>1</v>
      </c>
      <c r="U332" s="140">
        <v>50</v>
      </c>
      <c r="V332" s="139" t="s">
        <v>907</v>
      </c>
      <c r="W332" s="139" t="s">
        <v>908</v>
      </c>
      <c r="X332" s="139" t="s">
        <v>909</v>
      </c>
      <c r="Y332" s="139" t="s">
        <v>2054</v>
      </c>
      <c r="Z332" s="139" t="s">
        <v>644</v>
      </c>
      <c r="AA332" s="139" t="s">
        <v>2055</v>
      </c>
      <c r="AB332" s="139" t="s">
        <v>907</v>
      </c>
      <c r="AC332" s="139" t="s">
        <v>908</v>
      </c>
      <c r="AD332" s="139" t="s">
        <v>909</v>
      </c>
      <c r="AE332" s="139" t="s">
        <v>2054</v>
      </c>
      <c r="AF332" s="139" t="s">
        <v>644</v>
      </c>
      <c r="AG332" s="139" t="s">
        <v>2055</v>
      </c>
      <c r="AH332" s="139" t="s">
        <v>592</v>
      </c>
      <c r="AI332" s="139" t="s">
        <v>429</v>
      </c>
      <c r="AJ332" s="140">
        <v>1146041.26</v>
      </c>
      <c r="AK332" s="139" t="s">
        <v>907</v>
      </c>
      <c r="AL332" s="139" t="s">
        <v>908</v>
      </c>
      <c r="AM332" s="139" t="s">
        <v>909</v>
      </c>
      <c r="AN332" s="139" t="s">
        <v>2054</v>
      </c>
      <c r="AO332" s="139" t="s">
        <v>644</v>
      </c>
      <c r="AP332" s="139" t="s">
        <v>2055</v>
      </c>
      <c r="AQ332" s="139" t="s">
        <v>592</v>
      </c>
      <c r="AR332" s="139" t="s">
        <v>429</v>
      </c>
      <c r="AS332" s="139" t="s">
        <v>429</v>
      </c>
      <c r="AT332" s="139" t="s">
        <v>593</v>
      </c>
      <c r="AU332" s="139" t="s">
        <v>437</v>
      </c>
      <c r="AV332" s="140">
        <v>2</v>
      </c>
      <c r="AW332" s="139" t="s">
        <v>594</v>
      </c>
      <c r="AX332" s="139" t="s">
        <v>595</v>
      </c>
      <c r="AY332" s="139" t="s">
        <v>722</v>
      </c>
      <c r="AZ332" s="140">
        <v>1</v>
      </c>
      <c r="BA332" s="139" t="s">
        <v>597</v>
      </c>
      <c r="BB332" s="140">
        <v>14700</v>
      </c>
      <c r="BC332" s="140">
        <v>1074763</v>
      </c>
      <c r="BD332" s="140">
        <v>16959.7</v>
      </c>
      <c r="BE332" s="140">
        <v>73.113100000000003</v>
      </c>
      <c r="BF332" s="139" t="s">
        <v>880</v>
      </c>
      <c r="BG332" s="139" t="s">
        <v>583</v>
      </c>
      <c r="BH332" s="139" t="s">
        <v>583</v>
      </c>
      <c r="BI332" s="139" t="s">
        <v>598</v>
      </c>
      <c r="BJ332" s="139" t="s">
        <v>624</v>
      </c>
      <c r="BK332" s="139" t="s">
        <v>1703</v>
      </c>
      <c r="BL332" s="139" t="s">
        <v>583</v>
      </c>
      <c r="BM332" s="139" t="s">
        <v>915</v>
      </c>
      <c r="BN332" s="139" t="s">
        <v>916</v>
      </c>
      <c r="BO332" s="139" t="s">
        <v>917</v>
      </c>
      <c r="BP332" s="139" t="s">
        <v>918</v>
      </c>
      <c r="BQ332" s="139" t="s">
        <v>772</v>
      </c>
      <c r="BR332" s="140">
        <v>1</v>
      </c>
      <c r="BS332" s="139" t="s">
        <v>1247</v>
      </c>
      <c r="BT332" s="99">
        <f t="shared" si="21"/>
        <v>0</v>
      </c>
      <c r="BU332" s="99">
        <f t="shared" si="21"/>
        <v>1</v>
      </c>
      <c r="BV332" s="99">
        <f t="shared" si="20"/>
        <v>1</v>
      </c>
      <c r="BW332" s="139" t="s">
        <v>602</v>
      </c>
      <c r="BX332" s="139" t="s">
        <v>1169</v>
      </c>
      <c r="BY332" s="140">
        <v>50</v>
      </c>
      <c r="BZ332" s="140">
        <v>0</v>
      </c>
      <c r="CA332" s="99">
        <v>10000</v>
      </c>
      <c r="CB332" s="140" t="s">
        <v>603</v>
      </c>
      <c r="CC332" s="140">
        <v>0</v>
      </c>
      <c r="CD332" s="140"/>
      <c r="CE332" s="139" t="s">
        <v>577</v>
      </c>
      <c r="CF332" s="139" t="s">
        <v>604</v>
      </c>
      <c r="CG332" s="139" t="s">
        <v>583</v>
      </c>
      <c r="CH332" s="139" t="s">
        <v>583</v>
      </c>
      <c r="CI332" s="139" t="s">
        <v>592</v>
      </c>
      <c r="CJ332" s="140">
        <v>1150</v>
      </c>
      <c r="CK332" s="140" t="s">
        <v>605</v>
      </c>
      <c r="CL332" s="140">
        <v>4000000</v>
      </c>
      <c r="CM332" s="99">
        <v>1050</v>
      </c>
      <c r="CN332" s="140">
        <v>0</v>
      </c>
      <c r="CO332" s="139" t="s">
        <v>583</v>
      </c>
      <c r="CP332" s="139" t="s">
        <v>583</v>
      </c>
      <c r="CQ332" s="140">
        <v>14700</v>
      </c>
      <c r="CR332" s="140">
        <v>1074763</v>
      </c>
      <c r="CS332" s="140">
        <v>0</v>
      </c>
      <c r="CT332" s="140">
        <v>1</v>
      </c>
      <c r="CU332" s="140">
        <v>1146041.26</v>
      </c>
      <c r="CV332" s="99">
        <v>16959.7</v>
      </c>
      <c r="CW332" s="139" t="s">
        <v>606</v>
      </c>
      <c r="CX332" s="140">
        <v>16.152100000000001</v>
      </c>
      <c r="CY332" s="140"/>
      <c r="CZ332" s="140"/>
      <c r="DA332" s="140" t="s">
        <v>920</v>
      </c>
      <c r="DB332" s="140">
        <v>1364</v>
      </c>
      <c r="DC332" s="140"/>
    </row>
    <row r="333" spans="2:107" ht="11.25" customHeight="1" x14ac:dyDescent="0.15">
      <c r="B333" s="139" t="s">
        <v>577</v>
      </c>
      <c r="C333" s="140" t="s">
        <v>2156</v>
      </c>
      <c r="D333" s="140">
        <v>1</v>
      </c>
      <c r="E333" s="139" t="s">
        <v>2161</v>
      </c>
      <c r="F333" s="139" t="s">
        <v>729</v>
      </c>
      <c r="G333" s="140" t="s">
        <v>2156</v>
      </c>
      <c r="H333" s="139" t="s">
        <v>2162</v>
      </c>
      <c r="I333" s="140" t="s">
        <v>421</v>
      </c>
      <c r="J333" s="139" t="s">
        <v>582</v>
      </c>
      <c r="K333" s="139" t="s">
        <v>583</v>
      </c>
      <c r="L333" s="139" t="s">
        <v>583</v>
      </c>
      <c r="M333" s="139" t="s">
        <v>583</v>
      </c>
      <c r="N333" s="139" t="s">
        <v>444</v>
      </c>
      <c r="O333" s="139" t="s">
        <v>1128</v>
      </c>
      <c r="P333" s="139" t="s">
        <v>583</v>
      </c>
      <c r="Q333" s="139" t="s">
        <v>583</v>
      </c>
      <c r="R333" s="140">
        <v>1</v>
      </c>
      <c r="S333" s="140">
        <v>0</v>
      </c>
      <c r="T333" s="140">
        <v>1</v>
      </c>
      <c r="U333" s="140">
        <v>9</v>
      </c>
      <c r="V333" s="139" t="s">
        <v>709</v>
      </c>
      <c r="W333" s="139" t="s">
        <v>710</v>
      </c>
      <c r="X333" s="139" t="s">
        <v>711</v>
      </c>
      <c r="Y333" s="139" t="s">
        <v>789</v>
      </c>
      <c r="Z333" s="139" t="s">
        <v>713</v>
      </c>
      <c r="AA333" s="139" t="s">
        <v>714</v>
      </c>
      <c r="AB333" s="139" t="s">
        <v>709</v>
      </c>
      <c r="AC333" s="139" t="s">
        <v>710</v>
      </c>
      <c r="AD333" s="139" t="s">
        <v>711</v>
      </c>
      <c r="AE333" s="139" t="s">
        <v>789</v>
      </c>
      <c r="AF333" s="139" t="s">
        <v>713</v>
      </c>
      <c r="AG333" s="139" t="s">
        <v>714</v>
      </c>
      <c r="AH333" s="139" t="s">
        <v>751</v>
      </c>
      <c r="AI333" s="139" t="s">
        <v>433</v>
      </c>
      <c r="AJ333" s="140">
        <v>4770337.32</v>
      </c>
      <c r="AK333" s="139" t="s">
        <v>709</v>
      </c>
      <c r="AL333" s="139" t="s">
        <v>710</v>
      </c>
      <c r="AM333" s="139" t="s">
        <v>711</v>
      </c>
      <c r="AN333" s="139" t="s">
        <v>789</v>
      </c>
      <c r="AO333" s="139" t="s">
        <v>713</v>
      </c>
      <c r="AP333" s="139" t="s">
        <v>714</v>
      </c>
      <c r="AQ333" s="139" t="s">
        <v>751</v>
      </c>
      <c r="AR333" s="139" t="s">
        <v>433</v>
      </c>
      <c r="AS333" s="139" t="s">
        <v>433</v>
      </c>
      <c r="AT333" s="139" t="s">
        <v>593</v>
      </c>
      <c r="AU333" s="139" t="s">
        <v>437</v>
      </c>
      <c r="AV333" s="140">
        <v>2</v>
      </c>
      <c r="AW333" s="139" t="s">
        <v>594</v>
      </c>
      <c r="AX333" s="139" t="s">
        <v>653</v>
      </c>
      <c r="AY333" s="139" t="s">
        <v>790</v>
      </c>
      <c r="AZ333" s="140">
        <v>1</v>
      </c>
      <c r="BA333" s="139" t="s">
        <v>597</v>
      </c>
      <c r="BB333" s="140">
        <v>65246</v>
      </c>
      <c r="BC333" s="140">
        <v>4770337</v>
      </c>
      <c r="BD333" s="140">
        <v>70593.850000000006</v>
      </c>
      <c r="BE333" s="140">
        <v>73.113100000000003</v>
      </c>
      <c r="BF333" s="139" t="s">
        <v>880</v>
      </c>
      <c r="BG333" s="139" t="s">
        <v>583</v>
      </c>
      <c r="BH333" s="139" t="s">
        <v>1059</v>
      </c>
      <c r="BI333" s="139" t="s">
        <v>598</v>
      </c>
      <c r="BJ333" s="139" t="s">
        <v>599</v>
      </c>
      <c r="BK333" s="139" t="s">
        <v>583</v>
      </c>
      <c r="BL333" s="139" t="s">
        <v>1060</v>
      </c>
      <c r="BM333" s="139" t="s">
        <v>583</v>
      </c>
      <c r="BN333" s="139" t="s">
        <v>842</v>
      </c>
      <c r="BO333" s="139" t="s">
        <v>843</v>
      </c>
      <c r="BP333" s="139" t="s">
        <v>830</v>
      </c>
      <c r="BQ333" s="139" t="s">
        <v>723</v>
      </c>
      <c r="BR333" s="140">
        <v>1</v>
      </c>
      <c r="BS333" s="139" t="s">
        <v>791</v>
      </c>
      <c r="BT333" s="99">
        <f t="shared" si="21"/>
        <v>0</v>
      </c>
      <c r="BU333" s="99">
        <f t="shared" si="21"/>
        <v>0</v>
      </c>
      <c r="BV333" s="99">
        <f t="shared" si="20"/>
        <v>0</v>
      </c>
      <c r="BW333" s="139" t="s">
        <v>602</v>
      </c>
      <c r="BX333" s="139" t="s">
        <v>443</v>
      </c>
      <c r="BY333" s="140">
        <v>9</v>
      </c>
      <c r="BZ333" s="140">
        <v>0</v>
      </c>
      <c r="CA333" s="99">
        <v>41400</v>
      </c>
      <c r="CB333" s="140" t="s">
        <v>603</v>
      </c>
      <c r="CC333" s="140">
        <v>0</v>
      </c>
      <c r="CD333" s="140"/>
      <c r="CE333" s="139" t="s">
        <v>577</v>
      </c>
      <c r="CF333" s="139" t="s">
        <v>604</v>
      </c>
      <c r="CG333" s="139" t="s">
        <v>583</v>
      </c>
      <c r="CH333" s="139" t="s">
        <v>583</v>
      </c>
      <c r="CI333" s="139" t="s">
        <v>751</v>
      </c>
      <c r="CJ333" s="140">
        <v>4347</v>
      </c>
      <c r="CK333" s="140" t="s">
        <v>605</v>
      </c>
      <c r="CL333" s="140">
        <v>4000000</v>
      </c>
      <c r="CM333" s="99">
        <v>4140</v>
      </c>
      <c r="CN333" s="140">
        <v>0</v>
      </c>
      <c r="CO333" s="139" t="s">
        <v>583</v>
      </c>
      <c r="CP333" s="139" t="s">
        <v>583</v>
      </c>
      <c r="CQ333" s="140">
        <v>65246</v>
      </c>
      <c r="CR333" s="140">
        <v>4770337</v>
      </c>
      <c r="CS333" s="140">
        <v>0</v>
      </c>
      <c r="CT333" s="140">
        <v>1</v>
      </c>
      <c r="CU333" s="140">
        <v>4770337.32</v>
      </c>
      <c r="CV333" s="99">
        <v>70593.850000000006</v>
      </c>
      <c r="CW333" s="139" t="s">
        <v>606</v>
      </c>
      <c r="CX333" s="140">
        <v>17.0517</v>
      </c>
      <c r="CY333" s="140">
        <v>35</v>
      </c>
      <c r="CZ333" s="140" t="s">
        <v>1062</v>
      </c>
      <c r="DA333" s="140" t="s">
        <v>1363</v>
      </c>
      <c r="DB333" s="140">
        <v>217</v>
      </c>
      <c r="DC333" s="140"/>
    </row>
    <row r="334" spans="2:107" ht="11.25" customHeight="1" x14ac:dyDescent="0.15">
      <c r="B334" s="139" t="s">
        <v>577</v>
      </c>
      <c r="C334" s="140" t="s">
        <v>2163</v>
      </c>
      <c r="D334" s="140">
        <v>1</v>
      </c>
      <c r="E334" s="139" t="s">
        <v>2164</v>
      </c>
      <c r="F334" s="139" t="s">
        <v>580</v>
      </c>
      <c r="G334" s="140" t="s">
        <v>2163</v>
      </c>
      <c r="H334" s="139" t="s">
        <v>2165</v>
      </c>
      <c r="I334" s="140" t="s">
        <v>421</v>
      </c>
      <c r="J334" s="139" t="s">
        <v>582</v>
      </c>
      <c r="K334" s="139" t="s">
        <v>583</v>
      </c>
      <c r="L334" s="139" t="s">
        <v>583</v>
      </c>
      <c r="M334" s="139" t="s">
        <v>583</v>
      </c>
      <c r="N334" s="139" t="s">
        <v>1529</v>
      </c>
      <c r="O334" s="139" t="s">
        <v>758</v>
      </c>
      <c r="P334" s="139" t="s">
        <v>583</v>
      </c>
      <c r="Q334" s="139" t="s">
        <v>583</v>
      </c>
      <c r="R334" s="140">
        <v>1</v>
      </c>
      <c r="S334" s="140">
        <v>0</v>
      </c>
      <c r="T334" s="140">
        <v>1</v>
      </c>
      <c r="U334" s="140">
        <v>10</v>
      </c>
      <c r="V334" s="139" t="s">
        <v>859</v>
      </c>
      <c r="W334" s="139" t="s">
        <v>860</v>
      </c>
      <c r="X334" s="139" t="s">
        <v>861</v>
      </c>
      <c r="Y334" s="139" t="s">
        <v>862</v>
      </c>
      <c r="Z334" s="139" t="s">
        <v>590</v>
      </c>
      <c r="AA334" s="139" t="s">
        <v>839</v>
      </c>
      <c r="AB334" s="139" t="s">
        <v>859</v>
      </c>
      <c r="AC334" s="139" t="s">
        <v>860</v>
      </c>
      <c r="AD334" s="139" t="s">
        <v>861</v>
      </c>
      <c r="AE334" s="139" t="s">
        <v>862</v>
      </c>
      <c r="AF334" s="139" t="s">
        <v>590</v>
      </c>
      <c r="AG334" s="139" t="s">
        <v>839</v>
      </c>
      <c r="AH334" s="139" t="s">
        <v>759</v>
      </c>
      <c r="AI334" s="139" t="s">
        <v>434</v>
      </c>
      <c r="AJ334" s="140">
        <v>7411274.2199999997</v>
      </c>
      <c r="AK334" s="139" t="s">
        <v>859</v>
      </c>
      <c r="AL334" s="139" t="s">
        <v>860</v>
      </c>
      <c r="AM334" s="139" t="s">
        <v>861</v>
      </c>
      <c r="AN334" s="139" t="s">
        <v>862</v>
      </c>
      <c r="AO334" s="139" t="s">
        <v>590</v>
      </c>
      <c r="AP334" s="139" t="s">
        <v>839</v>
      </c>
      <c r="AQ334" s="139" t="s">
        <v>759</v>
      </c>
      <c r="AR334" s="139" t="s">
        <v>434</v>
      </c>
      <c r="AS334" s="139" t="s">
        <v>434</v>
      </c>
      <c r="AT334" s="139" t="s">
        <v>593</v>
      </c>
      <c r="AU334" s="139" t="s">
        <v>437</v>
      </c>
      <c r="AV334" s="140">
        <v>2</v>
      </c>
      <c r="AW334" s="139" t="s">
        <v>594</v>
      </c>
      <c r="AX334" s="139" t="s">
        <v>595</v>
      </c>
      <c r="AY334" s="139" t="s">
        <v>840</v>
      </c>
      <c r="AZ334" s="140">
        <v>1</v>
      </c>
      <c r="BA334" s="139" t="s">
        <v>597</v>
      </c>
      <c r="BB334" s="140">
        <v>96000</v>
      </c>
      <c r="BC334" s="140">
        <v>7274870</v>
      </c>
      <c r="BD334" s="140">
        <v>106494.99</v>
      </c>
      <c r="BE334" s="140">
        <v>75.779899999999998</v>
      </c>
      <c r="BF334" s="139" t="s">
        <v>880</v>
      </c>
      <c r="BG334" s="139" t="s">
        <v>863</v>
      </c>
      <c r="BH334" s="139" t="s">
        <v>1122</v>
      </c>
      <c r="BI334" s="139" t="s">
        <v>598</v>
      </c>
      <c r="BJ334" s="139" t="s">
        <v>599</v>
      </c>
      <c r="BK334" s="139" t="s">
        <v>583</v>
      </c>
      <c r="BL334" s="139" t="s">
        <v>583</v>
      </c>
      <c r="BM334" s="139" t="s">
        <v>583</v>
      </c>
      <c r="BN334" s="139" t="s">
        <v>842</v>
      </c>
      <c r="BO334" s="139" t="s">
        <v>843</v>
      </c>
      <c r="BP334" s="139" t="s">
        <v>830</v>
      </c>
      <c r="BQ334" s="139" t="s">
        <v>723</v>
      </c>
      <c r="BR334" s="140">
        <v>1</v>
      </c>
      <c r="BS334" s="139" t="s">
        <v>2166</v>
      </c>
      <c r="BT334" s="99">
        <f t="shared" si="21"/>
        <v>1</v>
      </c>
      <c r="BU334" s="99">
        <f t="shared" si="21"/>
        <v>0</v>
      </c>
      <c r="BV334" s="99">
        <f t="shared" si="20"/>
        <v>1</v>
      </c>
      <c r="BW334" s="139" t="s">
        <v>602</v>
      </c>
      <c r="BX334" s="139" t="s">
        <v>757</v>
      </c>
      <c r="BY334" s="140">
        <v>10</v>
      </c>
      <c r="BZ334" s="140">
        <v>0</v>
      </c>
      <c r="CA334" s="99">
        <v>60000</v>
      </c>
      <c r="CB334" s="140" t="s">
        <v>603</v>
      </c>
      <c r="CC334" s="140">
        <v>0</v>
      </c>
      <c r="CD334" s="140"/>
      <c r="CE334" s="139" t="s">
        <v>577</v>
      </c>
      <c r="CF334" s="139" t="s">
        <v>604</v>
      </c>
      <c r="CG334" s="139" t="s">
        <v>583</v>
      </c>
      <c r="CH334" s="139" t="s">
        <v>583</v>
      </c>
      <c r="CI334" s="139" t="s">
        <v>759</v>
      </c>
      <c r="CJ334" s="140">
        <v>6300</v>
      </c>
      <c r="CK334" s="140" t="s">
        <v>605</v>
      </c>
      <c r="CL334" s="140">
        <v>4000000</v>
      </c>
      <c r="CM334" s="99">
        <v>5850</v>
      </c>
      <c r="CN334" s="140">
        <v>0</v>
      </c>
      <c r="CO334" s="139" t="s">
        <v>583</v>
      </c>
      <c r="CP334" s="139" t="s">
        <v>583</v>
      </c>
      <c r="CQ334" s="140">
        <v>96000</v>
      </c>
      <c r="CR334" s="140">
        <v>7274870</v>
      </c>
      <c r="CS334" s="140">
        <v>0</v>
      </c>
      <c r="CT334" s="140">
        <v>1</v>
      </c>
      <c r="CU334" s="140">
        <v>7411274.2199999997</v>
      </c>
      <c r="CV334" s="99">
        <v>106494.99</v>
      </c>
      <c r="CW334" s="139" t="s">
        <v>606</v>
      </c>
      <c r="CX334" s="140">
        <v>18.2043</v>
      </c>
      <c r="CY334" s="140">
        <v>1535</v>
      </c>
      <c r="CZ334" s="140" t="s">
        <v>1118</v>
      </c>
      <c r="DA334" s="140" t="s">
        <v>1119</v>
      </c>
      <c r="DB334" s="140">
        <v>1293</v>
      </c>
      <c r="DC334" s="140"/>
    </row>
    <row r="335" spans="2:107" ht="11.25" customHeight="1" x14ac:dyDescent="0.15">
      <c r="B335" s="139" t="s">
        <v>577</v>
      </c>
      <c r="C335" s="140" t="s">
        <v>2163</v>
      </c>
      <c r="D335" s="140">
        <v>1</v>
      </c>
      <c r="E335" s="139" t="s">
        <v>2167</v>
      </c>
      <c r="F335" s="139" t="s">
        <v>580</v>
      </c>
      <c r="G335" s="140" t="s">
        <v>2163</v>
      </c>
      <c r="H335" s="139" t="s">
        <v>2168</v>
      </c>
      <c r="I335" s="140" t="s">
        <v>421</v>
      </c>
      <c r="J335" s="139" t="s">
        <v>582</v>
      </c>
      <c r="K335" s="139" t="s">
        <v>583</v>
      </c>
      <c r="L335" s="139" t="s">
        <v>583</v>
      </c>
      <c r="M335" s="139" t="s">
        <v>583</v>
      </c>
      <c r="N335" s="139" t="s">
        <v>1529</v>
      </c>
      <c r="O335" s="139" t="s">
        <v>758</v>
      </c>
      <c r="P335" s="139" t="s">
        <v>583</v>
      </c>
      <c r="Q335" s="139" t="s">
        <v>583</v>
      </c>
      <c r="R335" s="140">
        <v>1</v>
      </c>
      <c r="S335" s="140">
        <v>0</v>
      </c>
      <c r="T335" s="140">
        <v>1</v>
      </c>
      <c r="U335" s="140">
        <v>3</v>
      </c>
      <c r="V335" s="139" t="s">
        <v>835</v>
      </c>
      <c r="W335" s="139" t="s">
        <v>836</v>
      </c>
      <c r="X335" s="139" t="s">
        <v>837</v>
      </c>
      <c r="Y335" s="139" t="s">
        <v>838</v>
      </c>
      <c r="Z335" s="139" t="s">
        <v>590</v>
      </c>
      <c r="AA335" s="139" t="s">
        <v>839</v>
      </c>
      <c r="AB335" s="139" t="s">
        <v>835</v>
      </c>
      <c r="AC335" s="139" t="s">
        <v>836</v>
      </c>
      <c r="AD335" s="139" t="s">
        <v>837</v>
      </c>
      <c r="AE335" s="139" t="s">
        <v>838</v>
      </c>
      <c r="AF335" s="139" t="s">
        <v>590</v>
      </c>
      <c r="AG335" s="139" t="s">
        <v>839</v>
      </c>
      <c r="AH335" s="139" t="s">
        <v>759</v>
      </c>
      <c r="AI335" s="139" t="s">
        <v>434</v>
      </c>
      <c r="AJ335" s="140">
        <v>1851681.86</v>
      </c>
      <c r="AK335" s="139" t="s">
        <v>835</v>
      </c>
      <c r="AL335" s="139" t="s">
        <v>836</v>
      </c>
      <c r="AM335" s="139" t="s">
        <v>837</v>
      </c>
      <c r="AN335" s="139" t="s">
        <v>838</v>
      </c>
      <c r="AO335" s="139" t="s">
        <v>590</v>
      </c>
      <c r="AP335" s="139" t="s">
        <v>839</v>
      </c>
      <c r="AQ335" s="139" t="s">
        <v>759</v>
      </c>
      <c r="AR335" s="139" t="s">
        <v>434</v>
      </c>
      <c r="AS335" s="139" t="s">
        <v>434</v>
      </c>
      <c r="AT335" s="139" t="s">
        <v>593</v>
      </c>
      <c r="AU335" s="139" t="s">
        <v>437</v>
      </c>
      <c r="AV335" s="140">
        <v>2</v>
      </c>
      <c r="AW335" s="139" t="s">
        <v>594</v>
      </c>
      <c r="AX335" s="139" t="s">
        <v>595</v>
      </c>
      <c r="AY335" s="139" t="s">
        <v>840</v>
      </c>
      <c r="AZ335" s="140">
        <v>1</v>
      </c>
      <c r="BA335" s="139" t="s">
        <v>597</v>
      </c>
      <c r="BB335" s="140">
        <v>24000</v>
      </c>
      <c r="BC335" s="140">
        <v>1818718</v>
      </c>
      <c r="BD335" s="140">
        <v>26607.42</v>
      </c>
      <c r="BE335" s="140">
        <v>75.779899999999998</v>
      </c>
      <c r="BF335" s="139" t="s">
        <v>880</v>
      </c>
      <c r="BG335" s="139" t="s">
        <v>863</v>
      </c>
      <c r="BH335" s="139" t="s">
        <v>841</v>
      </c>
      <c r="BI335" s="139" t="s">
        <v>598</v>
      </c>
      <c r="BJ335" s="139" t="s">
        <v>599</v>
      </c>
      <c r="BK335" s="139" t="s">
        <v>583</v>
      </c>
      <c r="BL335" s="139" t="s">
        <v>583</v>
      </c>
      <c r="BM335" s="139" t="s">
        <v>583</v>
      </c>
      <c r="BN335" s="139" t="s">
        <v>842</v>
      </c>
      <c r="BO335" s="139" t="s">
        <v>843</v>
      </c>
      <c r="BP335" s="139" t="s">
        <v>830</v>
      </c>
      <c r="BQ335" s="139" t="s">
        <v>723</v>
      </c>
      <c r="BR335" s="140">
        <v>1</v>
      </c>
      <c r="BS335" s="139" t="s">
        <v>1317</v>
      </c>
      <c r="BT335" s="99">
        <f t="shared" si="21"/>
        <v>1</v>
      </c>
      <c r="BU335" s="99">
        <f t="shared" si="21"/>
        <v>0</v>
      </c>
      <c r="BV335" s="99">
        <f t="shared" si="20"/>
        <v>1</v>
      </c>
      <c r="BW335" s="139" t="s">
        <v>602</v>
      </c>
      <c r="BX335" s="139" t="s">
        <v>757</v>
      </c>
      <c r="BY335" s="140">
        <v>3</v>
      </c>
      <c r="BZ335" s="140">
        <v>0</v>
      </c>
      <c r="CA335" s="99">
        <v>15000</v>
      </c>
      <c r="CB335" s="140" t="s">
        <v>603</v>
      </c>
      <c r="CC335" s="140">
        <v>0</v>
      </c>
      <c r="CD335" s="140"/>
      <c r="CE335" s="139" t="s">
        <v>577</v>
      </c>
      <c r="CF335" s="139" t="s">
        <v>604</v>
      </c>
      <c r="CG335" s="139" t="s">
        <v>583</v>
      </c>
      <c r="CH335" s="139" t="s">
        <v>583</v>
      </c>
      <c r="CI335" s="139" t="s">
        <v>759</v>
      </c>
      <c r="CJ335" s="140">
        <v>1575</v>
      </c>
      <c r="CK335" s="140" t="s">
        <v>605</v>
      </c>
      <c r="CL335" s="140">
        <v>4000000</v>
      </c>
      <c r="CM335" s="99">
        <v>1463</v>
      </c>
      <c r="CN335" s="140">
        <v>0</v>
      </c>
      <c r="CO335" s="139" t="s">
        <v>583</v>
      </c>
      <c r="CP335" s="139" t="s">
        <v>583</v>
      </c>
      <c r="CQ335" s="140">
        <v>24000</v>
      </c>
      <c r="CR335" s="140">
        <v>1818718</v>
      </c>
      <c r="CS335" s="140">
        <v>0</v>
      </c>
      <c r="CT335" s="140">
        <v>1</v>
      </c>
      <c r="CU335" s="140">
        <v>1851681.86</v>
      </c>
      <c r="CV335" s="99">
        <v>26607.42</v>
      </c>
      <c r="CW335" s="139" t="s">
        <v>606</v>
      </c>
      <c r="CX335" s="140">
        <v>18.186900000000001</v>
      </c>
      <c r="CY335" s="140"/>
      <c r="CZ335" s="140"/>
      <c r="DA335" s="140" t="s">
        <v>1912</v>
      </c>
      <c r="DB335" s="140">
        <v>1432</v>
      </c>
      <c r="DC335" s="140"/>
    </row>
    <row r="336" spans="2:107" ht="11.25" customHeight="1" x14ac:dyDescent="0.15">
      <c r="B336" s="139" t="s">
        <v>577</v>
      </c>
      <c r="C336" s="140" t="s">
        <v>2163</v>
      </c>
      <c r="D336" s="140">
        <v>1</v>
      </c>
      <c r="E336" s="139" t="s">
        <v>2169</v>
      </c>
      <c r="F336" s="139" t="s">
        <v>580</v>
      </c>
      <c r="G336" s="140" t="s">
        <v>2163</v>
      </c>
      <c r="H336" s="139" t="s">
        <v>2170</v>
      </c>
      <c r="I336" s="140" t="s">
        <v>421</v>
      </c>
      <c r="J336" s="139" t="s">
        <v>582</v>
      </c>
      <c r="K336" s="139" t="s">
        <v>583</v>
      </c>
      <c r="L336" s="139" t="s">
        <v>583</v>
      </c>
      <c r="M336" s="139" t="s">
        <v>583</v>
      </c>
      <c r="N336" s="139" t="s">
        <v>444</v>
      </c>
      <c r="O336" s="139" t="s">
        <v>2142</v>
      </c>
      <c r="P336" s="139" t="s">
        <v>583</v>
      </c>
      <c r="Q336" s="139" t="s">
        <v>583</v>
      </c>
      <c r="R336" s="140">
        <v>1</v>
      </c>
      <c r="S336" s="140">
        <v>0</v>
      </c>
      <c r="T336" s="140">
        <v>1</v>
      </c>
      <c r="U336" s="140">
        <v>324</v>
      </c>
      <c r="V336" s="139" t="s">
        <v>586</v>
      </c>
      <c r="W336" s="139" t="s">
        <v>587</v>
      </c>
      <c r="X336" s="139" t="s">
        <v>588</v>
      </c>
      <c r="Y336" s="139" t="s">
        <v>589</v>
      </c>
      <c r="Z336" s="139" t="s">
        <v>590</v>
      </c>
      <c r="AA336" s="139" t="s">
        <v>591</v>
      </c>
      <c r="AB336" s="139" t="s">
        <v>586</v>
      </c>
      <c r="AC336" s="139" t="s">
        <v>587</v>
      </c>
      <c r="AD336" s="139" t="s">
        <v>588</v>
      </c>
      <c r="AE336" s="139" t="s">
        <v>589</v>
      </c>
      <c r="AF336" s="139" t="s">
        <v>590</v>
      </c>
      <c r="AG336" s="139" t="s">
        <v>591</v>
      </c>
      <c r="AH336" s="139" t="s">
        <v>751</v>
      </c>
      <c r="AI336" s="139" t="s">
        <v>433</v>
      </c>
      <c r="AJ336" s="140">
        <v>7611333.1600000001</v>
      </c>
      <c r="AK336" s="139" t="s">
        <v>586</v>
      </c>
      <c r="AL336" s="139" t="s">
        <v>587</v>
      </c>
      <c r="AM336" s="139" t="s">
        <v>588</v>
      </c>
      <c r="AN336" s="139" t="s">
        <v>589</v>
      </c>
      <c r="AO336" s="139" t="s">
        <v>590</v>
      </c>
      <c r="AP336" s="139" t="s">
        <v>591</v>
      </c>
      <c r="AQ336" s="139" t="s">
        <v>751</v>
      </c>
      <c r="AR336" s="139" t="s">
        <v>433</v>
      </c>
      <c r="AS336" s="139" t="s">
        <v>433</v>
      </c>
      <c r="AT336" s="139" t="s">
        <v>593</v>
      </c>
      <c r="AU336" s="139" t="s">
        <v>437</v>
      </c>
      <c r="AV336" s="140">
        <v>2</v>
      </c>
      <c r="AW336" s="139" t="s">
        <v>594</v>
      </c>
      <c r="AX336" s="139" t="s">
        <v>653</v>
      </c>
      <c r="AY336" s="139" t="s">
        <v>850</v>
      </c>
      <c r="AZ336" s="140">
        <v>1</v>
      </c>
      <c r="BA336" s="139" t="s">
        <v>597</v>
      </c>
      <c r="BB336" s="140">
        <v>100440</v>
      </c>
      <c r="BC336" s="140">
        <v>7611333</v>
      </c>
      <c r="BD336" s="140">
        <v>109369.71</v>
      </c>
      <c r="BE336" s="140">
        <v>75.779899999999998</v>
      </c>
      <c r="BF336" s="139" t="s">
        <v>880</v>
      </c>
      <c r="BG336" s="139" t="s">
        <v>583</v>
      </c>
      <c r="BH336" s="139" t="s">
        <v>2143</v>
      </c>
      <c r="BI336" s="139" t="s">
        <v>598</v>
      </c>
      <c r="BJ336" s="139" t="s">
        <v>599</v>
      </c>
      <c r="BK336" s="139" t="s">
        <v>1101</v>
      </c>
      <c r="BL336" s="139" t="s">
        <v>1101</v>
      </c>
      <c r="BM336" s="139" t="s">
        <v>583</v>
      </c>
      <c r="BN336" s="139" t="s">
        <v>1102</v>
      </c>
      <c r="BO336" s="139" t="s">
        <v>850</v>
      </c>
      <c r="BP336" s="139" t="s">
        <v>1686</v>
      </c>
      <c r="BQ336" s="139" t="s">
        <v>600</v>
      </c>
      <c r="BR336" s="140">
        <v>1</v>
      </c>
      <c r="BS336" s="139" t="s">
        <v>2144</v>
      </c>
      <c r="BT336" s="99">
        <f t="shared" si="21"/>
        <v>0</v>
      </c>
      <c r="BU336" s="99">
        <f t="shared" si="21"/>
        <v>1</v>
      </c>
      <c r="BV336" s="99">
        <f t="shared" si="20"/>
        <v>1</v>
      </c>
      <c r="BW336" s="139" t="s">
        <v>602</v>
      </c>
      <c r="BX336" s="139" t="s">
        <v>444</v>
      </c>
      <c r="BY336" s="140">
        <v>324</v>
      </c>
      <c r="BZ336" s="140">
        <v>0</v>
      </c>
      <c r="CA336" s="99">
        <v>64800</v>
      </c>
      <c r="CB336" s="140" t="s">
        <v>603</v>
      </c>
      <c r="CC336" s="140">
        <v>0</v>
      </c>
      <c r="CD336" s="140"/>
      <c r="CE336" s="139" t="s">
        <v>577</v>
      </c>
      <c r="CF336" s="139" t="s">
        <v>604</v>
      </c>
      <c r="CG336" s="139" t="s">
        <v>583</v>
      </c>
      <c r="CH336" s="139" t="s">
        <v>583</v>
      </c>
      <c r="CI336" s="139" t="s">
        <v>751</v>
      </c>
      <c r="CJ336" s="140">
        <v>7128</v>
      </c>
      <c r="CK336" s="140" t="s">
        <v>605</v>
      </c>
      <c r="CL336" s="140">
        <v>4000000</v>
      </c>
      <c r="CM336" s="99">
        <v>6804</v>
      </c>
      <c r="CN336" s="140">
        <v>0</v>
      </c>
      <c r="CO336" s="139" t="s">
        <v>583</v>
      </c>
      <c r="CP336" s="139" t="s">
        <v>583</v>
      </c>
      <c r="CQ336" s="140">
        <v>100440</v>
      </c>
      <c r="CR336" s="140">
        <v>7611333</v>
      </c>
      <c r="CS336" s="140">
        <v>0</v>
      </c>
      <c r="CT336" s="140">
        <v>1</v>
      </c>
      <c r="CU336" s="140">
        <v>7611333.1600000001</v>
      </c>
      <c r="CV336" s="99">
        <v>109369.71</v>
      </c>
      <c r="CW336" s="139" t="s">
        <v>606</v>
      </c>
      <c r="CX336" s="140">
        <v>16.074300000000001</v>
      </c>
      <c r="CY336" s="140"/>
      <c r="CZ336" s="140"/>
      <c r="DA336" s="140" t="s">
        <v>856</v>
      </c>
      <c r="DB336" s="140">
        <v>1527</v>
      </c>
      <c r="DC336" s="140"/>
    </row>
    <row r="337" spans="2:107" ht="11.25" customHeight="1" x14ac:dyDescent="0.15">
      <c r="B337" s="139" t="s">
        <v>577</v>
      </c>
      <c r="C337" s="140" t="s">
        <v>2171</v>
      </c>
      <c r="D337" s="140">
        <v>1</v>
      </c>
      <c r="E337" s="139" t="s">
        <v>2172</v>
      </c>
      <c r="F337" s="139" t="s">
        <v>580</v>
      </c>
      <c r="G337" s="140" t="s">
        <v>2171</v>
      </c>
      <c r="H337" s="139" t="s">
        <v>2173</v>
      </c>
      <c r="I337" s="140" t="s">
        <v>421</v>
      </c>
      <c r="J337" s="139" t="s">
        <v>582</v>
      </c>
      <c r="K337" s="139" t="s">
        <v>583</v>
      </c>
      <c r="L337" s="139" t="s">
        <v>583</v>
      </c>
      <c r="M337" s="139" t="s">
        <v>583</v>
      </c>
      <c r="N337" s="139" t="s">
        <v>757</v>
      </c>
      <c r="O337" s="139" t="s">
        <v>849</v>
      </c>
      <c r="P337" s="139" t="s">
        <v>583</v>
      </c>
      <c r="Q337" s="139" t="s">
        <v>583</v>
      </c>
      <c r="R337" s="140">
        <v>1</v>
      </c>
      <c r="S337" s="140">
        <v>0</v>
      </c>
      <c r="T337" s="140">
        <v>1</v>
      </c>
      <c r="U337" s="140">
        <v>18</v>
      </c>
      <c r="V337" s="139" t="s">
        <v>586</v>
      </c>
      <c r="W337" s="139" t="s">
        <v>587</v>
      </c>
      <c r="X337" s="139" t="s">
        <v>588</v>
      </c>
      <c r="Y337" s="139" t="s">
        <v>589</v>
      </c>
      <c r="Z337" s="139" t="s">
        <v>590</v>
      </c>
      <c r="AA337" s="139" t="s">
        <v>591</v>
      </c>
      <c r="AB337" s="139" t="s">
        <v>586</v>
      </c>
      <c r="AC337" s="139" t="s">
        <v>587</v>
      </c>
      <c r="AD337" s="139" t="s">
        <v>588</v>
      </c>
      <c r="AE337" s="139" t="s">
        <v>589</v>
      </c>
      <c r="AF337" s="139" t="s">
        <v>590</v>
      </c>
      <c r="AG337" s="139" t="s">
        <v>591</v>
      </c>
      <c r="AH337" s="139" t="s">
        <v>759</v>
      </c>
      <c r="AI337" s="139" t="s">
        <v>434</v>
      </c>
      <c r="AJ337" s="140">
        <v>12378681.789999999</v>
      </c>
      <c r="AK337" s="139" t="s">
        <v>586</v>
      </c>
      <c r="AL337" s="139" t="s">
        <v>587</v>
      </c>
      <c r="AM337" s="139" t="s">
        <v>588</v>
      </c>
      <c r="AN337" s="139" t="s">
        <v>589</v>
      </c>
      <c r="AO337" s="139" t="s">
        <v>590</v>
      </c>
      <c r="AP337" s="139" t="s">
        <v>591</v>
      </c>
      <c r="AQ337" s="139" t="s">
        <v>759</v>
      </c>
      <c r="AR337" s="139" t="s">
        <v>434</v>
      </c>
      <c r="AS337" s="139" t="s">
        <v>434</v>
      </c>
      <c r="AT337" s="139" t="s">
        <v>593</v>
      </c>
      <c r="AU337" s="139" t="s">
        <v>437</v>
      </c>
      <c r="AV337" s="140">
        <v>2</v>
      </c>
      <c r="AW337" s="139" t="s">
        <v>594</v>
      </c>
      <c r="AX337" s="139" t="s">
        <v>653</v>
      </c>
      <c r="AY337" s="139" t="s">
        <v>850</v>
      </c>
      <c r="AZ337" s="140">
        <v>1</v>
      </c>
      <c r="BA337" s="139" t="s">
        <v>597</v>
      </c>
      <c r="BB337" s="140">
        <v>164160</v>
      </c>
      <c r="BC337" s="140">
        <v>12378682</v>
      </c>
      <c r="BD337" s="140">
        <v>178528.72</v>
      </c>
      <c r="BE337" s="140">
        <v>75.406199999999998</v>
      </c>
      <c r="BF337" s="139" t="s">
        <v>880</v>
      </c>
      <c r="BG337" s="139" t="s">
        <v>583</v>
      </c>
      <c r="BH337" s="139" t="s">
        <v>851</v>
      </c>
      <c r="BI337" s="139" t="s">
        <v>598</v>
      </c>
      <c r="BJ337" s="139" t="s">
        <v>1100</v>
      </c>
      <c r="BK337" s="139" t="s">
        <v>1101</v>
      </c>
      <c r="BL337" s="139" t="s">
        <v>1101</v>
      </c>
      <c r="BM337" s="139" t="s">
        <v>583</v>
      </c>
      <c r="BN337" s="139" t="s">
        <v>1102</v>
      </c>
      <c r="BO337" s="139" t="s">
        <v>850</v>
      </c>
      <c r="BP337" s="139" t="s">
        <v>1686</v>
      </c>
      <c r="BQ337" s="139" t="s">
        <v>600</v>
      </c>
      <c r="BR337" s="140">
        <v>1</v>
      </c>
      <c r="BS337" s="139" t="s">
        <v>601</v>
      </c>
      <c r="BT337" s="99">
        <f t="shared" si="21"/>
        <v>0</v>
      </c>
      <c r="BU337" s="99">
        <f t="shared" si="21"/>
        <v>1</v>
      </c>
      <c r="BV337" s="99">
        <f t="shared" si="20"/>
        <v>1</v>
      </c>
      <c r="BW337" s="139" t="s">
        <v>602</v>
      </c>
      <c r="BX337" s="139" t="s">
        <v>757</v>
      </c>
      <c r="BY337" s="140">
        <v>18</v>
      </c>
      <c r="BZ337" s="140">
        <v>0</v>
      </c>
      <c r="CA337" s="99">
        <v>108000</v>
      </c>
      <c r="CB337" s="140" t="s">
        <v>603</v>
      </c>
      <c r="CC337" s="140">
        <v>0</v>
      </c>
      <c r="CD337" s="140"/>
      <c r="CE337" s="139" t="s">
        <v>577</v>
      </c>
      <c r="CF337" s="139" t="s">
        <v>604</v>
      </c>
      <c r="CG337" s="139" t="s">
        <v>583</v>
      </c>
      <c r="CH337" s="139" t="s">
        <v>583</v>
      </c>
      <c r="CI337" s="139" t="s">
        <v>759</v>
      </c>
      <c r="CJ337" s="140">
        <v>11340</v>
      </c>
      <c r="CK337" s="140" t="s">
        <v>605</v>
      </c>
      <c r="CL337" s="140">
        <v>4000000</v>
      </c>
      <c r="CM337" s="99">
        <v>10530</v>
      </c>
      <c r="CN337" s="140">
        <v>0</v>
      </c>
      <c r="CO337" s="139" t="s">
        <v>583</v>
      </c>
      <c r="CP337" s="139" t="s">
        <v>583</v>
      </c>
      <c r="CQ337" s="140">
        <v>164160</v>
      </c>
      <c r="CR337" s="140">
        <v>12378682</v>
      </c>
      <c r="CS337" s="140">
        <v>0</v>
      </c>
      <c r="CT337" s="140">
        <v>1</v>
      </c>
      <c r="CU337" s="140">
        <v>12378681.789999999</v>
      </c>
      <c r="CV337" s="99">
        <v>178528.72</v>
      </c>
      <c r="CW337" s="139" t="s">
        <v>606</v>
      </c>
      <c r="CX337" s="140">
        <v>16.9543</v>
      </c>
      <c r="CY337" s="140"/>
      <c r="CZ337" s="140"/>
      <c r="DA337" s="140" t="s">
        <v>856</v>
      </c>
      <c r="DB337" s="140">
        <v>1388</v>
      </c>
      <c r="DC337" s="140"/>
    </row>
    <row r="338" spans="2:107" ht="11.25" customHeight="1" x14ac:dyDescent="0.15">
      <c r="B338" s="139" t="s">
        <v>577</v>
      </c>
      <c r="C338" s="140" t="s">
        <v>2171</v>
      </c>
      <c r="D338" s="140">
        <v>1</v>
      </c>
      <c r="E338" s="139" t="s">
        <v>2174</v>
      </c>
      <c r="F338" s="139" t="s">
        <v>618</v>
      </c>
      <c r="G338" s="140" t="s">
        <v>2171</v>
      </c>
      <c r="H338" s="139" t="s">
        <v>2175</v>
      </c>
      <c r="I338" s="140" t="s">
        <v>421</v>
      </c>
      <c r="J338" s="139" t="s">
        <v>582</v>
      </c>
      <c r="K338" s="139" t="s">
        <v>583</v>
      </c>
      <c r="L338" s="139" t="s">
        <v>583</v>
      </c>
      <c r="M338" s="139" t="s">
        <v>583</v>
      </c>
      <c r="N338" s="139" t="s">
        <v>441</v>
      </c>
      <c r="O338" s="139" t="s">
        <v>630</v>
      </c>
      <c r="P338" s="139" t="s">
        <v>583</v>
      </c>
      <c r="Q338" s="139" t="s">
        <v>583</v>
      </c>
      <c r="R338" s="140">
        <v>1</v>
      </c>
      <c r="S338" s="140">
        <v>0</v>
      </c>
      <c r="T338" s="140">
        <v>1</v>
      </c>
      <c r="U338" s="140">
        <v>300</v>
      </c>
      <c r="V338" s="139" t="s">
        <v>709</v>
      </c>
      <c r="W338" s="139" t="s">
        <v>710</v>
      </c>
      <c r="X338" s="139" t="s">
        <v>711</v>
      </c>
      <c r="Y338" s="139" t="s">
        <v>712</v>
      </c>
      <c r="Z338" s="139" t="s">
        <v>713</v>
      </c>
      <c r="AA338" s="139" t="s">
        <v>714</v>
      </c>
      <c r="AB338" s="139" t="s">
        <v>709</v>
      </c>
      <c r="AC338" s="139" t="s">
        <v>710</v>
      </c>
      <c r="AD338" s="139" t="s">
        <v>711</v>
      </c>
      <c r="AE338" s="139" t="s">
        <v>712</v>
      </c>
      <c r="AF338" s="139" t="s">
        <v>713</v>
      </c>
      <c r="AG338" s="139" t="s">
        <v>714</v>
      </c>
      <c r="AH338" s="139" t="s">
        <v>621</v>
      </c>
      <c r="AI338" s="139" t="s">
        <v>430</v>
      </c>
      <c r="AJ338" s="140">
        <v>7012776.5999999996</v>
      </c>
      <c r="AK338" s="139" t="s">
        <v>709</v>
      </c>
      <c r="AL338" s="139" t="s">
        <v>710</v>
      </c>
      <c r="AM338" s="139" t="s">
        <v>711</v>
      </c>
      <c r="AN338" s="139" t="s">
        <v>712</v>
      </c>
      <c r="AO338" s="139" t="s">
        <v>713</v>
      </c>
      <c r="AP338" s="139" t="s">
        <v>714</v>
      </c>
      <c r="AQ338" s="139" t="s">
        <v>621</v>
      </c>
      <c r="AR338" s="139" t="s">
        <v>430</v>
      </c>
      <c r="AS338" s="139" t="s">
        <v>430</v>
      </c>
      <c r="AT338" s="139" t="s">
        <v>593</v>
      </c>
      <c r="AU338" s="139" t="s">
        <v>437</v>
      </c>
      <c r="AV338" s="140">
        <v>0</v>
      </c>
      <c r="AW338" s="139" t="s">
        <v>594</v>
      </c>
      <c r="AX338" s="139" t="s">
        <v>622</v>
      </c>
      <c r="AY338" s="139" t="s">
        <v>623</v>
      </c>
      <c r="AZ338" s="140">
        <v>1</v>
      </c>
      <c r="BA338" s="139" t="s">
        <v>597</v>
      </c>
      <c r="BB338" s="140">
        <v>93000</v>
      </c>
      <c r="BC338" s="140">
        <v>7012777</v>
      </c>
      <c r="BD338" s="140">
        <v>101140.18</v>
      </c>
      <c r="BE338" s="140">
        <v>75.406199999999998</v>
      </c>
      <c r="BF338" s="139" t="s">
        <v>880</v>
      </c>
      <c r="BG338" s="139" t="s">
        <v>582</v>
      </c>
      <c r="BH338" s="139" t="s">
        <v>881</v>
      </c>
      <c r="BI338" s="139" t="s">
        <v>598</v>
      </c>
      <c r="BJ338" s="139" t="s">
        <v>624</v>
      </c>
      <c r="BK338" s="139" t="s">
        <v>882</v>
      </c>
      <c r="BL338" s="139" t="s">
        <v>583</v>
      </c>
      <c r="BM338" s="139" t="s">
        <v>883</v>
      </c>
      <c r="BN338" s="139" t="s">
        <v>583</v>
      </c>
      <c r="BO338" s="139" t="s">
        <v>623</v>
      </c>
      <c r="BP338" s="139" t="s">
        <v>1692</v>
      </c>
      <c r="BQ338" s="139" t="s">
        <v>625</v>
      </c>
      <c r="BR338" s="140">
        <v>1</v>
      </c>
      <c r="BS338" s="139" t="s">
        <v>2176</v>
      </c>
      <c r="BT338" s="99">
        <f t="shared" si="21"/>
        <v>0</v>
      </c>
      <c r="BU338" s="99">
        <f t="shared" si="21"/>
        <v>1</v>
      </c>
      <c r="BV338" s="99">
        <f t="shared" si="20"/>
        <v>1</v>
      </c>
      <c r="BW338" s="139" t="s">
        <v>635</v>
      </c>
      <c r="BX338" s="139" t="s">
        <v>441</v>
      </c>
      <c r="BY338" s="140">
        <v>300</v>
      </c>
      <c r="BZ338" s="140">
        <v>0</v>
      </c>
      <c r="CA338" s="99">
        <v>60000</v>
      </c>
      <c r="CB338" s="140" t="s">
        <v>603</v>
      </c>
      <c r="CC338" s="140">
        <v>0</v>
      </c>
      <c r="CD338" s="140"/>
      <c r="CE338" s="139" t="s">
        <v>577</v>
      </c>
      <c r="CF338" s="139" t="s">
        <v>604</v>
      </c>
      <c r="CG338" s="139" t="s">
        <v>583</v>
      </c>
      <c r="CH338" s="139" t="s">
        <v>583</v>
      </c>
      <c r="CI338" s="139" t="s">
        <v>621</v>
      </c>
      <c r="CJ338" s="140">
        <v>6426</v>
      </c>
      <c r="CK338" s="140" t="s">
        <v>605</v>
      </c>
      <c r="CL338" s="140">
        <v>4000000</v>
      </c>
      <c r="CM338" s="99">
        <v>5400</v>
      </c>
      <c r="CN338" s="140">
        <v>0</v>
      </c>
      <c r="CO338" s="139" t="s">
        <v>583</v>
      </c>
      <c r="CP338" s="139" t="s">
        <v>583</v>
      </c>
      <c r="CQ338" s="140">
        <v>93000</v>
      </c>
      <c r="CR338" s="140">
        <v>7012777</v>
      </c>
      <c r="CS338" s="140">
        <v>0</v>
      </c>
      <c r="CT338" s="140">
        <v>1</v>
      </c>
      <c r="CU338" s="140">
        <v>7012776.5999999996</v>
      </c>
      <c r="CV338" s="99">
        <v>101140.18</v>
      </c>
      <c r="CW338" s="139" t="s">
        <v>606</v>
      </c>
      <c r="CX338" s="140">
        <v>18.729700000000001</v>
      </c>
      <c r="CY338" s="140"/>
      <c r="CZ338" s="140"/>
      <c r="DA338" s="140" t="s">
        <v>886</v>
      </c>
      <c r="DB338" s="140">
        <v>972</v>
      </c>
      <c r="DC338" s="140"/>
    </row>
    <row r="339" spans="2:107" ht="11.25" customHeight="1" x14ac:dyDescent="0.15">
      <c r="B339" s="139" t="s">
        <v>577</v>
      </c>
      <c r="C339" s="140" t="s">
        <v>2171</v>
      </c>
      <c r="D339" s="140">
        <v>1</v>
      </c>
      <c r="E339" s="139" t="s">
        <v>2177</v>
      </c>
      <c r="F339" s="139" t="s">
        <v>729</v>
      </c>
      <c r="G339" s="140" t="s">
        <v>2171</v>
      </c>
      <c r="H339" s="139" t="s">
        <v>2178</v>
      </c>
      <c r="I339" s="140" t="s">
        <v>421</v>
      </c>
      <c r="J339" s="139" t="s">
        <v>582</v>
      </c>
      <c r="K339" s="139" t="s">
        <v>583</v>
      </c>
      <c r="L339" s="139" t="s">
        <v>583</v>
      </c>
      <c r="M339" s="139" t="s">
        <v>583</v>
      </c>
      <c r="N339" s="139" t="s">
        <v>778</v>
      </c>
      <c r="O339" s="139" t="s">
        <v>1111</v>
      </c>
      <c r="P339" s="139" t="s">
        <v>583</v>
      </c>
      <c r="Q339" s="139" t="s">
        <v>583</v>
      </c>
      <c r="R339" s="140">
        <v>1</v>
      </c>
      <c r="S339" s="140">
        <v>0</v>
      </c>
      <c r="T339" s="140">
        <v>1</v>
      </c>
      <c r="U339" s="140">
        <v>200</v>
      </c>
      <c r="V339" s="139" t="s">
        <v>691</v>
      </c>
      <c r="W339" s="139" t="s">
        <v>692</v>
      </c>
      <c r="X339" s="139" t="s">
        <v>693</v>
      </c>
      <c r="Y339" s="139" t="s">
        <v>694</v>
      </c>
      <c r="Z339" s="139" t="s">
        <v>695</v>
      </c>
      <c r="AA339" s="139" t="s">
        <v>696</v>
      </c>
      <c r="AB339" s="139" t="s">
        <v>691</v>
      </c>
      <c r="AC339" s="139" t="s">
        <v>692</v>
      </c>
      <c r="AD339" s="139" t="s">
        <v>693</v>
      </c>
      <c r="AE339" s="139" t="s">
        <v>694</v>
      </c>
      <c r="AF339" s="139" t="s">
        <v>695</v>
      </c>
      <c r="AG339" s="139" t="s">
        <v>696</v>
      </c>
      <c r="AH339" s="139" t="s">
        <v>751</v>
      </c>
      <c r="AI339" s="139" t="s">
        <v>433</v>
      </c>
      <c r="AJ339" s="140">
        <v>5444026.0199999996</v>
      </c>
      <c r="AK339" s="139" t="s">
        <v>691</v>
      </c>
      <c r="AL339" s="139" t="s">
        <v>692</v>
      </c>
      <c r="AM339" s="139" t="s">
        <v>693</v>
      </c>
      <c r="AN339" s="139" t="s">
        <v>694</v>
      </c>
      <c r="AO339" s="139" t="s">
        <v>695</v>
      </c>
      <c r="AP339" s="139" t="s">
        <v>696</v>
      </c>
      <c r="AQ339" s="139" t="s">
        <v>751</v>
      </c>
      <c r="AR339" s="139" t="s">
        <v>433</v>
      </c>
      <c r="AS339" s="139" t="s">
        <v>433</v>
      </c>
      <c r="AT339" s="139" t="s">
        <v>593</v>
      </c>
      <c r="AU339" s="139" t="s">
        <v>437</v>
      </c>
      <c r="AV339" s="140">
        <v>2</v>
      </c>
      <c r="AW339" s="139" t="s">
        <v>594</v>
      </c>
      <c r="AX339" s="139" t="s">
        <v>653</v>
      </c>
      <c r="AY339" s="139" t="s">
        <v>780</v>
      </c>
      <c r="AZ339" s="140">
        <v>1</v>
      </c>
      <c r="BA339" s="139" t="s">
        <v>597</v>
      </c>
      <c r="BB339" s="140">
        <v>72196</v>
      </c>
      <c r="BC339" s="140">
        <v>5444026</v>
      </c>
      <c r="BD339" s="140">
        <v>78515.23</v>
      </c>
      <c r="BE339" s="140">
        <v>75.406199999999998</v>
      </c>
      <c r="BF339" s="139" t="s">
        <v>880</v>
      </c>
      <c r="BG339" s="139" t="s">
        <v>735</v>
      </c>
      <c r="BH339" s="139" t="s">
        <v>1112</v>
      </c>
      <c r="BI339" s="139" t="s">
        <v>598</v>
      </c>
      <c r="BJ339" s="139" t="s">
        <v>599</v>
      </c>
      <c r="BK339" s="139" t="s">
        <v>583</v>
      </c>
      <c r="BL339" s="139" t="s">
        <v>1475</v>
      </c>
      <c r="BM339" s="139" t="s">
        <v>583</v>
      </c>
      <c r="BN339" s="139" t="s">
        <v>738</v>
      </c>
      <c r="BO339" s="139" t="s">
        <v>1919</v>
      </c>
      <c r="BP339" s="139" t="s">
        <v>1920</v>
      </c>
      <c r="BQ339" s="139" t="s">
        <v>1921</v>
      </c>
      <c r="BR339" s="140">
        <v>1</v>
      </c>
      <c r="BS339" s="139" t="s">
        <v>1478</v>
      </c>
      <c r="BT339" s="99">
        <f t="shared" si="21"/>
        <v>0</v>
      </c>
      <c r="BU339" s="99">
        <f t="shared" si="21"/>
        <v>0</v>
      </c>
      <c r="BV339" s="99">
        <f t="shared" si="20"/>
        <v>0</v>
      </c>
      <c r="BW339" s="139" t="s">
        <v>1479</v>
      </c>
      <c r="BX339" s="139" t="s">
        <v>778</v>
      </c>
      <c r="BY339" s="140">
        <v>200</v>
      </c>
      <c r="BZ339" s="140">
        <v>0</v>
      </c>
      <c r="CA339" s="99">
        <v>40000</v>
      </c>
      <c r="CB339" s="140" t="s">
        <v>603</v>
      </c>
      <c r="CC339" s="140">
        <v>0</v>
      </c>
      <c r="CD339" s="140"/>
      <c r="CE339" s="139" t="s">
        <v>577</v>
      </c>
      <c r="CF339" s="139" t="s">
        <v>604</v>
      </c>
      <c r="CG339" s="139" t="s">
        <v>583</v>
      </c>
      <c r="CH339" s="139" t="s">
        <v>583</v>
      </c>
      <c r="CI339" s="139" t="s">
        <v>751</v>
      </c>
      <c r="CJ339" s="140">
        <v>4200</v>
      </c>
      <c r="CK339" s="140" t="s">
        <v>605</v>
      </c>
      <c r="CL339" s="140">
        <v>4000000</v>
      </c>
      <c r="CM339" s="99">
        <v>4000</v>
      </c>
      <c r="CN339" s="140">
        <v>0</v>
      </c>
      <c r="CO339" s="139" t="s">
        <v>583</v>
      </c>
      <c r="CP339" s="139" t="s">
        <v>583</v>
      </c>
      <c r="CQ339" s="140">
        <v>72196</v>
      </c>
      <c r="CR339" s="140">
        <v>5444026</v>
      </c>
      <c r="CS339" s="140">
        <v>0</v>
      </c>
      <c r="CT339" s="140">
        <v>1</v>
      </c>
      <c r="CU339" s="140">
        <v>5444026.0199999996</v>
      </c>
      <c r="CV339" s="99">
        <v>78515.23</v>
      </c>
      <c r="CW339" s="139" t="s">
        <v>606</v>
      </c>
      <c r="CX339" s="140">
        <v>19.628799999999998</v>
      </c>
      <c r="CY339" s="140">
        <v>933</v>
      </c>
      <c r="CZ339" s="140" t="s">
        <v>894</v>
      </c>
      <c r="DA339" s="140" t="s">
        <v>1480</v>
      </c>
      <c r="DB339" s="140">
        <v>140</v>
      </c>
      <c r="DC339" s="140"/>
    </row>
    <row r="340" spans="2:107" ht="11.25" customHeight="1" x14ac:dyDescent="0.15">
      <c r="B340" s="139" t="s">
        <v>577</v>
      </c>
      <c r="C340" s="140" t="s">
        <v>1383</v>
      </c>
      <c r="D340" s="140">
        <v>5</v>
      </c>
      <c r="E340" s="139" t="s">
        <v>2179</v>
      </c>
      <c r="F340" s="139" t="s">
        <v>995</v>
      </c>
      <c r="G340" s="140" t="s">
        <v>1383</v>
      </c>
      <c r="H340" s="139" t="s">
        <v>2180</v>
      </c>
      <c r="I340" s="140" t="s">
        <v>423</v>
      </c>
      <c r="J340" s="139" t="s">
        <v>606</v>
      </c>
      <c r="K340" s="139" t="s">
        <v>583</v>
      </c>
      <c r="L340" s="139" t="s">
        <v>2181</v>
      </c>
      <c r="M340" s="139" t="s">
        <v>2182</v>
      </c>
      <c r="N340" s="139" t="s">
        <v>2183</v>
      </c>
      <c r="O340" s="139" t="s">
        <v>2184</v>
      </c>
      <c r="P340" s="139" t="s">
        <v>2185</v>
      </c>
      <c r="Q340" s="139" t="s">
        <v>2186</v>
      </c>
      <c r="R340" s="140">
        <v>1</v>
      </c>
      <c r="S340" s="140">
        <v>0</v>
      </c>
      <c r="T340" s="140">
        <v>1</v>
      </c>
      <c r="U340" s="140">
        <v>800</v>
      </c>
      <c r="V340" s="139" t="s">
        <v>583</v>
      </c>
      <c r="W340" s="139" t="s">
        <v>583</v>
      </c>
      <c r="X340" s="139" t="s">
        <v>2187</v>
      </c>
      <c r="Y340" s="139" t="s">
        <v>2188</v>
      </c>
      <c r="Z340" s="139" t="s">
        <v>583</v>
      </c>
      <c r="AA340" s="139" t="s">
        <v>583</v>
      </c>
      <c r="AB340" s="139" t="s">
        <v>2181</v>
      </c>
      <c r="AC340" s="139" t="s">
        <v>2182</v>
      </c>
      <c r="AD340" s="139" t="s">
        <v>2183</v>
      </c>
      <c r="AE340" s="139" t="s">
        <v>2184</v>
      </c>
      <c r="AF340" s="139" t="s">
        <v>2185</v>
      </c>
      <c r="AG340" s="139" t="s">
        <v>2186</v>
      </c>
      <c r="AH340" s="139" t="s">
        <v>2189</v>
      </c>
      <c r="AI340" s="139" t="s">
        <v>2190</v>
      </c>
      <c r="AJ340" s="140">
        <v>0</v>
      </c>
      <c r="AK340" s="139" t="s">
        <v>2181</v>
      </c>
      <c r="AL340" s="139" t="s">
        <v>2182</v>
      </c>
      <c r="AM340" s="139" t="s">
        <v>2183</v>
      </c>
      <c r="AN340" s="139" t="s">
        <v>2184</v>
      </c>
      <c r="AO340" s="139" t="s">
        <v>2185</v>
      </c>
      <c r="AP340" s="139" t="s">
        <v>2186</v>
      </c>
      <c r="AQ340" s="139" t="s">
        <v>593</v>
      </c>
      <c r="AR340" s="139" t="s">
        <v>437</v>
      </c>
      <c r="AS340" s="139" t="s">
        <v>437</v>
      </c>
      <c r="AT340" s="139" t="s">
        <v>2189</v>
      </c>
      <c r="AU340" s="139" t="s">
        <v>2190</v>
      </c>
      <c r="AV340" s="140">
        <v>2</v>
      </c>
      <c r="AW340" s="139" t="s">
        <v>594</v>
      </c>
      <c r="AX340" s="139" t="s">
        <v>595</v>
      </c>
      <c r="AY340" s="139" t="s">
        <v>2191</v>
      </c>
      <c r="AZ340" s="140">
        <v>1</v>
      </c>
      <c r="BA340" s="139" t="s">
        <v>2192</v>
      </c>
      <c r="BB340" s="140">
        <v>6537600</v>
      </c>
      <c r="BC340" s="140">
        <v>6537600</v>
      </c>
      <c r="BD340" s="140">
        <v>84679.44</v>
      </c>
      <c r="BE340" s="140">
        <v>0</v>
      </c>
      <c r="BF340" s="139" t="s">
        <v>880</v>
      </c>
      <c r="BG340" s="139" t="s">
        <v>583</v>
      </c>
      <c r="BH340" s="139" t="s">
        <v>583</v>
      </c>
      <c r="BI340" s="139" t="s">
        <v>598</v>
      </c>
      <c r="BJ340" s="139" t="s">
        <v>599</v>
      </c>
      <c r="BK340" s="139" t="s">
        <v>583</v>
      </c>
      <c r="BL340" s="139" t="s">
        <v>583</v>
      </c>
      <c r="BM340" s="139" t="s">
        <v>583</v>
      </c>
      <c r="BN340" s="139" t="s">
        <v>2193</v>
      </c>
      <c r="BO340" s="139" t="s">
        <v>2194</v>
      </c>
      <c r="BP340" s="139" t="s">
        <v>2195</v>
      </c>
      <c r="BQ340" s="139" t="s">
        <v>2196</v>
      </c>
      <c r="BR340" s="140">
        <v>1</v>
      </c>
      <c r="BS340" s="139" t="s">
        <v>2197</v>
      </c>
      <c r="BT340" s="99">
        <f t="shared" si="21"/>
        <v>0</v>
      </c>
      <c r="BU340" s="99">
        <f t="shared" si="21"/>
        <v>0</v>
      </c>
      <c r="BV340" s="99">
        <f t="shared" si="20"/>
        <v>0</v>
      </c>
      <c r="BW340" s="139" t="s">
        <v>602</v>
      </c>
      <c r="BX340" s="139" t="s">
        <v>2183</v>
      </c>
      <c r="BY340" s="140">
        <v>800</v>
      </c>
      <c r="BZ340" s="140">
        <v>0</v>
      </c>
      <c r="CA340" s="99">
        <v>288000</v>
      </c>
      <c r="CB340" s="140" t="s">
        <v>603</v>
      </c>
      <c r="CC340" s="140">
        <v>0</v>
      </c>
      <c r="CD340" s="140"/>
      <c r="CE340" s="139" t="s">
        <v>577</v>
      </c>
      <c r="CF340" s="139" t="s">
        <v>2198</v>
      </c>
      <c r="CG340" s="139" t="s">
        <v>583</v>
      </c>
      <c r="CH340" s="139" t="s">
        <v>583</v>
      </c>
      <c r="CI340" s="139" t="s">
        <v>593</v>
      </c>
      <c r="CJ340" s="140">
        <v>19720</v>
      </c>
      <c r="CK340" s="140" t="s">
        <v>2199</v>
      </c>
      <c r="CL340" s="140">
        <v>1000000</v>
      </c>
      <c r="CM340" s="99">
        <v>17720</v>
      </c>
      <c r="CN340" s="140">
        <v>0</v>
      </c>
      <c r="CO340" s="139" t="s">
        <v>583</v>
      </c>
      <c r="CP340" s="139" t="s">
        <v>583</v>
      </c>
      <c r="CQ340" s="140">
        <v>6537600</v>
      </c>
      <c r="CR340" s="140">
        <v>6537600</v>
      </c>
      <c r="CS340" s="140"/>
      <c r="CT340" s="140"/>
      <c r="CU340" s="140">
        <v>0</v>
      </c>
      <c r="CV340" s="99">
        <v>84679.44</v>
      </c>
      <c r="CW340" s="139" t="s">
        <v>606</v>
      </c>
      <c r="CX340" s="140">
        <v>4.7786999999999997</v>
      </c>
      <c r="CY340" s="140">
        <v>1341</v>
      </c>
      <c r="CZ340" s="140" t="s">
        <v>2200</v>
      </c>
      <c r="DA340" s="140" t="s">
        <v>2201</v>
      </c>
      <c r="DB340" s="140">
        <v>130</v>
      </c>
      <c r="DC340" s="140"/>
    </row>
    <row r="341" spans="2:107" ht="11.25" customHeight="1" x14ac:dyDescent="0.15">
      <c r="B341" s="139" t="s">
        <v>577</v>
      </c>
      <c r="C341" s="140" t="s">
        <v>1335</v>
      </c>
      <c r="D341" s="140">
        <v>5</v>
      </c>
      <c r="E341" s="139" t="s">
        <v>2202</v>
      </c>
      <c r="F341" s="139" t="s">
        <v>995</v>
      </c>
      <c r="G341" s="140" t="s">
        <v>1335</v>
      </c>
      <c r="H341" s="139" t="s">
        <v>2203</v>
      </c>
      <c r="I341" s="140" t="s">
        <v>423</v>
      </c>
      <c r="J341" s="139" t="s">
        <v>606</v>
      </c>
      <c r="K341" s="139" t="s">
        <v>583</v>
      </c>
      <c r="L341" s="139" t="s">
        <v>2181</v>
      </c>
      <c r="M341" s="139" t="s">
        <v>2182</v>
      </c>
      <c r="N341" s="139" t="s">
        <v>2183</v>
      </c>
      <c r="O341" s="139" t="s">
        <v>2184</v>
      </c>
      <c r="P341" s="139" t="s">
        <v>2185</v>
      </c>
      <c r="Q341" s="139" t="s">
        <v>2186</v>
      </c>
      <c r="R341" s="140">
        <v>1</v>
      </c>
      <c r="S341" s="140">
        <v>0</v>
      </c>
      <c r="T341" s="140">
        <v>1</v>
      </c>
      <c r="U341" s="140">
        <v>800</v>
      </c>
      <c r="V341" s="139" t="s">
        <v>583</v>
      </c>
      <c r="W341" s="139" t="s">
        <v>583</v>
      </c>
      <c r="X341" s="139" t="s">
        <v>2187</v>
      </c>
      <c r="Y341" s="139" t="s">
        <v>2204</v>
      </c>
      <c r="Z341" s="139" t="s">
        <v>583</v>
      </c>
      <c r="AA341" s="139" t="s">
        <v>583</v>
      </c>
      <c r="AB341" s="139" t="s">
        <v>2181</v>
      </c>
      <c r="AC341" s="139" t="s">
        <v>2182</v>
      </c>
      <c r="AD341" s="139" t="s">
        <v>2183</v>
      </c>
      <c r="AE341" s="139" t="s">
        <v>2184</v>
      </c>
      <c r="AF341" s="139" t="s">
        <v>2185</v>
      </c>
      <c r="AG341" s="139" t="s">
        <v>2186</v>
      </c>
      <c r="AH341" s="139" t="s">
        <v>2189</v>
      </c>
      <c r="AI341" s="139" t="s">
        <v>2190</v>
      </c>
      <c r="AJ341" s="140">
        <v>0</v>
      </c>
      <c r="AK341" s="139" t="s">
        <v>2181</v>
      </c>
      <c r="AL341" s="139" t="s">
        <v>2182</v>
      </c>
      <c r="AM341" s="139" t="s">
        <v>2183</v>
      </c>
      <c r="AN341" s="139" t="s">
        <v>2184</v>
      </c>
      <c r="AO341" s="139" t="s">
        <v>2185</v>
      </c>
      <c r="AP341" s="139" t="s">
        <v>2186</v>
      </c>
      <c r="AQ341" s="139" t="s">
        <v>593</v>
      </c>
      <c r="AR341" s="139" t="s">
        <v>437</v>
      </c>
      <c r="AS341" s="139" t="s">
        <v>437</v>
      </c>
      <c r="AT341" s="139" t="s">
        <v>2189</v>
      </c>
      <c r="AU341" s="139" t="s">
        <v>2190</v>
      </c>
      <c r="AV341" s="140">
        <v>2</v>
      </c>
      <c r="AW341" s="139" t="s">
        <v>594</v>
      </c>
      <c r="AX341" s="139" t="s">
        <v>595</v>
      </c>
      <c r="AY341" s="139" t="s">
        <v>2191</v>
      </c>
      <c r="AZ341" s="140">
        <v>1</v>
      </c>
      <c r="BA341" s="139" t="s">
        <v>2192</v>
      </c>
      <c r="BB341" s="140">
        <v>6537600</v>
      </c>
      <c r="BC341" s="140">
        <v>6537600</v>
      </c>
      <c r="BD341" s="140">
        <v>81783.48</v>
      </c>
      <c r="BE341" s="140">
        <v>0</v>
      </c>
      <c r="BF341" s="139" t="s">
        <v>880</v>
      </c>
      <c r="BG341" s="139" t="s">
        <v>863</v>
      </c>
      <c r="BH341" s="139" t="s">
        <v>2205</v>
      </c>
      <c r="BI341" s="139" t="s">
        <v>2206</v>
      </c>
      <c r="BJ341" s="139" t="s">
        <v>599</v>
      </c>
      <c r="BK341" s="139" t="s">
        <v>583</v>
      </c>
      <c r="BL341" s="139" t="s">
        <v>583</v>
      </c>
      <c r="BM341" s="139" t="s">
        <v>583</v>
      </c>
      <c r="BN341" s="139" t="s">
        <v>2193</v>
      </c>
      <c r="BO341" s="139" t="s">
        <v>2194</v>
      </c>
      <c r="BP341" s="139" t="s">
        <v>2195</v>
      </c>
      <c r="BQ341" s="139" t="s">
        <v>2196</v>
      </c>
      <c r="BR341" s="140">
        <v>1</v>
      </c>
      <c r="BS341" s="139" t="s">
        <v>2197</v>
      </c>
      <c r="BT341" s="99">
        <f t="shared" si="21"/>
        <v>0</v>
      </c>
      <c r="BU341" s="99">
        <f t="shared" si="21"/>
        <v>0</v>
      </c>
      <c r="BV341" s="99">
        <f t="shared" si="20"/>
        <v>0</v>
      </c>
      <c r="BW341" s="139" t="s">
        <v>602</v>
      </c>
      <c r="BX341" s="139" t="s">
        <v>2183</v>
      </c>
      <c r="BY341" s="140">
        <v>800</v>
      </c>
      <c r="BZ341" s="140">
        <v>0</v>
      </c>
      <c r="CA341" s="99">
        <v>288000</v>
      </c>
      <c r="CB341" s="140" t="s">
        <v>603</v>
      </c>
      <c r="CC341" s="140">
        <v>0</v>
      </c>
      <c r="CD341" s="140"/>
      <c r="CE341" s="139" t="s">
        <v>577</v>
      </c>
      <c r="CF341" s="139" t="s">
        <v>2198</v>
      </c>
      <c r="CG341" s="139" t="s">
        <v>583</v>
      </c>
      <c r="CH341" s="139" t="s">
        <v>583</v>
      </c>
      <c r="CI341" s="139" t="s">
        <v>593</v>
      </c>
      <c r="CJ341" s="140">
        <v>19790</v>
      </c>
      <c r="CK341" s="140" t="s">
        <v>2199</v>
      </c>
      <c r="CL341" s="140">
        <v>1000000</v>
      </c>
      <c r="CM341" s="99">
        <v>17810</v>
      </c>
      <c r="CN341" s="140">
        <v>0</v>
      </c>
      <c r="CO341" s="139" t="s">
        <v>583</v>
      </c>
      <c r="CP341" s="139" t="s">
        <v>583</v>
      </c>
      <c r="CQ341" s="140">
        <v>6537600</v>
      </c>
      <c r="CR341" s="140">
        <v>6537600</v>
      </c>
      <c r="CS341" s="140"/>
      <c r="CT341" s="140"/>
      <c r="CU341" s="140">
        <v>0</v>
      </c>
      <c r="CV341" s="99">
        <v>81783.48</v>
      </c>
      <c r="CW341" s="139" t="s">
        <v>606</v>
      </c>
      <c r="CX341" s="140">
        <v>4.5919999999999996</v>
      </c>
      <c r="CY341" s="140">
        <v>1341</v>
      </c>
      <c r="CZ341" s="140" t="s">
        <v>2200</v>
      </c>
      <c r="DA341" s="140" t="s">
        <v>2201</v>
      </c>
      <c r="DB341" s="140">
        <v>21</v>
      </c>
      <c r="DC341" s="140"/>
    </row>
    <row r="342" spans="2:107" ht="11.25" customHeight="1" x14ac:dyDescent="0.15">
      <c r="B342" s="139" t="s">
        <v>577</v>
      </c>
      <c r="C342" s="140" t="s">
        <v>2207</v>
      </c>
      <c r="D342" s="140">
        <v>5</v>
      </c>
      <c r="E342" s="139" t="s">
        <v>2208</v>
      </c>
      <c r="F342" s="139" t="s">
        <v>995</v>
      </c>
      <c r="G342" s="140" t="s">
        <v>2207</v>
      </c>
      <c r="H342" s="139" t="s">
        <v>2209</v>
      </c>
      <c r="I342" s="140" t="s">
        <v>423</v>
      </c>
      <c r="J342" s="139" t="s">
        <v>606</v>
      </c>
      <c r="K342" s="139" t="s">
        <v>583</v>
      </c>
      <c r="L342" s="139" t="s">
        <v>2181</v>
      </c>
      <c r="M342" s="139" t="s">
        <v>2182</v>
      </c>
      <c r="N342" s="139" t="s">
        <v>2183</v>
      </c>
      <c r="O342" s="139" t="s">
        <v>2184</v>
      </c>
      <c r="P342" s="139" t="s">
        <v>2185</v>
      </c>
      <c r="Q342" s="139" t="s">
        <v>2186</v>
      </c>
      <c r="R342" s="140">
        <v>1</v>
      </c>
      <c r="S342" s="140">
        <v>0</v>
      </c>
      <c r="T342" s="140">
        <v>1</v>
      </c>
      <c r="U342" s="140">
        <v>800</v>
      </c>
      <c r="V342" s="139" t="s">
        <v>583</v>
      </c>
      <c r="W342" s="139" t="s">
        <v>583</v>
      </c>
      <c r="X342" s="139" t="s">
        <v>2187</v>
      </c>
      <c r="Y342" s="139" t="s">
        <v>2204</v>
      </c>
      <c r="Z342" s="139" t="s">
        <v>583</v>
      </c>
      <c r="AA342" s="139" t="s">
        <v>583</v>
      </c>
      <c r="AB342" s="139" t="s">
        <v>2181</v>
      </c>
      <c r="AC342" s="139" t="s">
        <v>2182</v>
      </c>
      <c r="AD342" s="139" t="s">
        <v>2183</v>
      </c>
      <c r="AE342" s="139" t="s">
        <v>2184</v>
      </c>
      <c r="AF342" s="139" t="s">
        <v>2185</v>
      </c>
      <c r="AG342" s="139" t="s">
        <v>2186</v>
      </c>
      <c r="AH342" s="139" t="s">
        <v>2189</v>
      </c>
      <c r="AI342" s="139" t="s">
        <v>2190</v>
      </c>
      <c r="AJ342" s="140">
        <v>0</v>
      </c>
      <c r="AK342" s="139" t="s">
        <v>2181</v>
      </c>
      <c r="AL342" s="139" t="s">
        <v>2182</v>
      </c>
      <c r="AM342" s="139" t="s">
        <v>2183</v>
      </c>
      <c r="AN342" s="139" t="s">
        <v>2184</v>
      </c>
      <c r="AO342" s="139" t="s">
        <v>2185</v>
      </c>
      <c r="AP342" s="139" t="s">
        <v>2186</v>
      </c>
      <c r="AQ342" s="139" t="s">
        <v>593</v>
      </c>
      <c r="AR342" s="139" t="s">
        <v>437</v>
      </c>
      <c r="AS342" s="139" t="s">
        <v>437</v>
      </c>
      <c r="AT342" s="139" t="s">
        <v>2189</v>
      </c>
      <c r="AU342" s="139" t="s">
        <v>2190</v>
      </c>
      <c r="AV342" s="140">
        <v>2</v>
      </c>
      <c r="AW342" s="139" t="s">
        <v>594</v>
      </c>
      <c r="AX342" s="139" t="s">
        <v>595</v>
      </c>
      <c r="AY342" s="139" t="s">
        <v>2191</v>
      </c>
      <c r="AZ342" s="140">
        <v>1</v>
      </c>
      <c r="BA342" s="139" t="s">
        <v>2192</v>
      </c>
      <c r="BB342" s="140">
        <v>6537600</v>
      </c>
      <c r="BC342" s="140">
        <v>6537600</v>
      </c>
      <c r="BD342" s="140">
        <v>81663.350000000006</v>
      </c>
      <c r="BE342" s="140">
        <v>0</v>
      </c>
      <c r="BF342" s="139" t="s">
        <v>880</v>
      </c>
      <c r="BG342" s="139" t="s">
        <v>583</v>
      </c>
      <c r="BH342" s="139" t="s">
        <v>2205</v>
      </c>
      <c r="BI342" s="139" t="s">
        <v>598</v>
      </c>
      <c r="BJ342" s="139" t="s">
        <v>599</v>
      </c>
      <c r="BK342" s="139" t="s">
        <v>583</v>
      </c>
      <c r="BL342" s="139" t="s">
        <v>583</v>
      </c>
      <c r="BM342" s="139" t="s">
        <v>583</v>
      </c>
      <c r="BN342" s="139" t="s">
        <v>2193</v>
      </c>
      <c r="BO342" s="139" t="s">
        <v>2194</v>
      </c>
      <c r="BP342" s="139" t="s">
        <v>2195</v>
      </c>
      <c r="BQ342" s="139" t="s">
        <v>2196</v>
      </c>
      <c r="BR342" s="140">
        <v>1</v>
      </c>
      <c r="BS342" s="139" t="s">
        <v>2197</v>
      </c>
      <c r="BT342" s="99">
        <f t="shared" si="21"/>
        <v>0</v>
      </c>
      <c r="BU342" s="99">
        <f t="shared" si="21"/>
        <v>0</v>
      </c>
      <c r="BV342" s="99">
        <f t="shared" si="20"/>
        <v>0</v>
      </c>
      <c r="BW342" s="139" t="s">
        <v>602</v>
      </c>
      <c r="BX342" s="139" t="s">
        <v>2183</v>
      </c>
      <c r="BY342" s="140">
        <v>800</v>
      </c>
      <c r="BZ342" s="140">
        <v>0</v>
      </c>
      <c r="CA342" s="99">
        <v>288000</v>
      </c>
      <c r="CB342" s="140" t="s">
        <v>603</v>
      </c>
      <c r="CC342" s="140">
        <v>0</v>
      </c>
      <c r="CD342" s="140"/>
      <c r="CE342" s="139" t="s">
        <v>577</v>
      </c>
      <c r="CF342" s="139" t="s">
        <v>2198</v>
      </c>
      <c r="CG342" s="139" t="s">
        <v>583</v>
      </c>
      <c r="CH342" s="139" t="s">
        <v>583</v>
      </c>
      <c r="CI342" s="139" t="s">
        <v>593</v>
      </c>
      <c r="CJ342" s="140">
        <v>20110</v>
      </c>
      <c r="CK342" s="140" t="s">
        <v>2199</v>
      </c>
      <c r="CL342" s="140">
        <v>1000000</v>
      </c>
      <c r="CM342" s="99">
        <v>18130</v>
      </c>
      <c r="CN342" s="140">
        <v>0</v>
      </c>
      <c r="CO342" s="139" t="s">
        <v>583</v>
      </c>
      <c r="CP342" s="139" t="s">
        <v>583</v>
      </c>
      <c r="CQ342" s="140">
        <v>6537600</v>
      </c>
      <c r="CR342" s="140">
        <v>6537600</v>
      </c>
      <c r="CS342" s="140"/>
      <c r="CT342" s="140"/>
      <c r="CU342" s="140">
        <v>0</v>
      </c>
      <c r="CV342" s="99">
        <v>81663.350000000006</v>
      </c>
      <c r="CW342" s="139" t="s">
        <v>606</v>
      </c>
      <c r="CX342" s="140">
        <v>4.5042999999999997</v>
      </c>
      <c r="CY342" s="140">
        <v>1341</v>
      </c>
      <c r="CZ342" s="140" t="s">
        <v>2200</v>
      </c>
      <c r="DA342" s="140" t="s">
        <v>2201</v>
      </c>
      <c r="DB342" s="140">
        <v>117</v>
      </c>
      <c r="DC342" s="140"/>
    </row>
    <row r="343" spans="2:107" ht="11.25" customHeight="1" x14ac:dyDescent="0.15">
      <c r="B343" s="139" t="s">
        <v>577</v>
      </c>
      <c r="C343" s="140" t="s">
        <v>2210</v>
      </c>
      <c r="D343" s="140">
        <v>5</v>
      </c>
      <c r="E343" s="139" t="s">
        <v>2211</v>
      </c>
      <c r="F343" s="139" t="s">
        <v>995</v>
      </c>
      <c r="G343" s="140" t="s">
        <v>2210</v>
      </c>
      <c r="H343" s="139" t="s">
        <v>2212</v>
      </c>
      <c r="I343" s="140" t="s">
        <v>423</v>
      </c>
      <c r="J343" s="139" t="s">
        <v>606</v>
      </c>
      <c r="K343" s="139" t="s">
        <v>583</v>
      </c>
      <c r="L343" s="139" t="s">
        <v>2181</v>
      </c>
      <c r="M343" s="139" t="s">
        <v>2182</v>
      </c>
      <c r="N343" s="139" t="s">
        <v>2183</v>
      </c>
      <c r="O343" s="139" t="s">
        <v>2184</v>
      </c>
      <c r="P343" s="139" t="s">
        <v>2185</v>
      </c>
      <c r="Q343" s="139" t="s">
        <v>2186</v>
      </c>
      <c r="R343" s="140">
        <v>1</v>
      </c>
      <c r="S343" s="140">
        <v>0</v>
      </c>
      <c r="T343" s="140">
        <v>1</v>
      </c>
      <c r="U343" s="140">
        <v>800</v>
      </c>
      <c r="V343" s="139" t="s">
        <v>583</v>
      </c>
      <c r="W343" s="139" t="s">
        <v>583</v>
      </c>
      <c r="X343" s="139" t="s">
        <v>2213</v>
      </c>
      <c r="Y343" s="139" t="s">
        <v>2214</v>
      </c>
      <c r="Z343" s="139" t="s">
        <v>583</v>
      </c>
      <c r="AA343" s="139" t="s">
        <v>583</v>
      </c>
      <c r="AB343" s="139" t="s">
        <v>2181</v>
      </c>
      <c r="AC343" s="139" t="s">
        <v>2182</v>
      </c>
      <c r="AD343" s="139" t="s">
        <v>2183</v>
      </c>
      <c r="AE343" s="139" t="s">
        <v>2184</v>
      </c>
      <c r="AF343" s="139" t="s">
        <v>2185</v>
      </c>
      <c r="AG343" s="139" t="s">
        <v>2186</v>
      </c>
      <c r="AH343" s="139" t="s">
        <v>652</v>
      </c>
      <c r="AI343" s="139" t="s">
        <v>431</v>
      </c>
      <c r="AJ343" s="140">
        <v>0</v>
      </c>
      <c r="AK343" s="139" t="s">
        <v>2181</v>
      </c>
      <c r="AL343" s="139" t="s">
        <v>2182</v>
      </c>
      <c r="AM343" s="139" t="s">
        <v>2183</v>
      </c>
      <c r="AN343" s="139" t="s">
        <v>2184</v>
      </c>
      <c r="AO343" s="139" t="s">
        <v>2185</v>
      </c>
      <c r="AP343" s="139" t="s">
        <v>2186</v>
      </c>
      <c r="AQ343" s="139" t="s">
        <v>593</v>
      </c>
      <c r="AR343" s="139" t="s">
        <v>437</v>
      </c>
      <c r="AS343" s="139" t="s">
        <v>437</v>
      </c>
      <c r="AT343" s="139" t="s">
        <v>2189</v>
      </c>
      <c r="AU343" s="139" t="s">
        <v>2190</v>
      </c>
      <c r="AV343" s="140">
        <v>2</v>
      </c>
      <c r="AW343" s="139" t="s">
        <v>594</v>
      </c>
      <c r="AX343" s="139" t="s">
        <v>595</v>
      </c>
      <c r="AY343" s="139" t="s">
        <v>2191</v>
      </c>
      <c r="AZ343" s="140">
        <v>1</v>
      </c>
      <c r="BA343" s="139" t="s">
        <v>2192</v>
      </c>
      <c r="BB343" s="140">
        <v>6537600</v>
      </c>
      <c r="BC343" s="140">
        <v>6537600</v>
      </c>
      <c r="BD343" s="140">
        <v>83160.87</v>
      </c>
      <c r="BE343" s="140">
        <v>0</v>
      </c>
      <c r="BF343" s="139" t="s">
        <v>880</v>
      </c>
      <c r="BG343" s="139" t="s">
        <v>735</v>
      </c>
      <c r="BH343" s="139" t="s">
        <v>583</v>
      </c>
      <c r="BI343" s="139" t="s">
        <v>2206</v>
      </c>
      <c r="BJ343" s="139" t="s">
        <v>599</v>
      </c>
      <c r="BK343" s="139" t="s">
        <v>583</v>
      </c>
      <c r="BL343" s="139" t="s">
        <v>583</v>
      </c>
      <c r="BM343" s="139" t="s">
        <v>583</v>
      </c>
      <c r="BN343" s="139" t="s">
        <v>2193</v>
      </c>
      <c r="BO343" s="139" t="s">
        <v>2194</v>
      </c>
      <c r="BP343" s="139" t="s">
        <v>2195</v>
      </c>
      <c r="BQ343" s="139" t="s">
        <v>2196</v>
      </c>
      <c r="BR343" s="140">
        <v>1</v>
      </c>
      <c r="BS343" s="139" t="s">
        <v>2215</v>
      </c>
      <c r="BT343" s="99">
        <f t="shared" si="21"/>
        <v>0</v>
      </c>
      <c r="BU343" s="99">
        <f t="shared" si="21"/>
        <v>0</v>
      </c>
      <c r="BV343" s="99">
        <f t="shared" si="20"/>
        <v>0</v>
      </c>
      <c r="BW343" s="139" t="s">
        <v>602</v>
      </c>
      <c r="BX343" s="139" t="s">
        <v>2183</v>
      </c>
      <c r="BY343" s="140">
        <v>800</v>
      </c>
      <c r="BZ343" s="140">
        <v>0</v>
      </c>
      <c r="CA343" s="99">
        <v>288000</v>
      </c>
      <c r="CB343" s="140" t="s">
        <v>603</v>
      </c>
      <c r="CC343" s="140">
        <v>0</v>
      </c>
      <c r="CD343" s="140"/>
      <c r="CE343" s="139" t="s">
        <v>577</v>
      </c>
      <c r="CF343" s="139" t="s">
        <v>2198</v>
      </c>
      <c r="CG343" s="139" t="s">
        <v>583</v>
      </c>
      <c r="CH343" s="139" t="s">
        <v>583</v>
      </c>
      <c r="CI343" s="139" t="s">
        <v>593</v>
      </c>
      <c r="CJ343" s="140">
        <v>19418</v>
      </c>
      <c r="CK343" s="140" t="s">
        <v>2199</v>
      </c>
      <c r="CL343" s="140">
        <v>1000000</v>
      </c>
      <c r="CM343" s="99">
        <v>17568</v>
      </c>
      <c r="CN343" s="140">
        <v>0</v>
      </c>
      <c r="CO343" s="139" t="s">
        <v>583</v>
      </c>
      <c r="CP343" s="139" t="s">
        <v>583</v>
      </c>
      <c r="CQ343" s="140">
        <v>6537600</v>
      </c>
      <c r="CR343" s="140">
        <v>6537600</v>
      </c>
      <c r="CS343" s="140"/>
      <c r="CT343" s="140"/>
      <c r="CU343" s="140">
        <v>0</v>
      </c>
      <c r="CV343" s="99">
        <v>83160.87</v>
      </c>
      <c r="CW343" s="139" t="s">
        <v>606</v>
      </c>
      <c r="CX343" s="140">
        <v>4.7336999999999998</v>
      </c>
      <c r="CY343" s="140">
        <v>1341</v>
      </c>
      <c r="CZ343" s="140" t="s">
        <v>2200</v>
      </c>
      <c r="DA343" s="140" t="s">
        <v>2201</v>
      </c>
      <c r="DB343" s="140">
        <v>101</v>
      </c>
      <c r="DC343" s="140"/>
    </row>
  </sheetData>
  <autoFilter ref="C2:CV343"/>
  <pageMargins left="0.7" right="0.7" top="0.75" bottom="0.75" header="0.3" footer="0.3"/>
  <pageSetup paperSize="9"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>
    <tabColor theme="8" tint="0.79998168889431442"/>
  </sheetPr>
  <dimension ref="A1:Y68"/>
  <sheetViews>
    <sheetView showGridLines="0" workbookViewId="0">
      <pane xSplit="8" ySplit="2" topLeftCell="I3" activePane="bottomRight" state="frozen"/>
      <selection activeCell="C15" sqref="C15"/>
      <selection pane="topRight" activeCell="C15" sqref="C15"/>
      <selection pane="bottomLeft" activeCell="C15" sqref="C15"/>
      <selection pane="bottomRight" activeCell="I3" sqref="I3"/>
    </sheetView>
  </sheetViews>
  <sheetFormatPr defaultColWidth="0" defaultRowHeight="11.25" outlineLevelRow="1" x14ac:dyDescent="0.15"/>
  <cols>
    <col min="1" max="5" width="2.75" style="12" customWidth="1"/>
    <col min="6" max="6" width="22.25" style="12" customWidth="1"/>
    <col min="7" max="7" width="11" style="75" customWidth="1"/>
    <col min="8" max="8" width="11" style="12" customWidth="1"/>
    <col min="9" max="10" width="8.375" style="12" customWidth="1"/>
    <col min="11" max="23" width="9.125" style="12" customWidth="1"/>
    <col min="24" max="24" width="10.625" style="12" customWidth="1"/>
    <col min="25" max="25" width="11" style="12" customWidth="1"/>
    <col min="26" max="16384" width="11" style="12" hidden="1"/>
  </cols>
  <sheetData>
    <row r="1" spans="1:24" x14ac:dyDescent="0.15">
      <c r="A1" s="11" t="s">
        <v>2216</v>
      </c>
    </row>
    <row r="2" spans="1:24" x14ac:dyDescent="0.15">
      <c r="B2" s="22" t="s">
        <v>0</v>
      </c>
      <c r="C2" s="22"/>
      <c r="D2" s="22"/>
      <c r="E2" s="22"/>
      <c r="F2" s="22"/>
      <c r="G2" s="76" t="s">
        <v>1</v>
      </c>
      <c r="H2" s="22" t="s">
        <v>2</v>
      </c>
      <c r="K2" s="141">
        <v>45292</v>
      </c>
      <c r="L2" s="141">
        <f>EDATE(K2,1)</f>
        <v>45323</v>
      </c>
      <c r="M2" s="141">
        <f t="shared" ref="M2:V2" si="0">EDATE(L2,1)</f>
        <v>45352</v>
      </c>
      <c r="N2" s="141">
        <f t="shared" si="0"/>
        <v>45383</v>
      </c>
      <c r="O2" s="141">
        <f t="shared" si="0"/>
        <v>45413</v>
      </c>
      <c r="P2" s="141">
        <f t="shared" si="0"/>
        <v>45444</v>
      </c>
      <c r="Q2" s="141">
        <f t="shared" si="0"/>
        <v>45474</v>
      </c>
      <c r="R2" s="141">
        <f t="shared" si="0"/>
        <v>45505</v>
      </c>
      <c r="S2" s="141">
        <f t="shared" si="0"/>
        <v>45536</v>
      </c>
      <c r="T2" s="141">
        <f t="shared" si="0"/>
        <v>45566</v>
      </c>
      <c r="U2" s="141">
        <f t="shared" si="0"/>
        <v>45597</v>
      </c>
      <c r="V2" s="141">
        <f t="shared" si="0"/>
        <v>45627</v>
      </c>
      <c r="X2" s="141" t="s">
        <v>2217</v>
      </c>
    </row>
    <row r="3" spans="1:24" x14ac:dyDescent="0.15">
      <c r="B3" s="116" t="s">
        <v>2218</v>
      </c>
      <c r="C3" s="116"/>
      <c r="D3" s="116"/>
      <c r="E3" s="116"/>
      <c r="F3" s="116"/>
      <c r="G3" s="142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X3" s="116"/>
    </row>
    <row r="4" spans="1:24" outlineLevel="1" x14ac:dyDescent="0.15"/>
    <row r="5" spans="1:24" outlineLevel="1" x14ac:dyDescent="0.15">
      <c r="C5" s="12" t="s">
        <v>2219</v>
      </c>
    </row>
    <row r="6" spans="1:24" outlineLevel="1" x14ac:dyDescent="0.15">
      <c r="D6" s="12" t="s">
        <v>2220</v>
      </c>
      <c r="G6" s="75" t="s">
        <v>166</v>
      </c>
      <c r="K6" s="143">
        <v>5.0000000000000001E-3</v>
      </c>
      <c r="L6" s="143">
        <v>5.0000000000000001E-3</v>
      </c>
      <c r="M6" s="143">
        <v>5.0000000000000001E-3</v>
      </c>
      <c r="N6" s="143">
        <v>5.0000000000000001E-3</v>
      </c>
      <c r="O6" s="143">
        <v>5.0000000000000001E-3</v>
      </c>
      <c r="P6" s="143">
        <v>5.0000000000000001E-3</v>
      </c>
      <c r="Q6" s="143">
        <v>5.0000000000000001E-3</v>
      </c>
      <c r="R6" s="143">
        <v>5.0000000000000001E-3</v>
      </c>
      <c r="S6" s="143">
        <v>5.0000000000000001E-3</v>
      </c>
      <c r="T6" s="143">
        <v>5.0000000000000001E-3</v>
      </c>
      <c r="U6" s="143">
        <v>5.0000000000000001E-3</v>
      </c>
      <c r="V6" s="143">
        <v>5.0000000000000001E-3</v>
      </c>
      <c r="X6" s="144"/>
    </row>
    <row r="7" spans="1:24" outlineLevel="1" x14ac:dyDescent="0.15">
      <c r="D7" s="12" t="s">
        <v>2221</v>
      </c>
      <c r="G7" s="75" t="s">
        <v>166</v>
      </c>
      <c r="K7" s="145">
        <f>(1+K6)*(1+J7)-1</f>
        <v>4.9999999999998934E-3</v>
      </c>
      <c r="L7" s="145">
        <f t="shared" ref="L7:V7" si="1">(1+L6)*(1+K7)-1</f>
        <v>1.0024999999999729E-2</v>
      </c>
      <c r="M7" s="145">
        <f t="shared" si="1"/>
        <v>1.5075124999999634E-2</v>
      </c>
      <c r="N7" s="145">
        <f t="shared" si="1"/>
        <v>2.0150500624999568E-2</v>
      </c>
      <c r="O7" s="145">
        <f t="shared" si="1"/>
        <v>2.5251253128124374E-2</v>
      </c>
      <c r="P7" s="145">
        <f t="shared" si="1"/>
        <v>3.0377509393764823E-2</v>
      </c>
      <c r="Q7" s="145">
        <f t="shared" si="1"/>
        <v>3.5529396940733537E-2</v>
      </c>
      <c r="R7" s="145">
        <f t="shared" si="1"/>
        <v>4.0707043925437114E-2</v>
      </c>
      <c r="S7" s="145">
        <f t="shared" si="1"/>
        <v>4.5910579145064245E-2</v>
      </c>
      <c r="T7" s="145">
        <f t="shared" si="1"/>
        <v>5.1140132040789377E-2</v>
      </c>
      <c r="U7" s="145">
        <f t="shared" si="1"/>
        <v>5.6395832700993243E-2</v>
      </c>
      <c r="V7" s="145">
        <f t="shared" si="1"/>
        <v>6.1677811864498056E-2</v>
      </c>
      <c r="X7" s="144"/>
    </row>
    <row r="8" spans="1:24" outlineLevel="1" x14ac:dyDescent="0.15"/>
    <row r="9" spans="1:24" outlineLevel="1" x14ac:dyDescent="0.15">
      <c r="C9" s="22" t="s">
        <v>104</v>
      </c>
    </row>
    <row r="10" spans="1:24" outlineLevel="1" x14ac:dyDescent="0.15">
      <c r="D10" s="12" t="s">
        <v>2222</v>
      </c>
      <c r="G10" s="75" t="s">
        <v>168</v>
      </c>
      <c r="H10" s="146">
        <v>200</v>
      </c>
      <c r="I10" s="147">
        <f>H38</f>
        <v>0</v>
      </c>
      <c r="K10" s="38">
        <f>$H10*(1+$I10)</f>
        <v>200</v>
      </c>
      <c r="L10" s="38">
        <f t="shared" ref="L10:V10" si="2">$H10*(1+$I10)</f>
        <v>200</v>
      </c>
      <c r="M10" s="38">
        <f t="shared" si="2"/>
        <v>200</v>
      </c>
      <c r="N10" s="38">
        <f t="shared" si="2"/>
        <v>200</v>
      </c>
      <c r="O10" s="38">
        <f t="shared" si="2"/>
        <v>200</v>
      </c>
      <c r="P10" s="38">
        <f t="shared" si="2"/>
        <v>200</v>
      </c>
      <c r="Q10" s="38">
        <f t="shared" si="2"/>
        <v>200</v>
      </c>
      <c r="R10" s="38">
        <f t="shared" si="2"/>
        <v>200</v>
      </c>
      <c r="S10" s="38">
        <f t="shared" si="2"/>
        <v>200</v>
      </c>
      <c r="T10" s="38">
        <f t="shared" si="2"/>
        <v>200</v>
      </c>
      <c r="U10" s="38">
        <f t="shared" si="2"/>
        <v>200</v>
      </c>
      <c r="V10" s="38">
        <f t="shared" si="2"/>
        <v>200</v>
      </c>
      <c r="X10" s="38">
        <f>SUM(K10:V10)</f>
        <v>2400</v>
      </c>
    </row>
    <row r="11" spans="1:24" outlineLevel="1" x14ac:dyDescent="0.15">
      <c r="D11" s="12" t="s">
        <v>2223</v>
      </c>
      <c r="G11" s="75" t="s">
        <v>2224</v>
      </c>
      <c r="H11" s="148">
        <v>100</v>
      </c>
      <c r="I11" s="147">
        <f>H39</f>
        <v>0</v>
      </c>
      <c r="J11" s="38"/>
      <c r="K11" s="38">
        <f>$H11*(1+K$7)*(1+$I11)</f>
        <v>100.49999999999999</v>
      </c>
      <c r="L11" s="38">
        <f t="shared" ref="L11:V11" si="3">$H11*(1+L$7)*(1+$I11)</f>
        <v>101.00249999999997</v>
      </c>
      <c r="M11" s="38">
        <f t="shared" si="3"/>
        <v>101.50751249999996</v>
      </c>
      <c r="N11" s="38">
        <f t="shared" si="3"/>
        <v>102.01505006249995</v>
      </c>
      <c r="O11" s="38">
        <f t="shared" si="3"/>
        <v>102.52512531281243</v>
      </c>
      <c r="P11" s="38">
        <f t="shared" si="3"/>
        <v>103.03775093937648</v>
      </c>
      <c r="Q11" s="38">
        <f t="shared" si="3"/>
        <v>103.55293969407336</v>
      </c>
      <c r="R11" s="38">
        <f t="shared" si="3"/>
        <v>104.07070439254372</v>
      </c>
      <c r="S11" s="38">
        <f t="shared" si="3"/>
        <v>104.59105791450642</v>
      </c>
      <c r="T11" s="38">
        <f t="shared" si="3"/>
        <v>105.11401320407894</v>
      </c>
      <c r="U11" s="38">
        <f t="shared" si="3"/>
        <v>105.63958327009932</v>
      </c>
      <c r="V11" s="38">
        <f t="shared" si="3"/>
        <v>106.1677811864498</v>
      </c>
      <c r="X11" s="38">
        <f>X12/X10*1000</f>
        <v>103.31033487303669</v>
      </c>
    </row>
    <row r="12" spans="1:24" s="22" customFormat="1" outlineLevel="1" x14ac:dyDescent="0.15">
      <c r="D12" s="53" t="s">
        <v>2225</v>
      </c>
      <c r="E12" s="53"/>
      <c r="F12" s="53"/>
      <c r="G12" s="90" t="s">
        <v>2226</v>
      </c>
      <c r="H12" s="53"/>
      <c r="K12" s="149">
        <f>K10*K11/1000</f>
        <v>20.099999999999998</v>
      </c>
      <c r="L12" s="149">
        <f t="shared" ref="L12:V12" si="4">L10*L11/1000</f>
        <v>20.200499999999991</v>
      </c>
      <c r="M12" s="149">
        <f t="shared" si="4"/>
        <v>20.301502499999991</v>
      </c>
      <c r="N12" s="149">
        <f t="shared" si="4"/>
        <v>20.40301001249999</v>
      </c>
      <c r="O12" s="149">
        <f t="shared" si="4"/>
        <v>20.505025062562488</v>
      </c>
      <c r="P12" s="149">
        <f t="shared" si="4"/>
        <v>20.607550187875294</v>
      </c>
      <c r="Q12" s="149">
        <f t="shared" si="4"/>
        <v>20.710587938814673</v>
      </c>
      <c r="R12" s="149">
        <f t="shared" si="4"/>
        <v>20.814140878508745</v>
      </c>
      <c r="S12" s="149">
        <f t="shared" si="4"/>
        <v>20.918211582901282</v>
      </c>
      <c r="T12" s="149">
        <f t="shared" si="4"/>
        <v>21.02280264081579</v>
      </c>
      <c r="U12" s="149">
        <f t="shared" si="4"/>
        <v>21.127916654019863</v>
      </c>
      <c r="V12" s="149">
        <f t="shared" si="4"/>
        <v>21.23355623728996</v>
      </c>
      <c r="W12" s="12"/>
      <c r="X12" s="54">
        <f>SUM(K12:V12)</f>
        <v>247.94480369528804</v>
      </c>
    </row>
    <row r="13" spans="1:24" outlineLevel="1" x14ac:dyDescent="0.15"/>
    <row r="14" spans="1:24" outlineLevel="1" x14ac:dyDescent="0.15">
      <c r="C14" s="22" t="s">
        <v>2227</v>
      </c>
    </row>
    <row r="15" spans="1:24" outlineLevel="1" x14ac:dyDescent="0.15">
      <c r="D15" s="12" t="s">
        <v>2222</v>
      </c>
      <c r="G15" s="75" t="s">
        <v>168</v>
      </c>
      <c r="K15" s="38">
        <f>K10</f>
        <v>200</v>
      </c>
      <c r="L15" s="38">
        <f t="shared" ref="L15:V15" si="5">L10</f>
        <v>200</v>
      </c>
      <c r="M15" s="38">
        <f t="shared" si="5"/>
        <v>200</v>
      </c>
      <c r="N15" s="38">
        <f t="shared" si="5"/>
        <v>200</v>
      </c>
      <c r="O15" s="38">
        <f t="shared" si="5"/>
        <v>200</v>
      </c>
      <c r="P15" s="38">
        <f t="shared" si="5"/>
        <v>200</v>
      </c>
      <c r="Q15" s="38">
        <f t="shared" si="5"/>
        <v>200</v>
      </c>
      <c r="R15" s="38">
        <f t="shared" si="5"/>
        <v>200</v>
      </c>
      <c r="S15" s="38">
        <f t="shared" si="5"/>
        <v>200</v>
      </c>
      <c r="T15" s="38">
        <f t="shared" si="5"/>
        <v>200</v>
      </c>
      <c r="U15" s="38">
        <f t="shared" si="5"/>
        <v>200</v>
      </c>
      <c r="V15" s="38">
        <f t="shared" si="5"/>
        <v>200</v>
      </c>
      <c r="X15" s="38">
        <f>SUM(K15:V15)</f>
        <v>2400</v>
      </c>
    </row>
    <row r="16" spans="1:24" outlineLevel="1" x14ac:dyDescent="0.15">
      <c r="D16" s="12" t="s">
        <v>2228</v>
      </c>
      <c r="G16" s="75" t="s">
        <v>2224</v>
      </c>
      <c r="H16" s="148">
        <v>40</v>
      </c>
      <c r="K16" s="38">
        <f>$H16*(1+K$7)</f>
        <v>40.199999999999996</v>
      </c>
      <c r="L16" s="38">
        <f t="shared" ref="L16:V16" si="6">$H16*(1+L$7)</f>
        <v>40.400999999999989</v>
      </c>
      <c r="M16" s="38">
        <f t="shared" si="6"/>
        <v>40.603004999999982</v>
      </c>
      <c r="N16" s="38">
        <f t="shared" si="6"/>
        <v>40.806020024999981</v>
      </c>
      <c r="O16" s="38">
        <f t="shared" si="6"/>
        <v>41.010050125124977</v>
      </c>
      <c r="P16" s="38">
        <f t="shared" si="6"/>
        <v>41.215100375750595</v>
      </c>
      <c r="Q16" s="38">
        <f t="shared" si="6"/>
        <v>41.421175877629338</v>
      </c>
      <c r="R16" s="38">
        <f t="shared" si="6"/>
        <v>41.628281757017483</v>
      </c>
      <c r="S16" s="38">
        <f t="shared" si="6"/>
        <v>41.836423165802572</v>
      </c>
      <c r="T16" s="38">
        <f t="shared" si="6"/>
        <v>42.045605281631573</v>
      </c>
      <c r="U16" s="38">
        <f t="shared" si="6"/>
        <v>42.255833308039726</v>
      </c>
      <c r="V16" s="38">
        <f t="shared" si="6"/>
        <v>42.46711247457992</v>
      </c>
      <c r="X16" s="38">
        <f>X17/X15</f>
        <v>4.1324133949214678E-2</v>
      </c>
    </row>
    <row r="17" spans="2:24" s="22" customFormat="1" outlineLevel="1" x14ac:dyDescent="0.15">
      <c r="D17" s="53" t="s">
        <v>2229</v>
      </c>
      <c r="E17" s="53"/>
      <c r="F17" s="53"/>
      <c r="G17" s="90" t="s">
        <v>2226</v>
      </c>
      <c r="H17" s="53"/>
      <c r="K17" s="149">
        <f>K15*K16/1000</f>
        <v>8.0399999999999991</v>
      </c>
      <c r="L17" s="149">
        <f t="shared" ref="L17:V17" si="7">L15*L16/1000</f>
        <v>8.0801999999999978</v>
      </c>
      <c r="M17" s="149">
        <f t="shared" si="7"/>
        <v>8.1206009999999953</v>
      </c>
      <c r="N17" s="149">
        <f t="shared" si="7"/>
        <v>8.1612040049999965</v>
      </c>
      <c r="O17" s="149">
        <f t="shared" si="7"/>
        <v>8.2020100250249968</v>
      </c>
      <c r="P17" s="149">
        <f t="shared" si="7"/>
        <v>8.2430200751501204</v>
      </c>
      <c r="Q17" s="149">
        <f t="shared" si="7"/>
        <v>8.2842351755258683</v>
      </c>
      <c r="R17" s="149">
        <f t="shared" si="7"/>
        <v>8.3256563514034969</v>
      </c>
      <c r="S17" s="149">
        <f t="shared" si="7"/>
        <v>8.367284633160514</v>
      </c>
      <c r="T17" s="149">
        <f t="shared" si="7"/>
        <v>8.4091210563263132</v>
      </c>
      <c r="U17" s="149">
        <f t="shared" si="7"/>
        <v>8.4511666616079459</v>
      </c>
      <c r="V17" s="149">
        <f t="shared" si="7"/>
        <v>8.4934224949159827</v>
      </c>
      <c r="W17" s="150"/>
      <c r="X17" s="54">
        <f>SUM(K17:V17)</f>
        <v>99.177921478115223</v>
      </c>
    </row>
    <row r="18" spans="2:24" outlineLevel="1" x14ac:dyDescent="0.15"/>
    <row r="19" spans="2:24" outlineLevel="1" x14ac:dyDescent="0.15">
      <c r="C19" s="22" t="s">
        <v>2230</v>
      </c>
    </row>
    <row r="20" spans="2:24" outlineLevel="1" x14ac:dyDescent="0.15">
      <c r="G20" s="75" t="s">
        <v>2226</v>
      </c>
      <c r="H20" s="148">
        <v>5</v>
      </c>
      <c r="K20" s="38">
        <f t="shared" ref="K20:V20" si="8">$H20*(1+K$7)</f>
        <v>5.0249999999999995</v>
      </c>
      <c r="L20" s="38">
        <f t="shared" si="8"/>
        <v>5.0501249999999986</v>
      </c>
      <c r="M20" s="38">
        <f t="shared" si="8"/>
        <v>5.0753756249999977</v>
      </c>
      <c r="N20" s="38">
        <f t="shared" si="8"/>
        <v>5.1007525031249976</v>
      </c>
      <c r="O20" s="38">
        <f t="shared" si="8"/>
        <v>5.1262562656406221</v>
      </c>
      <c r="P20" s="38">
        <f t="shared" si="8"/>
        <v>5.1518875469688243</v>
      </c>
      <c r="Q20" s="38">
        <f t="shared" si="8"/>
        <v>5.1776469847036672</v>
      </c>
      <c r="R20" s="38">
        <f t="shared" si="8"/>
        <v>5.2035352196271853</v>
      </c>
      <c r="S20" s="38">
        <f t="shared" si="8"/>
        <v>5.2295528957253214</v>
      </c>
      <c r="T20" s="38">
        <f t="shared" si="8"/>
        <v>5.2557006602039467</v>
      </c>
      <c r="U20" s="38">
        <f t="shared" si="8"/>
        <v>5.2819791635049658</v>
      </c>
      <c r="V20" s="38">
        <f t="shared" si="8"/>
        <v>5.3083890593224901</v>
      </c>
      <c r="X20" s="38">
        <f>SUM(K20:V20)</f>
        <v>61.986200923822011</v>
      </c>
    </row>
    <row r="21" spans="2:24" s="22" customFormat="1" outlineLevel="1" x14ac:dyDescent="0.15">
      <c r="D21" s="53" t="s">
        <v>2229</v>
      </c>
      <c r="E21" s="53"/>
      <c r="F21" s="53"/>
      <c r="G21" s="90" t="s">
        <v>2226</v>
      </c>
      <c r="H21" s="53"/>
      <c r="K21" s="149">
        <f>K20</f>
        <v>5.0249999999999995</v>
      </c>
      <c r="L21" s="149">
        <f t="shared" ref="L21:V21" si="9">L20</f>
        <v>5.0501249999999986</v>
      </c>
      <c r="M21" s="149">
        <f t="shared" si="9"/>
        <v>5.0753756249999977</v>
      </c>
      <c r="N21" s="149">
        <f t="shared" si="9"/>
        <v>5.1007525031249976</v>
      </c>
      <c r="O21" s="149">
        <f t="shared" si="9"/>
        <v>5.1262562656406221</v>
      </c>
      <c r="P21" s="149">
        <f t="shared" si="9"/>
        <v>5.1518875469688243</v>
      </c>
      <c r="Q21" s="149">
        <f t="shared" si="9"/>
        <v>5.1776469847036672</v>
      </c>
      <c r="R21" s="149">
        <f t="shared" si="9"/>
        <v>5.2035352196271853</v>
      </c>
      <c r="S21" s="149">
        <f t="shared" si="9"/>
        <v>5.2295528957253214</v>
      </c>
      <c r="T21" s="149">
        <f t="shared" si="9"/>
        <v>5.2557006602039467</v>
      </c>
      <c r="U21" s="149">
        <f t="shared" si="9"/>
        <v>5.2819791635049658</v>
      </c>
      <c r="V21" s="149">
        <f t="shared" si="9"/>
        <v>5.3083890593224901</v>
      </c>
      <c r="W21" s="150"/>
      <c r="X21" s="54">
        <f>SUM(K21:V21)</f>
        <v>61.986200923822011</v>
      </c>
    </row>
    <row r="22" spans="2:24" s="22" customFormat="1" outlineLevel="1" x14ac:dyDescent="0.15">
      <c r="D22" s="151"/>
      <c r="E22" s="151"/>
      <c r="F22" s="151"/>
      <c r="G22" s="152"/>
      <c r="H22" s="151"/>
      <c r="K22" s="153"/>
      <c r="L22" s="153"/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0"/>
      <c r="X22" s="150"/>
    </row>
    <row r="23" spans="2:24" outlineLevel="1" x14ac:dyDescent="0.15">
      <c r="C23" s="22" t="s">
        <v>2231</v>
      </c>
    </row>
    <row r="24" spans="2:24" outlineLevel="1" x14ac:dyDescent="0.15">
      <c r="D24" s="12" t="s">
        <v>104</v>
      </c>
      <c r="G24" s="75" t="s">
        <v>2226</v>
      </c>
      <c r="K24" s="38">
        <f t="shared" ref="K24:V24" si="10">K12</f>
        <v>20.099999999999998</v>
      </c>
      <c r="L24" s="38">
        <f t="shared" si="10"/>
        <v>20.200499999999991</v>
      </c>
      <c r="M24" s="38">
        <f t="shared" si="10"/>
        <v>20.301502499999991</v>
      </c>
      <c r="N24" s="38">
        <f t="shared" si="10"/>
        <v>20.40301001249999</v>
      </c>
      <c r="O24" s="38">
        <f t="shared" si="10"/>
        <v>20.505025062562488</v>
      </c>
      <c r="P24" s="38">
        <f t="shared" si="10"/>
        <v>20.607550187875294</v>
      </c>
      <c r="Q24" s="38">
        <f t="shared" si="10"/>
        <v>20.710587938814673</v>
      </c>
      <c r="R24" s="38">
        <f t="shared" si="10"/>
        <v>20.814140878508745</v>
      </c>
      <c r="S24" s="38">
        <f t="shared" si="10"/>
        <v>20.918211582901282</v>
      </c>
      <c r="T24" s="38">
        <f t="shared" si="10"/>
        <v>21.02280264081579</v>
      </c>
      <c r="U24" s="38">
        <f t="shared" si="10"/>
        <v>21.127916654019863</v>
      </c>
      <c r="V24" s="38">
        <f t="shared" si="10"/>
        <v>21.23355623728996</v>
      </c>
      <c r="X24" s="38">
        <f>X12</f>
        <v>247.94480369528804</v>
      </c>
    </row>
    <row r="25" spans="2:24" outlineLevel="1" x14ac:dyDescent="0.15">
      <c r="D25" s="12" t="s">
        <v>177</v>
      </c>
      <c r="G25" s="75" t="s">
        <v>2226</v>
      </c>
      <c r="K25" s="38">
        <f>-K17-K21</f>
        <v>-13.064999999999998</v>
      </c>
      <c r="L25" s="38">
        <f t="shared" ref="L25:X25" si="11">-L17-L21</f>
        <v>-13.130324999999996</v>
      </c>
      <c r="M25" s="38">
        <f t="shared" si="11"/>
        <v>-13.195976624999993</v>
      </c>
      <c r="N25" s="38">
        <f t="shared" si="11"/>
        <v>-13.261956508124994</v>
      </c>
      <c r="O25" s="38">
        <f t="shared" si="11"/>
        <v>-13.328266290665619</v>
      </c>
      <c r="P25" s="38">
        <f t="shared" si="11"/>
        <v>-13.394907622118945</v>
      </c>
      <c r="Q25" s="38">
        <f t="shared" si="11"/>
        <v>-13.461882160229536</v>
      </c>
      <c r="R25" s="38">
        <f t="shared" si="11"/>
        <v>-13.529191571030683</v>
      </c>
      <c r="S25" s="38">
        <f t="shared" si="11"/>
        <v>-13.596837528885835</v>
      </c>
      <c r="T25" s="38">
        <f t="shared" si="11"/>
        <v>-13.664821716530259</v>
      </c>
      <c r="U25" s="38">
        <f t="shared" si="11"/>
        <v>-13.733145825112912</v>
      </c>
      <c r="V25" s="38">
        <f t="shared" si="11"/>
        <v>-13.801811554238473</v>
      </c>
      <c r="X25" s="38">
        <f t="shared" si="11"/>
        <v>-161.16412240193722</v>
      </c>
    </row>
    <row r="26" spans="2:24" s="22" customFormat="1" outlineLevel="1" x14ac:dyDescent="0.15">
      <c r="D26" s="53" t="s">
        <v>2231</v>
      </c>
      <c r="E26" s="53"/>
      <c r="F26" s="53"/>
      <c r="G26" s="90" t="s">
        <v>2226</v>
      </c>
      <c r="H26" s="53"/>
      <c r="I26" s="12"/>
      <c r="J26" s="12"/>
      <c r="K26" s="54">
        <f>SUM(K24:K25)</f>
        <v>7.0350000000000001</v>
      </c>
      <c r="L26" s="54">
        <f t="shared" ref="L26:X26" si="12">SUM(L24:L25)</f>
        <v>7.0701749999999954</v>
      </c>
      <c r="M26" s="54">
        <f t="shared" si="12"/>
        <v>7.1055258749999979</v>
      </c>
      <c r="N26" s="54">
        <f t="shared" si="12"/>
        <v>7.1410535043749963</v>
      </c>
      <c r="O26" s="54">
        <f t="shared" si="12"/>
        <v>7.1767587718968695</v>
      </c>
      <c r="P26" s="54">
        <f t="shared" si="12"/>
        <v>7.2126425657563491</v>
      </c>
      <c r="Q26" s="54">
        <f t="shared" si="12"/>
        <v>7.248705778585137</v>
      </c>
      <c r="R26" s="54">
        <f t="shared" si="12"/>
        <v>7.2849493074780618</v>
      </c>
      <c r="S26" s="54">
        <f t="shared" si="12"/>
        <v>7.3213740540154468</v>
      </c>
      <c r="T26" s="54">
        <f t="shared" si="12"/>
        <v>7.3579809242855312</v>
      </c>
      <c r="U26" s="54">
        <f t="shared" si="12"/>
        <v>7.3947708289069514</v>
      </c>
      <c r="V26" s="54">
        <f t="shared" si="12"/>
        <v>7.4317446830514875</v>
      </c>
      <c r="W26" s="12"/>
      <c r="X26" s="54">
        <f t="shared" si="12"/>
        <v>86.780681293350824</v>
      </c>
    </row>
    <row r="27" spans="2:24" outlineLevel="1" x14ac:dyDescent="0.15">
      <c r="C27" s="154"/>
      <c r="D27" s="154"/>
      <c r="E27" s="154" t="s">
        <v>2232</v>
      </c>
      <c r="F27" s="154"/>
      <c r="G27" s="155" t="s">
        <v>166</v>
      </c>
      <c r="H27" s="154"/>
      <c r="K27" s="156">
        <f>IFERROR(K26/K24,"н/д")</f>
        <v>0.35000000000000003</v>
      </c>
      <c r="L27" s="156">
        <f t="shared" ref="L27:X27" si="13">IFERROR(L26/L24,"н/д")</f>
        <v>0.34999999999999992</v>
      </c>
      <c r="M27" s="156">
        <f t="shared" si="13"/>
        <v>0.35000000000000003</v>
      </c>
      <c r="N27" s="156">
        <f t="shared" si="13"/>
        <v>0.35</v>
      </c>
      <c r="O27" s="156">
        <f t="shared" si="13"/>
        <v>0.34999999999999992</v>
      </c>
      <c r="P27" s="156">
        <f t="shared" si="13"/>
        <v>0.34999999999999981</v>
      </c>
      <c r="Q27" s="156">
        <f t="shared" si="13"/>
        <v>0.35000000000000009</v>
      </c>
      <c r="R27" s="156">
        <f t="shared" si="13"/>
        <v>0.35000000000000003</v>
      </c>
      <c r="S27" s="156">
        <f t="shared" si="13"/>
        <v>0.34999999999999992</v>
      </c>
      <c r="T27" s="156">
        <f t="shared" si="13"/>
        <v>0.3500000000000002</v>
      </c>
      <c r="U27" s="156">
        <f t="shared" si="13"/>
        <v>0.35</v>
      </c>
      <c r="V27" s="156">
        <f t="shared" si="13"/>
        <v>0.35000000000000009</v>
      </c>
      <c r="X27" s="156">
        <f t="shared" si="13"/>
        <v>0.35000000000000003</v>
      </c>
    </row>
    <row r="28" spans="2:24" outlineLevel="1" x14ac:dyDescent="0.15"/>
    <row r="29" spans="2:24" x14ac:dyDescent="0.15">
      <c r="B29" s="116" t="s">
        <v>2233</v>
      </c>
      <c r="C29" s="116"/>
      <c r="D29" s="116"/>
      <c r="E29" s="116"/>
      <c r="F29" s="116"/>
      <c r="G29" s="142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X29" s="116"/>
    </row>
    <row r="30" spans="2:24" outlineLevel="1" x14ac:dyDescent="0.15"/>
    <row r="31" spans="2:24" outlineLevel="1" x14ac:dyDescent="0.15">
      <c r="C31" s="12">
        <v>1</v>
      </c>
      <c r="D31" s="12" t="s">
        <v>2234</v>
      </c>
    </row>
    <row r="32" spans="2:24" outlineLevel="1" x14ac:dyDescent="0.15">
      <c r="C32" s="12">
        <v>2</v>
      </c>
      <c r="D32" s="12" t="s">
        <v>2235</v>
      </c>
    </row>
    <row r="33" spans="3:19" outlineLevel="1" x14ac:dyDescent="0.15">
      <c r="E33" s="12" t="s">
        <v>2236</v>
      </c>
    </row>
    <row r="34" spans="3:19" outlineLevel="1" x14ac:dyDescent="0.15">
      <c r="E34" s="12" t="s">
        <v>2237</v>
      </c>
    </row>
    <row r="35" spans="3:19" outlineLevel="1" x14ac:dyDescent="0.15">
      <c r="C35" s="12">
        <v>3</v>
      </c>
      <c r="D35" s="12" t="s">
        <v>2238</v>
      </c>
    </row>
    <row r="36" spans="3:19" outlineLevel="1" x14ac:dyDescent="0.15"/>
    <row r="37" spans="3:19" ht="12" outlineLevel="1" thickBot="1" x14ac:dyDescent="0.2">
      <c r="C37" s="22" t="s">
        <v>2239</v>
      </c>
      <c r="H37" s="12" t="s">
        <v>2240</v>
      </c>
      <c r="I37" s="12" t="s">
        <v>2241</v>
      </c>
    </row>
    <row r="38" spans="3:19" ht="12" outlineLevel="1" thickBot="1" x14ac:dyDescent="0.2">
      <c r="D38" s="12" t="s">
        <v>2242</v>
      </c>
      <c r="H38" s="157">
        <v>0</v>
      </c>
      <c r="I38" s="143">
        <v>0.05</v>
      </c>
    </row>
    <row r="39" spans="3:19" ht="12" outlineLevel="1" thickBot="1" x14ac:dyDescent="0.2">
      <c r="D39" s="12" t="s">
        <v>2243</v>
      </c>
      <c r="H39" s="157">
        <v>0</v>
      </c>
      <c r="I39" s="143">
        <v>0.1</v>
      </c>
    </row>
    <row r="40" spans="3:19" outlineLevel="1" x14ac:dyDescent="0.15"/>
    <row r="41" spans="3:19" ht="12" outlineLevel="1" thickBot="1" x14ac:dyDescent="0.2"/>
    <row r="42" spans="3:19" outlineLevel="1" x14ac:dyDescent="0.15">
      <c r="C42" s="22" t="s">
        <v>2242</v>
      </c>
      <c r="J42" s="158" t="s">
        <v>2244</v>
      </c>
      <c r="K42" s="159">
        <f>L42-$I$38</f>
        <v>-0.2</v>
      </c>
      <c r="L42" s="159">
        <f>M42-$I$38</f>
        <v>-0.15000000000000002</v>
      </c>
      <c r="M42" s="159">
        <f>N42-$I$38</f>
        <v>-0.1</v>
      </c>
      <c r="N42" s="159">
        <f>O42-$I$38</f>
        <v>-0.05</v>
      </c>
      <c r="O42" s="160">
        <v>0</v>
      </c>
      <c r="P42" s="159">
        <f>O42+$I$38</f>
        <v>0.05</v>
      </c>
      <c r="Q42" s="159">
        <f>P42+$I$38</f>
        <v>0.1</v>
      </c>
      <c r="R42" s="159">
        <f>Q42+$I$38</f>
        <v>0.15000000000000002</v>
      </c>
      <c r="S42" s="161">
        <f>R42+$I$38</f>
        <v>0.2</v>
      </c>
    </row>
    <row r="43" spans="3:19" outlineLevel="1" x14ac:dyDescent="0.15">
      <c r="D43" s="12" t="s">
        <v>2231</v>
      </c>
      <c r="G43" s="75" t="s">
        <v>2226</v>
      </c>
      <c r="J43" s="162">
        <f>X26</f>
        <v>86.780681293350824</v>
      </c>
      <c r="K43" s="163">
        <f t="dataTable" ref="K43:S44" dt2D="0" dtr="1" r1="H38" ca="1"/>
        <v>57.027304849916248</v>
      </c>
      <c r="L43" s="163">
        <v>64.465648960774899</v>
      </c>
      <c r="M43" s="163">
        <v>71.903993071633579</v>
      </c>
      <c r="N43" s="163">
        <v>79.342337182492201</v>
      </c>
      <c r="O43" s="164">
        <v>86.780681293350824</v>
      </c>
      <c r="P43" s="163">
        <v>94.219025404209447</v>
      </c>
      <c r="Q43" s="163">
        <v>101.65736951506813</v>
      </c>
      <c r="R43" s="163">
        <v>109.09571362592672</v>
      </c>
      <c r="S43" s="165">
        <v>116.53405773678543</v>
      </c>
    </row>
    <row r="44" spans="3:19" ht="12" outlineLevel="1" thickBot="1" x14ac:dyDescent="0.2">
      <c r="D44" s="12" t="s">
        <v>2245</v>
      </c>
      <c r="G44" s="75" t="s">
        <v>166</v>
      </c>
      <c r="J44" s="166">
        <f>X27</f>
        <v>0.35000000000000003</v>
      </c>
      <c r="K44" s="167">
        <v>0.28749999999999998</v>
      </c>
      <c r="L44" s="167">
        <v>0.30588235294117649</v>
      </c>
      <c r="M44" s="167">
        <v>0.32222222222222235</v>
      </c>
      <c r="N44" s="167">
        <v>0.33684210526315794</v>
      </c>
      <c r="O44" s="168">
        <v>0.35000000000000003</v>
      </c>
      <c r="P44" s="167">
        <v>0.36190476190476184</v>
      </c>
      <c r="Q44" s="167">
        <v>0.37272727272727274</v>
      </c>
      <c r="R44" s="167">
        <v>0.38260869565217387</v>
      </c>
      <c r="S44" s="169">
        <v>0.39166666666666677</v>
      </c>
    </row>
    <row r="45" spans="3:19" ht="12" outlineLevel="1" thickBot="1" x14ac:dyDescent="0.2"/>
    <row r="46" spans="3:19" outlineLevel="1" x14ac:dyDescent="0.15">
      <c r="C46" s="22" t="s">
        <v>2246</v>
      </c>
      <c r="J46" s="158" t="s">
        <v>2244</v>
      </c>
      <c r="K46" s="159">
        <f t="shared" ref="K46:M46" si="14">L46-$I$39</f>
        <v>-0.4</v>
      </c>
      <c r="L46" s="159">
        <f t="shared" si="14"/>
        <v>-0.30000000000000004</v>
      </c>
      <c r="M46" s="159">
        <f t="shared" si="14"/>
        <v>-0.2</v>
      </c>
      <c r="N46" s="159">
        <f>O46-$I$39</f>
        <v>-0.1</v>
      </c>
      <c r="O46" s="160">
        <v>0</v>
      </c>
      <c r="P46" s="159">
        <f>O46+$I$39</f>
        <v>0.1</v>
      </c>
      <c r="Q46" s="159">
        <f t="shared" ref="Q46:S46" si="15">P46+$I$39</f>
        <v>0.2</v>
      </c>
      <c r="R46" s="159">
        <f t="shared" si="15"/>
        <v>0.30000000000000004</v>
      </c>
      <c r="S46" s="161">
        <f t="shared" si="15"/>
        <v>0.4</v>
      </c>
    </row>
    <row r="47" spans="3:19" outlineLevel="1" x14ac:dyDescent="0.15">
      <c r="D47" s="12" t="s">
        <v>2231</v>
      </c>
      <c r="G47" s="75" t="s">
        <v>2226</v>
      </c>
      <c r="J47" s="162">
        <f>X26</f>
        <v>86.780681293350824</v>
      </c>
      <c r="K47" s="163">
        <f t="dataTable" ref="K47:S48" dt2D="0" dtr="1" r1="H39" ca="1"/>
        <v>-12.397240184764371</v>
      </c>
      <c r="L47" s="163">
        <v>12.397240184764428</v>
      </c>
      <c r="M47" s="163">
        <v>37.191720554293227</v>
      </c>
      <c r="N47" s="163">
        <v>61.986200923822082</v>
      </c>
      <c r="O47" s="164">
        <v>86.780681293350824</v>
      </c>
      <c r="P47" s="163">
        <v>111.57516166287968</v>
      </c>
      <c r="Q47" s="163">
        <v>136.36964203240848</v>
      </c>
      <c r="R47" s="163">
        <v>161.16412240193716</v>
      </c>
      <c r="S47" s="165">
        <v>185.95860277146608</v>
      </c>
    </row>
    <row r="48" spans="3:19" ht="12" outlineLevel="1" thickBot="1" x14ac:dyDescent="0.2">
      <c r="D48" s="12" t="s">
        <v>2245</v>
      </c>
      <c r="G48" s="75" t="s">
        <v>166</v>
      </c>
      <c r="J48" s="166">
        <f>X27</f>
        <v>0.35000000000000003</v>
      </c>
      <c r="K48" s="167">
        <v>-8.3333333333333107E-2</v>
      </c>
      <c r="L48" s="167">
        <v>7.1428571428571563E-2</v>
      </c>
      <c r="M48" s="167">
        <v>0.18750000000000008</v>
      </c>
      <c r="N48" s="167">
        <v>0.27777777777777801</v>
      </c>
      <c r="O48" s="168">
        <v>0.35000000000000003</v>
      </c>
      <c r="P48" s="167">
        <v>0.40909090909090923</v>
      </c>
      <c r="Q48" s="167">
        <v>0.45833333333333343</v>
      </c>
      <c r="R48" s="167">
        <v>0.49999999999999989</v>
      </c>
      <c r="S48" s="169">
        <v>0.53571428571428581</v>
      </c>
    </row>
    <row r="49" spans="2:24" outlineLevel="1" x14ac:dyDescent="0.15"/>
    <row r="50" spans="2:24" outlineLevel="1" x14ac:dyDescent="0.15"/>
    <row r="51" spans="2:24" x14ac:dyDescent="0.15">
      <c r="B51" s="116" t="s">
        <v>2247</v>
      </c>
      <c r="C51" s="116"/>
      <c r="D51" s="116"/>
      <c r="E51" s="116"/>
      <c r="F51" s="116"/>
      <c r="G51" s="142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X51" s="116"/>
    </row>
    <row r="52" spans="2:24" outlineLevel="1" x14ac:dyDescent="0.15"/>
    <row r="53" spans="2:24" ht="12" outlineLevel="1" thickBot="1" x14ac:dyDescent="0.2">
      <c r="C53" s="22" t="s">
        <v>2248</v>
      </c>
      <c r="K53" s="12" t="s">
        <v>2249</v>
      </c>
    </row>
    <row r="54" spans="2:24" outlineLevel="1" x14ac:dyDescent="0.15">
      <c r="I54" s="12" t="s">
        <v>2250</v>
      </c>
      <c r="J54" s="170">
        <f>X27</f>
        <v>0.35000000000000003</v>
      </c>
      <c r="K54" s="171">
        <f>L54-$I$38</f>
        <v>-0.2</v>
      </c>
      <c r="L54" s="171">
        <f>M54-$I$38</f>
        <v>-0.15000000000000002</v>
      </c>
      <c r="M54" s="171">
        <f>N54-$I$38</f>
        <v>-0.1</v>
      </c>
      <c r="N54" s="171">
        <f>O54-$I$38</f>
        <v>-0.05</v>
      </c>
      <c r="O54" s="172">
        <v>0</v>
      </c>
      <c r="P54" s="171">
        <f>O54+$I$38</f>
        <v>0.05</v>
      </c>
      <c r="Q54" s="171">
        <f>P54+$I$38</f>
        <v>0.1</v>
      </c>
      <c r="R54" s="171">
        <f>Q54+$I$38</f>
        <v>0.15000000000000002</v>
      </c>
      <c r="S54" s="173">
        <f>R54+$I$38</f>
        <v>0.2</v>
      </c>
    </row>
    <row r="55" spans="2:24" outlineLevel="1" x14ac:dyDescent="0.15">
      <c r="J55" s="174">
        <f>J56-$I$39</f>
        <v>-0.4</v>
      </c>
      <c r="K55" s="175">
        <f t="dataTable" ref="K55:S63" dt2D="1" dtr="1" r1="H38" r2="H39"/>
        <v>-0.18749999999999997</v>
      </c>
      <c r="L55" s="175">
        <v>-0.15686274509803927</v>
      </c>
      <c r="M55" s="175">
        <v>-0.12962962962962973</v>
      </c>
      <c r="N55" s="175">
        <v>-0.10526315789473677</v>
      </c>
      <c r="O55" s="176">
        <v>-8.3333333333333107E-2</v>
      </c>
      <c r="P55" s="175">
        <v>-6.3492063492063697E-2</v>
      </c>
      <c r="Q55" s="175">
        <v>-4.5454545454545331E-2</v>
      </c>
      <c r="R55" s="175">
        <v>-2.8985507246376739E-2</v>
      </c>
      <c r="S55" s="177">
        <v>-1.3888888888888692E-2</v>
      </c>
    </row>
    <row r="56" spans="2:24" outlineLevel="1" x14ac:dyDescent="0.15">
      <c r="D56" s="12" t="s">
        <v>2251</v>
      </c>
      <c r="J56" s="174">
        <f>J57-$I$39</f>
        <v>-0.30000000000000004</v>
      </c>
      <c r="K56" s="175">
        <v>-1.7857142857143019E-2</v>
      </c>
      <c r="L56" s="175">
        <v>8.4033613445379848E-3</v>
      </c>
      <c r="M56" s="175">
        <v>3.1746031746031668E-2</v>
      </c>
      <c r="N56" s="175">
        <v>5.2631578947368293E-2</v>
      </c>
      <c r="O56" s="176">
        <v>7.1428571428571563E-2</v>
      </c>
      <c r="P56" s="175">
        <v>8.8435374149659643E-2</v>
      </c>
      <c r="Q56" s="175">
        <v>0.10389610389610392</v>
      </c>
      <c r="R56" s="175">
        <v>0.11801242236024857</v>
      </c>
      <c r="S56" s="177">
        <v>0.13095238095238115</v>
      </c>
    </row>
    <row r="57" spans="2:24" outlineLevel="1" x14ac:dyDescent="0.15">
      <c r="J57" s="174">
        <f>J58-$I$39</f>
        <v>-0.2</v>
      </c>
      <c r="K57" s="175">
        <v>0.10937500000000007</v>
      </c>
      <c r="L57" s="175">
        <v>0.13235294117647073</v>
      </c>
      <c r="M57" s="175">
        <v>0.15277777777777785</v>
      </c>
      <c r="N57" s="175">
        <v>0.17105263157894751</v>
      </c>
      <c r="O57" s="176">
        <v>0.18750000000000008</v>
      </c>
      <c r="P57" s="175">
        <v>0.20238095238095249</v>
      </c>
      <c r="Q57" s="175">
        <v>0.21590909090909116</v>
      </c>
      <c r="R57" s="175">
        <v>0.22826086956521735</v>
      </c>
      <c r="S57" s="177">
        <v>0.23958333333333359</v>
      </c>
    </row>
    <row r="58" spans="2:24" outlineLevel="1" x14ac:dyDescent="0.15">
      <c r="J58" s="174">
        <f>J59-$I$39</f>
        <v>-0.1</v>
      </c>
      <c r="K58" s="175">
        <v>0.2083333333333334</v>
      </c>
      <c r="L58" s="175">
        <v>0.22875816993464065</v>
      </c>
      <c r="M58" s="175">
        <v>0.24691358024691351</v>
      </c>
      <c r="N58" s="175">
        <v>0.2631578947368422</v>
      </c>
      <c r="O58" s="176">
        <v>0.27777777777777801</v>
      </c>
      <c r="P58" s="175">
        <v>0.29100529100529093</v>
      </c>
      <c r="Q58" s="175">
        <v>0.30303030303030304</v>
      </c>
      <c r="R58" s="175">
        <v>0.31400966183574885</v>
      </c>
      <c r="S58" s="177">
        <v>0.32407407407407407</v>
      </c>
    </row>
    <row r="59" spans="2:24" outlineLevel="1" x14ac:dyDescent="0.15">
      <c r="J59" s="178">
        <v>0</v>
      </c>
      <c r="K59" s="176">
        <v>0.28749999999999998</v>
      </c>
      <c r="L59" s="176">
        <v>0.30588235294117649</v>
      </c>
      <c r="M59" s="176">
        <v>0.32222222222222235</v>
      </c>
      <c r="N59" s="176">
        <v>0.33684210526315794</v>
      </c>
      <c r="O59" s="176">
        <v>0.35000000000000003</v>
      </c>
      <c r="P59" s="176">
        <v>0.36190476190476184</v>
      </c>
      <c r="Q59" s="176">
        <v>0.37272727272727274</v>
      </c>
      <c r="R59" s="176">
        <v>0.38260869565217387</v>
      </c>
      <c r="S59" s="179">
        <v>0.39166666666666677</v>
      </c>
    </row>
    <row r="60" spans="2:24" outlineLevel="1" x14ac:dyDescent="0.15">
      <c r="J60" s="174">
        <f>J59+$I$39</f>
        <v>0.1</v>
      </c>
      <c r="K60" s="175">
        <v>0.35227272727272746</v>
      </c>
      <c r="L60" s="175">
        <v>0.36898395721925142</v>
      </c>
      <c r="M60" s="175">
        <v>0.38383838383838387</v>
      </c>
      <c r="N60" s="175">
        <v>0.39712918660287094</v>
      </c>
      <c r="O60" s="176">
        <v>0.40909090909090923</v>
      </c>
      <c r="P60" s="175">
        <v>0.41991341991341991</v>
      </c>
      <c r="Q60" s="175">
        <v>0.4297520661157026</v>
      </c>
      <c r="R60" s="175">
        <v>0.43873517786561267</v>
      </c>
      <c r="S60" s="177">
        <v>0.44696969696969713</v>
      </c>
    </row>
    <row r="61" spans="2:24" outlineLevel="1" x14ac:dyDescent="0.15">
      <c r="J61" s="174">
        <f>J60+$I$39</f>
        <v>0.2</v>
      </c>
      <c r="K61" s="175">
        <v>0.40625</v>
      </c>
      <c r="L61" s="175">
        <v>0.42156862745098034</v>
      </c>
      <c r="M61" s="175">
        <v>0.43518518518518512</v>
      </c>
      <c r="N61" s="175">
        <v>0.44736842105263164</v>
      </c>
      <c r="O61" s="176">
        <v>0.45833333333333343</v>
      </c>
      <c r="P61" s="175">
        <v>0.46825396825396814</v>
      </c>
      <c r="Q61" s="175">
        <v>0.47727272727272735</v>
      </c>
      <c r="R61" s="175">
        <v>0.48550724637681164</v>
      </c>
      <c r="S61" s="177">
        <v>0.49305555555555564</v>
      </c>
    </row>
    <row r="62" spans="2:24" outlineLevel="1" x14ac:dyDescent="0.15">
      <c r="J62" s="174">
        <f>J61+$I$39</f>
        <v>0.30000000000000004</v>
      </c>
      <c r="K62" s="175">
        <v>0.45192307692307693</v>
      </c>
      <c r="L62" s="175">
        <v>0.4660633484162896</v>
      </c>
      <c r="M62" s="175">
        <v>0.47863247863247882</v>
      </c>
      <c r="N62" s="175">
        <v>0.48987854251012153</v>
      </c>
      <c r="O62" s="176">
        <v>0.49999999999999989</v>
      </c>
      <c r="P62" s="175">
        <v>0.50915750915750912</v>
      </c>
      <c r="Q62" s="175">
        <v>0.5174825174825175</v>
      </c>
      <c r="R62" s="175">
        <v>0.52508361204013387</v>
      </c>
      <c r="S62" s="177">
        <v>0.53205128205128216</v>
      </c>
    </row>
    <row r="63" spans="2:24" ht="12" outlineLevel="1" thickBot="1" x14ac:dyDescent="0.2">
      <c r="J63" s="180">
        <f>J62+$I$39</f>
        <v>0.4</v>
      </c>
      <c r="K63" s="181">
        <v>0.49107142857142849</v>
      </c>
      <c r="L63" s="181">
        <v>0.504201680672269</v>
      </c>
      <c r="M63" s="181">
        <v>0.51587301587301582</v>
      </c>
      <c r="N63" s="181">
        <v>0.52631578947368418</v>
      </c>
      <c r="O63" s="182">
        <v>0.53571428571428581</v>
      </c>
      <c r="P63" s="181">
        <v>0.54421768707482987</v>
      </c>
      <c r="Q63" s="181">
        <v>0.55194805194805197</v>
      </c>
      <c r="R63" s="181">
        <v>0.55900621118012428</v>
      </c>
      <c r="S63" s="183">
        <v>0.56547619047619058</v>
      </c>
    </row>
    <row r="64" spans="2:24" outlineLevel="1" x14ac:dyDescent="0.15"/>
    <row r="65" outlineLevel="1" x14ac:dyDescent="0.15"/>
    <row r="66" outlineLevel="1" x14ac:dyDescent="0.15"/>
    <row r="67" outlineLevel="1" x14ac:dyDescent="0.15"/>
    <row r="68" outlineLevel="1" x14ac:dyDescent="0.15"/>
  </sheetData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>
    <tabColor theme="8" tint="0.79998168889431442"/>
  </sheetPr>
  <dimension ref="A1:O72"/>
  <sheetViews>
    <sheetView showGridLines="0" workbookViewId="0">
      <pane xSplit="5" ySplit="2" topLeftCell="F3" activePane="bottomRight" state="frozen"/>
      <selection activeCell="C15" sqref="C15"/>
      <selection pane="topRight" activeCell="C15" sqref="C15"/>
      <selection pane="bottomLeft" activeCell="C15" sqref="C15"/>
      <selection pane="bottomRight" activeCell="F3" sqref="F3"/>
    </sheetView>
  </sheetViews>
  <sheetFormatPr defaultColWidth="0" defaultRowHeight="11.25" outlineLevelRow="2" x14ac:dyDescent="0.15"/>
  <cols>
    <col min="1" max="2" width="6.25" style="12" customWidth="1"/>
    <col min="3" max="3" width="20.875" style="12" customWidth="1"/>
    <col min="4" max="5" width="11" style="12" customWidth="1"/>
    <col min="6" max="8" width="2" style="12" customWidth="1"/>
    <col min="9" max="14" width="11" style="12" customWidth="1"/>
    <col min="15" max="15" width="11" style="75" customWidth="1"/>
    <col min="16" max="16384" width="11" style="12" hidden="1"/>
  </cols>
  <sheetData>
    <row r="1" spans="1:15" x14ac:dyDescent="0.15">
      <c r="A1" s="11" t="s">
        <v>2252</v>
      </c>
      <c r="B1" s="22"/>
      <c r="I1" s="41">
        <v>2018</v>
      </c>
      <c r="J1" s="41">
        <f>I1+1</f>
        <v>2019</v>
      </c>
      <c r="K1" s="41">
        <f t="shared" ref="K1:N1" si="0">J1+1</f>
        <v>2020</v>
      </c>
      <c r="L1" s="41">
        <f t="shared" si="0"/>
        <v>2021</v>
      </c>
      <c r="M1" s="41">
        <f t="shared" si="0"/>
        <v>2022</v>
      </c>
      <c r="N1" s="41">
        <f t="shared" si="0"/>
        <v>2023</v>
      </c>
    </row>
    <row r="4" spans="1:15" x14ac:dyDescent="0.15">
      <c r="B4" s="1" t="s">
        <v>2253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5" outlineLevel="1" x14ac:dyDescent="0.15"/>
    <row r="6" spans="1:15" outlineLevel="1" x14ac:dyDescent="0.15">
      <c r="C6" s="184" t="s">
        <v>104</v>
      </c>
      <c r="D6" s="152" t="s">
        <v>2254</v>
      </c>
      <c r="E6" s="152"/>
      <c r="F6" s="152"/>
      <c r="G6" s="152"/>
      <c r="H6" s="152"/>
      <c r="I6" s="185">
        <f>'ОФР К1'!I6+'ОФР К2'!I6+'ОФР К3'!I6</f>
        <v>2392</v>
      </c>
      <c r="J6" s="185">
        <f>'ОФР К1'!J6+'ОФР К2'!J6+'ОФР К3'!J6</f>
        <v>3072</v>
      </c>
      <c r="K6" s="185">
        <f>'ОФР К1'!K6+'ОФР К2'!K6+'ОФР К3'!K6</f>
        <v>2927</v>
      </c>
      <c r="L6" s="185">
        <f>'ОФР К1'!L6+'ОФР К2'!L6+'ОФР К3'!L6</f>
        <v>2862</v>
      </c>
      <c r="M6" s="185">
        <f>'ОФР К1'!M6+'ОФР К2'!M6+'ОФР К3'!M6</f>
        <v>2592</v>
      </c>
      <c r="N6" s="185">
        <f>'ОФР К1'!N6+'ОФР К2'!N6+'ОФР К3'!N6</f>
        <v>2447</v>
      </c>
    </row>
    <row r="7" spans="1:15" outlineLevel="1" x14ac:dyDescent="0.15">
      <c r="C7" s="43" t="s">
        <v>105</v>
      </c>
      <c r="D7" s="186" t="s">
        <v>2254</v>
      </c>
      <c r="E7" s="186"/>
      <c r="F7" s="186"/>
      <c r="G7" s="186"/>
      <c r="H7" s="186"/>
      <c r="I7" s="187">
        <f>'ОФР К1'!I7+'ОФР К2'!I7+'ОФР К3'!I7</f>
        <v>-1796</v>
      </c>
      <c r="J7" s="187">
        <f>'ОФР К1'!J7+'ОФР К2'!J7+'ОФР К3'!J7</f>
        <v>-1600</v>
      </c>
      <c r="K7" s="187">
        <f>'ОФР К1'!K7+'ОФР К2'!K7+'ОФР К3'!K7</f>
        <v>-1874</v>
      </c>
      <c r="L7" s="187">
        <f>'ОФР К1'!L7+'ОФР К2'!L7+'ОФР К3'!L7</f>
        <v>-1931</v>
      </c>
      <c r="M7" s="187">
        <f>'ОФР К1'!M7+'ОФР К2'!M7+'ОФР К3'!M7</f>
        <v>-1728</v>
      </c>
      <c r="N7" s="187">
        <f>'ОФР К1'!N7+'ОФР К2'!N7+'ОФР К3'!N7</f>
        <v>-1633</v>
      </c>
    </row>
    <row r="8" spans="1:15" outlineLevel="1" x14ac:dyDescent="0.15">
      <c r="C8" s="121" t="s">
        <v>106</v>
      </c>
      <c r="D8" s="76" t="s">
        <v>2254</v>
      </c>
      <c r="E8" s="76"/>
      <c r="F8" s="76"/>
      <c r="G8" s="76"/>
      <c r="H8" s="76"/>
      <c r="I8" s="188">
        <f>SUM(I6:I7)</f>
        <v>596</v>
      </c>
      <c r="J8" s="188">
        <f t="shared" ref="J8:N8" si="1">SUM(J6:J7)</f>
        <v>1472</v>
      </c>
      <c r="K8" s="188">
        <f t="shared" si="1"/>
        <v>1053</v>
      </c>
      <c r="L8" s="188">
        <f t="shared" si="1"/>
        <v>931</v>
      </c>
      <c r="M8" s="188">
        <f t="shared" si="1"/>
        <v>864</v>
      </c>
      <c r="N8" s="188">
        <f t="shared" si="1"/>
        <v>814</v>
      </c>
    </row>
    <row r="9" spans="1:15" s="132" customFormat="1" outlineLevel="1" x14ac:dyDescent="0.15">
      <c r="C9" s="189" t="s">
        <v>107</v>
      </c>
      <c r="D9" s="190" t="s">
        <v>166</v>
      </c>
      <c r="E9" s="190"/>
      <c r="F9" s="190"/>
      <c r="G9" s="190"/>
      <c r="H9" s="190"/>
      <c r="I9" s="191">
        <f>I8/I$6</f>
        <v>0.24916387959866221</v>
      </c>
      <c r="J9" s="191">
        <f t="shared" ref="J9:N9" si="2">J8/J$6</f>
        <v>0.47916666666666669</v>
      </c>
      <c r="K9" s="191">
        <f t="shared" si="2"/>
        <v>0.35975401434916299</v>
      </c>
      <c r="L9" s="191">
        <f t="shared" si="2"/>
        <v>0.32529699510831589</v>
      </c>
      <c r="M9" s="191">
        <f t="shared" si="2"/>
        <v>0.33333333333333331</v>
      </c>
      <c r="N9" s="191">
        <f t="shared" si="2"/>
        <v>0.33265222721700038</v>
      </c>
      <c r="O9" s="192"/>
    </row>
    <row r="10" spans="1:15" outlineLevel="1" x14ac:dyDescent="0.15">
      <c r="C10" s="43" t="s">
        <v>324</v>
      </c>
      <c r="D10" s="186" t="s">
        <v>2254</v>
      </c>
      <c r="E10" s="186"/>
      <c r="F10" s="186"/>
      <c r="G10" s="186"/>
      <c r="H10" s="186"/>
      <c r="I10" s="187">
        <f>'ОФР К1'!I10+'ОФР К2'!I10+'ОФР К3'!I10</f>
        <v>-203</v>
      </c>
      <c r="J10" s="187">
        <f>'ОФР К1'!J10+'ОФР К2'!J10+'ОФР К3'!J10</f>
        <v>-191</v>
      </c>
      <c r="K10" s="187">
        <f>'ОФР К1'!K10+'ОФР К2'!K10+'ОФР К3'!K10</f>
        <v>-193</v>
      </c>
      <c r="L10" s="187">
        <f>'ОФР К1'!L10+'ОФР К2'!L10+'ОФР К3'!L10</f>
        <v>-181</v>
      </c>
      <c r="M10" s="187">
        <f>'ОФР К1'!M10+'ОФР К2'!M10+'ОФР К3'!M10</f>
        <v>-196</v>
      </c>
      <c r="N10" s="187">
        <f>'ОФР К1'!N10+'ОФР К2'!N10+'ОФР К3'!N10</f>
        <v>-180</v>
      </c>
    </row>
    <row r="11" spans="1:15" s="22" customFormat="1" outlineLevel="1" x14ac:dyDescent="0.15">
      <c r="C11" s="121" t="s">
        <v>2255</v>
      </c>
      <c r="D11" s="76" t="s">
        <v>2254</v>
      </c>
      <c r="E11" s="76"/>
      <c r="F11" s="76"/>
      <c r="G11" s="76"/>
      <c r="H11" s="76"/>
      <c r="I11" s="188">
        <f>I8+I10</f>
        <v>393</v>
      </c>
      <c r="J11" s="188">
        <f t="shared" ref="J11:N11" si="3">J8+J10</f>
        <v>1281</v>
      </c>
      <c r="K11" s="188">
        <f t="shared" si="3"/>
        <v>860</v>
      </c>
      <c r="L11" s="188">
        <f t="shared" si="3"/>
        <v>750</v>
      </c>
      <c r="M11" s="188">
        <f t="shared" si="3"/>
        <v>668</v>
      </c>
      <c r="N11" s="188">
        <f t="shared" si="3"/>
        <v>634</v>
      </c>
      <c r="O11" s="76"/>
    </row>
    <row r="12" spans="1:15" s="132" customFormat="1" outlineLevel="1" x14ac:dyDescent="0.15">
      <c r="C12" s="189" t="s">
        <v>2256</v>
      </c>
      <c r="D12" s="190" t="s">
        <v>166</v>
      </c>
      <c r="E12" s="190"/>
      <c r="F12" s="190"/>
      <c r="G12" s="190"/>
      <c r="H12" s="190"/>
      <c r="I12" s="191">
        <f>I11/I$6</f>
        <v>0.16429765886287626</v>
      </c>
      <c r="J12" s="191">
        <f t="shared" ref="J12:N12" si="4">J11/J$6</f>
        <v>0.4169921875</v>
      </c>
      <c r="K12" s="191">
        <f t="shared" si="4"/>
        <v>0.29381619405534676</v>
      </c>
      <c r="L12" s="191">
        <f t="shared" si="4"/>
        <v>0.26205450733752622</v>
      </c>
      <c r="M12" s="191">
        <f t="shared" si="4"/>
        <v>0.25771604938271603</v>
      </c>
      <c r="N12" s="191">
        <f t="shared" si="4"/>
        <v>0.25909276665304454</v>
      </c>
      <c r="O12" s="192"/>
    </row>
    <row r="13" spans="1:15" outlineLevel="1" x14ac:dyDescent="0.15">
      <c r="C13" s="193" t="s">
        <v>2257</v>
      </c>
      <c r="D13" s="186" t="s">
        <v>2254</v>
      </c>
      <c r="E13" s="186"/>
      <c r="F13" s="186"/>
      <c r="G13" s="186"/>
      <c r="H13" s="186"/>
      <c r="I13" s="187">
        <f>'ОФР К1'!I13+'ОФР К2'!I13+'ОФР К3'!I13</f>
        <v>-189</v>
      </c>
      <c r="J13" s="187">
        <f>'ОФР К1'!J13+'ОФР К2'!J13+'ОФР К3'!J13</f>
        <v>-202</v>
      </c>
      <c r="K13" s="187">
        <f>'ОФР К1'!K13+'ОФР К2'!K13+'ОФР К3'!K13</f>
        <v>-172</v>
      </c>
      <c r="L13" s="187">
        <f>'ОФР К1'!L13+'ОФР К2'!L13+'ОФР К3'!L13</f>
        <v>-169</v>
      </c>
      <c r="M13" s="187">
        <f>'ОФР К1'!M13+'ОФР К2'!M13+'ОФР К3'!M13</f>
        <v>-189</v>
      </c>
      <c r="N13" s="187">
        <f>'ОФР К1'!N13+'ОФР К2'!N13+'ОФР К3'!N13</f>
        <v>-212</v>
      </c>
    </row>
    <row r="14" spans="1:15" outlineLevel="1" x14ac:dyDescent="0.15">
      <c r="C14" s="43" t="s">
        <v>2258</v>
      </c>
      <c r="D14" s="186" t="s">
        <v>2254</v>
      </c>
      <c r="E14" s="186"/>
      <c r="F14" s="186"/>
      <c r="G14" s="186"/>
      <c r="H14" s="186"/>
      <c r="I14" s="99">
        <f>I13+I11</f>
        <v>204</v>
      </c>
      <c r="J14" s="99">
        <f t="shared" ref="J14:N14" si="5">J13+J11</f>
        <v>1079</v>
      </c>
      <c r="K14" s="99">
        <f t="shared" si="5"/>
        <v>688</v>
      </c>
      <c r="L14" s="99">
        <f t="shared" si="5"/>
        <v>581</v>
      </c>
      <c r="M14" s="99">
        <f t="shared" si="5"/>
        <v>479</v>
      </c>
      <c r="N14" s="99">
        <f t="shared" si="5"/>
        <v>422</v>
      </c>
    </row>
    <row r="15" spans="1:15" outlineLevel="1" x14ac:dyDescent="0.15">
      <c r="C15" s="193" t="s">
        <v>2259</v>
      </c>
      <c r="D15" s="186" t="s">
        <v>2254</v>
      </c>
      <c r="E15" s="194">
        <v>0.2</v>
      </c>
      <c r="F15" s="186"/>
      <c r="G15" s="186"/>
      <c r="H15" s="186"/>
      <c r="I15" s="99">
        <f>-MAX(I14*$E15,0)</f>
        <v>-40.800000000000004</v>
      </c>
      <c r="J15" s="99">
        <f t="shared" ref="J15:N15" si="6">-MAX(J14*$E15,0)</f>
        <v>-215.8</v>
      </c>
      <c r="K15" s="99">
        <f t="shared" si="6"/>
        <v>-137.6</v>
      </c>
      <c r="L15" s="99">
        <f t="shared" si="6"/>
        <v>-116.2</v>
      </c>
      <c r="M15" s="99">
        <f t="shared" si="6"/>
        <v>-95.800000000000011</v>
      </c>
      <c r="N15" s="99">
        <f t="shared" si="6"/>
        <v>-84.4</v>
      </c>
    </row>
    <row r="16" spans="1:15" s="22" customFormat="1" outlineLevel="1" x14ac:dyDescent="0.15">
      <c r="C16" s="195" t="s">
        <v>2260</v>
      </c>
      <c r="D16" s="196" t="s">
        <v>2254</v>
      </c>
      <c r="E16" s="196"/>
      <c r="F16" s="196"/>
      <c r="G16" s="196"/>
      <c r="H16" s="196"/>
      <c r="I16" s="197">
        <f>I14+I15</f>
        <v>163.19999999999999</v>
      </c>
      <c r="J16" s="197">
        <f t="shared" ref="J16:N16" si="7">J14+J15</f>
        <v>863.2</v>
      </c>
      <c r="K16" s="197">
        <f t="shared" si="7"/>
        <v>550.4</v>
      </c>
      <c r="L16" s="197">
        <f t="shared" si="7"/>
        <v>464.8</v>
      </c>
      <c r="M16" s="197">
        <f t="shared" si="7"/>
        <v>383.2</v>
      </c>
      <c r="N16" s="197">
        <f t="shared" si="7"/>
        <v>337.6</v>
      </c>
      <c r="O16" s="76"/>
    </row>
    <row r="17" spans="2:15" outlineLevel="1" x14ac:dyDescent="0.15">
      <c r="C17" s="189" t="s">
        <v>2261</v>
      </c>
      <c r="D17" s="190" t="s">
        <v>166</v>
      </c>
      <c r="E17" s="190"/>
      <c r="F17" s="190"/>
      <c r="G17" s="190"/>
      <c r="H17" s="190"/>
      <c r="I17" s="191">
        <f>I16/I$6</f>
        <v>6.8227424749163879E-2</v>
      </c>
      <c r="J17" s="191">
        <f t="shared" ref="J17:N17" si="8">J16/J$6</f>
        <v>0.28098958333333335</v>
      </c>
      <c r="K17" s="191">
        <f t="shared" si="8"/>
        <v>0.18804236419542192</v>
      </c>
      <c r="L17" s="191">
        <f t="shared" si="8"/>
        <v>0.16240391334730958</v>
      </c>
      <c r="M17" s="191">
        <f t="shared" si="8"/>
        <v>0.1478395061728395</v>
      </c>
      <c r="N17" s="191">
        <f t="shared" si="8"/>
        <v>0.13796485492439722</v>
      </c>
    </row>
    <row r="18" spans="2:15" outlineLevel="1" x14ac:dyDescent="0.15"/>
    <row r="19" spans="2:15" x14ac:dyDescent="0.15">
      <c r="B19" s="1" t="s">
        <v>2262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2:15" outlineLevel="1" x14ac:dyDescent="0.15"/>
    <row r="21" spans="2:15" outlineLevel="1" x14ac:dyDescent="0.15">
      <c r="C21" s="184" t="s">
        <v>104</v>
      </c>
      <c r="D21" s="152" t="s">
        <v>2254</v>
      </c>
      <c r="E21" s="152"/>
      <c r="F21" s="152"/>
      <c r="G21" s="152"/>
      <c r="H21" s="152"/>
      <c r="I21" s="185">
        <f>SUM('ОФР К1:ОФР К3'!I6)</f>
        <v>2392</v>
      </c>
      <c r="J21" s="185">
        <f>SUM('ОФР К1:ОФР К3'!J6)</f>
        <v>3072</v>
      </c>
      <c r="K21" s="185">
        <f>SUM('ОФР К1:ОФР К3'!K6)</f>
        <v>2927</v>
      </c>
      <c r="L21" s="185">
        <f>SUM('ОФР К1:ОФР К3'!L6)</f>
        <v>2862</v>
      </c>
      <c r="M21" s="185">
        <f>SUM('ОФР К1:ОФР К3'!M6)</f>
        <v>2592</v>
      </c>
      <c r="N21" s="185">
        <f>SUM('ОФР К1:ОФР К3'!N6)</f>
        <v>2447</v>
      </c>
    </row>
    <row r="22" spans="2:15" outlineLevel="1" x14ac:dyDescent="0.15">
      <c r="C22" s="43" t="s">
        <v>105</v>
      </c>
      <c r="D22" s="186" t="s">
        <v>2254</v>
      </c>
      <c r="E22" s="186"/>
      <c r="F22" s="186"/>
      <c r="G22" s="186"/>
      <c r="H22" s="186"/>
      <c r="I22" s="187">
        <f>SUM('ОФР К1:ОФР К3'!I7)</f>
        <v>-1796</v>
      </c>
      <c r="J22" s="187">
        <f>SUM('ОФР К1:ОФР К3'!J7)</f>
        <v>-1600</v>
      </c>
      <c r="K22" s="187">
        <f>SUM('ОФР К1:ОФР К3'!K7)</f>
        <v>-1874</v>
      </c>
      <c r="L22" s="187">
        <f>SUM('ОФР К1:ОФР К3'!L7)</f>
        <v>-1931</v>
      </c>
      <c r="M22" s="187">
        <f>SUM('ОФР К1:ОФР К3'!M7)</f>
        <v>-1728</v>
      </c>
      <c r="N22" s="187">
        <f>SUM('ОФР К1:ОФР К3'!N7)</f>
        <v>-1633</v>
      </c>
    </row>
    <row r="23" spans="2:15" outlineLevel="1" x14ac:dyDescent="0.15">
      <c r="C23" s="121" t="s">
        <v>106</v>
      </c>
      <c r="D23" s="76" t="s">
        <v>2254</v>
      </c>
      <c r="E23" s="76"/>
      <c r="F23" s="76"/>
      <c r="G23" s="76"/>
      <c r="H23" s="76"/>
      <c r="I23" s="188">
        <f>SUM(I21:I22)</f>
        <v>596</v>
      </c>
      <c r="J23" s="188">
        <f t="shared" ref="J23:N23" si="9">SUM(J21:J22)</f>
        <v>1472</v>
      </c>
      <c r="K23" s="188">
        <f t="shared" si="9"/>
        <v>1053</v>
      </c>
      <c r="L23" s="188">
        <f t="shared" si="9"/>
        <v>931</v>
      </c>
      <c r="M23" s="188">
        <f t="shared" si="9"/>
        <v>864</v>
      </c>
      <c r="N23" s="188">
        <f t="shared" si="9"/>
        <v>814</v>
      </c>
    </row>
    <row r="24" spans="2:15" s="132" customFormat="1" outlineLevel="1" x14ac:dyDescent="0.15">
      <c r="C24" s="189" t="s">
        <v>107</v>
      </c>
      <c r="D24" s="190" t="s">
        <v>166</v>
      </c>
      <c r="E24" s="190"/>
      <c r="F24" s="190"/>
      <c r="G24" s="190"/>
      <c r="H24" s="190"/>
      <c r="I24" s="191">
        <f>IFERROR(I23/I$21,"н/д")</f>
        <v>0.24916387959866221</v>
      </c>
      <c r="J24" s="191">
        <f t="shared" ref="J24:N24" si="10">IFERROR(J23/J$21,"н/д")</f>
        <v>0.47916666666666669</v>
      </c>
      <c r="K24" s="191">
        <f t="shared" si="10"/>
        <v>0.35975401434916299</v>
      </c>
      <c r="L24" s="191">
        <f t="shared" si="10"/>
        <v>0.32529699510831589</v>
      </c>
      <c r="M24" s="191">
        <f t="shared" si="10"/>
        <v>0.33333333333333331</v>
      </c>
      <c r="N24" s="191">
        <f t="shared" si="10"/>
        <v>0.33265222721700038</v>
      </c>
      <c r="O24" s="192"/>
    </row>
    <row r="25" spans="2:15" outlineLevel="1" x14ac:dyDescent="0.15">
      <c r="C25" s="43" t="s">
        <v>324</v>
      </c>
      <c r="D25" s="186" t="s">
        <v>2254</v>
      </c>
      <c r="E25" s="186"/>
      <c r="F25" s="186"/>
      <c r="G25" s="186"/>
      <c r="H25" s="186"/>
      <c r="I25" s="187">
        <f>SUM('ОФР К1:ОФР К3'!I10)</f>
        <v>-203</v>
      </c>
      <c r="J25" s="187">
        <f>SUM('ОФР К1:ОФР К3'!J10)</f>
        <v>-191</v>
      </c>
      <c r="K25" s="187">
        <f>SUM('ОФР К1:ОФР К3'!K10)</f>
        <v>-193</v>
      </c>
      <c r="L25" s="187">
        <f>SUM('ОФР К1:ОФР К3'!L10)</f>
        <v>-181</v>
      </c>
      <c r="M25" s="187">
        <f>SUM('ОФР К1:ОФР К3'!M10)</f>
        <v>-196</v>
      </c>
      <c r="N25" s="187">
        <f>SUM('ОФР К1:ОФР К3'!N10)</f>
        <v>-180</v>
      </c>
    </row>
    <row r="26" spans="2:15" s="22" customFormat="1" outlineLevel="1" x14ac:dyDescent="0.15">
      <c r="C26" s="121" t="s">
        <v>2255</v>
      </c>
      <c r="D26" s="76" t="s">
        <v>2254</v>
      </c>
      <c r="E26" s="76"/>
      <c r="F26" s="76"/>
      <c r="G26" s="76"/>
      <c r="H26" s="76"/>
      <c r="I26" s="188">
        <f>I23+I25</f>
        <v>393</v>
      </c>
      <c r="J26" s="188">
        <f t="shared" ref="J26:N26" si="11">J23+J25</f>
        <v>1281</v>
      </c>
      <c r="K26" s="188">
        <f t="shared" si="11"/>
        <v>860</v>
      </c>
      <c r="L26" s="188">
        <f t="shared" si="11"/>
        <v>750</v>
      </c>
      <c r="M26" s="188">
        <f t="shared" si="11"/>
        <v>668</v>
      </c>
      <c r="N26" s="188">
        <f t="shared" si="11"/>
        <v>634</v>
      </c>
      <c r="O26" s="76"/>
    </row>
    <row r="27" spans="2:15" s="132" customFormat="1" outlineLevel="1" x14ac:dyDescent="0.15">
      <c r="C27" s="189" t="s">
        <v>2256</v>
      </c>
      <c r="D27" s="190" t="s">
        <v>166</v>
      </c>
      <c r="E27" s="190"/>
      <c r="F27" s="190"/>
      <c r="G27" s="190"/>
      <c r="H27" s="190"/>
      <c r="I27" s="191">
        <f>IFERROR(I26/I$21,"н/д")</f>
        <v>0.16429765886287626</v>
      </c>
      <c r="J27" s="191">
        <f t="shared" ref="J27:N27" si="12">IFERROR(J26/J$21,"н/д")</f>
        <v>0.4169921875</v>
      </c>
      <c r="K27" s="191">
        <f t="shared" si="12"/>
        <v>0.29381619405534676</v>
      </c>
      <c r="L27" s="191">
        <f t="shared" si="12"/>
        <v>0.26205450733752622</v>
      </c>
      <c r="M27" s="191">
        <f t="shared" si="12"/>
        <v>0.25771604938271603</v>
      </c>
      <c r="N27" s="191">
        <f t="shared" si="12"/>
        <v>0.25909276665304454</v>
      </c>
      <c r="O27" s="192"/>
    </row>
    <row r="28" spans="2:15" outlineLevel="1" x14ac:dyDescent="0.15">
      <c r="C28" s="193" t="s">
        <v>2257</v>
      </c>
      <c r="D28" s="186" t="s">
        <v>2254</v>
      </c>
      <c r="E28" s="186"/>
      <c r="F28" s="186"/>
      <c r="G28" s="186"/>
      <c r="H28" s="186"/>
      <c r="I28" s="187">
        <f>SUM('ОФР К1:ОФР К3'!I13)</f>
        <v>-189</v>
      </c>
      <c r="J28" s="187">
        <f>SUM('ОФР К1:ОФР К3'!J13)</f>
        <v>-202</v>
      </c>
      <c r="K28" s="187">
        <f>SUM('ОФР К1:ОФР К3'!K13)</f>
        <v>-172</v>
      </c>
      <c r="L28" s="187">
        <f>SUM('ОФР К1:ОФР К3'!L13)</f>
        <v>-169</v>
      </c>
      <c r="M28" s="187">
        <f>SUM('ОФР К1:ОФР К3'!M13)</f>
        <v>-189</v>
      </c>
      <c r="N28" s="187">
        <f>SUM('ОФР К1:ОФР К3'!N13)</f>
        <v>-212</v>
      </c>
    </row>
    <row r="29" spans="2:15" outlineLevel="1" x14ac:dyDescent="0.15">
      <c r="C29" s="43" t="s">
        <v>2258</v>
      </c>
      <c r="D29" s="186" t="s">
        <v>2254</v>
      </c>
      <c r="E29" s="186"/>
      <c r="F29" s="186"/>
      <c r="G29" s="186"/>
      <c r="H29" s="186"/>
      <c r="I29" s="99">
        <f>I28+I26</f>
        <v>204</v>
      </c>
      <c r="J29" s="99">
        <f t="shared" ref="J29:N29" si="13">J28+J26</f>
        <v>1079</v>
      </c>
      <c r="K29" s="99">
        <f t="shared" si="13"/>
        <v>688</v>
      </c>
      <c r="L29" s="99">
        <f t="shared" si="13"/>
        <v>581</v>
      </c>
      <c r="M29" s="99">
        <f t="shared" si="13"/>
        <v>479</v>
      </c>
      <c r="N29" s="99">
        <f t="shared" si="13"/>
        <v>422</v>
      </c>
    </row>
    <row r="30" spans="2:15" outlineLevel="1" x14ac:dyDescent="0.15">
      <c r="C30" s="193" t="s">
        <v>2259</v>
      </c>
      <c r="D30" s="186" t="s">
        <v>2254</v>
      </c>
      <c r="E30" s="194">
        <v>0.2</v>
      </c>
      <c r="F30" s="186"/>
      <c r="G30" s="186"/>
      <c r="H30" s="186"/>
      <c r="I30" s="99">
        <f>-MAX(I29*$E30,0)</f>
        <v>-40.800000000000004</v>
      </c>
      <c r="J30" s="99">
        <f t="shared" ref="J30:N30" si="14">-MAX(J29*$E30,0)</f>
        <v>-215.8</v>
      </c>
      <c r="K30" s="99">
        <f t="shared" si="14"/>
        <v>-137.6</v>
      </c>
      <c r="L30" s="99">
        <f t="shared" si="14"/>
        <v>-116.2</v>
      </c>
      <c r="M30" s="99">
        <f t="shared" si="14"/>
        <v>-95.800000000000011</v>
      </c>
      <c r="N30" s="99">
        <f t="shared" si="14"/>
        <v>-84.4</v>
      </c>
    </row>
    <row r="31" spans="2:15" s="22" customFormat="1" outlineLevel="1" x14ac:dyDescent="0.15">
      <c r="C31" s="195" t="s">
        <v>2260</v>
      </c>
      <c r="D31" s="196" t="s">
        <v>2254</v>
      </c>
      <c r="E31" s="196"/>
      <c r="F31" s="196"/>
      <c r="G31" s="196"/>
      <c r="H31" s="196"/>
      <c r="I31" s="197">
        <f>I29+I30</f>
        <v>163.19999999999999</v>
      </c>
      <c r="J31" s="197">
        <f t="shared" ref="J31:N31" si="15">J29+J30</f>
        <v>863.2</v>
      </c>
      <c r="K31" s="197">
        <f t="shared" si="15"/>
        <v>550.4</v>
      </c>
      <c r="L31" s="197">
        <f t="shared" si="15"/>
        <v>464.8</v>
      </c>
      <c r="M31" s="197">
        <f t="shared" si="15"/>
        <v>383.2</v>
      </c>
      <c r="N31" s="197">
        <f t="shared" si="15"/>
        <v>337.6</v>
      </c>
      <c r="O31" s="76"/>
    </row>
    <row r="32" spans="2:15" outlineLevel="1" x14ac:dyDescent="0.15">
      <c r="C32" s="189" t="s">
        <v>2261</v>
      </c>
      <c r="D32" s="190" t="s">
        <v>166</v>
      </c>
      <c r="E32" s="190"/>
      <c r="F32" s="190"/>
      <c r="G32" s="190"/>
      <c r="H32" s="190"/>
      <c r="I32" s="191">
        <f>IFERROR(I31/I$21,"н/д")</f>
        <v>6.8227424749163879E-2</v>
      </c>
      <c r="J32" s="191">
        <f t="shared" ref="J32:N32" si="16">IFERROR(J31/J$21,"н/д")</f>
        <v>0.28098958333333335</v>
      </c>
      <c r="K32" s="191">
        <f t="shared" si="16"/>
        <v>0.18804236419542192</v>
      </c>
      <c r="L32" s="191">
        <f t="shared" si="16"/>
        <v>0.16240391334730958</v>
      </c>
      <c r="M32" s="191">
        <f t="shared" si="16"/>
        <v>0.1478395061728395</v>
      </c>
      <c r="N32" s="191">
        <f t="shared" si="16"/>
        <v>0.13796485492439722</v>
      </c>
    </row>
    <row r="33" spans="2:15" outlineLevel="1" x14ac:dyDescent="0.15">
      <c r="I33" s="99"/>
      <c r="J33" s="99"/>
      <c r="K33" s="99"/>
      <c r="L33" s="99"/>
      <c r="M33" s="99"/>
      <c r="N33" s="99"/>
    </row>
    <row r="34" spans="2:15" outlineLevel="1" x14ac:dyDescent="0.15">
      <c r="B34" s="119" t="s">
        <v>247</v>
      </c>
      <c r="C34" s="119"/>
    </row>
    <row r="35" spans="2:15" outlineLevel="1" x14ac:dyDescent="0.15">
      <c r="C35" s="12" t="s">
        <v>2263</v>
      </c>
    </row>
    <row r="36" spans="2:15" outlineLevel="1" x14ac:dyDescent="0.15">
      <c r="C36" s="12" t="s">
        <v>2264</v>
      </c>
    </row>
    <row r="37" spans="2:15" outlineLevel="1" x14ac:dyDescent="0.15"/>
    <row r="38" spans="2:15" x14ac:dyDescent="0.15">
      <c r="B38" s="1" t="s">
        <v>2265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2:15" outlineLevel="1" x14ac:dyDescent="0.15">
      <c r="O39" s="198" t="s">
        <v>2266</v>
      </c>
    </row>
    <row r="40" spans="2:15" outlineLevel="1" x14ac:dyDescent="0.15">
      <c r="C40" s="184" t="s">
        <v>104</v>
      </c>
      <c r="D40" s="152" t="s">
        <v>2254</v>
      </c>
      <c r="E40" s="152"/>
      <c r="F40" s="152"/>
      <c r="G40" s="152"/>
      <c r="H40" s="152"/>
      <c r="I40" s="188">
        <f ca="1">SUM(I41:I43)</f>
        <v>2392</v>
      </c>
      <c r="J40" s="188">
        <f t="shared" ref="J40:N40" ca="1" si="17">SUM(J41:J43)</f>
        <v>3072</v>
      </c>
      <c r="K40" s="188">
        <f t="shared" ca="1" si="17"/>
        <v>2927</v>
      </c>
      <c r="L40" s="188">
        <f t="shared" ca="1" si="17"/>
        <v>2862</v>
      </c>
      <c r="M40" s="188">
        <f t="shared" ca="1" si="17"/>
        <v>2592</v>
      </c>
      <c r="N40" s="188">
        <f t="shared" ca="1" si="17"/>
        <v>2447</v>
      </c>
      <c r="O40" s="199">
        <f>INDEX('ОФР К1'!$A$6:$A$17,MATCH($C40,'ОФР К1'!$C$6:$C$17,0))</f>
        <v>6</v>
      </c>
    </row>
    <row r="41" spans="2:15" outlineLevel="2" x14ac:dyDescent="0.15">
      <c r="C41" s="200" t="s">
        <v>2267</v>
      </c>
      <c r="D41" s="186" t="s">
        <v>2254</v>
      </c>
      <c r="E41" s="152"/>
      <c r="F41" s="152"/>
      <c r="G41" s="152"/>
      <c r="H41" s="152"/>
      <c r="I41" s="187">
        <f ca="1">IFERROR(INDIRECT(ADDRESS($O41,COLUMN(I$1),1,1,$C41),1),"н/д")</f>
        <v>735</v>
      </c>
      <c r="J41" s="187">
        <f t="shared" ref="J41:N47" ca="1" si="18">IFERROR(INDIRECT(ADDRESS($O41,COLUMN(J$1),1,1,$C41),1),"н/д")</f>
        <v>1028</v>
      </c>
      <c r="K41" s="187">
        <f t="shared" ca="1" si="18"/>
        <v>867</v>
      </c>
      <c r="L41" s="187">
        <f t="shared" ca="1" si="18"/>
        <v>948</v>
      </c>
      <c r="M41" s="187">
        <f t="shared" ca="1" si="18"/>
        <v>836</v>
      </c>
      <c r="N41" s="187">
        <f t="shared" ca="1" si="18"/>
        <v>797</v>
      </c>
      <c r="O41" s="75">
        <f>O40</f>
        <v>6</v>
      </c>
    </row>
    <row r="42" spans="2:15" outlineLevel="2" x14ac:dyDescent="0.15">
      <c r="C42" s="200" t="s">
        <v>2268</v>
      </c>
      <c r="D42" s="186" t="s">
        <v>2254</v>
      </c>
      <c r="E42" s="152"/>
      <c r="F42" s="152"/>
      <c r="G42" s="152"/>
      <c r="H42" s="152"/>
      <c r="I42" s="187">
        <f ca="1">IFERROR(INDIRECT(ADDRESS($O42,COLUMN(I$1),1,1,$C42),1),"н/д")</f>
        <v>703</v>
      </c>
      <c r="J42" s="187">
        <f t="shared" ca="1" si="18"/>
        <v>1086</v>
      </c>
      <c r="K42" s="187">
        <f t="shared" ca="1" si="18"/>
        <v>1031</v>
      </c>
      <c r="L42" s="187">
        <f t="shared" ca="1" si="18"/>
        <v>829</v>
      </c>
      <c r="M42" s="187">
        <f t="shared" ca="1" si="18"/>
        <v>1004</v>
      </c>
      <c r="N42" s="187">
        <f t="shared" ca="1" si="18"/>
        <v>729</v>
      </c>
      <c r="O42" s="75">
        <f t="shared" ref="O42:O43" si="19">O41</f>
        <v>6</v>
      </c>
    </row>
    <row r="43" spans="2:15" outlineLevel="2" x14ac:dyDescent="0.15">
      <c r="C43" s="200" t="s">
        <v>2269</v>
      </c>
      <c r="D43" s="186" t="s">
        <v>2254</v>
      </c>
      <c r="E43" s="152"/>
      <c r="F43" s="152"/>
      <c r="G43" s="152"/>
      <c r="H43" s="152"/>
      <c r="I43" s="187">
        <f ca="1">IFERROR(INDIRECT(ADDRESS($O43,COLUMN(I$1),1,1,$C43),1),"н/д")</f>
        <v>954</v>
      </c>
      <c r="J43" s="187">
        <f t="shared" ca="1" si="18"/>
        <v>958</v>
      </c>
      <c r="K43" s="187">
        <f t="shared" ca="1" si="18"/>
        <v>1029</v>
      </c>
      <c r="L43" s="187">
        <f t="shared" ca="1" si="18"/>
        <v>1085</v>
      </c>
      <c r="M43" s="187">
        <f t="shared" ca="1" si="18"/>
        <v>752</v>
      </c>
      <c r="N43" s="187">
        <f t="shared" ca="1" si="18"/>
        <v>921</v>
      </c>
      <c r="O43" s="75">
        <f t="shared" si="19"/>
        <v>6</v>
      </c>
    </row>
    <row r="44" spans="2:15" outlineLevel="1" x14ac:dyDescent="0.15">
      <c r="C44" s="43" t="s">
        <v>105</v>
      </c>
      <c r="D44" s="186" t="s">
        <v>2254</v>
      </c>
      <c r="E44" s="186"/>
      <c r="F44" s="186"/>
      <c r="G44" s="186"/>
      <c r="H44" s="186"/>
      <c r="I44" s="99">
        <f ca="1">SUM(I45:I47)</f>
        <v>-1796</v>
      </c>
      <c r="J44" s="99">
        <f t="shared" ref="J44:N44" ca="1" si="20">SUM(J45:J47)</f>
        <v>-1600</v>
      </c>
      <c r="K44" s="99">
        <f t="shared" ca="1" si="20"/>
        <v>-1874</v>
      </c>
      <c r="L44" s="99">
        <f t="shared" ca="1" si="20"/>
        <v>-1931</v>
      </c>
      <c r="M44" s="99">
        <f t="shared" ca="1" si="20"/>
        <v>-1728</v>
      </c>
      <c r="N44" s="99">
        <f t="shared" ca="1" si="20"/>
        <v>-1633</v>
      </c>
      <c r="O44" s="199">
        <f>INDEX('ОФР К1'!$A$6:$A$17,MATCH($C44,'ОФР К1'!$C$6:$C$17,0))</f>
        <v>7</v>
      </c>
    </row>
    <row r="45" spans="2:15" outlineLevel="2" x14ac:dyDescent="0.15">
      <c r="C45" s="200" t="s">
        <v>2267</v>
      </c>
      <c r="D45" s="186" t="s">
        <v>2254</v>
      </c>
      <c r="E45" s="152"/>
      <c r="F45" s="152"/>
      <c r="G45" s="152"/>
      <c r="H45" s="152"/>
      <c r="I45" s="187">
        <f ca="1">IFERROR(INDIRECT(ADDRESS($O45,COLUMN(I$1),1,1,$C45),1),"н/д")</f>
        <v>-447</v>
      </c>
      <c r="J45" s="187">
        <f t="shared" ca="1" si="18"/>
        <v>-504</v>
      </c>
      <c r="K45" s="187">
        <f t="shared" ca="1" si="18"/>
        <v>-603</v>
      </c>
      <c r="L45" s="187">
        <f t="shared" ca="1" si="18"/>
        <v>-674</v>
      </c>
      <c r="M45" s="187">
        <f t="shared" ca="1" si="18"/>
        <v>-678</v>
      </c>
      <c r="N45" s="187">
        <f t="shared" ca="1" si="18"/>
        <v>-513</v>
      </c>
      <c r="O45" s="75">
        <f>O44</f>
        <v>7</v>
      </c>
    </row>
    <row r="46" spans="2:15" outlineLevel="2" x14ac:dyDescent="0.15">
      <c r="C46" s="200" t="s">
        <v>2268</v>
      </c>
      <c r="D46" s="186" t="s">
        <v>2254</v>
      </c>
      <c r="E46" s="152"/>
      <c r="F46" s="152"/>
      <c r="G46" s="152"/>
      <c r="H46" s="152"/>
      <c r="I46" s="187">
        <f t="shared" ref="I46:I47" ca="1" si="21">IFERROR(INDIRECT(ADDRESS($O46,COLUMN(I$1),1,1,$C46),1),"н/д")</f>
        <v>-679</v>
      </c>
      <c r="J46" s="187">
        <f t="shared" ca="1" si="18"/>
        <v>-646</v>
      </c>
      <c r="K46" s="187">
        <f t="shared" ca="1" si="18"/>
        <v>-598</v>
      </c>
      <c r="L46" s="187">
        <f t="shared" ca="1" si="18"/>
        <v>-698</v>
      </c>
      <c r="M46" s="187">
        <f t="shared" ca="1" si="18"/>
        <v>-406</v>
      </c>
      <c r="N46" s="187">
        <f t="shared" ca="1" si="18"/>
        <v>-581</v>
      </c>
      <c r="O46" s="75">
        <f t="shared" ref="O46:O47" si="22">O45</f>
        <v>7</v>
      </c>
    </row>
    <row r="47" spans="2:15" outlineLevel="2" x14ac:dyDescent="0.15">
      <c r="C47" s="200" t="s">
        <v>2269</v>
      </c>
      <c r="D47" s="186" t="s">
        <v>2254</v>
      </c>
      <c r="E47" s="152"/>
      <c r="F47" s="152"/>
      <c r="G47" s="152"/>
      <c r="H47" s="152"/>
      <c r="I47" s="187">
        <f t="shared" ca="1" si="21"/>
        <v>-670</v>
      </c>
      <c r="J47" s="187">
        <f t="shared" ca="1" si="18"/>
        <v>-450</v>
      </c>
      <c r="K47" s="187">
        <f t="shared" ca="1" si="18"/>
        <v>-673</v>
      </c>
      <c r="L47" s="187">
        <f t="shared" ca="1" si="18"/>
        <v>-559</v>
      </c>
      <c r="M47" s="187">
        <f t="shared" ca="1" si="18"/>
        <v>-644</v>
      </c>
      <c r="N47" s="187">
        <f t="shared" ca="1" si="18"/>
        <v>-539</v>
      </c>
      <c r="O47" s="75">
        <f t="shared" si="22"/>
        <v>7</v>
      </c>
    </row>
    <row r="48" spans="2:15" outlineLevel="1" x14ac:dyDescent="0.15">
      <c r="C48" s="121" t="s">
        <v>106</v>
      </c>
      <c r="D48" s="76" t="s">
        <v>2254</v>
      </c>
      <c r="E48" s="76"/>
      <c r="F48" s="76"/>
      <c r="G48" s="76"/>
      <c r="H48" s="76"/>
      <c r="I48" s="188">
        <f ca="1">I40+I44</f>
        <v>596</v>
      </c>
      <c r="J48" s="188">
        <f t="shared" ref="J48:N48" ca="1" si="23">J40+J44</f>
        <v>1472</v>
      </c>
      <c r="K48" s="188">
        <f t="shared" ca="1" si="23"/>
        <v>1053</v>
      </c>
      <c r="L48" s="188">
        <f t="shared" ca="1" si="23"/>
        <v>931</v>
      </c>
      <c r="M48" s="188">
        <f t="shared" ca="1" si="23"/>
        <v>864</v>
      </c>
      <c r="N48" s="188">
        <f t="shared" ca="1" si="23"/>
        <v>814</v>
      </c>
    </row>
    <row r="49" spans="3:15" s="132" customFormat="1" outlineLevel="1" x14ac:dyDescent="0.15">
      <c r="C49" s="189" t="s">
        <v>107</v>
      </c>
      <c r="D49" s="190" t="s">
        <v>166</v>
      </c>
      <c r="E49" s="190"/>
      <c r="F49" s="190"/>
      <c r="G49" s="190"/>
      <c r="H49" s="190"/>
      <c r="I49" s="191">
        <f ca="1">IFERROR(I48/I$21,"н/д")</f>
        <v>0.24916387959866221</v>
      </c>
      <c r="J49" s="191">
        <f t="shared" ref="J49:N49" ca="1" si="24">IFERROR(J48/J$21,"н/д")</f>
        <v>0.47916666666666669</v>
      </c>
      <c r="K49" s="191">
        <f t="shared" ca="1" si="24"/>
        <v>0.35975401434916299</v>
      </c>
      <c r="L49" s="191">
        <f t="shared" ca="1" si="24"/>
        <v>0.32529699510831589</v>
      </c>
      <c r="M49" s="191">
        <f t="shared" ca="1" si="24"/>
        <v>0.33333333333333331</v>
      </c>
      <c r="N49" s="191">
        <f t="shared" ca="1" si="24"/>
        <v>0.33265222721700038</v>
      </c>
      <c r="O49" s="192"/>
    </row>
    <row r="50" spans="3:15" outlineLevel="1" x14ac:dyDescent="0.15">
      <c r="C50" s="43" t="s">
        <v>324</v>
      </c>
      <c r="D50" s="186" t="s">
        <v>2254</v>
      </c>
      <c r="E50" s="186"/>
      <c r="F50" s="186"/>
      <c r="G50" s="186"/>
      <c r="H50" s="186"/>
      <c r="I50" s="99">
        <f ca="1">SUM(I51:I53)</f>
        <v>-203</v>
      </c>
      <c r="J50" s="99">
        <f t="shared" ref="J50:N50" ca="1" si="25">SUM(J51:J53)</f>
        <v>-191</v>
      </c>
      <c r="K50" s="99">
        <f t="shared" ca="1" si="25"/>
        <v>-193</v>
      </c>
      <c r="L50" s="99">
        <f t="shared" ca="1" si="25"/>
        <v>-181</v>
      </c>
      <c r="M50" s="99">
        <f t="shared" ca="1" si="25"/>
        <v>-196</v>
      </c>
      <c r="N50" s="99">
        <f t="shared" ca="1" si="25"/>
        <v>-180</v>
      </c>
      <c r="O50" s="199">
        <f>INDEX('ОФР К1'!$A$6:$A$17,MATCH($C50,'ОФР К1'!$C$6:$C$17,0))</f>
        <v>10</v>
      </c>
    </row>
    <row r="51" spans="3:15" outlineLevel="2" x14ac:dyDescent="0.15">
      <c r="C51" s="200" t="s">
        <v>2267</v>
      </c>
      <c r="D51" s="186" t="s">
        <v>2254</v>
      </c>
      <c r="E51" s="152"/>
      <c r="F51" s="152"/>
      <c r="G51" s="152"/>
      <c r="H51" s="152"/>
      <c r="I51" s="187">
        <f ca="1">IFERROR(INDIRECT(ADDRESS($O51,COLUMN(I$1),1,1,$C51),1),"н/д")</f>
        <v>-67</v>
      </c>
      <c r="J51" s="187">
        <f t="shared" ref="J51:N53" ca="1" si="26">IFERROR(INDIRECT(ADDRESS($O51,COLUMN(J$1),1,1,$C51),1),"н/д")</f>
        <v>-61</v>
      </c>
      <c r="K51" s="187">
        <f t="shared" ca="1" si="26"/>
        <v>-78</v>
      </c>
      <c r="L51" s="187">
        <f t="shared" ca="1" si="26"/>
        <v>-52</v>
      </c>
      <c r="M51" s="187">
        <f t="shared" ca="1" si="26"/>
        <v>-67</v>
      </c>
      <c r="N51" s="187">
        <f t="shared" ca="1" si="26"/>
        <v>-50</v>
      </c>
      <c r="O51" s="75">
        <f>O50</f>
        <v>10</v>
      </c>
    </row>
    <row r="52" spans="3:15" outlineLevel="2" x14ac:dyDescent="0.15">
      <c r="C52" s="200" t="s">
        <v>2268</v>
      </c>
      <c r="D52" s="186" t="s">
        <v>2254</v>
      </c>
      <c r="E52" s="152"/>
      <c r="F52" s="152"/>
      <c r="G52" s="152"/>
      <c r="H52" s="152"/>
      <c r="I52" s="187">
        <f t="shared" ref="I52:I53" ca="1" si="27">IFERROR(INDIRECT(ADDRESS($O52,COLUMN(I$1),1,1,$C52),1),"н/д")</f>
        <v>-79</v>
      </c>
      <c r="J52" s="187">
        <f t="shared" ca="1" si="26"/>
        <v>-62</v>
      </c>
      <c r="K52" s="187">
        <f t="shared" ca="1" si="26"/>
        <v>-56</v>
      </c>
      <c r="L52" s="187">
        <f t="shared" ca="1" si="26"/>
        <v>-75</v>
      </c>
      <c r="M52" s="187">
        <f t="shared" ca="1" si="26"/>
        <v>-72</v>
      </c>
      <c r="N52" s="187">
        <f t="shared" ca="1" si="26"/>
        <v>-66</v>
      </c>
      <c r="O52" s="75">
        <f t="shared" ref="O52:O53" si="28">O51</f>
        <v>10</v>
      </c>
    </row>
    <row r="53" spans="3:15" outlineLevel="2" x14ac:dyDescent="0.15">
      <c r="C53" s="200" t="s">
        <v>2269</v>
      </c>
      <c r="D53" s="186" t="s">
        <v>2254</v>
      </c>
      <c r="E53" s="152"/>
      <c r="F53" s="152"/>
      <c r="G53" s="152"/>
      <c r="H53" s="152"/>
      <c r="I53" s="187">
        <f t="shared" ca="1" si="27"/>
        <v>-57</v>
      </c>
      <c r="J53" s="187">
        <f t="shared" ca="1" si="26"/>
        <v>-68</v>
      </c>
      <c r="K53" s="187">
        <f t="shared" ca="1" si="26"/>
        <v>-59</v>
      </c>
      <c r="L53" s="187">
        <f t="shared" ca="1" si="26"/>
        <v>-54</v>
      </c>
      <c r="M53" s="187">
        <f t="shared" ca="1" si="26"/>
        <v>-57</v>
      </c>
      <c r="N53" s="187">
        <f t="shared" ca="1" si="26"/>
        <v>-64</v>
      </c>
      <c r="O53" s="75">
        <f t="shared" si="28"/>
        <v>10</v>
      </c>
    </row>
    <row r="54" spans="3:15" s="22" customFormat="1" outlineLevel="1" x14ac:dyDescent="0.15">
      <c r="C54" s="121" t="s">
        <v>2255</v>
      </c>
      <c r="D54" s="76" t="s">
        <v>2254</v>
      </c>
      <c r="E54" s="76"/>
      <c r="F54" s="76"/>
      <c r="G54" s="76"/>
      <c r="H54" s="76"/>
      <c r="I54" s="188">
        <f ca="1">I48+I50</f>
        <v>393</v>
      </c>
      <c r="J54" s="188">
        <f t="shared" ref="J54:N54" ca="1" si="29">J48+J50</f>
        <v>1281</v>
      </c>
      <c r="K54" s="188">
        <f t="shared" ca="1" si="29"/>
        <v>860</v>
      </c>
      <c r="L54" s="188">
        <f t="shared" ca="1" si="29"/>
        <v>750</v>
      </c>
      <c r="M54" s="188">
        <f t="shared" ca="1" si="29"/>
        <v>668</v>
      </c>
      <c r="N54" s="188">
        <f t="shared" ca="1" si="29"/>
        <v>634</v>
      </c>
      <c r="O54" s="76"/>
    </row>
    <row r="55" spans="3:15" s="132" customFormat="1" outlineLevel="1" x14ac:dyDescent="0.15">
      <c r="C55" s="189" t="s">
        <v>2256</v>
      </c>
      <c r="D55" s="190" t="s">
        <v>166</v>
      </c>
      <c r="E55" s="190"/>
      <c r="F55" s="190"/>
      <c r="G55" s="190"/>
      <c r="H55" s="190"/>
      <c r="I55" s="191">
        <f ca="1">IFERROR(I54/I$21,"н/д")</f>
        <v>0.16429765886287626</v>
      </c>
      <c r="J55" s="191">
        <f t="shared" ref="J55:N55" ca="1" si="30">IFERROR(J54/J$21,"н/д")</f>
        <v>0.4169921875</v>
      </c>
      <c r="K55" s="191">
        <f t="shared" ca="1" si="30"/>
        <v>0.29381619405534676</v>
      </c>
      <c r="L55" s="191">
        <f t="shared" ca="1" si="30"/>
        <v>0.26205450733752622</v>
      </c>
      <c r="M55" s="191">
        <f t="shared" ca="1" si="30"/>
        <v>0.25771604938271603</v>
      </c>
      <c r="N55" s="191">
        <f t="shared" ca="1" si="30"/>
        <v>0.25909276665304454</v>
      </c>
      <c r="O55" s="192"/>
    </row>
    <row r="56" spans="3:15" outlineLevel="1" x14ac:dyDescent="0.15">
      <c r="C56" s="193" t="s">
        <v>2257</v>
      </c>
      <c r="D56" s="186" t="s">
        <v>2254</v>
      </c>
      <c r="E56" s="186"/>
      <c r="F56" s="186"/>
      <c r="G56" s="186"/>
      <c r="H56" s="186"/>
      <c r="I56" s="99">
        <f ca="1">SUM(I57:I59)</f>
        <v>-189</v>
      </c>
      <c r="J56" s="99">
        <f t="shared" ref="J56:N56" ca="1" si="31">SUM(J57:J59)</f>
        <v>-202</v>
      </c>
      <c r="K56" s="99">
        <f t="shared" ca="1" si="31"/>
        <v>-172</v>
      </c>
      <c r="L56" s="99">
        <f t="shared" ca="1" si="31"/>
        <v>-169</v>
      </c>
      <c r="M56" s="99">
        <f t="shared" ca="1" si="31"/>
        <v>-189</v>
      </c>
      <c r="N56" s="99">
        <f t="shared" ca="1" si="31"/>
        <v>-212</v>
      </c>
      <c r="O56" s="199">
        <f>INDEX('ОФР К1'!$A$6:$A$17,MATCH($C56,'ОФР К1'!$C$6:$C$17,0))</f>
        <v>13</v>
      </c>
    </row>
    <row r="57" spans="3:15" outlineLevel="2" x14ac:dyDescent="0.15">
      <c r="C57" s="200" t="s">
        <v>2267</v>
      </c>
      <c r="D57" s="186" t="s">
        <v>2254</v>
      </c>
      <c r="E57" s="152"/>
      <c r="F57" s="152"/>
      <c r="G57" s="152"/>
      <c r="H57" s="152"/>
      <c r="I57" s="187">
        <f ca="1">IFERROR(INDIRECT(ADDRESS($O57,COLUMN(I$1),1,1,$C57),1),"н/д")</f>
        <v>-66</v>
      </c>
      <c r="J57" s="187">
        <f t="shared" ref="J57:N59" ca="1" si="32">IFERROR(INDIRECT(ADDRESS($O57,COLUMN(J$1),1,1,$C57),1),"н/д")</f>
        <v>-77</v>
      </c>
      <c r="K57" s="187">
        <f t="shared" ca="1" si="32"/>
        <v>-50</v>
      </c>
      <c r="L57" s="187">
        <f t="shared" ca="1" si="32"/>
        <v>-50</v>
      </c>
      <c r="M57" s="187">
        <f t="shared" ca="1" si="32"/>
        <v>-54</v>
      </c>
      <c r="N57" s="187">
        <f t="shared" ca="1" si="32"/>
        <v>-67</v>
      </c>
      <c r="O57" s="75">
        <f>O56</f>
        <v>13</v>
      </c>
    </row>
    <row r="58" spans="3:15" outlineLevel="2" x14ac:dyDescent="0.15">
      <c r="C58" s="200" t="s">
        <v>2268</v>
      </c>
      <c r="D58" s="186" t="s">
        <v>2254</v>
      </c>
      <c r="E58" s="152"/>
      <c r="F58" s="152"/>
      <c r="G58" s="152"/>
      <c r="H58" s="152"/>
      <c r="I58" s="187">
        <f t="shared" ref="I58:I59" ca="1" si="33">IFERROR(INDIRECT(ADDRESS($O58,COLUMN(I$1),1,1,$C58),1),"н/д")</f>
        <v>-71</v>
      </c>
      <c r="J58" s="187">
        <f t="shared" ca="1" si="32"/>
        <v>-62</v>
      </c>
      <c r="K58" s="187">
        <f t="shared" ca="1" si="32"/>
        <v>-69</v>
      </c>
      <c r="L58" s="187">
        <f t="shared" ca="1" si="32"/>
        <v>-57</v>
      </c>
      <c r="M58" s="187">
        <f t="shared" ca="1" si="32"/>
        <v>-60</v>
      </c>
      <c r="N58" s="187">
        <f t="shared" ca="1" si="32"/>
        <v>-65</v>
      </c>
      <c r="O58" s="75">
        <f t="shared" ref="O58:O59" si="34">O57</f>
        <v>13</v>
      </c>
    </row>
    <row r="59" spans="3:15" outlineLevel="2" x14ac:dyDescent="0.15">
      <c r="C59" s="200" t="s">
        <v>2269</v>
      </c>
      <c r="D59" s="186" t="s">
        <v>2254</v>
      </c>
      <c r="E59" s="152"/>
      <c r="F59" s="152"/>
      <c r="G59" s="152"/>
      <c r="H59" s="152"/>
      <c r="I59" s="187">
        <f t="shared" ca="1" si="33"/>
        <v>-52</v>
      </c>
      <c r="J59" s="187">
        <f t="shared" ca="1" si="32"/>
        <v>-63</v>
      </c>
      <c r="K59" s="187">
        <f t="shared" ca="1" si="32"/>
        <v>-53</v>
      </c>
      <c r="L59" s="187">
        <f t="shared" ca="1" si="32"/>
        <v>-62</v>
      </c>
      <c r="M59" s="187">
        <f t="shared" ca="1" si="32"/>
        <v>-75</v>
      </c>
      <c r="N59" s="187">
        <f t="shared" ca="1" si="32"/>
        <v>-80</v>
      </c>
      <c r="O59" s="75">
        <f t="shared" si="34"/>
        <v>13</v>
      </c>
    </row>
    <row r="60" spans="3:15" outlineLevel="1" x14ac:dyDescent="0.15">
      <c r="C60" s="43" t="s">
        <v>2258</v>
      </c>
      <c r="D60" s="186" t="s">
        <v>2254</v>
      </c>
      <c r="E60" s="186"/>
      <c r="F60" s="186"/>
      <c r="G60" s="186"/>
      <c r="H60" s="186"/>
      <c r="I60" s="99">
        <f ca="1">I56+I54</f>
        <v>204</v>
      </c>
      <c r="J60" s="99">
        <f t="shared" ref="J60:N60" ca="1" si="35">J56+J54</f>
        <v>1079</v>
      </c>
      <c r="K60" s="99">
        <f t="shared" ca="1" si="35"/>
        <v>688</v>
      </c>
      <c r="L60" s="99">
        <f t="shared" ca="1" si="35"/>
        <v>581</v>
      </c>
      <c r="M60" s="99">
        <f t="shared" ca="1" si="35"/>
        <v>479</v>
      </c>
      <c r="N60" s="99">
        <f t="shared" ca="1" si="35"/>
        <v>422</v>
      </c>
    </row>
    <row r="61" spans="3:15" outlineLevel="1" x14ac:dyDescent="0.15">
      <c r="C61" s="193" t="s">
        <v>2259</v>
      </c>
      <c r="D61" s="186" t="s">
        <v>2254</v>
      </c>
      <c r="E61" s="194">
        <v>0.2</v>
      </c>
      <c r="F61" s="186"/>
      <c r="G61" s="186"/>
      <c r="H61" s="186"/>
      <c r="I61" s="99">
        <f ca="1">-MAX(I60*$E61,0)</f>
        <v>-40.800000000000004</v>
      </c>
      <c r="J61" s="99">
        <f t="shared" ref="J61:N61" ca="1" si="36">-MAX(J60*$E61,0)</f>
        <v>-215.8</v>
      </c>
      <c r="K61" s="99">
        <f t="shared" ca="1" si="36"/>
        <v>-137.6</v>
      </c>
      <c r="L61" s="99">
        <f t="shared" ca="1" si="36"/>
        <v>-116.2</v>
      </c>
      <c r="M61" s="99">
        <f t="shared" ca="1" si="36"/>
        <v>-95.800000000000011</v>
      </c>
      <c r="N61" s="99">
        <f t="shared" ca="1" si="36"/>
        <v>-84.4</v>
      </c>
    </row>
    <row r="62" spans="3:15" outlineLevel="1" x14ac:dyDescent="0.15">
      <c r="C62" s="195" t="s">
        <v>2260</v>
      </c>
      <c r="D62" s="196" t="s">
        <v>2254</v>
      </c>
      <c r="E62" s="196"/>
      <c r="F62" s="196"/>
      <c r="G62" s="196"/>
      <c r="H62" s="196"/>
      <c r="I62" s="197">
        <f ca="1">I60+I61</f>
        <v>163.19999999999999</v>
      </c>
      <c r="J62" s="197">
        <f t="shared" ref="J62:N62" ca="1" si="37">J60+J61</f>
        <v>863.2</v>
      </c>
      <c r="K62" s="197">
        <f t="shared" ca="1" si="37"/>
        <v>550.4</v>
      </c>
      <c r="L62" s="197">
        <f t="shared" ca="1" si="37"/>
        <v>464.8</v>
      </c>
      <c r="M62" s="197">
        <f t="shared" ca="1" si="37"/>
        <v>383.2</v>
      </c>
      <c r="N62" s="197">
        <f t="shared" ca="1" si="37"/>
        <v>337.6</v>
      </c>
    </row>
    <row r="63" spans="3:15" outlineLevel="1" x14ac:dyDescent="0.15">
      <c r="C63" s="189" t="s">
        <v>2261</v>
      </c>
      <c r="D63" s="190" t="s">
        <v>166</v>
      </c>
      <c r="E63" s="190"/>
      <c r="F63" s="190"/>
      <c r="G63" s="190"/>
      <c r="H63" s="190"/>
      <c r="I63" s="191">
        <f ca="1">IFERROR(I62/I$21,"н/д")</f>
        <v>6.8227424749163879E-2</v>
      </c>
      <c r="J63" s="191">
        <f t="shared" ref="J63:N63" ca="1" si="38">IFERROR(J62/J$21,"н/д")</f>
        <v>0.28098958333333335</v>
      </c>
      <c r="K63" s="191">
        <f t="shared" ca="1" si="38"/>
        <v>0.18804236419542192</v>
      </c>
      <c r="L63" s="191">
        <f t="shared" ca="1" si="38"/>
        <v>0.16240391334730958</v>
      </c>
      <c r="M63" s="191">
        <f t="shared" ca="1" si="38"/>
        <v>0.1478395061728395</v>
      </c>
      <c r="N63" s="191">
        <f t="shared" ca="1" si="38"/>
        <v>0.13796485492439722</v>
      </c>
    </row>
    <row r="64" spans="3:15" outlineLevel="1" x14ac:dyDescent="0.15">
      <c r="I64" s="99"/>
      <c r="J64" s="99"/>
      <c r="K64" s="99"/>
      <c r="L64" s="99"/>
      <c r="M64" s="99"/>
      <c r="N64" s="99"/>
    </row>
    <row r="65" spans="2:14" outlineLevel="1" x14ac:dyDescent="0.15">
      <c r="B65" s="119" t="s">
        <v>247</v>
      </c>
      <c r="C65" s="119"/>
    </row>
    <row r="66" spans="2:14" outlineLevel="1" x14ac:dyDescent="0.15">
      <c r="C66" s="12" t="s">
        <v>2270</v>
      </c>
    </row>
    <row r="67" spans="2:14" outlineLevel="1" x14ac:dyDescent="0.15">
      <c r="C67" s="12" t="s">
        <v>2271</v>
      </c>
    </row>
    <row r="68" spans="2:14" outlineLevel="1" x14ac:dyDescent="0.15"/>
    <row r="69" spans="2:14" x14ac:dyDescent="0.15">
      <c r="B69" s="1" t="s">
        <v>466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2:14" outlineLevel="1" x14ac:dyDescent="0.15"/>
    <row r="71" spans="2:14" outlineLevel="1" x14ac:dyDescent="0.15">
      <c r="C71" s="12" t="s">
        <v>2272</v>
      </c>
    </row>
    <row r="72" spans="2:14" outlineLevel="1" x14ac:dyDescent="0.15"/>
  </sheetData>
  <dataConsolidate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/>
  <dimension ref="A1:Q19"/>
  <sheetViews>
    <sheetView showGridLines="0" workbookViewId="0">
      <pane xSplit="5" ySplit="2" topLeftCell="F3" activePane="bottomRight" state="frozen"/>
      <selection activeCell="C15" sqref="C15"/>
      <selection pane="topRight" activeCell="C15" sqref="C15"/>
      <selection pane="bottomLeft" activeCell="C15" sqref="C15"/>
      <selection pane="bottomRight" activeCell="F3" sqref="F3"/>
    </sheetView>
  </sheetViews>
  <sheetFormatPr defaultColWidth="0" defaultRowHeight="11.25" x14ac:dyDescent="0.15"/>
  <cols>
    <col min="1" max="2" width="6.25" style="12" customWidth="1"/>
    <col min="3" max="3" width="20.875" style="12" customWidth="1"/>
    <col min="4" max="5" width="11" style="12" customWidth="1"/>
    <col min="6" max="8" width="3.75" style="12" customWidth="1"/>
    <col min="9" max="15" width="11" style="12" customWidth="1"/>
    <col min="16" max="17" width="0" style="12" hidden="1" customWidth="1"/>
    <col min="18" max="16384" width="11" style="12" hidden="1"/>
  </cols>
  <sheetData>
    <row r="1" spans="1:14" x14ac:dyDescent="0.15">
      <c r="A1" s="11" t="s">
        <v>2267</v>
      </c>
      <c r="B1" s="11"/>
      <c r="I1" s="41">
        <v>2018</v>
      </c>
      <c r="J1" s="41">
        <f>I1+1</f>
        <v>2019</v>
      </c>
      <c r="K1" s="41">
        <f t="shared" ref="K1:N1" si="0">J1+1</f>
        <v>2020</v>
      </c>
      <c r="L1" s="41">
        <f t="shared" si="0"/>
        <v>2021</v>
      </c>
      <c r="M1" s="41">
        <f t="shared" si="0"/>
        <v>2022</v>
      </c>
      <c r="N1" s="41">
        <f t="shared" si="0"/>
        <v>2023</v>
      </c>
    </row>
    <row r="3" spans="1:14" x14ac:dyDescent="0.15">
      <c r="E3" s="201" t="s">
        <v>2273</v>
      </c>
      <c r="F3" s="201"/>
      <c r="G3" s="201"/>
      <c r="H3" s="201"/>
      <c r="I3" s="201">
        <f>COLUMN()</f>
        <v>9</v>
      </c>
      <c r="J3" s="201">
        <f>COLUMN()</f>
        <v>10</v>
      </c>
      <c r="K3" s="201">
        <f>COLUMN()</f>
        <v>11</v>
      </c>
      <c r="L3" s="201">
        <f>COLUMN()</f>
        <v>12</v>
      </c>
      <c r="M3" s="201">
        <f>COLUMN()</f>
        <v>13</v>
      </c>
      <c r="N3" s="201">
        <f>COLUMN()</f>
        <v>14</v>
      </c>
    </row>
    <row r="4" spans="1:14" x14ac:dyDescent="0.15">
      <c r="C4" s="116" t="s">
        <v>2274</v>
      </c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</row>
    <row r="5" spans="1:14" x14ac:dyDescent="0.15">
      <c r="A5" s="201" t="s">
        <v>2266</v>
      </c>
    </row>
    <row r="6" spans="1:14" x14ac:dyDescent="0.15">
      <c r="A6" s="201">
        <f>ROW(A6)</f>
        <v>6</v>
      </c>
      <c r="C6" s="184" t="s">
        <v>104</v>
      </c>
      <c r="D6" s="152" t="s">
        <v>2254</v>
      </c>
      <c r="E6" s="152"/>
      <c r="F6" s="152"/>
      <c r="G6" s="152"/>
      <c r="H6" s="152"/>
      <c r="I6" s="202">
        <v>735</v>
      </c>
      <c r="J6" s="202">
        <v>1028</v>
      </c>
      <c r="K6" s="202">
        <v>867</v>
      </c>
      <c r="L6" s="202">
        <v>948</v>
      </c>
      <c r="M6" s="202">
        <v>836</v>
      </c>
      <c r="N6" s="202">
        <v>797</v>
      </c>
    </row>
    <row r="7" spans="1:14" x14ac:dyDescent="0.15">
      <c r="A7" s="201">
        <f t="shared" ref="A7:A17" si="1">ROW(A7)</f>
        <v>7</v>
      </c>
      <c r="C7" s="43" t="s">
        <v>105</v>
      </c>
      <c r="D7" s="186" t="s">
        <v>2254</v>
      </c>
      <c r="E7" s="186"/>
      <c r="F7" s="186"/>
      <c r="G7" s="186"/>
      <c r="H7" s="186"/>
      <c r="I7" s="100">
        <v>-447</v>
      </c>
      <c r="J7" s="100">
        <v>-504</v>
      </c>
      <c r="K7" s="100">
        <v>-603</v>
      </c>
      <c r="L7" s="100">
        <v>-674</v>
      </c>
      <c r="M7" s="100">
        <v>-678</v>
      </c>
      <c r="N7" s="100">
        <v>-513</v>
      </c>
    </row>
    <row r="8" spans="1:14" x14ac:dyDescent="0.15">
      <c r="A8" s="201">
        <f t="shared" si="1"/>
        <v>8</v>
      </c>
      <c r="C8" s="121" t="s">
        <v>106</v>
      </c>
      <c r="D8" s="76" t="s">
        <v>2254</v>
      </c>
      <c r="E8" s="76"/>
      <c r="F8" s="76"/>
      <c r="G8" s="76"/>
      <c r="H8" s="76"/>
      <c r="I8" s="188">
        <f>SUM(I6:I7)</f>
        <v>288</v>
      </c>
      <c r="J8" s="188">
        <f t="shared" ref="J8:N8" si="2">SUM(J6:J7)</f>
        <v>524</v>
      </c>
      <c r="K8" s="188">
        <f t="shared" si="2"/>
        <v>264</v>
      </c>
      <c r="L8" s="188">
        <f t="shared" si="2"/>
        <v>274</v>
      </c>
      <c r="M8" s="188">
        <f t="shared" si="2"/>
        <v>158</v>
      </c>
      <c r="N8" s="188">
        <f t="shared" si="2"/>
        <v>284</v>
      </c>
    </row>
    <row r="9" spans="1:14" s="132" customFormat="1" x14ac:dyDescent="0.15">
      <c r="A9" s="201">
        <f t="shared" si="1"/>
        <v>9</v>
      </c>
      <c r="C9" s="189" t="s">
        <v>107</v>
      </c>
      <c r="D9" s="190" t="s">
        <v>166</v>
      </c>
      <c r="E9" s="190"/>
      <c r="F9" s="190"/>
      <c r="G9" s="190"/>
      <c r="H9" s="190"/>
      <c r="I9" s="191">
        <f>I8/I$6</f>
        <v>0.39183673469387753</v>
      </c>
      <c r="J9" s="191">
        <f t="shared" ref="J9:N9" si="3">J8/J$6</f>
        <v>0.50972762645914393</v>
      </c>
      <c r="K9" s="191">
        <f t="shared" si="3"/>
        <v>0.30449826989619377</v>
      </c>
      <c r="L9" s="191">
        <f t="shared" si="3"/>
        <v>0.28902953586497893</v>
      </c>
      <c r="M9" s="191">
        <f t="shared" si="3"/>
        <v>0.18899521531100477</v>
      </c>
      <c r="N9" s="191">
        <f t="shared" si="3"/>
        <v>0.35633626097866999</v>
      </c>
    </row>
    <row r="10" spans="1:14" x14ac:dyDescent="0.15">
      <c r="A10" s="201">
        <f t="shared" si="1"/>
        <v>10</v>
      </c>
      <c r="C10" s="43" t="s">
        <v>324</v>
      </c>
      <c r="D10" s="186" t="s">
        <v>2254</v>
      </c>
      <c r="E10" s="186"/>
      <c r="F10" s="186"/>
      <c r="G10" s="186"/>
      <c r="H10" s="186"/>
      <c r="I10" s="100">
        <v>-67</v>
      </c>
      <c r="J10" s="100">
        <v>-61</v>
      </c>
      <c r="K10" s="100">
        <v>-78</v>
      </c>
      <c r="L10" s="100">
        <v>-52</v>
      </c>
      <c r="M10" s="100">
        <v>-67</v>
      </c>
      <c r="N10" s="100">
        <v>-50</v>
      </c>
    </row>
    <row r="11" spans="1:14" s="22" customFormat="1" x14ac:dyDescent="0.15">
      <c r="A11" s="201">
        <f t="shared" si="1"/>
        <v>11</v>
      </c>
      <c r="C11" s="121" t="s">
        <v>2255</v>
      </c>
      <c r="D11" s="76" t="s">
        <v>2254</v>
      </c>
      <c r="E11" s="76"/>
      <c r="F11" s="76"/>
      <c r="G11" s="76"/>
      <c r="H11" s="76"/>
      <c r="I11" s="188">
        <f>I8+I10</f>
        <v>221</v>
      </c>
      <c r="J11" s="188">
        <f t="shared" ref="J11:N11" si="4">J8+J10</f>
        <v>463</v>
      </c>
      <c r="K11" s="188">
        <f t="shared" si="4"/>
        <v>186</v>
      </c>
      <c r="L11" s="188">
        <f t="shared" si="4"/>
        <v>222</v>
      </c>
      <c r="M11" s="188">
        <f t="shared" si="4"/>
        <v>91</v>
      </c>
      <c r="N11" s="188">
        <f t="shared" si="4"/>
        <v>234</v>
      </c>
    </row>
    <row r="12" spans="1:14" s="132" customFormat="1" x14ac:dyDescent="0.15">
      <c r="A12" s="201">
        <f t="shared" si="1"/>
        <v>12</v>
      </c>
      <c r="C12" s="189" t="s">
        <v>2256</v>
      </c>
      <c r="D12" s="190" t="s">
        <v>166</v>
      </c>
      <c r="E12" s="190"/>
      <c r="F12" s="190"/>
      <c r="G12" s="190"/>
      <c r="H12" s="190"/>
      <c r="I12" s="191">
        <f>I11/I$6</f>
        <v>0.30068027210884352</v>
      </c>
      <c r="J12" s="191">
        <f t="shared" ref="J12:N12" si="5">J11/J$6</f>
        <v>0.45038910505836577</v>
      </c>
      <c r="K12" s="191">
        <f t="shared" si="5"/>
        <v>0.21453287197231835</v>
      </c>
      <c r="L12" s="191">
        <f t="shared" si="5"/>
        <v>0.23417721518987342</v>
      </c>
      <c r="M12" s="191">
        <f t="shared" si="5"/>
        <v>0.10885167464114832</v>
      </c>
      <c r="N12" s="191">
        <f t="shared" si="5"/>
        <v>0.29360100376411541</v>
      </c>
    </row>
    <row r="13" spans="1:14" x14ac:dyDescent="0.15">
      <c r="A13" s="201">
        <f t="shared" si="1"/>
        <v>13</v>
      </c>
      <c r="C13" s="193" t="s">
        <v>2257</v>
      </c>
      <c r="D13" s="186" t="s">
        <v>2254</v>
      </c>
      <c r="E13" s="186"/>
      <c r="F13" s="186"/>
      <c r="G13" s="186"/>
      <c r="H13" s="186"/>
      <c r="I13" s="100">
        <v>-66</v>
      </c>
      <c r="J13" s="100">
        <v>-77</v>
      </c>
      <c r="K13" s="100">
        <v>-50</v>
      </c>
      <c r="L13" s="100">
        <v>-50</v>
      </c>
      <c r="M13" s="100">
        <v>-54</v>
      </c>
      <c r="N13" s="100">
        <v>-67</v>
      </c>
    </row>
    <row r="14" spans="1:14" x14ac:dyDescent="0.15">
      <c r="A14" s="201">
        <f t="shared" si="1"/>
        <v>14</v>
      </c>
      <c r="C14" s="43" t="s">
        <v>2258</v>
      </c>
      <c r="D14" s="186" t="s">
        <v>2254</v>
      </c>
      <c r="E14" s="186"/>
      <c r="F14" s="186"/>
      <c r="G14" s="186"/>
      <c r="H14" s="186"/>
      <c r="I14" s="99">
        <f>I13+I11</f>
        <v>155</v>
      </c>
      <c r="J14" s="99">
        <f t="shared" ref="J14:N14" si="6">J13+J11</f>
        <v>386</v>
      </c>
      <c r="K14" s="99">
        <f t="shared" si="6"/>
        <v>136</v>
      </c>
      <c r="L14" s="99">
        <f t="shared" si="6"/>
        <v>172</v>
      </c>
      <c r="M14" s="99">
        <f t="shared" si="6"/>
        <v>37</v>
      </c>
      <c r="N14" s="99">
        <f t="shared" si="6"/>
        <v>167</v>
      </c>
    </row>
    <row r="15" spans="1:14" x14ac:dyDescent="0.15">
      <c r="A15" s="201">
        <f t="shared" si="1"/>
        <v>15</v>
      </c>
      <c r="C15" s="193" t="s">
        <v>2259</v>
      </c>
      <c r="D15" s="186" t="s">
        <v>2254</v>
      </c>
      <c r="E15" s="194">
        <v>0.2</v>
      </c>
      <c r="F15" s="186"/>
      <c r="G15" s="186"/>
      <c r="H15" s="186"/>
      <c r="I15" s="99">
        <f>-MAX(I14*$E15,0)</f>
        <v>-31</v>
      </c>
      <c r="J15" s="99">
        <f t="shared" ref="J15:N15" si="7">-MAX(J14*$E15,0)</f>
        <v>-77.2</v>
      </c>
      <c r="K15" s="99">
        <f t="shared" si="7"/>
        <v>-27.200000000000003</v>
      </c>
      <c r="L15" s="99">
        <f t="shared" si="7"/>
        <v>-34.4</v>
      </c>
      <c r="M15" s="99">
        <f t="shared" si="7"/>
        <v>-7.4</v>
      </c>
      <c r="N15" s="99">
        <f t="shared" si="7"/>
        <v>-33.4</v>
      </c>
    </row>
    <row r="16" spans="1:14" x14ac:dyDescent="0.15">
      <c r="A16" s="201">
        <f t="shared" si="1"/>
        <v>16</v>
      </c>
      <c r="C16" s="121" t="s">
        <v>2260</v>
      </c>
      <c r="D16" s="76" t="s">
        <v>2254</v>
      </c>
      <c r="E16" s="76"/>
      <c r="F16" s="186"/>
      <c r="G16" s="186"/>
      <c r="H16" s="186"/>
      <c r="I16" s="99">
        <f>I14+I15</f>
        <v>124</v>
      </c>
      <c r="J16" s="99">
        <f t="shared" ref="J16:N16" si="8">J14+J15</f>
        <v>308.8</v>
      </c>
      <c r="K16" s="99">
        <f t="shared" si="8"/>
        <v>108.8</v>
      </c>
      <c r="L16" s="99">
        <f t="shared" si="8"/>
        <v>137.6</v>
      </c>
      <c r="M16" s="99">
        <f t="shared" si="8"/>
        <v>29.6</v>
      </c>
      <c r="N16" s="99">
        <f t="shared" si="8"/>
        <v>133.6</v>
      </c>
    </row>
    <row r="17" spans="1:14" x14ac:dyDescent="0.15">
      <c r="A17" s="201">
        <f t="shared" si="1"/>
        <v>17</v>
      </c>
      <c r="C17" s="189" t="s">
        <v>2261</v>
      </c>
      <c r="D17" s="190" t="s">
        <v>166</v>
      </c>
      <c r="E17" s="190"/>
      <c r="F17" s="186"/>
      <c r="G17" s="186"/>
      <c r="H17" s="186"/>
      <c r="I17" s="191">
        <f>I16/I$6</f>
        <v>0.16870748299319727</v>
      </c>
      <c r="J17" s="191">
        <f t="shared" ref="J17:N17" si="9">J16/J$6</f>
        <v>0.30038910505836575</v>
      </c>
      <c r="K17" s="191">
        <f t="shared" si="9"/>
        <v>0.12549019607843137</v>
      </c>
      <c r="L17" s="191">
        <f t="shared" si="9"/>
        <v>0.1451476793248945</v>
      </c>
      <c r="M17" s="191">
        <f t="shared" si="9"/>
        <v>3.5406698564593303E-2</v>
      </c>
      <c r="N17" s="191">
        <f t="shared" si="9"/>
        <v>0.16762860727728984</v>
      </c>
    </row>
    <row r="18" spans="1:14" x14ac:dyDescent="0.15">
      <c r="F18" s="186"/>
      <c r="G18" s="186"/>
      <c r="H18" s="186"/>
      <c r="I18" s="99"/>
      <c r="J18" s="99"/>
      <c r="K18" s="99"/>
      <c r="L18" s="99"/>
      <c r="M18" s="99"/>
      <c r="N18" s="99"/>
    </row>
    <row r="19" spans="1:14" x14ac:dyDescent="0.15">
      <c r="F19" s="186"/>
      <c r="G19" s="186"/>
      <c r="H19" s="186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Q19"/>
  <sheetViews>
    <sheetView showGridLines="0" workbookViewId="0">
      <pane xSplit="5" ySplit="2" topLeftCell="F3" activePane="bottomRight" state="frozen"/>
      <selection activeCell="C15" sqref="C15"/>
      <selection pane="topRight" activeCell="C15" sqref="C15"/>
      <selection pane="bottomLeft" activeCell="C15" sqref="C15"/>
      <selection pane="bottomRight" activeCell="F3" sqref="F3"/>
    </sheetView>
  </sheetViews>
  <sheetFormatPr defaultColWidth="0" defaultRowHeight="11.25" x14ac:dyDescent="0.15"/>
  <cols>
    <col min="1" max="2" width="6.25" style="12" customWidth="1"/>
    <col min="3" max="3" width="20.875" style="12" customWidth="1"/>
    <col min="4" max="5" width="11" style="12" customWidth="1"/>
    <col min="6" max="8" width="3.75" style="12" customWidth="1"/>
    <col min="9" max="15" width="11" style="12" customWidth="1"/>
    <col min="16" max="17" width="0" style="12" hidden="1" customWidth="1"/>
    <col min="18" max="16384" width="11" style="12" hidden="1"/>
  </cols>
  <sheetData>
    <row r="1" spans="1:14" x14ac:dyDescent="0.15">
      <c r="A1" s="11" t="s">
        <v>2268</v>
      </c>
      <c r="B1" s="22"/>
      <c r="I1" s="41">
        <v>2018</v>
      </c>
      <c r="J1" s="41">
        <f>I1+1</f>
        <v>2019</v>
      </c>
      <c r="K1" s="41">
        <f t="shared" ref="K1:N1" si="0">J1+1</f>
        <v>2020</v>
      </c>
      <c r="L1" s="41">
        <f t="shared" si="0"/>
        <v>2021</v>
      </c>
      <c r="M1" s="41">
        <f t="shared" si="0"/>
        <v>2022</v>
      </c>
      <c r="N1" s="41">
        <f t="shared" si="0"/>
        <v>2023</v>
      </c>
    </row>
    <row r="4" spans="1:14" x14ac:dyDescent="0.15">
      <c r="C4" s="116" t="s">
        <v>2275</v>
      </c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</row>
    <row r="6" spans="1:14" x14ac:dyDescent="0.15">
      <c r="C6" s="184" t="s">
        <v>104</v>
      </c>
      <c r="D6" s="152" t="s">
        <v>2254</v>
      </c>
      <c r="E6" s="152"/>
      <c r="F6" s="152"/>
      <c r="G6" s="152"/>
      <c r="H6" s="152"/>
      <c r="I6" s="202">
        <v>703</v>
      </c>
      <c r="J6" s="202">
        <v>1086</v>
      </c>
      <c r="K6" s="202">
        <v>1031</v>
      </c>
      <c r="L6" s="202">
        <v>829</v>
      </c>
      <c r="M6" s="202">
        <v>1004</v>
      </c>
      <c r="N6" s="202">
        <v>729</v>
      </c>
    </row>
    <row r="7" spans="1:14" x14ac:dyDescent="0.15">
      <c r="C7" s="43" t="s">
        <v>105</v>
      </c>
      <c r="D7" s="186" t="s">
        <v>2254</v>
      </c>
      <c r="E7" s="186"/>
      <c r="F7" s="186"/>
      <c r="G7" s="186"/>
      <c r="H7" s="186"/>
      <c r="I7" s="100">
        <v>-679</v>
      </c>
      <c r="J7" s="100">
        <v>-646</v>
      </c>
      <c r="K7" s="100">
        <v>-598</v>
      </c>
      <c r="L7" s="100">
        <v>-698</v>
      </c>
      <c r="M7" s="100">
        <v>-406</v>
      </c>
      <c r="N7" s="100">
        <v>-581</v>
      </c>
    </row>
    <row r="8" spans="1:14" x14ac:dyDescent="0.15">
      <c r="C8" s="121" t="s">
        <v>106</v>
      </c>
      <c r="D8" s="76" t="s">
        <v>2254</v>
      </c>
      <c r="E8" s="76"/>
      <c r="F8" s="76"/>
      <c r="G8" s="76"/>
      <c r="H8" s="76"/>
      <c r="I8" s="188">
        <f>SUM(I6:I7)</f>
        <v>24</v>
      </c>
      <c r="J8" s="188">
        <f t="shared" ref="J8:N8" si="1">SUM(J6:J7)</f>
        <v>440</v>
      </c>
      <c r="K8" s="188">
        <f t="shared" si="1"/>
        <v>433</v>
      </c>
      <c r="L8" s="188">
        <f t="shared" si="1"/>
        <v>131</v>
      </c>
      <c r="M8" s="188">
        <f t="shared" si="1"/>
        <v>598</v>
      </c>
      <c r="N8" s="188">
        <f t="shared" si="1"/>
        <v>148</v>
      </c>
    </row>
    <row r="9" spans="1:14" s="132" customFormat="1" x14ac:dyDescent="0.15">
      <c r="C9" s="189" t="s">
        <v>107</v>
      </c>
      <c r="D9" s="190" t="s">
        <v>166</v>
      </c>
      <c r="E9" s="190"/>
      <c r="F9" s="190"/>
      <c r="G9" s="190"/>
      <c r="H9" s="190"/>
      <c r="I9" s="191">
        <f>I8/I$6</f>
        <v>3.4139402560455195E-2</v>
      </c>
      <c r="J9" s="191">
        <f t="shared" ref="J9:N9" si="2">J8/J$6</f>
        <v>0.40515653775322286</v>
      </c>
      <c r="K9" s="191">
        <f t="shared" si="2"/>
        <v>0.41998060135790494</v>
      </c>
      <c r="L9" s="191">
        <f t="shared" si="2"/>
        <v>0.158021712907117</v>
      </c>
      <c r="M9" s="191">
        <f t="shared" si="2"/>
        <v>0.59561752988047811</v>
      </c>
      <c r="N9" s="191">
        <f t="shared" si="2"/>
        <v>0.20301783264746229</v>
      </c>
    </row>
    <row r="10" spans="1:14" x14ac:dyDescent="0.15">
      <c r="C10" s="43" t="s">
        <v>324</v>
      </c>
      <c r="D10" s="186" t="s">
        <v>2254</v>
      </c>
      <c r="E10" s="186"/>
      <c r="F10" s="186"/>
      <c r="G10" s="186"/>
      <c r="H10" s="186"/>
      <c r="I10" s="100">
        <v>-79</v>
      </c>
      <c r="J10" s="100">
        <v>-62</v>
      </c>
      <c r="K10" s="100">
        <v>-56</v>
      </c>
      <c r="L10" s="100">
        <v>-75</v>
      </c>
      <c r="M10" s="100">
        <v>-72</v>
      </c>
      <c r="N10" s="100">
        <v>-66</v>
      </c>
    </row>
    <row r="11" spans="1:14" s="22" customFormat="1" x14ac:dyDescent="0.15">
      <c r="C11" s="121" t="s">
        <v>2255</v>
      </c>
      <c r="D11" s="76" t="s">
        <v>2254</v>
      </c>
      <c r="E11" s="76"/>
      <c r="F11" s="76"/>
      <c r="G11" s="76"/>
      <c r="H11" s="76"/>
      <c r="I11" s="188">
        <f>I8+I10</f>
        <v>-55</v>
      </c>
      <c r="J11" s="188">
        <f t="shared" ref="J11:N11" si="3">J8+J10</f>
        <v>378</v>
      </c>
      <c r="K11" s="188">
        <f t="shared" si="3"/>
        <v>377</v>
      </c>
      <c r="L11" s="188">
        <f t="shared" si="3"/>
        <v>56</v>
      </c>
      <c r="M11" s="188">
        <f t="shared" si="3"/>
        <v>526</v>
      </c>
      <c r="N11" s="188">
        <f t="shared" si="3"/>
        <v>82</v>
      </c>
    </row>
    <row r="12" spans="1:14" s="132" customFormat="1" x14ac:dyDescent="0.15">
      <c r="C12" s="189" t="s">
        <v>2256</v>
      </c>
      <c r="D12" s="190" t="s">
        <v>166</v>
      </c>
      <c r="E12" s="190"/>
      <c r="F12" s="190"/>
      <c r="G12" s="190"/>
      <c r="H12" s="190"/>
      <c r="I12" s="191">
        <f>I11/I$6</f>
        <v>-7.8236130867709822E-2</v>
      </c>
      <c r="J12" s="191">
        <f t="shared" ref="J12:N12" si="4">J11/J$6</f>
        <v>0.34806629834254144</v>
      </c>
      <c r="K12" s="191">
        <f t="shared" si="4"/>
        <v>0.36566440349175555</v>
      </c>
      <c r="L12" s="191">
        <f t="shared" si="4"/>
        <v>6.7551266586248493E-2</v>
      </c>
      <c r="M12" s="191">
        <f t="shared" si="4"/>
        <v>0.5239043824701195</v>
      </c>
      <c r="N12" s="191">
        <f t="shared" si="4"/>
        <v>0.11248285322359397</v>
      </c>
    </row>
    <row r="13" spans="1:14" x14ac:dyDescent="0.15">
      <c r="C13" s="193" t="s">
        <v>2257</v>
      </c>
      <c r="D13" s="186" t="s">
        <v>2254</v>
      </c>
      <c r="E13" s="186"/>
      <c r="F13" s="186"/>
      <c r="G13" s="186"/>
      <c r="H13" s="186"/>
      <c r="I13" s="100">
        <v>-71</v>
      </c>
      <c r="J13" s="100">
        <v>-62</v>
      </c>
      <c r="K13" s="100">
        <v>-69</v>
      </c>
      <c r="L13" s="100">
        <v>-57</v>
      </c>
      <c r="M13" s="100">
        <v>-60</v>
      </c>
      <c r="N13" s="100">
        <v>-65</v>
      </c>
    </row>
    <row r="14" spans="1:14" x14ac:dyDescent="0.15">
      <c r="C14" s="43" t="s">
        <v>2258</v>
      </c>
      <c r="D14" s="186" t="s">
        <v>2254</v>
      </c>
      <c r="E14" s="186"/>
      <c r="F14" s="186"/>
      <c r="G14" s="186"/>
      <c r="H14" s="186"/>
      <c r="I14" s="99">
        <f>I13+I11</f>
        <v>-126</v>
      </c>
      <c r="J14" s="99">
        <f t="shared" ref="J14:N14" si="5">J13+J11</f>
        <v>316</v>
      </c>
      <c r="K14" s="99">
        <f t="shared" si="5"/>
        <v>308</v>
      </c>
      <c r="L14" s="99">
        <f t="shared" si="5"/>
        <v>-1</v>
      </c>
      <c r="M14" s="99">
        <f t="shared" si="5"/>
        <v>466</v>
      </c>
      <c r="N14" s="99">
        <f t="shared" si="5"/>
        <v>17</v>
      </c>
    </row>
    <row r="15" spans="1:14" x14ac:dyDescent="0.15">
      <c r="C15" s="193" t="s">
        <v>2259</v>
      </c>
      <c r="D15" s="186" t="s">
        <v>2254</v>
      </c>
      <c r="E15" s="194">
        <v>0.2</v>
      </c>
      <c r="F15" s="186"/>
      <c r="G15" s="186"/>
      <c r="H15" s="186"/>
      <c r="I15" s="99">
        <f>-MAX(I14*$E15,0)</f>
        <v>0</v>
      </c>
      <c r="J15" s="99">
        <f t="shared" ref="J15:N15" si="6">-MAX(J14*$E15,0)</f>
        <v>-63.2</v>
      </c>
      <c r="K15" s="99">
        <f t="shared" si="6"/>
        <v>-61.6</v>
      </c>
      <c r="L15" s="99">
        <f t="shared" si="6"/>
        <v>0</v>
      </c>
      <c r="M15" s="99">
        <f t="shared" si="6"/>
        <v>-93.2</v>
      </c>
      <c r="N15" s="99">
        <f t="shared" si="6"/>
        <v>-3.4000000000000004</v>
      </c>
    </row>
    <row r="16" spans="1:14" x14ac:dyDescent="0.15">
      <c r="C16" s="121" t="s">
        <v>2260</v>
      </c>
      <c r="D16" s="76" t="s">
        <v>2254</v>
      </c>
      <c r="E16" s="76"/>
      <c r="F16" s="186"/>
      <c r="G16" s="186"/>
      <c r="H16" s="186"/>
      <c r="I16" s="99">
        <f>I14+I15</f>
        <v>-126</v>
      </c>
      <c r="J16" s="99">
        <f t="shared" ref="J16:N16" si="7">J14+J15</f>
        <v>252.8</v>
      </c>
      <c r="K16" s="99">
        <f t="shared" si="7"/>
        <v>246.4</v>
      </c>
      <c r="L16" s="99">
        <f t="shared" si="7"/>
        <v>-1</v>
      </c>
      <c r="M16" s="99">
        <f t="shared" si="7"/>
        <v>372.8</v>
      </c>
      <c r="N16" s="99">
        <f t="shared" si="7"/>
        <v>13.6</v>
      </c>
    </row>
    <row r="17" spans="3:14" x14ac:dyDescent="0.15">
      <c r="C17" s="189" t="s">
        <v>2261</v>
      </c>
      <c r="D17" s="190" t="s">
        <v>166</v>
      </c>
      <c r="E17" s="190"/>
      <c r="F17" s="186"/>
      <c r="G17" s="186"/>
      <c r="H17" s="186"/>
      <c r="I17" s="191">
        <f>I16/I$6</f>
        <v>-0.17923186344238975</v>
      </c>
      <c r="J17" s="191">
        <f t="shared" ref="J17:N17" si="8">J16/J$6</f>
        <v>0.23278084714548805</v>
      </c>
      <c r="K17" s="191">
        <f t="shared" si="8"/>
        <v>0.23899127061105724</v>
      </c>
      <c r="L17" s="191">
        <f t="shared" si="8"/>
        <v>-1.2062726176115801E-3</v>
      </c>
      <c r="M17" s="191">
        <f t="shared" si="8"/>
        <v>0.3713147410358566</v>
      </c>
      <c r="N17" s="191">
        <f t="shared" si="8"/>
        <v>1.8655692729766804E-2</v>
      </c>
    </row>
    <row r="18" spans="3:14" x14ac:dyDescent="0.15">
      <c r="F18" s="186"/>
      <c r="G18" s="186"/>
      <c r="H18" s="186"/>
      <c r="I18" s="99"/>
      <c r="J18" s="99"/>
      <c r="K18" s="99"/>
      <c r="L18" s="99"/>
      <c r="M18" s="99"/>
      <c r="N18" s="99"/>
    </row>
    <row r="19" spans="3:14" x14ac:dyDescent="0.15">
      <c r="F19" s="186"/>
      <c r="G19" s="186"/>
      <c r="H19" s="186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Q19"/>
  <sheetViews>
    <sheetView showGridLines="0" workbookViewId="0">
      <pane xSplit="5" ySplit="2" topLeftCell="F3" activePane="bottomRight" state="frozen"/>
      <selection activeCell="C15" sqref="C15"/>
      <selection pane="topRight" activeCell="C15" sqref="C15"/>
      <selection pane="bottomLeft" activeCell="C15" sqref="C15"/>
      <selection pane="bottomRight" activeCell="F3" sqref="F3"/>
    </sheetView>
  </sheetViews>
  <sheetFormatPr defaultColWidth="0" defaultRowHeight="11.25" x14ac:dyDescent="0.15"/>
  <cols>
    <col min="1" max="2" width="6.25" style="12" customWidth="1"/>
    <col min="3" max="3" width="20.875" style="12" customWidth="1"/>
    <col min="4" max="5" width="11" style="12" customWidth="1"/>
    <col min="6" max="8" width="3.75" style="12" customWidth="1"/>
    <col min="9" max="15" width="11" style="12" customWidth="1"/>
    <col min="16" max="17" width="0" style="12" hidden="1" customWidth="1"/>
    <col min="18" max="16384" width="11" style="12" hidden="1"/>
  </cols>
  <sheetData>
    <row r="1" spans="1:14" x14ac:dyDescent="0.15">
      <c r="A1" s="11" t="s">
        <v>2269</v>
      </c>
      <c r="B1" s="22"/>
      <c r="I1" s="41">
        <v>2018</v>
      </c>
      <c r="J1" s="41">
        <f>I1+1</f>
        <v>2019</v>
      </c>
      <c r="K1" s="41">
        <f t="shared" ref="K1:N1" si="0">J1+1</f>
        <v>2020</v>
      </c>
      <c r="L1" s="41">
        <f t="shared" si="0"/>
        <v>2021</v>
      </c>
      <c r="M1" s="41">
        <f t="shared" si="0"/>
        <v>2022</v>
      </c>
      <c r="N1" s="41">
        <f t="shared" si="0"/>
        <v>2023</v>
      </c>
    </row>
    <row r="4" spans="1:14" x14ac:dyDescent="0.15">
      <c r="C4" s="116" t="s">
        <v>2276</v>
      </c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</row>
    <row r="6" spans="1:14" x14ac:dyDescent="0.15">
      <c r="C6" s="184" t="s">
        <v>104</v>
      </c>
      <c r="D6" s="152" t="s">
        <v>2254</v>
      </c>
      <c r="E6" s="152"/>
      <c r="F6" s="152"/>
      <c r="G6" s="152"/>
      <c r="H6" s="152"/>
      <c r="I6" s="202">
        <v>954</v>
      </c>
      <c r="J6" s="202">
        <v>958</v>
      </c>
      <c r="K6" s="202">
        <v>1029</v>
      </c>
      <c r="L6" s="202">
        <v>1085</v>
      </c>
      <c r="M6" s="202">
        <v>752</v>
      </c>
      <c r="N6" s="202">
        <v>921</v>
      </c>
    </row>
    <row r="7" spans="1:14" x14ac:dyDescent="0.15">
      <c r="C7" s="43" t="s">
        <v>105</v>
      </c>
      <c r="D7" s="186" t="s">
        <v>2254</v>
      </c>
      <c r="E7" s="186"/>
      <c r="F7" s="186"/>
      <c r="G7" s="186"/>
      <c r="H7" s="186"/>
      <c r="I7" s="100">
        <v>-670</v>
      </c>
      <c r="J7" s="100">
        <v>-450</v>
      </c>
      <c r="K7" s="100">
        <v>-673</v>
      </c>
      <c r="L7" s="100">
        <v>-559</v>
      </c>
      <c r="M7" s="100">
        <v>-644</v>
      </c>
      <c r="N7" s="100">
        <v>-539</v>
      </c>
    </row>
    <row r="8" spans="1:14" x14ac:dyDescent="0.15">
      <c r="C8" s="121" t="s">
        <v>106</v>
      </c>
      <c r="D8" s="76" t="s">
        <v>2254</v>
      </c>
      <c r="E8" s="76"/>
      <c r="F8" s="76"/>
      <c r="G8" s="76"/>
      <c r="H8" s="76"/>
      <c r="I8" s="188">
        <f>SUM(I6:I7)</f>
        <v>284</v>
      </c>
      <c r="J8" s="188">
        <f t="shared" ref="J8:N8" si="1">SUM(J6:J7)</f>
        <v>508</v>
      </c>
      <c r="K8" s="188">
        <f t="shared" si="1"/>
        <v>356</v>
      </c>
      <c r="L8" s="188">
        <f t="shared" si="1"/>
        <v>526</v>
      </c>
      <c r="M8" s="188">
        <f t="shared" si="1"/>
        <v>108</v>
      </c>
      <c r="N8" s="188">
        <f t="shared" si="1"/>
        <v>382</v>
      </c>
    </row>
    <row r="9" spans="1:14" s="132" customFormat="1" x14ac:dyDescent="0.15">
      <c r="C9" s="189" t="s">
        <v>107</v>
      </c>
      <c r="D9" s="190" t="s">
        <v>166</v>
      </c>
      <c r="E9" s="190"/>
      <c r="F9" s="190"/>
      <c r="G9" s="190"/>
      <c r="H9" s="190"/>
      <c r="I9" s="191">
        <f>I8/I$6</f>
        <v>0.2976939203354298</v>
      </c>
      <c r="J9" s="191">
        <f t="shared" ref="J9:N9" si="2">J8/J$6</f>
        <v>0.53027139874739038</v>
      </c>
      <c r="K9" s="191">
        <f t="shared" si="2"/>
        <v>0.34596695821185619</v>
      </c>
      <c r="L9" s="191">
        <f t="shared" si="2"/>
        <v>0.48479262672811058</v>
      </c>
      <c r="M9" s="191">
        <f t="shared" si="2"/>
        <v>0.14361702127659576</v>
      </c>
      <c r="N9" s="191">
        <f t="shared" si="2"/>
        <v>0.41476655808903368</v>
      </c>
    </row>
    <row r="10" spans="1:14" x14ac:dyDescent="0.15">
      <c r="C10" s="43" t="s">
        <v>324</v>
      </c>
      <c r="D10" s="186" t="s">
        <v>2254</v>
      </c>
      <c r="E10" s="186"/>
      <c r="F10" s="186"/>
      <c r="G10" s="186"/>
      <c r="H10" s="186"/>
      <c r="I10" s="100">
        <v>-57</v>
      </c>
      <c r="J10" s="100">
        <v>-68</v>
      </c>
      <c r="K10" s="100">
        <v>-59</v>
      </c>
      <c r="L10" s="100">
        <v>-54</v>
      </c>
      <c r="M10" s="100">
        <v>-57</v>
      </c>
      <c r="N10" s="100">
        <v>-64</v>
      </c>
    </row>
    <row r="11" spans="1:14" s="22" customFormat="1" x14ac:dyDescent="0.15">
      <c r="C11" s="121" t="s">
        <v>2255</v>
      </c>
      <c r="D11" s="76" t="s">
        <v>2254</v>
      </c>
      <c r="E11" s="76"/>
      <c r="F11" s="76"/>
      <c r="G11" s="76"/>
      <c r="H11" s="76"/>
      <c r="I11" s="188">
        <f>I8+I10</f>
        <v>227</v>
      </c>
      <c r="J11" s="188">
        <f t="shared" ref="J11:N11" si="3">J8+J10</f>
        <v>440</v>
      </c>
      <c r="K11" s="188">
        <f t="shared" si="3"/>
        <v>297</v>
      </c>
      <c r="L11" s="188">
        <f t="shared" si="3"/>
        <v>472</v>
      </c>
      <c r="M11" s="188">
        <f t="shared" si="3"/>
        <v>51</v>
      </c>
      <c r="N11" s="188">
        <f t="shared" si="3"/>
        <v>318</v>
      </c>
    </row>
    <row r="12" spans="1:14" s="132" customFormat="1" x14ac:dyDescent="0.15">
      <c r="C12" s="189" t="s">
        <v>2256</v>
      </c>
      <c r="D12" s="190" t="s">
        <v>166</v>
      </c>
      <c r="E12" s="190"/>
      <c r="F12" s="190"/>
      <c r="G12" s="190"/>
      <c r="H12" s="190"/>
      <c r="I12" s="191">
        <f>I11/I$6</f>
        <v>0.23794549266247381</v>
      </c>
      <c r="J12" s="191">
        <f t="shared" ref="J12:N12" si="4">J11/J$6</f>
        <v>0.45929018789144049</v>
      </c>
      <c r="K12" s="191">
        <f t="shared" si="4"/>
        <v>0.28862973760932947</v>
      </c>
      <c r="L12" s="191">
        <f t="shared" si="4"/>
        <v>0.43502304147465437</v>
      </c>
      <c r="M12" s="191">
        <f t="shared" si="4"/>
        <v>6.7819148936170207E-2</v>
      </c>
      <c r="N12" s="191">
        <f t="shared" si="4"/>
        <v>0.34527687296416937</v>
      </c>
    </row>
    <row r="13" spans="1:14" x14ac:dyDescent="0.15">
      <c r="C13" s="193" t="s">
        <v>2257</v>
      </c>
      <c r="D13" s="186" t="s">
        <v>2254</v>
      </c>
      <c r="E13" s="186"/>
      <c r="F13" s="186"/>
      <c r="G13" s="186"/>
      <c r="H13" s="186"/>
      <c r="I13" s="100">
        <v>-52</v>
      </c>
      <c r="J13" s="100">
        <v>-63</v>
      </c>
      <c r="K13" s="100">
        <v>-53</v>
      </c>
      <c r="L13" s="100">
        <v>-62</v>
      </c>
      <c r="M13" s="100">
        <v>-75</v>
      </c>
      <c r="N13" s="100">
        <v>-80</v>
      </c>
    </row>
    <row r="14" spans="1:14" x14ac:dyDescent="0.15">
      <c r="C14" s="43" t="s">
        <v>2258</v>
      </c>
      <c r="D14" s="186" t="s">
        <v>2254</v>
      </c>
      <c r="E14" s="186"/>
      <c r="F14" s="186"/>
      <c r="G14" s="186"/>
      <c r="H14" s="186"/>
      <c r="I14" s="99">
        <f>I13+I11</f>
        <v>175</v>
      </c>
      <c r="J14" s="99">
        <f t="shared" ref="J14:N14" si="5">J13+J11</f>
        <v>377</v>
      </c>
      <c r="K14" s="99">
        <f t="shared" si="5"/>
        <v>244</v>
      </c>
      <c r="L14" s="99">
        <f t="shared" si="5"/>
        <v>410</v>
      </c>
      <c r="M14" s="99">
        <f t="shared" si="5"/>
        <v>-24</v>
      </c>
      <c r="N14" s="99">
        <f t="shared" si="5"/>
        <v>238</v>
      </c>
    </row>
    <row r="15" spans="1:14" x14ac:dyDescent="0.15">
      <c r="C15" s="193" t="s">
        <v>2259</v>
      </c>
      <c r="D15" s="186" t="s">
        <v>2254</v>
      </c>
      <c r="E15" s="194">
        <v>0.2</v>
      </c>
      <c r="F15" s="186"/>
      <c r="G15" s="186"/>
      <c r="H15" s="186"/>
      <c r="I15" s="99">
        <f>-MAX(I14*$E15,0)</f>
        <v>-35</v>
      </c>
      <c r="J15" s="99">
        <f t="shared" ref="J15:N15" si="6">-MAX(J14*$E15,0)</f>
        <v>-75.400000000000006</v>
      </c>
      <c r="K15" s="99">
        <f t="shared" si="6"/>
        <v>-48.800000000000004</v>
      </c>
      <c r="L15" s="99">
        <f t="shared" si="6"/>
        <v>-82</v>
      </c>
      <c r="M15" s="99">
        <f t="shared" si="6"/>
        <v>0</v>
      </c>
      <c r="N15" s="99">
        <f t="shared" si="6"/>
        <v>-47.6</v>
      </c>
    </row>
    <row r="16" spans="1:14" x14ac:dyDescent="0.15">
      <c r="C16" s="121" t="s">
        <v>2260</v>
      </c>
      <c r="D16" s="76" t="s">
        <v>2254</v>
      </c>
      <c r="E16" s="76"/>
      <c r="F16" s="186"/>
      <c r="G16" s="186"/>
      <c r="H16" s="186"/>
      <c r="I16" s="99">
        <f>I14+I15</f>
        <v>140</v>
      </c>
      <c r="J16" s="99">
        <f t="shared" ref="J16:N16" si="7">J14+J15</f>
        <v>301.60000000000002</v>
      </c>
      <c r="K16" s="99">
        <f t="shared" si="7"/>
        <v>195.2</v>
      </c>
      <c r="L16" s="99">
        <f t="shared" si="7"/>
        <v>328</v>
      </c>
      <c r="M16" s="99">
        <f t="shared" si="7"/>
        <v>-24</v>
      </c>
      <c r="N16" s="99">
        <f t="shared" si="7"/>
        <v>190.4</v>
      </c>
    </row>
    <row r="17" spans="3:14" x14ac:dyDescent="0.15">
      <c r="C17" s="189" t="s">
        <v>2261</v>
      </c>
      <c r="D17" s="190" t="s">
        <v>166</v>
      </c>
      <c r="E17" s="190"/>
      <c r="F17" s="186"/>
      <c r="G17" s="186"/>
      <c r="H17" s="186"/>
      <c r="I17" s="191">
        <f>I16/I$6</f>
        <v>0.14675052410901468</v>
      </c>
      <c r="J17" s="191">
        <f t="shared" ref="J17:N17" si="8">J16/J$6</f>
        <v>0.31482254697286016</v>
      </c>
      <c r="K17" s="191">
        <f t="shared" si="8"/>
        <v>0.18969873663751213</v>
      </c>
      <c r="L17" s="191">
        <f t="shared" si="8"/>
        <v>0.30230414746543777</v>
      </c>
      <c r="M17" s="191">
        <f t="shared" si="8"/>
        <v>-3.1914893617021274E-2</v>
      </c>
      <c r="N17" s="191">
        <f t="shared" si="8"/>
        <v>0.20673181324647125</v>
      </c>
    </row>
    <row r="18" spans="3:14" x14ac:dyDescent="0.15">
      <c r="F18" s="186"/>
      <c r="G18" s="186"/>
      <c r="H18" s="186"/>
      <c r="I18" s="99"/>
      <c r="J18" s="99"/>
      <c r="K18" s="99"/>
      <c r="L18" s="99"/>
      <c r="M18" s="99"/>
      <c r="N18" s="99"/>
    </row>
    <row r="19" spans="3:14" x14ac:dyDescent="0.15">
      <c r="F19" s="186"/>
      <c r="G19" s="186"/>
      <c r="H19" s="186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8">
    <tabColor theme="2" tint="0.59999389629810485"/>
  </sheetPr>
  <dimension ref="A1"/>
  <sheetViews>
    <sheetView showGridLines="0" workbookViewId="0"/>
  </sheetViews>
  <sheetFormatPr defaultColWidth="9" defaultRowHeight="11.25" x14ac:dyDescent="0.15"/>
  <cols>
    <col min="1" max="16384" width="9" style="10"/>
  </cols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>
    <tabColor theme="2" tint="0.79998168889431442"/>
  </sheetPr>
  <dimension ref="A1:Y252"/>
  <sheetViews>
    <sheetView showGridLines="0" zoomScaleNormal="100" workbookViewId="0">
      <pane xSplit="8" ySplit="2" topLeftCell="I3" activePane="bottomRight" state="frozen"/>
      <selection activeCell="C15" sqref="C15"/>
      <selection pane="topRight" activeCell="C15" sqref="C15"/>
      <selection pane="bottomLeft" activeCell="C15" sqref="C15"/>
      <selection pane="bottomRight" activeCell="I3" sqref="I3"/>
    </sheetView>
  </sheetViews>
  <sheetFormatPr defaultColWidth="0" defaultRowHeight="11.25" outlineLevelRow="2" x14ac:dyDescent="0.15"/>
  <cols>
    <col min="1" max="3" width="3.375" style="12" customWidth="1"/>
    <col min="4" max="4" width="19.375" style="12" customWidth="1"/>
    <col min="5" max="5" width="3.375" style="12" customWidth="1"/>
    <col min="6" max="6" width="20.875" style="12" customWidth="1"/>
    <col min="7" max="8" width="11" style="12" customWidth="1"/>
    <col min="9" max="11" width="3.75" style="12" customWidth="1"/>
    <col min="12" max="23" width="11" style="12" customWidth="1"/>
    <col min="24" max="25" width="0" style="12" hidden="1" customWidth="1"/>
    <col min="26" max="16384" width="11" style="12" hidden="1"/>
  </cols>
  <sheetData>
    <row r="1" spans="1:22" x14ac:dyDescent="0.15">
      <c r="A1" s="11" t="s">
        <v>2277</v>
      </c>
      <c r="B1" s="22"/>
      <c r="C1" s="22"/>
      <c r="D1" s="22"/>
      <c r="E1" s="22"/>
      <c r="L1" s="203">
        <v>2024</v>
      </c>
      <c r="M1" s="41">
        <f>L1+1</f>
        <v>2025</v>
      </c>
      <c r="N1" s="41">
        <f t="shared" ref="N1:V1" si="0">M1+1</f>
        <v>2026</v>
      </c>
      <c r="O1" s="41">
        <f t="shared" si="0"/>
        <v>2027</v>
      </c>
      <c r="P1" s="41">
        <f t="shared" si="0"/>
        <v>2028</v>
      </c>
      <c r="Q1" s="41">
        <f t="shared" si="0"/>
        <v>2029</v>
      </c>
      <c r="R1" s="41">
        <f t="shared" si="0"/>
        <v>2030</v>
      </c>
      <c r="S1" s="41">
        <f t="shared" si="0"/>
        <v>2031</v>
      </c>
      <c r="T1" s="41">
        <f t="shared" si="0"/>
        <v>2032</v>
      </c>
      <c r="U1" s="41">
        <f t="shared" si="0"/>
        <v>2033</v>
      </c>
      <c r="V1" s="41">
        <f t="shared" si="0"/>
        <v>2034</v>
      </c>
    </row>
    <row r="2" spans="1:22" x14ac:dyDescent="0.15">
      <c r="B2" s="22" t="s">
        <v>0</v>
      </c>
      <c r="C2" s="22"/>
      <c r="D2" s="22"/>
      <c r="E2" s="22"/>
      <c r="F2" s="22"/>
      <c r="G2" s="22" t="s">
        <v>1</v>
      </c>
      <c r="H2" s="22" t="s">
        <v>2278</v>
      </c>
      <c r="I2" s="22"/>
      <c r="J2" s="22"/>
    </row>
    <row r="4" spans="1:22" collapsed="1" x14ac:dyDescent="0.15">
      <c r="B4" s="204" t="s">
        <v>2279</v>
      </c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</row>
    <row r="5" spans="1:22" outlineLevel="1" x14ac:dyDescent="0.15"/>
    <row r="6" spans="1:22" outlineLevel="1" x14ac:dyDescent="0.15">
      <c r="B6" s="116" t="s">
        <v>2280</v>
      </c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</row>
    <row r="7" spans="1:22" outlineLevel="1" x14ac:dyDescent="0.15"/>
    <row r="8" spans="1:22" outlineLevel="1" x14ac:dyDescent="0.15">
      <c r="B8" s="22" t="s">
        <v>2281</v>
      </c>
      <c r="L8" s="206" t="s">
        <v>2282</v>
      </c>
      <c r="M8" s="206" t="s">
        <v>4</v>
      </c>
      <c r="N8" s="206" t="s">
        <v>5</v>
      </c>
      <c r="O8" s="206" t="s">
        <v>6</v>
      </c>
      <c r="P8" s="207">
        <v>2024</v>
      </c>
      <c r="Q8" s="206" t="s">
        <v>7</v>
      </c>
      <c r="R8" s="206" t="s">
        <v>8</v>
      </c>
      <c r="S8" s="206" t="s">
        <v>9</v>
      </c>
      <c r="T8" s="206" t="s">
        <v>10</v>
      </c>
      <c r="U8" s="207">
        <v>2025</v>
      </c>
    </row>
    <row r="9" spans="1:22" outlineLevel="1" x14ac:dyDescent="0.15">
      <c r="C9" s="12" t="s">
        <v>158</v>
      </c>
      <c r="G9" s="75" t="s">
        <v>2226</v>
      </c>
      <c r="L9" s="5">
        <v>150</v>
      </c>
      <c r="M9" s="5">
        <v>200</v>
      </c>
      <c r="N9" s="5">
        <v>180</v>
      </c>
      <c r="O9" s="5">
        <v>220</v>
      </c>
      <c r="P9" s="208">
        <f>SUM(L9:O9)</f>
        <v>750</v>
      </c>
      <c r="Q9" s="5">
        <f>L9*1.1</f>
        <v>165</v>
      </c>
      <c r="R9" s="5">
        <f t="shared" ref="R9:T11" si="1">M9*1.1</f>
        <v>220.00000000000003</v>
      </c>
      <c r="S9" s="5">
        <f t="shared" si="1"/>
        <v>198.00000000000003</v>
      </c>
      <c r="T9" s="5">
        <f t="shared" si="1"/>
        <v>242.00000000000003</v>
      </c>
      <c r="U9" s="208">
        <f>SUM(Q9:T9)</f>
        <v>825</v>
      </c>
    </row>
    <row r="10" spans="1:22" outlineLevel="1" x14ac:dyDescent="0.15">
      <c r="C10" s="12" t="s">
        <v>104</v>
      </c>
      <c r="G10" s="75" t="s">
        <v>2226</v>
      </c>
      <c r="L10" s="5">
        <v>325</v>
      </c>
      <c r="M10" s="5">
        <v>400</v>
      </c>
      <c r="N10" s="5">
        <v>365</v>
      </c>
      <c r="O10" s="5">
        <v>440</v>
      </c>
      <c r="P10" s="208">
        <f t="shared" ref="P10:P11" si="2">SUM(L10:O10)</f>
        <v>1530</v>
      </c>
      <c r="Q10" s="5">
        <f t="shared" ref="Q10:Q11" si="3">L10*1.1</f>
        <v>357.50000000000006</v>
      </c>
      <c r="R10" s="5">
        <f t="shared" si="1"/>
        <v>440.00000000000006</v>
      </c>
      <c r="S10" s="5">
        <f t="shared" si="1"/>
        <v>401.50000000000006</v>
      </c>
      <c r="T10" s="5">
        <f t="shared" si="1"/>
        <v>484.00000000000006</v>
      </c>
      <c r="U10" s="208">
        <f t="shared" ref="U10:U11" si="4">SUM(Q10:T10)</f>
        <v>1683.0000000000002</v>
      </c>
    </row>
    <row r="11" spans="1:22" outlineLevel="1" x14ac:dyDescent="0.15">
      <c r="C11" s="12" t="s">
        <v>177</v>
      </c>
      <c r="G11" s="75" t="s">
        <v>2226</v>
      </c>
      <c r="L11" s="16">
        <f>-L10*0.8</f>
        <v>-260</v>
      </c>
      <c r="M11" s="16">
        <f t="shared" ref="M11:O11" si="5">-M10*0.8</f>
        <v>-320</v>
      </c>
      <c r="N11" s="16">
        <f t="shared" si="5"/>
        <v>-292</v>
      </c>
      <c r="O11" s="16">
        <f t="shared" si="5"/>
        <v>-352</v>
      </c>
      <c r="P11" s="208">
        <f t="shared" si="2"/>
        <v>-1224</v>
      </c>
      <c r="Q11" s="12">
        <f t="shared" si="3"/>
        <v>-286</v>
      </c>
      <c r="R11" s="12">
        <f t="shared" si="1"/>
        <v>-352</v>
      </c>
      <c r="S11" s="12">
        <f t="shared" si="1"/>
        <v>-321.20000000000005</v>
      </c>
      <c r="T11" s="12">
        <f t="shared" si="1"/>
        <v>-387.20000000000005</v>
      </c>
      <c r="U11" s="208">
        <f t="shared" si="4"/>
        <v>-1346.4</v>
      </c>
    </row>
    <row r="12" spans="1:22" s="22" customFormat="1" outlineLevel="1" x14ac:dyDescent="0.15">
      <c r="C12" s="53" t="s">
        <v>106</v>
      </c>
      <c r="D12" s="53"/>
      <c r="E12" s="53"/>
      <c r="F12" s="53"/>
      <c r="G12" s="90" t="s">
        <v>2226</v>
      </c>
      <c r="H12" s="53"/>
      <c r="I12" s="53"/>
      <c r="J12" s="53"/>
      <c r="K12" s="53"/>
      <c r="L12" s="53">
        <f>SUM(L10:L11)</f>
        <v>65</v>
      </c>
      <c r="M12" s="53">
        <f t="shared" ref="M12:U12" si="6">SUM(M10:M11)</f>
        <v>80</v>
      </c>
      <c r="N12" s="53">
        <f t="shared" si="6"/>
        <v>73</v>
      </c>
      <c r="O12" s="53">
        <f t="shared" si="6"/>
        <v>88</v>
      </c>
      <c r="P12" s="209">
        <f t="shared" si="6"/>
        <v>306</v>
      </c>
      <c r="Q12" s="53">
        <f t="shared" si="6"/>
        <v>71.500000000000057</v>
      </c>
      <c r="R12" s="53">
        <f t="shared" si="6"/>
        <v>88.000000000000057</v>
      </c>
      <c r="S12" s="53">
        <f t="shared" si="6"/>
        <v>80.300000000000011</v>
      </c>
      <c r="T12" s="53">
        <f t="shared" si="6"/>
        <v>96.800000000000011</v>
      </c>
      <c r="U12" s="209">
        <f t="shared" si="6"/>
        <v>336.60000000000014</v>
      </c>
      <c r="V12" s="12"/>
    </row>
    <row r="13" spans="1:22" outlineLevel="1" x14ac:dyDescent="0.15"/>
    <row r="14" spans="1:22" outlineLevel="1" x14ac:dyDescent="0.15">
      <c r="B14" s="22" t="s">
        <v>190</v>
      </c>
      <c r="L14" s="210" t="s">
        <v>2282</v>
      </c>
      <c r="M14" s="210" t="s">
        <v>4</v>
      </c>
      <c r="N14" s="210" t="s">
        <v>5</v>
      </c>
      <c r="O14" s="210" t="s">
        <v>6</v>
      </c>
      <c r="P14" s="210" t="s">
        <v>7</v>
      </c>
      <c r="Q14" s="210" t="s">
        <v>8</v>
      </c>
      <c r="R14" s="210" t="s">
        <v>9</v>
      </c>
      <c r="S14" s="210" t="s">
        <v>10</v>
      </c>
    </row>
    <row r="15" spans="1:22" outlineLevel="1" x14ac:dyDescent="0.15">
      <c r="L15" s="206" t="str">
        <f>RIGHT(L14,4)</f>
        <v>2024</v>
      </c>
      <c r="M15" s="206" t="str">
        <f t="shared" ref="M15:O15" si="7">RIGHT(M14,4)</f>
        <v>2024</v>
      </c>
      <c r="N15" s="206" t="str">
        <f t="shared" si="7"/>
        <v>2024</v>
      </c>
      <c r="O15" s="206" t="str">
        <f t="shared" si="7"/>
        <v>2024</v>
      </c>
      <c r="P15" s="206" t="str">
        <f>RIGHT(P14,4)</f>
        <v>2025</v>
      </c>
      <c r="Q15" s="206" t="str">
        <f t="shared" ref="Q15:S15" si="8">RIGHT(Q14,4)</f>
        <v>2025</v>
      </c>
      <c r="R15" s="206" t="str">
        <f t="shared" si="8"/>
        <v>2025</v>
      </c>
      <c r="S15" s="206" t="str">
        <f t="shared" si="8"/>
        <v>2025</v>
      </c>
      <c r="U15" s="211">
        <v>2024</v>
      </c>
      <c r="V15" s="211">
        <v>2025</v>
      </c>
    </row>
    <row r="16" spans="1:22" outlineLevel="1" x14ac:dyDescent="0.15">
      <c r="C16" s="12" t="s">
        <v>158</v>
      </c>
      <c r="G16" s="75" t="s">
        <v>2226</v>
      </c>
      <c r="L16" s="5">
        <v>150</v>
      </c>
      <c r="M16" s="5">
        <v>200</v>
      </c>
      <c r="N16" s="5">
        <v>180</v>
      </c>
      <c r="O16" s="5">
        <v>220</v>
      </c>
      <c r="P16" s="5">
        <f t="shared" ref="P16:S18" si="9">L16*1.1</f>
        <v>165</v>
      </c>
      <c r="Q16" s="5">
        <f t="shared" si="9"/>
        <v>220.00000000000003</v>
      </c>
      <c r="R16" s="5">
        <f t="shared" si="9"/>
        <v>198.00000000000003</v>
      </c>
      <c r="S16" s="5">
        <f t="shared" si="9"/>
        <v>242.00000000000003</v>
      </c>
      <c r="U16" s="12">
        <f t="shared" ref="U16:V18" si="10">SUMIF($L$15:$S$15,U$15,$L16:$S16)</f>
        <v>750</v>
      </c>
      <c r="V16" s="12">
        <f t="shared" si="10"/>
        <v>825</v>
      </c>
    </row>
    <row r="17" spans="2:22" outlineLevel="1" x14ac:dyDescent="0.15">
      <c r="C17" s="12" t="s">
        <v>104</v>
      </c>
      <c r="G17" s="75" t="s">
        <v>2226</v>
      </c>
      <c r="L17" s="5">
        <v>325</v>
      </c>
      <c r="M17" s="5">
        <v>400</v>
      </c>
      <c r="N17" s="5">
        <v>365</v>
      </c>
      <c r="O17" s="5">
        <v>440</v>
      </c>
      <c r="P17" s="5">
        <f t="shared" si="9"/>
        <v>357.50000000000006</v>
      </c>
      <c r="Q17" s="5">
        <f t="shared" si="9"/>
        <v>440.00000000000006</v>
      </c>
      <c r="R17" s="5">
        <f t="shared" si="9"/>
        <v>401.50000000000006</v>
      </c>
      <c r="S17" s="5">
        <f t="shared" si="9"/>
        <v>484.00000000000006</v>
      </c>
      <c r="U17" s="12">
        <f t="shared" si="10"/>
        <v>1530</v>
      </c>
      <c r="V17" s="12">
        <f t="shared" si="10"/>
        <v>1683.0000000000002</v>
      </c>
    </row>
    <row r="18" spans="2:22" outlineLevel="1" x14ac:dyDescent="0.15">
      <c r="C18" s="12" t="s">
        <v>177</v>
      </c>
      <c r="G18" s="75" t="s">
        <v>2226</v>
      </c>
      <c r="L18" s="16">
        <f>-L17*0.8</f>
        <v>-260</v>
      </c>
      <c r="M18" s="16">
        <f t="shared" ref="M18:O18" si="11">-M17*0.8</f>
        <v>-320</v>
      </c>
      <c r="N18" s="16">
        <f t="shared" si="11"/>
        <v>-292</v>
      </c>
      <c r="O18" s="16">
        <f t="shared" si="11"/>
        <v>-352</v>
      </c>
      <c r="P18" s="12">
        <f t="shared" si="9"/>
        <v>-286</v>
      </c>
      <c r="Q18" s="12">
        <f t="shared" si="9"/>
        <v>-352</v>
      </c>
      <c r="R18" s="12">
        <f t="shared" si="9"/>
        <v>-321.20000000000005</v>
      </c>
      <c r="S18" s="12">
        <f t="shared" si="9"/>
        <v>-387.20000000000005</v>
      </c>
      <c r="U18" s="12">
        <f t="shared" si="10"/>
        <v>-1224</v>
      </c>
      <c r="V18" s="12">
        <f t="shared" si="10"/>
        <v>-1346.4</v>
      </c>
    </row>
    <row r="19" spans="2:22" s="22" customFormat="1" outlineLevel="1" x14ac:dyDescent="0.15">
      <c r="C19" s="53" t="s">
        <v>106</v>
      </c>
      <c r="D19" s="53"/>
      <c r="E19" s="53"/>
      <c r="F19" s="53"/>
      <c r="G19" s="90" t="s">
        <v>2226</v>
      </c>
      <c r="H19" s="53"/>
      <c r="I19" s="53"/>
      <c r="J19" s="53"/>
      <c r="K19" s="53"/>
      <c r="L19" s="53">
        <f>SUM(L17:L18)</f>
        <v>65</v>
      </c>
      <c r="M19" s="53">
        <f t="shared" ref="M19:S19" si="12">SUM(M17:M18)</f>
        <v>80</v>
      </c>
      <c r="N19" s="53">
        <f t="shared" si="12"/>
        <v>73</v>
      </c>
      <c r="O19" s="53">
        <f t="shared" si="12"/>
        <v>88</v>
      </c>
      <c r="P19" s="53">
        <f t="shared" si="12"/>
        <v>71.500000000000057</v>
      </c>
      <c r="Q19" s="53">
        <f t="shared" si="12"/>
        <v>88.000000000000057</v>
      </c>
      <c r="R19" s="53">
        <f t="shared" si="12"/>
        <v>80.300000000000011</v>
      </c>
      <c r="S19" s="53">
        <f t="shared" si="12"/>
        <v>96.800000000000011</v>
      </c>
      <c r="U19" s="53">
        <f t="shared" ref="U19:V19" si="13">SUM(U17:U18)</f>
        <v>306</v>
      </c>
      <c r="V19" s="53">
        <f t="shared" si="13"/>
        <v>336.60000000000014</v>
      </c>
    </row>
    <row r="20" spans="2:22" outlineLevel="1" x14ac:dyDescent="0.15"/>
    <row r="21" spans="2:22" outlineLevel="1" x14ac:dyDescent="0.15">
      <c r="B21" s="22" t="s">
        <v>2342</v>
      </c>
      <c r="L21" s="210" t="s">
        <v>2282</v>
      </c>
      <c r="M21" s="210" t="s">
        <v>4</v>
      </c>
      <c r="N21" s="210" t="s">
        <v>5</v>
      </c>
      <c r="O21" s="210" t="s">
        <v>6</v>
      </c>
      <c r="P21" s="210" t="s">
        <v>7</v>
      </c>
      <c r="Q21" s="210" t="s">
        <v>8</v>
      </c>
      <c r="R21" s="210" t="s">
        <v>9</v>
      </c>
      <c r="S21" s="210" t="s">
        <v>10</v>
      </c>
    </row>
    <row r="22" spans="2:22" outlineLevel="1" x14ac:dyDescent="0.15">
      <c r="L22" s="249" t="str">
        <f>RIGHT(L21,4)</f>
        <v>2024</v>
      </c>
      <c r="M22" s="249"/>
      <c r="N22" s="249"/>
      <c r="O22" s="249"/>
      <c r="P22" s="249" t="str">
        <f>RIGHT(P21,4)</f>
        <v>2025</v>
      </c>
      <c r="Q22" s="249"/>
      <c r="R22" s="249"/>
      <c r="S22" s="249"/>
      <c r="U22" s="211">
        <v>2024</v>
      </c>
      <c r="V22" s="211">
        <v>2025</v>
      </c>
    </row>
    <row r="23" spans="2:22" outlineLevel="1" x14ac:dyDescent="0.15">
      <c r="C23" s="12" t="s">
        <v>158</v>
      </c>
      <c r="G23" s="75" t="s">
        <v>2226</v>
      </c>
      <c r="L23" s="5">
        <v>150</v>
      </c>
      <c r="M23" s="5">
        <v>200</v>
      </c>
      <c r="N23" s="5">
        <v>180</v>
      </c>
      <c r="O23" s="5">
        <v>220</v>
      </c>
      <c r="P23" s="5">
        <f t="shared" ref="P23:P25" si="14">L23*1.1</f>
        <v>165</v>
      </c>
      <c r="Q23" s="5">
        <f t="shared" ref="Q23:Q25" si="15">M23*1.1</f>
        <v>220.00000000000003</v>
      </c>
      <c r="R23" s="5">
        <f t="shared" ref="R23:R25" si="16">N23*1.1</f>
        <v>198.00000000000003</v>
      </c>
      <c r="S23" s="5">
        <f t="shared" ref="S23:S25" si="17">O23*1.1</f>
        <v>242.00000000000003</v>
      </c>
      <c r="U23" s="12">
        <f>SUMIF($L$22:$S$22,U$15,$L23:$S23)</f>
        <v>150</v>
      </c>
      <c r="V23" s="12">
        <f t="shared" ref="V23:V25" si="18">SUMIF($L$22:$S$22,V$15,$L23:$S23)</f>
        <v>165</v>
      </c>
    </row>
    <row r="24" spans="2:22" outlineLevel="1" x14ac:dyDescent="0.15">
      <c r="C24" s="12" t="s">
        <v>104</v>
      </c>
      <c r="G24" s="75" t="s">
        <v>2226</v>
      </c>
      <c r="L24" s="5">
        <v>325</v>
      </c>
      <c r="M24" s="5">
        <v>400</v>
      </c>
      <c r="N24" s="5">
        <v>365</v>
      </c>
      <c r="O24" s="5">
        <v>440</v>
      </c>
      <c r="P24" s="5">
        <f t="shared" si="14"/>
        <v>357.50000000000006</v>
      </c>
      <c r="Q24" s="5">
        <f t="shared" si="15"/>
        <v>440.00000000000006</v>
      </c>
      <c r="R24" s="5">
        <f t="shared" si="16"/>
        <v>401.50000000000006</v>
      </c>
      <c r="S24" s="5">
        <f t="shared" si="17"/>
        <v>484.00000000000006</v>
      </c>
      <c r="U24" s="12">
        <f t="shared" ref="U24:U25" si="19">SUMIF($L$22:$S$22,U$15,$L24:$S24)</f>
        <v>325</v>
      </c>
      <c r="V24" s="12">
        <f t="shared" si="18"/>
        <v>357.50000000000006</v>
      </c>
    </row>
    <row r="25" spans="2:22" outlineLevel="1" x14ac:dyDescent="0.15">
      <c r="C25" s="12" t="s">
        <v>177</v>
      </c>
      <c r="G25" s="75" t="s">
        <v>2226</v>
      </c>
      <c r="L25" s="16">
        <f>-L24*0.8</f>
        <v>-260</v>
      </c>
      <c r="M25" s="16">
        <f t="shared" ref="M25:O25" si="20">-M24*0.8</f>
        <v>-320</v>
      </c>
      <c r="N25" s="16">
        <f t="shared" si="20"/>
        <v>-292</v>
      </c>
      <c r="O25" s="16">
        <f t="shared" si="20"/>
        <v>-352</v>
      </c>
      <c r="P25" s="12">
        <f t="shared" si="14"/>
        <v>-286</v>
      </c>
      <c r="Q25" s="12">
        <f t="shared" si="15"/>
        <v>-352</v>
      </c>
      <c r="R25" s="12">
        <f t="shared" si="16"/>
        <v>-321.20000000000005</v>
      </c>
      <c r="S25" s="12">
        <f t="shared" si="17"/>
        <v>-387.20000000000005</v>
      </c>
      <c r="U25" s="12">
        <f t="shared" si="19"/>
        <v>-260</v>
      </c>
      <c r="V25" s="12">
        <f t="shared" si="18"/>
        <v>-286</v>
      </c>
    </row>
    <row r="26" spans="2:22" s="22" customFormat="1" outlineLevel="1" x14ac:dyDescent="0.15">
      <c r="C26" s="53" t="s">
        <v>106</v>
      </c>
      <c r="D26" s="53"/>
      <c r="E26" s="53"/>
      <c r="F26" s="53"/>
      <c r="G26" s="90" t="s">
        <v>2226</v>
      </c>
      <c r="H26" s="53"/>
      <c r="I26" s="53"/>
      <c r="J26" s="53"/>
      <c r="K26" s="53"/>
      <c r="L26" s="53">
        <f>SUM(L24:L25)</f>
        <v>65</v>
      </c>
      <c r="M26" s="53">
        <f t="shared" ref="M26:S26" si="21">SUM(M24:M25)</f>
        <v>80</v>
      </c>
      <c r="N26" s="53">
        <f t="shared" si="21"/>
        <v>73</v>
      </c>
      <c r="O26" s="53">
        <f t="shared" si="21"/>
        <v>88</v>
      </c>
      <c r="P26" s="53">
        <f t="shared" si="21"/>
        <v>71.500000000000057</v>
      </c>
      <c r="Q26" s="53">
        <f t="shared" si="21"/>
        <v>88.000000000000057</v>
      </c>
      <c r="R26" s="53">
        <f t="shared" si="21"/>
        <v>80.300000000000011</v>
      </c>
      <c r="S26" s="53">
        <f t="shared" si="21"/>
        <v>96.800000000000011</v>
      </c>
      <c r="U26" s="53">
        <f t="shared" ref="U26:V26" si="22">SUM(U24:U25)</f>
        <v>65</v>
      </c>
      <c r="V26" s="53">
        <f t="shared" si="22"/>
        <v>71.500000000000057</v>
      </c>
    </row>
    <row r="27" spans="2:22" outlineLevel="1" x14ac:dyDescent="0.15"/>
    <row r="28" spans="2:22" x14ac:dyDescent="0.15">
      <c r="B28" s="204" t="s">
        <v>2283</v>
      </c>
      <c r="C28" s="205"/>
      <c r="D28" s="205"/>
      <c r="E28" s="205"/>
      <c r="F28" s="205"/>
      <c r="G28" s="205"/>
      <c r="H28" s="205"/>
      <c r="I28" s="205"/>
      <c r="J28" s="205"/>
      <c r="K28" s="205"/>
      <c r="L28" s="205"/>
      <c r="M28" s="205"/>
      <c r="N28" s="205"/>
      <c r="O28" s="205"/>
      <c r="P28" s="205"/>
      <c r="Q28" s="205"/>
      <c r="R28" s="205"/>
      <c r="S28" s="205"/>
      <c r="T28" s="205"/>
      <c r="U28" s="205"/>
      <c r="V28" s="205"/>
    </row>
    <row r="29" spans="2:22" outlineLevel="1" x14ac:dyDescent="0.15">
      <c r="B29" s="116" t="s">
        <v>2284</v>
      </c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</row>
    <row r="30" spans="2:22" hidden="1" outlineLevel="2" x14ac:dyDescent="0.15"/>
    <row r="31" spans="2:22" hidden="1" outlineLevel="2" x14ac:dyDescent="0.15">
      <c r="C31" s="22" t="s">
        <v>2285</v>
      </c>
    </row>
    <row r="32" spans="2:22" hidden="1" outlineLevel="2" x14ac:dyDescent="0.15">
      <c r="D32" s="12" t="s">
        <v>2286</v>
      </c>
      <c r="G32" s="12" t="s">
        <v>166</v>
      </c>
      <c r="L32" s="212">
        <v>4.0000000000000036E-2</v>
      </c>
      <c r="M32" s="212">
        <v>8.1600000000000117E-2</v>
      </c>
      <c r="N32" s="212">
        <v>0.12486400000000009</v>
      </c>
      <c r="O32" s="212">
        <v>0.16985856000000021</v>
      </c>
      <c r="P32" s="212">
        <v>0.21665290240000035</v>
      </c>
      <c r="Q32" s="212">
        <v>0.26531901849600037</v>
      </c>
      <c r="R32" s="212">
        <v>0.31593177923584048</v>
      </c>
      <c r="S32" s="212">
        <v>0.3685690504052741</v>
      </c>
      <c r="T32" s="212">
        <v>0.42331181242148519</v>
      </c>
      <c r="U32" s="212">
        <v>0.48024428491834459</v>
      </c>
      <c r="V32" s="212">
        <v>0.53945405631507848</v>
      </c>
    </row>
    <row r="33" spans="3:22" hidden="1" outlineLevel="2" x14ac:dyDescent="0.15">
      <c r="D33" s="12" t="s">
        <v>2287</v>
      </c>
      <c r="G33" s="12" t="s">
        <v>166</v>
      </c>
      <c r="L33" s="212">
        <v>2.4999999999999911E-2</v>
      </c>
      <c r="M33" s="212">
        <v>5.062499999999992E-2</v>
      </c>
      <c r="N33" s="212">
        <v>7.6890624999999879E-2</v>
      </c>
      <c r="O33" s="212">
        <v>0.10381289062499977</v>
      </c>
      <c r="P33" s="212">
        <v>0.13140821289062465</v>
      </c>
      <c r="Q33" s="212">
        <v>0.15969341821289018</v>
      </c>
      <c r="R33" s="212">
        <v>0.18868575366821227</v>
      </c>
      <c r="S33" s="212">
        <v>0.21840289750991748</v>
      </c>
      <c r="T33" s="212">
        <v>0.24886296994766521</v>
      </c>
      <c r="U33" s="212">
        <v>0.28008454419635664</v>
      </c>
      <c r="V33" s="212">
        <v>0.31208665780126554</v>
      </c>
    </row>
    <row r="34" spans="3:22" hidden="1" outlineLevel="2" x14ac:dyDescent="0.15">
      <c r="D34" s="12" t="s">
        <v>2288</v>
      </c>
      <c r="G34" s="12" t="s">
        <v>166</v>
      </c>
      <c r="L34" s="212">
        <v>2.0000000000000018E-2</v>
      </c>
      <c r="M34" s="212">
        <v>4.0399999999999991E-2</v>
      </c>
      <c r="N34" s="212">
        <v>6.1207999999999929E-2</v>
      </c>
      <c r="O34" s="212">
        <v>8.2432159999999977E-2</v>
      </c>
      <c r="P34" s="212">
        <v>0.10408080320000002</v>
      </c>
      <c r="Q34" s="212">
        <v>0.12616241926400007</v>
      </c>
      <c r="R34" s="212">
        <v>0.14868566764928004</v>
      </c>
      <c r="S34" s="212">
        <v>0.17165938100226574</v>
      </c>
      <c r="T34" s="212">
        <v>0.19509256862231106</v>
      </c>
      <c r="U34" s="212">
        <v>0.21899441999475733</v>
      </c>
      <c r="V34" s="212">
        <v>0.24337430839465246</v>
      </c>
    </row>
    <row r="35" spans="3:22" hidden="1" outlineLevel="2" x14ac:dyDescent="0.15"/>
    <row r="36" spans="3:22" hidden="1" outlineLevel="2" x14ac:dyDescent="0.15">
      <c r="C36" s="22" t="s">
        <v>2289</v>
      </c>
    </row>
    <row r="37" spans="3:22" hidden="1" outlineLevel="2" x14ac:dyDescent="0.15">
      <c r="D37" s="12" t="s">
        <v>2290</v>
      </c>
      <c r="G37" s="12" t="s">
        <v>2291</v>
      </c>
      <c r="L37" s="213">
        <v>13</v>
      </c>
      <c r="M37" s="213">
        <v>13.324999999999999</v>
      </c>
      <c r="N37" s="213">
        <v>13.658124999999998</v>
      </c>
      <c r="O37" s="213">
        <v>13.999578124999998</v>
      </c>
      <c r="P37" s="213">
        <v>14.349567578124995</v>
      </c>
      <c r="Q37" s="213">
        <v>14.708306767578119</v>
      </c>
      <c r="R37" s="213">
        <v>15.07601443676757</v>
      </c>
      <c r="S37" s="213">
        <v>15.452914797686759</v>
      </c>
      <c r="T37" s="213">
        <v>15.839237667628927</v>
      </c>
      <c r="U37" s="213">
        <v>16.235218609319649</v>
      </c>
      <c r="V37" s="213">
        <v>16.641099074552638</v>
      </c>
    </row>
    <row r="38" spans="3:22" hidden="1" outlineLevel="2" x14ac:dyDescent="0.15">
      <c r="D38" s="12" t="s">
        <v>2292</v>
      </c>
      <c r="G38" s="12" t="s">
        <v>2291</v>
      </c>
      <c r="L38" s="213">
        <v>90</v>
      </c>
      <c r="M38" s="213">
        <v>91.8</v>
      </c>
      <c r="N38" s="213">
        <v>93.635999999999996</v>
      </c>
      <c r="O38" s="213">
        <v>95.508719999999997</v>
      </c>
      <c r="P38" s="213">
        <v>97.418894399999999</v>
      </c>
      <c r="Q38" s="213">
        <v>99.367272287999995</v>
      </c>
      <c r="R38" s="213">
        <v>101.35461773375999</v>
      </c>
      <c r="S38" s="213">
        <v>103.3817100884352</v>
      </c>
      <c r="T38" s="213">
        <v>105.44934429020391</v>
      </c>
      <c r="U38" s="213">
        <v>107.558331176008</v>
      </c>
      <c r="V38" s="213">
        <v>109.70949779952817</v>
      </c>
    </row>
    <row r="39" spans="3:22" hidden="1" outlineLevel="2" x14ac:dyDescent="0.15"/>
    <row r="40" spans="3:22" hidden="1" outlineLevel="2" x14ac:dyDescent="0.15">
      <c r="C40" s="22" t="s">
        <v>2222</v>
      </c>
    </row>
    <row r="41" spans="3:22" hidden="1" outlineLevel="2" x14ac:dyDescent="0.15">
      <c r="D41" s="12" t="s">
        <v>112</v>
      </c>
      <c r="G41" s="12" t="s">
        <v>2293</v>
      </c>
      <c r="L41" s="213">
        <v>97</v>
      </c>
      <c r="M41" s="213">
        <v>113.49</v>
      </c>
      <c r="N41" s="213">
        <v>136.18799999999999</v>
      </c>
      <c r="O41" s="213">
        <v>155.25432000000001</v>
      </c>
      <c r="P41" s="213">
        <v>170.77975200000003</v>
      </c>
      <c r="Q41" s="213">
        <v>186.14992968000004</v>
      </c>
      <c r="R41" s="213">
        <v>204.76492264800007</v>
      </c>
      <c r="S41" s="213">
        <v>235.47966104520006</v>
      </c>
      <c r="T41" s="213">
        <v>275.51120342288408</v>
      </c>
      <c r="U41" s="213">
        <v>294.796987662486</v>
      </c>
      <c r="V41" s="213">
        <v>318.38074667548489</v>
      </c>
    </row>
    <row r="42" spans="3:22" hidden="1" outlineLevel="2" x14ac:dyDescent="0.15">
      <c r="D42" s="12" t="s">
        <v>113</v>
      </c>
      <c r="G42" s="12" t="s">
        <v>2293</v>
      </c>
      <c r="L42" s="213">
        <v>112</v>
      </c>
      <c r="M42" s="213">
        <v>116.48</v>
      </c>
      <c r="N42" s="213">
        <v>139.77600000000001</v>
      </c>
      <c r="O42" s="213">
        <v>149.56032000000002</v>
      </c>
      <c r="P42" s="213">
        <v>171.99436800000001</v>
      </c>
      <c r="Q42" s="213">
        <v>187.47386112000001</v>
      </c>
      <c r="R42" s="213">
        <v>204.34650862080002</v>
      </c>
      <c r="S42" s="213">
        <v>218.65076422425605</v>
      </c>
      <c r="T42" s="213">
        <v>260.19440942686469</v>
      </c>
      <c r="U42" s="213">
        <v>268.00024170967066</v>
      </c>
      <c r="V42" s="213">
        <v>310.88028038321795</v>
      </c>
    </row>
    <row r="43" spans="3:22" hidden="1" outlineLevel="2" x14ac:dyDescent="0.15">
      <c r="D43" s="12" t="s">
        <v>114</v>
      </c>
      <c r="G43" s="12" t="s">
        <v>2293</v>
      </c>
      <c r="L43" s="213">
        <v>123</v>
      </c>
      <c r="M43" s="213">
        <v>127.92</v>
      </c>
      <c r="N43" s="213">
        <v>131.7576</v>
      </c>
      <c r="O43" s="213">
        <v>150.203664</v>
      </c>
      <c r="P43" s="213">
        <v>172.7342136</v>
      </c>
      <c r="Q43" s="213">
        <v>191.73497709600002</v>
      </c>
      <c r="R43" s="213">
        <v>208.99112503464005</v>
      </c>
      <c r="S43" s="213">
        <v>238.24988253948968</v>
      </c>
      <c r="T43" s="213">
        <v>283.5173602219927</v>
      </c>
      <c r="U43" s="213">
        <v>294.8580546308724</v>
      </c>
      <c r="V43" s="213">
        <v>336.13818227919455</v>
      </c>
    </row>
    <row r="44" spans="3:22" hidden="1" outlineLevel="2" x14ac:dyDescent="0.15">
      <c r="D44" s="12" t="s">
        <v>115</v>
      </c>
      <c r="G44" s="12" t="s">
        <v>2293</v>
      </c>
      <c r="L44" s="213">
        <v>106</v>
      </c>
      <c r="M44" s="213">
        <v>122.96</v>
      </c>
      <c r="N44" s="213">
        <v>140.17440000000002</v>
      </c>
      <c r="O44" s="213">
        <v>161.20056000000002</v>
      </c>
      <c r="P44" s="213">
        <v>170.87259360000004</v>
      </c>
      <c r="Q44" s="213">
        <v>201.62966044800004</v>
      </c>
      <c r="R44" s="213">
        <v>217.76003328384004</v>
      </c>
      <c r="S44" s="213">
        <v>222.11523394951686</v>
      </c>
      <c r="T44" s="213">
        <v>237.66330032598304</v>
      </c>
      <c r="U44" s="213">
        <v>275.68942837814029</v>
      </c>
      <c r="V44" s="213">
        <v>328.07041976998693</v>
      </c>
    </row>
    <row r="45" spans="3:22" hidden="1" outlineLevel="2" x14ac:dyDescent="0.15">
      <c r="D45" s="12" t="s">
        <v>170</v>
      </c>
      <c r="G45" s="12" t="s">
        <v>2293</v>
      </c>
      <c r="L45" s="213">
        <v>91</v>
      </c>
      <c r="M45" s="213">
        <v>96.460000000000008</v>
      </c>
      <c r="N45" s="213">
        <v>102.24760000000002</v>
      </c>
      <c r="O45" s="213">
        <v>114.51731200000003</v>
      </c>
      <c r="P45" s="213">
        <v>136.27560128000005</v>
      </c>
      <c r="Q45" s="213">
        <v>160.80520951040003</v>
      </c>
      <c r="R45" s="213">
        <v>167.23741789081603</v>
      </c>
      <c r="S45" s="213">
        <v>172.25454042754052</v>
      </c>
      <c r="T45" s="213">
        <v>201.53781230022238</v>
      </c>
      <c r="U45" s="213">
        <v>221.69159353024463</v>
      </c>
      <c r="V45" s="213">
        <v>263.81299630099107</v>
      </c>
    </row>
    <row r="46" spans="3:22" hidden="1" outlineLevel="2" x14ac:dyDescent="0.15">
      <c r="D46" s="12" t="s">
        <v>268</v>
      </c>
      <c r="G46" s="12" t="s">
        <v>2293</v>
      </c>
      <c r="L46" s="213">
        <v>125</v>
      </c>
      <c r="M46" s="213">
        <v>143.75</v>
      </c>
      <c r="N46" s="213">
        <v>162.43749999999997</v>
      </c>
      <c r="O46" s="213">
        <v>170.55937499999999</v>
      </c>
      <c r="P46" s="213">
        <v>175.67615624999999</v>
      </c>
      <c r="Q46" s="213">
        <v>209.05462593749999</v>
      </c>
      <c r="R46" s="213">
        <v>232.05063479062503</v>
      </c>
      <c r="S46" s="213">
        <v>271.49924270503124</v>
      </c>
      <c r="T46" s="213">
        <v>295.93417454848407</v>
      </c>
      <c r="U46" s="213">
        <v>334.40561723978698</v>
      </c>
      <c r="V46" s="213">
        <v>397.94268451534646</v>
      </c>
    </row>
    <row r="47" spans="3:22" hidden="1" outlineLevel="2" x14ac:dyDescent="0.15">
      <c r="D47" s="12" t="s">
        <v>2294</v>
      </c>
      <c r="G47" s="12" t="s">
        <v>2293</v>
      </c>
      <c r="L47" s="213">
        <v>101</v>
      </c>
      <c r="M47" s="213">
        <v>114.13</v>
      </c>
      <c r="N47" s="213">
        <v>132.39079999999998</v>
      </c>
      <c r="O47" s="213">
        <v>157.54505199999997</v>
      </c>
      <c r="P47" s="213">
        <v>165.42230459999996</v>
      </c>
      <c r="Q47" s="213">
        <v>168.73075069199996</v>
      </c>
      <c r="R47" s="213">
        <v>177.16728822659996</v>
      </c>
      <c r="S47" s="213">
        <v>187.79732552019598</v>
      </c>
      <c r="T47" s="213">
        <v>221.60084411383124</v>
      </c>
      <c r="U47" s="213">
        <v>254.84097073090592</v>
      </c>
      <c r="V47" s="213">
        <v>267.58301926745122</v>
      </c>
    </row>
    <row r="48" spans="3:22" hidden="1" outlineLevel="2" x14ac:dyDescent="0.15">
      <c r="D48" s="12" t="s">
        <v>2295</v>
      </c>
      <c r="G48" s="12" t="s">
        <v>2293</v>
      </c>
      <c r="L48" s="213">
        <v>102</v>
      </c>
      <c r="M48" s="213">
        <v>112.2</v>
      </c>
      <c r="N48" s="213">
        <v>123.42000000000002</v>
      </c>
      <c r="O48" s="213">
        <v>136.99620000000002</v>
      </c>
      <c r="P48" s="213">
        <v>153.43574400000003</v>
      </c>
      <c r="Q48" s="213">
        <v>167.24496096000004</v>
      </c>
      <c r="R48" s="213">
        <v>170.58986017920006</v>
      </c>
      <c r="S48" s="213">
        <v>196.17833920608004</v>
      </c>
      <c r="T48" s="213">
        <v>231.49044026317443</v>
      </c>
      <c r="U48" s="213">
        <v>275.47362391317756</v>
      </c>
      <c r="V48" s="213">
        <v>322.30413997841771</v>
      </c>
    </row>
    <row r="49" spans="3:22" hidden="1" outlineLevel="2" x14ac:dyDescent="0.15">
      <c r="D49" s="12" t="s">
        <v>2296</v>
      </c>
      <c r="G49" s="12" t="s">
        <v>2293</v>
      </c>
      <c r="L49" s="213">
        <v>129</v>
      </c>
      <c r="M49" s="213">
        <v>145.76999999999998</v>
      </c>
      <c r="N49" s="213">
        <v>166.17779999999999</v>
      </c>
      <c r="O49" s="213">
        <v>172.82491199999998</v>
      </c>
      <c r="P49" s="213">
        <v>205.66164527999996</v>
      </c>
      <c r="Q49" s="213">
        <v>234.45427561919999</v>
      </c>
      <c r="R49" s="213">
        <v>264.93333144969597</v>
      </c>
      <c r="S49" s="213">
        <v>270.23199807868991</v>
      </c>
      <c r="T49" s="213">
        <v>294.55287790577205</v>
      </c>
      <c r="U49" s="213">
        <v>315.17157935917612</v>
      </c>
      <c r="V49" s="213">
        <v>340.38530570791022</v>
      </c>
    </row>
    <row r="50" spans="3:22" hidden="1" outlineLevel="2" x14ac:dyDescent="0.15">
      <c r="D50" s="12" t="s">
        <v>2297</v>
      </c>
      <c r="G50" s="12" t="s">
        <v>2293</v>
      </c>
      <c r="L50" s="213">
        <v>115</v>
      </c>
      <c r="M50" s="213">
        <v>133.39999999999998</v>
      </c>
      <c r="N50" s="213">
        <v>150.74199999999996</v>
      </c>
      <c r="O50" s="213">
        <v>171.84587999999997</v>
      </c>
      <c r="P50" s="213">
        <v>204.49659719999994</v>
      </c>
      <c r="Q50" s="213">
        <v>235.17108677999991</v>
      </c>
      <c r="R50" s="213">
        <v>244.57793025119992</v>
      </c>
      <c r="S50" s="213">
        <v>256.80682676375994</v>
      </c>
      <c r="T50" s="213">
        <v>264.51103156667273</v>
      </c>
      <c r="U50" s="213">
        <v>304.18768630167364</v>
      </c>
      <c r="V50" s="213">
        <v>343.73208552089119</v>
      </c>
    </row>
    <row r="51" spans="3:22" hidden="1" outlineLevel="2" x14ac:dyDescent="0.15">
      <c r="D51" s="12" t="s">
        <v>2298</v>
      </c>
      <c r="G51" s="12" t="s">
        <v>2293</v>
      </c>
      <c r="L51" s="213">
        <v>76</v>
      </c>
      <c r="M51" s="213">
        <v>82.84</v>
      </c>
      <c r="N51" s="213">
        <v>91.124000000000009</v>
      </c>
      <c r="O51" s="213">
        <v>108.43756</v>
      </c>
      <c r="P51" s="213">
        <v>111.69068680000001</v>
      </c>
      <c r="Q51" s="213">
        <v>134.02882416</v>
      </c>
      <c r="R51" s="213">
        <v>139.3899771264</v>
      </c>
      <c r="S51" s="213">
        <v>142.177776668928</v>
      </c>
      <c r="T51" s="213">
        <v>163.5044431692672</v>
      </c>
      <c r="U51" s="213">
        <v>186.39506521296462</v>
      </c>
      <c r="V51" s="213">
        <v>208.7624730385204</v>
      </c>
    </row>
    <row r="52" spans="3:22" hidden="1" outlineLevel="2" x14ac:dyDescent="0.15">
      <c r="D52" s="12" t="s">
        <v>2299</v>
      </c>
      <c r="G52" s="12" t="s">
        <v>2293</v>
      </c>
      <c r="L52" s="213">
        <v>112</v>
      </c>
      <c r="M52" s="213">
        <v>114.24000000000001</v>
      </c>
      <c r="N52" s="213">
        <v>125.66400000000002</v>
      </c>
      <c r="O52" s="213">
        <v>138.23040000000003</v>
      </c>
      <c r="P52" s="213">
        <v>145.14192000000003</v>
      </c>
      <c r="Q52" s="213">
        <v>150.94759680000004</v>
      </c>
      <c r="R52" s="213">
        <v>155.47602470400005</v>
      </c>
      <c r="S52" s="213">
        <v>161.69506569216006</v>
      </c>
      <c r="T52" s="213">
        <v>194.03407883059205</v>
      </c>
      <c r="U52" s="213">
        <v>223.13919065518084</v>
      </c>
      <c r="V52" s="213">
        <v>254.37867734690619</v>
      </c>
    </row>
    <row r="53" spans="3:22" hidden="1" outlineLevel="2" x14ac:dyDescent="0.15">
      <c r="D53" s="12" t="s">
        <v>2300</v>
      </c>
      <c r="G53" s="12" t="s">
        <v>2293</v>
      </c>
      <c r="L53" s="213">
        <v>105</v>
      </c>
      <c r="M53" s="213">
        <v>113.4</v>
      </c>
      <c r="N53" s="213">
        <v>120.20400000000001</v>
      </c>
      <c r="O53" s="213">
        <v>141.84072</v>
      </c>
      <c r="P53" s="213">
        <v>154.60638480000003</v>
      </c>
      <c r="Q53" s="213">
        <v>183.98159791200004</v>
      </c>
      <c r="R53" s="213">
        <v>218.93810151528004</v>
      </c>
      <c r="S53" s="213">
        <v>240.83191166680805</v>
      </c>
      <c r="T53" s="213">
        <v>267.32342195015696</v>
      </c>
      <c r="U53" s="213">
        <v>294.0557641451727</v>
      </c>
      <c r="V53" s="213">
        <v>349.92635933275551</v>
      </c>
    </row>
    <row r="54" spans="3:22" hidden="1" outlineLevel="2" x14ac:dyDescent="0.15">
      <c r="D54" s="12" t="s">
        <v>2301</v>
      </c>
      <c r="G54" s="12" t="s">
        <v>2293</v>
      </c>
      <c r="L54" s="213">
        <v>129</v>
      </c>
      <c r="M54" s="213">
        <v>134.16</v>
      </c>
      <c r="N54" s="213">
        <v>152.94240000000002</v>
      </c>
      <c r="O54" s="213">
        <v>166.70721600000005</v>
      </c>
      <c r="P54" s="213">
        <v>185.04500976000006</v>
      </c>
      <c r="Q54" s="213">
        <v>201.69906063840008</v>
      </c>
      <c r="R54" s="213">
        <v>229.93692912777612</v>
      </c>
      <c r="S54" s="213">
        <v>262.1280992056648</v>
      </c>
      <c r="T54" s="213">
        <v>304.06859507857115</v>
      </c>
      <c r="U54" s="213">
        <v>310.14996698014255</v>
      </c>
      <c r="V54" s="213">
        <v>328.75896499895111</v>
      </c>
    </row>
    <row r="55" spans="3:22" hidden="1" outlineLevel="2" x14ac:dyDescent="0.15">
      <c r="D55" s="12" t="s">
        <v>2302</v>
      </c>
      <c r="G55" s="12" t="s">
        <v>2293</v>
      </c>
      <c r="L55" s="213">
        <v>78</v>
      </c>
      <c r="M55" s="213">
        <v>81.12</v>
      </c>
      <c r="N55" s="213">
        <v>86.798400000000015</v>
      </c>
      <c r="O55" s="213">
        <v>94.610256000000021</v>
      </c>
      <c r="P55" s="213">
        <v>113.53230720000002</v>
      </c>
      <c r="Q55" s="213">
        <v>122.61489177600004</v>
      </c>
      <c r="R55" s="213">
        <v>138.55482770688002</v>
      </c>
      <c r="S55" s="213">
        <v>166.26579324825602</v>
      </c>
      <c r="T55" s="213">
        <v>179.5670567081165</v>
      </c>
      <c r="U55" s="213">
        <v>202.91077408017162</v>
      </c>
      <c r="V55" s="213">
        <v>223.20185148818879</v>
      </c>
    </row>
    <row r="56" spans="3:22" hidden="1" outlineLevel="2" x14ac:dyDescent="0.15">
      <c r="D56" s="12" t="s">
        <v>2303</v>
      </c>
      <c r="G56" s="12" t="s">
        <v>2293</v>
      </c>
      <c r="L56" s="213">
        <v>114</v>
      </c>
      <c r="M56" s="213">
        <v>134.51999999999998</v>
      </c>
      <c r="N56" s="213">
        <v>147.97199999999998</v>
      </c>
      <c r="O56" s="213">
        <v>155.3706</v>
      </c>
      <c r="P56" s="213">
        <v>169.35395400000002</v>
      </c>
      <c r="Q56" s="213">
        <v>172.74103308000002</v>
      </c>
      <c r="R56" s="213">
        <v>195.19736738040001</v>
      </c>
      <c r="S56" s="213">
        <v>201.05328840181201</v>
      </c>
      <c r="T56" s="213">
        <v>225.17968301002946</v>
      </c>
      <c r="U56" s="213">
        <v>234.18687033043065</v>
      </c>
      <c r="V56" s="213">
        <v>250.57995125356081</v>
      </c>
    </row>
    <row r="57" spans="3:22" hidden="1" outlineLevel="2" x14ac:dyDescent="0.15">
      <c r="D57" s="12" t="s">
        <v>2304</v>
      </c>
      <c r="G57" s="12" t="s">
        <v>2293</v>
      </c>
      <c r="L57" s="213">
        <v>100</v>
      </c>
      <c r="M57" s="213">
        <v>112.00000000000001</v>
      </c>
      <c r="N57" s="213">
        <v>128.80000000000001</v>
      </c>
      <c r="O57" s="213">
        <v>151.98400000000001</v>
      </c>
      <c r="P57" s="213">
        <v>165.66256000000001</v>
      </c>
      <c r="Q57" s="213">
        <v>182.22881600000002</v>
      </c>
      <c r="R57" s="213">
        <v>198.62940944000005</v>
      </c>
      <c r="S57" s="213">
        <v>212.53346810080006</v>
      </c>
      <c r="T57" s="213">
        <v>244.41348831592006</v>
      </c>
      <c r="U57" s="213">
        <v>276.18724179698967</v>
      </c>
      <c r="V57" s="213">
        <v>309.32971081262843</v>
      </c>
    </row>
    <row r="58" spans="3:22" hidden="1" outlineLevel="2" x14ac:dyDescent="0.15">
      <c r="D58" s="12" t="s">
        <v>2305</v>
      </c>
      <c r="G58" s="12" t="s">
        <v>2293</v>
      </c>
      <c r="L58" s="213">
        <v>85</v>
      </c>
      <c r="M58" s="213">
        <v>96.9</v>
      </c>
      <c r="N58" s="213">
        <v>98.838000000000008</v>
      </c>
      <c r="O58" s="213">
        <v>113.66370000000001</v>
      </c>
      <c r="P58" s="213">
        <v>129.57661800000002</v>
      </c>
      <c r="Q58" s="213">
        <v>142.53427980000004</v>
      </c>
      <c r="R58" s="213">
        <v>171.04113576000003</v>
      </c>
      <c r="S58" s="213">
        <v>184.72442662080005</v>
      </c>
      <c r="T58" s="213">
        <v>216.12757914633605</v>
      </c>
      <c r="U58" s="213">
        <v>237.74033706096967</v>
      </c>
      <c r="V58" s="213">
        <v>244.87254717279876</v>
      </c>
    </row>
    <row r="59" spans="3:22" hidden="1" outlineLevel="2" x14ac:dyDescent="0.15">
      <c r="D59" s="12" t="s">
        <v>2306</v>
      </c>
      <c r="G59" s="12" t="s">
        <v>2293</v>
      </c>
      <c r="L59" s="213">
        <v>104</v>
      </c>
      <c r="M59" s="213">
        <v>108.16</v>
      </c>
      <c r="N59" s="213">
        <v>117.8944</v>
      </c>
      <c r="O59" s="213">
        <v>127.32595200000002</v>
      </c>
      <c r="P59" s="213">
        <v>147.69810432</v>
      </c>
      <c r="Q59" s="213">
        <v>162.46791475200001</v>
      </c>
      <c r="R59" s="213">
        <v>177.09002707968003</v>
      </c>
      <c r="S59" s="213">
        <v>198.34083032924164</v>
      </c>
      <c r="T59" s="213">
        <v>216.19150505887342</v>
      </c>
      <c r="U59" s="213">
        <v>227.00108031181711</v>
      </c>
      <c r="V59" s="213">
        <v>240.62114513052614</v>
      </c>
    </row>
    <row r="60" spans="3:22" hidden="1" outlineLevel="2" x14ac:dyDescent="0.15">
      <c r="D60" s="12" t="s">
        <v>2307</v>
      </c>
      <c r="G60" s="12" t="s">
        <v>2293</v>
      </c>
      <c r="L60" s="213">
        <v>108</v>
      </c>
      <c r="M60" s="213">
        <v>126.35999999999999</v>
      </c>
      <c r="N60" s="213">
        <v>128.88719999999998</v>
      </c>
      <c r="O60" s="213">
        <v>134.04268799999997</v>
      </c>
      <c r="P60" s="213">
        <v>156.82994495999995</v>
      </c>
      <c r="Q60" s="213">
        <v>166.23974165759995</v>
      </c>
      <c r="R60" s="213">
        <v>197.82529257254393</v>
      </c>
      <c r="S60" s="213">
        <v>211.67306305262201</v>
      </c>
      <c r="T60" s="213">
        <v>230.72363872735801</v>
      </c>
      <c r="U60" s="213">
        <v>246.87429343827307</v>
      </c>
      <c r="V60" s="213">
        <v>271.56172278210039</v>
      </c>
    </row>
    <row r="61" spans="3:22" hidden="1" outlineLevel="2" x14ac:dyDescent="0.15"/>
    <row r="62" spans="3:22" hidden="1" outlineLevel="2" x14ac:dyDescent="0.15">
      <c r="C62" s="22" t="s">
        <v>2308</v>
      </c>
      <c r="L62" s="113" t="s">
        <v>2291</v>
      </c>
      <c r="M62" s="113" t="s">
        <v>2309</v>
      </c>
      <c r="N62" s="113" t="s">
        <v>2310</v>
      </c>
    </row>
    <row r="63" spans="3:22" hidden="1" outlineLevel="2" x14ac:dyDescent="0.15">
      <c r="D63" s="12" t="s">
        <v>112</v>
      </c>
      <c r="G63" s="12" t="s">
        <v>2311</v>
      </c>
      <c r="L63" s="213">
        <v>2541</v>
      </c>
      <c r="M63" s="213">
        <v>108</v>
      </c>
      <c r="N63" s="213">
        <v>6</v>
      </c>
    </row>
    <row r="64" spans="3:22" hidden="1" outlineLevel="2" x14ac:dyDescent="0.15">
      <c r="D64" s="12" t="s">
        <v>113</v>
      </c>
      <c r="G64" s="12" t="s">
        <v>2311</v>
      </c>
      <c r="L64" s="213">
        <v>3267</v>
      </c>
      <c r="M64" s="213">
        <v>44</v>
      </c>
      <c r="N64" s="213">
        <v>5</v>
      </c>
    </row>
    <row r="65" spans="4:14" hidden="1" outlineLevel="2" x14ac:dyDescent="0.15">
      <c r="D65" s="12" t="s">
        <v>114</v>
      </c>
      <c r="G65" s="12" t="s">
        <v>2311</v>
      </c>
      <c r="L65" s="213">
        <v>3267</v>
      </c>
      <c r="M65" s="213">
        <v>52</v>
      </c>
      <c r="N65" s="213">
        <v>14</v>
      </c>
    </row>
    <row r="66" spans="4:14" hidden="1" outlineLevel="2" x14ac:dyDescent="0.15">
      <c r="D66" s="12" t="s">
        <v>115</v>
      </c>
      <c r="G66" s="12" t="s">
        <v>2311</v>
      </c>
      <c r="L66" s="213">
        <v>2178</v>
      </c>
      <c r="M66" s="213">
        <v>48</v>
      </c>
      <c r="N66" s="213">
        <v>25</v>
      </c>
    </row>
    <row r="67" spans="4:14" hidden="1" outlineLevel="2" x14ac:dyDescent="0.15">
      <c r="D67" s="12" t="s">
        <v>170</v>
      </c>
      <c r="G67" s="12" t="s">
        <v>2311</v>
      </c>
      <c r="L67" s="213">
        <v>2057</v>
      </c>
      <c r="M67" s="213">
        <v>116</v>
      </c>
      <c r="N67" s="213">
        <v>13</v>
      </c>
    </row>
    <row r="68" spans="4:14" hidden="1" outlineLevel="2" x14ac:dyDescent="0.15">
      <c r="D68" s="12" t="s">
        <v>268</v>
      </c>
      <c r="G68" s="12" t="s">
        <v>2311</v>
      </c>
      <c r="L68" s="213">
        <v>3146</v>
      </c>
      <c r="M68" s="213">
        <v>28</v>
      </c>
      <c r="N68" s="213">
        <v>25</v>
      </c>
    </row>
    <row r="69" spans="4:14" hidden="1" outlineLevel="2" x14ac:dyDescent="0.15">
      <c r="D69" s="12" t="s">
        <v>2294</v>
      </c>
      <c r="G69" s="12" t="s">
        <v>2311</v>
      </c>
      <c r="L69" s="213">
        <v>726</v>
      </c>
      <c r="M69" s="213">
        <v>48</v>
      </c>
      <c r="N69" s="213">
        <v>19</v>
      </c>
    </row>
    <row r="70" spans="4:14" hidden="1" outlineLevel="2" x14ac:dyDescent="0.15">
      <c r="D70" s="12" t="s">
        <v>2295</v>
      </c>
      <c r="G70" s="12" t="s">
        <v>2311</v>
      </c>
      <c r="L70" s="213">
        <v>2541</v>
      </c>
      <c r="M70" s="213">
        <v>80</v>
      </c>
      <c r="N70" s="213">
        <v>14</v>
      </c>
    </row>
    <row r="71" spans="4:14" hidden="1" outlineLevel="2" x14ac:dyDescent="0.15">
      <c r="D71" s="12" t="s">
        <v>2296</v>
      </c>
      <c r="G71" s="12" t="s">
        <v>2311</v>
      </c>
      <c r="L71" s="213">
        <v>1452</v>
      </c>
      <c r="M71" s="213">
        <v>112</v>
      </c>
      <c r="N71" s="213">
        <v>17</v>
      </c>
    </row>
    <row r="72" spans="4:14" hidden="1" outlineLevel="2" x14ac:dyDescent="0.15">
      <c r="D72" s="12" t="s">
        <v>2297</v>
      </c>
      <c r="G72" s="12" t="s">
        <v>2311</v>
      </c>
      <c r="L72" s="213">
        <v>1210</v>
      </c>
      <c r="M72" s="213">
        <v>76</v>
      </c>
      <c r="N72" s="213">
        <v>28</v>
      </c>
    </row>
    <row r="73" spans="4:14" hidden="1" outlineLevel="2" x14ac:dyDescent="0.15">
      <c r="D73" s="12" t="s">
        <v>2298</v>
      </c>
      <c r="G73" s="12" t="s">
        <v>2311</v>
      </c>
      <c r="L73" s="213">
        <v>1694</v>
      </c>
      <c r="M73" s="213">
        <v>80</v>
      </c>
      <c r="N73" s="213">
        <v>7</v>
      </c>
    </row>
    <row r="74" spans="4:14" hidden="1" outlineLevel="2" x14ac:dyDescent="0.15">
      <c r="D74" s="12" t="s">
        <v>2299</v>
      </c>
      <c r="G74" s="12" t="s">
        <v>2311</v>
      </c>
      <c r="L74" s="213">
        <v>847</v>
      </c>
      <c r="M74" s="213">
        <v>36</v>
      </c>
      <c r="N74" s="213">
        <v>11</v>
      </c>
    </row>
    <row r="75" spans="4:14" hidden="1" outlineLevel="2" x14ac:dyDescent="0.15">
      <c r="D75" s="12" t="s">
        <v>2300</v>
      </c>
      <c r="G75" s="12" t="s">
        <v>2311</v>
      </c>
      <c r="L75" s="213">
        <v>2662</v>
      </c>
      <c r="M75" s="213">
        <v>92</v>
      </c>
      <c r="N75" s="213">
        <v>8</v>
      </c>
    </row>
    <row r="76" spans="4:14" hidden="1" outlineLevel="2" x14ac:dyDescent="0.15">
      <c r="D76" s="12" t="s">
        <v>2301</v>
      </c>
      <c r="G76" s="12" t="s">
        <v>2311</v>
      </c>
      <c r="L76" s="213">
        <v>1694</v>
      </c>
      <c r="M76" s="213">
        <v>32</v>
      </c>
      <c r="N76" s="213">
        <v>8</v>
      </c>
    </row>
    <row r="77" spans="4:14" hidden="1" outlineLevel="2" x14ac:dyDescent="0.15">
      <c r="D77" s="12" t="s">
        <v>2302</v>
      </c>
      <c r="G77" s="12" t="s">
        <v>2311</v>
      </c>
      <c r="L77" s="213">
        <v>2662</v>
      </c>
      <c r="M77" s="213">
        <v>84</v>
      </c>
      <c r="N77" s="213">
        <v>16</v>
      </c>
    </row>
    <row r="78" spans="4:14" hidden="1" outlineLevel="2" x14ac:dyDescent="0.15">
      <c r="D78" s="12" t="s">
        <v>2303</v>
      </c>
      <c r="G78" s="12" t="s">
        <v>2311</v>
      </c>
      <c r="L78" s="213">
        <v>2420</v>
      </c>
      <c r="M78" s="213">
        <v>116</v>
      </c>
      <c r="N78" s="213">
        <v>18</v>
      </c>
    </row>
    <row r="79" spans="4:14" hidden="1" outlineLevel="2" x14ac:dyDescent="0.15">
      <c r="D79" s="12" t="s">
        <v>2304</v>
      </c>
      <c r="G79" s="12" t="s">
        <v>2311</v>
      </c>
      <c r="L79" s="213">
        <v>2904</v>
      </c>
      <c r="M79" s="213">
        <v>24</v>
      </c>
      <c r="N79" s="213">
        <v>25</v>
      </c>
    </row>
    <row r="80" spans="4:14" hidden="1" outlineLevel="2" x14ac:dyDescent="0.15">
      <c r="D80" s="12" t="s">
        <v>2305</v>
      </c>
      <c r="G80" s="12" t="s">
        <v>2311</v>
      </c>
      <c r="L80" s="213">
        <v>3388</v>
      </c>
      <c r="M80" s="213">
        <v>88</v>
      </c>
      <c r="N80" s="213">
        <v>13</v>
      </c>
    </row>
    <row r="81" spans="2:22" hidden="1" outlineLevel="2" x14ac:dyDescent="0.15">
      <c r="D81" s="12" t="s">
        <v>2306</v>
      </c>
      <c r="G81" s="12" t="s">
        <v>2311</v>
      </c>
      <c r="L81" s="213">
        <v>605</v>
      </c>
      <c r="M81" s="213">
        <v>76</v>
      </c>
      <c r="N81" s="213">
        <v>17</v>
      </c>
    </row>
    <row r="82" spans="2:22" hidden="1" outlineLevel="2" x14ac:dyDescent="0.15">
      <c r="D82" s="12" t="s">
        <v>2307</v>
      </c>
      <c r="G82" s="12" t="s">
        <v>2311</v>
      </c>
      <c r="L82" s="213">
        <v>1815</v>
      </c>
      <c r="M82" s="213">
        <v>48</v>
      </c>
      <c r="N82" s="213">
        <v>20</v>
      </c>
    </row>
    <row r="83" spans="2:22" hidden="1" outlineLevel="2" x14ac:dyDescent="0.15"/>
    <row r="84" spans="2:22" outlineLevel="1" collapsed="1" x14ac:dyDescent="0.15">
      <c r="B84" s="115" t="s">
        <v>2312</v>
      </c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</row>
    <row r="85" spans="2:22" hidden="1" outlineLevel="2" x14ac:dyDescent="0.15"/>
    <row r="86" spans="2:22" hidden="1" outlineLevel="2" x14ac:dyDescent="0.15">
      <c r="C86" s="22" t="s">
        <v>2313</v>
      </c>
    </row>
    <row r="87" spans="2:22" hidden="1" outlineLevel="2" x14ac:dyDescent="0.15">
      <c r="D87" s="12" t="s">
        <v>112</v>
      </c>
      <c r="G87" s="12" t="s">
        <v>2254</v>
      </c>
      <c r="L87" s="12">
        <f t="shared" ref="L87:V102" si="23">L41*($L63*(1+L$32)+$M63*L$37*(1+L$33)+$N63*L$38*(1+L$34))/1000</f>
        <v>449.35638</v>
      </c>
      <c r="M87" s="12">
        <f t="shared" si="23"/>
        <v>548.53715905267495</v>
      </c>
      <c r="N87" s="12">
        <f t="shared" si="23"/>
        <v>686.79338592865713</v>
      </c>
      <c r="O87" s="12">
        <f t="shared" si="23"/>
        <v>816.91961220288113</v>
      </c>
      <c r="P87" s="12">
        <f t="shared" si="23"/>
        <v>937.62671365479866</v>
      </c>
      <c r="Q87" s="12">
        <f t="shared" si="23"/>
        <v>1066.4096524017912</v>
      </c>
      <c r="R87" s="12">
        <f t="shared" si="23"/>
        <v>1224.0355104533062</v>
      </c>
      <c r="S87" s="12">
        <f t="shared" si="23"/>
        <v>1468.8546572716036</v>
      </c>
      <c r="T87" s="12">
        <f t="shared" si="23"/>
        <v>1793.3348563740014</v>
      </c>
      <c r="U87" s="12">
        <f t="shared" si="23"/>
        <v>2002.4037104516303</v>
      </c>
      <c r="V87" s="12">
        <f t="shared" si="23"/>
        <v>2256.792733628025</v>
      </c>
    </row>
    <row r="88" spans="2:22" hidden="1" outlineLevel="2" x14ac:dyDescent="0.15">
      <c r="D88" s="12" t="s">
        <v>113</v>
      </c>
      <c r="G88" s="12" t="s">
        <v>2254</v>
      </c>
      <c r="L88" s="12">
        <f t="shared" si="23"/>
        <v>497.61376000000007</v>
      </c>
      <c r="M88" s="12">
        <f t="shared" si="23"/>
        <v>538.96603342399999</v>
      </c>
      <c r="N88" s="12">
        <f t="shared" si="23"/>
        <v>673.57111571930557</v>
      </c>
      <c r="O88" s="12">
        <f t="shared" si="23"/>
        <v>750.60805708826206</v>
      </c>
      <c r="P88" s="12">
        <f t="shared" si="23"/>
        <v>899.0053266133159</v>
      </c>
      <c r="Q88" s="12">
        <f t="shared" si="23"/>
        <v>1020.5756869881837</v>
      </c>
      <c r="R88" s="12">
        <f t="shared" si="23"/>
        <v>1158.5998343161557</v>
      </c>
      <c r="S88" s="12">
        <f t="shared" si="23"/>
        <v>1291.1726427100557</v>
      </c>
      <c r="T88" s="12">
        <f t="shared" si="23"/>
        <v>1600.3085358989167</v>
      </c>
      <c r="U88" s="12">
        <f t="shared" si="23"/>
        <v>1716.7964197724027</v>
      </c>
      <c r="V88" s="12">
        <f t="shared" si="23"/>
        <v>2074.2451712503539</v>
      </c>
    </row>
    <row r="89" spans="2:22" hidden="1" outlineLevel="2" x14ac:dyDescent="0.15">
      <c r="D89" s="12" t="s">
        <v>114</v>
      </c>
      <c r="G89" s="12" t="s">
        <v>2254</v>
      </c>
      <c r="L89" s="12">
        <f t="shared" si="23"/>
        <v>661.22094000000004</v>
      </c>
      <c r="M89" s="12">
        <f t="shared" si="23"/>
        <v>716.18408485259999</v>
      </c>
      <c r="N89" s="12">
        <f t="shared" si="23"/>
        <v>768.26597641772844</v>
      </c>
      <c r="O89" s="12">
        <f t="shared" si="23"/>
        <v>912.16032944595202</v>
      </c>
      <c r="P89" s="12">
        <f t="shared" si="23"/>
        <v>1092.5185153590453</v>
      </c>
      <c r="Q89" s="12">
        <f t="shared" si="23"/>
        <v>1263.038715963487</v>
      </c>
      <c r="R89" s="12">
        <f t="shared" si="23"/>
        <v>1433.8812003382475</v>
      </c>
      <c r="S89" s="12">
        <f t="shared" si="23"/>
        <v>1702.523833895274</v>
      </c>
      <c r="T89" s="12">
        <f t="shared" si="23"/>
        <v>2110.185073092367</v>
      </c>
      <c r="U89" s="12">
        <f t="shared" si="23"/>
        <v>2285.806773285226</v>
      </c>
      <c r="V89" s="12">
        <f t="shared" si="23"/>
        <v>2714.1589552132309</v>
      </c>
    </row>
    <row r="90" spans="2:22" hidden="1" outlineLevel="2" x14ac:dyDescent="0.15">
      <c r="D90" s="12" t="s">
        <v>115</v>
      </c>
      <c r="G90" s="12" t="s">
        <v>2254</v>
      </c>
      <c r="L90" s="12">
        <f t="shared" si="23"/>
        <v>551.17031999999995</v>
      </c>
      <c r="M90" s="12">
        <f t="shared" si="23"/>
        <v>665.88035674800005</v>
      </c>
      <c r="N90" s="12">
        <f t="shared" si="23"/>
        <v>790.60244479223843</v>
      </c>
      <c r="O90" s="12">
        <f t="shared" si="23"/>
        <v>946.92990808757065</v>
      </c>
      <c r="P90" s="12">
        <f t="shared" si="23"/>
        <v>1045.4188262964562</v>
      </c>
      <c r="Q90" s="12">
        <f t="shared" si="23"/>
        <v>1284.8243389528475</v>
      </c>
      <c r="R90" s="12">
        <f t="shared" si="23"/>
        <v>1445.2527028467775</v>
      </c>
      <c r="S90" s="12">
        <f t="shared" si="23"/>
        <v>1535.4126923956985</v>
      </c>
      <c r="T90" s="12">
        <f t="shared" si="23"/>
        <v>1711.1772158034778</v>
      </c>
      <c r="U90" s="12">
        <f t="shared" si="23"/>
        <v>2067.4928674011594</v>
      </c>
      <c r="V90" s="12">
        <f t="shared" si="23"/>
        <v>2562.6365507057176</v>
      </c>
    </row>
    <row r="91" spans="2:22" hidden="1" outlineLevel="2" x14ac:dyDescent="0.15">
      <c r="D91" s="12" t="s">
        <v>170</v>
      </c>
      <c r="G91" s="12" t="s">
        <v>2254</v>
      </c>
      <c r="L91" s="12">
        <f t="shared" si="23"/>
        <v>443.93258000000003</v>
      </c>
      <c r="M91" s="12">
        <f t="shared" si="23"/>
        <v>491.0214909463499</v>
      </c>
      <c r="N91" s="12">
        <f t="shared" si="23"/>
        <v>543.11710158697349</v>
      </c>
      <c r="O91" s="12">
        <f t="shared" si="23"/>
        <v>634.75794061586134</v>
      </c>
      <c r="P91" s="12">
        <f t="shared" si="23"/>
        <v>788.24515361315548</v>
      </c>
      <c r="Q91" s="12">
        <f t="shared" si="23"/>
        <v>970.64208867908178</v>
      </c>
      <c r="R91" s="12">
        <f t="shared" si="23"/>
        <v>1053.4596153608672</v>
      </c>
      <c r="S91" s="12">
        <f t="shared" si="23"/>
        <v>1132.3748435514547</v>
      </c>
      <c r="T91" s="12">
        <f t="shared" si="23"/>
        <v>1382.6774084846891</v>
      </c>
      <c r="U91" s="12">
        <f t="shared" si="23"/>
        <v>1587.3331022437337</v>
      </c>
      <c r="V91" s="12">
        <f t="shared" si="23"/>
        <v>1971.420716157885</v>
      </c>
    </row>
    <row r="92" spans="2:22" hidden="1" outlineLevel="2" x14ac:dyDescent="0.15">
      <c r="D92" s="12" t="s">
        <v>268</v>
      </c>
      <c r="G92" s="12" t="s">
        <v>2254</v>
      </c>
      <c r="L92" s="12">
        <f t="shared" si="23"/>
        <v>742.49250000000006</v>
      </c>
      <c r="M92" s="12">
        <f t="shared" si="23"/>
        <v>888.72284445312516</v>
      </c>
      <c r="N92" s="12">
        <f t="shared" si="23"/>
        <v>1045.2587605786871</v>
      </c>
      <c r="O92" s="12">
        <f t="shared" si="23"/>
        <v>1142.3383670343474</v>
      </c>
      <c r="P92" s="12">
        <f t="shared" si="23"/>
        <v>1224.6621016124102</v>
      </c>
      <c r="Q92" s="12">
        <f t="shared" si="23"/>
        <v>1516.8764017695557</v>
      </c>
      <c r="R92" s="12">
        <f t="shared" si="23"/>
        <v>1752.5193312411443</v>
      </c>
      <c r="S92" s="12">
        <f t="shared" si="23"/>
        <v>2134.2290828982718</v>
      </c>
      <c r="T92" s="12">
        <f t="shared" si="23"/>
        <v>2421.3781620330519</v>
      </c>
      <c r="U92" s="12">
        <f t="shared" si="23"/>
        <v>2847.9929695386013</v>
      </c>
      <c r="V92" s="12">
        <f t="shared" si="23"/>
        <v>3527.6582456239221</v>
      </c>
    </row>
    <row r="93" spans="2:22" hidden="1" outlineLevel="2" x14ac:dyDescent="0.15">
      <c r="D93" s="12" t="s">
        <v>2294</v>
      </c>
      <c r="G93" s="12" t="s">
        <v>2254</v>
      </c>
      <c r="L93" s="12">
        <f t="shared" si="23"/>
        <v>317.02284000000003</v>
      </c>
      <c r="M93" s="12">
        <f t="shared" si="23"/>
        <v>373.42046673389996</v>
      </c>
      <c r="N93" s="12">
        <f t="shared" si="23"/>
        <v>451.53579091151192</v>
      </c>
      <c r="O93" s="12">
        <f t="shared" si="23"/>
        <v>560.1214541667033</v>
      </c>
      <c r="P93" s="12">
        <f t="shared" si="23"/>
        <v>613.08629137673256</v>
      </c>
      <c r="Q93" s="12">
        <f t="shared" si="23"/>
        <v>651.8969498349885</v>
      </c>
      <c r="R93" s="12">
        <f t="shared" si="23"/>
        <v>713.56334641045078</v>
      </c>
      <c r="S93" s="12">
        <f t="shared" si="23"/>
        <v>788.51478017248246</v>
      </c>
      <c r="T93" s="12">
        <f t="shared" si="23"/>
        <v>969.99719754856847</v>
      </c>
      <c r="U93" s="12">
        <f t="shared" si="23"/>
        <v>1162.9316456373951</v>
      </c>
      <c r="V93" s="12">
        <f t="shared" si="23"/>
        <v>1273.0241184974866</v>
      </c>
    </row>
    <row r="94" spans="2:22" hidden="1" outlineLevel="2" x14ac:dyDescent="0.15">
      <c r="D94" s="12" t="s">
        <v>2295</v>
      </c>
      <c r="G94" s="12" t="s">
        <v>2254</v>
      </c>
      <c r="L94" s="12">
        <f t="shared" si="23"/>
        <v>509.37167999999997</v>
      </c>
      <c r="M94" s="12">
        <f t="shared" si="23"/>
        <v>584.04968694600007</v>
      </c>
      <c r="N94" s="12">
        <f t="shared" si="23"/>
        <v>669.68750665142886</v>
      </c>
      <c r="O94" s="12">
        <f t="shared" si="23"/>
        <v>774.87622495042683</v>
      </c>
      <c r="P94" s="12">
        <f t="shared" si="23"/>
        <v>904.68003159714544</v>
      </c>
      <c r="Q94" s="12">
        <f t="shared" si="23"/>
        <v>1027.9539896434742</v>
      </c>
      <c r="R94" s="12">
        <f t="shared" si="23"/>
        <v>1093.0338010751502</v>
      </c>
      <c r="S94" s="12">
        <f t="shared" si="23"/>
        <v>1310.3846257777434</v>
      </c>
      <c r="T94" s="12">
        <f t="shared" si="23"/>
        <v>1611.9657391453052</v>
      </c>
      <c r="U94" s="12">
        <f t="shared" si="23"/>
        <v>1999.7949874212302</v>
      </c>
      <c r="V94" s="12">
        <f t="shared" si="23"/>
        <v>2439.2807168592699</v>
      </c>
    </row>
    <row r="95" spans="2:22" hidden="1" outlineLevel="2" x14ac:dyDescent="0.15">
      <c r="D95" s="12" t="s">
        <v>2296</v>
      </c>
      <c r="G95" s="12" t="s">
        <v>2254</v>
      </c>
      <c r="L95" s="12">
        <f t="shared" si="23"/>
        <v>588.63731999999993</v>
      </c>
      <c r="M95" s="12">
        <f t="shared" si="23"/>
        <v>694.16901237629986</v>
      </c>
      <c r="N95" s="12">
        <f t="shared" si="23"/>
        <v>825.88314551189137</v>
      </c>
      <c r="O95" s="12">
        <f t="shared" si="23"/>
        <v>896.4169221073688</v>
      </c>
      <c r="P95" s="12">
        <f t="shared" si="23"/>
        <v>1113.3320675768625</v>
      </c>
      <c r="Q95" s="12">
        <f t="shared" si="23"/>
        <v>1324.6676139294577</v>
      </c>
      <c r="R95" s="12">
        <f t="shared" si="23"/>
        <v>1562.3285912251777</v>
      </c>
      <c r="S95" s="12">
        <f t="shared" si="23"/>
        <v>1663.2949590747592</v>
      </c>
      <c r="T95" s="12">
        <f t="shared" si="23"/>
        <v>1892.3532884750853</v>
      </c>
      <c r="U95" s="12">
        <f t="shared" si="23"/>
        <v>2113.4997857391281</v>
      </c>
      <c r="V95" s="12">
        <f t="shared" si="23"/>
        <v>2382.6045454249256</v>
      </c>
    </row>
    <row r="96" spans="2:22" hidden="1" outlineLevel="2" x14ac:dyDescent="0.15">
      <c r="D96" s="12" t="s">
        <v>2297</v>
      </c>
      <c r="G96" s="12" t="s">
        <v>2254</v>
      </c>
      <c r="L96" s="12">
        <f t="shared" si="23"/>
        <v>556.77250000000004</v>
      </c>
      <c r="M96" s="12">
        <f t="shared" si="23"/>
        <v>673.26287620649998</v>
      </c>
      <c r="N96" s="12">
        <f t="shared" si="23"/>
        <v>793.08386744076313</v>
      </c>
      <c r="O96" s="12">
        <f t="shared" si="23"/>
        <v>942.5124890791094</v>
      </c>
      <c r="P96" s="12">
        <f t="shared" si="23"/>
        <v>1169.2419933211306</v>
      </c>
      <c r="Q96" s="12">
        <f t="shared" si="23"/>
        <v>1401.7798022485883</v>
      </c>
      <c r="R96" s="12">
        <f t="shared" si="23"/>
        <v>1519.8402946839592</v>
      </c>
      <c r="S96" s="12">
        <f t="shared" si="23"/>
        <v>1663.7166974316415</v>
      </c>
      <c r="T96" s="12">
        <f t="shared" si="23"/>
        <v>1786.553667401756</v>
      </c>
      <c r="U96" s="12">
        <f t="shared" si="23"/>
        <v>2142.0063769079716</v>
      </c>
      <c r="V96" s="12">
        <f t="shared" si="23"/>
        <v>2523.5591064428072</v>
      </c>
    </row>
    <row r="97" spans="2:22" hidden="1" outlineLevel="2" x14ac:dyDescent="0.15">
      <c r="D97" s="12" t="s">
        <v>2298</v>
      </c>
      <c r="G97" s="12" t="s">
        <v>2254</v>
      </c>
      <c r="L97" s="12">
        <f t="shared" si="23"/>
        <v>263.74735999999996</v>
      </c>
      <c r="M97" s="12">
        <f t="shared" si="23"/>
        <v>299.9435670396</v>
      </c>
      <c r="N97" s="12">
        <f t="shared" si="23"/>
        <v>344.24415239928913</v>
      </c>
      <c r="O97" s="12">
        <f t="shared" si="23"/>
        <v>427.42242637706886</v>
      </c>
      <c r="P97" s="12">
        <f t="shared" si="23"/>
        <v>459.35428876967586</v>
      </c>
      <c r="Q97" s="12">
        <f t="shared" si="23"/>
        <v>575.16410612235222</v>
      </c>
      <c r="R97" s="12">
        <f t="shared" si="23"/>
        <v>624.16212589673808</v>
      </c>
      <c r="S97" s="12">
        <f t="shared" si="23"/>
        <v>664.32326119609036</v>
      </c>
      <c r="T97" s="12">
        <f t="shared" si="23"/>
        <v>797.20274956182254</v>
      </c>
      <c r="U97" s="12">
        <f t="shared" si="23"/>
        <v>948.3633759913248</v>
      </c>
      <c r="V97" s="12">
        <f t="shared" si="23"/>
        <v>1108.418107222873</v>
      </c>
    </row>
    <row r="98" spans="2:22" hidden="1" outlineLevel="2" x14ac:dyDescent="0.15">
      <c r="D98" s="12" t="s">
        <v>2299</v>
      </c>
      <c r="G98" s="12" t="s">
        <v>2254</v>
      </c>
      <c r="L98" s="12">
        <f t="shared" si="23"/>
        <v>265.48255999999998</v>
      </c>
      <c r="M98" s="12">
        <f t="shared" si="23"/>
        <v>282.2523033288</v>
      </c>
      <c r="N98" s="12">
        <f t="shared" si="23"/>
        <v>323.62235428437731</v>
      </c>
      <c r="O98" s="12">
        <f t="shared" si="23"/>
        <v>371.06208403001239</v>
      </c>
      <c r="P98" s="12">
        <f t="shared" si="23"/>
        <v>406.12371398748678</v>
      </c>
      <c r="Q98" s="12">
        <f t="shared" si="23"/>
        <v>440.27222622040506</v>
      </c>
      <c r="R98" s="12">
        <f t="shared" si="23"/>
        <v>472.71054156822038</v>
      </c>
      <c r="S98" s="12">
        <f t="shared" si="23"/>
        <v>512.47491546742742</v>
      </c>
      <c r="T98" s="12">
        <f t="shared" si="23"/>
        <v>641.06947563038364</v>
      </c>
      <c r="U98" s="12">
        <f t="shared" si="23"/>
        <v>768.53114874186656</v>
      </c>
      <c r="V98" s="12">
        <f t="shared" si="23"/>
        <v>913.3394096807807</v>
      </c>
    </row>
    <row r="99" spans="2:22" hidden="1" outlineLevel="2" x14ac:dyDescent="0.15">
      <c r="D99" s="12" t="s">
        <v>2300</v>
      </c>
      <c r="G99" s="12" t="s">
        <v>2254</v>
      </c>
      <c r="L99" s="12">
        <f t="shared" si="23"/>
        <v>496.52189999999996</v>
      </c>
      <c r="M99" s="12">
        <f t="shared" si="23"/>
        <v>559.20376672650013</v>
      </c>
      <c r="N99" s="12">
        <f t="shared" si="23"/>
        <v>618.14791230580249</v>
      </c>
      <c r="O99" s="12">
        <f t="shared" si="23"/>
        <v>760.67551631650861</v>
      </c>
      <c r="P99" s="12">
        <f t="shared" si="23"/>
        <v>864.68827651567244</v>
      </c>
      <c r="Q99" s="12">
        <f t="shared" si="23"/>
        <v>1073.1213094067334</v>
      </c>
      <c r="R99" s="12">
        <f t="shared" si="23"/>
        <v>1331.8237621299349</v>
      </c>
      <c r="S99" s="12">
        <f t="shared" si="23"/>
        <v>1527.9148638411136</v>
      </c>
      <c r="T99" s="12">
        <f t="shared" si="23"/>
        <v>1768.8484228794771</v>
      </c>
      <c r="U99" s="12">
        <f t="shared" si="23"/>
        <v>2029.3670311889039</v>
      </c>
      <c r="V99" s="12">
        <f t="shared" si="23"/>
        <v>2518.8001540018236</v>
      </c>
    </row>
    <row r="100" spans="2:22" hidden="1" outlineLevel="2" x14ac:dyDescent="0.15">
      <c r="D100" s="12" t="s">
        <v>2301</v>
      </c>
      <c r="G100" s="12" t="s">
        <v>2254</v>
      </c>
      <c r="L100" s="12">
        <f t="shared" si="23"/>
        <v>377.01024000000001</v>
      </c>
      <c r="M100" s="12">
        <f t="shared" si="23"/>
        <v>408.42149830559998</v>
      </c>
      <c r="N100" s="12">
        <f t="shared" si="23"/>
        <v>484.99925574258862</v>
      </c>
      <c r="O100" s="12">
        <f t="shared" si="23"/>
        <v>550.68183857895849</v>
      </c>
      <c r="P100" s="12">
        <f t="shared" si="23"/>
        <v>636.74055613976691</v>
      </c>
      <c r="Q100" s="12">
        <f t="shared" si="23"/>
        <v>722.99189020253652</v>
      </c>
      <c r="R100" s="12">
        <f t="shared" si="23"/>
        <v>858.59502507480511</v>
      </c>
      <c r="S100" s="12">
        <f t="shared" si="23"/>
        <v>1019.6450712763228</v>
      </c>
      <c r="T100" s="12">
        <f t="shared" si="23"/>
        <v>1232.1641624308963</v>
      </c>
      <c r="U100" s="12">
        <f t="shared" si="23"/>
        <v>1309.2907474900089</v>
      </c>
      <c r="V100" s="12">
        <f t="shared" si="23"/>
        <v>1445.8230766416684</v>
      </c>
    </row>
    <row r="101" spans="2:22" hidden="1" outlineLevel="2" x14ac:dyDescent="0.15">
      <c r="D101" s="12" t="s">
        <v>2302</v>
      </c>
      <c r="G101" s="12" t="s">
        <v>2254</v>
      </c>
      <c r="L101" s="12">
        <f t="shared" si="23"/>
        <v>417.81324000000001</v>
      </c>
      <c r="M101" s="12">
        <f t="shared" si="23"/>
        <v>452.91918467640005</v>
      </c>
      <c r="N101" s="12">
        <f t="shared" si="23"/>
        <v>505.14603806039116</v>
      </c>
      <c r="O101" s="12">
        <f t="shared" si="23"/>
        <v>573.93568051563409</v>
      </c>
      <c r="P101" s="12">
        <f t="shared" si="23"/>
        <v>717.91265365847767</v>
      </c>
      <c r="Q101" s="12">
        <f t="shared" si="23"/>
        <v>808.22057892794919</v>
      </c>
      <c r="R101" s="12">
        <f t="shared" si="23"/>
        <v>952.02934245488325</v>
      </c>
      <c r="S101" s="12">
        <f t="shared" si="23"/>
        <v>1190.9157910160689</v>
      </c>
      <c r="T101" s="12">
        <f t="shared" si="23"/>
        <v>1340.7932436511228</v>
      </c>
      <c r="U101" s="12">
        <f t="shared" si="23"/>
        <v>1579.4461790601888</v>
      </c>
      <c r="V101" s="12">
        <f t="shared" si="23"/>
        <v>1811.2137462621208</v>
      </c>
    </row>
    <row r="102" spans="2:22" hidden="1" outlineLevel="2" x14ac:dyDescent="0.15">
      <c r="D102" s="12" t="s">
        <v>2303</v>
      </c>
      <c r="G102" s="12" t="s">
        <v>2254</v>
      </c>
      <c r="L102" s="12">
        <f t="shared" si="23"/>
        <v>651.49860000000001</v>
      </c>
      <c r="M102" s="12">
        <f t="shared" si="23"/>
        <v>801.81722462669995</v>
      </c>
      <c r="N102" s="12">
        <f t="shared" si="23"/>
        <v>919.9338397307589</v>
      </c>
      <c r="O102" s="12">
        <f t="shared" si="23"/>
        <v>1007.49546839204</v>
      </c>
      <c r="P102" s="12">
        <f t="shared" si="23"/>
        <v>1145.4483888624998</v>
      </c>
      <c r="Q102" s="12">
        <f t="shared" si="23"/>
        <v>1218.6819570094515</v>
      </c>
      <c r="R102" s="12">
        <f t="shared" si="23"/>
        <v>1436.4559240642325</v>
      </c>
      <c r="S102" s="12">
        <f t="shared" si="23"/>
        <v>1543.3408230310627</v>
      </c>
      <c r="T102" s="12">
        <f t="shared" si="23"/>
        <v>1803.1051499932616</v>
      </c>
      <c r="U102" s="12">
        <f t="shared" si="23"/>
        <v>1956.160527210262</v>
      </c>
      <c r="V102" s="12">
        <f t="shared" si="23"/>
        <v>2183.4704338088118</v>
      </c>
    </row>
    <row r="103" spans="2:22" hidden="1" outlineLevel="2" x14ac:dyDescent="0.15">
      <c r="D103" s="12" t="s">
        <v>2304</v>
      </c>
      <c r="G103" s="12" t="s">
        <v>2254</v>
      </c>
      <c r="L103" s="12">
        <f t="shared" ref="L103:V106" si="24">L57*($L79*(1+L$32)+$M79*L$37*(1+L$33)+$N79*L$38*(1+L$34))/1000</f>
        <v>563.49599999999998</v>
      </c>
      <c r="M103" s="12">
        <f t="shared" si="24"/>
        <v>656.84351879999997</v>
      </c>
      <c r="N103" s="12">
        <f t="shared" si="24"/>
        <v>786.16766586009771</v>
      </c>
      <c r="O103" s="12">
        <f t="shared" si="24"/>
        <v>965.50601585904553</v>
      </c>
      <c r="P103" s="12">
        <f t="shared" si="24"/>
        <v>1095.3216765686543</v>
      </c>
      <c r="Q103" s="12">
        <f t="shared" si="24"/>
        <v>1253.9984240574447</v>
      </c>
      <c r="R103" s="12">
        <f t="shared" si="24"/>
        <v>1422.6188391239309</v>
      </c>
      <c r="S103" s="12">
        <f t="shared" si="24"/>
        <v>1584.3089132257705</v>
      </c>
      <c r="T103" s="12">
        <f t="shared" si="24"/>
        <v>1896.3029694130566</v>
      </c>
      <c r="U103" s="12">
        <f t="shared" si="24"/>
        <v>2230.2764394784126</v>
      </c>
      <c r="V103" s="12">
        <f t="shared" si="24"/>
        <v>2599.870868834023</v>
      </c>
    </row>
    <row r="104" spans="2:22" hidden="1" outlineLevel="2" x14ac:dyDescent="0.15">
      <c r="D104" s="12" t="s">
        <v>2305</v>
      </c>
      <c r="G104" s="12" t="s">
        <v>2254</v>
      </c>
      <c r="L104" s="12">
        <f t="shared" si="24"/>
        <v>500.60919999999999</v>
      </c>
      <c r="M104" s="12">
        <f t="shared" si="24"/>
        <v>594.7757886915</v>
      </c>
      <c r="N104" s="12">
        <f t="shared" si="24"/>
        <v>632.28099450949549</v>
      </c>
      <c r="O104" s="12">
        <f t="shared" si="24"/>
        <v>757.82993411387997</v>
      </c>
      <c r="P104" s="12">
        <f t="shared" si="24"/>
        <v>900.42501288694325</v>
      </c>
      <c r="Q104" s="12">
        <f t="shared" si="24"/>
        <v>1032.3295949432736</v>
      </c>
      <c r="R104" s="12">
        <f t="shared" si="24"/>
        <v>1291.1746979139984</v>
      </c>
      <c r="S104" s="12">
        <f t="shared" si="24"/>
        <v>1453.4544601956404</v>
      </c>
      <c r="T104" s="12">
        <f t="shared" si="24"/>
        <v>1772.5042424441169</v>
      </c>
      <c r="U104" s="12">
        <f t="shared" si="24"/>
        <v>2032.2977194012292</v>
      </c>
      <c r="V104" s="12">
        <f t="shared" si="24"/>
        <v>2181.9225317710211</v>
      </c>
    </row>
    <row r="105" spans="2:22" hidden="1" outlineLevel="2" x14ac:dyDescent="0.15">
      <c r="D105" s="12" t="s">
        <v>2306</v>
      </c>
      <c r="G105" s="12" t="s">
        <v>2254</v>
      </c>
      <c r="L105" s="12">
        <f t="shared" si="24"/>
        <v>333.06</v>
      </c>
      <c r="M105" s="12">
        <f t="shared" si="24"/>
        <v>361.4690086384</v>
      </c>
      <c r="N105" s="12">
        <f t="shared" si="24"/>
        <v>411.17059183613128</v>
      </c>
      <c r="O105" s="12">
        <f t="shared" si="24"/>
        <v>463.42508751952943</v>
      </c>
      <c r="P105" s="12">
        <f t="shared" si="24"/>
        <v>561.02286742938327</v>
      </c>
      <c r="Q105" s="12">
        <f t="shared" si="24"/>
        <v>644.05893328436764</v>
      </c>
      <c r="R105" s="12">
        <f t="shared" si="24"/>
        <v>732.67913501023997</v>
      </c>
      <c r="S105" s="12">
        <f t="shared" si="24"/>
        <v>856.45185459561276</v>
      </c>
      <c r="T105" s="12">
        <f t="shared" si="24"/>
        <v>974.33876284389692</v>
      </c>
      <c r="U105" s="12">
        <f t="shared" si="24"/>
        <v>1067.7983879534017</v>
      </c>
      <c r="V105" s="12">
        <f t="shared" si="24"/>
        <v>1181.393536328156</v>
      </c>
    </row>
    <row r="106" spans="2:22" hidden="1" outlineLevel="2" x14ac:dyDescent="0.15">
      <c r="D106" s="12" t="s">
        <v>2307</v>
      </c>
      <c r="G106" s="12" t="s">
        <v>2254</v>
      </c>
      <c r="L106" s="12">
        <f t="shared" si="24"/>
        <v>471.22559999999999</v>
      </c>
      <c r="M106" s="12">
        <f t="shared" si="24"/>
        <v>574.33881983399988</v>
      </c>
      <c r="N106" s="12">
        <f t="shared" si="24"/>
        <v>610.27732576899166</v>
      </c>
      <c r="O106" s="12">
        <f t="shared" si="24"/>
        <v>661.18799709923269</v>
      </c>
      <c r="P106" s="12">
        <f t="shared" si="24"/>
        <v>805.89923633993908</v>
      </c>
      <c r="Q106" s="12">
        <f t="shared" si="24"/>
        <v>889.94282055380904</v>
      </c>
      <c r="R106" s="12">
        <f t="shared" si="24"/>
        <v>1103.2912425913007</v>
      </c>
      <c r="S106" s="12">
        <f t="shared" si="24"/>
        <v>1229.8742382983978</v>
      </c>
      <c r="T106" s="12">
        <f t="shared" si="24"/>
        <v>1396.6244719661249</v>
      </c>
      <c r="U106" s="12">
        <f t="shared" si="24"/>
        <v>1556.9031537153535</v>
      </c>
      <c r="V106" s="12">
        <f t="shared" si="24"/>
        <v>1784.2603465159714</v>
      </c>
    </row>
    <row r="107" spans="2:22" s="22" customFormat="1" hidden="1" outlineLevel="2" x14ac:dyDescent="0.15">
      <c r="C107" s="80" t="s">
        <v>2314</v>
      </c>
      <c r="D107" s="80"/>
      <c r="E107" s="80"/>
      <c r="F107" s="80"/>
      <c r="G107" s="80" t="s">
        <v>2254</v>
      </c>
      <c r="H107" s="80"/>
      <c r="I107" s="80"/>
      <c r="J107" s="80"/>
      <c r="K107" s="80"/>
      <c r="L107" s="80">
        <f>SUM(L87:L106)</f>
        <v>9658.0555199999999</v>
      </c>
      <c r="M107" s="80">
        <f t="shared" ref="M107:V107" si="25">SUM(M87:M106)</f>
        <v>11166.19869240695</v>
      </c>
      <c r="N107" s="80">
        <f t="shared" si="25"/>
        <v>12883.789226037108</v>
      </c>
      <c r="O107" s="80">
        <f t="shared" si="25"/>
        <v>14916.863353580397</v>
      </c>
      <c r="P107" s="80">
        <f t="shared" si="25"/>
        <v>17380.753692179551</v>
      </c>
      <c r="Q107" s="80">
        <f t="shared" si="25"/>
        <v>20187.447081139777</v>
      </c>
      <c r="R107" s="80">
        <f t="shared" si="25"/>
        <v>23182.054863779518</v>
      </c>
      <c r="S107" s="80">
        <f t="shared" si="25"/>
        <v>26273.183007322496</v>
      </c>
      <c r="T107" s="80">
        <f t="shared" si="25"/>
        <v>30902.884795071379</v>
      </c>
      <c r="U107" s="80">
        <f t="shared" si="25"/>
        <v>35404.493348629432</v>
      </c>
      <c r="V107" s="80">
        <f t="shared" si="25"/>
        <v>41453.893070870879</v>
      </c>
    </row>
    <row r="108" spans="2:22" hidden="1" outlineLevel="2" x14ac:dyDescent="0.15"/>
    <row r="109" spans="2:22" outlineLevel="1" collapsed="1" x14ac:dyDescent="0.15">
      <c r="B109" s="115" t="s">
        <v>2315</v>
      </c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</row>
    <row r="110" spans="2:22" hidden="1" outlineLevel="2" x14ac:dyDescent="0.15"/>
    <row r="111" spans="2:22" hidden="1" outlineLevel="2" x14ac:dyDescent="0.15">
      <c r="C111" s="22" t="s">
        <v>2313</v>
      </c>
    </row>
    <row r="112" spans="2:22" hidden="1" outlineLevel="2" x14ac:dyDescent="0.15">
      <c r="D112" s="12" t="s">
        <v>2316</v>
      </c>
      <c r="G112" s="12" t="s">
        <v>2254</v>
      </c>
      <c r="L112" s="12">
        <f t="shared" ref="L112:V112" si="26">SUMPRODUCT(L$41:L$60,$L$63:$L$82)*(1+L$32)/1000</f>
        <v>4708.0519199999999</v>
      </c>
      <c r="M112" s="12">
        <f t="shared" si="26"/>
        <v>5410.5541226880005</v>
      </c>
      <c r="N112" s="12">
        <f t="shared" si="26"/>
        <v>6227.6888149206015</v>
      </c>
      <c r="O112" s="12">
        <f t="shared" si="26"/>
        <v>7199.0835694908328</v>
      </c>
      <c r="P112" s="12">
        <f t="shared" si="26"/>
        <v>8351.9513958847256</v>
      </c>
      <c r="Q112" s="12">
        <f t="shared" si="26"/>
        <v>9685.8045857378038</v>
      </c>
      <c r="R112" s="12">
        <f t="shared" si="26"/>
        <v>11140.109748251691</v>
      </c>
      <c r="S112" s="12">
        <f t="shared" si="26"/>
        <v>12673.690954429741</v>
      </c>
      <c r="T112" s="12">
        <f t="shared" si="26"/>
        <v>14971.789742041565</v>
      </c>
      <c r="U112" s="12">
        <f t="shared" si="26"/>
        <v>17052.215142815548</v>
      </c>
      <c r="V112" s="12">
        <f t="shared" si="26"/>
        <v>19981.823297094921</v>
      </c>
    </row>
    <row r="113" spans="2:22" hidden="1" outlineLevel="2" x14ac:dyDescent="0.15">
      <c r="D113" s="12" t="s">
        <v>2317</v>
      </c>
      <c r="G113" s="12" t="s">
        <v>2254</v>
      </c>
      <c r="L113" s="12">
        <f t="shared" ref="L113:V113" si="27">SUMPRODUCT(L$41:L$60,$M$63:$M$82)*(1+L$33)*L$37/1000</f>
        <v>1915.9217999999998</v>
      </c>
      <c r="M113" s="12">
        <f t="shared" si="27"/>
        <v>2232.2887303437496</v>
      </c>
      <c r="N113" s="12">
        <f t="shared" si="27"/>
        <v>2593.1027289563394</v>
      </c>
      <c r="O113" s="12">
        <f t="shared" si="27"/>
        <v>3023.5314439729336</v>
      </c>
      <c r="P113" s="12">
        <f t="shared" si="27"/>
        <v>3577.1513093603471</v>
      </c>
      <c r="Q113" s="12">
        <f t="shared" si="27"/>
        <v>4183.0429354270327</v>
      </c>
      <c r="R113" s="12">
        <f t="shared" si="27"/>
        <v>4839.251436467056</v>
      </c>
      <c r="S113" s="12">
        <f t="shared" si="27"/>
        <v>5493.9264334867585</v>
      </c>
      <c r="T113" s="12">
        <f t="shared" si="27"/>
        <v>6512.9527033092509</v>
      </c>
      <c r="U113" s="12">
        <f t="shared" si="27"/>
        <v>7497.218486736725</v>
      </c>
      <c r="V113" s="12">
        <f t="shared" si="27"/>
        <v>8790.4528956126996</v>
      </c>
    </row>
    <row r="114" spans="2:22" hidden="1" outlineLevel="2" x14ac:dyDescent="0.15">
      <c r="D114" s="12" t="s">
        <v>2318</v>
      </c>
      <c r="G114" s="12" t="s">
        <v>2254</v>
      </c>
      <c r="L114" s="12">
        <f t="shared" ref="L114:V114" si="28">SUMPRODUCT(L$41:L$60,$N$63:$N$82)*(1+L$34)*L$38/1000</f>
        <v>3034.0818000000004</v>
      </c>
      <c r="M114" s="12">
        <f t="shared" si="28"/>
        <v>3523.3558393751991</v>
      </c>
      <c r="N114" s="12">
        <f t="shared" si="28"/>
        <v>4062.9976821601667</v>
      </c>
      <c r="O114" s="12">
        <f t="shared" si="28"/>
        <v>4694.2483401166282</v>
      </c>
      <c r="P114" s="12">
        <f t="shared" si="28"/>
        <v>5451.6509869344782</v>
      </c>
      <c r="Q114" s="12">
        <f t="shared" si="28"/>
        <v>6318.5995599749403</v>
      </c>
      <c r="R114" s="12">
        <f t="shared" si="28"/>
        <v>7202.6936790607715</v>
      </c>
      <c r="S114" s="12">
        <f t="shared" si="28"/>
        <v>8105.5656194059911</v>
      </c>
      <c r="T114" s="12">
        <f t="shared" si="28"/>
        <v>9418.1423497205578</v>
      </c>
      <c r="U114" s="12">
        <f t="shared" si="28"/>
        <v>10855.059719077153</v>
      </c>
      <c r="V114" s="12">
        <f t="shared" si="28"/>
        <v>12681.616878163259</v>
      </c>
    </row>
    <row r="115" spans="2:22" s="22" customFormat="1" hidden="1" outlineLevel="2" x14ac:dyDescent="0.15">
      <c r="C115" s="80" t="s">
        <v>2314</v>
      </c>
      <c r="D115" s="80"/>
      <c r="E115" s="80"/>
      <c r="F115" s="80"/>
      <c r="G115" s="80" t="s">
        <v>2254</v>
      </c>
      <c r="H115" s="80"/>
      <c r="I115" s="80"/>
      <c r="J115" s="80"/>
      <c r="K115" s="80"/>
      <c r="L115" s="80">
        <f>SUM(L112:L114)</f>
        <v>9658.0555199999999</v>
      </c>
      <c r="M115" s="80">
        <f t="shared" ref="M115:V115" si="29">SUM(M112:M114)</f>
        <v>11166.19869240695</v>
      </c>
      <c r="N115" s="80">
        <f t="shared" si="29"/>
        <v>12883.789226037108</v>
      </c>
      <c r="O115" s="80">
        <f t="shared" si="29"/>
        <v>14916.863353580395</v>
      </c>
      <c r="P115" s="80">
        <f t="shared" si="29"/>
        <v>17380.753692179551</v>
      </c>
      <c r="Q115" s="80">
        <f t="shared" si="29"/>
        <v>20187.447081139777</v>
      </c>
      <c r="R115" s="80">
        <f t="shared" si="29"/>
        <v>23182.054863779518</v>
      </c>
      <c r="S115" s="80">
        <f t="shared" si="29"/>
        <v>26273.183007322492</v>
      </c>
      <c r="T115" s="80">
        <f t="shared" si="29"/>
        <v>30902.884795071372</v>
      </c>
      <c r="U115" s="80">
        <f t="shared" si="29"/>
        <v>35404.493348629425</v>
      </c>
      <c r="V115" s="80">
        <f t="shared" si="29"/>
        <v>41453.893070870879</v>
      </c>
    </row>
    <row r="116" spans="2:22" hidden="1" outlineLevel="2" x14ac:dyDescent="0.15"/>
    <row r="117" spans="2:22" outlineLevel="1" collapsed="1" x14ac:dyDescent="0.15">
      <c r="B117" s="115" t="s">
        <v>2319</v>
      </c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</row>
    <row r="118" spans="2:22" hidden="1" outlineLevel="2" x14ac:dyDescent="0.15"/>
    <row r="119" spans="2:22" hidden="1" outlineLevel="2" x14ac:dyDescent="0.15">
      <c r="C119" s="22" t="s">
        <v>2320</v>
      </c>
    </row>
    <row r="120" spans="2:22" hidden="1" outlineLevel="2" x14ac:dyDescent="0.15">
      <c r="D120" s="12" t="s">
        <v>112</v>
      </c>
      <c r="G120" s="12" t="s">
        <v>2254</v>
      </c>
      <c r="H120" s="214">
        <f>L63</f>
        <v>2541</v>
      </c>
      <c r="L120" s="12">
        <f t="shared" ref="L120:V135" si="30">L41*$H120*(1+L$32)/1000</f>
        <v>256.33608000000004</v>
      </c>
      <c r="M120" s="12">
        <f t="shared" si="30"/>
        <v>311.90974214400001</v>
      </c>
      <c r="N120" s="12">
        <f t="shared" si="30"/>
        <v>389.26335819571204</v>
      </c>
      <c r="O120" s="12">
        <f t="shared" si="30"/>
        <v>461.51063747683622</v>
      </c>
      <c r="P120" s="12">
        <f t="shared" si="30"/>
        <v>527.96816927350085</v>
      </c>
      <c r="Q120" s="12">
        <f t="shared" si="30"/>
        <v>598.50471668844057</v>
      </c>
      <c r="R120" s="12">
        <f t="shared" si="30"/>
        <v>684.68939589157605</v>
      </c>
      <c r="S120" s="12">
        <f t="shared" si="30"/>
        <v>818.88851748632499</v>
      </c>
      <c r="T120" s="12">
        <f t="shared" si="30"/>
        <v>996.42354807736035</v>
      </c>
      <c r="U120" s="12">
        <f t="shared" si="30"/>
        <v>1108.8201243004867</v>
      </c>
      <c r="V120" s="12">
        <f t="shared" si="30"/>
        <v>1245.426763614307</v>
      </c>
    </row>
    <row r="121" spans="2:22" hidden="1" outlineLevel="2" x14ac:dyDescent="0.15">
      <c r="D121" s="12" t="s">
        <v>113</v>
      </c>
      <c r="G121" s="12" t="s">
        <v>2254</v>
      </c>
      <c r="H121" s="214">
        <f t="shared" ref="H121:H139" si="31">L64</f>
        <v>3267</v>
      </c>
      <c r="L121" s="12">
        <f t="shared" si="30"/>
        <v>380.54016000000001</v>
      </c>
      <c r="M121" s="12">
        <f t="shared" si="30"/>
        <v>411.5922370560001</v>
      </c>
      <c r="N121" s="12">
        <f t="shared" si="30"/>
        <v>513.66711184588803</v>
      </c>
      <c r="O121" s="12">
        <f t="shared" si="30"/>
        <v>571.60876206210435</v>
      </c>
      <c r="P121" s="12">
        <f t="shared" si="30"/>
        <v>683.6440794262769</v>
      </c>
      <c r="Q121" s="12">
        <f t="shared" si="30"/>
        <v>774.97892843762736</v>
      </c>
      <c r="R121" s="12">
        <f t="shared" si="30"/>
        <v>878.51611327689454</v>
      </c>
      <c r="S121" s="12">
        <f t="shared" si="30"/>
        <v>977.61273085452854</v>
      </c>
      <c r="T121" s="12">
        <f t="shared" si="30"/>
        <v>1209.8935157055644</v>
      </c>
      <c r="U121" s="12">
        <f t="shared" si="30"/>
        <v>1296.0379340238005</v>
      </c>
      <c r="V121" s="12">
        <f t="shared" si="30"/>
        <v>1563.5401636063129</v>
      </c>
    </row>
    <row r="122" spans="2:22" hidden="1" outlineLevel="2" x14ac:dyDescent="0.15">
      <c r="D122" s="12" t="s">
        <v>114</v>
      </c>
      <c r="G122" s="12" t="s">
        <v>2254</v>
      </c>
      <c r="H122" s="214">
        <f t="shared" si="31"/>
        <v>3267</v>
      </c>
      <c r="L122" s="12">
        <f t="shared" si="30"/>
        <v>417.91464000000002</v>
      </c>
      <c r="M122" s="12">
        <f t="shared" si="30"/>
        <v>452.01647462400007</v>
      </c>
      <c r="N122" s="12">
        <f t="shared" si="30"/>
        <v>484.20004761722879</v>
      </c>
      <c r="O122" s="12">
        <f t="shared" si="30"/>
        <v>574.06757645498658</v>
      </c>
      <c r="P122" s="12">
        <f t="shared" si="30"/>
        <v>686.58482144016398</v>
      </c>
      <c r="Q122" s="12">
        <f t="shared" si="30"/>
        <v>792.59351787052549</v>
      </c>
      <c r="R122" s="12">
        <f t="shared" si="30"/>
        <v>898.48401185802777</v>
      </c>
      <c r="S122" s="12">
        <f t="shared" si="30"/>
        <v>1065.2426444588777</v>
      </c>
      <c r="T122" s="12">
        <f t="shared" si="30"/>
        <v>1318.3442967823073</v>
      </c>
      <c r="U122" s="12">
        <f t="shared" si="30"/>
        <v>1425.9211913997435</v>
      </c>
      <c r="V122" s="12">
        <f t="shared" si="30"/>
        <v>1690.5721645235358</v>
      </c>
    </row>
    <row r="123" spans="2:22" hidden="1" outlineLevel="2" x14ac:dyDescent="0.15">
      <c r="D123" s="12" t="s">
        <v>115</v>
      </c>
      <c r="G123" s="12" t="s">
        <v>2254</v>
      </c>
      <c r="H123" s="214">
        <f t="shared" si="31"/>
        <v>2178</v>
      </c>
      <c r="L123" s="12">
        <f t="shared" si="30"/>
        <v>240.10272000000001</v>
      </c>
      <c r="M123" s="12">
        <f t="shared" si="30"/>
        <v>289.65992140800006</v>
      </c>
      <c r="N123" s="12">
        <f t="shared" si="30"/>
        <v>343.42080282132491</v>
      </c>
      <c r="O123" s="12">
        <f t="shared" si="30"/>
        <v>410.73128017430463</v>
      </c>
      <c r="P123" s="12">
        <f t="shared" si="30"/>
        <v>452.79016326415353</v>
      </c>
      <c r="Q123" s="12">
        <f t="shared" si="30"/>
        <v>555.66408835776906</v>
      </c>
      <c r="R123" s="12">
        <f t="shared" si="30"/>
        <v>624.12190404344642</v>
      </c>
      <c r="S123" s="12">
        <f t="shared" si="30"/>
        <v>662.06851580928787</v>
      </c>
      <c r="T123" s="12">
        <f t="shared" si="30"/>
        <v>736.74984439257571</v>
      </c>
      <c r="U123" s="12">
        <f t="shared" si="30"/>
        <v>888.81501227520312</v>
      </c>
      <c r="V123" s="12">
        <f t="shared" si="30"/>
        <v>1099.9974591917914</v>
      </c>
    </row>
    <row r="124" spans="2:22" hidden="1" outlineLevel="2" x14ac:dyDescent="0.15">
      <c r="D124" s="12" t="s">
        <v>170</v>
      </c>
      <c r="G124" s="12" t="s">
        <v>2254</v>
      </c>
      <c r="H124" s="214">
        <f t="shared" si="31"/>
        <v>2057</v>
      </c>
      <c r="L124" s="12">
        <f t="shared" si="30"/>
        <v>194.67448000000002</v>
      </c>
      <c r="M124" s="12">
        <f t="shared" si="30"/>
        <v>214.60914675200007</v>
      </c>
      <c r="N124" s="12">
        <f t="shared" si="30"/>
        <v>236.58512337940485</v>
      </c>
      <c r="O124" s="12">
        <f t="shared" si="30"/>
        <v>275.57435171233084</v>
      </c>
      <c r="P124" s="12">
        <f t="shared" si="30"/>
        <v>341.05081767918068</v>
      </c>
      <c r="Q124" s="12">
        <f t="shared" si="30"/>
        <v>418.53756345589045</v>
      </c>
      <c r="R124" s="12">
        <f t="shared" si="30"/>
        <v>452.69022863389114</v>
      </c>
      <c r="S124" s="12">
        <f t="shared" si="30"/>
        <v>484.92177291262431</v>
      </c>
      <c r="T124" s="12">
        <f t="shared" si="30"/>
        <v>590.05281328008118</v>
      </c>
      <c r="U124" s="12">
        <f t="shared" si="30"/>
        <v>675.02041839241292</v>
      </c>
      <c r="V124" s="12">
        <f t="shared" si="30"/>
        <v>835.40526980245011</v>
      </c>
    </row>
    <row r="125" spans="2:22" hidden="1" outlineLevel="2" x14ac:dyDescent="0.15">
      <c r="D125" s="12" t="s">
        <v>268</v>
      </c>
      <c r="G125" s="12" t="s">
        <v>2254</v>
      </c>
      <c r="H125" s="214">
        <f t="shared" si="31"/>
        <v>3146</v>
      </c>
      <c r="L125" s="12">
        <f t="shared" si="30"/>
        <v>408.98</v>
      </c>
      <c r="M125" s="12">
        <f t="shared" si="30"/>
        <v>489.14008000000007</v>
      </c>
      <c r="N125" s="12">
        <f t="shared" si="30"/>
        <v>574.83742201599989</v>
      </c>
      <c r="O125" s="12">
        <f t="shared" si="30"/>
        <v>627.72246484147206</v>
      </c>
      <c r="P125" s="12">
        <f t="shared" si="30"/>
        <v>672.416304338185</v>
      </c>
      <c r="Q125" s="12">
        <f t="shared" si="30"/>
        <v>832.18241824893767</v>
      </c>
      <c r="R125" s="12">
        <f t="shared" si="30"/>
        <v>960.67138362657397</v>
      </c>
      <c r="S125" s="12">
        <f t="shared" si="30"/>
        <v>1168.9449395968149</v>
      </c>
      <c r="T125" s="12">
        <f t="shared" si="30"/>
        <v>1325.1159835269495</v>
      </c>
      <c r="U125" s="12">
        <f t="shared" si="30"/>
        <v>1557.2763038408712</v>
      </c>
      <c r="V125" s="12">
        <f t="shared" si="30"/>
        <v>1927.285153633462</v>
      </c>
    </row>
    <row r="126" spans="2:22" hidden="1" outlineLevel="2" x14ac:dyDescent="0.15">
      <c r="D126" s="12" t="s">
        <v>2294</v>
      </c>
      <c r="G126" s="12" t="s">
        <v>2254</v>
      </c>
      <c r="H126" s="214">
        <f t="shared" si="31"/>
        <v>726</v>
      </c>
      <c r="L126" s="12">
        <f t="shared" si="30"/>
        <v>76.259040000000013</v>
      </c>
      <c r="M126" s="12">
        <f t="shared" si="30"/>
        <v>89.619623808</v>
      </c>
      <c r="N126" s="12">
        <f t="shared" si="30"/>
        <v>108.1171141619712</v>
      </c>
      <c r="O126" s="12">
        <f t="shared" si="30"/>
        <v>133.80574048685557</v>
      </c>
      <c r="P126" s="12">
        <f t="shared" si="30"/>
        <v>146.11586861164625</v>
      </c>
      <c r="Q126" s="12">
        <f t="shared" si="30"/>
        <v>154.99971342323434</v>
      </c>
      <c r="R126" s="12">
        <f t="shared" si="30"/>
        <v>169.25968705817195</v>
      </c>
      <c r="S126" s="12">
        <f t="shared" si="30"/>
        <v>186.59187901292879</v>
      </c>
      <c r="T126" s="12">
        <f t="shared" si="30"/>
        <v>228.98555392466619</v>
      </c>
      <c r="U126" s="12">
        <f t="shared" si="30"/>
        <v>273.86672249390074</v>
      </c>
      <c r="V126" s="12">
        <f t="shared" si="30"/>
        <v>299.06246096333967</v>
      </c>
    </row>
    <row r="127" spans="2:22" hidden="1" outlineLevel="2" x14ac:dyDescent="0.15">
      <c r="D127" s="12" t="s">
        <v>2295</v>
      </c>
      <c r="G127" s="12" t="s">
        <v>2254</v>
      </c>
      <c r="H127" s="214">
        <f t="shared" si="31"/>
        <v>2541</v>
      </c>
      <c r="L127" s="12">
        <f t="shared" si="30"/>
        <v>269.54928000000001</v>
      </c>
      <c r="M127" s="12">
        <f t="shared" si="30"/>
        <v>308.36437632000002</v>
      </c>
      <c r="N127" s="12">
        <f t="shared" si="30"/>
        <v>352.76884651008004</v>
      </c>
      <c r="O127" s="12">
        <f t="shared" si="30"/>
        <v>407.2363564112365</v>
      </c>
      <c r="P127" s="12">
        <f t="shared" si="30"/>
        <v>474.34890794780836</v>
      </c>
      <c r="Q127" s="12">
        <f t="shared" si="30"/>
        <v>537.72192204963551</v>
      </c>
      <c r="R127" s="12">
        <f t="shared" si="30"/>
        <v>570.4154149102535</v>
      </c>
      <c r="S127" s="12">
        <f t="shared" si="30"/>
        <v>682.21683623266313</v>
      </c>
      <c r="T127" s="12">
        <f t="shared" si="30"/>
        <v>837.21650142472413</v>
      </c>
      <c r="U127" s="12">
        <f t="shared" si="30"/>
        <v>1036.1391421632384</v>
      </c>
      <c r="V127" s="12">
        <f t="shared" si="30"/>
        <v>1260.7741081842287</v>
      </c>
    </row>
    <row r="128" spans="2:22" hidden="1" outlineLevel="2" x14ac:dyDescent="0.15">
      <c r="D128" s="12" t="s">
        <v>2296</v>
      </c>
      <c r="G128" s="12" t="s">
        <v>2254</v>
      </c>
      <c r="H128" s="214">
        <f t="shared" si="31"/>
        <v>1452</v>
      </c>
      <c r="L128" s="12">
        <f t="shared" si="30"/>
        <v>194.80032</v>
      </c>
      <c r="M128" s="12">
        <f t="shared" si="30"/>
        <v>228.92933606400001</v>
      </c>
      <c r="N128" s="12">
        <f t="shared" si="30"/>
        <v>271.41862083747839</v>
      </c>
      <c r="O128" s="12">
        <f t="shared" si="30"/>
        <v>293.56638029781664</v>
      </c>
      <c r="P128" s="12">
        <f t="shared" si="30"/>
        <v>363.31775225657788</v>
      </c>
      <c r="Q128" s="12">
        <f t="shared" si="30"/>
        <v>430.74952707539876</v>
      </c>
      <c r="R128" s="12">
        <f t="shared" si="30"/>
        <v>506.21684421900869</v>
      </c>
      <c r="S128" s="12">
        <f t="shared" si="30"/>
        <v>536.9948283475245</v>
      </c>
      <c r="T128" s="12">
        <f t="shared" si="30"/>
        <v>608.73733741475382</v>
      </c>
      <c r="U128" s="12">
        <f t="shared" si="30"/>
        <v>677.40290907513815</v>
      </c>
      <c r="V128" s="12">
        <f t="shared" si="30"/>
        <v>760.85894747319526</v>
      </c>
    </row>
    <row r="129" spans="3:22" hidden="1" outlineLevel="2" x14ac:dyDescent="0.15">
      <c r="D129" s="12" t="s">
        <v>2297</v>
      </c>
      <c r="G129" s="12" t="s">
        <v>2254</v>
      </c>
      <c r="H129" s="214">
        <f t="shared" si="31"/>
        <v>1210</v>
      </c>
      <c r="L129" s="12">
        <f t="shared" si="30"/>
        <v>144.71600000000001</v>
      </c>
      <c r="M129" s="12">
        <f t="shared" si="30"/>
        <v>174.58538239999999</v>
      </c>
      <c r="N129" s="12">
        <f t="shared" si="30"/>
        <v>205.17274139647995</v>
      </c>
      <c r="O129" s="12">
        <f t="shared" si="30"/>
        <v>243.25280219966669</v>
      </c>
      <c r="P129" s="12">
        <f t="shared" si="30"/>
        <v>301.0496680023075</v>
      </c>
      <c r="Q129" s="12">
        <f t="shared" si="30"/>
        <v>360.05540293075973</v>
      </c>
      <c r="R129" s="12">
        <f t="shared" si="30"/>
        <v>389.43592380990981</v>
      </c>
      <c r="S129" s="12">
        <f t="shared" si="30"/>
        <v>425.26402880042156</v>
      </c>
      <c r="T129" s="12">
        <f t="shared" si="30"/>
        <v>455.54282765101158</v>
      </c>
      <c r="U129" s="12">
        <f t="shared" si="30"/>
        <v>544.82922187060979</v>
      </c>
      <c r="V129" s="12">
        <f t="shared" si="30"/>
        <v>640.28330154234061</v>
      </c>
    </row>
    <row r="130" spans="3:22" hidden="1" outlineLevel="2" x14ac:dyDescent="0.15">
      <c r="D130" s="12" t="s">
        <v>2298</v>
      </c>
      <c r="G130" s="12" t="s">
        <v>2254</v>
      </c>
      <c r="H130" s="214">
        <f t="shared" si="31"/>
        <v>1694</v>
      </c>
      <c r="L130" s="12">
        <f t="shared" si="30"/>
        <v>133.89376000000001</v>
      </c>
      <c r="M130" s="12">
        <f t="shared" si="30"/>
        <v>151.78196633600001</v>
      </c>
      <c r="N130" s="12">
        <f t="shared" si="30"/>
        <v>173.63856948838404</v>
      </c>
      <c r="O130" s="12">
        <f t="shared" si="30"/>
        <v>214.89509359882408</v>
      </c>
      <c r="P130" s="12">
        <f t="shared" si="30"/>
        <v>230.19562426306041</v>
      </c>
      <c r="Q130" s="12">
        <f t="shared" si="30"/>
        <v>287.28413908029938</v>
      </c>
      <c r="R130" s="12">
        <f t="shared" si="30"/>
        <v>310.72652482925179</v>
      </c>
      <c r="S130" s="12">
        <f t="shared" si="30"/>
        <v>329.61869753887032</v>
      </c>
      <c r="T130" s="12">
        <f t="shared" si="30"/>
        <v>394.2239622564889</v>
      </c>
      <c r="U130" s="12">
        <f t="shared" si="30"/>
        <v>467.39192965129331</v>
      </c>
      <c r="V130" s="12">
        <f t="shared" si="30"/>
        <v>544.41811965782654</v>
      </c>
    </row>
    <row r="131" spans="3:22" hidden="1" outlineLevel="2" x14ac:dyDescent="0.15">
      <c r="D131" s="12" t="s">
        <v>2299</v>
      </c>
      <c r="G131" s="12" t="s">
        <v>2254</v>
      </c>
      <c r="H131" s="214">
        <f t="shared" si="31"/>
        <v>847</v>
      </c>
      <c r="L131" s="12">
        <f t="shared" si="30"/>
        <v>98.658559999999994</v>
      </c>
      <c r="M131" s="12">
        <f t="shared" si="30"/>
        <v>104.65700044800002</v>
      </c>
      <c r="N131" s="12">
        <f t="shared" si="30"/>
        <v>119.72760851251202</v>
      </c>
      <c r="O131" s="12">
        <f t="shared" si="30"/>
        <v>136.96838413831378</v>
      </c>
      <c r="P131" s="12">
        <f t="shared" si="30"/>
        <v>149.56947547903866</v>
      </c>
      <c r="Q131" s="12">
        <f t="shared" si="30"/>
        <v>161.77434467812822</v>
      </c>
      <c r="R131" s="12">
        <f t="shared" si="30"/>
        <v>173.292678019211</v>
      </c>
      <c r="S131" s="12">
        <f t="shared" si="30"/>
        <v>187.43336054557861</v>
      </c>
      <c r="T131" s="12">
        <f t="shared" si="30"/>
        <v>233.91683396088212</v>
      </c>
      <c r="U131" s="12">
        <f t="shared" si="30"/>
        <v>279.76453341721498</v>
      </c>
      <c r="V131" s="12">
        <f t="shared" si="30"/>
        <v>331.68883081945006</v>
      </c>
    </row>
    <row r="132" spans="3:22" hidden="1" outlineLevel="2" x14ac:dyDescent="0.15">
      <c r="D132" s="12" t="s">
        <v>2300</v>
      </c>
      <c r="G132" s="12" t="s">
        <v>2254</v>
      </c>
      <c r="H132" s="214">
        <f t="shared" si="31"/>
        <v>2662</v>
      </c>
      <c r="L132" s="12">
        <f t="shared" si="30"/>
        <v>290.69040000000001</v>
      </c>
      <c r="M132" s="12">
        <f t="shared" si="30"/>
        <v>326.50345728000002</v>
      </c>
      <c r="N132" s="12">
        <f t="shared" si="30"/>
        <v>359.93741130547204</v>
      </c>
      <c r="O132" s="12">
        <f t="shared" si="30"/>
        <v>441.7151911540754</v>
      </c>
      <c r="P132" s="12">
        <f t="shared" si="30"/>
        <v>500.72834069225991</v>
      </c>
      <c r="Q132" s="12">
        <f t="shared" si="30"/>
        <v>619.70139444074096</v>
      </c>
      <c r="R132" s="12">
        <f t="shared" si="30"/>
        <v>766.94244575986102</v>
      </c>
      <c r="S132" s="12">
        <f t="shared" si="30"/>
        <v>877.38215794928101</v>
      </c>
      <c r="T132" s="12">
        <f t="shared" si="30"/>
        <v>1012.8499631366501</v>
      </c>
      <c r="U132" s="12">
        <f t="shared" si="30"/>
        <v>1158.7003578283279</v>
      </c>
      <c r="V132" s="12">
        <f t="shared" si="30"/>
        <v>1434.0075628483389</v>
      </c>
    </row>
    <row r="133" spans="3:22" hidden="1" outlineLevel="2" x14ac:dyDescent="0.15">
      <c r="D133" s="12" t="s">
        <v>2301</v>
      </c>
      <c r="G133" s="12" t="s">
        <v>2254</v>
      </c>
      <c r="H133" s="214">
        <f t="shared" si="31"/>
        <v>1694</v>
      </c>
      <c r="L133" s="12">
        <f t="shared" si="30"/>
        <v>227.26704000000001</v>
      </c>
      <c r="M133" s="12">
        <f t="shared" si="30"/>
        <v>245.81203046400003</v>
      </c>
      <c r="N133" s="12">
        <f t="shared" si="30"/>
        <v>291.43474331811842</v>
      </c>
      <c r="O133" s="12">
        <f t="shared" si="30"/>
        <v>330.37042502541914</v>
      </c>
      <c r="P133" s="12">
        <f t="shared" si="30"/>
        <v>381.37961864934391</v>
      </c>
      <c r="Q133" s="12">
        <f t="shared" si="30"/>
        <v>432.33193570089634</v>
      </c>
      <c r="R133" s="12">
        <f t="shared" si="30"/>
        <v>512.57274296698279</v>
      </c>
      <c r="S133" s="12">
        <f t="shared" si="30"/>
        <v>607.70624406165484</v>
      </c>
      <c r="T133" s="12">
        <f t="shared" si="30"/>
        <v>733.13681283598044</v>
      </c>
      <c r="U133" s="12">
        <f t="shared" si="30"/>
        <v>777.71153105640792</v>
      </c>
      <c r="V133" s="12">
        <f t="shared" si="30"/>
        <v>857.34919183658428</v>
      </c>
    </row>
    <row r="134" spans="3:22" hidden="1" outlineLevel="2" x14ac:dyDescent="0.15">
      <c r="D134" s="12" t="s">
        <v>2302</v>
      </c>
      <c r="G134" s="12" t="s">
        <v>2254</v>
      </c>
      <c r="H134" s="214">
        <f t="shared" si="31"/>
        <v>2662</v>
      </c>
      <c r="L134" s="12">
        <f t="shared" si="30"/>
        <v>215.94144</v>
      </c>
      <c r="M134" s="12">
        <f t="shared" si="30"/>
        <v>233.56226150400002</v>
      </c>
      <c r="N134" s="12">
        <f t="shared" si="30"/>
        <v>259.90808460165124</v>
      </c>
      <c r="O134" s="12">
        <f t="shared" si="30"/>
        <v>294.63180470443189</v>
      </c>
      <c r="P134" s="12">
        <f t="shared" si="30"/>
        <v>367.70049227113105</v>
      </c>
      <c r="Q134" s="12">
        <f t="shared" si="30"/>
        <v>413.00119291893446</v>
      </c>
      <c r="R134" s="12">
        <f t="shared" si="30"/>
        <v>485.35900191833173</v>
      </c>
      <c r="S134" s="12">
        <f t="shared" si="30"/>
        <v>605.72803439407801</v>
      </c>
      <c r="T134" s="12">
        <f t="shared" si="30"/>
        <v>680.35372823142848</v>
      </c>
      <c r="U134" s="12">
        <f t="shared" si="30"/>
        <v>799.55170141757469</v>
      </c>
      <c r="V134" s="12">
        <f t="shared" si="30"/>
        <v>914.68714642170551</v>
      </c>
    </row>
    <row r="135" spans="3:22" hidden="1" outlineLevel="2" x14ac:dyDescent="0.15">
      <c r="D135" s="12" t="s">
        <v>2303</v>
      </c>
      <c r="G135" s="12" t="s">
        <v>2254</v>
      </c>
      <c r="H135" s="214">
        <f t="shared" si="31"/>
        <v>2420</v>
      </c>
      <c r="L135" s="12">
        <f t="shared" si="30"/>
        <v>286.91520000000003</v>
      </c>
      <c r="M135" s="12">
        <f t="shared" si="30"/>
        <v>352.10233344</v>
      </c>
      <c r="N135" s="12">
        <f t="shared" si="30"/>
        <v>402.80506945535996</v>
      </c>
      <c r="O135" s="12">
        <f t="shared" si="30"/>
        <v>439.86313584525323</v>
      </c>
      <c r="P135" s="12">
        <f t="shared" si="30"/>
        <v>498.62885079417913</v>
      </c>
      <c r="Q135" s="12">
        <f t="shared" si="30"/>
        <v>528.94548492246531</v>
      </c>
      <c r="R135" s="12">
        <f t="shared" si="30"/>
        <v>621.61673388088116</v>
      </c>
      <c r="S135" s="12">
        <f t="shared" si="30"/>
        <v>665.8758453332</v>
      </c>
      <c r="T135" s="12">
        <f t="shared" si="30"/>
        <v>775.61218464411127</v>
      </c>
      <c r="U135" s="12">
        <f t="shared" si="30"/>
        <v>838.90213891107089</v>
      </c>
      <c r="V135" s="12">
        <f t="shared" si="30"/>
        <v>933.53030018023958</v>
      </c>
    </row>
    <row r="136" spans="3:22" hidden="1" outlineLevel="2" x14ac:dyDescent="0.15">
      <c r="D136" s="12" t="s">
        <v>2304</v>
      </c>
      <c r="G136" s="12" t="s">
        <v>2254</v>
      </c>
      <c r="H136" s="214">
        <f t="shared" si="31"/>
        <v>2904</v>
      </c>
      <c r="L136" s="12">
        <f t="shared" ref="L136:V139" si="32">L57*$H136*(1+L$32)/1000</f>
        <v>302.01600000000002</v>
      </c>
      <c r="M136" s="12">
        <f t="shared" si="32"/>
        <v>351.78823680000011</v>
      </c>
      <c r="N136" s="12">
        <f t="shared" si="32"/>
        <v>420.73873121280002</v>
      </c>
      <c r="O136" s="12">
        <f t="shared" si="32"/>
        <v>516.33057094434832</v>
      </c>
      <c r="P136" s="12">
        <f t="shared" si="32"/>
        <v>585.3123352225133</v>
      </c>
      <c r="Q136" s="12">
        <f t="shared" si="32"/>
        <v>669.59731149455524</v>
      </c>
      <c r="R136" s="12">
        <f t="shared" si="32"/>
        <v>759.05551231022798</v>
      </c>
      <c r="S136" s="12">
        <f t="shared" si="32"/>
        <v>844.6769740988218</v>
      </c>
      <c r="T136" s="12">
        <f t="shared" si="32"/>
        <v>1010.2336610221909</v>
      </c>
      <c r="U136" s="12">
        <f t="shared" si="32"/>
        <v>1187.2265984332785</v>
      </c>
      <c r="V136" s="12">
        <f t="shared" si="32"/>
        <v>1382.881541855083</v>
      </c>
    </row>
    <row r="137" spans="3:22" hidden="1" outlineLevel="2" x14ac:dyDescent="0.15">
      <c r="D137" s="12" t="s">
        <v>2305</v>
      </c>
      <c r="G137" s="12" t="s">
        <v>2254</v>
      </c>
      <c r="H137" s="214">
        <f t="shared" si="31"/>
        <v>3388</v>
      </c>
      <c r="L137" s="12">
        <f t="shared" si="32"/>
        <v>299.49920000000003</v>
      </c>
      <c r="M137" s="12">
        <f t="shared" si="32"/>
        <v>355.08625152000008</v>
      </c>
      <c r="N137" s="12">
        <f t="shared" si="32"/>
        <v>376.67549561241606</v>
      </c>
      <c r="O137" s="12">
        <f t="shared" si="32"/>
        <v>450.50389275244964</v>
      </c>
      <c r="P137" s="12">
        <f t="shared" si="32"/>
        <v>534.11741524730451</v>
      </c>
      <c r="Q137" s="12">
        <f t="shared" si="32"/>
        <v>611.03032304291639</v>
      </c>
      <c r="R137" s="12">
        <f t="shared" si="32"/>
        <v>762.56584315755947</v>
      </c>
      <c r="S137" s="12">
        <f t="shared" si="32"/>
        <v>856.51395503457104</v>
      </c>
      <c r="T137" s="12">
        <f t="shared" si="32"/>
        <v>1042.2061804860659</v>
      </c>
      <c r="U137" s="12">
        <f t="shared" si="32"/>
        <v>1192.2838704760595</v>
      </c>
      <c r="V137" s="12">
        <f t="shared" si="32"/>
        <v>1277.174482053955</v>
      </c>
    </row>
    <row r="138" spans="3:22" hidden="1" outlineLevel="2" x14ac:dyDescent="0.15">
      <c r="D138" s="12" t="s">
        <v>2306</v>
      </c>
      <c r="G138" s="12" t="s">
        <v>2254</v>
      </c>
      <c r="H138" s="214">
        <f t="shared" si="31"/>
        <v>605</v>
      </c>
      <c r="L138" s="12">
        <f t="shared" si="32"/>
        <v>65.436800000000005</v>
      </c>
      <c r="M138" s="12">
        <f t="shared" si="32"/>
        <v>70.776442880000005</v>
      </c>
      <c r="N138" s="12">
        <f t="shared" si="32"/>
        <v>80.232175648768006</v>
      </c>
      <c r="O138" s="12">
        <f t="shared" si="32"/>
        <v>90.116779688696226</v>
      </c>
      <c r="P138" s="12">
        <f t="shared" si="32"/>
        <v>108.71688301644315</v>
      </c>
      <c r="Q138" s="12">
        <f t="shared" si="32"/>
        <v>124.37211417081096</v>
      </c>
      <c r="R138" s="12">
        <f t="shared" si="32"/>
        <v>140.98822862403134</v>
      </c>
      <c r="S138" s="12">
        <f t="shared" si="32"/>
        <v>164.22308870127171</v>
      </c>
      <c r="T138" s="12">
        <f t="shared" si="32"/>
        <v>186.16329335176164</v>
      </c>
      <c r="U138" s="12">
        <f t="shared" si="32"/>
        <v>203.29031634012375</v>
      </c>
      <c r="V138" s="12">
        <f t="shared" si="32"/>
        <v>224.10724473335245</v>
      </c>
    </row>
    <row r="139" spans="3:22" hidden="1" outlineLevel="2" x14ac:dyDescent="0.15">
      <c r="D139" s="12" t="s">
        <v>2307</v>
      </c>
      <c r="G139" s="12" t="s">
        <v>2254</v>
      </c>
      <c r="H139" s="214">
        <f t="shared" si="31"/>
        <v>1815</v>
      </c>
      <c r="L139" s="12">
        <f t="shared" si="32"/>
        <v>203.86080000000001</v>
      </c>
      <c r="M139" s="12">
        <f t="shared" si="32"/>
        <v>248.05782144</v>
      </c>
      <c r="N139" s="12">
        <f t="shared" si="32"/>
        <v>263.13973698355198</v>
      </c>
      <c r="O139" s="12">
        <f t="shared" si="32"/>
        <v>284.61193952140985</v>
      </c>
      <c r="P139" s="12">
        <f t="shared" si="32"/>
        <v>346.31580800965145</v>
      </c>
      <c r="Q139" s="12">
        <f t="shared" si="32"/>
        <v>381.77854674983979</v>
      </c>
      <c r="R139" s="12">
        <f t="shared" si="32"/>
        <v>472.48912945760173</v>
      </c>
      <c r="S139" s="12">
        <f t="shared" si="32"/>
        <v>525.78590326041922</v>
      </c>
      <c r="T139" s="12">
        <f t="shared" si="32"/>
        <v>596.03089993601145</v>
      </c>
      <c r="U139" s="12">
        <f t="shared" si="32"/>
        <v>663.26318544879348</v>
      </c>
      <c r="V139" s="12">
        <f t="shared" si="32"/>
        <v>758.77308415341975</v>
      </c>
    </row>
    <row r="140" spans="3:22" hidden="1" outlineLevel="2" x14ac:dyDescent="0.15">
      <c r="C140" s="93" t="s">
        <v>2314</v>
      </c>
      <c r="D140" s="93"/>
      <c r="E140" s="93"/>
      <c r="F140" s="93"/>
      <c r="G140" s="93" t="s">
        <v>2254</v>
      </c>
      <c r="H140" s="93"/>
      <c r="I140" s="93"/>
      <c r="J140" s="93"/>
      <c r="K140" s="93"/>
      <c r="L140" s="93">
        <f>SUM(L120:L139)</f>
        <v>4708.0519200000008</v>
      </c>
      <c r="M140" s="93">
        <f t="shared" ref="M140:V140" si="33">SUM(M120:M139)</f>
        <v>5410.5541226880014</v>
      </c>
      <c r="N140" s="93">
        <f t="shared" si="33"/>
        <v>6227.6888149206034</v>
      </c>
      <c r="O140" s="93">
        <f t="shared" si="33"/>
        <v>7199.0835694908319</v>
      </c>
      <c r="P140" s="93">
        <f t="shared" si="33"/>
        <v>8351.9513958847238</v>
      </c>
      <c r="Q140" s="93">
        <f t="shared" si="33"/>
        <v>9685.8045857378038</v>
      </c>
      <c r="R140" s="93">
        <f t="shared" si="33"/>
        <v>11140.109748251691</v>
      </c>
      <c r="S140" s="93">
        <f t="shared" si="33"/>
        <v>12673.690954429743</v>
      </c>
      <c r="T140" s="93">
        <f t="shared" si="33"/>
        <v>14971.789742041563</v>
      </c>
      <c r="U140" s="93">
        <f t="shared" si="33"/>
        <v>17052.215142815548</v>
      </c>
      <c r="V140" s="93">
        <f t="shared" si="33"/>
        <v>19981.823297094921</v>
      </c>
    </row>
    <row r="141" spans="3:22" hidden="1" outlineLevel="2" x14ac:dyDescent="0.15"/>
    <row r="142" spans="3:22" hidden="1" outlineLevel="2" x14ac:dyDescent="0.15">
      <c r="C142" s="22" t="s">
        <v>2321</v>
      </c>
    </row>
    <row r="143" spans="3:22" hidden="1" outlineLevel="2" x14ac:dyDescent="0.15">
      <c r="D143" s="12" t="s">
        <v>112</v>
      </c>
      <c r="G143" s="12" t="s">
        <v>2254</v>
      </c>
      <c r="H143" s="214">
        <f>M63</f>
        <v>108</v>
      </c>
      <c r="L143" s="12">
        <f t="shared" ref="L143:V158" si="34">L41*$H143*(1+L$33)*L$37/1000</f>
        <v>139.59269999999998</v>
      </c>
      <c r="M143" s="12">
        <f t="shared" si="34"/>
        <v>171.59170911187499</v>
      </c>
      <c r="N143" s="12">
        <f t="shared" si="34"/>
        <v>216.33424726279634</v>
      </c>
      <c r="O143" s="12">
        <f t="shared" si="34"/>
        <v>259.10623212474189</v>
      </c>
      <c r="P143" s="12">
        <f t="shared" si="34"/>
        <v>299.44583363866269</v>
      </c>
      <c r="Q143" s="12">
        <f t="shared" si="34"/>
        <v>342.91975407361571</v>
      </c>
      <c r="R143" s="12">
        <f t="shared" si="34"/>
        <v>396.30807328595182</v>
      </c>
      <c r="S143" s="12">
        <f t="shared" si="34"/>
        <v>478.82684492046093</v>
      </c>
      <c r="T143" s="12">
        <f t="shared" si="34"/>
        <v>588.58892111513421</v>
      </c>
      <c r="U143" s="12">
        <f t="shared" si="34"/>
        <v>661.67327171384898</v>
      </c>
      <c r="V143" s="12">
        <f t="shared" si="34"/>
        <v>750.78411958191145</v>
      </c>
    </row>
    <row r="144" spans="3:22" hidden="1" outlineLevel="2" x14ac:dyDescent="0.15">
      <c r="D144" s="12" t="s">
        <v>113</v>
      </c>
      <c r="G144" s="12" t="s">
        <v>2254</v>
      </c>
      <c r="H144" s="214">
        <f t="shared" ref="H144:H162" si="35">M64</f>
        <v>44</v>
      </c>
      <c r="L144" s="12">
        <f t="shared" si="34"/>
        <v>65.665599999999998</v>
      </c>
      <c r="M144" s="12">
        <f t="shared" si="34"/>
        <v>71.749517839999982</v>
      </c>
      <c r="N144" s="12">
        <f t="shared" si="34"/>
        <v>90.458204616779966</v>
      </c>
      <c r="O144" s="12">
        <f t="shared" si="34"/>
        <v>101.69028681128978</v>
      </c>
      <c r="P144" s="12">
        <f t="shared" si="34"/>
        <v>122.86411121827796</v>
      </c>
      <c r="Q144" s="12">
        <f t="shared" si="34"/>
        <v>140.70167646508656</v>
      </c>
      <c r="R144" s="12">
        <f t="shared" si="34"/>
        <v>161.1289217313834</v>
      </c>
      <c r="S144" s="12">
        <f t="shared" si="34"/>
        <v>181.13609853161708</v>
      </c>
      <c r="T144" s="12">
        <f t="shared" si="34"/>
        <v>226.46427508853839</v>
      </c>
      <c r="U144" s="12">
        <f t="shared" si="34"/>
        <v>245.06689988534251</v>
      </c>
      <c r="V144" s="12">
        <f t="shared" si="34"/>
        <v>298.66915756276398</v>
      </c>
    </row>
    <row r="145" spans="4:22" hidden="1" outlineLevel="2" x14ac:dyDescent="0.15">
      <c r="D145" s="12" t="s">
        <v>114</v>
      </c>
      <c r="G145" s="12" t="s">
        <v>2254</v>
      </c>
      <c r="H145" s="214">
        <f t="shared" si="35"/>
        <v>52</v>
      </c>
      <c r="L145" s="12">
        <f t="shared" si="34"/>
        <v>85.226699999999994</v>
      </c>
      <c r="M145" s="12">
        <f t="shared" si="34"/>
        <v>93.122953754999997</v>
      </c>
      <c r="N145" s="12">
        <f t="shared" si="34"/>
        <v>100.77242238751225</v>
      </c>
      <c r="O145" s="12">
        <f t="shared" si="34"/>
        <v>120.69638994880327</v>
      </c>
      <c r="P145" s="12">
        <f t="shared" si="34"/>
        <v>145.82764139345559</v>
      </c>
      <c r="Q145" s="12">
        <f t="shared" si="34"/>
        <v>170.06328397028921</v>
      </c>
      <c r="R145" s="12">
        <f t="shared" si="34"/>
        <v>194.75328411620069</v>
      </c>
      <c r="S145" s="12">
        <f t="shared" si="34"/>
        <v>233.25844280202503</v>
      </c>
      <c r="T145" s="12">
        <f t="shared" si="34"/>
        <v>291.62991024796423</v>
      </c>
      <c r="U145" s="12">
        <f t="shared" si="34"/>
        <v>318.64942143243803</v>
      </c>
      <c r="V145" s="12">
        <f t="shared" si="34"/>
        <v>381.65039516739893</v>
      </c>
    </row>
    <row r="146" spans="4:22" hidden="1" outlineLevel="2" x14ac:dyDescent="0.15">
      <c r="D146" s="12" t="s">
        <v>115</v>
      </c>
      <c r="G146" s="12" t="s">
        <v>2254</v>
      </c>
      <c r="H146" s="214">
        <f t="shared" si="35"/>
        <v>48</v>
      </c>
      <c r="L146" s="12">
        <f t="shared" si="34"/>
        <v>67.797599999999989</v>
      </c>
      <c r="M146" s="12">
        <f t="shared" si="34"/>
        <v>82.626630059999982</v>
      </c>
      <c r="N146" s="12">
        <f t="shared" si="34"/>
        <v>98.96294765573775</v>
      </c>
      <c r="O146" s="12">
        <f t="shared" si="34"/>
        <v>119.56888891293089</v>
      </c>
      <c r="P146" s="12">
        <f t="shared" si="34"/>
        <v>133.15938774899683</v>
      </c>
      <c r="Q146" s="12">
        <f t="shared" si="34"/>
        <v>165.08268646947192</v>
      </c>
      <c r="R146" s="12">
        <f t="shared" si="34"/>
        <v>187.31519726974804</v>
      </c>
      <c r="S146" s="12">
        <f t="shared" si="34"/>
        <v>200.73398971415961</v>
      </c>
      <c r="T146" s="12">
        <f t="shared" si="34"/>
        <v>225.6588782994796</v>
      </c>
      <c r="U146" s="12">
        <f t="shared" si="34"/>
        <v>275.01611645553317</v>
      </c>
      <c r="V146" s="12">
        <f t="shared" si="34"/>
        <v>343.83718074780245</v>
      </c>
    </row>
    <row r="147" spans="4:22" hidden="1" outlineLevel="2" x14ac:dyDescent="0.15">
      <c r="D147" s="12" t="s">
        <v>170</v>
      </c>
      <c r="G147" s="12" t="s">
        <v>2254</v>
      </c>
      <c r="H147" s="214">
        <f t="shared" si="35"/>
        <v>116</v>
      </c>
      <c r="L147" s="12">
        <f t="shared" si="34"/>
        <v>140.65869999999998</v>
      </c>
      <c r="M147" s="12">
        <f t="shared" si="34"/>
        <v>156.64631948874998</v>
      </c>
      <c r="N147" s="12">
        <f t="shared" si="34"/>
        <v>174.45113177764003</v>
      </c>
      <c r="O147" s="12">
        <f t="shared" si="34"/>
        <v>205.27664676274901</v>
      </c>
      <c r="P147" s="12">
        <f t="shared" si="34"/>
        <v>256.64584463608463</v>
      </c>
      <c r="Q147" s="12">
        <f t="shared" si="34"/>
        <v>318.17347781452787</v>
      </c>
      <c r="R147" s="12">
        <f t="shared" si="34"/>
        <v>347.65225053404384</v>
      </c>
      <c r="S147" s="12">
        <f t="shared" si="34"/>
        <v>376.20971008884959</v>
      </c>
      <c r="T147" s="12">
        <f t="shared" si="34"/>
        <v>462.4487321946541</v>
      </c>
      <c r="U147" s="12">
        <f t="shared" si="34"/>
        <v>534.44621918820928</v>
      </c>
      <c r="V147" s="12">
        <f t="shared" si="34"/>
        <v>668.18804525118844</v>
      </c>
    </row>
    <row r="148" spans="4:22" hidden="1" outlineLevel="2" x14ac:dyDescent="0.15">
      <c r="D148" s="12" t="s">
        <v>268</v>
      </c>
      <c r="G148" s="12" t="s">
        <v>2254</v>
      </c>
      <c r="H148" s="214">
        <f t="shared" si="35"/>
        <v>28</v>
      </c>
      <c r="L148" s="12">
        <f t="shared" si="34"/>
        <v>46.637499999999996</v>
      </c>
      <c r="M148" s="12">
        <f t="shared" si="34"/>
        <v>56.348301953124995</v>
      </c>
      <c r="N148" s="12">
        <f t="shared" si="34"/>
        <v>66.897056255637168</v>
      </c>
      <c r="O148" s="12">
        <f t="shared" si="34"/>
        <v>73.797905715007744</v>
      </c>
      <c r="P148" s="12">
        <f t="shared" si="34"/>
        <v>79.859942432584901</v>
      </c>
      <c r="Q148" s="12">
        <f t="shared" si="34"/>
        <v>99.84439390169905</v>
      </c>
      <c r="R148" s="12">
        <f t="shared" si="34"/>
        <v>116.43790814069953</v>
      </c>
      <c r="S148" s="12">
        <f t="shared" si="34"/>
        <v>143.12911537117719</v>
      </c>
      <c r="T148" s="12">
        <f t="shared" si="34"/>
        <v>163.90877925215895</v>
      </c>
      <c r="U148" s="12">
        <f t="shared" si="34"/>
        <v>194.59352715803337</v>
      </c>
      <c r="V148" s="12">
        <f t="shared" si="34"/>
        <v>243.2893411197864</v>
      </c>
    </row>
    <row r="149" spans="4:22" hidden="1" outlineLevel="2" x14ac:dyDescent="0.15">
      <c r="D149" s="12" t="s">
        <v>2294</v>
      </c>
      <c r="G149" s="12" t="s">
        <v>2254</v>
      </c>
      <c r="H149" s="214">
        <f t="shared" si="35"/>
        <v>48</v>
      </c>
      <c r="L149" s="12">
        <f t="shared" si="34"/>
        <v>64.599599999999995</v>
      </c>
      <c r="M149" s="12">
        <f t="shared" si="34"/>
        <v>76.693048867499982</v>
      </c>
      <c r="N149" s="12">
        <f t="shared" si="34"/>
        <v>93.467735981043901</v>
      </c>
      <c r="O149" s="12">
        <f t="shared" si="34"/>
        <v>116.85745273695025</v>
      </c>
      <c r="P149" s="12">
        <f t="shared" si="34"/>
        <v>128.91202934584624</v>
      </c>
      <c r="Q149" s="12">
        <f t="shared" si="34"/>
        <v>138.14696484810926</v>
      </c>
      <c r="R149" s="12">
        <f t="shared" si="34"/>
        <v>152.39768769072197</v>
      </c>
      <c r="S149" s="12">
        <f t="shared" si="34"/>
        <v>169.71958986786871</v>
      </c>
      <c r="T149" s="12">
        <f t="shared" si="34"/>
        <v>210.40774004381677</v>
      </c>
      <c r="U149" s="12">
        <f t="shared" si="34"/>
        <v>254.21857666606516</v>
      </c>
      <c r="V149" s="12">
        <f t="shared" si="34"/>
        <v>280.44281171527393</v>
      </c>
    </row>
    <row r="150" spans="4:22" hidden="1" outlineLevel="2" x14ac:dyDescent="0.15">
      <c r="D150" s="12" t="s">
        <v>2295</v>
      </c>
      <c r="G150" s="12" t="s">
        <v>2254</v>
      </c>
      <c r="H150" s="214">
        <f t="shared" si="35"/>
        <v>80</v>
      </c>
      <c r="L150" s="12">
        <f t="shared" si="34"/>
        <v>108.732</v>
      </c>
      <c r="M150" s="12">
        <f t="shared" si="34"/>
        <v>125.66021324999998</v>
      </c>
      <c r="N150" s="12">
        <f t="shared" si="34"/>
        <v>145.22393770035936</v>
      </c>
      <c r="O150" s="12">
        <f t="shared" si="34"/>
        <v>169.35924849654845</v>
      </c>
      <c r="P150" s="12">
        <f t="shared" si="34"/>
        <v>199.2850277058885</v>
      </c>
      <c r="Q150" s="12">
        <f t="shared" si="34"/>
        <v>228.21747713451401</v>
      </c>
      <c r="R150" s="12">
        <f t="shared" si="34"/>
        <v>244.56640665273773</v>
      </c>
      <c r="S150" s="12">
        <f t="shared" si="34"/>
        <v>295.48971813796231</v>
      </c>
      <c r="T150" s="12">
        <f t="shared" si="34"/>
        <v>366.32968444006201</v>
      </c>
      <c r="U150" s="12">
        <f t="shared" si="34"/>
        <v>458.0013984106597</v>
      </c>
      <c r="V150" s="12">
        <f t="shared" si="34"/>
        <v>562.98963147008305</v>
      </c>
    </row>
    <row r="151" spans="4:22" hidden="1" outlineLevel="2" x14ac:dyDescent="0.15">
      <c r="D151" s="12" t="s">
        <v>2296</v>
      </c>
      <c r="G151" s="12" t="s">
        <v>2254</v>
      </c>
      <c r="H151" s="214">
        <f t="shared" si="35"/>
        <v>112</v>
      </c>
      <c r="L151" s="12">
        <f t="shared" si="34"/>
        <v>192.51959999999997</v>
      </c>
      <c r="M151" s="12">
        <f t="shared" si="34"/>
        <v>228.56047236749995</v>
      </c>
      <c r="N151" s="12">
        <f t="shared" si="34"/>
        <v>273.74973476045926</v>
      </c>
      <c r="O151" s="12">
        <f t="shared" si="34"/>
        <v>299.11264768601575</v>
      </c>
      <c r="P151" s="12">
        <f t="shared" si="34"/>
        <v>373.96371831539301</v>
      </c>
      <c r="Q151" s="12">
        <f t="shared" si="34"/>
        <v>447.90101997282517</v>
      </c>
      <c r="R151" s="12">
        <f t="shared" si="34"/>
        <v>531.75089029311277</v>
      </c>
      <c r="S151" s="12">
        <f t="shared" si="34"/>
        <v>569.8441946964856</v>
      </c>
      <c r="T151" s="12">
        <f t="shared" si="34"/>
        <v>652.5748871877646</v>
      </c>
      <c r="U151" s="12">
        <f t="shared" si="34"/>
        <v>733.60429521126036</v>
      </c>
      <c r="V151" s="12">
        <f t="shared" si="34"/>
        <v>832.40245366883664</v>
      </c>
    </row>
    <row r="152" spans="4:22" hidden="1" outlineLevel="2" x14ac:dyDescent="0.15">
      <c r="D152" s="12" t="s">
        <v>2297</v>
      </c>
      <c r="G152" s="12" t="s">
        <v>2254</v>
      </c>
      <c r="H152" s="214">
        <f t="shared" si="35"/>
        <v>76</v>
      </c>
      <c r="L152" s="12">
        <f t="shared" si="34"/>
        <v>116.4605</v>
      </c>
      <c r="M152" s="12">
        <f t="shared" si="34"/>
        <v>141.93332286249995</v>
      </c>
      <c r="N152" s="12">
        <f t="shared" si="34"/>
        <v>168.5041279856278</v>
      </c>
      <c r="O152" s="12">
        <f t="shared" si="34"/>
        <v>201.81950038998625</v>
      </c>
      <c r="P152" s="12">
        <f t="shared" si="34"/>
        <v>252.32356899070274</v>
      </c>
      <c r="Q152" s="12">
        <f t="shared" si="34"/>
        <v>304.86206712148555</v>
      </c>
      <c r="R152" s="12">
        <f t="shared" si="34"/>
        <v>333.10753764029107</v>
      </c>
      <c r="S152" s="12">
        <f t="shared" si="34"/>
        <v>367.46966206999741</v>
      </c>
      <c r="T152" s="12">
        <f t="shared" si="34"/>
        <v>397.65499812365965</v>
      </c>
      <c r="U152" s="12">
        <f t="shared" si="34"/>
        <v>480.45422476422033</v>
      </c>
      <c r="V152" s="12">
        <f t="shared" si="34"/>
        <v>570.39825847898703</v>
      </c>
    </row>
    <row r="153" spans="4:22" hidden="1" outlineLevel="2" x14ac:dyDescent="0.15">
      <c r="D153" s="12" t="s">
        <v>2298</v>
      </c>
      <c r="G153" s="12" t="s">
        <v>2254</v>
      </c>
      <c r="H153" s="214">
        <f t="shared" si="35"/>
        <v>80</v>
      </c>
      <c r="L153" s="12">
        <f t="shared" si="34"/>
        <v>81.015999999999991</v>
      </c>
      <c r="M153" s="12">
        <f t="shared" si="34"/>
        <v>92.778004149999987</v>
      </c>
      <c r="N153" s="12">
        <f t="shared" si="34"/>
        <v>107.22237967110311</v>
      </c>
      <c r="O153" s="12">
        <f t="shared" si="34"/>
        <v>134.05411004392369</v>
      </c>
      <c r="P153" s="12">
        <f t="shared" si="34"/>
        <v>145.06581734584421</v>
      </c>
      <c r="Q153" s="12">
        <f t="shared" si="34"/>
        <v>182.89172921877304</v>
      </c>
      <c r="R153" s="12">
        <f t="shared" si="34"/>
        <v>199.83664793089233</v>
      </c>
      <c r="S153" s="12">
        <f t="shared" si="34"/>
        <v>214.15244579704162</v>
      </c>
      <c r="T153" s="12">
        <f t="shared" si="34"/>
        <v>258.7430003703443</v>
      </c>
      <c r="U153" s="12">
        <f t="shared" si="34"/>
        <v>309.89972583106595</v>
      </c>
      <c r="V153" s="12">
        <f t="shared" si="34"/>
        <v>364.65900738541529</v>
      </c>
    </row>
    <row r="154" spans="4:22" hidden="1" outlineLevel="2" x14ac:dyDescent="0.15">
      <c r="D154" s="12" t="s">
        <v>2299</v>
      </c>
      <c r="G154" s="12" t="s">
        <v>2254</v>
      </c>
      <c r="H154" s="214">
        <f t="shared" si="35"/>
        <v>36</v>
      </c>
      <c r="L154" s="12">
        <f t="shared" si="34"/>
        <v>53.726399999999991</v>
      </c>
      <c r="M154" s="12">
        <f t="shared" si="34"/>
        <v>57.575224980000009</v>
      </c>
      <c r="N154" s="12">
        <f t="shared" si="34"/>
        <v>66.538967819073733</v>
      </c>
      <c r="O154" s="12">
        <f t="shared" si="34"/>
        <v>76.898253371405772</v>
      </c>
      <c r="P154" s="12">
        <f t="shared" si="34"/>
        <v>84.830788820749845</v>
      </c>
      <c r="Q154" s="12">
        <f t="shared" si="34"/>
        <v>92.690361404992302</v>
      </c>
      <c r="R154" s="12">
        <f t="shared" si="34"/>
        <v>100.30429527965363</v>
      </c>
      <c r="S154" s="12">
        <f t="shared" si="34"/>
        <v>109.59748823731353</v>
      </c>
      <c r="T154" s="12">
        <f t="shared" si="34"/>
        <v>138.17503329519295</v>
      </c>
      <c r="U154" s="12">
        <f t="shared" si="34"/>
        <v>166.94566600912637</v>
      </c>
      <c r="V154" s="12">
        <f t="shared" si="34"/>
        <v>199.95291099995575</v>
      </c>
    </row>
    <row r="155" spans="4:22" hidden="1" outlineLevel="2" x14ac:dyDescent="0.15">
      <c r="D155" s="12" t="s">
        <v>2300</v>
      </c>
      <c r="G155" s="12" t="s">
        <v>2254</v>
      </c>
      <c r="H155" s="214">
        <f t="shared" si="35"/>
        <v>92</v>
      </c>
      <c r="L155" s="12">
        <f t="shared" si="34"/>
        <v>128.71950000000001</v>
      </c>
      <c r="M155" s="12">
        <f t="shared" si="34"/>
        <v>146.05479866250002</v>
      </c>
      <c r="N155" s="12">
        <f t="shared" si="34"/>
        <v>162.65575221547635</v>
      </c>
      <c r="O155" s="12">
        <f t="shared" si="34"/>
        <v>201.65043561223411</v>
      </c>
      <c r="P155" s="12">
        <f t="shared" si="34"/>
        <v>230.92629791746273</v>
      </c>
      <c r="Q155" s="12">
        <f t="shared" si="34"/>
        <v>288.71416068194577</v>
      </c>
      <c r="R155" s="12">
        <f t="shared" si="34"/>
        <v>360.96307492909835</v>
      </c>
      <c r="S155" s="12">
        <f t="shared" si="34"/>
        <v>417.16051365712235</v>
      </c>
      <c r="T155" s="12">
        <f t="shared" si="34"/>
        <v>486.48998377372561</v>
      </c>
      <c r="U155" s="12">
        <f t="shared" si="34"/>
        <v>562.2303931224975</v>
      </c>
      <c r="V155" s="12">
        <f t="shared" si="34"/>
        <v>702.92503506144533</v>
      </c>
    </row>
    <row r="156" spans="4:22" hidden="1" outlineLevel="2" x14ac:dyDescent="0.15">
      <c r="D156" s="12" t="s">
        <v>2301</v>
      </c>
      <c r="G156" s="12" t="s">
        <v>2254</v>
      </c>
      <c r="H156" s="214">
        <f t="shared" si="35"/>
        <v>32</v>
      </c>
      <c r="L156" s="12">
        <f t="shared" si="34"/>
        <v>55.005600000000001</v>
      </c>
      <c r="M156" s="12">
        <f t="shared" si="34"/>
        <v>60.101868839999987</v>
      </c>
      <c r="N156" s="12">
        <f t="shared" si="34"/>
        <v>71.984759583028506</v>
      </c>
      <c r="O156" s="12">
        <f t="shared" si="34"/>
        <v>82.435596960242052</v>
      </c>
      <c r="P156" s="12">
        <f t="shared" si="34"/>
        <v>96.135877952553258</v>
      </c>
      <c r="Q156" s="12">
        <f t="shared" si="34"/>
        <v>110.09300488355237</v>
      </c>
      <c r="R156" s="12">
        <f t="shared" si="34"/>
        <v>131.85976811159173</v>
      </c>
      <c r="S156" s="12">
        <f t="shared" si="34"/>
        <v>157.93009251435475</v>
      </c>
      <c r="T156" s="12">
        <f t="shared" si="34"/>
        <v>192.47335199955697</v>
      </c>
      <c r="U156" s="12">
        <f t="shared" si="34"/>
        <v>206.26166175342513</v>
      </c>
      <c r="V156" s="12">
        <f t="shared" si="34"/>
        <v>229.70587788247383</v>
      </c>
    </row>
    <row r="157" spans="4:22" hidden="1" outlineLevel="2" x14ac:dyDescent="0.15">
      <c r="D157" s="12" t="s">
        <v>2302</v>
      </c>
      <c r="G157" s="12" t="s">
        <v>2254</v>
      </c>
      <c r="H157" s="214">
        <f t="shared" si="35"/>
        <v>84</v>
      </c>
      <c r="L157" s="12">
        <f t="shared" si="34"/>
        <v>87.305399999999992</v>
      </c>
      <c r="M157" s="12">
        <f t="shared" si="34"/>
        <v>95.394245309999988</v>
      </c>
      <c r="N157" s="12">
        <f t="shared" si="34"/>
        <v>107.23922950733606</v>
      </c>
      <c r="O157" s="12">
        <f t="shared" si="34"/>
        <v>122.80835489624796</v>
      </c>
      <c r="P157" s="12">
        <f t="shared" si="34"/>
        <v>154.83063343544458</v>
      </c>
      <c r="Q157" s="12">
        <f t="shared" si="34"/>
        <v>175.6824489933631</v>
      </c>
      <c r="R157" s="12">
        <f t="shared" si="34"/>
        <v>208.57130146022681</v>
      </c>
      <c r="S157" s="12">
        <f t="shared" si="34"/>
        <v>262.95626831598088</v>
      </c>
      <c r="T157" s="12">
        <f t="shared" si="34"/>
        <v>298.36990375143552</v>
      </c>
      <c r="U157" s="12">
        <f t="shared" si="34"/>
        <v>354.2266145456025</v>
      </c>
      <c r="V157" s="12">
        <f t="shared" si="34"/>
        <v>409.37527059767103</v>
      </c>
    </row>
    <row r="158" spans="4:22" hidden="1" outlineLevel="2" x14ac:dyDescent="0.15">
      <c r="D158" s="12" t="s">
        <v>2303</v>
      </c>
      <c r="G158" s="12" t="s">
        <v>2254</v>
      </c>
      <c r="H158" s="214">
        <f t="shared" si="35"/>
        <v>116</v>
      </c>
      <c r="L158" s="12">
        <f t="shared" si="34"/>
        <v>176.2098</v>
      </c>
      <c r="M158" s="12">
        <f t="shared" si="34"/>
        <v>218.45389692749993</v>
      </c>
      <c r="N158" s="12">
        <f t="shared" si="34"/>
        <v>252.46443800540004</v>
      </c>
      <c r="O158" s="12">
        <f t="shared" si="34"/>
        <v>278.50772268839467</v>
      </c>
      <c r="P158" s="12">
        <f t="shared" si="34"/>
        <v>318.94182200294904</v>
      </c>
      <c r="Q158" s="12">
        <f t="shared" si="34"/>
        <v>341.79001677668526</v>
      </c>
      <c r="R158" s="12">
        <f t="shared" si="34"/>
        <v>405.77524410488547</v>
      </c>
      <c r="S158" s="12">
        <f t="shared" si="34"/>
        <v>439.10714431282611</v>
      </c>
      <c r="T158" s="12">
        <f t="shared" si="34"/>
        <v>516.69737671290238</v>
      </c>
      <c r="U158" s="12">
        <f t="shared" si="34"/>
        <v>564.56938866535268</v>
      </c>
      <c r="V158" s="12">
        <f t="shared" si="34"/>
        <v>634.67126394419358</v>
      </c>
    </row>
    <row r="159" spans="4:22" hidden="1" outlineLevel="2" x14ac:dyDescent="0.15">
      <c r="D159" s="12" t="s">
        <v>2304</v>
      </c>
      <c r="G159" s="12" t="s">
        <v>2254</v>
      </c>
      <c r="H159" s="214">
        <f t="shared" si="35"/>
        <v>24</v>
      </c>
      <c r="L159" s="12">
        <f t="shared" ref="L159:V162" si="36">L57*$H159*(1+L$33)*L$37/1000</f>
        <v>31.98</v>
      </c>
      <c r="M159" s="12">
        <f t="shared" si="36"/>
        <v>37.630866000000005</v>
      </c>
      <c r="N159" s="12">
        <f t="shared" si="36"/>
        <v>45.466317879937485</v>
      </c>
      <c r="O159" s="12">
        <f t="shared" si="36"/>
        <v>56.366299262678993</v>
      </c>
      <c r="P159" s="12">
        <f t="shared" si="36"/>
        <v>64.549629047508802</v>
      </c>
      <c r="Q159" s="12">
        <f t="shared" si="36"/>
        <v>74.599199419842819</v>
      </c>
      <c r="R159" s="12">
        <f t="shared" si="36"/>
        <v>85.429604440614867</v>
      </c>
      <c r="S159" s="12">
        <f t="shared" si="36"/>
        <v>96.03729163700045</v>
      </c>
      <c r="T159" s="12">
        <f t="shared" si="36"/>
        <v>116.0340564550421</v>
      </c>
      <c r="U159" s="12">
        <f t="shared" si="36"/>
        <v>137.75635703627881</v>
      </c>
      <c r="V159" s="12">
        <f t="shared" si="36"/>
        <v>162.09790532458925</v>
      </c>
    </row>
    <row r="160" spans="4:22" hidden="1" outlineLevel="2" x14ac:dyDescent="0.15">
      <c r="D160" s="12" t="s">
        <v>2305</v>
      </c>
      <c r="G160" s="12" t="s">
        <v>2254</v>
      </c>
      <c r="H160" s="214">
        <f t="shared" si="35"/>
        <v>88</v>
      </c>
      <c r="L160" s="12">
        <f t="shared" si="36"/>
        <v>99.670999999999992</v>
      </c>
      <c r="M160" s="12">
        <f t="shared" si="36"/>
        <v>119.37720258749998</v>
      </c>
      <c r="N160" s="12">
        <f t="shared" si="36"/>
        <v>127.92908693786201</v>
      </c>
      <c r="O160" s="12">
        <f t="shared" si="36"/>
        <v>154.56632150870496</v>
      </c>
      <c r="P160" s="12">
        <f t="shared" si="36"/>
        <v>185.12601534999476</v>
      </c>
      <c r="Q160" s="12">
        <f t="shared" si="36"/>
        <v>213.94782186479699</v>
      </c>
      <c r="R160" s="12">
        <f t="shared" si="36"/>
        <v>269.73471641604277</v>
      </c>
      <c r="S160" s="12">
        <f t="shared" si="36"/>
        <v>306.06123934937335</v>
      </c>
      <c r="T160" s="12">
        <f t="shared" si="36"/>
        <v>376.22003982197924</v>
      </c>
      <c r="U160" s="12">
        <f t="shared" si="36"/>
        <v>434.7927972717635</v>
      </c>
      <c r="V160" s="12">
        <f t="shared" si="36"/>
        <v>470.50830811265598</v>
      </c>
    </row>
    <row r="161" spans="3:22" hidden="1" outlineLevel="2" x14ac:dyDescent="0.15">
      <c r="D161" s="12" t="s">
        <v>2306</v>
      </c>
      <c r="G161" s="12" t="s">
        <v>2254</v>
      </c>
      <c r="H161" s="214">
        <f t="shared" si="35"/>
        <v>76</v>
      </c>
      <c r="L161" s="12">
        <f t="shared" si="36"/>
        <v>105.32079999999999</v>
      </c>
      <c r="M161" s="12">
        <f t="shared" si="36"/>
        <v>115.07877212</v>
      </c>
      <c r="N161" s="12">
        <f t="shared" si="36"/>
        <v>131.78605210484673</v>
      </c>
      <c r="O161" s="12">
        <f t="shared" si="36"/>
        <v>149.53433867206695</v>
      </c>
      <c r="P161" s="12">
        <f t="shared" si="36"/>
        <v>182.24123689811469</v>
      </c>
      <c r="Q161" s="12">
        <f t="shared" si="36"/>
        <v>210.61391946768995</v>
      </c>
      <c r="R161" s="12">
        <f t="shared" si="36"/>
        <v>241.19111156340847</v>
      </c>
      <c r="S161" s="12">
        <f t="shared" si="36"/>
        <v>283.80958097666269</v>
      </c>
      <c r="T161" s="12">
        <f t="shared" si="36"/>
        <v>325.01341070483085</v>
      </c>
      <c r="U161" s="12">
        <f t="shared" si="36"/>
        <v>358.54057535285096</v>
      </c>
      <c r="V161" s="12">
        <f t="shared" si="36"/>
        <v>399.29319349889431</v>
      </c>
    </row>
    <row r="162" spans="3:22" hidden="1" outlineLevel="2" x14ac:dyDescent="0.15">
      <c r="D162" s="12" t="s">
        <v>2307</v>
      </c>
      <c r="G162" s="12" t="s">
        <v>2254</v>
      </c>
      <c r="H162" s="214">
        <f t="shared" si="35"/>
        <v>48</v>
      </c>
      <c r="L162" s="12">
        <f t="shared" si="36"/>
        <v>69.076799999999992</v>
      </c>
      <c r="M162" s="12">
        <f t="shared" si="36"/>
        <v>84.911361209999967</v>
      </c>
      <c r="N162" s="12">
        <f t="shared" si="36"/>
        <v>90.994198848681336</v>
      </c>
      <c r="O162" s="12">
        <f t="shared" si="36"/>
        <v>99.424811372011632</v>
      </c>
      <c r="P162" s="12">
        <f t="shared" si="36"/>
        <v>122.21608516383205</v>
      </c>
      <c r="Q162" s="12">
        <f t="shared" si="36"/>
        <v>136.10747094376609</v>
      </c>
      <c r="R162" s="12">
        <f t="shared" si="36"/>
        <v>170.1675148757501</v>
      </c>
      <c r="S162" s="12">
        <f t="shared" si="36"/>
        <v>191.29700248847837</v>
      </c>
      <c r="T162" s="12">
        <f t="shared" si="36"/>
        <v>219.06974043100877</v>
      </c>
      <c r="U162" s="12">
        <f t="shared" si="36"/>
        <v>246.27135626315152</v>
      </c>
      <c r="V162" s="12">
        <f t="shared" si="36"/>
        <v>284.61272804137093</v>
      </c>
    </row>
    <row r="163" spans="3:22" hidden="1" outlineLevel="2" x14ac:dyDescent="0.15">
      <c r="C163" s="93" t="s">
        <v>2314</v>
      </c>
      <c r="D163" s="93"/>
      <c r="E163" s="93"/>
      <c r="F163" s="93"/>
      <c r="G163" s="93" t="s">
        <v>2254</v>
      </c>
      <c r="H163" s="93"/>
      <c r="I163" s="93"/>
      <c r="J163" s="93"/>
      <c r="K163" s="93"/>
      <c r="L163" s="93">
        <f>SUM(L143:L162)</f>
        <v>1915.9218000000001</v>
      </c>
      <c r="M163" s="93">
        <f t="shared" ref="M163:V163" si="37">SUM(M143:M162)</f>
        <v>2232.2887303437501</v>
      </c>
      <c r="N163" s="93">
        <f t="shared" si="37"/>
        <v>2593.1027289563394</v>
      </c>
      <c r="O163" s="93">
        <f t="shared" si="37"/>
        <v>3023.5314439729341</v>
      </c>
      <c r="P163" s="93">
        <f t="shared" si="37"/>
        <v>3577.1513093603467</v>
      </c>
      <c r="Q163" s="93">
        <f t="shared" si="37"/>
        <v>4183.0429354270318</v>
      </c>
      <c r="R163" s="93">
        <f t="shared" si="37"/>
        <v>4839.251436467056</v>
      </c>
      <c r="S163" s="93">
        <f t="shared" si="37"/>
        <v>5493.9264334867567</v>
      </c>
      <c r="T163" s="93">
        <f t="shared" si="37"/>
        <v>6512.95270330925</v>
      </c>
      <c r="U163" s="93">
        <f t="shared" si="37"/>
        <v>7497.2184867367259</v>
      </c>
      <c r="V163" s="93">
        <f t="shared" si="37"/>
        <v>8790.4528956126996</v>
      </c>
    </row>
    <row r="164" spans="3:22" hidden="1" outlineLevel="2" x14ac:dyDescent="0.15"/>
    <row r="165" spans="3:22" hidden="1" outlineLevel="2" x14ac:dyDescent="0.15">
      <c r="C165" s="22" t="s">
        <v>2322</v>
      </c>
    </row>
    <row r="166" spans="3:22" hidden="1" outlineLevel="2" x14ac:dyDescent="0.15">
      <c r="D166" s="12" t="s">
        <v>112</v>
      </c>
      <c r="G166" s="12" t="s">
        <v>2254</v>
      </c>
      <c r="H166" s="214">
        <f>N63</f>
        <v>6</v>
      </c>
      <c r="L166" s="12">
        <f t="shared" ref="L166:V181" si="38">L41*$H166*(1+L$34)*L$38/1000</f>
        <v>53.427599999999998</v>
      </c>
      <c r="M166" s="12">
        <f t="shared" si="38"/>
        <v>65.035707796799983</v>
      </c>
      <c r="N166" s="12">
        <f t="shared" si="38"/>
        <v>81.195780470148847</v>
      </c>
      <c r="O166" s="12">
        <f t="shared" si="38"/>
        <v>96.302742601302867</v>
      </c>
      <c r="P166" s="12">
        <f t="shared" si="38"/>
        <v>110.21271074263508</v>
      </c>
      <c r="Q166" s="12">
        <f t="shared" si="38"/>
        <v>124.98518163973495</v>
      </c>
      <c r="R166" s="12">
        <f t="shared" si="38"/>
        <v>143.03804127577826</v>
      </c>
      <c r="S166" s="12">
        <f t="shared" si="38"/>
        <v>171.13929486481766</v>
      </c>
      <c r="T166" s="12">
        <f t="shared" si="38"/>
        <v>208.32238718150688</v>
      </c>
      <c r="U166" s="12">
        <f t="shared" si="38"/>
        <v>231.9103144372946</v>
      </c>
      <c r="V166" s="12">
        <f t="shared" si="38"/>
        <v>260.58185043180623</v>
      </c>
    </row>
    <row r="167" spans="3:22" hidden="1" outlineLevel="2" x14ac:dyDescent="0.15">
      <c r="D167" s="12" t="s">
        <v>113</v>
      </c>
      <c r="G167" s="12" t="s">
        <v>2254</v>
      </c>
      <c r="H167" s="214">
        <f t="shared" ref="H167:H185" si="39">N64</f>
        <v>5</v>
      </c>
      <c r="L167" s="12">
        <f t="shared" si="38"/>
        <v>51.408000000000008</v>
      </c>
      <c r="M167" s="12">
        <f t="shared" si="38"/>
        <v>55.624278527999998</v>
      </c>
      <c r="N167" s="12">
        <f t="shared" si="38"/>
        <v>69.445799256637443</v>
      </c>
      <c r="O167" s="12">
        <f t="shared" si="38"/>
        <v>77.309008214867987</v>
      </c>
      <c r="P167" s="12">
        <f t="shared" si="38"/>
        <v>92.497135968760958</v>
      </c>
      <c r="Q167" s="12">
        <f t="shared" si="38"/>
        <v>104.89508208546981</v>
      </c>
      <c r="R167" s="12">
        <f t="shared" si="38"/>
        <v>118.95479930787782</v>
      </c>
      <c r="S167" s="12">
        <f t="shared" si="38"/>
        <v>132.42381332391022</v>
      </c>
      <c r="T167" s="12">
        <f t="shared" si="38"/>
        <v>163.95074510481351</v>
      </c>
      <c r="U167" s="12">
        <f t="shared" si="38"/>
        <v>175.69158586325946</v>
      </c>
      <c r="V167" s="12">
        <f t="shared" si="38"/>
        <v>212.03585008127678</v>
      </c>
    </row>
    <row r="168" spans="3:22" hidden="1" outlineLevel="2" x14ac:dyDescent="0.15">
      <c r="D168" s="12" t="s">
        <v>114</v>
      </c>
      <c r="G168" s="12" t="s">
        <v>2254</v>
      </c>
      <c r="H168" s="214">
        <f t="shared" si="39"/>
        <v>14</v>
      </c>
      <c r="L168" s="12">
        <f t="shared" si="38"/>
        <v>158.0796</v>
      </c>
      <c r="M168" s="12">
        <f t="shared" si="38"/>
        <v>171.04465647360001</v>
      </c>
      <c r="N168" s="12">
        <f t="shared" si="38"/>
        <v>183.29350641298743</v>
      </c>
      <c r="O168" s="12">
        <f t="shared" si="38"/>
        <v>217.39636304216222</v>
      </c>
      <c r="P168" s="12">
        <f t="shared" si="38"/>
        <v>260.10605252542541</v>
      </c>
      <c r="Q168" s="12">
        <f t="shared" si="38"/>
        <v>300.38191412267247</v>
      </c>
      <c r="R168" s="12">
        <f t="shared" si="38"/>
        <v>340.64390436401897</v>
      </c>
      <c r="S168" s="12">
        <f t="shared" si="38"/>
        <v>404.02274663437106</v>
      </c>
      <c r="T168" s="12">
        <f t="shared" si="38"/>
        <v>500.21086606209559</v>
      </c>
      <c r="U168" s="12">
        <f t="shared" si="38"/>
        <v>541.23616045304448</v>
      </c>
      <c r="V168" s="12">
        <f t="shared" si="38"/>
        <v>641.93639552229604</v>
      </c>
    </row>
    <row r="169" spans="3:22" hidden="1" outlineLevel="2" x14ac:dyDescent="0.15">
      <c r="D169" s="12" t="s">
        <v>115</v>
      </c>
      <c r="G169" s="12" t="s">
        <v>2254</v>
      </c>
      <c r="H169" s="214">
        <f t="shared" si="39"/>
        <v>25</v>
      </c>
      <c r="L169" s="12">
        <f t="shared" si="38"/>
        <v>243.27</v>
      </c>
      <c r="M169" s="12">
        <f t="shared" si="38"/>
        <v>293.59380528000003</v>
      </c>
      <c r="N169" s="12">
        <f t="shared" si="38"/>
        <v>348.2186943151757</v>
      </c>
      <c r="O169" s="12">
        <f t="shared" si="38"/>
        <v>416.62973900033518</v>
      </c>
      <c r="P169" s="12">
        <f t="shared" si="38"/>
        <v>459.46927528330565</v>
      </c>
      <c r="Q169" s="12">
        <f t="shared" si="38"/>
        <v>564.07756412560639</v>
      </c>
      <c r="R169" s="12">
        <f t="shared" si="38"/>
        <v>633.81560153358339</v>
      </c>
      <c r="S169" s="12">
        <f t="shared" si="38"/>
        <v>672.61018687225112</v>
      </c>
      <c r="T169" s="12">
        <f t="shared" si="38"/>
        <v>748.76849311142246</v>
      </c>
      <c r="U169" s="12">
        <f t="shared" si="38"/>
        <v>903.66173867042357</v>
      </c>
      <c r="V169" s="12">
        <f t="shared" si="38"/>
        <v>1118.8019107661232</v>
      </c>
    </row>
    <row r="170" spans="3:22" hidden="1" outlineLevel="2" x14ac:dyDescent="0.15">
      <c r="D170" s="12" t="s">
        <v>170</v>
      </c>
      <c r="G170" s="12" t="s">
        <v>2254</v>
      </c>
      <c r="H170" s="214">
        <f t="shared" si="39"/>
        <v>13</v>
      </c>
      <c r="L170" s="12">
        <f t="shared" si="38"/>
        <v>108.5994</v>
      </c>
      <c r="M170" s="12">
        <f t="shared" si="38"/>
        <v>119.76602470559999</v>
      </c>
      <c r="N170" s="12">
        <f t="shared" si="38"/>
        <v>132.08084642992864</v>
      </c>
      <c r="O170" s="12">
        <f t="shared" si="38"/>
        <v>153.9069421407815</v>
      </c>
      <c r="P170" s="12">
        <f t="shared" si="38"/>
        <v>190.54849129789019</v>
      </c>
      <c r="Q170" s="12">
        <f t="shared" si="38"/>
        <v>233.93104740866343</v>
      </c>
      <c r="R170" s="12">
        <f t="shared" si="38"/>
        <v>253.11713619293238</v>
      </c>
      <c r="S170" s="12">
        <f t="shared" si="38"/>
        <v>271.24336054998071</v>
      </c>
      <c r="T170" s="12">
        <f t="shared" si="38"/>
        <v>330.17586300995384</v>
      </c>
      <c r="U170" s="12">
        <f t="shared" si="38"/>
        <v>377.86646466311169</v>
      </c>
      <c r="V170" s="12">
        <f t="shared" si="38"/>
        <v>467.82740110424663</v>
      </c>
    </row>
    <row r="171" spans="3:22" hidden="1" outlineLevel="2" x14ac:dyDescent="0.15">
      <c r="D171" s="12" t="s">
        <v>268</v>
      </c>
      <c r="G171" s="12" t="s">
        <v>2254</v>
      </c>
      <c r="H171" s="214">
        <f t="shared" si="39"/>
        <v>25</v>
      </c>
      <c r="L171" s="12">
        <f t="shared" si="38"/>
        <v>286.875</v>
      </c>
      <c r="M171" s="12">
        <f t="shared" si="38"/>
        <v>343.23446249999995</v>
      </c>
      <c r="N171" s="12">
        <f t="shared" si="38"/>
        <v>403.52428230704987</v>
      </c>
      <c r="O171" s="12">
        <f t="shared" si="38"/>
        <v>440.81799647786755</v>
      </c>
      <c r="P171" s="12">
        <f t="shared" si="38"/>
        <v>472.38585484164059</v>
      </c>
      <c r="Q171" s="12">
        <f t="shared" si="38"/>
        <v>584.84958961891891</v>
      </c>
      <c r="R171" s="12">
        <f t="shared" si="38"/>
        <v>675.41003947387105</v>
      </c>
      <c r="S171" s="12">
        <f t="shared" si="38"/>
        <v>822.15502793027997</v>
      </c>
      <c r="T171" s="12">
        <f t="shared" si="38"/>
        <v>932.35339925394328</v>
      </c>
      <c r="U171" s="12">
        <f t="shared" si="38"/>
        <v>1096.1231385396966</v>
      </c>
      <c r="V171" s="12">
        <f t="shared" si="38"/>
        <v>1357.0837508706736</v>
      </c>
    </row>
    <row r="172" spans="3:22" hidden="1" outlineLevel="2" x14ac:dyDescent="0.15">
      <c r="D172" s="12" t="s">
        <v>2294</v>
      </c>
      <c r="G172" s="12" t="s">
        <v>2254</v>
      </c>
      <c r="H172" s="214">
        <f t="shared" si="39"/>
        <v>19</v>
      </c>
      <c r="L172" s="12">
        <f t="shared" si="38"/>
        <v>176.16420000000002</v>
      </c>
      <c r="M172" s="12">
        <f t="shared" si="38"/>
        <v>207.10779405839995</v>
      </c>
      <c r="N172" s="12">
        <f t="shared" si="38"/>
        <v>249.95094076849679</v>
      </c>
      <c r="O172" s="12">
        <f t="shared" si="38"/>
        <v>309.45826094289743</v>
      </c>
      <c r="P172" s="12">
        <f t="shared" si="38"/>
        <v>338.05839341924008</v>
      </c>
      <c r="Q172" s="12">
        <f t="shared" si="38"/>
        <v>358.75027156364484</v>
      </c>
      <c r="R172" s="12">
        <f t="shared" si="38"/>
        <v>391.90597166155692</v>
      </c>
      <c r="S172" s="12">
        <f t="shared" si="38"/>
        <v>432.20331129168494</v>
      </c>
      <c r="T172" s="12">
        <f t="shared" si="38"/>
        <v>530.60390358008544</v>
      </c>
      <c r="U172" s="12">
        <f t="shared" si="38"/>
        <v>634.84634647742917</v>
      </c>
      <c r="V172" s="12">
        <f t="shared" si="38"/>
        <v>693.51884581887316</v>
      </c>
    </row>
    <row r="173" spans="3:22" hidden="1" outlineLevel="2" x14ac:dyDescent="0.15">
      <c r="D173" s="12" t="s">
        <v>2295</v>
      </c>
      <c r="G173" s="12" t="s">
        <v>2254</v>
      </c>
      <c r="H173" s="214">
        <f t="shared" si="39"/>
        <v>14</v>
      </c>
      <c r="L173" s="12">
        <f t="shared" si="38"/>
        <v>131.09039999999999</v>
      </c>
      <c r="M173" s="12">
        <f t="shared" si="38"/>
        <v>150.02509737599999</v>
      </c>
      <c r="N173" s="12">
        <f t="shared" si="38"/>
        <v>171.69472244098944</v>
      </c>
      <c r="O173" s="12">
        <f t="shared" si="38"/>
        <v>198.28062004264203</v>
      </c>
      <c r="P173" s="12">
        <f t="shared" si="38"/>
        <v>231.04609594344853</v>
      </c>
      <c r="Q173" s="12">
        <f t="shared" si="38"/>
        <v>262.01459045932467</v>
      </c>
      <c r="R173" s="12">
        <f t="shared" si="38"/>
        <v>278.05197951215899</v>
      </c>
      <c r="S173" s="12">
        <f t="shared" si="38"/>
        <v>332.67807140711784</v>
      </c>
      <c r="T173" s="12">
        <f t="shared" si="38"/>
        <v>408.4195532805191</v>
      </c>
      <c r="U173" s="12">
        <f t="shared" si="38"/>
        <v>505.654446847332</v>
      </c>
      <c r="V173" s="12">
        <f t="shared" si="38"/>
        <v>615.51697720495793</v>
      </c>
    </row>
    <row r="174" spans="3:22" hidden="1" outlineLevel="2" x14ac:dyDescent="0.15">
      <c r="D174" s="12" t="s">
        <v>2296</v>
      </c>
      <c r="G174" s="12" t="s">
        <v>2254</v>
      </c>
      <c r="H174" s="214">
        <f t="shared" si="39"/>
        <v>17</v>
      </c>
      <c r="L174" s="12">
        <f t="shared" si="38"/>
        <v>201.31740000000002</v>
      </c>
      <c r="M174" s="12">
        <f t="shared" si="38"/>
        <v>236.67920394479992</v>
      </c>
      <c r="N174" s="12">
        <f t="shared" si="38"/>
        <v>280.71478991395361</v>
      </c>
      <c r="O174" s="12">
        <f t="shared" si="38"/>
        <v>303.73789412353648</v>
      </c>
      <c r="P174" s="12">
        <f t="shared" si="38"/>
        <v>376.05059700489153</v>
      </c>
      <c r="Q174" s="12">
        <f t="shared" si="38"/>
        <v>446.01706688123369</v>
      </c>
      <c r="R174" s="12">
        <f t="shared" si="38"/>
        <v>524.36085671305625</v>
      </c>
      <c r="S174" s="12">
        <f t="shared" si="38"/>
        <v>556.45593603074894</v>
      </c>
      <c r="T174" s="12">
        <f t="shared" si="38"/>
        <v>631.04106387256672</v>
      </c>
      <c r="U174" s="12">
        <f t="shared" si="38"/>
        <v>702.49258145272961</v>
      </c>
      <c r="V174" s="12">
        <f t="shared" si="38"/>
        <v>789.3431442828936</v>
      </c>
    </row>
    <row r="175" spans="3:22" hidden="1" outlineLevel="2" x14ac:dyDescent="0.15">
      <c r="D175" s="12" t="s">
        <v>2297</v>
      </c>
      <c r="G175" s="12" t="s">
        <v>2254</v>
      </c>
      <c r="H175" s="214">
        <f t="shared" si="39"/>
        <v>28</v>
      </c>
      <c r="L175" s="12">
        <f t="shared" si="38"/>
        <v>295.596</v>
      </c>
      <c r="M175" s="12">
        <f t="shared" si="38"/>
        <v>356.7441709439999</v>
      </c>
      <c r="N175" s="12">
        <f t="shared" si="38"/>
        <v>419.40699805865529</v>
      </c>
      <c r="O175" s="12">
        <f t="shared" si="38"/>
        <v>497.44018648945655</v>
      </c>
      <c r="P175" s="12">
        <f t="shared" si="38"/>
        <v>615.86875632812041</v>
      </c>
      <c r="Q175" s="12">
        <f t="shared" si="38"/>
        <v>736.86233219634278</v>
      </c>
      <c r="R175" s="12">
        <f t="shared" si="38"/>
        <v>797.29683323375821</v>
      </c>
      <c r="S175" s="12">
        <f t="shared" si="38"/>
        <v>870.98300656122228</v>
      </c>
      <c r="T175" s="12">
        <f t="shared" si="38"/>
        <v>933.35584162708449</v>
      </c>
      <c r="U175" s="12">
        <f t="shared" si="38"/>
        <v>1116.7229302731416</v>
      </c>
      <c r="V175" s="12">
        <f t="shared" si="38"/>
        <v>1312.8775464214793</v>
      </c>
    </row>
    <row r="176" spans="3:22" hidden="1" outlineLevel="2" x14ac:dyDescent="0.15">
      <c r="D176" s="12" t="s">
        <v>2298</v>
      </c>
      <c r="G176" s="12" t="s">
        <v>2254</v>
      </c>
      <c r="H176" s="214">
        <f t="shared" si="39"/>
        <v>7</v>
      </c>
      <c r="L176" s="12">
        <f t="shared" si="38"/>
        <v>48.837600000000002</v>
      </c>
      <c r="M176" s="12">
        <f t="shared" si="38"/>
        <v>55.383596553599993</v>
      </c>
      <c r="N176" s="12">
        <f t="shared" si="38"/>
        <v>63.383203239801986</v>
      </c>
      <c r="O176" s="12">
        <f t="shared" si="38"/>
        <v>78.473222734321084</v>
      </c>
      <c r="P176" s="12">
        <f t="shared" si="38"/>
        <v>84.092847160771285</v>
      </c>
      <c r="Q176" s="12">
        <f t="shared" si="38"/>
        <v>104.98823782327972</v>
      </c>
      <c r="R176" s="12">
        <f t="shared" si="38"/>
        <v>113.59895313659383</v>
      </c>
      <c r="S176" s="12">
        <f t="shared" si="38"/>
        <v>120.55211786017851</v>
      </c>
      <c r="T176" s="12">
        <f t="shared" si="38"/>
        <v>144.23578693498919</v>
      </c>
      <c r="U176" s="12">
        <f t="shared" si="38"/>
        <v>171.07172050896551</v>
      </c>
      <c r="V176" s="12">
        <f t="shared" si="38"/>
        <v>199.34098017963109</v>
      </c>
    </row>
    <row r="177" spans="3:22" hidden="1" outlineLevel="2" x14ac:dyDescent="0.15">
      <c r="D177" s="12" t="s">
        <v>2299</v>
      </c>
      <c r="G177" s="12" t="s">
        <v>2254</v>
      </c>
      <c r="H177" s="214">
        <f t="shared" si="39"/>
        <v>11</v>
      </c>
      <c r="L177" s="12">
        <f t="shared" si="38"/>
        <v>113.0976</v>
      </c>
      <c r="M177" s="12">
        <f t="shared" si="38"/>
        <v>120.0200779008</v>
      </c>
      <c r="N177" s="12">
        <f t="shared" si="38"/>
        <v>137.35577795279153</v>
      </c>
      <c r="O177" s="12">
        <f t="shared" si="38"/>
        <v>157.19544652029282</v>
      </c>
      <c r="P177" s="12">
        <f t="shared" si="38"/>
        <v>171.72344968769823</v>
      </c>
      <c r="Q177" s="12">
        <f t="shared" si="38"/>
        <v>185.80752013728454</v>
      </c>
      <c r="R177" s="12">
        <f t="shared" si="38"/>
        <v>199.11356826935577</v>
      </c>
      <c r="S177" s="12">
        <f t="shared" si="38"/>
        <v>215.44406668453527</v>
      </c>
      <c r="T177" s="12">
        <f t="shared" si="38"/>
        <v>268.9776083743086</v>
      </c>
      <c r="U177" s="12">
        <f t="shared" si="38"/>
        <v>321.82094931552524</v>
      </c>
      <c r="V177" s="12">
        <f t="shared" si="38"/>
        <v>381.69766786137473</v>
      </c>
    </row>
    <row r="178" spans="3:22" hidden="1" outlineLevel="2" x14ac:dyDescent="0.15">
      <c r="D178" s="12" t="s">
        <v>2300</v>
      </c>
      <c r="G178" s="12" t="s">
        <v>2254</v>
      </c>
      <c r="H178" s="214">
        <f t="shared" si="39"/>
        <v>8</v>
      </c>
      <c r="L178" s="12">
        <f t="shared" si="38"/>
        <v>77.111999999999995</v>
      </c>
      <c r="M178" s="12">
        <f t="shared" si="38"/>
        <v>86.645510783999995</v>
      </c>
      <c r="N178" s="12">
        <f t="shared" si="38"/>
        <v>95.554748784853999</v>
      </c>
      <c r="O178" s="12">
        <f t="shared" si="38"/>
        <v>117.3098895501993</v>
      </c>
      <c r="P178" s="12">
        <f t="shared" si="38"/>
        <v>133.03363790594983</v>
      </c>
      <c r="Q178" s="12">
        <f t="shared" si="38"/>
        <v>164.70575428404678</v>
      </c>
      <c r="R178" s="12">
        <f t="shared" si="38"/>
        <v>203.91824144097546</v>
      </c>
      <c r="S178" s="12">
        <f t="shared" si="38"/>
        <v>233.37219223471001</v>
      </c>
      <c r="T178" s="12">
        <f t="shared" si="38"/>
        <v>269.50847596910148</v>
      </c>
      <c r="U178" s="12">
        <f t="shared" si="38"/>
        <v>308.43628023807855</v>
      </c>
      <c r="V178" s="12">
        <f t="shared" si="38"/>
        <v>381.86755609203937</v>
      </c>
    </row>
    <row r="179" spans="3:22" hidden="1" outlineLevel="2" x14ac:dyDescent="0.15">
      <c r="D179" s="12" t="s">
        <v>2301</v>
      </c>
      <c r="G179" s="12" t="s">
        <v>2254</v>
      </c>
      <c r="H179" s="214">
        <f t="shared" si="39"/>
        <v>8</v>
      </c>
      <c r="L179" s="12">
        <f t="shared" si="38"/>
        <v>94.7376</v>
      </c>
      <c r="M179" s="12">
        <f t="shared" si="38"/>
        <v>102.50759900159998</v>
      </c>
      <c r="N179" s="12">
        <f t="shared" si="38"/>
        <v>121.57975284144169</v>
      </c>
      <c r="O179" s="12">
        <f t="shared" si="38"/>
        <v>137.8758165932972</v>
      </c>
      <c r="P179" s="12">
        <f t="shared" si="38"/>
        <v>159.22505953786973</v>
      </c>
      <c r="Q179" s="12">
        <f t="shared" si="38"/>
        <v>180.56694961808765</v>
      </c>
      <c r="R179" s="12">
        <f t="shared" si="38"/>
        <v>214.16251399623059</v>
      </c>
      <c r="S179" s="12">
        <f t="shared" si="38"/>
        <v>254.00873470031334</v>
      </c>
      <c r="T179" s="12">
        <f t="shared" si="38"/>
        <v>306.55399759535891</v>
      </c>
      <c r="U179" s="12">
        <f t="shared" si="38"/>
        <v>325.31755468017565</v>
      </c>
      <c r="V179" s="12">
        <f t="shared" si="38"/>
        <v>358.76800692261008</v>
      </c>
    </row>
    <row r="180" spans="3:22" hidden="1" outlineLevel="2" x14ac:dyDescent="0.15">
      <c r="D180" s="12" t="s">
        <v>2302</v>
      </c>
      <c r="G180" s="12" t="s">
        <v>2254</v>
      </c>
      <c r="H180" s="214">
        <f t="shared" si="39"/>
        <v>16</v>
      </c>
      <c r="L180" s="12">
        <f t="shared" si="38"/>
        <v>114.56640000000002</v>
      </c>
      <c r="M180" s="12">
        <f t="shared" si="38"/>
        <v>123.9626778624</v>
      </c>
      <c r="N180" s="12">
        <f t="shared" si="38"/>
        <v>137.99872395140383</v>
      </c>
      <c r="O180" s="12">
        <f t="shared" si="38"/>
        <v>156.49552091495423</v>
      </c>
      <c r="P180" s="12">
        <f t="shared" si="38"/>
        <v>195.38152795190203</v>
      </c>
      <c r="Q180" s="12">
        <f t="shared" si="38"/>
        <v>219.5369370156516</v>
      </c>
      <c r="R180" s="12">
        <f t="shared" si="38"/>
        <v>258.0990390763248</v>
      </c>
      <c r="S180" s="12">
        <f t="shared" si="38"/>
        <v>322.23148830601002</v>
      </c>
      <c r="T180" s="12">
        <f t="shared" si="38"/>
        <v>362.06961166825869</v>
      </c>
      <c r="U180" s="12">
        <f t="shared" si="38"/>
        <v>425.66786309701172</v>
      </c>
      <c r="V180" s="12">
        <f t="shared" si="38"/>
        <v>487.15132924274405</v>
      </c>
    </row>
    <row r="181" spans="3:22" hidden="1" outlineLevel="2" x14ac:dyDescent="0.15">
      <c r="D181" s="12" t="s">
        <v>2303</v>
      </c>
      <c r="G181" s="12" t="s">
        <v>2254</v>
      </c>
      <c r="H181" s="214">
        <f t="shared" si="39"/>
        <v>18</v>
      </c>
      <c r="L181" s="12">
        <f t="shared" si="38"/>
        <v>188.37360000000001</v>
      </c>
      <c r="M181" s="12">
        <f t="shared" si="38"/>
        <v>231.26099425919998</v>
      </c>
      <c r="N181" s="12">
        <f t="shared" si="38"/>
        <v>264.66433226999879</v>
      </c>
      <c r="O181" s="12">
        <f t="shared" si="38"/>
        <v>289.12460985839215</v>
      </c>
      <c r="P181" s="12">
        <f t="shared" si="38"/>
        <v>327.87771606537166</v>
      </c>
      <c r="Q181" s="12">
        <f t="shared" si="38"/>
        <v>347.94645531030091</v>
      </c>
      <c r="R181" s="12">
        <f t="shared" si="38"/>
        <v>409.06394607846585</v>
      </c>
      <c r="S181" s="12">
        <f t="shared" si="38"/>
        <v>438.357833385037</v>
      </c>
      <c r="T181" s="12">
        <f t="shared" si="38"/>
        <v>510.7955886362476</v>
      </c>
      <c r="U181" s="12">
        <f t="shared" si="38"/>
        <v>552.68899963383819</v>
      </c>
      <c r="V181" s="12">
        <f t="shared" si="38"/>
        <v>615.2688696843785</v>
      </c>
    </row>
    <row r="182" spans="3:22" hidden="1" outlineLevel="2" x14ac:dyDescent="0.15">
      <c r="D182" s="12" t="s">
        <v>2304</v>
      </c>
      <c r="G182" s="12" t="s">
        <v>2254</v>
      </c>
      <c r="H182" s="214">
        <f t="shared" si="39"/>
        <v>25</v>
      </c>
      <c r="L182" s="12">
        <f t="shared" ref="L182:V185" si="40">L57*$H182*(1+L$34)*L$38/1000</f>
        <v>229.5</v>
      </c>
      <c r="M182" s="12">
        <f t="shared" si="40"/>
        <v>267.42441600000001</v>
      </c>
      <c r="N182" s="12">
        <f t="shared" si="40"/>
        <v>319.96261676736003</v>
      </c>
      <c r="O182" s="12">
        <f t="shared" si="40"/>
        <v>392.80914565201834</v>
      </c>
      <c r="P182" s="12">
        <f t="shared" si="40"/>
        <v>445.45971229863244</v>
      </c>
      <c r="Q182" s="12">
        <f t="shared" si="40"/>
        <v>509.80191314304676</v>
      </c>
      <c r="R182" s="12">
        <f t="shared" si="40"/>
        <v>578.1337223730884</v>
      </c>
      <c r="S182" s="12">
        <f t="shared" si="40"/>
        <v>643.59464748994844</v>
      </c>
      <c r="T182" s="12">
        <f t="shared" si="40"/>
        <v>770.03525193582379</v>
      </c>
      <c r="U182" s="12">
        <f t="shared" si="40"/>
        <v>905.29348400885522</v>
      </c>
      <c r="V182" s="12">
        <f t="shared" si="40"/>
        <v>1054.8914216543506</v>
      </c>
    </row>
    <row r="183" spans="3:22" hidden="1" outlineLevel="2" x14ac:dyDescent="0.15">
      <c r="D183" s="12" t="s">
        <v>2305</v>
      </c>
      <c r="G183" s="12" t="s">
        <v>2254</v>
      </c>
      <c r="H183" s="214">
        <f t="shared" si="39"/>
        <v>13</v>
      </c>
      <c r="L183" s="12">
        <f t="shared" si="40"/>
        <v>101.43899999999998</v>
      </c>
      <c r="M183" s="12">
        <f t="shared" si="40"/>
        <v>120.312334584</v>
      </c>
      <c r="N183" s="12">
        <f t="shared" si="40"/>
        <v>127.67641195921746</v>
      </c>
      <c r="O183" s="12">
        <f t="shared" si="40"/>
        <v>152.75971985272534</v>
      </c>
      <c r="P183" s="12">
        <f t="shared" si="40"/>
        <v>181.18158228964401</v>
      </c>
      <c r="Q183" s="12">
        <f t="shared" si="40"/>
        <v>207.35145003556028</v>
      </c>
      <c r="R183" s="12">
        <f t="shared" si="40"/>
        <v>258.8741383403962</v>
      </c>
      <c r="S183" s="12">
        <f t="shared" si="40"/>
        <v>290.87926581169614</v>
      </c>
      <c r="T183" s="12">
        <f t="shared" si="40"/>
        <v>354.07802213607175</v>
      </c>
      <c r="U183" s="12">
        <f t="shared" si="40"/>
        <v>405.22105165340599</v>
      </c>
      <c r="V183" s="12">
        <f t="shared" si="40"/>
        <v>434.23974160440974</v>
      </c>
    </row>
    <row r="184" spans="3:22" hidden="1" outlineLevel="2" x14ac:dyDescent="0.15">
      <c r="D184" s="12" t="s">
        <v>2306</v>
      </c>
      <c r="G184" s="12" t="s">
        <v>2254</v>
      </c>
      <c r="H184" s="214">
        <f t="shared" si="39"/>
        <v>17</v>
      </c>
      <c r="L184" s="12">
        <f t="shared" si="40"/>
        <v>162.30240000000003</v>
      </c>
      <c r="M184" s="12">
        <f t="shared" si="40"/>
        <v>175.61379363840001</v>
      </c>
      <c r="N184" s="12">
        <f t="shared" si="40"/>
        <v>199.15236408251658</v>
      </c>
      <c r="O184" s="12">
        <f t="shared" si="40"/>
        <v>223.77396915876628</v>
      </c>
      <c r="P184" s="12">
        <f t="shared" si="40"/>
        <v>270.06474751482523</v>
      </c>
      <c r="Q184" s="12">
        <f t="shared" si="40"/>
        <v>309.0728996458667</v>
      </c>
      <c r="R184" s="12">
        <f t="shared" si="40"/>
        <v>350.49979482280008</v>
      </c>
      <c r="S184" s="12">
        <f t="shared" si="40"/>
        <v>408.41918491767825</v>
      </c>
      <c r="T184" s="12">
        <f t="shared" si="40"/>
        <v>463.1620587873042</v>
      </c>
      <c r="U184" s="12">
        <f t="shared" si="40"/>
        <v>505.96749626042691</v>
      </c>
      <c r="V184" s="12">
        <f t="shared" si="40"/>
        <v>557.9930980959092</v>
      </c>
    </row>
    <row r="185" spans="3:22" hidden="1" outlineLevel="2" x14ac:dyDescent="0.15">
      <c r="D185" s="12" t="s">
        <v>2307</v>
      </c>
      <c r="G185" s="12" t="s">
        <v>2254</v>
      </c>
      <c r="H185" s="214">
        <f t="shared" si="39"/>
        <v>20</v>
      </c>
      <c r="L185" s="12">
        <f t="shared" si="40"/>
        <v>198.28799999999998</v>
      </c>
      <c r="M185" s="12">
        <f t="shared" si="40"/>
        <v>241.36963718399997</v>
      </c>
      <c r="N185" s="12">
        <f t="shared" si="40"/>
        <v>256.14338993675818</v>
      </c>
      <c r="O185" s="12">
        <f t="shared" si="40"/>
        <v>277.15124620581139</v>
      </c>
      <c r="P185" s="12">
        <f t="shared" si="40"/>
        <v>337.36734316645556</v>
      </c>
      <c r="Q185" s="12">
        <f t="shared" si="40"/>
        <v>372.05680286020322</v>
      </c>
      <c r="R185" s="12">
        <f t="shared" si="40"/>
        <v>460.63459825794888</v>
      </c>
      <c r="S185" s="12">
        <f t="shared" si="40"/>
        <v>512.7913325495</v>
      </c>
      <c r="T185" s="12">
        <f t="shared" si="40"/>
        <v>581.52383159910494</v>
      </c>
      <c r="U185" s="12">
        <f t="shared" si="40"/>
        <v>647.36861200340854</v>
      </c>
      <c r="V185" s="12">
        <f t="shared" si="40"/>
        <v>740.87453432118082</v>
      </c>
    </row>
    <row r="186" spans="3:22" hidden="1" outlineLevel="2" x14ac:dyDescent="0.15">
      <c r="C186" s="93" t="s">
        <v>2314</v>
      </c>
      <c r="D186" s="93"/>
      <c r="E186" s="93"/>
      <c r="F186" s="93"/>
      <c r="G186" s="93" t="s">
        <v>2254</v>
      </c>
      <c r="H186" s="93"/>
      <c r="I186" s="93"/>
      <c r="J186" s="93"/>
      <c r="K186" s="93"/>
      <c r="L186" s="93">
        <f>SUM(L166:L185)</f>
        <v>3034.0817999999999</v>
      </c>
      <c r="M186" s="93">
        <f t="shared" ref="M186:V186" si="41">SUM(M166:M185)</f>
        <v>3523.3558393751996</v>
      </c>
      <c r="N186" s="93">
        <f t="shared" si="41"/>
        <v>4062.9976821601672</v>
      </c>
      <c r="O186" s="93">
        <f t="shared" si="41"/>
        <v>4694.2483401166292</v>
      </c>
      <c r="P186" s="93">
        <f t="shared" si="41"/>
        <v>5451.6509869344791</v>
      </c>
      <c r="Q186" s="93">
        <f t="shared" si="41"/>
        <v>6318.5995599749394</v>
      </c>
      <c r="R186" s="93">
        <f t="shared" si="41"/>
        <v>7202.6936790607706</v>
      </c>
      <c r="S186" s="93">
        <f t="shared" si="41"/>
        <v>8105.5656194059929</v>
      </c>
      <c r="T186" s="93">
        <f t="shared" si="41"/>
        <v>9418.1423497205597</v>
      </c>
      <c r="U186" s="93">
        <f t="shared" si="41"/>
        <v>10855.059719077155</v>
      </c>
      <c r="V186" s="93">
        <f t="shared" si="41"/>
        <v>12681.616878163255</v>
      </c>
    </row>
    <row r="187" spans="3:22" hidden="1" outlineLevel="2" x14ac:dyDescent="0.15"/>
    <row r="188" spans="3:22" hidden="1" outlineLevel="2" x14ac:dyDescent="0.15">
      <c r="C188" s="22" t="s">
        <v>2313</v>
      </c>
    </row>
    <row r="189" spans="3:22" hidden="1" outlineLevel="2" x14ac:dyDescent="0.15">
      <c r="D189" s="12" t="s">
        <v>112</v>
      </c>
      <c r="G189" s="12" t="s">
        <v>2254</v>
      </c>
      <c r="L189" s="12">
        <f>L120+L143+L166</f>
        <v>449.35638</v>
      </c>
      <c r="M189" s="12">
        <f t="shared" ref="M189:V189" si="42">M120+M143+M166</f>
        <v>548.53715905267495</v>
      </c>
      <c r="N189" s="12">
        <f t="shared" si="42"/>
        <v>686.79338592865724</v>
      </c>
      <c r="O189" s="12">
        <f t="shared" si="42"/>
        <v>816.91961220288101</v>
      </c>
      <c r="P189" s="12">
        <f t="shared" si="42"/>
        <v>937.62671365479866</v>
      </c>
      <c r="Q189" s="12">
        <f t="shared" si="42"/>
        <v>1066.4096524017912</v>
      </c>
      <c r="R189" s="12">
        <f t="shared" si="42"/>
        <v>1224.035510453306</v>
      </c>
      <c r="S189" s="12">
        <f t="shared" si="42"/>
        <v>1468.8546572716036</v>
      </c>
      <c r="T189" s="12">
        <f t="shared" si="42"/>
        <v>1793.3348563740014</v>
      </c>
      <c r="U189" s="12">
        <f t="shared" si="42"/>
        <v>2002.4037104516303</v>
      </c>
      <c r="V189" s="12">
        <f t="shared" si="42"/>
        <v>2256.7927336280245</v>
      </c>
    </row>
    <row r="190" spans="3:22" hidden="1" outlineLevel="2" x14ac:dyDescent="0.15">
      <c r="D190" s="12" t="s">
        <v>113</v>
      </c>
      <c r="G190" s="12" t="s">
        <v>2254</v>
      </c>
      <c r="L190" s="12">
        <f t="shared" ref="L190:V205" si="43">L121+L144+L167</f>
        <v>497.61376000000001</v>
      </c>
      <c r="M190" s="12">
        <f t="shared" si="43"/>
        <v>538.9660334240001</v>
      </c>
      <c r="N190" s="12">
        <f t="shared" si="43"/>
        <v>673.57111571930545</v>
      </c>
      <c r="O190" s="12">
        <f t="shared" si="43"/>
        <v>750.60805708826206</v>
      </c>
      <c r="P190" s="12">
        <f t="shared" si="43"/>
        <v>899.00532661331579</v>
      </c>
      <c r="Q190" s="12">
        <f t="shared" si="43"/>
        <v>1020.5756869881836</v>
      </c>
      <c r="R190" s="12">
        <f t="shared" si="43"/>
        <v>1158.5998343161559</v>
      </c>
      <c r="S190" s="12">
        <f t="shared" si="43"/>
        <v>1291.1726427100559</v>
      </c>
      <c r="T190" s="12">
        <f t="shared" si="43"/>
        <v>1600.3085358989163</v>
      </c>
      <c r="U190" s="12">
        <f t="shared" si="43"/>
        <v>1716.7964197724025</v>
      </c>
      <c r="V190" s="12">
        <f t="shared" si="43"/>
        <v>2074.2451712503539</v>
      </c>
    </row>
    <row r="191" spans="3:22" hidden="1" outlineLevel="2" x14ac:dyDescent="0.15">
      <c r="D191" s="12" t="s">
        <v>114</v>
      </c>
      <c r="G191" s="12" t="s">
        <v>2254</v>
      </c>
      <c r="L191" s="12">
        <f t="shared" si="43"/>
        <v>661.22094000000004</v>
      </c>
      <c r="M191" s="12">
        <f t="shared" si="43"/>
        <v>716.18408485260011</v>
      </c>
      <c r="N191" s="12">
        <f t="shared" si="43"/>
        <v>768.26597641772844</v>
      </c>
      <c r="O191" s="12">
        <f t="shared" si="43"/>
        <v>912.16032944595202</v>
      </c>
      <c r="P191" s="12">
        <f t="shared" si="43"/>
        <v>1092.5185153590451</v>
      </c>
      <c r="Q191" s="12">
        <f t="shared" si="43"/>
        <v>1263.0387159634872</v>
      </c>
      <c r="R191" s="12">
        <f t="shared" si="43"/>
        <v>1433.8812003382473</v>
      </c>
      <c r="S191" s="12">
        <f t="shared" si="43"/>
        <v>1702.5238338952738</v>
      </c>
      <c r="T191" s="12">
        <f t="shared" si="43"/>
        <v>2110.185073092367</v>
      </c>
      <c r="U191" s="12">
        <f t="shared" si="43"/>
        <v>2285.806773285226</v>
      </c>
      <c r="V191" s="12">
        <f t="shared" si="43"/>
        <v>2714.1589552132309</v>
      </c>
    </row>
    <row r="192" spans="3:22" hidden="1" outlineLevel="2" x14ac:dyDescent="0.15">
      <c r="D192" s="12" t="s">
        <v>115</v>
      </c>
      <c r="G192" s="12" t="s">
        <v>2254</v>
      </c>
      <c r="L192" s="12">
        <f t="shared" si="43"/>
        <v>551.17031999999995</v>
      </c>
      <c r="M192" s="12">
        <f t="shared" si="43"/>
        <v>665.88035674800005</v>
      </c>
      <c r="N192" s="12">
        <f t="shared" si="43"/>
        <v>790.60244479223843</v>
      </c>
      <c r="O192" s="12">
        <f t="shared" si="43"/>
        <v>946.92990808757077</v>
      </c>
      <c r="P192" s="12">
        <f t="shared" si="43"/>
        <v>1045.418826296456</v>
      </c>
      <c r="Q192" s="12">
        <f t="shared" si="43"/>
        <v>1284.8243389528475</v>
      </c>
      <c r="R192" s="12">
        <f t="shared" si="43"/>
        <v>1445.252702846778</v>
      </c>
      <c r="S192" s="12">
        <f t="shared" si="43"/>
        <v>1535.4126923956987</v>
      </c>
      <c r="T192" s="12">
        <f t="shared" si="43"/>
        <v>1711.1772158034778</v>
      </c>
      <c r="U192" s="12">
        <f t="shared" si="43"/>
        <v>2067.4928674011599</v>
      </c>
      <c r="V192" s="12">
        <f t="shared" si="43"/>
        <v>2562.6365507057171</v>
      </c>
    </row>
    <row r="193" spans="4:22" hidden="1" outlineLevel="2" x14ac:dyDescent="0.15">
      <c r="D193" s="12" t="s">
        <v>170</v>
      </c>
      <c r="G193" s="12" t="s">
        <v>2254</v>
      </c>
      <c r="L193" s="12">
        <f t="shared" si="43"/>
        <v>443.93257999999997</v>
      </c>
      <c r="M193" s="12">
        <f t="shared" si="43"/>
        <v>491.02149094635001</v>
      </c>
      <c r="N193" s="12">
        <f t="shared" si="43"/>
        <v>543.11710158697349</v>
      </c>
      <c r="O193" s="12">
        <f t="shared" si="43"/>
        <v>634.75794061586134</v>
      </c>
      <c r="P193" s="12">
        <f t="shared" si="43"/>
        <v>788.24515361315548</v>
      </c>
      <c r="Q193" s="12">
        <f t="shared" si="43"/>
        <v>970.64208867908167</v>
      </c>
      <c r="R193" s="12">
        <f t="shared" si="43"/>
        <v>1053.4596153608672</v>
      </c>
      <c r="S193" s="12">
        <f t="shared" si="43"/>
        <v>1132.3748435514547</v>
      </c>
      <c r="T193" s="12">
        <f t="shared" si="43"/>
        <v>1382.6774084846893</v>
      </c>
      <c r="U193" s="12">
        <f t="shared" si="43"/>
        <v>1587.3331022437339</v>
      </c>
      <c r="V193" s="12">
        <f t="shared" si="43"/>
        <v>1971.4207161578852</v>
      </c>
    </row>
    <row r="194" spans="4:22" hidden="1" outlineLevel="2" x14ac:dyDescent="0.15">
      <c r="D194" s="12" t="s">
        <v>268</v>
      </c>
      <c r="G194" s="12" t="s">
        <v>2254</v>
      </c>
      <c r="L194" s="12">
        <f t="shared" si="43"/>
        <v>742.49250000000006</v>
      </c>
      <c r="M194" s="12">
        <f t="shared" si="43"/>
        <v>888.72284445312505</v>
      </c>
      <c r="N194" s="12">
        <f t="shared" si="43"/>
        <v>1045.2587605786869</v>
      </c>
      <c r="O194" s="12">
        <f t="shared" si="43"/>
        <v>1142.3383670343474</v>
      </c>
      <c r="P194" s="12">
        <f t="shared" si="43"/>
        <v>1224.6621016124104</v>
      </c>
      <c r="Q194" s="12">
        <f t="shared" si="43"/>
        <v>1516.8764017695557</v>
      </c>
      <c r="R194" s="12">
        <f t="shared" si="43"/>
        <v>1752.5193312411448</v>
      </c>
      <c r="S194" s="12">
        <f t="shared" si="43"/>
        <v>2134.2290828982723</v>
      </c>
      <c r="T194" s="12">
        <f t="shared" si="43"/>
        <v>2421.3781620330519</v>
      </c>
      <c r="U194" s="12">
        <f t="shared" si="43"/>
        <v>2847.9929695386008</v>
      </c>
      <c r="V194" s="12">
        <f t="shared" si="43"/>
        <v>3527.6582456239221</v>
      </c>
    </row>
    <row r="195" spans="4:22" hidden="1" outlineLevel="2" x14ac:dyDescent="0.15">
      <c r="D195" s="12" t="s">
        <v>2294</v>
      </c>
      <c r="G195" s="12" t="s">
        <v>2254</v>
      </c>
      <c r="L195" s="12">
        <f t="shared" si="43"/>
        <v>317.02284000000003</v>
      </c>
      <c r="M195" s="12">
        <f t="shared" si="43"/>
        <v>373.42046673389996</v>
      </c>
      <c r="N195" s="12">
        <f t="shared" si="43"/>
        <v>451.53579091151187</v>
      </c>
      <c r="O195" s="12">
        <f t="shared" si="43"/>
        <v>560.12145416670319</v>
      </c>
      <c r="P195" s="12">
        <f t="shared" si="43"/>
        <v>613.08629137673256</v>
      </c>
      <c r="Q195" s="12">
        <f t="shared" si="43"/>
        <v>651.89694983498839</v>
      </c>
      <c r="R195" s="12">
        <f t="shared" si="43"/>
        <v>713.56334641045078</v>
      </c>
      <c r="S195" s="12">
        <f t="shared" si="43"/>
        <v>788.51478017248246</v>
      </c>
      <c r="T195" s="12">
        <f t="shared" si="43"/>
        <v>969.99719754856847</v>
      </c>
      <c r="U195" s="12">
        <f t="shared" si="43"/>
        <v>1162.9316456373949</v>
      </c>
      <c r="V195" s="12">
        <f t="shared" si="43"/>
        <v>1273.0241184974868</v>
      </c>
    </row>
    <row r="196" spans="4:22" hidden="1" outlineLevel="2" x14ac:dyDescent="0.15">
      <c r="D196" s="12" t="s">
        <v>2295</v>
      </c>
      <c r="G196" s="12" t="s">
        <v>2254</v>
      </c>
      <c r="L196" s="12">
        <f t="shared" si="43"/>
        <v>509.37168000000003</v>
      </c>
      <c r="M196" s="12">
        <f t="shared" si="43"/>
        <v>584.04968694599995</v>
      </c>
      <c r="N196" s="12">
        <f t="shared" si="43"/>
        <v>669.68750665142875</v>
      </c>
      <c r="O196" s="12">
        <f t="shared" si="43"/>
        <v>774.87622495042694</v>
      </c>
      <c r="P196" s="12">
        <f t="shared" si="43"/>
        <v>904.68003159714544</v>
      </c>
      <c r="Q196" s="12">
        <f t="shared" si="43"/>
        <v>1027.9539896434742</v>
      </c>
      <c r="R196" s="12">
        <f t="shared" si="43"/>
        <v>1093.0338010751502</v>
      </c>
      <c r="S196" s="12">
        <f t="shared" si="43"/>
        <v>1310.3846257777432</v>
      </c>
      <c r="T196" s="12">
        <f t="shared" si="43"/>
        <v>1611.9657391453052</v>
      </c>
      <c r="U196" s="12">
        <f t="shared" si="43"/>
        <v>1999.79498742123</v>
      </c>
      <c r="V196" s="12">
        <f t="shared" si="43"/>
        <v>2439.2807168592699</v>
      </c>
    </row>
    <row r="197" spans="4:22" hidden="1" outlineLevel="2" x14ac:dyDescent="0.15">
      <c r="D197" s="12" t="s">
        <v>2296</v>
      </c>
      <c r="G197" s="12" t="s">
        <v>2254</v>
      </c>
      <c r="L197" s="12">
        <f t="shared" si="43"/>
        <v>588.63732000000005</v>
      </c>
      <c r="M197" s="12">
        <f t="shared" si="43"/>
        <v>694.16901237629986</v>
      </c>
      <c r="N197" s="12">
        <f t="shared" si="43"/>
        <v>825.88314551189126</v>
      </c>
      <c r="O197" s="12">
        <f t="shared" si="43"/>
        <v>896.41692210736892</v>
      </c>
      <c r="P197" s="12">
        <f t="shared" si="43"/>
        <v>1113.3320675768623</v>
      </c>
      <c r="Q197" s="12">
        <f t="shared" si="43"/>
        <v>1324.6676139294575</v>
      </c>
      <c r="R197" s="12">
        <f t="shared" si="43"/>
        <v>1562.3285912251777</v>
      </c>
      <c r="S197" s="12">
        <f t="shared" si="43"/>
        <v>1663.2949590747589</v>
      </c>
      <c r="T197" s="12">
        <f t="shared" si="43"/>
        <v>1892.3532884750853</v>
      </c>
      <c r="U197" s="12">
        <f t="shared" si="43"/>
        <v>2113.4997857391281</v>
      </c>
      <c r="V197" s="12">
        <f t="shared" si="43"/>
        <v>2382.6045454249256</v>
      </c>
    </row>
    <row r="198" spans="4:22" hidden="1" outlineLevel="2" x14ac:dyDescent="0.15">
      <c r="D198" s="12" t="s">
        <v>2297</v>
      </c>
      <c r="G198" s="12" t="s">
        <v>2254</v>
      </c>
      <c r="L198" s="12">
        <f t="shared" si="43"/>
        <v>556.77250000000004</v>
      </c>
      <c r="M198" s="12">
        <f t="shared" si="43"/>
        <v>673.26287620649987</v>
      </c>
      <c r="N198" s="12">
        <f t="shared" si="43"/>
        <v>793.08386744076302</v>
      </c>
      <c r="O198" s="12">
        <f t="shared" si="43"/>
        <v>942.51248907910951</v>
      </c>
      <c r="P198" s="12">
        <f t="shared" si="43"/>
        <v>1169.2419933211306</v>
      </c>
      <c r="Q198" s="12">
        <f t="shared" si="43"/>
        <v>1401.7798022485881</v>
      </c>
      <c r="R198" s="12">
        <f t="shared" si="43"/>
        <v>1519.8402946839592</v>
      </c>
      <c r="S198" s="12">
        <f t="shared" si="43"/>
        <v>1663.7166974316413</v>
      </c>
      <c r="T198" s="12">
        <f t="shared" si="43"/>
        <v>1786.5536674017558</v>
      </c>
      <c r="U198" s="12">
        <f t="shared" si="43"/>
        <v>2142.0063769079716</v>
      </c>
      <c r="V198" s="12">
        <f t="shared" si="43"/>
        <v>2523.5591064428072</v>
      </c>
    </row>
    <row r="199" spans="4:22" hidden="1" outlineLevel="2" x14ac:dyDescent="0.15">
      <c r="D199" s="12" t="s">
        <v>2298</v>
      </c>
      <c r="G199" s="12" t="s">
        <v>2254</v>
      </c>
      <c r="L199" s="12">
        <f t="shared" si="43"/>
        <v>263.74736000000001</v>
      </c>
      <c r="M199" s="12">
        <f t="shared" si="43"/>
        <v>299.9435670396</v>
      </c>
      <c r="N199" s="12">
        <f t="shared" si="43"/>
        <v>344.24415239928919</v>
      </c>
      <c r="O199" s="12">
        <f t="shared" si="43"/>
        <v>427.42242637706886</v>
      </c>
      <c r="P199" s="12">
        <f t="shared" si="43"/>
        <v>459.35428876967592</v>
      </c>
      <c r="Q199" s="12">
        <f t="shared" si="43"/>
        <v>575.16410612235211</v>
      </c>
      <c r="R199" s="12">
        <f t="shared" si="43"/>
        <v>624.16212589673796</v>
      </c>
      <c r="S199" s="12">
        <f t="shared" si="43"/>
        <v>664.32326119609047</v>
      </c>
      <c r="T199" s="12">
        <f t="shared" si="43"/>
        <v>797.20274956182243</v>
      </c>
      <c r="U199" s="12">
        <f t="shared" si="43"/>
        <v>948.3633759913248</v>
      </c>
      <c r="V199" s="12">
        <f t="shared" si="43"/>
        <v>1108.418107222873</v>
      </c>
    </row>
    <row r="200" spans="4:22" hidden="1" outlineLevel="2" x14ac:dyDescent="0.15">
      <c r="D200" s="12" t="s">
        <v>2299</v>
      </c>
      <c r="G200" s="12" t="s">
        <v>2254</v>
      </c>
      <c r="L200" s="12">
        <f t="shared" si="43"/>
        <v>265.48255999999998</v>
      </c>
      <c r="M200" s="12">
        <f t="shared" si="43"/>
        <v>282.25230332880005</v>
      </c>
      <c r="N200" s="12">
        <f t="shared" si="43"/>
        <v>323.62235428437725</v>
      </c>
      <c r="O200" s="12">
        <f t="shared" si="43"/>
        <v>371.06208403001239</v>
      </c>
      <c r="P200" s="12">
        <f t="shared" si="43"/>
        <v>406.12371398748672</v>
      </c>
      <c r="Q200" s="12">
        <f t="shared" si="43"/>
        <v>440.27222622040506</v>
      </c>
      <c r="R200" s="12">
        <f t="shared" si="43"/>
        <v>472.71054156822038</v>
      </c>
      <c r="S200" s="12">
        <f t="shared" si="43"/>
        <v>512.47491546742742</v>
      </c>
      <c r="T200" s="12">
        <f t="shared" si="43"/>
        <v>641.06947563038364</v>
      </c>
      <c r="U200" s="12">
        <f t="shared" si="43"/>
        <v>768.53114874186656</v>
      </c>
      <c r="V200" s="12">
        <f t="shared" si="43"/>
        <v>913.33940968078048</v>
      </c>
    </row>
    <row r="201" spans="4:22" hidden="1" outlineLevel="2" x14ac:dyDescent="0.15">
      <c r="D201" s="12" t="s">
        <v>2300</v>
      </c>
      <c r="G201" s="12" t="s">
        <v>2254</v>
      </c>
      <c r="L201" s="12">
        <f t="shared" si="43"/>
        <v>496.52189999999996</v>
      </c>
      <c r="M201" s="12">
        <f t="shared" si="43"/>
        <v>559.20376672650002</v>
      </c>
      <c r="N201" s="12">
        <f t="shared" si="43"/>
        <v>618.14791230580238</v>
      </c>
      <c r="O201" s="12">
        <f t="shared" si="43"/>
        <v>760.67551631650883</v>
      </c>
      <c r="P201" s="12">
        <f t="shared" si="43"/>
        <v>864.68827651567244</v>
      </c>
      <c r="Q201" s="12">
        <f t="shared" si="43"/>
        <v>1073.1213094067336</v>
      </c>
      <c r="R201" s="12">
        <f t="shared" si="43"/>
        <v>1331.8237621299347</v>
      </c>
      <c r="S201" s="12">
        <f t="shared" si="43"/>
        <v>1527.9148638411134</v>
      </c>
      <c r="T201" s="12">
        <f t="shared" si="43"/>
        <v>1768.8484228794771</v>
      </c>
      <c r="U201" s="12">
        <f t="shared" si="43"/>
        <v>2029.3670311889039</v>
      </c>
      <c r="V201" s="12">
        <f t="shared" si="43"/>
        <v>2518.8001540018236</v>
      </c>
    </row>
    <row r="202" spans="4:22" hidden="1" outlineLevel="2" x14ac:dyDescent="0.15">
      <c r="D202" s="12" t="s">
        <v>2301</v>
      </c>
      <c r="G202" s="12" t="s">
        <v>2254</v>
      </c>
      <c r="L202" s="12">
        <f t="shared" si="43"/>
        <v>377.01024000000001</v>
      </c>
      <c r="M202" s="12">
        <f t="shared" si="43"/>
        <v>408.42149830560004</v>
      </c>
      <c r="N202" s="12">
        <f t="shared" si="43"/>
        <v>484.99925574258862</v>
      </c>
      <c r="O202" s="12">
        <f t="shared" si="43"/>
        <v>550.68183857895838</v>
      </c>
      <c r="P202" s="12">
        <f t="shared" si="43"/>
        <v>636.74055613976691</v>
      </c>
      <c r="Q202" s="12">
        <f t="shared" si="43"/>
        <v>722.9918902025363</v>
      </c>
      <c r="R202" s="12">
        <f t="shared" si="43"/>
        <v>858.59502507480511</v>
      </c>
      <c r="S202" s="12">
        <f t="shared" si="43"/>
        <v>1019.6450712763229</v>
      </c>
      <c r="T202" s="12">
        <f t="shared" si="43"/>
        <v>1232.1641624308963</v>
      </c>
      <c r="U202" s="12">
        <f t="shared" si="43"/>
        <v>1309.2907474900087</v>
      </c>
      <c r="V202" s="12">
        <f t="shared" si="43"/>
        <v>1445.8230766416682</v>
      </c>
    </row>
    <row r="203" spans="4:22" hidden="1" outlineLevel="2" x14ac:dyDescent="0.15">
      <c r="D203" s="12" t="s">
        <v>2302</v>
      </c>
      <c r="G203" s="12" t="s">
        <v>2254</v>
      </c>
      <c r="L203" s="12">
        <f t="shared" si="43"/>
        <v>417.81324000000006</v>
      </c>
      <c r="M203" s="12">
        <f t="shared" si="43"/>
        <v>452.91918467640005</v>
      </c>
      <c r="N203" s="12">
        <f t="shared" si="43"/>
        <v>505.14603806039111</v>
      </c>
      <c r="O203" s="12">
        <f t="shared" si="43"/>
        <v>573.93568051563409</v>
      </c>
      <c r="P203" s="12">
        <f t="shared" si="43"/>
        <v>717.91265365847767</v>
      </c>
      <c r="Q203" s="12">
        <f t="shared" si="43"/>
        <v>808.22057892794919</v>
      </c>
      <c r="R203" s="12">
        <f t="shared" si="43"/>
        <v>952.02934245488336</v>
      </c>
      <c r="S203" s="12">
        <f t="shared" si="43"/>
        <v>1190.9157910160689</v>
      </c>
      <c r="T203" s="12">
        <f t="shared" si="43"/>
        <v>1340.7932436511226</v>
      </c>
      <c r="U203" s="12">
        <f t="shared" si="43"/>
        <v>1579.446179060189</v>
      </c>
      <c r="V203" s="12">
        <f t="shared" si="43"/>
        <v>1811.2137462621204</v>
      </c>
    </row>
    <row r="204" spans="4:22" hidden="1" outlineLevel="2" x14ac:dyDescent="0.15">
      <c r="D204" s="12" t="s">
        <v>2303</v>
      </c>
      <c r="G204" s="12" t="s">
        <v>2254</v>
      </c>
      <c r="L204" s="12">
        <f t="shared" si="43"/>
        <v>651.49860000000001</v>
      </c>
      <c r="M204" s="12">
        <f t="shared" si="43"/>
        <v>801.81722462669984</v>
      </c>
      <c r="N204" s="12">
        <f t="shared" si="43"/>
        <v>919.93383973075879</v>
      </c>
      <c r="O204" s="12">
        <f t="shared" si="43"/>
        <v>1007.49546839204</v>
      </c>
      <c r="P204" s="12">
        <f t="shared" si="43"/>
        <v>1145.4483888624998</v>
      </c>
      <c r="Q204" s="12">
        <f t="shared" si="43"/>
        <v>1218.6819570094515</v>
      </c>
      <c r="R204" s="12">
        <f t="shared" si="43"/>
        <v>1436.4559240642325</v>
      </c>
      <c r="S204" s="12">
        <f t="shared" si="43"/>
        <v>1543.3408230310629</v>
      </c>
      <c r="T204" s="12">
        <f t="shared" si="43"/>
        <v>1803.1051499932612</v>
      </c>
      <c r="U204" s="12">
        <f t="shared" si="43"/>
        <v>1956.1605272102618</v>
      </c>
      <c r="V204" s="12">
        <f t="shared" si="43"/>
        <v>2183.4704338088118</v>
      </c>
    </row>
    <row r="205" spans="4:22" hidden="1" outlineLevel="2" x14ac:dyDescent="0.15">
      <c r="D205" s="12" t="s">
        <v>2304</v>
      </c>
      <c r="G205" s="12" t="s">
        <v>2254</v>
      </c>
      <c r="L205" s="12">
        <f t="shared" si="43"/>
        <v>563.49600000000009</v>
      </c>
      <c r="M205" s="12">
        <f t="shared" si="43"/>
        <v>656.84351880000008</v>
      </c>
      <c r="N205" s="12">
        <f t="shared" si="43"/>
        <v>786.16766586009749</v>
      </c>
      <c r="O205" s="12">
        <f t="shared" si="43"/>
        <v>965.50601585904565</v>
      </c>
      <c r="P205" s="12">
        <f t="shared" si="43"/>
        <v>1095.3216765686545</v>
      </c>
      <c r="Q205" s="12">
        <f t="shared" si="43"/>
        <v>1253.9984240574447</v>
      </c>
      <c r="R205" s="12">
        <f t="shared" si="43"/>
        <v>1422.6188391239311</v>
      </c>
      <c r="S205" s="12">
        <f t="shared" si="43"/>
        <v>1584.3089132257705</v>
      </c>
      <c r="T205" s="12">
        <f t="shared" si="43"/>
        <v>1896.3029694130569</v>
      </c>
      <c r="U205" s="12">
        <f t="shared" si="43"/>
        <v>2230.2764394784126</v>
      </c>
      <c r="V205" s="12">
        <f t="shared" si="43"/>
        <v>2599.870868834023</v>
      </c>
    </row>
    <row r="206" spans="4:22" hidden="1" outlineLevel="2" x14ac:dyDescent="0.15">
      <c r="D206" s="12" t="s">
        <v>2305</v>
      </c>
      <c r="G206" s="12" t="s">
        <v>2254</v>
      </c>
      <c r="L206" s="12">
        <f t="shared" ref="L206:V208" si="44">L137+L160+L183</f>
        <v>500.60919999999999</v>
      </c>
      <c r="M206" s="12">
        <f t="shared" si="44"/>
        <v>594.77578869150011</v>
      </c>
      <c r="N206" s="12">
        <f t="shared" si="44"/>
        <v>632.28099450949549</v>
      </c>
      <c r="O206" s="12">
        <f t="shared" si="44"/>
        <v>757.82993411387997</v>
      </c>
      <c r="P206" s="12">
        <f t="shared" si="44"/>
        <v>900.42501288694325</v>
      </c>
      <c r="Q206" s="12">
        <f t="shared" si="44"/>
        <v>1032.3295949432736</v>
      </c>
      <c r="R206" s="12">
        <f t="shared" si="44"/>
        <v>1291.1746979139984</v>
      </c>
      <c r="S206" s="12">
        <f t="shared" si="44"/>
        <v>1453.4544601956404</v>
      </c>
      <c r="T206" s="12">
        <f t="shared" si="44"/>
        <v>1772.5042424441169</v>
      </c>
      <c r="U206" s="12">
        <f t="shared" si="44"/>
        <v>2032.297719401229</v>
      </c>
      <c r="V206" s="12">
        <f t="shared" si="44"/>
        <v>2181.9225317710207</v>
      </c>
    </row>
    <row r="207" spans="4:22" hidden="1" outlineLevel="2" x14ac:dyDescent="0.15">
      <c r="D207" s="12" t="s">
        <v>2306</v>
      </c>
      <c r="G207" s="12" t="s">
        <v>2254</v>
      </c>
      <c r="L207" s="12">
        <f t="shared" si="44"/>
        <v>333.06000000000006</v>
      </c>
      <c r="M207" s="12">
        <f t="shared" si="44"/>
        <v>361.4690086384</v>
      </c>
      <c r="N207" s="12">
        <f t="shared" si="44"/>
        <v>411.17059183613128</v>
      </c>
      <c r="O207" s="12">
        <f t="shared" si="44"/>
        <v>463.42508751952948</v>
      </c>
      <c r="P207" s="12">
        <f t="shared" si="44"/>
        <v>561.02286742938304</v>
      </c>
      <c r="Q207" s="12">
        <f t="shared" si="44"/>
        <v>644.05893328436764</v>
      </c>
      <c r="R207" s="12">
        <f t="shared" si="44"/>
        <v>732.67913501023986</v>
      </c>
      <c r="S207" s="12">
        <f t="shared" si="44"/>
        <v>856.45185459561264</v>
      </c>
      <c r="T207" s="12">
        <f t="shared" si="44"/>
        <v>974.33876284389669</v>
      </c>
      <c r="U207" s="12">
        <f t="shared" si="44"/>
        <v>1067.7983879534017</v>
      </c>
      <c r="V207" s="12">
        <f t="shared" si="44"/>
        <v>1181.393536328156</v>
      </c>
    </row>
    <row r="208" spans="4:22" hidden="1" outlineLevel="2" x14ac:dyDescent="0.15">
      <c r="D208" s="12" t="s">
        <v>2307</v>
      </c>
      <c r="G208" s="12" t="s">
        <v>2254</v>
      </c>
      <c r="L208" s="12">
        <f t="shared" si="44"/>
        <v>471.22559999999999</v>
      </c>
      <c r="M208" s="12">
        <f t="shared" si="44"/>
        <v>574.33881983399999</v>
      </c>
      <c r="N208" s="12">
        <f t="shared" si="44"/>
        <v>610.27732576899143</v>
      </c>
      <c r="O208" s="12">
        <f t="shared" si="44"/>
        <v>661.18799709923292</v>
      </c>
      <c r="P208" s="12">
        <f t="shared" si="44"/>
        <v>805.89923633993908</v>
      </c>
      <c r="Q208" s="12">
        <f t="shared" si="44"/>
        <v>889.94282055380916</v>
      </c>
      <c r="R208" s="12">
        <f t="shared" si="44"/>
        <v>1103.2912425913007</v>
      </c>
      <c r="S208" s="12">
        <f t="shared" si="44"/>
        <v>1229.8742382983976</v>
      </c>
      <c r="T208" s="12">
        <f t="shared" si="44"/>
        <v>1396.6244719661252</v>
      </c>
      <c r="U208" s="12">
        <f t="shared" si="44"/>
        <v>1556.9031537153535</v>
      </c>
      <c r="V208" s="12">
        <f t="shared" si="44"/>
        <v>1784.2603465159714</v>
      </c>
    </row>
    <row r="209" spans="2:22" s="22" customFormat="1" hidden="1" outlineLevel="2" x14ac:dyDescent="0.15">
      <c r="C209" s="80" t="s">
        <v>2314</v>
      </c>
      <c r="D209" s="80"/>
      <c r="E209" s="80"/>
      <c r="F209" s="80"/>
      <c r="G209" s="80" t="s">
        <v>2254</v>
      </c>
      <c r="H209" s="80"/>
      <c r="I209" s="80"/>
      <c r="J209" s="80"/>
      <c r="K209" s="80"/>
      <c r="L209" s="80">
        <f>SUM(L189:L208)</f>
        <v>9658.0555199999999</v>
      </c>
      <c r="M209" s="80">
        <f t="shared" ref="M209:V209" si="45">SUM(M189:M208)</f>
        <v>11166.19869240695</v>
      </c>
      <c r="N209" s="80">
        <f t="shared" si="45"/>
        <v>12883.789226037108</v>
      </c>
      <c r="O209" s="80">
        <f t="shared" si="45"/>
        <v>14916.863353580397</v>
      </c>
      <c r="P209" s="80">
        <f t="shared" si="45"/>
        <v>17380.753692179551</v>
      </c>
      <c r="Q209" s="80">
        <f t="shared" si="45"/>
        <v>20187.447081139777</v>
      </c>
      <c r="R209" s="80">
        <f t="shared" si="45"/>
        <v>23182.054863779518</v>
      </c>
      <c r="S209" s="80">
        <f t="shared" si="45"/>
        <v>26273.183007322492</v>
      </c>
      <c r="T209" s="80">
        <f t="shared" si="45"/>
        <v>30902.884795071379</v>
      </c>
      <c r="U209" s="80">
        <f t="shared" si="45"/>
        <v>35404.493348629432</v>
      </c>
      <c r="V209" s="80">
        <f t="shared" si="45"/>
        <v>41453.893070870865</v>
      </c>
    </row>
    <row r="210" spans="2:22" hidden="1" outlineLevel="2" x14ac:dyDescent="0.15"/>
    <row r="211" spans="2:22" outlineLevel="1" collapsed="1" x14ac:dyDescent="0.15">
      <c r="B211" s="115" t="s">
        <v>2323</v>
      </c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</row>
    <row r="212" spans="2:22" hidden="1" outlineLevel="2" x14ac:dyDescent="0.15"/>
    <row r="213" spans="2:22" hidden="1" outlineLevel="2" x14ac:dyDescent="0.15">
      <c r="C213" s="224" t="s">
        <v>2324</v>
      </c>
      <c r="D213" s="224"/>
      <c r="E213" s="224"/>
      <c r="F213" s="224"/>
      <c r="G213" s="224"/>
      <c r="H213" s="224"/>
      <c r="I213" s="224"/>
      <c r="J213" s="224"/>
      <c r="K213" s="224"/>
      <c r="L213" s="224"/>
      <c r="M213" s="224"/>
      <c r="N213" s="224"/>
      <c r="O213" s="224"/>
      <c r="P213" s="224"/>
      <c r="Q213" s="224"/>
      <c r="R213" s="224"/>
      <c r="S213" s="224"/>
      <c r="T213" s="224"/>
      <c r="U213" s="224"/>
      <c r="V213" s="224"/>
    </row>
    <row r="214" spans="2:22" hidden="1" outlineLevel="2" x14ac:dyDescent="0.15">
      <c r="C214" s="22"/>
    </row>
    <row r="215" spans="2:22" hidden="1" outlineLevel="2" x14ac:dyDescent="0.15">
      <c r="C215" s="22" t="s">
        <v>2313</v>
      </c>
    </row>
    <row r="216" spans="2:22" s="22" customFormat="1" hidden="1" outlineLevel="2" x14ac:dyDescent="0.15">
      <c r="C216" s="80" t="s">
        <v>2314</v>
      </c>
      <c r="D216" s="80"/>
      <c r="E216" s="80"/>
      <c r="F216" s="80"/>
      <c r="G216" s="80" t="s">
        <v>2254</v>
      </c>
      <c r="H216" s="80"/>
      <c r="I216" s="80"/>
      <c r="J216" s="80"/>
      <c r="K216" s="80"/>
      <c r="L216" s="80">
        <f>(SUMPRODUCT(L$41:L$60,$L$63:$L$82)*(1+L$32)+SUMPRODUCT(L$41:L$60,$M$63:$M$82)*L$37*(1+L$33)+SUMPRODUCT(L$41:L$60,$N$63:$N$82)*L$38*(1+L$34))/1000</f>
        <v>9658.0555199999999</v>
      </c>
      <c r="M216" s="80">
        <f t="shared" ref="M216:V216" si="46">(SUMPRODUCT(M$41:M$60,$L$63:$L$82)*(1+M$32)+SUMPRODUCT(M$41:M$60,$M$63:$M$82)*M$37*(1+M$33)+SUMPRODUCT(M$41:M$60,$N$63:$N$82)*M$38*(1+M$34))/1000</f>
        <v>11166.198692406948</v>
      </c>
      <c r="N216" s="80">
        <f t="shared" si="46"/>
        <v>12883.789226037108</v>
      </c>
      <c r="O216" s="80">
        <f t="shared" si="46"/>
        <v>14916.863353580397</v>
      </c>
      <c r="P216" s="80">
        <f t="shared" si="46"/>
        <v>17380.753692179554</v>
      </c>
      <c r="Q216" s="80">
        <f t="shared" si="46"/>
        <v>20187.447081139777</v>
      </c>
      <c r="R216" s="80">
        <f t="shared" si="46"/>
        <v>23182.054863779518</v>
      </c>
      <c r="S216" s="80">
        <f t="shared" si="46"/>
        <v>26273.183007322492</v>
      </c>
      <c r="T216" s="80">
        <f t="shared" si="46"/>
        <v>30902.884795071379</v>
      </c>
      <c r="U216" s="80">
        <f t="shared" si="46"/>
        <v>35404.493348629432</v>
      </c>
      <c r="V216" s="80">
        <f t="shared" si="46"/>
        <v>41453.893070870879</v>
      </c>
    </row>
    <row r="217" spans="2:22" hidden="1" outlineLevel="2" x14ac:dyDescent="0.15"/>
    <row r="218" spans="2:22" hidden="1" outlineLevel="2" x14ac:dyDescent="0.15">
      <c r="C218" s="224" t="s">
        <v>2325</v>
      </c>
      <c r="D218" s="224"/>
      <c r="E218" s="224"/>
      <c r="F218" s="224"/>
      <c r="G218" s="224"/>
      <c r="H218" s="224"/>
      <c r="I218" s="224"/>
      <c r="J218" s="224"/>
      <c r="K218" s="224"/>
      <c r="L218" s="224"/>
      <c r="M218" s="224"/>
      <c r="N218" s="224"/>
      <c r="O218" s="224"/>
      <c r="P218" s="224"/>
      <c r="Q218" s="224"/>
      <c r="R218" s="224"/>
      <c r="S218" s="224"/>
      <c r="T218" s="224"/>
      <c r="U218" s="224"/>
      <c r="V218" s="224"/>
    </row>
    <row r="219" spans="2:22" hidden="1" outlineLevel="2" x14ac:dyDescent="0.15">
      <c r="C219" s="22"/>
    </row>
    <row r="220" spans="2:22" hidden="1" outlineLevel="2" x14ac:dyDescent="0.15">
      <c r="C220" s="22" t="s">
        <v>2313</v>
      </c>
    </row>
    <row r="221" spans="2:22" hidden="1" outlineLevel="2" x14ac:dyDescent="0.15">
      <c r="D221" s="215" t="s">
        <v>112</v>
      </c>
      <c r="E221" s="215"/>
      <c r="F221" s="215"/>
      <c r="G221" s="215" t="s">
        <v>2254</v>
      </c>
      <c r="H221" s="215"/>
      <c r="I221" s="215"/>
      <c r="J221" s="215"/>
      <c r="K221" s="215"/>
      <c r="L221" s="215">
        <f>SUM(L222:L224)</f>
        <v>449.35638</v>
      </c>
      <c r="M221" s="215">
        <f t="shared" ref="M221:V221" si="47">SUM(M222:M224)</f>
        <v>548.53715905267495</v>
      </c>
      <c r="N221" s="215">
        <f t="shared" si="47"/>
        <v>686.79338592865724</v>
      </c>
      <c r="O221" s="215">
        <f t="shared" si="47"/>
        <v>816.91961220288101</v>
      </c>
      <c r="P221" s="215">
        <f t="shared" si="47"/>
        <v>937.62671365479866</v>
      </c>
      <c r="Q221" s="215">
        <f t="shared" si="47"/>
        <v>1066.4096524017912</v>
      </c>
      <c r="R221" s="215">
        <f t="shared" si="47"/>
        <v>1224.035510453306</v>
      </c>
      <c r="S221" s="215">
        <f t="shared" si="47"/>
        <v>1468.8546572716036</v>
      </c>
      <c r="T221" s="215">
        <f t="shared" si="47"/>
        <v>1793.3348563740014</v>
      </c>
      <c r="U221" s="215">
        <f t="shared" si="47"/>
        <v>2002.4037104516303</v>
      </c>
      <c r="V221" s="215">
        <f t="shared" si="47"/>
        <v>2256.7927336280245</v>
      </c>
    </row>
    <row r="222" spans="2:22" hidden="1" outlineLevel="2" x14ac:dyDescent="0.15">
      <c r="D222" s="12" t="s">
        <v>112</v>
      </c>
      <c r="E222" s="12" t="s">
        <v>2291</v>
      </c>
      <c r="G222" s="12" t="s">
        <v>2254</v>
      </c>
      <c r="L222" s="12">
        <f>SUMIF($D$41:$D$60,$D222,L$41:L$60)*
SUMIF($D$63:$D$82,$D222,$L$63:$L$82)*(1+L$32)/1000</f>
        <v>256.33608000000004</v>
      </c>
      <c r="M222" s="12">
        <f t="shared" ref="M222:V222" si="48">SUMIF($D$41:$D$60,$D222,M$41:M$60)*
SUMIF($D$63:$D$82,$D222,$L$63:$L$82)*(1+M$32)/1000</f>
        <v>311.90974214400001</v>
      </c>
      <c r="N222" s="12">
        <f t="shared" si="48"/>
        <v>389.26335819571204</v>
      </c>
      <c r="O222" s="12">
        <f t="shared" si="48"/>
        <v>461.51063747683622</v>
      </c>
      <c r="P222" s="12">
        <f t="shared" si="48"/>
        <v>527.96816927350085</v>
      </c>
      <c r="Q222" s="12">
        <f t="shared" si="48"/>
        <v>598.50471668844057</v>
      </c>
      <c r="R222" s="12">
        <f t="shared" si="48"/>
        <v>684.68939589157605</v>
      </c>
      <c r="S222" s="12">
        <f t="shared" si="48"/>
        <v>818.88851748632499</v>
      </c>
      <c r="T222" s="12">
        <f t="shared" si="48"/>
        <v>996.42354807736035</v>
      </c>
      <c r="U222" s="12">
        <f t="shared" si="48"/>
        <v>1108.8201243004867</v>
      </c>
      <c r="V222" s="12">
        <f t="shared" si="48"/>
        <v>1245.426763614307</v>
      </c>
    </row>
    <row r="223" spans="2:22" hidden="1" outlineLevel="2" x14ac:dyDescent="0.15">
      <c r="D223" s="12" t="s">
        <v>112</v>
      </c>
      <c r="E223" s="12" t="s">
        <v>2309</v>
      </c>
      <c r="G223" s="12" t="s">
        <v>2254</v>
      </c>
      <c r="L223" s="12">
        <f>SUMIF($D$41:$D$60,$D223,L$41:L$60)*
SUMIF($D$63:$D$82,$D223,$M$63:$M$82)*(1+L$33)*L$37/1000</f>
        <v>139.59269999999998</v>
      </c>
      <c r="M223" s="12">
        <f t="shared" ref="M223:V223" si="49">SUMIF($D$41:$D$60,$D223,M$41:M$60)*
SUMIF($D$63:$D$82,$D223,$M$63:$M$82)*(1+M$33)*M$37/1000</f>
        <v>171.59170911187499</v>
      </c>
      <c r="N223" s="12">
        <f t="shared" si="49"/>
        <v>216.33424726279634</v>
      </c>
      <c r="O223" s="12">
        <f t="shared" si="49"/>
        <v>259.10623212474189</v>
      </c>
      <c r="P223" s="12">
        <f t="shared" si="49"/>
        <v>299.44583363866269</v>
      </c>
      <c r="Q223" s="12">
        <f t="shared" si="49"/>
        <v>342.91975407361571</v>
      </c>
      <c r="R223" s="12">
        <f t="shared" si="49"/>
        <v>396.30807328595182</v>
      </c>
      <c r="S223" s="12">
        <f t="shared" si="49"/>
        <v>478.82684492046093</v>
      </c>
      <c r="T223" s="12">
        <f t="shared" si="49"/>
        <v>588.58892111513421</v>
      </c>
      <c r="U223" s="12">
        <f t="shared" si="49"/>
        <v>661.67327171384898</v>
      </c>
      <c r="V223" s="12">
        <f t="shared" si="49"/>
        <v>750.78411958191145</v>
      </c>
    </row>
    <row r="224" spans="2:22" hidden="1" outlineLevel="2" x14ac:dyDescent="0.15">
      <c r="D224" s="12" t="s">
        <v>112</v>
      </c>
      <c r="E224" s="12" t="s">
        <v>2310</v>
      </c>
      <c r="G224" s="12" t="s">
        <v>2254</v>
      </c>
      <c r="L224" s="12">
        <f>SUMIF($D$41:$D$60,$D224,L$41:L$60)*
SUMIF($D$63:$D$82,$D224,$N$63:$N$82)*(1+L$34)*L$38/1000</f>
        <v>53.427599999999998</v>
      </c>
      <c r="M224" s="12">
        <f t="shared" ref="M224:V224" si="50">SUMIF($D$41:$D$60,$D224,M$41:M$60)*
SUMIF($D$63:$D$82,$D224,$N$63:$N$82)*(1+M$34)*M$38/1000</f>
        <v>65.035707796799983</v>
      </c>
      <c r="N224" s="12">
        <f t="shared" si="50"/>
        <v>81.195780470148847</v>
      </c>
      <c r="O224" s="12">
        <f t="shared" si="50"/>
        <v>96.302742601302867</v>
      </c>
      <c r="P224" s="12">
        <f t="shared" si="50"/>
        <v>110.21271074263508</v>
      </c>
      <c r="Q224" s="12">
        <f t="shared" si="50"/>
        <v>124.98518163973495</v>
      </c>
      <c r="R224" s="12">
        <f t="shared" si="50"/>
        <v>143.03804127577826</v>
      </c>
      <c r="S224" s="12">
        <f t="shared" si="50"/>
        <v>171.13929486481766</v>
      </c>
      <c r="T224" s="12">
        <f t="shared" si="50"/>
        <v>208.32238718150688</v>
      </c>
      <c r="U224" s="12">
        <f t="shared" si="50"/>
        <v>231.9103144372946</v>
      </c>
      <c r="V224" s="12">
        <f t="shared" si="50"/>
        <v>260.58185043180623</v>
      </c>
    </row>
    <row r="225" spans="3:22" hidden="1" outlineLevel="2" x14ac:dyDescent="0.15">
      <c r="D225" s="215" t="s">
        <v>113</v>
      </c>
      <c r="E225" s="215"/>
      <c r="F225" s="215"/>
      <c r="G225" s="215" t="s">
        <v>2254</v>
      </c>
      <c r="H225" s="215"/>
      <c r="I225" s="215"/>
      <c r="J225" s="215"/>
      <c r="K225" s="215"/>
      <c r="L225" s="215">
        <f>SUM(L226:L228)</f>
        <v>497.61376000000001</v>
      </c>
      <c r="M225" s="215">
        <f t="shared" ref="M225:V225" si="51">SUM(M226:M228)</f>
        <v>538.9660334240001</v>
      </c>
      <c r="N225" s="215">
        <f t="shared" si="51"/>
        <v>673.57111571930545</v>
      </c>
      <c r="O225" s="215">
        <f t="shared" si="51"/>
        <v>750.60805708826206</v>
      </c>
      <c r="P225" s="215">
        <f t="shared" si="51"/>
        <v>899.00532661331579</v>
      </c>
      <c r="Q225" s="215">
        <f t="shared" si="51"/>
        <v>1020.5756869881836</v>
      </c>
      <c r="R225" s="215">
        <f t="shared" si="51"/>
        <v>1158.5998343161559</v>
      </c>
      <c r="S225" s="215">
        <f t="shared" si="51"/>
        <v>1291.1726427100559</v>
      </c>
      <c r="T225" s="215">
        <f t="shared" si="51"/>
        <v>1600.3085358989163</v>
      </c>
      <c r="U225" s="215">
        <f t="shared" si="51"/>
        <v>1716.7964197724025</v>
      </c>
      <c r="V225" s="215">
        <f t="shared" si="51"/>
        <v>2074.2451712503539</v>
      </c>
    </row>
    <row r="226" spans="3:22" hidden="1" outlineLevel="2" x14ac:dyDescent="0.15">
      <c r="D226" s="12" t="s">
        <v>113</v>
      </c>
      <c r="E226" s="12" t="str">
        <f t="shared" ref="E226:E232" si="52">IF(E222=0,0,E222)</f>
        <v>руб.</v>
      </c>
      <c r="G226" s="12" t="s">
        <v>2254</v>
      </c>
      <c r="L226" s="12">
        <f>SUMIF($D$41:$D$60,$D226,L$41:L$60)*
SUMIF($D$63:$D$82,$D226,$L$63:$L$82)*(1+L$32)/1000</f>
        <v>380.54016000000001</v>
      </c>
      <c r="M226" s="12">
        <f t="shared" ref="M226:V226" si="53">SUMIF($D$41:$D$60,$D226,M$41:M$60)*
SUMIF($D$63:$D$82,$D226,$L$63:$L$82)*(1+M$32)/1000</f>
        <v>411.5922370560001</v>
      </c>
      <c r="N226" s="12">
        <f t="shared" si="53"/>
        <v>513.66711184588803</v>
      </c>
      <c r="O226" s="12">
        <f t="shared" si="53"/>
        <v>571.60876206210435</v>
      </c>
      <c r="P226" s="12">
        <f t="shared" si="53"/>
        <v>683.6440794262769</v>
      </c>
      <c r="Q226" s="12">
        <f t="shared" si="53"/>
        <v>774.97892843762736</v>
      </c>
      <c r="R226" s="12">
        <f t="shared" si="53"/>
        <v>878.51611327689454</v>
      </c>
      <c r="S226" s="12">
        <f t="shared" si="53"/>
        <v>977.61273085452854</v>
      </c>
      <c r="T226" s="12">
        <f t="shared" si="53"/>
        <v>1209.8935157055644</v>
      </c>
      <c r="U226" s="12">
        <f t="shared" si="53"/>
        <v>1296.0379340238005</v>
      </c>
      <c r="V226" s="12">
        <f t="shared" si="53"/>
        <v>1563.5401636063129</v>
      </c>
    </row>
    <row r="227" spans="3:22" hidden="1" outlineLevel="2" x14ac:dyDescent="0.15">
      <c r="D227" s="12" t="s">
        <v>113</v>
      </c>
      <c r="E227" s="12" t="str">
        <f t="shared" si="52"/>
        <v>юань</v>
      </c>
      <c r="G227" s="12" t="s">
        <v>2254</v>
      </c>
      <c r="L227" s="12">
        <f>SUMIF($D$41:$D$60,$D227,L$41:L$60)*
SUMIF($D$63:$D$82,$D227,$M$63:$M$82)*(1+L$33)*L$37/1000</f>
        <v>65.665599999999998</v>
      </c>
      <c r="M227" s="12">
        <f t="shared" ref="M227:V227" si="54">SUMIF($D$41:$D$60,$D227,M$41:M$60)*
SUMIF($D$63:$D$82,$D227,$M$63:$M$82)*(1+M$33)*M$37/1000</f>
        <v>71.749517839999982</v>
      </c>
      <c r="N227" s="12">
        <f t="shared" si="54"/>
        <v>90.458204616779966</v>
      </c>
      <c r="O227" s="12">
        <f t="shared" si="54"/>
        <v>101.69028681128978</v>
      </c>
      <c r="P227" s="12">
        <f t="shared" si="54"/>
        <v>122.86411121827796</v>
      </c>
      <c r="Q227" s="12">
        <f t="shared" si="54"/>
        <v>140.70167646508656</v>
      </c>
      <c r="R227" s="12">
        <f t="shared" si="54"/>
        <v>161.1289217313834</v>
      </c>
      <c r="S227" s="12">
        <f t="shared" si="54"/>
        <v>181.13609853161708</v>
      </c>
      <c r="T227" s="12">
        <f t="shared" si="54"/>
        <v>226.46427508853839</v>
      </c>
      <c r="U227" s="12">
        <f t="shared" si="54"/>
        <v>245.06689988534251</v>
      </c>
      <c r="V227" s="12">
        <f t="shared" si="54"/>
        <v>298.66915756276398</v>
      </c>
    </row>
    <row r="228" spans="3:22" hidden="1" outlineLevel="2" x14ac:dyDescent="0.15">
      <c r="D228" s="12" t="s">
        <v>113</v>
      </c>
      <c r="E228" s="12" t="str">
        <f t="shared" si="52"/>
        <v>долл.</v>
      </c>
      <c r="G228" s="12" t="s">
        <v>2254</v>
      </c>
      <c r="L228" s="12">
        <f>SUMIF($D$41:$D$60,$D228,L$41:L$60)*
SUMIF($D$63:$D$82,$D228,$N$63:$N$82)*(1+L$34)*L$38/1000</f>
        <v>51.408000000000008</v>
      </c>
      <c r="M228" s="12">
        <f t="shared" ref="M228:V228" si="55">SUMIF($D$41:$D$60,$D228,M$41:M$60)*
SUMIF($D$63:$D$82,$D228,$N$63:$N$82)*(1+M$34)*M$38/1000</f>
        <v>55.624278527999998</v>
      </c>
      <c r="N228" s="12">
        <f t="shared" si="55"/>
        <v>69.445799256637443</v>
      </c>
      <c r="O228" s="12">
        <f t="shared" si="55"/>
        <v>77.309008214867987</v>
      </c>
      <c r="P228" s="12">
        <f t="shared" si="55"/>
        <v>92.497135968760958</v>
      </c>
      <c r="Q228" s="12">
        <f t="shared" si="55"/>
        <v>104.89508208546981</v>
      </c>
      <c r="R228" s="12">
        <f t="shared" si="55"/>
        <v>118.95479930787782</v>
      </c>
      <c r="S228" s="12">
        <f t="shared" si="55"/>
        <v>132.42381332391022</v>
      </c>
      <c r="T228" s="12">
        <f t="shared" si="55"/>
        <v>163.95074510481351</v>
      </c>
      <c r="U228" s="12">
        <f t="shared" si="55"/>
        <v>175.69158586325946</v>
      </c>
      <c r="V228" s="12">
        <f t="shared" si="55"/>
        <v>212.03585008127678</v>
      </c>
    </row>
    <row r="229" spans="3:22" hidden="1" outlineLevel="2" x14ac:dyDescent="0.15">
      <c r="D229" s="215" t="s">
        <v>114</v>
      </c>
      <c r="E229" s="215"/>
      <c r="F229" s="215"/>
      <c r="G229" s="215" t="s">
        <v>2254</v>
      </c>
      <c r="H229" s="215"/>
      <c r="I229" s="215"/>
      <c r="J229" s="215"/>
      <c r="K229" s="215"/>
      <c r="L229" s="215">
        <f>SUM(L230:L232)</f>
        <v>661.22094000000004</v>
      </c>
      <c r="M229" s="215">
        <f t="shared" ref="M229:V229" si="56">SUM(M230:M232)</f>
        <v>716.18408485260011</v>
      </c>
      <c r="N229" s="215">
        <f t="shared" si="56"/>
        <v>768.26597641772844</v>
      </c>
      <c r="O229" s="215">
        <f t="shared" si="56"/>
        <v>912.16032944595202</v>
      </c>
      <c r="P229" s="215">
        <f t="shared" si="56"/>
        <v>1092.5185153590451</v>
      </c>
      <c r="Q229" s="215">
        <f t="shared" si="56"/>
        <v>1263.0387159634872</v>
      </c>
      <c r="R229" s="215">
        <f t="shared" si="56"/>
        <v>1433.8812003382473</v>
      </c>
      <c r="S229" s="215">
        <f t="shared" si="56"/>
        <v>1702.5238338952738</v>
      </c>
      <c r="T229" s="215">
        <f t="shared" si="56"/>
        <v>2110.185073092367</v>
      </c>
      <c r="U229" s="215">
        <f t="shared" si="56"/>
        <v>2285.806773285226</v>
      </c>
      <c r="V229" s="215">
        <f t="shared" si="56"/>
        <v>2714.1589552132309</v>
      </c>
    </row>
    <row r="230" spans="3:22" hidden="1" outlineLevel="2" x14ac:dyDescent="0.15">
      <c r="D230" s="12" t="s">
        <v>114</v>
      </c>
      <c r="E230" s="12" t="str">
        <f t="shared" si="52"/>
        <v>руб.</v>
      </c>
      <c r="G230" s="12" t="s">
        <v>2254</v>
      </c>
      <c r="L230" s="12">
        <f>SUMIF($D$41:$D$60,$D230,L$41:L$60)*
SUMIF($D$63:$D$82,$D230,$L$63:$L$82)*(1+L$32)/1000</f>
        <v>417.91464000000002</v>
      </c>
      <c r="M230" s="12">
        <f t="shared" ref="M230:V230" si="57">SUMIF($D$41:$D$60,$D230,M$41:M$60)*
SUMIF($D$63:$D$82,$D230,$L$63:$L$82)*(1+M$32)/1000</f>
        <v>452.01647462400007</v>
      </c>
      <c r="N230" s="12">
        <f t="shared" si="57"/>
        <v>484.20004761722879</v>
      </c>
      <c r="O230" s="12">
        <f t="shared" si="57"/>
        <v>574.06757645498658</v>
      </c>
      <c r="P230" s="12">
        <f t="shared" si="57"/>
        <v>686.58482144016398</v>
      </c>
      <c r="Q230" s="12">
        <f t="shared" si="57"/>
        <v>792.59351787052549</v>
      </c>
      <c r="R230" s="12">
        <f t="shared" si="57"/>
        <v>898.48401185802777</v>
      </c>
      <c r="S230" s="12">
        <f t="shared" si="57"/>
        <v>1065.2426444588777</v>
      </c>
      <c r="T230" s="12">
        <f t="shared" si="57"/>
        <v>1318.3442967823073</v>
      </c>
      <c r="U230" s="12">
        <f t="shared" si="57"/>
        <v>1425.9211913997435</v>
      </c>
      <c r="V230" s="12">
        <f t="shared" si="57"/>
        <v>1690.5721645235358</v>
      </c>
    </row>
    <row r="231" spans="3:22" hidden="1" outlineLevel="2" x14ac:dyDescent="0.15">
      <c r="D231" s="12" t="s">
        <v>114</v>
      </c>
      <c r="E231" s="12" t="str">
        <f t="shared" si="52"/>
        <v>юань</v>
      </c>
      <c r="G231" s="12" t="s">
        <v>2254</v>
      </c>
      <c r="L231" s="12">
        <f>SUMIF($D$41:$D$60,$D231,L$41:L$60)*
SUMIF($D$63:$D$82,$D231,$M$63:$M$82)*(1+L$33)*L$37/1000</f>
        <v>85.226699999999994</v>
      </c>
      <c r="M231" s="12">
        <f t="shared" ref="M231:V231" si="58">SUMIF($D$41:$D$60,$D231,M$41:M$60)*
SUMIF($D$63:$D$82,$D231,$M$63:$M$82)*(1+M$33)*M$37/1000</f>
        <v>93.122953754999997</v>
      </c>
      <c r="N231" s="12">
        <f t="shared" si="58"/>
        <v>100.77242238751225</v>
      </c>
      <c r="O231" s="12">
        <f t="shared" si="58"/>
        <v>120.69638994880327</v>
      </c>
      <c r="P231" s="12">
        <f t="shared" si="58"/>
        <v>145.82764139345559</v>
      </c>
      <c r="Q231" s="12">
        <f t="shared" si="58"/>
        <v>170.06328397028921</v>
      </c>
      <c r="R231" s="12">
        <f t="shared" si="58"/>
        <v>194.75328411620069</v>
      </c>
      <c r="S231" s="12">
        <f t="shared" si="58"/>
        <v>233.25844280202503</v>
      </c>
      <c r="T231" s="12">
        <f t="shared" si="58"/>
        <v>291.62991024796423</v>
      </c>
      <c r="U231" s="12">
        <f t="shared" si="58"/>
        <v>318.64942143243803</v>
      </c>
      <c r="V231" s="12">
        <f t="shared" si="58"/>
        <v>381.65039516739893</v>
      </c>
    </row>
    <row r="232" spans="3:22" hidden="1" outlineLevel="2" x14ac:dyDescent="0.15">
      <c r="D232" s="12" t="s">
        <v>114</v>
      </c>
      <c r="E232" s="12" t="str">
        <f t="shared" si="52"/>
        <v>долл.</v>
      </c>
      <c r="G232" s="12" t="s">
        <v>2254</v>
      </c>
      <c r="L232" s="12">
        <f>SUMIF($D$41:$D$60,$D232,L$41:L$60)*
SUMIF($D$63:$D$82,$D232,$N$63:$N$82)*(1+L$34)*L$38/1000</f>
        <v>158.0796</v>
      </c>
      <c r="M232" s="12">
        <f t="shared" ref="M232:V232" si="59">SUMIF($D$41:$D$60,$D232,M$41:M$60)*
SUMIF($D$63:$D$82,$D232,$N$63:$N$82)*(1+M$34)*M$38/1000</f>
        <v>171.04465647360001</v>
      </c>
      <c r="N232" s="12">
        <f t="shared" si="59"/>
        <v>183.29350641298743</v>
      </c>
      <c r="O232" s="12">
        <f t="shared" si="59"/>
        <v>217.39636304216222</v>
      </c>
      <c r="P232" s="12">
        <f t="shared" si="59"/>
        <v>260.10605252542541</v>
      </c>
      <c r="Q232" s="12">
        <f t="shared" si="59"/>
        <v>300.38191412267247</v>
      </c>
      <c r="R232" s="12">
        <f t="shared" si="59"/>
        <v>340.64390436401897</v>
      </c>
      <c r="S232" s="12">
        <f t="shared" si="59"/>
        <v>404.02274663437106</v>
      </c>
      <c r="T232" s="12">
        <f t="shared" si="59"/>
        <v>500.21086606209559</v>
      </c>
      <c r="U232" s="12">
        <f t="shared" si="59"/>
        <v>541.23616045304448</v>
      </c>
      <c r="V232" s="12">
        <f t="shared" si="59"/>
        <v>641.93639552229604</v>
      </c>
    </row>
    <row r="233" spans="3:22" hidden="1" outlineLevel="2" x14ac:dyDescent="0.15">
      <c r="D233" s="12" t="s">
        <v>179</v>
      </c>
    </row>
    <row r="234" spans="3:22" hidden="1" outlineLevel="2" x14ac:dyDescent="0.15">
      <c r="D234" s="12" t="s">
        <v>179</v>
      </c>
    </row>
    <row r="235" spans="3:22" hidden="1" outlineLevel="2" x14ac:dyDescent="0.15"/>
    <row r="236" spans="3:22" hidden="1" outlineLevel="2" x14ac:dyDescent="0.15">
      <c r="C236" s="224" t="s">
        <v>2326</v>
      </c>
      <c r="D236" s="224"/>
      <c r="E236" s="224"/>
      <c r="F236" s="224"/>
      <c r="G236" s="224"/>
      <c r="H236" s="224"/>
      <c r="I236" s="224"/>
      <c r="J236" s="224"/>
      <c r="K236" s="224"/>
      <c r="L236" s="224"/>
      <c r="M236" s="224"/>
      <c r="N236" s="224"/>
      <c r="O236" s="224"/>
      <c r="P236" s="224"/>
      <c r="Q236" s="224"/>
      <c r="R236" s="224"/>
      <c r="S236" s="224"/>
      <c r="T236" s="224"/>
      <c r="U236" s="224"/>
      <c r="V236" s="224"/>
    </row>
    <row r="237" spans="3:22" hidden="1" outlineLevel="2" x14ac:dyDescent="0.15">
      <c r="C237" s="22"/>
    </row>
    <row r="238" spans="3:22" hidden="1" outlineLevel="2" x14ac:dyDescent="0.15">
      <c r="C238" s="22" t="s">
        <v>2313</v>
      </c>
    </row>
    <row r="239" spans="3:22" hidden="1" outlineLevel="2" x14ac:dyDescent="0.15">
      <c r="D239" s="215" t="s">
        <v>112</v>
      </c>
      <c r="E239" s="215"/>
      <c r="F239" s="215"/>
      <c r="G239" s="215" t="s">
        <v>2254</v>
      </c>
      <c r="H239" s="215"/>
      <c r="I239" s="215"/>
      <c r="J239" s="215"/>
      <c r="K239" s="215"/>
      <c r="L239" s="215">
        <f t="shared" ref="L239:V239" si="60">IF($E239=0,SUM(L240:L242),SUMIF($D$41:$D$60,$D239,L$41:L$60)*
(IF($E239="руб.",SUMIF($D$63:$D$82,$D239,$L$63:$L$82)*(1+L$32),0)+
IF($E239="юань",SUMIF($D$63:$D$82,$D239,$M$63:$M$82)*(1+L$33)*L$37,0)+
IF($E239="долл.",SUMIF($D$63:$D$82,$D239,$N$63:$N$82)*(1+L$34)*L$38,0))/1000)</f>
        <v>449.35637999999994</v>
      </c>
      <c r="M239" s="215">
        <f t="shared" si="60"/>
        <v>548.53715905267495</v>
      </c>
      <c r="N239" s="215">
        <f t="shared" si="60"/>
        <v>686.79338592865724</v>
      </c>
      <c r="O239" s="215">
        <f t="shared" si="60"/>
        <v>816.91961220288113</v>
      </c>
      <c r="P239" s="215">
        <f t="shared" si="60"/>
        <v>937.62671365479855</v>
      </c>
      <c r="Q239" s="215">
        <f t="shared" si="60"/>
        <v>1066.4096524017912</v>
      </c>
      <c r="R239" s="215">
        <f t="shared" si="60"/>
        <v>1224.035510453306</v>
      </c>
      <c r="S239" s="215">
        <f t="shared" si="60"/>
        <v>1468.8546572716034</v>
      </c>
      <c r="T239" s="215">
        <f t="shared" si="60"/>
        <v>1793.3348563740014</v>
      </c>
      <c r="U239" s="215">
        <f t="shared" si="60"/>
        <v>2002.4037104516303</v>
      </c>
      <c r="V239" s="215">
        <f t="shared" si="60"/>
        <v>2256.7927336280245</v>
      </c>
    </row>
    <row r="240" spans="3:22" hidden="1" outlineLevel="2" x14ac:dyDescent="0.15">
      <c r="D240" s="12" t="s">
        <v>112</v>
      </c>
      <c r="E240" s="12" t="s">
        <v>2291</v>
      </c>
      <c r="G240" s="12" t="s">
        <v>2254</v>
      </c>
      <c r="L240" s="12">
        <f>IF($E240=0,SUM(L241:L243),SUMIF($D$41:$D$60,$D240,L$41:L$60)*
(IF($E240="руб.",SUMIF($D$63:$D$82,$D240,$L$63:$L$82)*(1+L$32),0)+
IF($E240="юань",SUMIF($D$63:$D$82,$D240,$M$63:$M$82)*(1+L$33)*L$37,0)+
IF($E240="долл.",SUMIF($D$63:$D$82,$D240,$N$63:$N$82)*(1+L$34)*L$38,0))/1000)</f>
        <v>256.33607999999998</v>
      </c>
      <c r="M240" s="12">
        <f t="shared" ref="M240:V240" si="61">IF($E240=0,SUM(M241:M243),SUMIF($D$41:$D$60,$D240,M$41:M$60)*
(IF($E240="руб.",SUMIF($D$63:$D$82,$D240,$L$63:$L$82)*(1+M$32),0)+
IF($E240="юань",SUMIF($D$63:$D$82,$D240,$M$63:$M$82)*(1+M$33)*M$37,0)+
IF($E240="долл.",SUMIF($D$63:$D$82,$D240,$N$63:$N$82)*(1+M$34)*M$38,0))/1000)</f>
        <v>311.90974214400001</v>
      </c>
      <c r="N240" s="12">
        <f t="shared" si="61"/>
        <v>389.26335819571204</v>
      </c>
      <c r="O240" s="12">
        <f t="shared" si="61"/>
        <v>461.51063747683628</v>
      </c>
      <c r="P240" s="12">
        <f t="shared" si="61"/>
        <v>527.96816927350085</v>
      </c>
      <c r="Q240" s="12">
        <f t="shared" si="61"/>
        <v>598.50471668844057</v>
      </c>
      <c r="R240" s="12">
        <f t="shared" si="61"/>
        <v>684.68939589157605</v>
      </c>
      <c r="S240" s="12">
        <f t="shared" si="61"/>
        <v>818.88851748632487</v>
      </c>
      <c r="T240" s="12">
        <f t="shared" si="61"/>
        <v>996.42354807736035</v>
      </c>
      <c r="U240" s="12">
        <f t="shared" si="61"/>
        <v>1108.8201243004869</v>
      </c>
      <c r="V240" s="12">
        <f t="shared" si="61"/>
        <v>1245.4267636143068</v>
      </c>
    </row>
    <row r="241" spans="4:22" hidden="1" outlineLevel="2" x14ac:dyDescent="0.15">
      <c r="D241" s="12" t="s">
        <v>112</v>
      </c>
      <c r="E241" s="12" t="s">
        <v>2309</v>
      </c>
      <c r="G241" s="12" t="s">
        <v>2254</v>
      </c>
      <c r="L241" s="12">
        <f t="shared" ref="L241:V242" si="62">IF($E241=0,SUM(L242:L244),SUMIF($D$41:$D$60,$D241,L$41:L$60)*
(IF($E241="руб.",SUMIF($D$63:$D$82,$D241,$L$63:$L$82)*(1+L$32),0)+
IF($E241="юань",SUMIF($D$63:$D$82,$D241,$M$63:$M$82)*(1+L$33)*L$37,0)+
IF($E241="долл.",SUMIF($D$63:$D$82,$D241,$N$63:$N$82)*(1+L$34)*L$38,0))/1000)</f>
        <v>139.59269999999998</v>
      </c>
      <c r="M241" s="12">
        <f t="shared" si="62"/>
        <v>171.59170911187499</v>
      </c>
      <c r="N241" s="12">
        <f t="shared" si="62"/>
        <v>216.33424726279634</v>
      </c>
      <c r="O241" s="12">
        <f t="shared" si="62"/>
        <v>259.10623212474195</v>
      </c>
      <c r="P241" s="12">
        <f t="shared" si="62"/>
        <v>299.44583363866263</v>
      </c>
      <c r="Q241" s="12">
        <f t="shared" si="62"/>
        <v>342.91975407361571</v>
      </c>
      <c r="R241" s="12">
        <f t="shared" si="62"/>
        <v>396.30807328595171</v>
      </c>
      <c r="S241" s="12">
        <f t="shared" si="62"/>
        <v>478.82684492046081</v>
      </c>
      <c r="T241" s="12">
        <f t="shared" si="62"/>
        <v>588.58892111513421</v>
      </c>
      <c r="U241" s="12">
        <f t="shared" si="62"/>
        <v>661.67327171384898</v>
      </c>
      <c r="V241" s="12">
        <f t="shared" si="62"/>
        <v>750.78411958191145</v>
      </c>
    </row>
    <row r="242" spans="4:22" hidden="1" outlineLevel="2" x14ac:dyDescent="0.15">
      <c r="D242" s="12" t="s">
        <v>112</v>
      </c>
      <c r="E242" s="12" t="s">
        <v>2310</v>
      </c>
      <c r="G242" s="12" t="s">
        <v>2254</v>
      </c>
      <c r="L242" s="12">
        <f t="shared" si="62"/>
        <v>53.427599999999998</v>
      </c>
      <c r="M242" s="12">
        <f t="shared" si="62"/>
        <v>65.035707796799997</v>
      </c>
      <c r="N242" s="12">
        <f t="shared" si="62"/>
        <v>81.195780470148861</v>
      </c>
      <c r="O242" s="12">
        <f t="shared" si="62"/>
        <v>96.302742601302896</v>
      </c>
      <c r="P242" s="12">
        <f t="shared" si="62"/>
        <v>110.21271074263508</v>
      </c>
      <c r="Q242" s="12">
        <f t="shared" si="62"/>
        <v>124.98518163973493</v>
      </c>
      <c r="R242" s="12">
        <f t="shared" si="62"/>
        <v>143.03804127577826</v>
      </c>
      <c r="S242" s="12">
        <f t="shared" si="62"/>
        <v>171.13929486481766</v>
      </c>
      <c r="T242" s="12">
        <f t="shared" si="62"/>
        <v>208.32238718150691</v>
      </c>
      <c r="U242" s="12">
        <f t="shared" si="62"/>
        <v>231.9103144372946</v>
      </c>
      <c r="V242" s="12">
        <f t="shared" si="62"/>
        <v>260.58185043180629</v>
      </c>
    </row>
    <row r="243" spans="4:22" hidden="1" outlineLevel="2" x14ac:dyDescent="0.15">
      <c r="D243" s="215" t="s">
        <v>113</v>
      </c>
      <c r="E243" s="215">
        <f>IF(E239=0,0,E239)</f>
        <v>0</v>
      </c>
      <c r="F243" s="215"/>
      <c r="G243" s="215" t="s">
        <v>2254</v>
      </c>
      <c r="H243" s="215"/>
      <c r="I243" s="215"/>
      <c r="J243" s="215"/>
      <c r="K243" s="215"/>
      <c r="L243" s="215">
        <f t="shared" ref="L243:V248" si="63">IF($E243=0,SUM(L244:L246),SUMIF($D$41:$D$60,$D243,L$41:L$60)*
(IF($E243="руб.",SUMIF($D$63:$D$82,$D243,$L$63:$L$82)*(1+L$32),0)+
IF($E243="юань",SUMIF($D$63:$D$82,$D243,$M$63:$M$82)*(1+L$33)*L$37,0)+
IF($E243="долл.",SUMIF($D$63:$D$82,$D243,$N$63:$N$82)*(1+L$34)*L$38,0))/1000)</f>
        <v>497.61376000000001</v>
      </c>
      <c r="M243" s="215">
        <f t="shared" si="63"/>
        <v>538.9660334240001</v>
      </c>
      <c r="N243" s="215">
        <f t="shared" si="63"/>
        <v>673.57111571930545</v>
      </c>
      <c r="O243" s="215">
        <f t="shared" si="63"/>
        <v>750.60805708826206</v>
      </c>
      <c r="P243" s="215">
        <f t="shared" si="63"/>
        <v>899.00532661331579</v>
      </c>
      <c r="Q243" s="215">
        <f t="shared" si="63"/>
        <v>1020.5756869881837</v>
      </c>
      <c r="R243" s="215">
        <f t="shared" si="63"/>
        <v>1158.5998343161557</v>
      </c>
      <c r="S243" s="215">
        <f t="shared" si="63"/>
        <v>1291.1726427100559</v>
      </c>
      <c r="T243" s="215">
        <f t="shared" si="63"/>
        <v>1600.3085358989163</v>
      </c>
      <c r="U243" s="215">
        <f t="shared" si="63"/>
        <v>1716.7964197724027</v>
      </c>
      <c r="V243" s="215">
        <f t="shared" si="63"/>
        <v>2074.2451712503535</v>
      </c>
    </row>
    <row r="244" spans="4:22" hidden="1" outlineLevel="2" x14ac:dyDescent="0.15">
      <c r="D244" s="12" t="s">
        <v>113</v>
      </c>
      <c r="E244" s="12" t="str">
        <f t="shared" ref="E244:E250" si="64">IF(E240=0,0,E240)</f>
        <v>руб.</v>
      </c>
      <c r="G244" s="12" t="s">
        <v>2254</v>
      </c>
      <c r="L244" s="12">
        <f t="shared" si="63"/>
        <v>380.54016000000001</v>
      </c>
      <c r="M244" s="12">
        <f t="shared" si="63"/>
        <v>411.59223705600004</v>
      </c>
      <c r="N244" s="12">
        <f t="shared" si="63"/>
        <v>513.66711184588803</v>
      </c>
      <c r="O244" s="12">
        <f t="shared" si="63"/>
        <v>571.60876206210435</v>
      </c>
      <c r="P244" s="12">
        <f t="shared" si="63"/>
        <v>683.6440794262769</v>
      </c>
      <c r="Q244" s="12">
        <f t="shared" si="63"/>
        <v>774.97892843762736</v>
      </c>
      <c r="R244" s="12">
        <f t="shared" si="63"/>
        <v>878.51611327689443</v>
      </c>
      <c r="S244" s="12">
        <f t="shared" si="63"/>
        <v>977.61273085452842</v>
      </c>
      <c r="T244" s="12">
        <f t="shared" si="63"/>
        <v>1209.8935157055644</v>
      </c>
      <c r="U244" s="12">
        <f t="shared" si="63"/>
        <v>1296.0379340238007</v>
      </c>
      <c r="V244" s="12">
        <f t="shared" si="63"/>
        <v>1563.5401636063129</v>
      </c>
    </row>
    <row r="245" spans="4:22" hidden="1" outlineLevel="2" x14ac:dyDescent="0.15">
      <c r="D245" s="12" t="s">
        <v>113</v>
      </c>
      <c r="E245" s="12" t="str">
        <f t="shared" si="64"/>
        <v>юань</v>
      </c>
      <c r="G245" s="12" t="s">
        <v>2254</v>
      </c>
      <c r="L245" s="12">
        <f t="shared" si="63"/>
        <v>65.665599999999998</v>
      </c>
      <c r="M245" s="12">
        <f t="shared" si="63"/>
        <v>71.749517839999996</v>
      </c>
      <c r="N245" s="12">
        <f t="shared" si="63"/>
        <v>90.45820461677998</v>
      </c>
      <c r="O245" s="12">
        <f t="shared" si="63"/>
        <v>101.69028681128977</v>
      </c>
      <c r="P245" s="12">
        <f t="shared" si="63"/>
        <v>122.86411121827797</v>
      </c>
      <c r="Q245" s="12">
        <f t="shared" si="63"/>
        <v>140.70167646508659</v>
      </c>
      <c r="R245" s="12">
        <f t="shared" si="63"/>
        <v>161.1289217313834</v>
      </c>
      <c r="S245" s="12">
        <f t="shared" si="63"/>
        <v>181.13609853161711</v>
      </c>
      <c r="T245" s="12">
        <f t="shared" si="63"/>
        <v>226.46427508853839</v>
      </c>
      <c r="U245" s="12">
        <f t="shared" si="63"/>
        <v>245.06689988534248</v>
      </c>
      <c r="V245" s="12">
        <f t="shared" si="63"/>
        <v>298.66915756276393</v>
      </c>
    </row>
    <row r="246" spans="4:22" hidden="1" outlineLevel="2" x14ac:dyDescent="0.15">
      <c r="D246" s="12" t="s">
        <v>113</v>
      </c>
      <c r="E246" s="12" t="str">
        <f t="shared" si="64"/>
        <v>долл.</v>
      </c>
      <c r="G246" s="12" t="s">
        <v>2254</v>
      </c>
      <c r="L246" s="12">
        <f t="shared" si="63"/>
        <v>51.407999999999994</v>
      </c>
      <c r="M246" s="12">
        <f t="shared" si="63"/>
        <v>55.624278527999998</v>
      </c>
      <c r="N246" s="12">
        <f t="shared" si="63"/>
        <v>69.445799256637429</v>
      </c>
      <c r="O246" s="12">
        <f t="shared" si="63"/>
        <v>77.309008214867987</v>
      </c>
      <c r="P246" s="12">
        <f t="shared" si="63"/>
        <v>92.497135968760958</v>
      </c>
      <c r="Q246" s="12">
        <f t="shared" si="63"/>
        <v>104.89508208546981</v>
      </c>
      <c r="R246" s="12">
        <f t="shared" si="63"/>
        <v>118.95479930787783</v>
      </c>
      <c r="S246" s="12">
        <f t="shared" si="63"/>
        <v>132.42381332391025</v>
      </c>
      <c r="T246" s="12">
        <f t="shared" si="63"/>
        <v>163.95074510481351</v>
      </c>
      <c r="U246" s="12">
        <f t="shared" si="63"/>
        <v>175.69158586325946</v>
      </c>
      <c r="V246" s="12">
        <f t="shared" si="63"/>
        <v>212.03585008127675</v>
      </c>
    </row>
    <row r="247" spans="4:22" hidden="1" outlineLevel="2" x14ac:dyDescent="0.15">
      <c r="D247" s="215" t="s">
        <v>114</v>
      </c>
      <c r="E247" s="215">
        <f t="shared" si="64"/>
        <v>0</v>
      </c>
      <c r="F247" s="215"/>
      <c r="G247" s="215" t="s">
        <v>2254</v>
      </c>
      <c r="H247" s="215"/>
      <c r="I247" s="215"/>
      <c r="J247" s="215"/>
      <c r="K247" s="215"/>
      <c r="L247" s="215">
        <f t="shared" si="63"/>
        <v>661.22094000000004</v>
      </c>
      <c r="M247" s="215">
        <f t="shared" si="63"/>
        <v>716.18408485259999</v>
      </c>
      <c r="N247" s="215">
        <f t="shared" si="63"/>
        <v>768.26597641772844</v>
      </c>
      <c r="O247" s="215">
        <f t="shared" si="63"/>
        <v>912.16032944595213</v>
      </c>
      <c r="P247" s="215">
        <f t="shared" si="63"/>
        <v>1092.5185153590451</v>
      </c>
      <c r="Q247" s="215">
        <f t="shared" si="63"/>
        <v>1263.0387159634872</v>
      </c>
      <c r="R247" s="215">
        <f t="shared" si="63"/>
        <v>1433.8812003382475</v>
      </c>
      <c r="S247" s="215">
        <f t="shared" si="63"/>
        <v>1702.5238338952736</v>
      </c>
      <c r="T247" s="215">
        <f t="shared" si="63"/>
        <v>2110.185073092367</v>
      </c>
      <c r="U247" s="215">
        <f t="shared" si="63"/>
        <v>2285.806773285226</v>
      </c>
      <c r="V247" s="215">
        <f t="shared" si="63"/>
        <v>2714.1589552132309</v>
      </c>
    </row>
    <row r="248" spans="4:22" hidden="1" outlineLevel="2" x14ac:dyDescent="0.15">
      <c r="D248" s="12" t="s">
        <v>114</v>
      </c>
      <c r="E248" s="12" t="str">
        <f t="shared" si="64"/>
        <v>руб.</v>
      </c>
      <c r="G248" s="12" t="s">
        <v>2254</v>
      </c>
      <c r="L248" s="12">
        <f t="shared" si="63"/>
        <v>417.91464000000002</v>
      </c>
      <c r="M248" s="12">
        <f t="shared" si="63"/>
        <v>452.01647462400007</v>
      </c>
      <c r="N248" s="12">
        <f t="shared" si="63"/>
        <v>484.20004761722879</v>
      </c>
      <c r="O248" s="12">
        <f t="shared" si="63"/>
        <v>574.06757645498658</v>
      </c>
      <c r="P248" s="12">
        <f t="shared" si="63"/>
        <v>686.58482144016409</v>
      </c>
      <c r="Q248" s="12">
        <f t="shared" si="63"/>
        <v>792.59351787052549</v>
      </c>
      <c r="R248" s="12">
        <f t="shared" si="63"/>
        <v>898.48401185802777</v>
      </c>
      <c r="S248" s="12">
        <f t="shared" si="63"/>
        <v>1065.2426444588777</v>
      </c>
      <c r="T248" s="12">
        <f t="shared" si="63"/>
        <v>1318.3442967823073</v>
      </c>
      <c r="U248" s="12">
        <f t="shared" si="63"/>
        <v>1425.9211913997435</v>
      </c>
      <c r="V248" s="12">
        <f t="shared" si="63"/>
        <v>1690.572164523536</v>
      </c>
    </row>
    <row r="249" spans="4:22" hidden="1" outlineLevel="2" x14ac:dyDescent="0.15">
      <c r="D249" s="12" t="s">
        <v>114</v>
      </c>
      <c r="E249" s="12" t="str">
        <f t="shared" si="64"/>
        <v>юань</v>
      </c>
      <c r="G249" s="12" t="s">
        <v>2254</v>
      </c>
      <c r="L249" s="12">
        <f t="shared" ref="L249:V249" si="65">IF($E249=0,SUM(L250:L251),SUMIF($D$41:$D$60,$D249,L$41:L$60)*
(IF($E249="руб.",SUMIF($D$63:$D$82,$D249,$L$63:$L$82)*(1+L$32),0)+
IF($E249="юань",SUMIF($D$63:$D$82,$D249,$M$63:$M$82)*(1+L$33)*L$37,0)+
IF($E249="долл.",SUMIF($D$63:$D$82,$D249,$N$63:$N$82)*(1+L$34)*L$38,0))/1000)</f>
        <v>85.226699999999994</v>
      </c>
      <c r="M249" s="12">
        <f t="shared" si="65"/>
        <v>93.122953754999983</v>
      </c>
      <c r="N249" s="12">
        <f t="shared" si="65"/>
        <v>100.77242238751226</v>
      </c>
      <c r="O249" s="12">
        <f t="shared" si="65"/>
        <v>120.69638994880326</v>
      </c>
      <c r="P249" s="12">
        <f t="shared" si="65"/>
        <v>145.82764139345559</v>
      </c>
      <c r="Q249" s="12">
        <f t="shared" si="65"/>
        <v>170.06328397028921</v>
      </c>
      <c r="R249" s="12">
        <f t="shared" si="65"/>
        <v>194.75328411620072</v>
      </c>
      <c r="S249" s="12">
        <f t="shared" si="65"/>
        <v>233.25844280202506</v>
      </c>
      <c r="T249" s="12">
        <f t="shared" si="65"/>
        <v>291.62991024796423</v>
      </c>
      <c r="U249" s="12">
        <f t="shared" si="65"/>
        <v>318.64942143243798</v>
      </c>
      <c r="V249" s="12">
        <f t="shared" si="65"/>
        <v>381.65039516739893</v>
      </c>
    </row>
    <row r="250" spans="4:22" hidden="1" outlineLevel="2" x14ac:dyDescent="0.15">
      <c r="D250" s="12" t="s">
        <v>114</v>
      </c>
      <c r="E250" s="12" t="str">
        <f t="shared" si="64"/>
        <v>долл.</v>
      </c>
      <c r="G250" s="12" t="s">
        <v>2254</v>
      </c>
      <c r="L250" s="12">
        <f t="shared" ref="L250:V250" si="66">IF($E250=0,SUM(L251:L251),SUMIF($D$41:$D$60,$D250,L$41:L$60)*
(IF($E250="руб.",SUMIF($D$63:$D$82,$D250,$L$63:$L$82)*(1+L$32),0)+
IF($E250="юань",SUMIF($D$63:$D$82,$D250,$M$63:$M$82)*(1+L$33)*L$37,0)+
IF($E250="долл.",SUMIF($D$63:$D$82,$D250,$N$63:$N$82)*(1+L$34)*L$38,0))/1000)</f>
        <v>158.0796</v>
      </c>
      <c r="M250" s="12">
        <f t="shared" si="66"/>
        <v>171.04465647359999</v>
      </c>
      <c r="N250" s="12">
        <f t="shared" si="66"/>
        <v>183.29350641298743</v>
      </c>
      <c r="O250" s="12">
        <f t="shared" si="66"/>
        <v>217.39636304216225</v>
      </c>
      <c r="P250" s="12">
        <f t="shared" si="66"/>
        <v>260.10605252542547</v>
      </c>
      <c r="Q250" s="12">
        <f t="shared" si="66"/>
        <v>300.38191412267241</v>
      </c>
      <c r="R250" s="12">
        <f t="shared" si="66"/>
        <v>340.64390436401897</v>
      </c>
      <c r="S250" s="12">
        <f t="shared" si="66"/>
        <v>404.02274663437095</v>
      </c>
      <c r="T250" s="12">
        <f t="shared" si="66"/>
        <v>500.21086606209559</v>
      </c>
      <c r="U250" s="12">
        <f t="shared" si="66"/>
        <v>541.23616045304436</v>
      </c>
      <c r="V250" s="12">
        <f t="shared" si="66"/>
        <v>641.93639552229592</v>
      </c>
    </row>
    <row r="251" spans="4:22" hidden="1" outlineLevel="2" x14ac:dyDescent="0.15"/>
    <row r="252" spans="4:22" outlineLevel="1" collapsed="1" x14ac:dyDescent="0.15"/>
  </sheetData>
  <mergeCells count="2">
    <mergeCell ref="L22:O22"/>
    <mergeCell ref="P22:S2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0">
    <tabColor theme="2" tint="0.79998168889431442"/>
  </sheetPr>
  <dimension ref="A1:V103"/>
  <sheetViews>
    <sheetView showGridLines="0" zoomScaleNormal="100" workbookViewId="0">
      <pane xSplit="6" ySplit="2" topLeftCell="G81" activePane="bottomRight" state="frozen"/>
      <selection activeCell="C15" sqref="C15"/>
      <selection pane="topRight" activeCell="C15" sqref="C15"/>
      <selection pane="bottomLeft" activeCell="C15" sqref="C15"/>
      <selection pane="bottomRight" activeCell="L99" sqref="L99"/>
    </sheetView>
  </sheetViews>
  <sheetFormatPr defaultColWidth="0" defaultRowHeight="11.25" outlineLevelRow="2" x14ac:dyDescent="0.15"/>
  <cols>
    <col min="1" max="1" width="3.625" style="12" customWidth="1"/>
    <col min="2" max="4" width="2.75" style="12" customWidth="1"/>
    <col min="5" max="5" width="16" style="12" customWidth="1"/>
    <col min="6" max="6" width="11" style="75" customWidth="1"/>
    <col min="7" max="22" width="11" style="12" customWidth="1"/>
    <col min="23" max="16384" width="0" style="12" hidden="1"/>
  </cols>
  <sheetData>
    <row r="1" spans="1:21" x14ac:dyDescent="0.15">
      <c r="A1" s="11" t="s">
        <v>2327</v>
      </c>
      <c r="I1" s="41">
        <v>2018</v>
      </c>
      <c r="J1" s="41">
        <f>I1+1</f>
        <v>2019</v>
      </c>
      <c r="K1" s="41">
        <f t="shared" ref="K1:U1" si="0">J1+1</f>
        <v>2020</v>
      </c>
      <c r="L1" s="41">
        <f t="shared" si="0"/>
        <v>2021</v>
      </c>
      <c r="M1" s="41">
        <f t="shared" si="0"/>
        <v>2022</v>
      </c>
      <c r="N1" s="41">
        <f t="shared" si="0"/>
        <v>2023</v>
      </c>
      <c r="O1" s="41">
        <f t="shared" si="0"/>
        <v>2024</v>
      </c>
      <c r="P1" s="41">
        <f t="shared" si="0"/>
        <v>2025</v>
      </c>
      <c r="Q1" s="41">
        <f t="shared" si="0"/>
        <v>2026</v>
      </c>
      <c r="R1" s="41">
        <f t="shared" si="0"/>
        <v>2027</v>
      </c>
      <c r="S1" s="41">
        <f t="shared" si="0"/>
        <v>2028</v>
      </c>
      <c r="T1" s="41">
        <f t="shared" si="0"/>
        <v>2029</v>
      </c>
      <c r="U1" s="41">
        <f t="shared" si="0"/>
        <v>2030</v>
      </c>
    </row>
    <row r="2" spans="1:21" x14ac:dyDescent="0.15">
      <c r="B2" s="22" t="s">
        <v>0</v>
      </c>
      <c r="F2" s="76" t="s">
        <v>1</v>
      </c>
      <c r="G2" s="22" t="s">
        <v>2</v>
      </c>
    </row>
    <row r="4" spans="1:21" x14ac:dyDescent="0.15">
      <c r="B4" s="13" t="s">
        <v>2327</v>
      </c>
      <c r="C4" s="77"/>
      <c r="D4" s="77"/>
      <c r="E4" s="77"/>
      <c r="F4" s="78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</row>
    <row r="6" spans="1:21" x14ac:dyDescent="0.15">
      <c r="B6" s="82" t="s">
        <v>104</v>
      </c>
      <c r="C6" s="83"/>
      <c r="D6" s="83"/>
      <c r="E6" s="83"/>
      <c r="F6" s="84"/>
      <c r="G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</row>
    <row r="7" spans="1:21" outlineLevel="1" x14ac:dyDescent="0.15">
      <c r="B7" s="85"/>
      <c r="C7" s="85" t="s">
        <v>158</v>
      </c>
      <c r="D7" s="86"/>
      <c r="E7" s="86"/>
      <c r="F7" s="87"/>
      <c r="G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</row>
    <row r="8" spans="1:21" s="16" customFormat="1" outlineLevel="2" x14ac:dyDescent="0.15">
      <c r="B8" s="15"/>
      <c r="C8" s="15"/>
      <c r="D8" s="15" t="s">
        <v>159</v>
      </c>
      <c r="F8" s="88"/>
    </row>
    <row r="9" spans="1:21" outlineLevel="2" x14ac:dyDescent="0.15"/>
    <row r="10" spans="1:21" outlineLevel="2" x14ac:dyDescent="0.15">
      <c r="D10" s="12" t="s">
        <v>160</v>
      </c>
      <c r="F10" s="75" t="s">
        <v>161</v>
      </c>
      <c r="G10" s="79">
        <v>20</v>
      </c>
      <c r="H10" s="12" t="s">
        <v>163</v>
      </c>
    </row>
    <row r="11" spans="1:21" outlineLevel="2" x14ac:dyDescent="0.15">
      <c r="H11" s="12" t="s">
        <v>163</v>
      </c>
    </row>
    <row r="12" spans="1:21" outlineLevel="2" x14ac:dyDescent="0.15">
      <c r="C12" s="40" t="s">
        <v>2340</v>
      </c>
      <c r="D12" s="40"/>
      <c r="E12" s="40"/>
      <c r="F12" s="40"/>
    </row>
    <row r="13" spans="1:21" outlineLevel="2" x14ac:dyDescent="0.15">
      <c r="C13" s="40"/>
      <c r="D13" s="15" t="s">
        <v>2249</v>
      </c>
      <c r="G13" s="12" t="s">
        <v>2328</v>
      </c>
    </row>
    <row r="14" spans="1:21" outlineLevel="2" x14ac:dyDescent="0.15">
      <c r="C14" s="40"/>
      <c r="E14" s="12" t="s">
        <v>112</v>
      </c>
      <c r="F14" s="75" t="s">
        <v>168</v>
      </c>
      <c r="G14" s="216">
        <v>0.08</v>
      </c>
      <c r="H14" s="12" t="s">
        <v>163</v>
      </c>
      <c r="I14" s="89">
        <f>$G$10*'Структура и оформление'!J$49*$G14</f>
        <v>0</v>
      </c>
      <c r="J14" s="89">
        <f>$G$10*'Структура и оформление'!K$49*$G14</f>
        <v>0</v>
      </c>
      <c r="K14" s="89">
        <f>$G$10*'Структура и оформление'!L$49*$G14</f>
        <v>0.16</v>
      </c>
      <c r="L14" s="89">
        <f>$G$10*'Структура и оформление'!M$49*$G14</f>
        <v>0.48</v>
      </c>
      <c r="M14" s="89">
        <f>$G$10*'Структура и оформление'!N$49*$G14</f>
        <v>1.1200000000000001</v>
      </c>
      <c r="N14" s="89">
        <f>$G$10*'Структура и оформление'!O$49*$G14</f>
        <v>1.6</v>
      </c>
      <c r="O14" s="89">
        <f>$G$10*'Структура и оформление'!P$49*$G14</f>
        <v>1.6</v>
      </c>
      <c r="P14" s="89">
        <f>$G$10*'Структура и оформление'!Q$49*$G14</f>
        <v>1.6</v>
      </c>
      <c r="Q14" s="89">
        <f>$G$10*'Структура и оформление'!R$49*$G14</f>
        <v>1.6</v>
      </c>
      <c r="R14" s="89">
        <f>$G$10*'Структура и оформление'!S$49*$G14</f>
        <v>1.6</v>
      </c>
      <c r="S14" s="89">
        <f>$G$10*'Структура и оформление'!T$49*$G14</f>
        <v>1.6</v>
      </c>
      <c r="T14" s="89">
        <f>$G$10*'Структура и оформление'!U$49*$G14</f>
        <v>1.6</v>
      </c>
      <c r="U14" s="89">
        <f>$G$10*'Структура и оформление'!V$49*$G14</f>
        <v>1.6</v>
      </c>
    </row>
    <row r="15" spans="1:21" outlineLevel="2" x14ac:dyDescent="0.15">
      <c r="C15" s="40"/>
      <c r="E15" s="12" t="s">
        <v>113</v>
      </c>
      <c r="F15" s="75" t="s">
        <v>168</v>
      </c>
      <c r="G15" s="216">
        <v>0.15</v>
      </c>
      <c r="H15" s="12" t="s">
        <v>163</v>
      </c>
      <c r="I15" s="89">
        <f>$G$10*'Структура и оформление'!J$49*$G15</f>
        <v>0</v>
      </c>
      <c r="J15" s="89">
        <f>$G$10*'Структура и оформление'!K$49*$G15</f>
        <v>0</v>
      </c>
      <c r="K15" s="89">
        <f>$G$10*'Структура и оформление'!L$49*$G15</f>
        <v>0.3</v>
      </c>
      <c r="L15" s="89">
        <f>$G$10*'Структура и оформление'!M$49*$G15</f>
        <v>0.89999999999999991</v>
      </c>
      <c r="M15" s="89">
        <f>$G$10*'Структура и оформление'!N$49*$G15</f>
        <v>2.1</v>
      </c>
      <c r="N15" s="89">
        <f>$G$10*'Структура и оформление'!O$49*$G15</f>
        <v>3</v>
      </c>
      <c r="O15" s="89">
        <f>$G$10*'Структура и оформление'!P$49*$G15</f>
        <v>3</v>
      </c>
      <c r="P15" s="89">
        <f>$G$10*'Структура и оформление'!Q$49*$G15</f>
        <v>3</v>
      </c>
      <c r="Q15" s="89">
        <f>$G$10*'Структура и оформление'!R$49*$G15</f>
        <v>3</v>
      </c>
      <c r="R15" s="89">
        <f>$G$10*'Структура и оформление'!S$49*$G15</f>
        <v>3</v>
      </c>
      <c r="S15" s="89">
        <f>$G$10*'Структура и оформление'!T$49*$G15</f>
        <v>3</v>
      </c>
      <c r="T15" s="89">
        <f>$G$10*'Структура и оформление'!U$49*$G15</f>
        <v>3</v>
      </c>
      <c r="U15" s="89">
        <f>$G$10*'Структура и оформление'!V$49*$G15</f>
        <v>3</v>
      </c>
    </row>
    <row r="16" spans="1:21" outlineLevel="2" x14ac:dyDescent="0.15">
      <c r="C16" s="40"/>
      <c r="E16" s="12" t="s">
        <v>114</v>
      </c>
      <c r="F16" s="75" t="s">
        <v>168</v>
      </c>
      <c r="G16" s="216">
        <v>0.19</v>
      </c>
      <c r="H16" s="12" t="s">
        <v>163</v>
      </c>
      <c r="I16" s="89">
        <f>$G$10*'Структура и оформление'!J$49*$G16</f>
        <v>0</v>
      </c>
      <c r="J16" s="89">
        <f>$G$10*'Структура и оформление'!K$49*$G16</f>
        <v>0</v>
      </c>
      <c r="K16" s="89">
        <f>$G$10*'Структура и оформление'!L$49*$G16</f>
        <v>0.38</v>
      </c>
      <c r="L16" s="89">
        <f>$G$10*'Структура и оформление'!M$49*$G16</f>
        <v>1.1400000000000001</v>
      </c>
      <c r="M16" s="89">
        <f>$G$10*'Структура и оформление'!N$49*$G16</f>
        <v>2.66</v>
      </c>
      <c r="N16" s="89">
        <f>$G$10*'Структура и оформление'!O$49*$G16</f>
        <v>3.8</v>
      </c>
      <c r="O16" s="89">
        <f>$G$10*'Структура и оформление'!P$49*$G16</f>
        <v>3.8</v>
      </c>
      <c r="P16" s="89">
        <f>$G$10*'Структура и оформление'!Q$49*$G16</f>
        <v>3.8</v>
      </c>
      <c r="Q16" s="89">
        <f>$G$10*'Структура и оформление'!R$49*$G16</f>
        <v>3.8</v>
      </c>
      <c r="R16" s="89">
        <f>$G$10*'Структура и оформление'!S$49*$G16</f>
        <v>3.8</v>
      </c>
      <c r="S16" s="89">
        <f>$G$10*'Структура и оформление'!T$49*$G16</f>
        <v>3.8</v>
      </c>
      <c r="T16" s="89">
        <f>$G$10*'Структура и оформление'!U$49*$G16</f>
        <v>3.8</v>
      </c>
      <c r="U16" s="89">
        <f>$G$10*'Структура и оформление'!V$49*$G16</f>
        <v>3.8</v>
      </c>
    </row>
    <row r="17" spans="2:21" outlineLevel="2" x14ac:dyDescent="0.15">
      <c r="C17" s="40"/>
      <c r="E17" s="12" t="s">
        <v>115</v>
      </c>
      <c r="F17" s="75" t="s">
        <v>168</v>
      </c>
      <c r="G17" s="216">
        <v>0.28999999999999998</v>
      </c>
      <c r="H17" s="12" t="s">
        <v>163</v>
      </c>
      <c r="I17" s="89">
        <f>$G$10*'Структура и оформление'!J$49*$G17</f>
        <v>0</v>
      </c>
      <c r="J17" s="89">
        <f>$G$10*'Структура и оформление'!K$49*$G17</f>
        <v>0</v>
      </c>
      <c r="K17" s="89">
        <f>$G$10*'Структура и оформление'!L$49*$G17</f>
        <v>0.57999999999999996</v>
      </c>
      <c r="L17" s="89">
        <f>$G$10*'Структура и оформление'!M$49*$G17</f>
        <v>1.7399999999999998</v>
      </c>
      <c r="M17" s="89">
        <f>$G$10*'Структура и оформление'!N$49*$G17</f>
        <v>4.0599999999999996</v>
      </c>
      <c r="N17" s="89">
        <f>$G$10*'Структура и оформление'!O$49*$G17</f>
        <v>5.8</v>
      </c>
      <c r="O17" s="89">
        <f>$G$10*'Структура и оформление'!P$49*$G17</f>
        <v>5.8</v>
      </c>
      <c r="P17" s="89">
        <f>$G$10*'Структура и оформление'!Q$49*$G17</f>
        <v>5.8</v>
      </c>
      <c r="Q17" s="89">
        <f>$G$10*'Структура и оформление'!R$49*$G17</f>
        <v>5.8</v>
      </c>
      <c r="R17" s="89">
        <f>$G$10*'Структура и оформление'!S$49*$G17</f>
        <v>5.8</v>
      </c>
      <c r="S17" s="89">
        <f>$G$10*'Структура и оформление'!T$49*$G17</f>
        <v>5.8</v>
      </c>
      <c r="T17" s="89">
        <f>$G$10*'Структура и оформление'!U$49*$G17</f>
        <v>5.8</v>
      </c>
      <c r="U17" s="89">
        <f>$G$10*'Структура и оформление'!V$49*$G17</f>
        <v>5.8</v>
      </c>
    </row>
    <row r="18" spans="2:21" outlineLevel="2" x14ac:dyDescent="0.15">
      <c r="C18" s="40"/>
      <c r="E18" s="12" t="s">
        <v>170</v>
      </c>
      <c r="F18" s="75" t="s">
        <v>168</v>
      </c>
      <c r="G18" s="217">
        <v>0.29000000000000004</v>
      </c>
      <c r="H18" s="12" t="s">
        <v>163</v>
      </c>
      <c r="I18" s="89">
        <f>$G$10*'Структура и оформление'!J$49*$G18</f>
        <v>0</v>
      </c>
      <c r="J18" s="89">
        <f>$G$10*'Структура и оформление'!K$49*$G18</f>
        <v>0</v>
      </c>
      <c r="K18" s="89">
        <f>$G$10*'Структура и оформление'!L$49*$G18</f>
        <v>0.58000000000000007</v>
      </c>
      <c r="L18" s="89">
        <f>$G$10*'Структура и оформление'!M$49*$G18</f>
        <v>1.7400000000000002</v>
      </c>
      <c r="M18" s="89">
        <f>$G$10*'Структура и оформление'!N$49*$G18</f>
        <v>4.0600000000000005</v>
      </c>
      <c r="N18" s="89">
        <f>$G$10*'Структура и оформление'!O$49*$G18</f>
        <v>5.8000000000000007</v>
      </c>
      <c r="O18" s="89">
        <f>$G$10*'Структура и оформление'!P$49*$G18</f>
        <v>5.8000000000000007</v>
      </c>
      <c r="P18" s="89">
        <f>$G$10*'Структура и оформление'!Q$49*$G18</f>
        <v>5.8000000000000007</v>
      </c>
      <c r="Q18" s="89">
        <f>$G$10*'Структура и оформление'!R$49*$G18</f>
        <v>5.8000000000000007</v>
      </c>
      <c r="R18" s="89">
        <f>$G$10*'Структура и оформление'!S$49*$G18</f>
        <v>5.8000000000000007</v>
      </c>
      <c r="S18" s="89">
        <f>$G$10*'Структура и оформление'!T$49*$G18</f>
        <v>5.8000000000000007</v>
      </c>
      <c r="T18" s="89">
        <f>$G$10*'Структура и оформление'!U$49*$G18</f>
        <v>5.8000000000000007</v>
      </c>
      <c r="U18" s="89">
        <f>$G$10*'Структура и оформление'!V$49*$G18</f>
        <v>5.8000000000000007</v>
      </c>
    </row>
    <row r="19" spans="2:21" s="22" customFormat="1" outlineLevel="2" x14ac:dyDescent="0.15">
      <c r="D19" s="53"/>
      <c r="E19" s="53" t="s">
        <v>171</v>
      </c>
      <c r="F19" s="90" t="s">
        <v>168</v>
      </c>
      <c r="G19" s="53"/>
      <c r="H19" s="22" t="s">
        <v>163</v>
      </c>
      <c r="I19" s="149">
        <f>SUM(I14:I18)</f>
        <v>0</v>
      </c>
      <c r="J19" s="149">
        <f t="shared" ref="J19:U19" si="1">SUM(J14:J18)</f>
        <v>0</v>
      </c>
      <c r="K19" s="149">
        <f t="shared" si="1"/>
        <v>2</v>
      </c>
      <c r="L19" s="149">
        <f t="shared" si="1"/>
        <v>6</v>
      </c>
      <c r="M19" s="149">
        <f t="shared" si="1"/>
        <v>14.000000000000002</v>
      </c>
      <c r="N19" s="149">
        <f t="shared" si="1"/>
        <v>20</v>
      </c>
      <c r="O19" s="149">
        <f t="shared" si="1"/>
        <v>20</v>
      </c>
      <c r="P19" s="149">
        <f t="shared" si="1"/>
        <v>20</v>
      </c>
      <c r="Q19" s="149">
        <f t="shared" si="1"/>
        <v>20</v>
      </c>
      <c r="R19" s="149">
        <f t="shared" si="1"/>
        <v>20</v>
      </c>
      <c r="S19" s="149">
        <f t="shared" si="1"/>
        <v>20</v>
      </c>
      <c r="T19" s="149">
        <f t="shared" si="1"/>
        <v>20</v>
      </c>
      <c r="U19" s="149">
        <f t="shared" si="1"/>
        <v>20</v>
      </c>
    </row>
    <row r="20" spans="2:21" outlineLevel="2" x14ac:dyDescent="0.15">
      <c r="G20" s="75"/>
    </row>
    <row r="21" spans="2:21" outlineLevel="2" x14ac:dyDescent="0.15">
      <c r="G21" s="75"/>
    </row>
    <row r="22" spans="2:21" outlineLevel="2" x14ac:dyDescent="0.15">
      <c r="C22" s="48" t="s">
        <v>2341</v>
      </c>
      <c r="D22" s="48"/>
      <c r="E22" s="48"/>
      <c r="F22" s="48"/>
      <c r="G22" s="75"/>
    </row>
    <row r="23" spans="2:21" s="16" customFormat="1" outlineLevel="2" x14ac:dyDescent="0.15">
      <c r="B23" s="15"/>
      <c r="C23" s="48"/>
      <c r="D23" s="15" t="s">
        <v>165</v>
      </c>
      <c r="F23" s="75" t="s">
        <v>166</v>
      </c>
      <c r="H23" s="12" t="s">
        <v>163</v>
      </c>
      <c r="I23" s="246">
        <f>'Структура и оформление'!J49</f>
        <v>0</v>
      </c>
      <c r="J23" s="246">
        <f>'Структура и оформление'!K49</f>
        <v>0</v>
      </c>
      <c r="K23" s="246">
        <f>'Структура и оформление'!L49</f>
        <v>0.1</v>
      </c>
      <c r="L23" s="246">
        <f>'Структура и оформление'!M49</f>
        <v>0.3</v>
      </c>
      <c r="M23" s="246">
        <f>'Структура и оформление'!N49</f>
        <v>0.7</v>
      </c>
      <c r="N23" s="246">
        <f>'Структура и оформление'!O49</f>
        <v>1</v>
      </c>
      <c r="O23" s="246">
        <f>'Структура и оформление'!P49</f>
        <v>1</v>
      </c>
      <c r="P23" s="246">
        <f>'Структура и оформление'!Q49</f>
        <v>1</v>
      </c>
      <c r="Q23" s="246">
        <f>'Структура и оформление'!R49</f>
        <v>1</v>
      </c>
      <c r="R23" s="246">
        <f>'Структура и оформление'!S49</f>
        <v>1</v>
      </c>
      <c r="S23" s="246">
        <f>'Структура и оформление'!T49</f>
        <v>1</v>
      </c>
      <c r="T23" s="246">
        <f>'Структура и оформление'!U49</f>
        <v>1</v>
      </c>
      <c r="U23" s="246">
        <f>'Структура и оформление'!V49</f>
        <v>1</v>
      </c>
    </row>
    <row r="24" spans="2:21" outlineLevel="2" x14ac:dyDescent="0.15">
      <c r="C24" s="48"/>
      <c r="D24" s="75"/>
      <c r="E24" s="75"/>
      <c r="G24" s="75"/>
    </row>
    <row r="25" spans="2:21" outlineLevel="2" x14ac:dyDescent="0.15">
      <c r="C25" s="48"/>
      <c r="D25" s="15" t="s">
        <v>2249</v>
      </c>
      <c r="G25" s="12" t="s">
        <v>2328</v>
      </c>
    </row>
    <row r="26" spans="2:21" outlineLevel="2" x14ac:dyDescent="0.15">
      <c r="C26" s="48"/>
      <c r="E26" s="12" t="s">
        <v>112</v>
      </c>
      <c r="F26" s="75" t="s">
        <v>168</v>
      </c>
      <c r="G26" s="216">
        <v>0.08</v>
      </c>
      <c r="H26" s="12" t="s">
        <v>163</v>
      </c>
      <c r="I26" s="89">
        <f t="shared" ref="I26:U30" si="2">$G$10*I$23*$G26</f>
        <v>0</v>
      </c>
      <c r="J26" s="89">
        <f t="shared" si="2"/>
        <v>0</v>
      </c>
      <c r="K26" s="89">
        <f t="shared" si="2"/>
        <v>0.16</v>
      </c>
      <c r="L26" s="89">
        <f t="shared" si="2"/>
        <v>0.48</v>
      </c>
      <c r="M26" s="89">
        <f t="shared" si="2"/>
        <v>1.1200000000000001</v>
      </c>
      <c r="N26" s="89">
        <f t="shared" si="2"/>
        <v>1.6</v>
      </c>
      <c r="O26" s="89">
        <f t="shared" si="2"/>
        <v>1.6</v>
      </c>
      <c r="P26" s="89">
        <f t="shared" si="2"/>
        <v>1.6</v>
      </c>
      <c r="Q26" s="89">
        <f t="shared" si="2"/>
        <v>1.6</v>
      </c>
      <c r="R26" s="89">
        <f t="shared" si="2"/>
        <v>1.6</v>
      </c>
      <c r="S26" s="89">
        <f t="shared" si="2"/>
        <v>1.6</v>
      </c>
      <c r="T26" s="89">
        <f t="shared" si="2"/>
        <v>1.6</v>
      </c>
      <c r="U26" s="89">
        <f t="shared" si="2"/>
        <v>1.6</v>
      </c>
    </row>
    <row r="27" spans="2:21" outlineLevel="2" x14ac:dyDescent="0.15">
      <c r="C27" s="48"/>
      <c r="E27" s="12" t="s">
        <v>113</v>
      </c>
      <c r="F27" s="75" t="s">
        <v>168</v>
      </c>
      <c r="G27" s="216">
        <v>0.15</v>
      </c>
      <c r="H27" s="12" t="s">
        <v>163</v>
      </c>
      <c r="I27" s="89">
        <f t="shared" si="2"/>
        <v>0</v>
      </c>
      <c r="J27" s="89">
        <f t="shared" si="2"/>
        <v>0</v>
      </c>
      <c r="K27" s="89">
        <f t="shared" si="2"/>
        <v>0.3</v>
      </c>
      <c r="L27" s="89">
        <f t="shared" si="2"/>
        <v>0.89999999999999991</v>
      </c>
      <c r="M27" s="89">
        <f t="shared" si="2"/>
        <v>2.1</v>
      </c>
      <c r="N27" s="89">
        <f t="shared" si="2"/>
        <v>3</v>
      </c>
      <c r="O27" s="89">
        <f t="shared" si="2"/>
        <v>3</v>
      </c>
      <c r="P27" s="89">
        <f t="shared" si="2"/>
        <v>3</v>
      </c>
      <c r="Q27" s="89">
        <f t="shared" si="2"/>
        <v>3</v>
      </c>
      <c r="R27" s="89">
        <f t="shared" si="2"/>
        <v>3</v>
      </c>
      <c r="S27" s="89">
        <f t="shared" si="2"/>
        <v>3</v>
      </c>
      <c r="T27" s="89">
        <f t="shared" si="2"/>
        <v>3</v>
      </c>
      <c r="U27" s="89">
        <f t="shared" si="2"/>
        <v>3</v>
      </c>
    </row>
    <row r="28" spans="2:21" outlineLevel="2" x14ac:dyDescent="0.15">
      <c r="C28" s="48"/>
      <c r="E28" s="12" t="s">
        <v>114</v>
      </c>
      <c r="F28" s="75" t="s">
        <v>168</v>
      </c>
      <c r="G28" s="216">
        <v>0.19</v>
      </c>
      <c r="H28" s="12" t="s">
        <v>163</v>
      </c>
      <c r="I28" s="89">
        <f t="shared" si="2"/>
        <v>0</v>
      </c>
      <c r="J28" s="89">
        <f t="shared" si="2"/>
        <v>0</v>
      </c>
      <c r="K28" s="89">
        <f t="shared" si="2"/>
        <v>0.38</v>
      </c>
      <c r="L28" s="89">
        <f t="shared" si="2"/>
        <v>1.1400000000000001</v>
      </c>
      <c r="M28" s="89">
        <f t="shared" si="2"/>
        <v>2.66</v>
      </c>
      <c r="N28" s="89">
        <f t="shared" si="2"/>
        <v>3.8</v>
      </c>
      <c r="O28" s="89">
        <f t="shared" si="2"/>
        <v>3.8</v>
      </c>
      <c r="P28" s="89">
        <f t="shared" si="2"/>
        <v>3.8</v>
      </c>
      <c r="Q28" s="89">
        <f t="shared" si="2"/>
        <v>3.8</v>
      </c>
      <c r="R28" s="89">
        <f t="shared" si="2"/>
        <v>3.8</v>
      </c>
      <c r="S28" s="89">
        <f t="shared" si="2"/>
        <v>3.8</v>
      </c>
      <c r="T28" s="89">
        <f t="shared" si="2"/>
        <v>3.8</v>
      </c>
      <c r="U28" s="89">
        <f t="shared" si="2"/>
        <v>3.8</v>
      </c>
    </row>
    <row r="29" spans="2:21" outlineLevel="2" x14ac:dyDescent="0.15">
      <c r="C29" s="48"/>
      <c r="E29" s="12" t="s">
        <v>115</v>
      </c>
      <c r="F29" s="75" t="s">
        <v>168</v>
      </c>
      <c r="G29" s="216">
        <v>0.28999999999999998</v>
      </c>
      <c r="H29" s="12" t="s">
        <v>163</v>
      </c>
      <c r="I29" s="89">
        <f t="shared" si="2"/>
        <v>0</v>
      </c>
      <c r="J29" s="89">
        <f t="shared" si="2"/>
        <v>0</v>
      </c>
      <c r="K29" s="89">
        <f t="shared" si="2"/>
        <v>0.57999999999999996</v>
      </c>
      <c r="L29" s="89">
        <f t="shared" si="2"/>
        <v>1.7399999999999998</v>
      </c>
      <c r="M29" s="89">
        <f t="shared" si="2"/>
        <v>4.0599999999999996</v>
      </c>
      <c r="N29" s="89">
        <f t="shared" si="2"/>
        <v>5.8</v>
      </c>
      <c r="O29" s="89">
        <f t="shared" si="2"/>
        <v>5.8</v>
      </c>
      <c r="P29" s="89">
        <f t="shared" si="2"/>
        <v>5.8</v>
      </c>
      <c r="Q29" s="89">
        <f t="shared" si="2"/>
        <v>5.8</v>
      </c>
      <c r="R29" s="89">
        <f t="shared" si="2"/>
        <v>5.8</v>
      </c>
      <c r="S29" s="89">
        <f t="shared" si="2"/>
        <v>5.8</v>
      </c>
      <c r="T29" s="89">
        <f t="shared" si="2"/>
        <v>5.8</v>
      </c>
      <c r="U29" s="89">
        <f t="shared" si="2"/>
        <v>5.8</v>
      </c>
    </row>
    <row r="30" spans="2:21" outlineLevel="2" x14ac:dyDescent="0.15">
      <c r="C30" s="48"/>
      <c r="E30" s="12" t="s">
        <v>170</v>
      </c>
      <c r="F30" s="75" t="s">
        <v>168</v>
      </c>
      <c r="G30" s="217">
        <v>0.29000000000000004</v>
      </c>
      <c r="H30" s="12" t="s">
        <v>163</v>
      </c>
      <c r="I30" s="89">
        <f t="shared" si="2"/>
        <v>0</v>
      </c>
      <c r="J30" s="89">
        <f t="shared" si="2"/>
        <v>0</v>
      </c>
      <c r="K30" s="89">
        <f t="shared" si="2"/>
        <v>0.58000000000000007</v>
      </c>
      <c r="L30" s="89">
        <f t="shared" si="2"/>
        <v>1.7400000000000002</v>
      </c>
      <c r="M30" s="89">
        <f t="shared" si="2"/>
        <v>4.0600000000000005</v>
      </c>
      <c r="N30" s="89">
        <f t="shared" si="2"/>
        <v>5.8000000000000007</v>
      </c>
      <c r="O30" s="89">
        <f t="shared" si="2"/>
        <v>5.8000000000000007</v>
      </c>
      <c r="P30" s="89">
        <f t="shared" si="2"/>
        <v>5.8000000000000007</v>
      </c>
      <c r="Q30" s="89">
        <f t="shared" si="2"/>
        <v>5.8000000000000007</v>
      </c>
      <c r="R30" s="89">
        <f t="shared" si="2"/>
        <v>5.8000000000000007</v>
      </c>
      <c r="S30" s="89">
        <f t="shared" si="2"/>
        <v>5.8000000000000007</v>
      </c>
      <c r="T30" s="89">
        <f t="shared" si="2"/>
        <v>5.8000000000000007</v>
      </c>
      <c r="U30" s="89">
        <f t="shared" si="2"/>
        <v>5.8000000000000007</v>
      </c>
    </row>
    <row r="31" spans="2:21" s="22" customFormat="1" outlineLevel="2" x14ac:dyDescent="0.15">
      <c r="D31" s="53"/>
      <c r="E31" s="53" t="s">
        <v>171</v>
      </c>
      <c r="F31" s="90" t="s">
        <v>168</v>
      </c>
      <c r="G31" s="53"/>
      <c r="H31" s="22" t="s">
        <v>163</v>
      </c>
      <c r="I31" s="149">
        <f>SUM(I26:I30)</f>
        <v>0</v>
      </c>
      <c r="J31" s="149">
        <f t="shared" ref="J31:U31" si="3">SUM(J26:J30)</f>
        <v>0</v>
      </c>
      <c r="K31" s="149">
        <f t="shared" si="3"/>
        <v>2</v>
      </c>
      <c r="L31" s="149">
        <f t="shared" si="3"/>
        <v>6</v>
      </c>
      <c r="M31" s="149">
        <f t="shared" si="3"/>
        <v>14.000000000000002</v>
      </c>
      <c r="N31" s="149">
        <f t="shared" si="3"/>
        <v>20</v>
      </c>
      <c r="O31" s="149">
        <f t="shared" si="3"/>
        <v>20</v>
      </c>
      <c r="P31" s="149">
        <f t="shared" si="3"/>
        <v>20</v>
      </c>
      <c r="Q31" s="149">
        <f t="shared" si="3"/>
        <v>20</v>
      </c>
      <c r="R31" s="149">
        <f t="shared" si="3"/>
        <v>20</v>
      </c>
      <c r="S31" s="149">
        <f t="shared" si="3"/>
        <v>20</v>
      </c>
      <c r="T31" s="149">
        <f t="shared" si="3"/>
        <v>20</v>
      </c>
      <c r="U31" s="149">
        <f t="shared" si="3"/>
        <v>20</v>
      </c>
    </row>
    <row r="32" spans="2:21" s="22" customFormat="1" outlineLevel="2" x14ac:dyDescent="0.15">
      <c r="D32" s="151"/>
      <c r="E32" s="151"/>
      <c r="F32" s="152"/>
      <c r="G32" s="151"/>
      <c r="I32" s="153"/>
      <c r="J32" s="153"/>
      <c r="K32" s="153"/>
      <c r="L32" s="153"/>
      <c r="M32" s="153"/>
      <c r="N32" s="153"/>
      <c r="O32" s="153"/>
      <c r="P32" s="153"/>
      <c r="Q32" s="153"/>
      <c r="R32" s="153"/>
      <c r="S32" s="153"/>
      <c r="T32" s="153"/>
      <c r="U32" s="153"/>
    </row>
    <row r="33" spans="2:21" outlineLevel="1" x14ac:dyDescent="0.15">
      <c r="B33" s="85"/>
      <c r="C33" s="85" t="s">
        <v>173</v>
      </c>
      <c r="D33" s="86"/>
      <c r="E33" s="86"/>
      <c r="F33" s="87"/>
      <c r="G33" s="86"/>
      <c r="H33" s="12" t="s">
        <v>163</v>
      </c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</row>
    <row r="34" spans="2:21" outlineLevel="2" x14ac:dyDescent="0.15">
      <c r="H34" s="12" t="s">
        <v>163</v>
      </c>
    </row>
    <row r="35" spans="2:21" outlineLevel="2" x14ac:dyDescent="0.15">
      <c r="C35" s="22" t="s">
        <v>174</v>
      </c>
      <c r="H35" s="12" t="s">
        <v>163</v>
      </c>
    </row>
    <row r="36" spans="2:21" outlineLevel="2" x14ac:dyDescent="0.15">
      <c r="E36" s="12" t="s">
        <v>112</v>
      </c>
      <c r="F36" s="75" t="s">
        <v>175</v>
      </c>
      <c r="G36" s="218">
        <v>12</v>
      </c>
      <c r="H36" s="12" t="s">
        <v>163</v>
      </c>
    </row>
    <row r="37" spans="2:21" outlineLevel="2" x14ac:dyDescent="0.15">
      <c r="E37" s="12" t="s">
        <v>113</v>
      </c>
      <c r="F37" s="75" t="s">
        <v>175</v>
      </c>
      <c r="G37" s="218">
        <v>13.200000000000001</v>
      </c>
      <c r="H37" s="12" t="s">
        <v>163</v>
      </c>
    </row>
    <row r="38" spans="2:21" outlineLevel="2" x14ac:dyDescent="0.15">
      <c r="E38" s="12" t="s">
        <v>114</v>
      </c>
      <c r="F38" s="75" t="s">
        <v>175</v>
      </c>
      <c r="G38" s="218">
        <v>14.520000000000003</v>
      </c>
      <c r="H38" s="12" t="s">
        <v>163</v>
      </c>
    </row>
    <row r="39" spans="2:21" outlineLevel="2" x14ac:dyDescent="0.15">
      <c r="E39" s="12" t="s">
        <v>115</v>
      </c>
      <c r="F39" s="75" t="s">
        <v>175</v>
      </c>
      <c r="G39" s="218">
        <v>15.972000000000005</v>
      </c>
      <c r="H39" s="12" t="s">
        <v>163</v>
      </c>
    </row>
    <row r="40" spans="2:21" outlineLevel="2" x14ac:dyDescent="0.15">
      <c r="E40" s="12" t="s">
        <v>170</v>
      </c>
      <c r="F40" s="75" t="s">
        <v>175</v>
      </c>
      <c r="G40" s="218">
        <v>17.569200000000006</v>
      </c>
      <c r="H40" s="12" t="s">
        <v>163</v>
      </c>
    </row>
    <row r="41" spans="2:21" outlineLevel="2" x14ac:dyDescent="0.15"/>
    <row r="42" spans="2:21" outlineLevel="1" x14ac:dyDescent="0.15">
      <c r="B42" s="85"/>
      <c r="C42" s="85" t="s">
        <v>104</v>
      </c>
      <c r="D42" s="86"/>
      <c r="E42" s="86"/>
      <c r="F42" s="87"/>
      <c r="G42" s="86"/>
      <c r="H42" s="12" t="s">
        <v>163</v>
      </c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</row>
    <row r="43" spans="2:21" outlineLevel="2" x14ac:dyDescent="0.15"/>
    <row r="44" spans="2:21" outlineLevel="2" x14ac:dyDescent="0.15">
      <c r="E44" s="12" t="s">
        <v>112</v>
      </c>
      <c r="F44" s="75" t="s">
        <v>2254</v>
      </c>
      <c r="G44" s="219">
        <f>G36</f>
        <v>12</v>
      </c>
      <c r="I44" s="12">
        <f t="shared" ref="I44:U48" si="4">$G44*I14</f>
        <v>0</v>
      </c>
      <c r="J44" s="12">
        <f t="shared" si="4"/>
        <v>0</v>
      </c>
      <c r="K44" s="12">
        <f t="shared" si="4"/>
        <v>1.92</v>
      </c>
      <c r="L44" s="12">
        <f t="shared" si="4"/>
        <v>5.76</v>
      </c>
      <c r="M44" s="12">
        <f t="shared" si="4"/>
        <v>13.440000000000001</v>
      </c>
      <c r="N44" s="12">
        <f t="shared" si="4"/>
        <v>19.200000000000003</v>
      </c>
      <c r="O44" s="12">
        <f t="shared" si="4"/>
        <v>19.200000000000003</v>
      </c>
      <c r="P44" s="12">
        <f t="shared" si="4"/>
        <v>19.200000000000003</v>
      </c>
      <c r="Q44" s="12">
        <f t="shared" si="4"/>
        <v>19.200000000000003</v>
      </c>
      <c r="R44" s="12">
        <f t="shared" si="4"/>
        <v>19.200000000000003</v>
      </c>
      <c r="S44" s="12">
        <f t="shared" si="4"/>
        <v>19.200000000000003</v>
      </c>
      <c r="T44" s="12">
        <f t="shared" si="4"/>
        <v>19.200000000000003</v>
      </c>
      <c r="U44" s="12">
        <f t="shared" si="4"/>
        <v>19.200000000000003</v>
      </c>
    </row>
    <row r="45" spans="2:21" outlineLevel="2" x14ac:dyDescent="0.15">
      <c r="E45" s="12" t="s">
        <v>113</v>
      </c>
      <c r="F45" s="75" t="s">
        <v>2254</v>
      </c>
      <c r="G45" s="219">
        <f>G37</f>
        <v>13.200000000000001</v>
      </c>
      <c r="I45" s="12">
        <f t="shared" si="4"/>
        <v>0</v>
      </c>
      <c r="J45" s="12">
        <f t="shared" si="4"/>
        <v>0</v>
      </c>
      <c r="K45" s="12">
        <f t="shared" si="4"/>
        <v>3.96</v>
      </c>
      <c r="L45" s="12">
        <f t="shared" si="4"/>
        <v>11.879999999999999</v>
      </c>
      <c r="M45" s="12">
        <f t="shared" si="4"/>
        <v>27.720000000000002</v>
      </c>
      <c r="N45" s="12">
        <f t="shared" si="4"/>
        <v>39.6</v>
      </c>
      <c r="O45" s="12">
        <f t="shared" si="4"/>
        <v>39.6</v>
      </c>
      <c r="P45" s="12">
        <f t="shared" si="4"/>
        <v>39.6</v>
      </c>
      <c r="Q45" s="12">
        <f t="shared" si="4"/>
        <v>39.6</v>
      </c>
      <c r="R45" s="12">
        <f t="shared" si="4"/>
        <v>39.6</v>
      </c>
      <c r="S45" s="12">
        <f t="shared" si="4"/>
        <v>39.6</v>
      </c>
      <c r="T45" s="12">
        <f t="shared" si="4"/>
        <v>39.6</v>
      </c>
      <c r="U45" s="12">
        <f t="shared" si="4"/>
        <v>39.6</v>
      </c>
    </row>
    <row r="46" spans="2:21" outlineLevel="2" x14ac:dyDescent="0.15">
      <c r="E46" s="12" t="s">
        <v>114</v>
      </c>
      <c r="F46" s="75" t="s">
        <v>2254</v>
      </c>
      <c r="G46" s="219">
        <f>G38</f>
        <v>14.520000000000003</v>
      </c>
      <c r="I46" s="12">
        <f t="shared" si="4"/>
        <v>0</v>
      </c>
      <c r="J46" s="12">
        <f t="shared" si="4"/>
        <v>0</v>
      </c>
      <c r="K46" s="12">
        <f t="shared" si="4"/>
        <v>5.5176000000000016</v>
      </c>
      <c r="L46" s="12">
        <f t="shared" si="4"/>
        <v>16.552800000000005</v>
      </c>
      <c r="M46" s="12">
        <f t="shared" si="4"/>
        <v>38.623200000000011</v>
      </c>
      <c r="N46" s="12">
        <f t="shared" si="4"/>
        <v>55.176000000000009</v>
      </c>
      <c r="O46" s="12">
        <f t="shared" si="4"/>
        <v>55.176000000000009</v>
      </c>
      <c r="P46" s="12">
        <f t="shared" si="4"/>
        <v>55.176000000000009</v>
      </c>
      <c r="Q46" s="12">
        <f t="shared" si="4"/>
        <v>55.176000000000009</v>
      </c>
      <c r="R46" s="12">
        <f t="shared" si="4"/>
        <v>55.176000000000009</v>
      </c>
      <c r="S46" s="12">
        <f t="shared" si="4"/>
        <v>55.176000000000009</v>
      </c>
      <c r="T46" s="12">
        <f t="shared" si="4"/>
        <v>55.176000000000009</v>
      </c>
      <c r="U46" s="12">
        <f t="shared" si="4"/>
        <v>55.176000000000009</v>
      </c>
    </row>
    <row r="47" spans="2:21" outlineLevel="2" x14ac:dyDescent="0.15">
      <c r="E47" s="12" t="s">
        <v>115</v>
      </c>
      <c r="F47" s="75" t="s">
        <v>2254</v>
      </c>
      <c r="G47" s="219">
        <f>G39</f>
        <v>15.972000000000005</v>
      </c>
      <c r="I47" s="12">
        <f t="shared" si="4"/>
        <v>0</v>
      </c>
      <c r="J47" s="12">
        <f t="shared" si="4"/>
        <v>0</v>
      </c>
      <c r="K47" s="12">
        <f t="shared" si="4"/>
        <v>9.2637600000000013</v>
      </c>
      <c r="L47" s="12">
        <f t="shared" si="4"/>
        <v>27.791280000000004</v>
      </c>
      <c r="M47" s="12">
        <f t="shared" si="4"/>
        <v>64.84632000000002</v>
      </c>
      <c r="N47" s="12">
        <f t="shared" si="4"/>
        <v>92.63760000000002</v>
      </c>
      <c r="O47" s="12">
        <f t="shared" si="4"/>
        <v>92.63760000000002</v>
      </c>
      <c r="P47" s="12">
        <f t="shared" si="4"/>
        <v>92.63760000000002</v>
      </c>
      <c r="Q47" s="12">
        <f t="shared" si="4"/>
        <v>92.63760000000002</v>
      </c>
      <c r="R47" s="12">
        <f t="shared" si="4"/>
        <v>92.63760000000002</v>
      </c>
      <c r="S47" s="12">
        <f t="shared" si="4"/>
        <v>92.63760000000002</v>
      </c>
      <c r="T47" s="12">
        <f t="shared" si="4"/>
        <v>92.63760000000002</v>
      </c>
      <c r="U47" s="12">
        <f t="shared" si="4"/>
        <v>92.63760000000002</v>
      </c>
    </row>
    <row r="48" spans="2:21" outlineLevel="2" x14ac:dyDescent="0.15">
      <c r="E48" s="12" t="s">
        <v>170</v>
      </c>
      <c r="F48" s="75" t="s">
        <v>2254</v>
      </c>
      <c r="G48" s="219">
        <f>G40</f>
        <v>17.569200000000006</v>
      </c>
      <c r="I48" s="12">
        <f t="shared" si="4"/>
        <v>0</v>
      </c>
      <c r="J48" s="12">
        <f t="shared" si="4"/>
        <v>0</v>
      </c>
      <c r="K48" s="12">
        <f t="shared" si="4"/>
        <v>10.190136000000004</v>
      </c>
      <c r="L48" s="12">
        <f t="shared" si="4"/>
        <v>30.570408000000015</v>
      </c>
      <c r="M48" s="12">
        <f t="shared" si="4"/>
        <v>71.330952000000025</v>
      </c>
      <c r="N48" s="12">
        <f t="shared" si="4"/>
        <v>101.90136000000004</v>
      </c>
      <c r="O48" s="12">
        <f t="shared" si="4"/>
        <v>101.90136000000004</v>
      </c>
      <c r="P48" s="12">
        <f t="shared" si="4"/>
        <v>101.90136000000004</v>
      </c>
      <c r="Q48" s="12">
        <f t="shared" si="4"/>
        <v>101.90136000000004</v>
      </c>
      <c r="R48" s="12">
        <f t="shared" si="4"/>
        <v>101.90136000000004</v>
      </c>
      <c r="S48" s="12">
        <f t="shared" si="4"/>
        <v>101.90136000000004</v>
      </c>
      <c r="T48" s="12">
        <f t="shared" si="4"/>
        <v>101.90136000000004</v>
      </c>
      <c r="U48" s="12">
        <f t="shared" si="4"/>
        <v>101.90136000000004</v>
      </c>
    </row>
    <row r="49" spans="1:22" s="22" customFormat="1" outlineLevel="2" x14ac:dyDescent="0.15">
      <c r="D49" s="53" t="s">
        <v>117</v>
      </c>
      <c r="E49" s="53"/>
      <c r="F49" s="90" t="s">
        <v>2254</v>
      </c>
      <c r="G49" s="53"/>
      <c r="I49" s="54">
        <f>SUM(I44:I48)</f>
        <v>0</v>
      </c>
      <c r="J49" s="54">
        <f t="shared" ref="J49:U49" si="5">SUM(J44:J48)</f>
        <v>0</v>
      </c>
      <c r="K49" s="54">
        <f t="shared" si="5"/>
        <v>30.851496000000004</v>
      </c>
      <c r="L49" s="54">
        <f t="shared" si="5"/>
        <v>92.554488000000021</v>
      </c>
      <c r="M49" s="54">
        <f t="shared" si="5"/>
        <v>215.96047200000007</v>
      </c>
      <c r="N49" s="54">
        <f t="shared" si="5"/>
        <v>308.51496000000009</v>
      </c>
      <c r="O49" s="54">
        <f t="shared" si="5"/>
        <v>308.51496000000009</v>
      </c>
      <c r="P49" s="54">
        <f t="shared" si="5"/>
        <v>308.51496000000009</v>
      </c>
      <c r="Q49" s="54">
        <f t="shared" si="5"/>
        <v>308.51496000000009</v>
      </c>
      <c r="R49" s="54">
        <f t="shared" si="5"/>
        <v>308.51496000000009</v>
      </c>
      <c r="S49" s="54">
        <f t="shared" si="5"/>
        <v>308.51496000000009</v>
      </c>
      <c r="T49" s="54">
        <f t="shared" si="5"/>
        <v>308.51496000000009</v>
      </c>
      <c r="U49" s="54">
        <f t="shared" si="5"/>
        <v>308.51496000000009</v>
      </c>
    </row>
    <row r="50" spans="1:22" outlineLevel="1" x14ac:dyDescent="0.15"/>
    <row r="51" spans="1:22" x14ac:dyDescent="0.15">
      <c r="B51" s="82" t="s">
        <v>177</v>
      </c>
      <c r="C51" s="83"/>
      <c r="D51" s="83"/>
      <c r="E51" s="83"/>
      <c r="F51" s="84"/>
      <c r="G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</row>
    <row r="52" spans="1:22" outlineLevel="1" x14ac:dyDescent="0.15"/>
    <row r="53" spans="1:22" outlineLevel="1" x14ac:dyDescent="0.15">
      <c r="B53" s="85"/>
      <c r="C53" s="85" t="s">
        <v>178</v>
      </c>
      <c r="D53" s="86"/>
      <c r="E53" s="86"/>
      <c r="F53" s="87"/>
      <c r="G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</row>
    <row r="54" spans="1:22" outlineLevel="2" x14ac:dyDescent="0.15"/>
    <row r="55" spans="1:22" outlineLevel="2" x14ac:dyDescent="0.15">
      <c r="E55" s="12" t="s">
        <v>112</v>
      </c>
      <c r="F55" s="75" t="s">
        <v>2329</v>
      </c>
      <c r="G55" s="218">
        <v>1</v>
      </c>
    </row>
    <row r="56" spans="1:22" outlineLevel="2" x14ac:dyDescent="0.15">
      <c r="E56" s="12" t="s">
        <v>113</v>
      </c>
      <c r="F56" s="75" t="s">
        <v>2329</v>
      </c>
      <c r="G56" s="218">
        <v>2</v>
      </c>
    </row>
    <row r="57" spans="1:22" outlineLevel="2" x14ac:dyDescent="0.15">
      <c r="E57" s="12" t="s">
        <v>114</v>
      </c>
      <c r="F57" s="75" t="s">
        <v>2329</v>
      </c>
      <c r="G57" s="218">
        <v>3</v>
      </c>
    </row>
    <row r="58" spans="1:22" outlineLevel="2" x14ac:dyDescent="0.15">
      <c r="E58" s="12" t="s">
        <v>115</v>
      </c>
      <c r="F58" s="75" t="s">
        <v>2329</v>
      </c>
      <c r="G58" s="218">
        <v>4</v>
      </c>
    </row>
    <row r="59" spans="1:22" outlineLevel="2" x14ac:dyDescent="0.15">
      <c r="E59" s="12" t="s">
        <v>170</v>
      </c>
      <c r="F59" s="75" t="s">
        <v>2329</v>
      </c>
      <c r="G59" s="218">
        <v>5</v>
      </c>
    </row>
    <row r="60" spans="1:22" outlineLevel="2" x14ac:dyDescent="0.15">
      <c r="G60" s="75"/>
    </row>
    <row r="61" spans="1:22" outlineLevel="1" x14ac:dyDescent="0.15">
      <c r="B61" s="85"/>
      <c r="C61" s="85" t="s">
        <v>180</v>
      </c>
      <c r="D61" s="86"/>
      <c r="E61" s="86"/>
      <c r="F61" s="87"/>
      <c r="G61" s="87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</row>
    <row r="62" spans="1:22" s="75" customFormat="1" outlineLevel="2" x14ac:dyDescent="0.15">
      <c r="A62" s="12"/>
      <c r="B62" s="12"/>
      <c r="C62" s="12"/>
      <c r="D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</row>
    <row r="63" spans="1:22" s="75" customFormat="1" outlineLevel="2" x14ac:dyDescent="0.15">
      <c r="A63" s="12"/>
      <c r="B63" s="12"/>
      <c r="C63" s="12"/>
      <c r="D63" s="12"/>
      <c r="E63" s="12" t="s">
        <v>112</v>
      </c>
      <c r="F63" s="75" t="s">
        <v>175</v>
      </c>
      <c r="G63" s="218">
        <v>1.2599999999999998</v>
      </c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</row>
    <row r="64" spans="1:22" s="75" customFormat="1" outlineLevel="2" x14ac:dyDescent="0.15">
      <c r="A64" s="12"/>
      <c r="B64" s="12"/>
      <c r="C64" s="12"/>
      <c r="D64" s="12"/>
      <c r="E64" s="12" t="s">
        <v>113</v>
      </c>
      <c r="F64" s="75" t="s">
        <v>175</v>
      </c>
      <c r="G64" s="218">
        <v>1.3859999999999999</v>
      </c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</row>
    <row r="65" spans="1:22" s="75" customFormat="1" outlineLevel="2" x14ac:dyDescent="0.15">
      <c r="A65" s="12"/>
      <c r="B65" s="12"/>
      <c r="C65" s="12"/>
      <c r="D65" s="12"/>
      <c r="E65" s="12" t="s">
        <v>114</v>
      </c>
      <c r="F65" s="75" t="s">
        <v>175</v>
      </c>
      <c r="G65" s="218">
        <v>1.5246000000000002</v>
      </c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</row>
    <row r="66" spans="1:22" outlineLevel="2" x14ac:dyDescent="0.15">
      <c r="E66" s="12" t="s">
        <v>115</v>
      </c>
      <c r="F66" s="75" t="s">
        <v>175</v>
      </c>
      <c r="G66" s="218">
        <v>1.6770600000000002</v>
      </c>
    </row>
    <row r="67" spans="1:22" outlineLevel="2" x14ac:dyDescent="0.15">
      <c r="E67" s="12" t="s">
        <v>170</v>
      </c>
      <c r="F67" s="75" t="s">
        <v>175</v>
      </c>
      <c r="G67" s="218">
        <v>1.8447660000000003</v>
      </c>
    </row>
    <row r="68" spans="1:22" outlineLevel="2" x14ac:dyDescent="0.15"/>
    <row r="69" spans="1:22" outlineLevel="1" x14ac:dyDescent="0.15">
      <c r="B69" s="85"/>
      <c r="C69" s="85" t="s">
        <v>2330</v>
      </c>
      <c r="D69" s="86"/>
      <c r="E69" s="86"/>
      <c r="F69" s="87"/>
      <c r="G69" s="87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</row>
    <row r="70" spans="1:22" outlineLevel="2" x14ac:dyDescent="0.15"/>
    <row r="71" spans="1:22" outlineLevel="2" x14ac:dyDescent="0.15">
      <c r="D71" s="73" t="s">
        <v>2222</v>
      </c>
      <c r="E71" s="73"/>
      <c r="F71" s="220" t="s">
        <v>2331</v>
      </c>
    </row>
    <row r="72" spans="1:22" outlineLevel="2" x14ac:dyDescent="0.15">
      <c r="E72" s="73" t="s">
        <v>112</v>
      </c>
      <c r="F72" s="221" t="s">
        <v>168</v>
      </c>
      <c r="I72" s="222">
        <f t="shared" ref="I72:U76" si="6">I14</f>
        <v>0</v>
      </c>
      <c r="J72" s="222">
        <f t="shared" si="6"/>
        <v>0</v>
      </c>
      <c r="K72" s="222">
        <f t="shared" si="6"/>
        <v>0.16</v>
      </c>
      <c r="L72" s="222">
        <f t="shared" si="6"/>
        <v>0.48</v>
      </c>
      <c r="M72" s="222">
        <f t="shared" si="6"/>
        <v>1.1200000000000001</v>
      </c>
      <c r="N72" s="222">
        <f t="shared" si="6"/>
        <v>1.6</v>
      </c>
      <c r="O72" s="222">
        <f t="shared" si="6"/>
        <v>1.6</v>
      </c>
      <c r="P72" s="222">
        <f t="shared" si="6"/>
        <v>1.6</v>
      </c>
      <c r="Q72" s="222">
        <f t="shared" si="6"/>
        <v>1.6</v>
      </c>
      <c r="R72" s="222">
        <f t="shared" si="6"/>
        <v>1.6</v>
      </c>
      <c r="S72" s="222">
        <f t="shared" si="6"/>
        <v>1.6</v>
      </c>
      <c r="T72" s="222">
        <f t="shared" si="6"/>
        <v>1.6</v>
      </c>
      <c r="U72" s="222">
        <f t="shared" si="6"/>
        <v>1.6</v>
      </c>
    </row>
    <row r="73" spans="1:22" outlineLevel="2" x14ac:dyDescent="0.15">
      <c r="E73" s="73" t="s">
        <v>113</v>
      </c>
      <c r="F73" s="221" t="s">
        <v>168</v>
      </c>
      <c r="I73" s="222">
        <f t="shared" si="6"/>
        <v>0</v>
      </c>
      <c r="J73" s="222">
        <f t="shared" si="6"/>
        <v>0</v>
      </c>
      <c r="K73" s="222">
        <f t="shared" si="6"/>
        <v>0.3</v>
      </c>
      <c r="L73" s="222">
        <f t="shared" si="6"/>
        <v>0.89999999999999991</v>
      </c>
      <c r="M73" s="222">
        <f t="shared" si="6"/>
        <v>2.1</v>
      </c>
      <c r="N73" s="222">
        <f t="shared" si="6"/>
        <v>3</v>
      </c>
      <c r="O73" s="222">
        <f t="shared" si="6"/>
        <v>3</v>
      </c>
      <c r="P73" s="222">
        <f t="shared" si="6"/>
        <v>3</v>
      </c>
      <c r="Q73" s="222">
        <f t="shared" si="6"/>
        <v>3</v>
      </c>
      <c r="R73" s="222">
        <f t="shared" si="6"/>
        <v>3</v>
      </c>
      <c r="S73" s="222">
        <f t="shared" si="6"/>
        <v>3</v>
      </c>
      <c r="T73" s="222">
        <f t="shared" si="6"/>
        <v>3</v>
      </c>
      <c r="U73" s="222">
        <f t="shared" si="6"/>
        <v>3</v>
      </c>
    </row>
    <row r="74" spans="1:22" outlineLevel="2" x14ac:dyDescent="0.15">
      <c r="E74" s="73" t="s">
        <v>114</v>
      </c>
      <c r="F74" s="221" t="s">
        <v>168</v>
      </c>
      <c r="I74" s="222">
        <f t="shared" si="6"/>
        <v>0</v>
      </c>
      <c r="J74" s="222">
        <f t="shared" si="6"/>
        <v>0</v>
      </c>
      <c r="K74" s="222">
        <f t="shared" si="6"/>
        <v>0.38</v>
      </c>
      <c r="L74" s="222">
        <f t="shared" si="6"/>
        <v>1.1400000000000001</v>
      </c>
      <c r="M74" s="222">
        <f t="shared" si="6"/>
        <v>2.66</v>
      </c>
      <c r="N74" s="222">
        <f t="shared" si="6"/>
        <v>3.8</v>
      </c>
      <c r="O74" s="222">
        <f t="shared" si="6"/>
        <v>3.8</v>
      </c>
      <c r="P74" s="222">
        <f t="shared" si="6"/>
        <v>3.8</v>
      </c>
      <c r="Q74" s="222">
        <f t="shared" si="6"/>
        <v>3.8</v>
      </c>
      <c r="R74" s="222">
        <f t="shared" si="6"/>
        <v>3.8</v>
      </c>
      <c r="S74" s="222">
        <f t="shared" si="6"/>
        <v>3.8</v>
      </c>
      <c r="T74" s="222">
        <f t="shared" si="6"/>
        <v>3.8</v>
      </c>
      <c r="U74" s="222">
        <f t="shared" si="6"/>
        <v>3.8</v>
      </c>
    </row>
    <row r="75" spans="1:22" outlineLevel="2" x14ac:dyDescent="0.15">
      <c r="E75" s="73" t="s">
        <v>115</v>
      </c>
      <c r="F75" s="221" t="s">
        <v>168</v>
      </c>
      <c r="I75" s="222">
        <f t="shared" si="6"/>
        <v>0</v>
      </c>
      <c r="J75" s="222">
        <f t="shared" si="6"/>
        <v>0</v>
      </c>
      <c r="K75" s="222">
        <f t="shared" si="6"/>
        <v>0.57999999999999996</v>
      </c>
      <c r="L75" s="222">
        <f t="shared" si="6"/>
        <v>1.7399999999999998</v>
      </c>
      <c r="M75" s="222">
        <f t="shared" si="6"/>
        <v>4.0599999999999996</v>
      </c>
      <c r="N75" s="222">
        <f t="shared" si="6"/>
        <v>5.8</v>
      </c>
      <c r="O75" s="222">
        <f t="shared" si="6"/>
        <v>5.8</v>
      </c>
      <c r="P75" s="222">
        <f t="shared" si="6"/>
        <v>5.8</v>
      </c>
      <c r="Q75" s="222">
        <f t="shared" si="6"/>
        <v>5.8</v>
      </c>
      <c r="R75" s="222">
        <f t="shared" si="6"/>
        <v>5.8</v>
      </c>
      <c r="S75" s="222">
        <f t="shared" si="6"/>
        <v>5.8</v>
      </c>
      <c r="T75" s="222">
        <f t="shared" si="6"/>
        <v>5.8</v>
      </c>
      <c r="U75" s="222">
        <f t="shared" si="6"/>
        <v>5.8</v>
      </c>
    </row>
    <row r="76" spans="1:22" outlineLevel="2" x14ac:dyDescent="0.15">
      <c r="E76" s="73" t="s">
        <v>170</v>
      </c>
      <c r="F76" s="221" t="s">
        <v>168</v>
      </c>
      <c r="I76" s="222">
        <f t="shared" si="6"/>
        <v>0</v>
      </c>
      <c r="J76" s="222">
        <f t="shared" si="6"/>
        <v>0</v>
      </c>
      <c r="K76" s="222">
        <f t="shared" si="6"/>
        <v>0.58000000000000007</v>
      </c>
      <c r="L76" s="222">
        <f t="shared" si="6"/>
        <v>1.7400000000000002</v>
      </c>
      <c r="M76" s="222">
        <f t="shared" si="6"/>
        <v>4.0600000000000005</v>
      </c>
      <c r="N76" s="222">
        <f t="shared" si="6"/>
        <v>5.8000000000000007</v>
      </c>
      <c r="O76" s="222">
        <f t="shared" si="6"/>
        <v>5.8000000000000007</v>
      </c>
      <c r="P76" s="222">
        <f t="shared" si="6"/>
        <v>5.8000000000000007</v>
      </c>
      <c r="Q76" s="222">
        <f t="shared" si="6"/>
        <v>5.8000000000000007</v>
      </c>
      <c r="R76" s="222">
        <f t="shared" si="6"/>
        <v>5.8000000000000007</v>
      </c>
      <c r="S76" s="222">
        <f t="shared" si="6"/>
        <v>5.8000000000000007</v>
      </c>
      <c r="T76" s="222">
        <f t="shared" si="6"/>
        <v>5.8000000000000007</v>
      </c>
      <c r="U76" s="222">
        <f t="shared" si="6"/>
        <v>5.8000000000000007</v>
      </c>
    </row>
    <row r="77" spans="1:22" outlineLevel="2" x14ac:dyDescent="0.15"/>
    <row r="78" spans="1:22" outlineLevel="2" x14ac:dyDescent="0.15">
      <c r="D78" s="12" t="s">
        <v>2332</v>
      </c>
    </row>
    <row r="79" spans="1:22" outlineLevel="2" x14ac:dyDescent="0.15">
      <c r="E79" s="12" t="s">
        <v>112</v>
      </c>
      <c r="F79" s="75" t="s">
        <v>168</v>
      </c>
      <c r="G79" s="223">
        <f>G55</f>
        <v>1</v>
      </c>
      <c r="I79" s="12">
        <f>I72*$G79</f>
        <v>0</v>
      </c>
      <c r="J79" s="12">
        <f t="shared" ref="J79:U79" si="7">J72*$G79</f>
        <v>0</v>
      </c>
      <c r="K79" s="12">
        <f t="shared" si="7"/>
        <v>0.16</v>
      </c>
      <c r="L79" s="12">
        <f t="shared" si="7"/>
        <v>0.48</v>
      </c>
      <c r="M79" s="12">
        <f t="shared" si="7"/>
        <v>1.1200000000000001</v>
      </c>
      <c r="N79" s="12">
        <f t="shared" si="7"/>
        <v>1.6</v>
      </c>
      <c r="O79" s="12">
        <f t="shared" si="7"/>
        <v>1.6</v>
      </c>
      <c r="P79" s="12">
        <f t="shared" si="7"/>
        <v>1.6</v>
      </c>
      <c r="Q79" s="12">
        <f t="shared" si="7"/>
        <v>1.6</v>
      </c>
      <c r="R79" s="12">
        <f t="shared" si="7"/>
        <v>1.6</v>
      </c>
      <c r="S79" s="12">
        <f t="shared" si="7"/>
        <v>1.6</v>
      </c>
      <c r="T79" s="12">
        <f t="shared" si="7"/>
        <v>1.6</v>
      </c>
      <c r="U79" s="12">
        <f t="shared" si="7"/>
        <v>1.6</v>
      </c>
    </row>
    <row r="80" spans="1:22" outlineLevel="2" x14ac:dyDescent="0.15">
      <c r="E80" s="12" t="s">
        <v>113</v>
      </c>
      <c r="F80" s="75" t="s">
        <v>168</v>
      </c>
      <c r="G80" s="223">
        <f t="shared" ref="G80:G83" si="8">G56</f>
        <v>2</v>
      </c>
      <c r="I80" s="12">
        <f t="shared" ref="I80:U83" si="9">I73*$G80</f>
        <v>0</v>
      </c>
      <c r="J80" s="12">
        <f t="shared" si="9"/>
        <v>0</v>
      </c>
      <c r="K80" s="12">
        <f t="shared" si="9"/>
        <v>0.6</v>
      </c>
      <c r="L80" s="12">
        <f t="shared" si="9"/>
        <v>1.7999999999999998</v>
      </c>
      <c r="M80" s="12">
        <f t="shared" si="9"/>
        <v>4.2</v>
      </c>
      <c r="N80" s="12">
        <f t="shared" si="9"/>
        <v>6</v>
      </c>
      <c r="O80" s="12">
        <f t="shared" si="9"/>
        <v>6</v>
      </c>
      <c r="P80" s="12">
        <f t="shared" si="9"/>
        <v>6</v>
      </c>
      <c r="Q80" s="12">
        <f t="shared" si="9"/>
        <v>6</v>
      </c>
      <c r="R80" s="12">
        <f t="shared" si="9"/>
        <v>6</v>
      </c>
      <c r="S80" s="12">
        <f t="shared" si="9"/>
        <v>6</v>
      </c>
      <c r="T80" s="12">
        <f t="shared" si="9"/>
        <v>6</v>
      </c>
      <c r="U80" s="12">
        <f t="shared" si="9"/>
        <v>6</v>
      </c>
    </row>
    <row r="81" spans="2:21" outlineLevel="2" x14ac:dyDescent="0.15">
      <c r="E81" s="12" t="s">
        <v>114</v>
      </c>
      <c r="F81" s="75" t="s">
        <v>168</v>
      </c>
      <c r="G81" s="223">
        <f t="shared" si="8"/>
        <v>3</v>
      </c>
      <c r="I81" s="12">
        <f t="shared" si="9"/>
        <v>0</v>
      </c>
      <c r="J81" s="12">
        <f t="shared" si="9"/>
        <v>0</v>
      </c>
      <c r="K81" s="12">
        <f t="shared" si="9"/>
        <v>1.1400000000000001</v>
      </c>
      <c r="L81" s="12">
        <f t="shared" si="9"/>
        <v>3.4200000000000004</v>
      </c>
      <c r="M81" s="12">
        <f t="shared" si="9"/>
        <v>7.98</v>
      </c>
      <c r="N81" s="12">
        <f t="shared" si="9"/>
        <v>11.399999999999999</v>
      </c>
      <c r="O81" s="12">
        <f t="shared" si="9"/>
        <v>11.399999999999999</v>
      </c>
      <c r="P81" s="12">
        <f t="shared" si="9"/>
        <v>11.399999999999999</v>
      </c>
      <c r="Q81" s="12">
        <f t="shared" si="9"/>
        <v>11.399999999999999</v>
      </c>
      <c r="R81" s="12">
        <f t="shared" si="9"/>
        <v>11.399999999999999</v>
      </c>
      <c r="S81" s="12">
        <f t="shared" si="9"/>
        <v>11.399999999999999</v>
      </c>
      <c r="T81" s="12">
        <f t="shared" si="9"/>
        <v>11.399999999999999</v>
      </c>
      <c r="U81" s="12">
        <f t="shared" si="9"/>
        <v>11.399999999999999</v>
      </c>
    </row>
    <row r="82" spans="2:21" outlineLevel="2" x14ac:dyDescent="0.15">
      <c r="E82" s="12" t="s">
        <v>115</v>
      </c>
      <c r="F82" s="75" t="s">
        <v>168</v>
      </c>
      <c r="G82" s="223">
        <f t="shared" si="8"/>
        <v>4</v>
      </c>
      <c r="I82" s="12">
        <f t="shared" si="9"/>
        <v>0</v>
      </c>
      <c r="J82" s="12">
        <f t="shared" si="9"/>
        <v>0</v>
      </c>
      <c r="K82" s="12">
        <f t="shared" si="9"/>
        <v>2.3199999999999998</v>
      </c>
      <c r="L82" s="12">
        <f t="shared" si="9"/>
        <v>6.9599999999999991</v>
      </c>
      <c r="M82" s="12">
        <f t="shared" si="9"/>
        <v>16.239999999999998</v>
      </c>
      <c r="N82" s="12">
        <f t="shared" si="9"/>
        <v>23.2</v>
      </c>
      <c r="O82" s="12">
        <f t="shared" si="9"/>
        <v>23.2</v>
      </c>
      <c r="P82" s="12">
        <f t="shared" si="9"/>
        <v>23.2</v>
      </c>
      <c r="Q82" s="12">
        <f t="shared" si="9"/>
        <v>23.2</v>
      </c>
      <c r="R82" s="12">
        <f t="shared" si="9"/>
        <v>23.2</v>
      </c>
      <c r="S82" s="12">
        <f t="shared" si="9"/>
        <v>23.2</v>
      </c>
      <c r="T82" s="12">
        <f t="shared" si="9"/>
        <v>23.2</v>
      </c>
      <c r="U82" s="12">
        <f t="shared" si="9"/>
        <v>23.2</v>
      </c>
    </row>
    <row r="83" spans="2:21" outlineLevel="2" x14ac:dyDescent="0.15">
      <c r="E83" s="12" t="s">
        <v>170</v>
      </c>
      <c r="F83" s="75" t="s">
        <v>168</v>
      </c>
      <c r="G83" s="223">
        <f t="shared" si="8"/>
        <v>5</v>
      </c>
      <c r="I83" s="12">
        <f t="shared" si="9"/>
        <v>0</v>
      </c>
      <c r="J83" s="12">
        <f t="shared" si="9"/>
        <v>0</v>
      </c>
      <c r="K83" s="12">
        <f t="shared" si="9"/>
        <v>2.9000000000000004</v>
      </c>
      <c r="L83" s="12">
        <f t="shared" si="9"/>
        <v>8.7000000000000011</v>
      </c>
      <c r="M83" s="12">
        <f t="shared" si="9"/>
        <v>20.300000000000004</v>
      </c>
      <c r="N83" s="12">
        <f t="shared" si="9"/>
        <v>29.000000000000004</v>
      </c>
      <c r="O83" s="12">
        <f t="shared" si="9"/>
        <v>29.000000000000004</v>
      </c>
      <c r="P83" s="12">
        <f t="shared" si="9"/>
        <v>29.000000000000004</v>
      </c>
      <c r="Q83" s="12">
        <f t="shared" si="9"/>
        <v>29.000000000000004</v>
      </c>
      <c r="R83" s="12">
        <f t="shared" si="9"/>
        <v>29.000000000000004</v>
      </c>
      <c r="S83" s="12">
        <f t="shared" si="9"/>
        <v>29.000000000000004</v>
      </c>
      <c r="T83" s="12">
        <f t="shared" si="9"/>
        <v>29.000000000000004</v>
      </c>
      <c r="U83" s="12">
        <f t="shared" si="9"/>
        <v>29.000000000000004</v>
      </c>
    </row>
    <row r="84" spans="2:21" outlineLevel="2" x14ac:dyDescent="0.15"/>
    <row r="85" spans="2:21" outlineLevel="2" x14ac:dyDescent="0.15">
      <c r="D85" s="12" t="s">
        <v>2333</v>
      </c>
    </row>
    <row r="86" spans="2:21" outlineLevel="2" x14ac:dyDescent="0.15">
      <c r="E86" s="12" t="s">
        <v>112</v>
      </c>
      <c r="F86" s="75" t="s">
        <v>2254</v>
      </c>
      <c r="G86" s="223">
        <f>G63</f>
        <v>1.2599999999999998</v>
      </c>
      <c r="I86" s="12">
        <f>$G86*I79</f>
        <v>0</v>
      </c>
      <c r="J86" s="12">
        <f t="shared" ref="J86:U86" si="10">$G86*J79</f>
        <v>0</v>
      </c>
      <c r="K86" s="12">
        <f t="shared" si="10"/>
        <v>0.20159999999999997</v>
      </c>
      <c r="L86" s="12">
        <f t="shared" si="10"/>
        <v>0.60479999999999989</v>
      </c>
      <c r="M86" s="12">
        <f t="shared" si="10"/>
        <v>1.4111999999999998</v>
      </c>
      <c r="N86" s="12">
        <f t="shared" si="10"/>
        <v>2.0159999999999996</v>
      </c>
      <c r="O86" s="12">
        <f t="shared" si="10"/>
        <v>2.0159999999999996</v>
      </c>
      <c r="P86" s="12">
        <f t="shared" si="10"/>
        <v>2.0159999999999996</v>
      </c>
      <c r="Q86" s="12">
        <f t="shared" si="10"/>
        <v>2.0159999999999996</v>
      </c>
      <c r="R86" s="12">
        <f t="shared" si="10"/>
        <v>2.0159999999999996</v>
      </c>
      <c r="S86" s="12">
        <f t="shared" si="10"/>
        <v>2.0159999999999996</v>
      </c>
      <c r="T86" s="12">
        <f t="shared" si="10"/>
        <v>2.0159999999999996</v>
      </c>
      <c r="U86" s="12">
        <f t="shared" si="10"/>
        <v>2.0159999999999996</v>
      </c>
    </row>
    <row r="87" spans="2:21" outlineLevel="2" x14ac:dyDescent="0.15">
      <c r="E87" s="12" t="s">
        <v>113</v>
      </c>
      <c r="F87" s="75" t="s">
        <v>2254</v>
      </c>
      <c r="G87" s="223">
        <f t="shared" ref="G87:G90" si="11">G64</f>
        <v>1.3859999999999999</v>
      </c>
      <c r="I87" s="12">
        <f t="shared" ref="I87:U90" si="12">$G87*I80</f>
        <v>0</v>
      </c>
      <c r="J87" s="12">
        <f t="shared" si="12"/>
        <v>0</v>
      </c>
      <c r="K87" s="12">
        <f t="shared" si="12"/>
        <v>0.83159999999999989</v>
      </c>
      <c r="L87" s="12">
        <f t="shared" si="12"/>
        <v>2.4947999999999997</v>
      </c>
      <c r="M87" s="12">
        <f t="shared" si="12"/>
        <v>5.8212000000000002</v>
      </c>
      <c r="N87" s="12">
        <f t="shared" si="12"/>
        <v>8.3159999999999989</v>
      </c>
      <c r="O87" s="12">
        <f t="shared" si="12"/>
        <v>8.3159999999999989</v>
      </c>
      <c r="P87" s="12">
        <f t="shared" si="12"/>
        <v>8.3159999999999989</v>
      </c>
      <c r="Q87" s="12">
        <f t="shared" si="12"/>
        <v>8.3159999999999989</v>
      </c>
      <c r="R87" s="12">
        <f t="shared" si="12"/>
        <v>8.3159999999999989</v>
      </c>
      <c r="S87" s="12">
        <f t="shared" si="12"/>
        <v>8.3159999999999989</v>
      </c>
      <c r="T87" s="12">
        <f t="shared" si="12"/>
        <v>8.3159999999999989</v>
      </c>
      <c r="U87" s="12">
        <f t="shared" si="12"/>
        <v>8.3159999999999989</v>
      </c>
    </row>
    <row r="88" spans="2:21" outlineLevel="2" x14ac:dyDescent="0.15">
      <c r="E88" s="12" t="s">
        <v>114</v>
      </c>
      <c r="F88" s="75" t="s">
        <v>2254</v>
      </c>
      <c r="G88" s="223">
        <f t="shared" si="11"/>
        <v>1.5246000000000002</v>
      </c>
      <c r="I88" s="12">
        <f t="shared" si="12"/>
        <v>0</v>
      </c>
      <c r="J88" s="12">
        <f t="shared" si="12"/>
        <v>0</v>
      </c>
      <c r="K88" s="12">
        <f t="shared" si="12"/>
        <v>1.7380440000000004</v>
      </c>
      <c r="L88" s="12">
        <f t="shared" si="12"/>
        <v>5.2141320000000011</v>
      </c>
      <c r="M88" s="12">
        <f t="shared" si="12"/>
        <v>12.166308000000003</v>
      </c>
      <c r="N88" s="12">
        <f t="shared" si="12"/>
        <v>17.38044</v>
      </c>
      <c r="O88" s="12">
        <f t="shared" si="12"/>
        <v>17.38044</v>
      </c>
      <c r="P88" s="12">
        <f t="shared" si="12"/>
        <v>17.38044</v>
      </c>
      <c r="Q88" s="12">
        <f t="shared" si="12"/>
        <v>17.38044</v>
      </c>
      <c r="R88" s="12">
        <f t="shared" si="12"/>
        <v>17.38044</v>
      </c>
      <c r="S88" s="12">
        <f t="shared" si="12"/>
        <v>17.38044</v>
      </c>
      <c r="T88" s="12">
        <f t="shared" si="12"/>
        <v>17.38044</v>
      </c>
      <c r="U88" s="12">
        <f t="shared" si="12"/>
        <v>17.38044</v>
      </c>
    </row>
    <row r="89" spans="2:21" outlineLevel="2" x14ac:dyDescent="0.15">
      <c r="E89" s="12" t="s">
        <v>115</v>
      </c>
      <c r="F89" s="75" t="s">
        <v>2254</v>
      </c>
      <c r="G89" s="223">
        <f t="shared" si="11"/>
        <v>1.6770600000000002</v>
      </c>
      <c r="I89" s="12">
        <f t="shared" si="12"/>
        <v>0</v>
      </c>
      <c r="J89" s="12">
        <f t="shared" si="12"/>
        <v>0</v>
      </c>
      <c r="K89" s="12">
        <f t="shared" si="12"/>
        <v>3.8907792000000003</v>
      </c>
      <c r="L89" s="12">
        <f t="shared" si="12"/>
        <v>11.672337600000001</v>
      </c>
      <c r="M89" s="12">
        <f t="shared" si="12"/>
        <v>27.235454400000002</v>
      </c>
      <c r="N89" s="12">
        <f t="shared" si="12"/>
        <v>38.907792000000001</v>
      </c>
      <c r="O89" s="12">
        <f t="shared" si="12"/>
        <v>38.907792000000001</v>
      </c>
      <c r="P89" s="12">
        <f t="shared" si="12"/>
        <v>38.907792000000001</v>
      </c>
      <c r="Q89" s="12">
        <f t="shared" si="12"/>
        <v>38.907792000000001</v>
      </c>
      <c r="R89" s="12">
        <f t="shared" si="12"/>
        <v>38.907792000000001</v>
      </c>
      <c r="S89" s="12">
        <f t="shared" si="12"/>
        <v>38.907792000000001</v>
      </c>
      <c r="T89" s="12">
        <f t="shared" si="12"/>
        <v>38.907792000000001</v>
      </c>
      <c r="U89" s="12">
        <f t="shared" si="12"/>
        <v>38.907792000000001</v>
      </c>
    </row>
    <row r="90" spans="2:21" outlineLevel="2" x14ac:dyDescent="0.15">
      <c r="E90" s="12" t="s">
        <v>170</v>
      </c>
      <c r="F90" s="75" t="s">
        <v>2254</v>
      </c>
      <c r="G90" s="223">
        <f t="shared" si="11"/>
        <v>1.8447660000000003</v>
      </c>
      <c r="I90" s="12">
        <f t="shared" si="12"/>
        <v>0</v>
      </c>
      <c r="J90" s="12">
        <f t="shared" si="12"/>
        <v>0</v>
      </c>
      <c r="K90" s="12">
        <f t="shared" si="12"/>
        <v>5.3498214000000015</v>
      </c>
      <c r="L90" s="12">
        <f t="shared" si="12"/>
        <v>16.049464200000006</v>
      </c>
      <c r="M90" s="12">
        <f t="shared" si="12"/>
        <v>37.448749800000016</v>
      </c>
      <c r="N90" s="12">
        <f t="shared" si="12"/>
        <v>53.498214000000019</v>
      </c>
      <c r="O90" s="12">
        <f t="shared" si="12"/>
        <v>53.498214000000019</v>
      </c>
      <c r="P90" s="12">
        <f t="shared" si="12"/>
        <v>53.498214000000019</v>
      </c>
      <c r="Q90" s="12">
        <f t="shared" si="12"/>
        <v>53.498214000000019</v>
      </c>
      <c r="R90" s="12">
        <f t="shared" si="12"/>
        <v>53.498214000000019</v>
      </c>
      <c r="S90" s="12">
        <f t="shared" si="12"/>
        <v>53.498214000000019</v>
      </c>
      <c r="T90" s="12">
        <f t="shared" si="12"/>
        <v>53.498214000000019</v>
      </c>
      <c r="U90" s="12">
        <f t="shared" si="12"/>
        <v>53.498214000000019</v>
      </c>
    </row>
    <row r="91" spans="2:21" s="22" customFormat="1" outlineLevel="2" x14ac:dyDescent="0.15">
      <c r="D91" s="53" t="s">
        <v>2334</v>
      </c>
      <c r="E91" s="53"/>
      <c r="F91" s="90" t="s">
        <v>2254</v>
      </c>
      <c r="G91" s="53"/>
      <c r="I91" s="54">
        <f>SUM(I86:I90)</f>
        <v>0</v>
      </c>
      <c r="J91" s="54">
        <f t="shared" ref="J91:U91" si="13">SUM(J86:J90)</f>
        <v>0</v>
      </c>
      <c r="K91" s="54">
        <f t="shared" si="13"/>
        <v>12.011844600000002</v>
      </c>
      <c r="L91" s="54">
        <f t="shared" si="13"/>
        <v>36.03553380000001</v>
      </c>
      <c r="M91" s="54">
        <f t="shared" si="13"/>
        <v>84.082912200000024</v>
      </c>
      <c r="N91" s="54">
        <f t="shared" si="13"/>
        <v>120.11844600000002</v>
      </c>
      <c r="O91" s="54">
        <f t="shared" si="13"/>
        <v>120.11844600000002</v>
      </c>
      <c r="P91" s="54">
        <f t="shared" si="13"/>
        <v>120.11844600000002</v>
      </c>
      <c r="Q91" s="54">
        <f t="shared" si="13"/>
        <v>120.11844600000002</v>
      </c>
      <c r="R91" s="54">
        <f t="shared" si="13"/>
        <v>120.11844600000002</v>
      </c>
      <c r="S91" s="54">
        <f t="shared" si="13"/>
        <v>120.11844600000002</v>
      </c>
      <c r="T91" s="54">
        <f t="shared" si="13"/>
        <v>120.11844600000002</v>
      </c>
      <c r="U91" s="54">
        <f t="shared" si="13"/>
        <v>120.11844600000002</v>
      </c>
    </row>
    <row r="92" spans="2:21" outlineLevel="2" x14ac:dyDescent="0.15"/>
    <row r="93" spans="2:21" outlineLevel="1" x14ac:dyDescent="0.15"/>
    <row r="94" spans="2:21" x14ac:dyDescent="0.15">
      <c r="B94" s="82" t="s">
        <v>2335</v>
      </c>
      <c r="C94" s="83"/>
      <c r="D94" s="83"/>
      <c r="E94" s="83"/>
      <c r="F94" s="84"/>
      <c r="G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</row>
    <row r="96" spans="2:21" x14ac:dyDescent="0.15">
      <c r="C96" s="48" t="s">
        <v>103</v>
      </c>
      <c r="D96" s="48"/>
      <c r="E96" s="48"/>
      <c r="F96" s="48"/>
    </row>
    <row r="97" spans="3:21" x14ac:dyDescent="0.15">
      <c r="D97" s="73" t="s">
        <v>2335</v>
      </c>
      <c r="E97" s="73"/>
      <c r="F97" s="220" t="s">
        <v>2331</v>
      </c>
    </row>
    <row r="98" spans="3:21" x14ac:dyDescent="0.15">
      <c r="E98" s="73" t="s">
        <v>104</v>
      </c>
      <c r="F98" s="221" t="s">
        <v>2254</v>
      </c>
      <c r="I98" s="222">
        <f>I49</f>
        <v>0</v>
      </c>
      <c r="J98" s="222">
        <f t="shared" ref="J98:U98" si="14">J49</f>
        <v>0</v>
      </c>
      <c r="K98" s="222">
        <f t="shared" si="14"/>
        <v>30.851496000000004</v>
      </c>
      <c r="L98" s="222">
        <f t="shared" si="14"/>
        <v>92.554488000000021</v>
      </c>
      <c r="M98" s="222">
        <f t="shared" si="14"/>
        <v>215.96047200000007</v>
      </c>
      <c r="N98" s="222">
        <f t="shared" si="14"/>
        <v>308.51496000000009</v>
      </c>
      <c r="O98" s="222">
        <f t="shared" si="14"/>
        <v>308.51496000000009</v>
      </c>
      <c r="P98" s="222">
        <f t="shared" si="14"/>
        <v>308.51496000000009</v>
      </c>
      <c r="Q98" s="222">
        <f t="shared" si="14"/>
        <v>308.51496000000009</v>
      </c>
      <c r="R98" s="222">
        <f t="shared" si="14"/>
        <v>308.51496000000009</v>
      </c>
      <c r="S98" s="222">
        <f t="shared" si="14"/>
        <v>308.51496000000009</v>
      </c>
      <c r="T98" s="222">
        <f t="shared" si="14"/>
        <v>308.51496000000009</v>
      </c>
      <c r="U98" s="222">
        <f t="shared" si="14"/>
        <v>308.51496000000009</v>
      </c>
    </row>
    <row r="99" spans="3:21" x14ac:dyDescent="0.15">
      <c r="E99" s="73" t="s">
        <v>177</v>
      </c>
      <c r="F99" s="221" t="s">
        <v>2254</v>
      </c>
      <c r="I99" s="222">
        <f>-I91</f>
        <v>0</v>
      </c>
      <c r="J99" s="222">
        <f t="shared" ref="J99:U99" si="15">-J91</f>
        <v>0</v>
      </c>
      <c r="K99" s="222">
        <f t="shared" si="15"/>
        <v>-12.011844600000002</v>
      </c>
      <c r="L99" s="222">
        <f t="shared" si="15"/>
        <v>-36.03553380000001</v>
      </c>
      <c r="M99" s="222">
        <f t="shared" si="15"/>
        <v>-84.082912200000024</v>
      </c>
      <c r="N99" s="222">
        <f t="shared" si="15"/>
        <v>-120.11844600000002</v>
      </c>
      <c r="O99" s="222">
        <f t="shared" si="15"/>
        <v>-120.11844600000002</v>
      </c>
      <c r="P99" s="222">
        <f t="shared" si="15"/>
        <v>-120.11844600000002</v>
      </c>
      <c r="Q99" s="222">
        <f t="shared" si="15"/>
        <v>-120.11844600000002</v>
      </c>
      <c r="R99" s="222">
        <f t="shared" si="15"/>
        <v>-120.11844600000002</v>
      </c>
      <c r="S99" s="222">
        <f t="shared" si="15"/>
        <v>-120.11844600000002</v>
      </c>
      <c r="T99" s="222">
        <f t="shared" si="15"/>
        <v>-120.11844600000002</v>
      </c>
      <c r="U99" s="222">
        <f t="shared" si="15"/>
        <v>-120.11844600000002</v>
      </c>
    </row>
    <row r="100" spans="3:21" s="22" customFormat="1" x14ac:dyDescent="0.15">
      <c r="D100" s="53" t="s">
        <v>106</v>
      </c>
      <c r="E100" s="53"/>
      <c r="F100" s="90" t="s">
        <v>2254</v>
      </c>
      <c r="G100" s="53"/>
      <c r="I100" s="54">
        <f>SUM(I98:I99)</f>
        <v>0</v>
      </c>
      <c r="J100" s="54">
        <f t="shared" ref="J100:U100" si="16">SUM(J98:J99)</f>
        <v>0</v>
      </c>
      <c r="K100" s="54">
        <f t="shared" si="16"/>
        <v>18.839651400000001</v>
      </c>
      <c r="L100" s="54">
        <f t="shared" si="16"/>
        <v>56.51895420000001</v>
      </c>
      <c r="M100" s="54">
        <f t="shared" si="16"/>
        <v>131.87755980000003</v>
      </c>
      <c r="N100" s="54">
        <f t="shared" si="16"/>
        <v>188.39651400000008</v>
      </c>
      <c r="O100" s="54">
        <f t="shared" si="16"/>
        <v>188.39651400000008</v>
      </c>
      <c r="P100" s="54">
        <f t="shared" si="16"/>
        <v>188.39651400000008</v>
      </c>
      <c r="Q100" s="54">
        <f t="shared" si="16"/>
        <v>188.39651400000008</v>
      </c>
      <c r="R100" s="54">
        <f t="shared" si="16"/>
        <v>188.39651400000008</v>
      </c>
      <c r="S100" s="54">
        <f t="shared" si="16"/>
        <v>188.39651400000008</v>
      </c>
      <c r="T100" s="54">
        <f t="shared" si="16"/>
        <v>188.39651400000008</v>
      </c>
      <c r="U100" s="54">
        <f t="shared" si="16"/>
        <v>188.39651400000008</v>
      </c>
    </row>
    <row r="102" spans="3:21" x14ac:dyDescent="0.15">
      <c r="C102" s="40" t="s">
        <v>102</v>
      </c>
      <c r="D102" s="40"/>
      <c r="E102" s="40"/>
      <c r="F102" s="40"/>
    </row>
    <row r="103" spans="3:21" s="22" customFormat="1" x14ac:dyDescent="0.15">
      <c r="D103" s="53" t="s">
        <v>106</v>
      </c>
      <c r="E103" s="53"/>
      <c r="F103" s="90" t="s">
        <v>2254</v>
      </c>
      <c r="G103" s="53"/>
      <c r="I103" s="54">
        <f>I49-I91</f>
        <v>0</v>
      </c>
      <c r="J103" s="54">
        <f t="shared" ref="J103:U103" si="17">J49-J91</f>
        <v>0</v>
      </c>
      <c r="K103" s="54">
        <f t="shared" si="17"/>
        <v>18.839651400000001</v>
      </c>
      <c r="L103" s="54">
        <f t="shared" si="17"/>
        <v>56.51895420000001</v>
      </c>
      <c r="M103" s="54">
        <f t="shared" si="17"/>
        <v>131.87755980000003</v>
      </c>
      <c r="N103" s="54">
        <f t="shared" si="17"/>
        <v>188.39651400000008</v>
      </c>
      <c r="O103" s="54">
        <f t="shared" si="17"/>
        <v>188.39651400000008</v>
      </c>
      <c r="P103" s="54">
        <f t="shared" si="17"/>
        <v>188.39651400000008</v>
      </c>
      <c r="Q103" s="54">
        <f t="shared" si="17"/>
        <v>188.39651400000008</v>
      </c>
      <c r="R103" s="54">
        <f t="shared" si="17"/>
        <v>188.39651400000008</v>
      </c>
      <c r="S103" s="54">
        <f t="shared" si="17"/>
        <v>188.39651400000008</v>
      </c>
      <c r="T103" s="54">
        <f t="shared" si="17"/>
        <v>188.39651400000008</v>
      </c>
      <c r="U103" s="54">
        <f t="shared" si="17"/>
        <v>188.39651400000008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20</vt:i4>
      </vt:variant>
    </vt:vector>
  </HeadingPairs>
  <TitlesOfParts>
    <vt:vector size="20" baseType="lpstr">
      <vt:lpstr>Содержание</vt:lpstr>
      <vt:lpstr>Блок 1-&gt;</vt:lpstr>
      <vt:lpstr>Настройки Excel</vt:lpstr>
      <vt:lpstr>HotKeys</vt:lpstr>
      <vt:lpstr>Плохие примеры</vt:lpstr>
      <vt:lpstr>Структура и оформление</vt:lpstr>
      <vt:lpstr>Форматы ячеек</vt:lpstr>
      <vt:lpstr>Блок 2-&gt;</vt:lpstr>
      <vt:lpstr>Формулы</vt:lpstr>
      <vt:lpstr>Текст по столбцам</vt:lpstr>
      <vt:lpstr>Анализ деклараций</vt:lpstr>
      <vt:lpstr>Декларации_Исх. данные</vt:lpstr>
      <vt:lpstr>Анализ чувствительности</vt:lpstr>
      <vt:lpstr>Консолидация данных</vt:lpstr>
      <vt:lpstr>ОФР К1</vt:lpstr>
      <vt:lpstr>ОФР К2</vt:lpstr>
      <vt:lpstr>ОФР К3</vt:lpstr>
      <vt:lpstr>Блок 3-&gt;</vt:lpstr>
      <vt:lpstr>Архитектура</vt:lpstr>
      <vt:lpstr>Дубликаты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Rumyantseva | SP</dc:creator>
  <cp:lastModifiedBy>Konstantin Vlasov | SP</cp:lastModifiedBy>
  <dcterms:created xsi:type="dcterms:W3CDTF">2022-11-08T15:24:12Z</dcterms:created>
  <dcterms:modified xsi:type="dcterms:W3CDTF">2026-02-25T08:49:41Z</dcterms:modified>
</cp:coreProperties>
</file>